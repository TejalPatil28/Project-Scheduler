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757" firstSheet="0" activeTab="2" autoFilterDateGrouping="1"/>
  </bookViews>
  <sheets>
    <sheet xmlns:r="http://schemas.openxmlformats.org/officeDocument/2006/relationships" name="VersionControl" sheetId="1" state="visible" r:id="rId1"/>
    <sheet xmlns:r="http://schemas.openxmlformats.org/officeDocument/2006/relationships" name="ReadMe" sheetId="2" state="visible" r:id="rId2"/>
    <sheet xmlns:r="http://schemas.openxmlformats.org/officeDocument/2006/relationships" name="PrjSch" sheetId="3" state="visible" r:id="rId3"/>
    <sheet xmlns:r="http://schemas.openxmlformats.org/officeDocument/2006/relationships" name="AmendmentIndex" sheetId="4" state="hidden" r:id="rId4"/>
    <sheet xmlns:r="http://schemas.openxmlformats.org/officeDocument/2006/relationships" name="@LeadT_Setting" sheetId="5" state="hidden" r:id="rId5"/>
  </sheets>
  <externalReferences>
    <externalReference xmlns:r="http://schemas.openxmlformats.org/officeDocument/2006/relationships" r:id="rId6"/>
  </externalReferences>
  <definedNames>
    <definedName name="ActualPeriod">IF(AND(PrjSch!$X1&lt;&gt;"",PrjSch!$Y1&lt;&gt;""),PrjSch!$Y1-PrjSch!$X1+1,0)</definedName>
    <definedName name="ClearEditableEntries">PrjSch!$D$1,PrjSch!$D$2,PrjSch!$D$3,PrjSch!$I$1,PrjSch!$I$3,PrjSch!$I$2,PrjSch!#REF!,PrjSch!$D$9,PrjSch!$D$10,PrjSch!$D$11,PrjSch!$D$12,PrjSch!$D$13,PrjSch!$D$14,PrjSch!$D$17,PrjSch!$D$18,PrjSch!$D$25,PrjSch!$D$20,PrjSch!#REF!,PrjSch!#REF!,PrjSch!$C$29,PrjSch!$C$30,PrjSch!$C$33,PrjSch!$C$34,PrjSch!#REF!,PrjSch!#REF!,PrjSch!#REF!,PrjSch!#REF!,PrjSch!#REF!,PrjSch!$J$9:$Q$55,PrjSch!$S$9:$S$13,PrjSch!$S$16:$S$17,PrjSch!$S$22:$S$25,PrjSch!$S$27:$S$41,PrjSch!$S$46:$S$55,PrjSch!$U$12:$U$23,PrjSch!$U$31,PrjSch!$U$35:$U$52,PrjSch!$U$54,PrjSch!$X$9:$Z$55,PrjSch!$AD$9:$AF$55,PrjSch!$AF$1:$AF$6,PrjSch!$AG$9:$AK$9,PrjSch!$S$3:$S$4,PrjSch!$AI$13:$AI$19,PrjSch!$AI$22</definedName>
    <definedName name="Grade">PrjSch!$B$48:$B$51</definedName>
    <definedName name="LukUp_Efforts">'@LeadT_Setting'!$CZ$8:$DG$13</definedName>
    <definedName name="Mfg_DelayCode">'@LeadT_Setting'!$DS$6:$DS$29</definedName>
    <definedName name="Mfg_LOC">'@LeadT_Setting'!$AM$6:$AM$9</definedName>
    <definedName name="NS_HW">'@LeadT_Setting'!$AJ$16</definedName>
    <definedName name="NS_MF">'@LeadT_Setting'!$AL$16</definedName>
    <definedName name="NS_SW">'@LeadT_Setting'!$AK$16</definedName>
    <definedName name="PackgingType">'@LeadT_Setting'!$AM$12:$AM$20</definedName>
    <definedName name="PanelTyp">PrjSch!$C$18:$C$24</definedName>
    <definedName name="Payment_Status">'@LeadT_Setting'!$AL$6:$AL$10</definedName>
    <definedName name="PlanPeriod">PrjSch!$W1-PrjSch!$V1+1</definedName>
    <definedName name="ActualPeriod" localSheetId="0">IF(AND([1]PrjSch!$X1&lt;&gt;"",[1]PrjSch!$Y1&lt;&gt;""),[1]PrjSch!$Y1-[1]PrjSch!$X1+1,0)</definedName>
    <definedName name="ClearEditableEntries" localSheetId="0">[1]PrjSch!$D$1,[1]PrjSch!$D$2,[1]PrjSch!$D$3,[1]PrjSch!$I$1,[1]PrjSch!$I$3,[1]PrjSch!$I$2,[1]PrjSch!$D$9,[1]PrjSch!$D$10,[1]PrjSch!$D$11,[1]PrjSch!$D$12,[1]PrjSch!$D$13,[1]PrjSch!$D$14,[1]PrjSch!$D$15,[1]PrjSch!$D$17,[1]PrjSch!$D$18,[1]PrjSch!$D$19,[1]PrjSch!$D$20,[1]PrjSch!$C$23,[1]PrjSch!$C$24,[1]PrjSch!$C$25,[1]PrjSch!$C$26,[1]PrjSch!$C$28,[1]PrjSch!$C$29,[1]PrjSch!$C$30,[1]PrjSch!$C$31,[1]PrjSch!$C$32,[1]PrjSch!$C$33,[1]PrjSch!$C$34,[1]PrjSch!$J$9:$Q$55,[1]PrjSch!$S$9:$S$13,[1]PrjSch!$S$16:$S$17,[1]PrjSch!$S$22:$S$25,[1]PrjSch!$S$27:$S$41,[1]PrjSch!$S$46:$S$55,[1]PrjSch!$U$12:$U$23,[1]PrjSch!$U$31,[1]PrjSch!$U$35:$U$52,[1]PrjSch!$U$54,[1]PrjSch!$X$9:$Z$55,[1]PrjSch!$AD$9:$AF$55,[1]PrjSch!$AF$1:$AF$6,[1]PrjSch!$AG$9:$AK$9,[1]PrjSch!$S$3:$S$4,[1]PrjSch!$AI$13:$AI$19,[1]PrjSch!$AI$22</definedName>
    <definedName name="Mfg_LOC" localSheetId="0">'[1]@LeadT_Setting'!$Y$6:$Y$9</definedName>
    <definedName name="NS_HW" localSheetId="0">'[1]@LeadT_Setting'!$V$16</definedName>
    <definedName name="NS_MF" localSheetId="0">'[1]@LeadT_Setting'!$X$16</definedName>
    <definedName name="NS_SW" localSheetId="0">'[1]@LeadT_Setting'!$W$16</definedName>
    <definedName name="PlanPeriod" localSheetId="0">[1]PrjSch!$W1-[1]PrjSch!$V1+1</definedName>
    <definedName name="_xlnm._FilterDatabase" localSheetId="2" hidden="1">'PrjSch'!$A$8:$CX$56</definedName>
    <definedName name="_xlnm.Print_Titles" localSheetId="2">'PrjSch'!$F:$I</definedName>
    <definedName name="_xlnm.Print_Area" localSheetId="2">'PrjSch'!$B$6:$CU$55</definedName>
    <definedName name="_xlnm._FilterDatabase" localSheetId="4" hidden="1">'@LeadT_Setting'!$A$5:$DT$43</definedName>
  </definedNames>
  <calcPr calcId="191029" fullCalcOnLoad="1"/>
</workbook>
</file>

<file path=xl/styles.xml><?xml version="1.0" encoding="utf-8"?>
<styleSheet xmlns="http://schemas.openxmlformats.org/spreadsheetml/2006/main">
  <numFmts count="15">
    <numFmt numFmtId="164" formatCode="m/dd/yy"/>
    <numFmt numFmtId="165" formatCode="00"/>
    <numFmt numFmtId="166" formatCode="[$-409]d\-mmm;@"/>
    <numFmt numFmtId="167" formatCode="[$-409]d\-mmm\-yy;@"/>
    <numFmt numFmtId="168" formatCode="0.0"/>
    <numFmt numFmtId="169" formatCode="&quot; $&quot;#,##0.00\ ;&quot; $(&quot;#,##0.00\);&quot; $-&quot;#\ ;@\ "/>
    <numFmt numFmtId="170" formatCode="#,##0&quot;    &quot;;\-#,##0&quot;    &quot;;&quot; -    &quot;;@\ "/>
    <numFmt numFmtId="171" formatCode="#,##0.00&quot;    &quot;;\-#,##0.00&quot;    &quot;;&quot; -&quot;#&quot;    &quot;;@\ "/>
    <numFmt numFmtId="172" formatCode="0.00\ "/>
    <numFmt numFmtId="173" formatCode="#,##0\ ;\-#,##0\ ;&quot; - &quot;;@\ "/>
    <numFmt numFmtId="174" formatCode="#,##0.00\ ;\-#,##0.00\ ;&quot; -&quot;#\ ;@\ "/>
    <numFmt numFmtId="175" formatCode="#,##0.00&quot; € &quot;;\-#,##0.00&quot; € &quot;;&quot; -&quot;#&quot; € &quot;;@\ "/>
    <numFmt numFmtId="176" formatCode="&quot; £&quot;#,##0\ ;&quot;-£&quot;#,##0\ ;&quot; £- &quot;;@\ "/>
    <numFmt numFmtId="177" formatCode="&quot; £&quot;#,##0.00\ ;&quot;-£&quot;#,##0.00\ ;&quot; £-&quot;#\ ;@\ "/>
    <numFmt numFmtId="178" formatCode="#,##0&quot; € &quot;;\-#,##0&quot; € &quot;;&quot; - € &quot;;@\ "/>
  </numFmts>
  <fonts count="138">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sz val="10"/>
      <scheme val="minor"/>
    </font>
    <font>
      <name val="Calibri"/>
      <family val="2"/>
      <color theme="1"/>
      <sz val="10"/>
    </font>
    <font>
      <name val="Calibri"/>
      <family val="2"/>
      <color theme="1"/>
      <sz val="10"/>
      <scheme val="minor"/>
    </font>
    <font>
      <name val="Calibri"/>
      <family val="2"/>
      <color theme="1"/>
      <sz val="11"/>
    </font>
    <font>
      <name val="Calibri"/>
      <family val="2"/>
      <color rgb="FFFF0000"/>
      <sz val="11"/>
      <scheme val="minor"/>
    </font>
    <font>
      <name val="Calibri"/>
      <family val="2"/>
      <b val="1"/>
      <color theme="1"/>
      <sz val="11"/>
      <scheme val="minor"/>
    </font>
    <font>
      <name val="Calibri"/>
      <family val="2"/>
      <b val="1"/>
      <color rgb="FF92D050"/>
      <sz val="10"/>
      <scheme val="minor"/>
    </font>
    <font>
      <name val="Calibri"/>
      <family val="2"/>
      <b val="1"/>
      <color rgb="FF92D050"/>
      <sz val="14"/>
      <scheme val="minor"/>
    </font>
    <font>
      <name val="Calibri"/>
      <family val="2"/>
      <color theme="1"/>
      <sz val="11"/>
      <u val="single"/>
      <scheme val="minor"/>
    </font>
    <font>
      <name val="Calibri"/>
      <family val="2"/>
      <color rgb="FFFF0000"/>
      <sz val="10"/>
      <scheme val="minor"/>
    </font>
    <font>
      <name val="Calibri"/>
      <family val="2"/>
      <color rgb="FFFF0000"/>
      <sz val="14"/>
      <scheme val="minor"/>
    </font>
    <font>
      <name val="Calibri"/>
      <family val="2"/>
      <color theme="0" tint="-0.0499893185216834"/>
      <sz val="11"/>
      <scheme val="minor"/>
    </font>
    <font>
      <name val="Calibri"/>
      <family val="2"/>
      <b val="1"/>
      <sz val="11"/>
      <scheme val="minor"/>
    </font>
    <font>
      <name val="Calibri"/>
      <family val="2"/>
      <sz val="11"/>
      <scheme val="minor"/>
    </font>
    <font>
      <name val="Calibri"/>
      <family val="2"/>
      <color theme="0" tint="-0.1499679555650502"/>
      <sz val="11"/>
      <scheme val="minor"/>
    </font>
    <font>
      <name val="Calibri"/>
      <family val="2"/>
      <b val="1"/>
      <color theme="1"/>
      <sz val="18"/>
      <scheme val="minor"/>
    </font>
    <font>
      <name val="Calibri"/>
      <family val="2"/>
      <color theme="1"/>
      <sz val="8"/>
      <scheme val="minor"/>
    </font>
    <font>
      <name val="Calibri"/>
      <family val="2"/>
      <b val="1"/>
      <sz val="10"/>
      <scheme val="minor"/>
    </font>
    <font>
      <name val="Calibri"/>
      <family val="2"/>
      <color theme="1"/>
      <sz val="12"/>
      <scheme val="minor"/>
    </font>
    <font>
      <name val="David"/>
      <charset val="177"/>
      <family val="2"/>
      <color theme="1"/>
      <sz val="7"/>
    </font>
    <font>
      <name val="Calibri"/>
      <family val="2"/>
      <color theme="1"/>
      <sz val="7"/>
      <scheme val="minor"/>
    </font>
    <font>
      <name val="Calibri"/>
      <family val="2"/>
      <color indexed="62"/>
      <sz val="11"/>
    </font>
    <font>
      <name val="Arial"/>
      <family val="2"/>
      <sz val="10"/>
    </font>
    <font>
      <name val="Calibri"/>
      <family val="2"/>
      <b val="1"/>
      <color indexed="52"/>
      <sz val="11"/>
    </font>
    <font>
      <name val="Calibri"/>
      <family val="2"/>
      <b val="1"/>
      <color indexed="63"/>
      <sz val="11"/>
    </font>
    <font>
      <name val="Calibri"/>
      <family val="2"/>
      <b val="1"/>
      <color indexed="8"/>
      <sz val="11"/>
    </font>
    <font>
      <name val="Calibri"/>
      <family val="2"/>
      <color indexed="8"/>
      <sz val="11"/>
    </font>
    <font>
      <name val="Mangal"/>
      <family val="1"/>
      <color indexed="8"/>
      <sz val="11"/>
    </font>
    <font>
      <name val="Calibri"/>
      <family val="2"/>
      <b val="1"/>
      <color indexed="56"/>
      <sz val="11"/>
    </font>
    <font>
      <name val="Calibri"/>
      <family val="2"/>
      <color indexed="9"/>
      <sz val="11"/>
    </font>
    <font>
      <name val="Calibri"/>
      <family val="2"/>
      <color indexed="63"/>
      <sz val="11"/>
    </font>
    <font>
      <name val="Mangal"/>
      <family val="1"/>
      <color indexed="9"/>
      <sz val="11"/>
    </font>
    <font>
      <name val="Calibri"/>
      <family val="2"/>
      <color indexed="17"/>
      <sz val="11"/>
    </font>
    <font>
      <name val="Calibri"/>
      <family val="2"/>
      <b val="1"/>
      <color indexed="19"/>
      <sz val="11"/>
    </font>
    <font>
      <name val="Calibri"/>
      <family val="2"/>
      <color indexed="19"/>
      <sz val="11"/>
    </font>
    <font>
      <name val="Calibri"/>
      <family val="2"/>
      <color indexed="20"/>
      <sz val="11"/>
    </font>
    <font>
      <name val="Calibri"/>
      <family val="2"/>
      <b val="1"/>
      <color indexed="62"/>
      <sz val="11"/>
    </font>
    <font>
      <name val="Arial"/>
      <family val="2"/>
      <sz val="8"/>
    </font>
    <font>
      <name val="Cambria"/>
      <family val="1"/>
      <b val="1"/>
      <color indexed="56"/>
      <sz val="18"/>
    </font>
    <font>
      <name val="Calibri"/>
      <family val="2"/>
      <b val="1"/>
      <color indexed="56"/>
      <sz val="13"/>
    </font>
    <font>
      <name val="Cambria"/>
      <family val="1"/>
      <b val="1"/>
      <color indexed="62"/>
      <sz val="18"/>
    </font>
    <font>
      <name val="Calibri"/>
      <family val="2"/>
      <b val="1"/>
      <color indexed="62"/>
      <sz val="13"/>
    </font>
    <font>
      <name val="Calibri"/>
      <family val="2"/>
      <i val="1"/>
      <color indexed="23"/>
      <sz val="11"/>
    </font>
    <font>
      <name val="Calibri"/>
      <family val="2"/>
      <color indexed="16"/>
      <sz val="11"/>
    </font>
    <font>
      <name val="Calibri"/>
      <family val="2"/>
      <b val="1"/>
      <color indexed="62"/>
      <sz val="15"/>
    </font>
    <font>
      <name val="Calibri"/>
      <family val="2"/>
      <b val="1"/>
      <color indexed="56"/>
      <sz val="15"/>
    </font>
    <font>
      <name val="Times New Roman"/>
      <family val="1"/>
      <sz val="12"/>
    </font>
    <font>
      <name val="Mangal"/>
      <family val="1"/>
      <b val="1"/>
      <color indexed="56"/>
      <sz val="18"/>
    </font>
    <font>
      <name val="Calibri"/>
      <family val="2"/>
      <color indexed="52"/>
      <sz val="11"/>
    </font>
    <font>
      <name val="Calibri"/>
      <family val="2"/>
      <color indexed="53"/>
      <sz val="11"/>
    </font>
    <font>
      <name val="Calibri"/>
      <family val="2"/>
      <color indexed="60"/>
      <sz val="11"/>
    </font>
    <font>
      <name val="Arial"/>
      <family val="2"/>
      <b val="1"/>
      <i val="1"/>
      <sz val="16"/>
    </font>
    <font>
      <name val="Arial"/>
      <family val="2"/>
      <sz val="11"/>
    </font>
    <font>
      <name val="Calibri"/>
      <family val="2"/>
      <color indexed="10"/>
      <sz val="11"/>
    </font>
    <font>
      <name val="Geneva"/>
      <charset val="134"/>
      <sz val="10"/>
    </font>
    <font>
      <name val="Mangal"/>
      <family val="1"/>
      <i val="1"/>
      <color indexed="23"/>
      <sz val="11"/>
    </font>
    <font>
      <name val="Verdana"/>
      <family val="2"/>
      <color indexed="8"/>
      <sz val="10"/>
    </font>
    <font>
      <name val="Calibri"/>
      <family val="2"/>
      <b val="1"/>
      <color indexed="53"/>
      <sz val="11"/>
    </font>
    <font>
      <name val="Calibri"/>
      <family val="2"/>
      <b val="1"/>
      <color indexed="9"/>
      <sz val="11"/>
    </font>
    <font>
      <name val="Arial"/>
      <family val="2"/>
      <b val="1"/>
      <sz val="12"/>
    </font>
    <font>
      <name val="Arial"/>
      <family val="2"/>
      <color indexed="12"/>
      <sz val="10"/>
      <u val="single"/>
    </font>
    <font>
      <name val="Calibri"/>
      <family val="2"/>
      <b val="1"/>
      <color rgb="FFFF0000"/>
      <sz val="11"/>
    </font>
    <font>
      <name val="Calibri"/>
      <family val="2"/>
      <b val="1"/>
      <color theme="1"/>
      <sz val="11"/>
    </font>
    <font>
      <name val="Calibri"/>
      <family val="2"/>
      <b val="1"/>
      <sz val="11"/>
    </font>
    <font>
      <name val="Calibri"/>
      <family val="2"/>
      <color theme="1"/>
      <sz val="11"/>
      <scheme val="minor"/>
    </font>
    <font>
      <name val="Tahoma"/>
      <family val="2"/>
      <b val="1"/>
      <sz val="8"/>
    </font>
    <font>
      <name val="Tahoma"/>
      <family val="2"/>
      <sz val="8"/>
    </font>
    <font>
      <name val="Tahoma"/>
      <family val="2"/>
      <b val="1"/>
      <sz val="9"/>
    </font>
    <font>
      <name val="Calibri"/>
      <family val="2"/>
      <color theme="1"/>
      <sz val="11"/>
      <scheme val="minor"/>
    </font>
    <font>
      <name val="Calibri"/>
      <family val="2"/>
      <color theme="0"/>
      <sz val="11"/>
      <scheme val="minor"/>
    </font>
    <font>
      <name val="Tahoma"/>
      <family val="2"/>
      <b val="1"/>
      <color indexed="81"/>
      <sz val="9"/>
    </font>
    <font>
      <name val="Calibri"/>
      <family val="2"/>
      <color theme="0" tint="-0.499984740745262"/>
      <sz val="10"/>
      <scheme val="minor"/>
    </font>
    <font>
      <name val="Calibri"/>
      <family val="2"/>
      <b val="1"/>
      <i val="1"/>
      <color theme="1"/>
      <sz val="11"/>
      <u val="single"/>
      <scheme val="minor"/>
    </font>
    <font>
      <name val="Calibri"/>
      <family val="2"/>
      <b val="1"/>
      <color theme="1"/>
      <sz val="10"/>
      <scheme val="minor"/>
    </font>
    <font>
      <name val="Times New Roman"/>
      <family val="1"/>
      <color theme="1"/>
      <sz val="8"/>
    </font>
    <font>
      <name val="Times New Roman"/>
      <family val="1"/>
      <color theme="0" tint="-0.0499893185216834"/>
      <sz val="8"/>
    </font>
    <font>
      <name val="Times New Roman"/>
      <family val="1"/>
      <b val="1"/>
      <color theme="1"/>
      <sz val="8"/>
    </font>
    <font>
      <name val="Times New Roman"/>
      <family val="1"/>
      <b val="1"/>
      <color theme="1"/>
      <sz val="10"/>
    </font>
    <font>
      <name val="Calibri"/>
      <family val="2"/>
      <b val="1"/>
      <color theme="0"/>
      <sz val="11"/>
      <scheme val="minor"/>
    </font>
    <font>
      <name val="Calibri"/>
      <family val="2"/>
      <b val="1"/>
      <color rgb="FF002060"/>
      <sz val="11"/>
      <scheme val="minor"/>
    </font>
    <font>
      <name val="Calibri"/>
      <family val="2"/>
      <b val="1"/>
      <color theme="3" tint="0.7999816888943144"/>
      <sz val="11"/>
      <u val="single"/>
      <scheme val="minor"/>
    </font>
    <font>
      <name val="Calibri"/>
      <family val="2"/>
      <color theme="3" tint="0.7999816888943144"/>
      <sz val="11"/>
      <u val="single"/>
      <scheme val="minor"/>
    </font>
    <font>
      <name val="Arial"/>
      <family val="2"/>
      <b val="1"/>
      <sz val="10"/>
    </font>
    <font>
      <name val="Calibri"/>
      <family val="2"/>
      <sz val="8"/>
      <scheme val="minor"/>
    </font>
    <font>
      <name val="Calibri"/>
      <family val="2"/>
      <color theme="0" tint="-0.0499893185216834"/>
      <sz val="8"/>
      <scheme val="minor"/>
    </font>
    <font>
      <name val="Calibri"/>
      <family val="2"/>
      <color theme="0" tint="-0.0499893185216834"/>
      <sz val="7"/>
      <scheme val="minor"/>
    </font>
    <font>
      <name val="Calibri"/>
      <family val="2"/>
      <color theme="1"/>
      <sz val="9"/>
      <scheme val="minor"/>
    </font>
    <font>
      <name val="Calibri"/>
      <family val="2"/>
      <b val="1"/>
      <color theme="1"/>
      <sz val="9"/>
      <scheme val="minor"/>
    </font>
    <font>
      <name val="Calibri"/>
      <family val="2"/>
      <color theme="0" tint="-0.1499984740745262"/>
      <sz val="12"/>
      <scheme val="minor"/>
    </font>
    <font>
      <name val="Times New Roman"/>
      <family val="1"/>
      <b val="1"/>
      <color theme="1"/>
      <sz val="12"/>
      <u val="single"/>
    </font>
    <font>
      <name val="Times New Roman"/>
      <family val="1"/>
      <color theme="1"/>
      <sz val="9"/>
    </font>
    <font>
      <name val="Calibri"/>
      <family val="2"/>
      <b val="1"/>
      <color rgb="FFFF0000"/>
      <sz val="11"/>
      <scheme val="minor"/>
    </font>
    <font>
      <name val="Arial"/>
      <family val="2"/>
      <b val="1"/>
      <i val="1"/>
      <color theme="1"/>
      <sz val="10"/>
    </font>
    <font>
      <name val="Calibri"/>
      <family val="2"/>
      <color theme="0" tint="-0.1499984740745262"/>
      <sz val="10"/>
      <scheme val="minor"/>
    </font>
  </fonts>
  <fills count="68">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theme="9" tint="0.7999511703848384"/>
        <bgColor indexed="64"/>
      </patternFill>
    </fill>
    <fill>
      <patternFill patternType="solid">
        <fgColor theme="0" tint="-0.0499893185216834"/>
        <bgColor indexed="64"/>
      </patternFill>
    </fill>
    <fill>
      <patternFill patternType="solid">
        <fgColor theme="3" tint="0.5999938962981048"/>
        <bgColor indexed="64"/>
      </patternFill>
    </fill>
    <fill>
      <patternFill patternType="solid">
        <fgColor theme="2" tint="-0.09997863704336681"/>
        <bgColor indexed="64"/>
      </patternFill>
    </fill>
    <fill>
      <patternFill patternType="solid">
        <fgColor theme="0" tint="-0.1499374370555742"/>
        <bgColor indexed="64"/>
      </patternFill>
    </fill>
    <fill>
      <patternFill patternType="solid">
        <fgColor theme="0"/>
        <bgColor indexed="64"/>
      </patternFill>
    </fill>
    <fill>
      <patternFill patternType="solid">
        <fgColor indexed="47"/>
        <bgColor indexed="22"/>
      </patternFill>
    </fill>
    <fill>
      <patternFill patternType="solid">
        <fgColor indexed="26"/>
        <bgColor indexed="9"/>
      </patternFill>
    </fill>
    <fill>
      <patternFill patternType="solid">
        <fgColor indexed="22"/>
        <bgColor indexed="31"/>
      </patternFill>
    </fill>
    <fill>
      <patternFill patternType="solid">
        <fgColor indexed="31"/>
        <bgColor indexed="22"/>
      </patternFill>
    </fill>
    <fill>
      <patternFill patternType="solid">
        <fgColor indexed="31"/>
        <bgColor indexed="41"/>
      </patternFill>
    </fill>
    <fill>
      <patternFill patternType="solid">
        <fgColor indexed="42"/>
        <bgColor indexed="27"/>
      </patternFill>
    </fill>
    <fill>
      <patternFill patternType="solid">
        <fgColor indexed="53"/>
        <bgColor indexed="52"/>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20"/>
        <bgColor indexed="36"/>
      </patternFill>
    </fill>
    <fill>
      <patternFill patternType="solid">
        <fgColor indexed="51"/>
        <bgColor indexed="13"/>
      </patternFill>
    </fill>
    <fill>
      <patternFill patternType="solid">
        <fgColor indexed="44"/>
        <bgColor indexed="31"/>
      </patternFill>
    </fill>
    <fill>
      <patternFill patternType="solid">
        <fgColor indexed="27"/>
        <bgColor indexed="42"/>
      </patternFill>
    </fill>
    <fill>
      <patternFill patternType="solid">
        <fgColor indexed="57"/>
        <bgColor indexed="21"/>
      </patternFill>
    </fill>
    <fill>
      <patternFill patternType="solid">
        <fgColor indexed="22"/>
        <bgColor indexed="50"/>
      </patternFill>
    </fill>
    <fill>
      <patternFill patternType="solid">
        <fgColor indexed="47"/>
        <bgColor indexed="41"/>
      </patternFill>
    </fill>
    <fill>
      <patternFill patternType="solid">
        <fgColor indexed="30"/>
        <bgColor indexed="21"/>
      </patternFill>
    </fill>
    <fill>
      <patternFill patternType="solid">
        <fgColor indexed="45"/>
        <bgColor indexed="29"/>
      </patternFill>
    </fill>
    <fill>
      <patternFill patternType="solid">
        <fgColor indexed="29"/>
        <bgColor indexed="61"/>
      </patternFill>
    </fill>
    <fill>
      <patternFill patternType="solid">
        <fgColor indexed="27"/>
        <bgColor indexed="41"/>
      </patternFill>
    </fill>
    <fill>
      <patternFill patternType="solid">
        <fgColor indexed="46"/>
        <bgColor indexed="24"/>
      </patternFill>
    </fill>
    <fill>
      <patternFill patternType="solid">
        <fgColor indexed="52"/>
        <bgColor indexed="51"/>
      </patternFill>
    </fill>
    <fill>
      <patternFill patternType="solid">
        <fgColor indexed="9"/>
        <bgColor indexed="26"/>
      </patternFill>
    </fill>
    <fill>
      <patternFill patternType="solid">
        <fgColor indexed="53"/>
        <bgColor indexed="61"/>
      </patternFill>
    </fill>
    <fill>
      <patternFill patternType="solid">
        <fgColor indexed="52"/>
        <bgColor indexed="61"/>
      </patternFill>
    </fill>
    <fill>
      <patternFill patternType="solid">
        <fgColor indexed="10"/>
        <bgColor indexed="60"/>
      </patternFill>
    </fill>
    <fill>
      <patternFill patternType="solid">
        <fgColor indexed="49"/>
        <bgColor indexed="40"/>
      </patternFill>
    </fill>
    <fill>
      <patternFill patternType="solid">
        <fgColor indexed="55"/>
        <bgColor indexed="23"/>
      </patternFill>
    </fill>
    <fill>
      <patternFill patternType="solid">
        <fgColor indexed="62"/>
        <bgColor indexed="56"/>
      </patternFill>
    </fill>
    <fill>
      <patternFill patternType="solid">
        <fgColor indexed="54"/>
        <bgColor indexed="23"/>
      </patternFill>
    </fill>
    <fill>
      <patternFill patternType="solid">
        <fgColor indexed="50"/>
        <bgColor indexed="22"/>
      </patternFill>
    </fill>
    <fill>
      <patternFill patternType="solid">
        <fgColor indexed="24"/>
        <bgColor indexed="46"/>
      </patternFill>
    </fill>
    <fill>
      <patternFill patternType="solid">
        <fgColor indexed="50"/>
        <bgColor indexed="51"/>
      </patternFill>
    </fill>
    <fill>
      <patternFill patternType="solid">
        <fgColor indexed="61"/>
        <bgColor indexed="52"/>
      </patternFill>
    </fill>
    <fill>
      <patternFill patternType="solid">
        <fgColor indexed="25"/>
        <bgColor indexed="60"/>
      </patternFill>
    </fill>
    <fill>
      <patternFill patternType="solid">
        <fgColor indexed="25"/>
        <bgColor indexed="61"/>
      </patternFill>
    </fill>
    <fill>
      <patternFill patternType="solid">
        <fgColor indexed="41"/>
        <bgColor indexed="31"/>
      </patternFill>
    </fill>
    <fill>
      <patternFill patternType="solid">
        <fgColor theme="0" tint="-0.1499984740745262"/>
        <bgColor indexed="64"/>
      </patternFill>
    </fill>
    <fill>
      <patternFill patternType="solid">
        <fgColor theme="5"/>
        <bgColor indexed="64"/>
      </patternFill>
    </fill>
    <fill>
      <patternFill patternType="solid">
        <fgColor rgb="FF92D050"/>
        <bgColor indexed="64"/>
      </patternFill>
    </fill>
    <fill>
      <patternFill patternType="solid">
        <fgColor theme="2"/>
        <bgColor indexed="64"/>
      </patternFill>
    </fill>
    <fill>
      <patternFill patternType="solid">
        <fgColor theme="4" tint="0.3999755851924192"/>
        <bgColor indexed="64"/>
      </patternFill>
    </fill>
    <fill>
      <patternFill patternType="solid">
        <fgColor theme="9" tint="-0.249977111117893"/>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9"/>
        <bgColor indexed="64"/>
      </patternFill>
    </fill>
    <fill>
      <patternFill patternType="solid">
        <fgColor theme="0" tint="-0.249977111117893"/>
        <bgColor indexed="64"/>
      </patternFill>
    </fill>
    <fill>
      <patternFill patternType="solid">
        <fgColor theme="4" tint="0.5999938962981048"/>
        <bgColor indexed="64"/>
      </patternFill>
    </fill>
    <fill>
      <patternFill patternType="solid">
        <fgColor theme="8" tint="0.7999816888943144"/>
        <bgColor indexed="64"/>
      </patternFill>
    </fill>
    <fill>
      <patternFill patternType="darkUp">
        <fgColor theme="0" tint="-0.3499862666707358"/>
        <bgColor theme="0" tint="-0.0499893185216834"/>
      </patternFill>
    </fill>
    <fill>
      <patternFill patternType="lightUp">
        <fgColor theme="0" tint="-0.499984740745262"/>
        <bgColor theme="0" tint="-0.0499893185216834"/>
      </patternFill>
    </fill>
    <fill>
      <patternFill patternType="solid">
        <fgColor theme="1"/>
        <bgColor indexed="64"/>
      </patternFill>
    </fill>
    <fill>
      <patternFill patternType="solid">
        <fgColor theme="1" tint="0.499984740745262"/>
        <bgColor indexed="64"/>
      </patternFill>
    </fill>
    <fill>
      <patternFill patternType="solid">
        <fgColor theme="9" tint="0.7998901333658864"/>
        <bgColor indexed="64"/>
      </patternFill>
    </fill>
    <fill>
      <patternFill patternType="solid">
        <fgColor theme="3" tint="0.7999816888943144"/>
        <bgColor indexed="64"/>
      </patternFill>
    </fill>
    <fill>
      <patternFill patternType="solid">
        <fgColor rgb="FFFFFF00"/>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double">
        <color indexed="29"/>
      </bottom>
      <diagonal/>
    </border>
    <border>
      <left/>
      <right/>
      <top/>
      <bottom style="medium">
        <color indexed="27"/>
      </bottom>
      <diagonal/>
    </border>
    <border>
      <left/>
      <right/>
      <top/>
      <bottom style="thick">
        <color indexed="22"/>
      </bottom>
      <diagonal/>
    </border>
    <border>
      <left/>
      <right/>
      <top/>
      <bottom style="thick">
        <color indexed="44"/>
      </bottom>
      <diagonal/>
    </border>
    <border>
      <left/>
      <right/>
      <top/>
      <bottom style="thick">
        <color indexed="30"/>
      </bottom>
      <diagonal/>
    </border>
    <border>
      <left/>
      <right/>
      <top/>
      <bottom style="thick">
        <color indexed="62"/>
      </bottom>
      <diagonal/>
    </border>
    <border>
      <left/>
      <right/>
      <top style="thin">
        <color indexed="30"/>
      </top>
      <bottom style="double">
        <color indexed="30"/>
      </bottom>
      <diagonal/>
    </border>
    <border>
      <left/>
      <right/>
      <top/>
      <bottom style="double">
        <color indexed="52"/>
      </bottom>
      <diagonal/>
    </border>
    <border>
      <left/>
      <right/>
      <top/>
      <bottom style="double">
        <color indexed="5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rgb="FFFFFF00"/>
      </left>
      <right style="medium">
        <color rgb="FFFFFF00"/>
      </right>
      <top style="medium">
        <color rgb="FFFFFF00"/>
      </top>
      <bottom style="medium">
        <color rgb="FFFFFF00"/>
      </bottom>
      <diagonal/>
    </border>
    <border>
      <left style="medium">
        <color indexed="64"/>
      </left>
      <right style="medium">
        <color indexed="64"/>
      </right>
      <top style="medium">
        <color indexed="64"/>
      </top>
      <bottom style="medium">
        <color indexed="64"/>
      </bottom>
      <diagonal/>
    </border>
    <border>
      <left/>
      <right style="hair">
        <color auto="1"/>
      </right>
      <top/>
      <bottom/>
      <diagonal/>
    </border>
    <border>
      <left style="hair">
        <color auto="1"/>
      </left>
      <right/>
      <top/>
      <bottom/>
      <diagonal/>
    </border>
    <border>
      <left/>
      <right/>
      <top style="thin">
        <color theme="9"/>
      </top>
      <bottom style="thin">
        <color theme="9"/>
      </bottom>
      <diagonal/>
    </border>
    <border>
      <left style="thin">
        <color theme="8" tint="-0.249946592608417"/>
      </left>
      <right style="thin">
        <color theme="8" tint="-0.249946592608417"/>
      </right>
      <top/>
      <bottom style="thin">
        <color theme="9"/>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hair">
        <color auto="1"/>
      </bottom>
      <diagonal/>
    </border>
    <border>
      <left style="thin">
        <color auto="1"/>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auto="1"/>
      </top>
      <bottom/>
      <diagonal/>
    </border>
    <border>
      <left/>
      <right style="thin">
        <color auto="1"/>
      </right>
      <top style="hair">
        <color auto="1"/>
      </top>
      <bottom/>
      <diagonal/>
    </border>
    <border>
      <left/>
      <right style="thin">
        <color auto="1"/>
      </right>
      <top style="hair">
        <color auto="1"/>
      </top>
      <bottom style="hair">
        <color auto="1"/>
      </bottom>
      <diagonal/>
    </border>
    <border>
      <left/>
      <right style="hair">
        <color auto="1"/>
      </right>
      <top style="hair">
        <color auto="1"/>
      </top>
      <bottom/>
      <diagonal/>
    </border>
  </borders>
  <cellStyleXfs count="39120">
    <xf numFmtId="0" fontId="0" fillId="0" borderId="0"/>
    <xf numFmtId="0" fontId="67" fillId="12" borderId="20"/>
    <xf numFmtId="0" fontId="68" fillId="12" borderId="22"/>
    <xf numFmtId="0" fontId="73" fillId="24" borderId="0"/>
    <xf numFmtId="0" fontId="66" fillId="11" borderId="21"/>
    <xf numFmtId="0" fontId="69" fillId="0" borderId="23"/>
    <xf numFmtId="0" fontId="70" fillId="15" borderId="0"/>
    <xf numFmtId="0" fontId="65" fillId="10" borderId="20"/>
    <xf numFmtId="0" fontId="70" fillId="14" borderId="0"/>
    <xf numFmtId="0" fontId="66" fillId="11" borderId="21"/>
    <xf numFmtId="0" fontId="65" fillId="10" borderId="20"/>
    <xf numFmtId="0" fontId="67" fillId="12" borderId="20"/>
    <xf numFmtId="0" fontId="70" fillId="11" borderId="21"/>
    <xf numFmtId="0" fontId="65" fillId="10" borderId="20"/>
    <xf numFmtId="0" fontId="65" fillId="10"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70" fillId="10" borderId="0"/>
    <xf numFmtId="0" fontId="68" fillId="12" borderId="22"/>
    <xf numFmtId="0" fontId="69" fillId="0" borderId="23"/>
    <xf numFmtId="0" fontId="67" fillId="12" borderId="20"/>
    <xf numFmtId="0" fontId="71" fillId="19" borderId="0"/>
    <xf numFmtId="0" fontId="67" fillId="12" borderId="20"/>
    <xf numFmtId="0" fontId="65" fillId="10" borderId="20"/>
    <xf numFmtId="0" fontId="68" fillId="12" borderId="22"/>
    <xf numFmtId="0" fontId="71" fillId="15" borderId="0"/>
    <xf numFmtId="0" fontId="69" fillId="0" borderId="23"/>
    <xf numFmtId="0" fontId="67" fillId="12" borderId="20"/>
    <xf numFmtId="0" fontId="70" fillId="13" borderId="0"/>
    <xf numFmtId="0" fontId="67" fillId="12" borderId="20"/>
    <xf numFmtId="0" fontId="66" fillId="0" borderId="0"/>
    <xf numFmtId="0" fontId="67" fillId="12" borderId="20"/>
    <xf numFmtId="0" fontId="67" fillId="12" borderId="20"/>
    <xf numFmtId="0" fontId="65" fillId="10" borderId="20"/>
    <xf numFmtId="0" fontId="66" fillId="11" borderId="21"/>
    <xf numFmtId="0" fontId="66" fillId="11" borderId="21"/>
    <xf numFmtId="0" fontId="112" fillId="0" borderId="0"/>
    <xf numFmtId="0" fontId="67" fillId="12" borderId="20"/>
    <xf numFmtId="0" fontId="70" fillId="23" borderId="0"/>
    <xf numFmtId="0" fontId="67" fillId="12" borderId="20"/>
    <xf numFmtId="0" fontId="67" fillId="12" borderId="20"/>
    <xf numFmtId="0" fontId="67" fillId="12" borderId="20"/>
    <xf numFmtId="0" fontId="66" fillId="11" borderId="21"/>
    <xf numFmtId="0" fontId="68" fillId="12" borderId="22"/>
    <xf numFmtId="0" fontId="70" fillId="10" borderId="0"/>
    <xf numFmtId="0" fontId="68" fillId="12" borderId="22"/>
    <xf numFmtId="0" fontId="66" fillId="11" borderId="21"/>
    <xf numFmtId="0" fontId="67" fillId="12" borderId="20"/>
    <xf numFmtId="0" fontId="67" fillId="12" borderId="20"/>
    <xf numFmtId="0" fontId="65" fillId="10" borderId="20"/>
    <xf numFmtId="0" fontId="65" fillId="10" borderId="20"/>
    <xf numFmtId="0" fontId="70" fillId="15" borderId="0"/>
    <xf numFmtId="0" fontId="69" fillId="0" borderId="23"/>
    <xf numFmtId="0" fontId="67" fillId="12" borderId="20"/>
    <xf numFmtId="0" fontId="66" fillId="11" borderId="21"/>
    <xf numFmtId="0" fontId="70" fillId="10" borderId="0"/>
    <xf numFmtId="0" fontId="67" fillId="12" borderId="20"/>
    <xf numFmtId="0" fontId="73" fillId="16" borderId="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8" fillId="12" borderId="22"/>
    <xf numFmtId="0" fontId="71" fillId="15" borderId="0"/>
    <xf numFmtId="0" fontId="69" fillId="0" borderId="23"/>
    <xf numFmtId="0" fontId="67" fillId="12" borderId="20"/>
    <xf numFmtId="0" fontId="70" fillId="15" borderId="0"/>
    <xf numFmtId="0" fontId="66" fillId="11" borderId="21"/>
    <xf numFmtId="0" fontId="65" fillId="10" borderId="20"/>
    <xf numFmtId="0" fontId="68" fillId="12" borderId="22"/>
    <xf numFmtId="0" fontId="71" fillId="15" borderId="0"/>
    <xf numFmtId="0" fontId="69" fillId="0" borderId="23"/>
    <xf numFmtId="0" fontId="67" fillId="12" borderId="20"/>
    <xf numFmtId="0" fontId="70" fillId="15" borderId="0"/>
    <xf numFmtId="0" fontId="67" fillId="12" borderId="20"/>
    <xf numFmtId="0" fontId="65" fillId="10"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70" fillId="22" borderId="0"/>
    <xf numFmtId="0" fontId="66" fillId="11" borderId="21"/>
    <xf numFmtId="0" fontId="67" fillId="12" borderId="20"/>
    <xf numFmtId="0" fontId="70" fillId="23" borderId="0"/>
    <xf numFmtId="0" fontId="67" fillId="12" borderId="20"/>
    <xf numFmtId="0" fontId="73" fillId="32" borderId="0"/>
    <xf numFmtId="0" fontId="66" fillId="11" borderId="21"/>
    <xf numFmtId="0" fontId="73" fillId="27" borderId="0"/>
    <xf numFmtId="0" fontId="67" fillId="12" borderId="20"/>
    <xf numFmtId="0" fontId="70" fillId="13" borderId="0"/>
    <xf numFmtId="0" fontId="67" fillId="12" borderId="20"/>
    <xf numFmtId="0" fontId="66" fillId="11" borderId="21"/>
    <xf numFmtId="0" fontId="67" fillId="12" borderId="20"/>
    <xf numFmtId="0" fontId="70" fillId="26" borderId="0"/>
    <xf numFmtId="0" fontId="66" fillId="11" borderId="21"/>
    <xf numFmtId="0" fontId="66" fillId="11" borderId="21"/>
    <xf numFmtId="0" fontId="67" fillId="12" borderId="20"/>
    <xf numFmtId="0" fontId="65" fillId="10" borderId="20"/>
    <xf numFmtId="0" fontId="67" fillId="12" borderId="20"/>
    <xf numFmtId="0" fontId="67" fillId="12" borderId="20"/>
    <xf numFmtId="0" fontId="66" fillId="11" borderId="21"/>
    <xf numFmtId="0" fontId="68" fillId="12" borderId="22"/>
    <xf numFmtId="0" fontId="68" fillId="12" borderId="22"/>
    <xf numFmtId="0" fontId="67" fillId="12" borderId="20"/>
    <xf numFmtId="0" fontId="67" fillId="12" borderId="20"/>
    <xf numFmtId="0" fontId="71" fillId="31" borderId="0"/>
    <xf numFmtId="0" fontId="112" fillId="0" borderId="0"/>
    <xf numFmtId="0" fontId="66" fillId="11" borderId="21"/>
    <xf numFmtId="0" fontId="67" fillId="12" borderId="20"/>
    <xf numFmtId="0" fontId="65" fillId="10" borderId="20"/>
    <xf numFmtId="0" fontId="67" fillId="12" borderId="20"/>
    <xf numFmtId="0" fontId="71" fillId="21" borderId="0"/>
    <xf numFmtId="0" fontId="70" fillId="22" borderId="0"/>
    <xf numFmtId="0" fontId="66" fillId="11" borderId="21"/>
    <xf numFmtId="0" fontId="68" fillId="12" borderId="22"/>
    <xf numFmtId="0" fontId="68" fillId="12" borderId="22"/>
    <xf numFmtId="0" fontId="67" fillId="12" borderId="20"/>
    <xf numFmtId="0" fontId="70" fillId="26" borderId="0"/>
    <xf numFmtId="0" fontId="67" fillId="12" borderId="20"/>
    <xf numFmtId="0" fontId="65" fillId="10" borderId="20"/>
    <xf numFmtId="0" fontId="68" fillId="12" borderId="22"/>
    <xf numFmtId="0" fontId="66" fillId="11" borderId="21"/>
    <xf numFmtId="0" fontId="67" fillId="12" borderId="20"/>
    <xf numFmtId="0" fontId="66" fillId="11" borderId="21"/>
    <xf numFmtId="0" fontId="67" fillId="12" borderId="20"/>
    <xf numFmtId="0" fontId="67" fillId="12" borderId="20"/>
    <xf numFmtId="0" fontId="70" fillId="30" borderId="0"/>
    <xf numFmtId="0" fontId="68" fillId="12" borderId="22"/>
    <xf numFmtId="0" fontId="69" fillId="0" borderId="23"/>
    <xf numFmtId="0" fontId="67" fillId="12" borderId="20"/>
    <xf numFmtId="0" fontId="70" fillId="29" borderId="0"/>
    <xf numFmtId="0" fontId="66" fillId="11" borderId="21"/>
    <xf numFmtId="0" fontId="68" fillId="12" borderId="22"/>
    <xf numFmtId="0" fontId="66" fillId="11" borderId="21"/>
    <xf numFmtId="0" fontId="67" fillId="12" borderId="20"/>
    <xf numFmtId="0" fontId="66" fillId="11" borderId="21"/>
    <xf numFmtId="0" fontId="70" fillId="30" borderId="0"/>
    <xf numFmtId="0" fontId="68" fillId="12" borderId="22"/>
    <xf numFmtId="0" fontId="68" fillId="12" borderId="22"/>
    <xf numFmtId="0" fontId="70" fillId="11" borderId="21"/>
    <xf numFmtId="0" fontId="68" fillId="12" borderId="22"/>
    <xf numFmtId="0" fontId="68" fillId="12" borderId="22"/>
    <xf numFmtId="0" fontId="70" fillId="30" borderId="0"/>
    <xf numFmtId="0" fontId="69" fillId="0" borderId="23"/>
    <xf numFmtId="0" fontId="67" fillId="12" borderId="20"/>
    <xf numFmtId="0" fontId="65" fillId="10" borderId="20"/>
    <xf numFmtId="0" fontId="67" fillId="12" borderId="20"/>
    <xf numFmtId="0" fontId="65" fillId="10" borderId="20"/>
    <xf numFmtId="0" fontId="67" fillId="12" borderId="20"/>
    <xf numFmtId="0" fontId="66" fillId="11" borderId="21"/>
    <xf numFmtId="0" fontId="70" fillId="10" borderId="0"/>
    <xf numFmtId="0" fontId="68" fillId="12" borderId="22"/>
    <xf numFmtId="0" fontId="65" fillId="10" borderId="20"/>
    <xf numFmtId="0" fontId="67" fillId="12" borderId="20"/>
    <xf numFmtId="0" fontId="65" fillId="10" borderId="20"/>
    <xf numFmtId="0" fontId="70" fillId="14" borderId="0"/>
    <xf numFmtId="0" fontId="70" fillId="10" borderId="0"/>
    <xf numFmtId="0" fontId="68" fillId="12" borderId="22"/>
    <xf numFmtId="0" fontId="66" fillId="11" borderId="21"/>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71" fillId="14" borderId="0"/>
    <xf numFmtId="0" fontId="68" fillId="12" borderId="22"/>
    <xf numFmtId="0" fontId="70" fillId="26" borderId="0"/>
    <xf numFmtId="0" fontId="67" fillId="12" borderId="20"/>
    <xf numFmtId="0" fontId="67" fillId="12" borderId="20"/>
    <xf numFmtId="0" fontId="67" fillId="12" borderId="20"/>
    <xf numFmtId="0" fontId="73" fillId="30" borderId="0"/>
    <xf numFmtId="0" fontId="70" fillId="10" borderId="0"/>
    <xf numFmtId="0" fontId="67" fillId="12" borderId="20"/>
    <xf numFmtId="0" fontId="71" fillId="14" borderId="0"/>
    <xf numFmtId="0" fontId="66" fillId="11" borderId="21"/>
    <xf numFmtId="0" fontId="68" fillId="12" borderId="22"/>
    <xf numFmtId="0" fontId="69" fillId="0" borderId="23"/>
    <xf numFmtId="0" fontId="70" fillId="19" borderId="0"/>
    <xf numFmtId="0" fontId="70" fillId="14" borderId="0"/>
    <xf numFmtId="0" fontId="70" fillId="13" borderId="0"/>
    <xf numFmtId="0" fontId="67" fillId="12" borderId="20"/>
    <xf numFmtId="0" fontId="67" fillId="12" borderId="20"/>
    <xf numFmtId="0" fontId="70" fillId="13" borderId="0"/>
    <xf numFmtId="0" fontId="67" fillId="12" borderId="20"/>
    <xf numFmtId="0" fontId="66" fillId="0" borderId="0"/>
    <xf numFmtId="0" fontId="68" fillId="12" borderId="22"/>
    <xf numFmtId="0" fontId="70" fillId="31" borderId="0"/>
    <xf numFmtId="0" fontId="67" fillId="12" borderId="20"/>
    <xf numFmtId="0" fontId="65" fillId="10" borderId="20"/>
    <xf numFmtId="0" fontId="66" fillId="11" borderId="21"/>
    <xf numFmtId="0" fontId="68" fillId="12" borderId="22"/>
    <xf numFmtId="0" fontId="70" fillId="13" borderId="0"/>
    <xf numFmtId="0" fontId="67" fillId="12" borderId="20"/>
    <xf numFmtId="0" fontId="70" fillId="13" borderId="0"/>
    <xf numFmtId="0" fontId="67" fillId="12" borderId="20"/>
    <xf numFmtId="0" fontId="70" fillId="26" borderId="0"/>
    <xf numFmtId="0" fontId="70" fillId="13" borderId="0"/>
    <xf numFmtId="0" fontId="67" fillId="12" borderId="20"/>
    <xf numFmtId="0" fontId="70" fillId="14" borderId="0"/>
    <xf numFmtId="0" fontId="67" fillId="12" borderId="20"/>
    <xf numFmtId="0" fontId="71" fillId="26" borderId="0"/>
    <xf numFmtId="0" fontId="68" fillId="12" borderId="22"/>
    <xf numFmtId="0" fontId="68" fillId="12" borderId="22"/>
    <xf numFmtId="0" fontId="70" fillId="13" borderId="0"/>
    <xf numFmtId="0" fontId="71" fillId="31" borderId="0"/>
    <xf numFmtId="0" fontId="70" fillId="31" borderId="0"/>
    <xf numFmtId="0" fontId="67" fillId="12" borderId="20"/>
    <xf numFmtId="0" fontId="71" fillId="22" borderId="0"/>
    <xf numFmtId="0" fontId="65" fillId="10" borderId="20"/>
    <xf numFmtId="0" fontId="67" fillId="12" borderId="20"/>
    <xf numFmtId="0" fontId="66" fillId="11" borderId="21"/>
    <xf numFmtId="0" fontId="69" fillId="0" borderId="23"/>
    <xf numFmtId="0" fontId="73" fillId="18" borderId="0"/>
    <xf numFmtId="0" fontId="70" fillId="10" borderId="0"/>
    <xf numFmtId="0" fontId="70" fillId="13" borderId="0"/>
    <xf numFmtId="0" fontId="73" fillId="20" borderId="0"/>
    <xf numFmtId="0" fontId="65" fillId="10" borderId="20"/>
    <xf numFmtId="0" fontId="70" fillId="15" borderId="0"/>
    <xf numFmtId="0" fontId="67" fillId="12" borderId="20"/>
    <xf numFmtId="0" fontId="67" fillId="12" borderId="20"/>
    <xf numFmtId="0" fontId="67" fillId="12" borderId="20"/>
    <xf numFmtId="0" fontId="70" fillId="22" borderId="0"/>
    <xf numFmtId="0" fontId="70" fillId="13" borderId="0"/>
    <xf numFmtId="0" fontId="67" fillId="12" borderId="20"/>
    <xf numFmtId="0" fontId="70" fillId="13" borderId="0"/>
    <xf numFmtId="0" fontId="66" fillId="11" borderId="21"/>
    <xf numFmtId="0" fontId="75" fillId="19" borderId="0"/>
    <xf numFmtId="0" fontId="65" fillId="10" borderId="20"/>
    <xf numFmtId="0" fontId="71" fillId="31" borderId="0"/>
    <xf numFmtId="0" fontId="65" fillId="10" borderId="20"/>
    <xf numFmtId="0" fontId="69" fillId="0" borderId="23"/>
    <xf numFmtId="0" fontId="69" fillId="0" borderId="23"/>
    <xf numFmtId="0" fontId="66" fillId="11" borderId="21"/>
    <xf numFmtId="0" fontId="79" fillId="28" borderId="0"/>
    <xf numFmtId="0" fontId="65" fillId="10" borderId="20"/>
    <xf numFmtId="0" fontId="70" fillId="10" borderId="0"/>
    <xf numFmtId="0" fontId="67" fillId="12" borderId="20"/>
    <xf numFmtId="0" fontId="66" fillId="11" borderId="21"/>
    <xf numFmtId="0" fontId="70" fillId="13" borderId="0"/>
    <xf numFmtId="0" fontId="67" fillId="12" borderId="20"/>
    <xf numFmtId="0" fontId="67" fillId="12" borderId="20"/>
    <xf numFmtId="0" fontId="65" fillId="10" borderId="20"/>
    <xf numFmtId="0" fontId="65" fillId="10" borderId="20"/>
    <xf numFmtId="0" fontId="70" fillId="10" borderId="0"/>
    <xf numFmtId="0" fontId="71" fillId="23" borderId="0"/>
    <xf numFmtId="0" fontId="67" fillId="12" borderId="20"/>
    <xf numFmtId="0" fontId="71" fillId="26" borderId="0"/>
    <xf numFmtId="0" fontId="69" fillId="0" borderId="23"/>
    <xf numFmtId="0" fontId="66" fillId="11" borderId="21"/>
    <xf numFmtId="0" fontId="68" fillId="12" borderId="22"/>
    <xf numFmtId="0" fontId="67" fillId="12" borderId="20"/>
    <xf numFmtId="0" fontId="70" fillId="14" borderId="0"/>
    <xf numFmtId="0" fontId="67" fillId="12" borderId="20"/>
    <xf numFmtId="0" fontId="66" fillId="11" borderId="21"/>
    <xf numFmtId="0" fontId="67" fillId="12" borderId="20"/>
    <xf numFmtId="0" fontId="67" fillId="12" borderId="20"/>
    <xf numFmtId="0" fontId="71" fillId="26" borderId="0"/>
    <xf numFmtId="0" fontId="66" fillId="11" borderId="21"/>
    <xf numFmtId="0" fontId="68" fillId="12" borderId="22"/>
    <xf numFmtId="0" fontId="71" fillId="14" borderId="0"/>
    <xf numFmtId="0" fontId="67" fillId="12" borderId="20"/>
    <xf numFmtId="0" fontId="66" fillId="11" borderId="21"/>
    <xf numFmtId="0" fontId="70" fillId="22" borderId="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5" fillId="10" borderId="20"/>
    <xf numFmtId="0" fontId="70" fillId="14" borderId="0"/>
    <xf numFmtId="0" fontId="66" fillId="11" borderId="21"/>
    <xf numFmtId="0" fontId="67" fillId="12" borderId="20"/>
    <xf numFmtId="0" fontId="67" fillId="12" borderId="20"/>
    <xf numFmtId="0" fontId="66" fillId="11" borderId="21"/>
    <xf numFmtId="0" fontId="70" fillId="23" borderId="0"/>
    <xf numFmtId="0" fontId="67" fillId="12" borderId="20"/>
    <xf numFmtId="0" fontId="68" fillId="12" borderId="22"/>
    <xf numFmtId="0" fontId="69" fillId="0" borderId="23"/>
    <xf numFmtId="0" fontId="73" fillId="21" borderId="0"/>
    <xf numFmtId="0" fontId="68" fillId="12" borderId="22"/>
    <xf numFmtId="0" fontId="71" fillId="14" borderId="0"/>
    <xf numFmtId="0" fontId="67" fillId="12" borderId="20"/>
    <xf numFmtId="0" fontId="71" fillId="23" borderId="0"/>
    <xf numFmtId="0" fontId="65" fillId="10" borderId="20"/>
    <xf numFmtId="0" fontId="71" fillId="14" borderId="0"/>
    <xf numFmtId="0" fontId="67" fillId="12" borderId="20"/>
    <xf numFmtId="0" fontId="66" fillId="11" borderId="21"/>
    <xf numFmtId="0" fontId="70" fillId="14" borderId="0"/>
    <xf numFmtId="0" fontId="77" fillId="33" borderId="20"/>
    <xf numFmtId="0" fontId="66" fillId="11" borderId="21"/>
    <xf numFmtId="0" fontId="70" fillId="31" borderId="0"/>
    <xf numFmtId="0" fontId="65" fillId="10" borderId="20"/>
    <xf numFmtId="0" fontId="70" fillId="14" borderId="0"/>
    <xf numFmtId="0" fontId="67" fillId="12" borderId="20"/>
    <xf numFmtId="0" fontId="66" fillId="11" borderId="21"/>
    <xf numFmtId="0" fontId="70" fillId="18" borderId="0"/>
    <xf numFmtId="0" fontId="66" fillId="11" borderId="21"/>
    <xf numFmtId="0" fontId="70" fillId="14" borderId="0"/>
    <xf numFmtId="0" fontId="67" fillId="12" borderId="20"/>
    <xf numFmtId="0" fontId="66" fillId="11" borderId="21"/>
    <xf numFmtId="0" fontId="68" fillId="12" borderId="22"/>
    <xf numFmtId="0" fontId="70" fillId="18" borderId="0"/>
    <xf numFmtId="0" fontId="66" fillId="11" borderId="21"/>
    <xf numFmtId="0" fontId="70" fillId="14" borderId="0"/>
    <xf numFmtId="0" fontId="66" fillId="11" borderId="21"/>
    <xf numFmtId="0" fontId="68" fillId="12" borderId="22"/>
    <xf numFmtId="0" fontId="73" fillId="23" borderId="0"/>
    <xf numFmtId="0" fontId="70" fillId="18" borderId="0"/>
    <xf numFmtId="0" fontId="70" fillId="13" borderId="0"/>
    <xf numFmtId="0" fontId="66" fillId="11" borderId="21"/>
    <xf numFmtId="0" fontId="68" fillId="12" borderId="22"/>
    <xf numFmtId="0" fontId="67" fillId="12" borderId="20"/>
    <xf numFmtId="0" fontId="66" fillId="11" borderId="21"/>
    <xf numFmtId="0" fontId="70" fillId="10" borderId="0"/>
    <xf numFmtId="0" fontId="71" fillId="13" borderId="0"/>
    <xf numFmtId="0" fontId="68" fillId="12" borderId="22"/>
    <xf numFmtId="0" fontId="69" fillId="0" borderId="23"/>
    <xf numFmtId="0" fontId="70" fillId="19" borderId="0"/>
    <xf numFmtId="0" fontId="67" fillId="25" borderId="20"/>
    <xf numFmtId="0" fontId="65" fillId="10" borderId="20"/>
    <xf numFmtId="0" fontId="71" fillId="13" borderId="0"/>
    <xf numFmtId="0" fontId="70" fillId="19" borderId="0"/>
    <xf numFmtId="0" fontId="67" fillId="12" borderId="20"/>
    <xf numFmtId="0" fontId="67" fillId="12" borderId="20"/>
    <xf numFmtId="0" fontId="65" fillId="10" borderId="20"/>
    <xf numFmtId="0" fontId="70" fillId="13" borderId="0"/>
    <xf numFmtId="0" fontId="68" fillId="12" borderId="22"/>
    <xf numFmtId="0" fontId="70" fillId="19" borderId="0"/>
    <xf numFmtId="0" fontId="67" fillId="12" borderId="20"/>
    <xf numFmtId="0" fontId="65" fillId="10" borderId="20"/>
    <xf numFmtId="0" fontId="70" fillId="10" borderId="0"/>
    <xf numFmtId="0" fontId="71" fillId="14" borderId="0"/>
    <xf numFmtId="0" fontId="66" fillId="11" borderId="21"/>
    <xf numFmtId="0" fontId="68" fillId="12" borderId="22"/>
    <xf numFmtId="0" fontId="67" fillId="12" borderId="20"/>
    <xf numFmtId="0" fontId="70" fillId="19" borderId="0"/>
    <xf numFmtId="0" fontId="67" fillId="12" borderId="20"/>
    <xf numFmtId="0" fontId="65" fillId="10" borderId="20"/>
    <xf numFmtId="0" fontId="70" fillId="13" borderId="0"/>
    <xf numFmtId="0" fontId="68" fillId="12" borderId="22"/>
    <xf numFmtId="0" fontId="68" fillId="12" borderId="22"/>
    <xf numFmtId="0" fontId="71" fillId="14" borderId="0"/>
    <xf numFmtId="0" fontId="66" fillId="11" borderId="21"/>
    <xf numFmtId="0" fontId="68" fillId="12" borderId="22"/>
    <xf numFmtId="0" fontId="67" fillId="12" borderId="20"/>
    <xf numFmtId="0" fontId="65" fillId="10" borderId="20"/>
    <xf numFmtId="0" fontId="70" fillId="13" borderId="0"/>
    <xf numFmtId="0" fontId="68" fillId="12" borderId="22"/>
    <xf numFmtId="0" fontId="65" fillId="10" borderId="20"/>
    <xf numFmtId="0" fontId="67" fillId="12" borderId="20"/>
    <xf numFmtId="0" fontId="68" fillId="12" borderId="22"/>
    <xf numFmtId="0" fontId="68" fillId="12" borderId="22"/>
    <xf numFmtId="0" fontId="70" fillId="10" borderId="0"/>
    <xf numFmtId="0" fontId="71" fillId="14" borderId="0"/>
    <xf numFmtId="0" fontId="66" fillId="11" borderId="21"/>
    <xf numFmtId="0" fontId="68" fillId="12" borderId="22"/>
    <xf numFmtId="0" fontId="65" fillId="10" borderId="20"/>
    <xf numFmtId="0" fontId="67" fillId="12" borderId="20"/>
    <xf numFmtId="0" fontId="68" fillId="12" borderId="22"/>
    <xf numFmtId="0" fontId="68" fillId="12" borderId="22"/>
    <xf numFmtId="0" fontId="71" fillId="14" borderId="0"/>
    <xf numFmtId="0" fontId="66" fillId="11" borderId="21"/>
    <xf numFmtId="0" fontId="66" fillId="11" borderId="21"/>
    <xf numFmtId="0" fontId="68" fillId="12" borderId="22"/>
    <xf numFmtId="0" fontId="68" fillId="12" borderId="22"/>
    <xf numFmtId="0" fontId="67" fillId="12" borderId="20"/>
    <xf numFmtId="0" fontId="65" fillId="10" borderId="20"/>
    <xf numFmtId="0" fontId="68" fillId="12" borderId="22"/>
    <xf numFmtId="0" fontId="71" fillId="14" borderId="0"/>
    <xf numFmtId="0" fontId="66" fillId="11" borderId="21"/>
    <xf numFmtId="0" fontId="68" fillId="12" borderId="22"/>
    <xf numFmtId="0" fontId="68" fillId="12" borderId="22"/>
    <xf numFmtId="0" fontId="70" fillId="10" borderId="0"/>
    <xf numFmtId="0" fontId="70" fillId="14" borderId="0"/>
    <xf numFmtId="0" fontId="67" fillId="12" borderId="20"/>
    <xf numFmtId="0" fontId="67" fillId="12" borderId="20"/>
    <xf numFmtId="0" fontId="70" fillId="13" borderId="0"/>
    <xf numFmtId="0" fontId="70" fillId="11" borderId="21"/>
    <xf numFmtId="0" fontId="68" fillId="12" borderId="22"/>
    <xf numFmtId="0" fontId="69" fillId="0" borderId="23"/>
    <xf numFmtId="0" fontId="67" fillId="12" borderId="20"/>
    <xf numFmtId="0" fontId="70" fillId="11" borderId="21"/>
    <xf numFmtId="0" fontId="70" fillId="13" borderId="0"/>
    <xf numFmtId="0" fontId="66" fillId="11" borderId="21"/>
    <xf numFmtId="0" fontId="68" fillId="12" borderId="22"/>
    <xf numFmtId="0" fontId="68" fillId="12" borderId="22"/>
    <xf numFmtId="0" fontId="67" fillId="12" borderId="20"/>
    <xf numFmtId="0" fontId="65" fillId="10" borderId="20"/>
    <xf numFmtId="0" fontId="70" fillId="13" borderId="0"/>
    <xf numFmtId="0" fontId="68" fillId="12" borderId="22"/>
    <xf numFmtId="0" fontId="70" fillId="10" borderId="0"/>
    <xf numFmtId="0" fontId="70" fillId="33" borderId="0"/>
    <xf numFmtId="0" fontId="67" fillId="12" borderId="20"/>
    <xf numFmtId="0" fontId="70" fillId="13" borderId="0"/>
    <xf numFmtId="0" fontId="68" fillId="12" borderId="22"/>
    <xf numFmtId="0" fontId="69" fillId="0" borderId="23"/>
    <xf numFmtId="0" fontId="67" fillId="12" borderId="20"/>
    <xf numFmtId="0" fontId="73" fillId="20" borderId="0"/>
    <xf numFmtId="0" fontId="65" fillId="10" borderId="20"/>
    <xf numFmtId="0" fontId="70" fillId="14" borderId="0"/>
    <xf numFmtId="0" fontId="67" fillId="12" borderId="20"/>
    <xf numFmtId="0" fontId="75" fillId="20" borderId="0"/>
    <xf numFmtId="0" fontId="66" fillId="11" borderId="21"/>
    <xf numFmtId="0" fontId="70" fillId="13" borderId="0"/>
    <xf numFmtId="0" fontId="68" fillId="12" borderId="22"/>
    <xf numFmtId="0" fontId="75" fillId="20" borderId="0"/>
    <xf numFmtId="0" fontId="70" fillId="13" borderId="0"/>
    <xf numFmtId="0" fontId="68" fillId="12" borderId="22"/>
    <xf numFmtId="0" fontId="68" fillId="12" borderId="22"/>
    <xf numFmtId="0" fontId="67" fillId="12" borderId="20"/>
    <xf numFmtId="0" fontId="70" fillId="15" borderId="0"/>
    <xf numFmtId="0" fontId="65" fillId="10" borderId="20"/>
    <xf numFmtId="0" fontId="70" fillId="13" borderId="0"/>
    <xf numFmtId="0" fontId="68" fillId="12" borderId="22"/>
    <xf numFmtId="0" fontId="68" fillId="12" borderId="22"/>
    <xf numFmtId="0" fontId="67" fillId="12" borderId="20"/>
    <xf numFmtId="0" fontId="70" fillId="15" borderId="0"/>
    <xf numFmtId="0" fontId="65" fillId="10" borderId="20"/>
    <xf numFmtId="0" fontId="67" fillId="12" borderId="20"/>
    <xf numFmtId="0" fontId="73" fillId="20" borderId="0"/>
    <xf numFmtId="0" fontId="65" fillId="10" borderId="20"/>
    <xf numFmtId="0" fontId="70" fillId="14" borderId="0"/>
    <xf numFmtId="0" fontId="70" fillId="19" borderId="0"/>
    <xf numFmtId="0" fontId="70" fillId="13" borderId="0"/>
    <xf numFmtId="0" fontId="70" fillId="23" borderId="0"/>
    <xf numFmtId="0" fontId="68" fillId="12" borderId="22"/>
    <xf numFmtId="0" fontId="71" fillId="19" borderId="0"/>
    <xf numFmtId="0" fontId="67" fillId="12" borderId="20"/>
    <xf numFmtId="0" fontId="70" fillId="13" borderId="0"/>
    <xf numFmtId="0" fontId="68" fillId="12" borderId="22"/>
    <xf numFmtId="0" fontId="66" fillId="11" borderId="21"/>
    <xf numFmtId="0" fontId="68" fillId="12" borderId="22"/>
    <xf numFmtId="0" fontId="67" fillId="12" borderId="20"/>
    <xf numFmtId="0" fontId="70" fillId="19" borderId="0"/>
    <xf numFmtId="0" fontId="67" fillId="12" borderId="20"/>
    <xf numFmtId="0" fontId="70" fillId="30" borderId="0"/>
    <xf numFmtId="0" fontId="65" fillId="10" borderId="20"/>
    <xf numFmtId="0" fontId="68" fillId="12" borderId="22"/>
    <xf numFmtId="0" fontId="70" fillId="13" borderId="0"/>
    <xf numFmtId="0" fontId="68" fillId="12" borderId="22"/>
    <xf numFmtId="0" fontId="66" fillId="11" borderId="21"/>
    <xf numFmtId="0" fontId="68" fillId="12" borderId="22"/>
    <xf numFmtId="0" fontId="67" fillId="12" borderId="20"/>
    <xf numFmtId="0" fontId="71" fillId="19" borderId="0"/>
    <xf numFmtId="0" fontId="68" fillId="12" borderId="22"/>
    <xf numFmtId="0" fontId="65" fillId="10" borderId="20"/>
    <xf numFmtId="0" fontId="70" fillId="18" borderId="0"/>
    <xf numFmtId="0" fontId="69" fillId="0" borderId="23"/>
    <xf numFmtId="0" fontId="66" fillId="11" borderId="21"/>
    <xf numFmtId="0" fontId="70" fillId="28" borderId="0"/>
    <xf numFmtId="0" fontId="69" fillId="0" borderId="23"/>
    <xf numFmtId="0" fontId="68" fillId="12" borderId="22"/>
    <xf numFmtId="0" fontId="66" fillId="11" borderId="21"/>
    <xf numFmtId="0" fontId="65" fillId="10" borderId="20"/>
    <xf numFmtId="0" fontId="71" fillId="28" borderId="0"/>
    <xf numFmtId="0" fontId="65" fillId="10" borderId="20"/>
    <xf numFmtId="0" fontId="67" fillId="12" borderId="20"/>
    <xf numFmtId="0" fontId="67" fillId="12" borderId="20"/>
    <xf numFmtId="0" fontId="65" fillId="10" borderId="20"/>
    <xf numFmtId="0" fontId="70" fillId="28" borderId="0"/>
    <xf numFmtId="0" fontId="67" fillId="12" borderId="20"/>
    <xf numFmtId="0" fontId="69" fillId="0" borderId="23"/>
    <xf numFmtId="0" fontId="68" fillId="12" borderId="22"/>
    <xf numFmtId="0" fontId="71" fillId="30" borderId="0"/>
    <xf numFmtId="0" fontId="69" fillId="0" borderId="23"/>
    <xf numFmtId="0" fontId="67" fillId="12" borderId="20"/>
    <xf numFmtId="0" fontId="67" fillId="12" borderId="20"/>
    <xf numFmtId="0" fontId="71" fillId="28" borderId="0"/>
    <xf numFmtId="0" fontId="73" fillId="37" borderId="0"/>
    <xf numFmtId="0" fontId="69" fillId="0" borderId="23"/>
    <xf numFmtId="0" fontId="71" fillId="28" borderId="0"/>
    <xf numFmtId="0" fontId="68" fillId="12" borderId="22"/>
    <xf numFmtId="0" fontId="68" fillId="12" borderId="22"/>
    <xf numFmtId="0" fontId="65" fillId="10" borderId="20"/>
    <xf numFmtId="0" fontId="66" fillId="11" borderId="21"/>
    <xf numFmtId="0" fontId="66" fillId="11" borderId="21"/>
    <xf numFmtId="0" fontId="68" fillId="12" borderId="22"/>
    <xf numFmtId="0" fontId="68" fillId="12" borderId="22"/>
    <xf numFmtId="0" fontId="67" fillId="12" borderId="20"/>
    <xf numFmtId="0" fontId="67" fillId="12" borderId="20"/>
    <xf numFmtId="0" fontId="70" fillId="28" borderId="0"/>
    <xf numFmtId="0" fontId="73" fillId="29" borderId="0"/>
    <xf numFmtId="0" fontId="71" fillId="28" borderId="0"/>
    <xf numFmtId="0" fontId="69" fillId="0" borderId="23"/>
    <xf numFmtId="0" fontId="73" fillId="18" borderId="0"/>
    <xf numFmtId="0" fontId="67" fillId="12" borderId="20"/>
    <xf numFmtId="0" fontId="70" fillId="28" borderId="0"/>
    <xf numFmtId="0" fontId="68" fillId="12" borderId="22"/>
    <xf numFmtId="0" fontId="67" fillId="12" borderId="20"/>
    <xf numFmtId="0" fontId="70" fillId="28" borderId="0"/>
    <xf numFmtId="0" fontId="68" fillId="12" borderId="22"/>
    <xf numFmtId="0" fontId="73" fillId="37" borderId="0"/>
    <xf numFmtId="0" fontId="70" fillId="19" borderId="0"/>
    <xf numFmtId="0" fontId="69" fillId="0" borderId="23"/>
    <xf numFmtId="0" fontId="71" fillId="30" borderId="0"/>
    <xf numFmtId="0" fontId="69" fillId="0" borderId="23"/>
    <xf numFmtId="0" fontId="67" fillId="12" borderId="20"/>
    <xf numFmtId="0" fontId="71" fillId="28" borderId="0"/>
    <xf numFmtId="0" fontId="69" fillId="0" borderId="23"/>
    <xf numFmtId="0" fontId="66" fillId="11" borderId="21"/>
    <xf numFmtId="0" fontId="73" fillId="37" borderId="0"/>
    <xf numFmtId="0" fontId="65" fillId="10" borderId="20"/>
    <xf numFmtId="0" fontId="70" fillId="28" borderId="0"/>
    <xf numFmtId="0" fontId="65" fillId="10" borderId="20"/>
    <xf numFmtId="0" fontId="65" fillId="10" borderId="20"/>
    <xf numFmtId="0" fontId="67" fillId="12" borderId="20"/>
    <xf numFmtId="0" fontId="66" fillId="11" borderId="21"/>
    <xf numFmtId="0" fontId="67" fillId="12" borderId="20"/>
    <xf numFmtId="0" fontId="66" fillId="11" borderId="21"/>
    <xf numFmtId="0" fontId="70" fillId="28" borderId="0"/>
    <xf numFmtId="0" fontId="66" fillId="11" borderId="21"/>
    <xf numFmtId="0" fontId="65" fillId="10" borderId="20"/>
    <xf numFmtId="0" fontId="67" fillId="12" borderId="20"/>
    <xf numFmtId="0" fontId="67" fillId="12" borderId="20"/>
    <xf numFmtId="0" fontId="68" fillId="12" borderId="22"/>
    <xf numFmtId="0" fontId="71" fillId="22" borderId="0"/>
    <xf numFmtId="0" fontId="68" fillId="12" borderId="22"/>
    <xf numFmtId="0" fontId="67" fillId="12" borderId="20"/>
    <xf numFmtId="0" fontId="67" fillId="12" borderId="20"/>
    <xf numFmtId="0" fontId="65" fillId="10" borderId="20"/>
    <xf numFmtId="0" fontId="67" fillId="12" borderId="20"/>
    <xf numFmtId="0" fontId="66" fillId="11" borderId="21"/>
    <xf numFmtId="0" fontId="70" fillId="28" borderId="0"/>
    <xf numFmtId="0" fontId="66" fillId="11" borderId="21"/>
    <xf numFmtId="0" fontId="65" fillId="10" borderId="20"/>
    <xf numFmtId="0" fontId="65" fillId="10" borderId="20"/>
    <xf numFmtId="0" fontId="67" fillId="12" borderId="20"/>
    <xf numFmtId="0" fontId="68" fillId="12" borderId="22"/>
    <xf numFmtId="0" fontId="70" fillId="22" borderId="0"/>
    <xf numFmtId="0" fontId="67" fillId="12" borderId="20"/>
    <xf numFmtId="0" fontId="67" fillId="12" borderId="20"/>
    <xf numFmtId="0" fontId="70" fillId="28" borderId="0"/>
    <xf numFmtId="0" fontId="81" fillId="11" borderId="0"/>
    <xf numFmtId="0" fontId="67" fillId="12" borderId="20"/>
    <xf numFmtId="0" fontId="71" fillId="22" borderId="0"/>
    <xf numFmtId="0" fontId="67" fillId="12" borderId="20"/>
    <xf numFmtId="0" fontId="67" fillId="12" borderId="20"/>
    <xf numFmtId="0" fontId="70" fillId="28" borderId="0"/>
    <xf numFmtId="0" fontId="67" fillId="12" borderId="20"/>
    <xf numFmtId="0" fontId="71" fillId="22" borderId="0"/>
    <xf numFmtId="0" fontId="67" fillId="12" borderId="20"/>
    <xf numFmtId="0" fontId="67" fillId="12" borderId="20"/>
    <xf numFmtId="0" fontId="70" fillId="10" borderId="0"/>
    <xf numFmtId="0" fontId="68" fillId="12" borderId="22"/>
    <xf numFmtId="0" fontId="67" fillId="12" borderId="20"/>
    <xf numFmtId="0" fontId="67" fillId="12" borderId="20"/>
    <xf numFmtId="0" fontId="67" fillId="12" borderId="20"/>
    <xf numFmtId="0" fontId="70" fillId="28" borderId="0"/>
    <xf numFmtId="0" fontId="69" fillId="0" borderId="23"/>
    <xf numFmtId="0" fontId="68" fillId="12" borderId="22"/>
    <xf numFmtId="0" fontId="65" fillId="10" borderId="20"/>
    <xf numFmtId="0" fontId="70" fillId="28" borderId="0"/>
    <xf numFmtId="0" fontId="69" fillId="0" borderId="23"/>
    <xf numFmtId="0" fontId="65" fillId="10" borderId="20"/>
    <xf numFmtId="0" fontId="67" fillId="12" borderId="20"/>
    <xf numFmtId="0" fontId="69" fillId="0" borderId="23"/>
    <xf numFmtId="0" fontId="71" fillId="28" borderId="0"/>
    <xf numFmtId="0" fontId="69" fillId="0" borderId="23"/>
    <xf numFmtId="0" fontId="65" fillId="10" borderId="20"/>
    <xf numFmtId="0" fontId="69" fillId="0" borderId="23"/>
    <xf numFmtId="0" fontId="70" fillId="28" borderId="0"/>
    <xf numFmtId="0" fontId="82" fillId="0" borderId="0"/>
    <xf numFmtId="0" fontId="68" fillId="12" borderId="22"/>
    <xf numFmtId="0" fontId="67" fillId="12" borderId="20"/>
    <xf numFmtId="0" fontId="67" fillId="12" borderId="20"/>
    <xf numFmtId="0" fontId="66" fillId="11" borderId="21"/>
    <xf numFmtId="0" fontId="71" fillId="28" borderId="0"/>
    <xf numFmtId="0" fontId="70" fillId="22" borderId="0"/>
    <xf numFmtId="0" fontId="65" fillId="10" borderId="20"/>
    <xf numFmtId="0" fontId="67" fillId="12" borderId="20"/>
    <xf numFmtId="0" fontId="67" fillId="12" borderId="20"/>
    <xf numFmtId="0" fontId="66" fillId="11" borderId="21"/>
    <xf numFmtId="0" fontId="70" fillId="28" borderId="0"/>
    <xf numFmtId="0" fontId="69" fillId="0" borderId="23"/>
    <xf numFmtId="0" fontId="70" fillId="28" borderId="0"/>
    <xf numFmtId="0" fontId="65" fillId="10" borderId="20"/>
    <xf numFmtId="0" fontId="67" fillId="12" borderId="20"/>
    <xf numFmtId="0" fontId="69" fillId="0" borderId="23"/>
    <xf numFmtId="0" fontId="71" fillId="28" borderId="0"/>
    <xf numFmtId="0" fontId="68" fillId="12" borderId="22"/>
    <xf numFmtId="0" fontId="65" fillId="10" borderId="20"/>
    <xf numFmtId="0" fontId="67" fillId="12" borderId="20"/>
    <xf numFmtId="0" fontId="67" fillId="12" borderId="20"/>
    <xf numFmtId="0" fontId="67" fillId="12" borderId="20"/>
    <xf numFmtId="0" fontId="69" fillId="0" borderId="23"/>
    <xf numFmtId="0" fontId="71" fillId="28" borderId="0"/>
    <xf numFmtId="0" fontId="68" fillId="12" borderId="22"/>
    <xf numFmtId="0" fontId="65" fillId="10" borderId="20"/>
    <xf numFmtId="0" fontId="66" fillId="11" borderId="21"/>
    <xf numFmtId="0" fontId="65" fillId="10" borderId="20"/>
    <xf numFmtId="0" fontId="67" fillId="12" borderId="20"/>
    <xf numFmtId="0" fontId="67" fillId="12" borderId="20"/>
    <xf numFmtId="0" fontId="69" fillId="0" borderId="23"/>
    <xf numFmtId="0" fontId="71" fillId="28" borderId="0"/>
    <xf numFmtId="0" fontId="68" fillId="12" borderId="22"/>
    <xf numFmtId="0" fontId="65" fillId="10" borderId="20"/>
    <xf numFmtId="0" fontId="66" fillId="11" borderId="21"/>
    <xf numFmtId="0" fontId="68" fillId="12" borderId="22"/>
    <xf numFmtId="0" fontId="68" fillId="12" borderId="22"/>
    <xf numFmtId="0" fontId="67" fillId="12" borderId="20"/>
    <xf numFmtId="0" fontId="67" fillId="12" borderId="20"/>
    <xf numFmtId="0" fontId="70" fillId="28" borderId="0"/>
    <xf numFmtId="0" fontId="70" fillId="26" borderId="0"/>
    <xf numFmtId="0" fontId="70" fillId="29" borderId="0"/>
    <xf numFmtId="0" fontId="69" fillId="0" borderId="23"/>
    <xf numFmtId="0" fontId="68" fillId="12" borderId="22"/>
    <xf numFmtId="0" fontId="65" fillId="10" borderId="20"/>
    <xf numFmtId="0" fontId="70" fillId="10" borderId="0"/>
    <xf numFmtId="0" fontId="65" fillId="10" borderId="20"/>
    <xf numFmtId="0" fontId="67" fillId="12" borderId="20"/>
    <xf numFmtId="0" fontId="70" fillId="29" borderId="0"/>
    <xf numFmtId="0" fontId="68" fillId="12" borderId="22"/>
    <xf numFmtId="0" fontId="65" fillId="10" borderId="20"/>
    <xf numFmtId="0" fontId="70" fillId="10" borderId="0"/>
    <xf numFmtId="0" fontId="70" fillId="29" borderId="0"/>
    <xf numFmtId="0" fontId="69" fillId="0" borderId="23"/>
    <xf numFmtId="0" fontId="70" fillId="28" borderId="0"/>
    <xf numFmtId="0" fontId="68" fillId="12" borderId="22"/>
    <xf numFmtId="0" fontId="65" fillId="10" borderId="20"/>
    <xf numFmtId="0" fontId="70" fillId="28" borderId="0"/>
    <xf numFmtId="0" fontId="67" fillId="12" borderId="20"/>
    <xf numFmtId="0" fontId="70" fillId="31" borderId="0"/>
    <xf numFmtId="0" fontId="65" fillId="10" borderId="20"/>
    <xf numFmtId="0" fontId="67" fillId="12" borderId="20"/>
    <xf numFmtId="0" fontId="70" fillId="28" borderId="0"/>
    <xf numFmtId="0" fontId="74" fillId="17" borderId="20"/>
    <xf numFmtId="0" fontId="67" fillId="12" borderId="20"/>
    <xf numFmtId="0" fontId="69" fillId="0" borderId="23"/>
    <xf numFmtId="0" fontId="68" fillId="12" borderId="22"/>
    <xf numFmtId="0" fontId="65" fillId="10" borderId="20"/>
    <xf numFmtId="0" fontId="71" fillId="15" borderId="0"/>
    <xf numFmtId="0" fontId="67" fillId="12" borderId="20"/>
    <xf numFmtId="0" fontId="67" fillId="12" borderId="20"/>
    <xf numFmtId="0" fontId="71" fillId="15" borderId="0"/>
    <xf numFmtId="0" fontId="70" fillId="15" borderId="0"/>
    <xf numFmtId="0" fontId="70" fillId="18" borderId="0"/>
    <xf numFmtId="0" fontId="66" fillId="11" borderId="21"/>
    <xf numFmtId="0" fontId="67" fillId="12" borderId="20"/>
    <xf numFmtId="0" fontId="67" fillId="12" borderId="20"/>
    <xf numFmtId="0" fontId="68" fillId="12" borderId="22"/>
    <xf numFmtId="0" fontId="68" fillId="12" borderId="22"/>
    <xf numFmtId="0" fontId="65" fillId="10" borderId="20"/>
    <xf numFmtId="0" fontId="70" fillId="30" borderId="0"/>
    <xf numFmtId="0" fontId="71" fillId="15" borderId="0"/>
    <xf numFmtId="0" fontId="67" fillId="12" borderId="20"/>
    <xf numFmtId="0" fontId="67" fillId="12" borderId="20"/>
    <xf numFmtId="0" fontId="70" fillId="15" borderId="0"/>
    <xf numFmtId="0" fontId="70" fillId="15" borderId="0"/>
    <xf numFmtId="0" fontId="71" fillId="15" borderId="0"/>
    <xf numFmtId="0" fontId="73" fillId="18" borderId="0"/>
    <xf numFmtId="0" fontId="69" fillId="0" borderId="23"/>
    <xf numFmtId="0" fontId="68" fillId="12" borderId="22"/>
    <xf numFmtId="0" fontId="70" fillId="10" borderId="0"/>
    <xf numFmtId="0" fontId="67" fillId="12" borderId="20"/>
    <xf numFmtId="0" fontId="69" fillId="0" borderId="23"/>
    <xf numFmtId="0" fontId="66" fillId="11" borderId="21"/>
    <xf numFmtId="0" fontId="70" fillId="15" borderId="0"/>
    <xf numFmtId="0" fontId="67" fillId="12" borderId="20"/>
    <xf numFmtId="0" fontId="68" fillId="12" borderId="22"/>
    <xf numFmtId="0" fontId="68" fillId="12" borderId="22"/>
    <xf numFmtId="0" fontId="70" fillId="10" borderId="0"/>
    <xf numFmtId="0" fontId="67" fillId="12" borderId="20"/>
    <xf numFmtId="0" fontId="69" fillId="0" borderId="23"/>
    <xf numFmtId="0" fontId="66" fillId="11" borderId="21"/>
    <xf numFmtId="0" fontId="70" fillId="15" borderId="0"/>
    <xf numFmtId="0" fontId="69" fillId="0" borderId="23"/>
    <xf numFmtId="0" fontId="70" fillId="10" borderId="0"/>
    <xf numFmtId="0" fontId="68" fillId="12" borderId="22"/>
    <xf numFmtId="0" fontId="65" fillId="10" borderId="20"/>
    <xf numFmtId="0" fontId="70" fillId="15" borderId="0"/>
    <xf numFmtId="0" fontId="67" fillId="12" borderId="20"/>
    <xf numFmtId="0" fontId="67" fillId="12" borderId="20"/>
    <xf numFmtId="0" fontId="65" fillId="10" borderId="20"/>
    <xf numFmtId="0" fontId="65" fillId="10" borderId="20"/>
    <xf numFmtId="0" fontId="70" fillId="15" borderId="0"/>
    <xf numFmtId="0" fontId="67" fillId="12" borderId="20"/>
    <xf numFmtId="0" fontId="65" fillId="10" borderId="20"/>
    <xf numFmtId="0" fontId="65" fillId="10" borderId="20"/>
    <xf numFmtId="0" fontId="70" fillId="15" borderId="0"/>
    <xf numFmtId="0" fontId="67" fillId="12" borderId="20"/>
    <xf numFmtId="0" fontId="69" fillId="0" borderId="23"/>
    <xf numFmtId="0" fontId="68" fillId="12" borderId="22"/>
    <xf numFmtId="0" fontId="65" fillId="10" borderId="20"/>
    <xf numFmtId="0" fontId="70" fillId="15" borderId="0"/>
    <xf numFmtId="0" fontId="69" fillId="0" borderId="23"/>
    <xf numFmtId="0" fontId="67" fillId="12" borderId="20"/>
    <xf numFmtId="0" fontId="77" fillId="33" borderId="20"/>
    <xf numFmtId="0" fontId="67" fillId="12" borderId="20"/>
    <xf numFmtId="0" fontId="69" fillId="0" borderId="23"/>
    <xf numFmtId="0" fontId="71" fillId="15" borderId="0"/>
    <xf numFmtId="0" fontId="69" fillId="0" borderId="23"/>
    <xf numFmtId="0" fontId="65" fillId="10" borderId="20"/>
    <xf numFmtId="0" fontId="67" fillId="12" borderId="20"/>
    <xf numFmtId="0" fontId="70" fillId="22" borderId="0"/>
    <xf numFmtId="0" fontId="65" fillId="10" borderId="20"/>
    <xf numFmtId="0" fontId="71" fillId="15" borderId="0"/>
    <xf numFmtId="0" fontId="66" fillId="11" borderId="21"/>
    <xf numFmtId="0" fontId="71" fillId="22" borderId="0"/>
    <xf numFmtId="0" fontId="66" fillId="11" borderId="21"/>
    <xf numFmtId="0" fontId="67" fillId="12" borderId="20"/>
    <xf numFmtId="0" fontId="70" fillId="15" borderId="0"/>
    <xf numFmtId="0" fontId="69" fillId="0" borderId="23"/>
    <xf numFmtId="0" fontId="71" fillId="15" borderId="0"/>
    <xf numFmtId="0" fontId="68" fillId="12" borderId="22"/>
    <xf numFmtId="0" fontId="67" fillId="12" borderId="20"/>
    <xf numFmtId="0" fontId="71" fillId="19" borderId="0"/>
    <xf numFmtId="0" fontId="67" fillId="12" borderId="20"/>
    <xf numFmtId="0" fontId="70" fillId="11" borderId="0"/>
    <xf numFmtId="0" fontId="68" fillId="12" borderId="22"/>
    <xf numFmtId="0" fontId="65" fillId="10" borderId="20"/>
    <xf numFmtId="0" fontId="70" fillId="19" borderId="0"/>
    <xf numFmtId="0" fontId="67" fillId="12" borderId="20"/>
    <xf numFmtId="0" fontId="69" fillId="0" borderId="23"/>
    <xf numFmtId="0" fontId="68" fillId="12" borderId="22"/>
    <xf numFmtId="0" fontId="65" fillId="10" borderId="20"/>
    <xf numFmtId="0" fontId="70" fillId="15" borderId="0"/>
    <xf numFmtId="0" fontId="67" fillId="12" borderId="20"/>
    <xf numFmtId="0" fontId="68" fillId="12" borderId="22"/>
    <xf numFmtId="0" fontId="70" fillId="29" borderId="0"/>
    <xf numFmtId="0" fontId="70" fillId="15" borderId="0"/>
    <xf numFmtId="0" fontId="65" fillId="10" borderId="20"/>
    <xf numFmtId="0" fontId="65" fillId="10" borderId="20"/>
    <xf numFmtId="0" fontId="73" fillId="20" borderId="0"/>
    <xf numFmtId="0" fontId="66" fillId="11" borderId="21"/>
    <xf numFmtId="0" fontId="67" fillId="12" borderId="20"/>
    <xf numFmtId="0" fontId="70" fillId="31" borderId="0"/>
    <xf numFmtId="0" fontId="67" fillId="12" borderId="20"/>
    <xf numFmtId="0" fontId="69" fillId="0" borderId="23"/>
    <xf numFmtId="0" fontId="68" fillId="12" borderId="22"/>
    <xf numFmtId="0" fontId="71" fillId="31" borderId="0"/>
    <xf numFmtId="0" fontId="67" fillId="12" borderId="20"/>
    <xf numFmtId="0" fontId="67" fillId="12" borderId="20"/>
    <xf numFmtId="0" fontId="69" fillId="0" borderId="23"/>
    <xf numFmtId="0" fontId="71" fillId="31" borderId="0"/>
    <xf numFmtId="0" fontId="69" fillId="0" borderId="23"/>
    <xf numFmtId="0" fontId="70" fillId="31" borderId="0"/>
    <xf numFmtId="0" fontId="67" fillId="12" borderId="20"/>
    <xf numFmtId="0" fontId="71" fillId="22" borderId="0"/>
    <xf numFmtId="0" fontId="67" fillId="12" borderId="20"/>
    <xf numFmtId="0" fontId="70" fillId="31" borderId="0"/>
    <xf numFmtId="0" fontId="71" fillId="31" borderId="0"/>
    <xf numFmtId="0" fontId="71" fillId="19" borderId="0"/>
    <xf numFmtId="0" fontId="67" fillId="12" borderId="20"/>
    <xf numFmtId="0" fontId="67" fillId="12" borderId="20"/>
    <xf numFmtId="0" fontId="69" fillId="0" borderId="23"/>
    <xf numFmtId="0" fontId="70" fillId="10" borderId="0"/>
    <xf numFmtId="0" fontId="68" fillId="12" borderId="22"/>
    <xf numFmtId="0" fontId="71" fillId="31" borderId="0"/>
    <xf numFmtId="0" fontId="70" fillId="31" borderId="0"/>
    <xf numFmtId="0" fontId="70" fillId="31" borderId="0"/>
    <xf numFmtId="0" fontId="71" fillId="31" borderId="0"/>
    <xf numFmtId="0" fontId="71" fillId="19" borderId="0"/>
    <xf numFmtId="0" fontId="67" fillId="12" borderId="20"/>
    <xf numFmtId="0" fontId="67" fillId="12" borderId="20"/>
    <xf numFmtId="0" fontId="65" fillId="10" borderId="20"/>
    <xf numFmtId="0" fontId="70" fillId="31" borderId="0"/>
    <xf numFmtId="0" fontId="69" fillId="0" borderId="23"/>
    <xf numFmtId="0" fontId="71" fillId="31" borderId="0"/>
    <xf numFmtId="0" fontId="68" fillId="12" borderId="22"/>
    <xf numFmtId="0" fontId="70" fillId="31" borderId="0"/>
    <xf numFmtId="0" fontId="67" fillId="12" borderId="20"/>
    <xf numFmtId="0" fontId="69" fillId="0" borderId="23"/>
    <xf numFmtId="0" fontId="71" fillId="31" borderId="0"/>
    <xf numFmtId="0" fontId="68" fillId="12" borderId="22"/>
    <xf numFmtId="0" fontId="70" fillId="31" borderId="0"/>
    <xf numFmtId="0" fontId="67" fillId="12" borderId="20"/>
    <xf numFmtId="0" fontId="68" fillId="12" borderId="22"/>
    <xf numFmtId="0" fontId="71" fillId="31" borderId="0"/>
    <xf numFmtId="0" fontId="70" fillId="31" borderId="0"/>
    <xf numFmtId="0" fontId="70" fillId="18" borderId="0"/>
    <xf numFmtId="0" fontId="67" fillId="12" borderId="20"/>
    <xf numFmtId="0" fontId="67" fillId="12" borderId="20"/>
    <xf numFmtId="0" fontId="67" fillId="12" borderId="20"/>
    <xf numFmtId="0" fontId="68" fillId="12" borderId="22"/>
    <xf numFmtId="0" fontId="66" fillId="11" borderId="21"/>
    <xf numFmtId="0" fontId="69" fillId="0" borderId="23"/>
    <xf numFmtId="0" fontId="71" fillId="31" borderId="0"/>
    <xf numFmtId="0" fontId="65" fillId="10" borderId="20"/>
    <xf numFmtId="0" fontId="70" fillId="31" borderId="0"/>
    <xf numFmtId="0" fontId="70" fillId="18" borderId="0"/>
    <xf numFmtId="0" fontId="67" fillId="12" borderId="20"/>
    <xf numFmtId="0" fontId="65" fillId="10" borderId="20"/>
    <xf numFmtId="0" fontId="70" fillId="31" borderId="0"/>
    <xf numFmtId="0" fontId="65" fillId="10" borderId="20"/>
    <xf numFmtId="0" fontId="70" fillId="31" borderId="0"/>
    <xf numFmtId="0" fontId="69" fillId="0" borderId="23"/>
    <xf numFmtId="0" fontId="68" fillId="12" borderId="22"/>
    <xf numFmtId="0" fontId="70" fillId="31" borderId="0"/>
    <xf numFmtId="0" fontId="69" fillId="0" borderId="23"/>
    <xf numFmtId="0" fontId="67" fillId="12" borderId="20"/>
    <xf numFmtId="0" fontId="67" fillId="12" borderId="20"/>
    <xf numFmtId="0" fontId="67" fillId="12" borderId="20"/>
    <xf numFmtId="0" fontId="70" fillId="19" borderId="0"/>
    <xf numFmtId="0" fontId="77" fillId="33" borderId="20"/>
    <xf numFmtId="0" fontId="70" fillId="31" borderId="0"/>
    <xf numFmtId="0" fontId="67" fillId="12" borderId="20"/>
    <xf numFmtId="0" fontId="70" fillId="19" borderId="0"/>
    <xf numFmtId="0" fontId="70" fillId="33" borderId="0"/>
    <xf numFmtId="0" fontId="71" fillId="22" borderId="0"/>
    <xf numFmtId="0" fontId="67" fillId="12" borderId="20"/>
    <xf numFmtId="0" fontId="69" fillId="0" borderId="23"/>
    <xf numFmtId="0" fontId="68" fillId="12" borderId="22"/>
    <xf numFmtId="0" fontId="70" fillId="31" borderId="0"/>
    <xf numFmtId="0" fontId="67" fillId="12" borderId="20"/>
    <xf numFmtId="0" fontId="65" fillId="10" borderId="20"/>
    <xf numFmtId="0" fontId="67" fillId="12" borderId="20"/>
    <xf numFmtId="0" fontId="75" fillId="27" borderId="0"/>
    <xf numFmtId="0" fontId="70" fillId="31" borderId="0"/>
    <xf numFmtId="0" fontId="70" fillId="21" borderId="0"/>
    <xf numFmtId="0" fontId="70" fillId="31" borderId="0"/>
    <xf numFmtId="0" fontId="65" fillId="10" borderId="20"/>
    <xf numFmtId="0" fontId="67" fillId="12" borderId="20"/>
    <xf numFmtId="0" fontId="69" fillId="0" borderId="23"/>
    <xf numFmtId="0" fontId="73" fillId="27" borderId="0"/>
    <xf numFmtId="0" fontId="66" fillId="11" borderId="21"/>
    <xf numFmtId="0" fontId="65" fillId="10" borderId="20"/>
    <xf numFmtId="0" fontId="70" fillId="21" borderId="0"/>
    <xf numFmtId="0" fontId="66" fillId="11" borderId="21"/>
    <xf numFmtId="0" fontId="67" fillId="12" borderId="20"/>
    <xf numFmtId="0" fontId="70" fillId="30" borderId="0"/>
    <xf numFmtId="0" fontId="67" fillId="12" borderId="20"/>
    <xf numFmtId="0" fontId="69" fillId="0" borderId="23"/>
    <xf numFmtId="0" fontId="68" fillId="12" borderId="22"/>
    <xf numFmtId="0" fontId="71" fillId="23" borderId="0"/>
    <xf numFmtId="0" fontId="79" fillId="28" borderId="0"/>
    <xf numFmtId="0" fontId="67" fillId="12" borderId="20"/>
    <xf numFmtId="0" fontId="70" fillId="23" borderId="0"/>
    <xf numFmtId="0" fontId="70" fillId="10" borderId="0"/>
    <xf numFmtId="0" fontId="67" fillId="12" borderId="20"/>
    <xf numFmtId="0" fontId="68" fillId="12" borderId="22"/>
    <xf numFmtId="0" fontId="67" fillId="12" borderId="20"/>
    <xf numFmtId="0" fontId="70" fillId="30" borderId="0"/>
    <xf numFmtId="0" fontId="68" fillId="12" borderId="22"/>
    <xf numFmtId="0" fontId="68" fillId="12" borderId="22"/>
    <xf numFmtId="0" fontId="70" fillId="23" borderId="0"/>
    <xf numFmtId="0" fontId="70" fillId="30" borderId="0"/>
    <xf numFmtId="0" fontId="69" fillId="0" borderId="23"/>
    <xf numFmtId="0" fontId="66" fillId="11" borderId="21"/>
    <xf numFmtId="0" fontId="70" fillId="18" borderId="0"/>
    <xf numFmtId="0" fontId="67" fillId="12" borderId="20"/>
    <xf numFmtId="0" fontId="67" fillId="12" borderId="20"/>
    <xf numFmtId="0" fontId="70" fillId="23" borderId="0"/>
    <xf numFmtId="0" fontId="70" fillId="22" borderId="0"/>
    <xf numFmtId="0" fontId="68" fillId="12" borderId="22"/>
    <xf numFmtId="0" fontId="70" fillId="30" borderId="0"/>
    <xf numFmtId="0" fontId="73" fillId="37" borderId="0"/>
    <xf numFmtId="0" fontId="70" fillId="30" borderId="0"/>
    <xf numFmtId="0" fontId="67" fillId="12" borderId="20"/>
    <xf numFmtId="0" fontId="67" fillId="12" borderId="20"/>
    <xf numFmtId="0" fontId="68" fillId="12" borderId="22"/>
    <xf numFmtId="0" fontId="70" fillId="23" borderId="0"/>
    <xf numFmtId="0" fontId="65" fillId="10" borderId="20"/>
    <xf numFmtId="0" fontId="67" fillId="12" borderId="20"/>
    <xf numFmtId="0" fontId="67" fillId="12" borderId="20"/>
    <xf numFmtId="0" fontId="70" fillId="26" borderId="0"/>
    <xf numFmtId="0" fontId="67" fillId="12" borderId="20"/>
    <xf numFmtId="0" fontId="68" fillId="12" borderId="22"/>
    <xf numFmtId="0" fontId="67" fillId="12" borderId="20"/>
    <xf numFmtId="0" fontId="70" fillId="30" borderId="0"/>
    <xf numFmtId="0" fontId="70" fillId="26" borderId="0"/>
    <xf numFmtId="0" fontId="67" fillId="12" borderId="20"/>
    <xf numFmtId="0" fontId="68" fillId="12" borderId="22"/>
    <xf numFmtId="0" fontId="67" fillId="12" borderId="20"/>
    <xf numFmtId="0" fontId="67" fillId="12" borderId="20"/>
    <xf numFmtId="0" fontId="70" fillId="30" borderId="0"/>
    <xf numFmtId="0" fontId="70" fillId="26" borderId="0"/>
    <xf numFmtId="0" fontId="67" fillId="12" borderId="20"/>
    <xf numFmtId="0" fontId="67" fillId="12" borderId="20"/>
    <xf numFmtId="0" fontId="70" fillId="30" borderId="0"/>
    <xf numFmtId="0" fontId="67" fillId="12" borderId="20"/>
    <xf numFmtId="0" fontId="71" fillId="19" borderId="0"/>
    <xf numFmtId="0" fontId="67" fillId="12" borderId="20"/>
    <xf numFmtId="0" fontId="70" fillId="26" borderId="0"/>
    <xf numFmtId="0" fontId="67" fillId="12" borderId="20"/>
    <xf numFmtId="0" fontId="68" fillId="12" borderId="22"/>
    <xf numFmtId="0" fontId="67" fillId="12" borderId="20"/>
    <xf numFmtId="0" fontId="67" fillId="12" borderId="20"/>
    <xf numFmtId="0" fontId="70" fillId="30" borderId="0"/>
    <xf numFmtId="0" fontId="68" fillId="12" borderId="22"/>
    <xf numFmtId="0" fontId="70" fillId="26" borderId="0"/>
    <xf numFmtId="0" fontId="67" fillId="12" borderId="20"/>
    <xf numFmtId="0" fontId="65" fillId="10" borderId="20"/>
    <xf numFmtId="0" fontId="67" fillId="12" borderId="20"/>
    <xf numFmtId="0" fontId="70" fillId="30" borderId="0"/>
    <xf numFmtId="0" fontId="66" fillId="11" borderId="21"/>
    <xf numFmtId="0" fontId="67" fillId="12" borderId="20"/>
    <xf numFmtId="0" fontId="67" fillId="12" borderId="20"/>
    <xf numFmtId="0" fontId="71" fillId="21" borderId="0"/>
    <xf numFmtId="0" fontId="70" fillId="30" borderId="0"/>
    <xf numFmtId="0" fontId="67" fillId="12" borderId="20"/>
    <xf numFmtId="0" fontId="67" fillId="12" borderId="20"/>
    <xf numFmtId="0" fontId="68" fillId="12" borderId="22"/>
    <xf numFmtId="0" fontId="68" fillId="12" borderId="22"/>
    <xf numFmtId="0" fontId="70" fillId="23" borderId="0"/>
    <xf numFmtId="0" fontId="67" fillId="12" borderId="20"/>
    <xf numFmtId="0" fontId="69" fillId="0" borderId="23"/>
    <xf numFmtId="0" fontId="65" fillId="10" borderId="20"/>
    <xf numFmtId="0" fontId="67" fillId="12" borderId="20"/>
    <xf numFmtId="0" fontId="67" fillId="12" borderId="20"/>
    <xf numFmtId="0" fontId="68" fillId="12" borderId="22"/>
    <xf numFmtId="0" fontId="70" fillId="11" borderId="21"/>
    <xf numFmtId="0" fontId="65" fillId="10" borderId="20"/>
    <xf numFmtId="0" fontId="71" fillId="23" borderId="0"/>
    <xf numFmtId="0" fontId="65" fillId="10" borderId="20"/>
    <xf numFmtId="0" fontId="77" fillId="33" borderId="20"/>
    <xf numFmtId="0" fontId="67" fillId="12" borderId="20"/>
    <xf numFmtId="0" fontId="65" fillId="10" borderId="20"/>
    <xf numFmtId="0" fontId="71" fillId="23" borderId="0"/>
    <xf numFmtId="0" fontId="70" fillId="23" borderId="0"/>
    <xf numFmtId="0" fontId="66" fillId="11" borderId="21"/>
    <xf numFmtId="0" fontId="67" fillId="12" borderId="20"/>
    <xf numFmtId="0" fontId="69" fillId="0" borderId="23"/>
    <xf numFmtId="0" fontId="70" fillId="30" borderId="0"/>
    <xf numFmtId="0" fontId="68" fillId="12" borderId="22"/>
    <xf numFmtId="0" fontId="68" fillId="12" borderId="22"/>
    <xf numFmtId="0" fontId="69" fillId="0" borderId="23"/>
    <xf numFmtId="0" fontId="67" fillId="12" borderId="20"/>
    <xf numFmtId="0" fontId="67" fillId="12" borderId="20"/>
    <xf numFmtId="0" fontId="69" fillId="0" borderId="23"/>
    <xf numFmtId="0" fontId="71" fillId="23" borderId="0"/>
    <xf numFmtId="0" fontId="68" fillId="12" borderId="22"/>
    <xf numFmtId="0" fontId="68" fillId="12" borderId="22"/>
    <xf numFmtId="0" fontId="69" fillId="0" borderId="23"/>
    <xf numFmtId="0" fontId="67" fillId="12" borderId="20"/>
    <xf numFmtId="0" fontId="67" fillId="12" borderId="20"/>
    <xf numFmtId="0" fontId="67" fillId="12" borderId="20"/>
    <xf numFmtId="0" fontId="68" fillId="12" borderId="22"/>
    <xf numFmtId="0" fontId="70" fillId="30" borderId="0"/>
    <xf numFmtId="0" fontId="67" fillId="12" borderId="20"/>
    <xf numFmtId="0" fontId="71" fillId="23" borderId="0"/>
    <xf numFmtId="0" fontId="66" fillId="11" borderId="21"/>
    <xf numFmtId="0" fontId="67" fillId="12" borderId="20"/>
    <xf numFmtId="0" fontId="71" fillId="22" borderId="0"/>
    <xf numFmtId="0" fontId="67" fillId="12" borderId="20"/>
    <xf numFmtId="0" fontId="70" fillId="30" borderId="0"/>
    <xf numFmtId="0" fontId="68" fillId="12" borderId="22"/>
    <xf numFmtId="0" fontId="70" fillId="30" borderId="0"/>
    <xf numFmtId="0" fontId="67" fillId="12" borderId="20"/>
    <xf numFmtId="0" fontId="67" fillId="12" borderId="20"/>
    <xf numFmtId="0" fontId="68" fillId="12" borderId="22"/>
    <xf numFmtId="0" fontId="68" fillId="12" borderId="22"/>
    <xf numFmtId="0" fontId="71" fillId="23" borderId="0"/>
    <xf numFmtId="0" fontId="68" fillId="12" borderId="22"/>
    <xf numFmtId="0" fontId="71" fillId="22" borderId="0"/>
    <xf numFmtId="0" fontId="66" fillId="11" borderId="21"/>
    <xf numFmtId="0" fontId="69" fillId="0" borderId="23"/>
    <xf numFmtId="0" fontId="71" fillId="23" borderId="0"/>
    <xf numFmtId="0" fontId="67" fillId="12" borderId="20"/>
    <xf numFmtId="0" fontId="67" fillId="12" borderId="20"/>
    <xf numFmtId="0" fontId="68" fillId="12" borderId="22"/>
    <xf numFmtId="0" fontId="71" fillId="22" borderId="0"/>
    <xf numFmtId="0" fontId="66" fillId="11" borderId="21"/>
    <xf numFmtId="0" fontId="69" fillId="0" borderId="23"/>
    <xf numFmtId="0" fontId="71" fillId="23" borderId="0"/>
    <xf numFmtId="0" fontId="67" fillId="12" borderId="20"/>
    <xf numFmtId="0" fontId="67" fillId="12" borderId="20"/>
    <xf numFmtId="0" fontId="68" fillId="12" borderId="22"/>
    <xf numFmtId="0" fontId="68" fillId="12" borderId="22"/>
    <xf numFmtId="0" fontId="70" fillId="10" borderId="0"/>
    <xf numFmtId="0" fontId="66" fillId="11" borderId="21"/>
    <xf numFmtId="0" fontId="65" fillId="10" borderId="20"/>
    <xf numFmtId="0" fontId="67" fillId="12" borderId="20"/>
    <xf numFmtId="0" fontId="70" fillId="21" borderId="0"/>
    <xf numFmtId="0" fontId="66" fillId="11" borderId="21"/>
    <xf numFmtId="0" fontId="70" fillId="18" borderId="0"/>
    <xf numFmtId="0" fontId="70" fillId="23" borderId="0"/>
    <xf numFmtId="0" fontId="67" fillId="12" borderId="20"/>
    <xf numFmtId="0" fontId="66" fillId="11" borderId="21"/>
    <xf numFmtId="0" fontId="67" fillId="12" borderId="20"/>
    <xf numFmtId="0" fontId="70" fillId="21" borderId="0"/>
    <xf numFmtId="0" fontId="66" fillId="11" borderId="21"/>
    <xf numFmtId="0" fontId="65" fillId="10" borderId="20"/>
    <xf numFmtId="0" fontId="70" fillId="18" borderId="0"/>
    <xf numFmtId="0" fontId="84" fillId="0" borderId="0"/>
    <xf numFmtId="0" fontId="67" fillId="12" borderId="20"/>
    <xf numFmtId="0" fontId="67" fillId="12" borderId="20"/>
    <xf numFmtId="0" fontId="66" fillId="11" borderId="21"/>
    <xf numFmtId="0" fontId="70" fillId="23" borderId="0"/>
    <xf numFmtId="0" fontId="70" fillId="18" borderId="0"/>
    <xf numFmtId="0" fontId="67" fillId="12" borderId="20"/>
    <xf numFmtId="0" fontId="69" fillId="0" borderId="23"/>
    <xf numFmtId="0" fontId="68" fillId="12" borderId="22"/>
    <xf numFmtId="0" fontId="66" fillId="11" borderId="21"/>
    <xf numFmtId="0" fontId="65" fillId="10" borderId="20"/>
    <xf numFmtId="0" fontId="70" fillId="30" borderId="0"/>
    <xf numFmtId="0" fontId="67" fillId="12" borderId="20"/>
    <xf numFmtId="0" fontId="71" fillId="29" borderId="0"/>
    <xf numFmtId="0" fontId="67" fillId="12" borderId="20"/>
    <xf numFmtId="0" fontId="68" fillId="12" borderId="22"/>
    <xf numFmtId="0" fontId="66" fillId="11" borderId="21"/>
    <xf numFmtId="0" fontId="70" fillId="30" borderId="0"/>
    <xf numFmtId="0" fontId="71" fillId="29" borderId="0"/>
    <xf numFmtId="0" fontId="67" fillId="12" borderId="20"/>
    <xf numFmtId="0" fontId="69" fillId="0" borderId="23"/>
    <xf numFmtId="0" fontId="70" fillId="30" borderId="0"/>
    <xf numFmtId="0" fontId="68" fillId="12" borderId="22"/>
    <xf numFmtId="0" fontId="66" fillId="11" borderId="21"/>
    <xf numFmtId="0" fontId="66" fillId="11" borderId="21"/>
    <xf numFmtId="0" fontId="67" fillId="12" borderId="20"/>
    <xf numFmtId="0" fontId="70" fillId="21" borderId="0"/>
    <xf numFmtId="0" fontId="66" fillId="11" borderId="21"/>
    <xf numFmtId="0" fontId="67" fillId="12" borderId="20"/>
    <xf numFmtId="0" fontId="66" fillId="11" borderId="21"/>
    <xf numFmtId="0" fontId="70" fillId="10" borderId="0"/>
    <xf numFmtId="0" fontId="70" fillId="30" borderId="0"/>
    <xf numFmtId="0" fontId="68" fillId="12" borderId="22"/>
    <xf numFmtId="0" fontId="67" fillId="12" borderId="20"/>
    <xf numFmtId="0" fontId="67" fillId="12" borderId="20"/>
    <xf numFmtId="0" fontId="67" fillId="12" borderId="20"/>
    <xf numFmtId="0" fontId="66" fillId="11" borderId="21"/>
    <xf numFmtId="0" fontId="70" fillId="23" borderId="0"/>
    <xf numFmtId="0" fontId="70" fillId="26" borderId="0"/>
    <xf numFmtId="0" fontId="67" fillId="12" borderId="20"/>
    <xf numFmtId="0" fontId="68" fillId="12" borderId="22"/>
    <xf numFmtId="0" fontId="65" fillId="10" borderId="20"/>
    <xf numFmtId="0" fontId="67" fillId="12" borderId="20"/>
    <xf numFmtId="0" fontId="68" fillId="12" borderId="22"/>
    <xf numFmtId="0" fontId="66" fillId="11" borderId="21"/>
    <xf numFmtId="0" fontId="66" fillId="11" borderId="21"/>
    <xf numFmtId="0" fontId="65" fillId="10" borderId="20"/>
    <xf numFmtId="0" fontId="70" fillId="30" borderId="0"/>
    <xf numFmtId="0" fontId="67" fillId="12" borderId="20"/>
    <xf numFmtId="0" fontId="66" fillId="11" borderId="21"/>
    <xf numFmtId="0" fontId="70" fillId="22" borderId="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6" fillId="11" borderId="21"/>
    <xf numFmtId="0" fontId="70" fillId="30" borderId="0"/>
    <xf numFmtId="0" fontId="66" fillId="11" borderId="21"/>
    <xf numFmtId="0" fontId="65" fillId="10" borderId="20"/>
    <xf numFmtId="0" fontId="70" fillId="22" borderId="0"/>
    <xf numFmtId="0" fontId="66" fillId="11" borderId="21"/>
    <xf numFmtId="0" fontId="65" fillId="10"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8" fillId="12" borderId="22"/>
    <xf numFmtId="0" fontId="66" fillId="11" borderId="21"/>
    <xf numFmtId="0" fontId="70" fillId="30" borderId="0"/>
    <xf numFmtId="0" fontId="66" fillId="11" borderId="21"/>
    <xf numFmtId="0" fontId="67" fillId="12" borderId="20"/>
    <xf numFmtId="0" fontId="70" fillId="21" borderId="0"/>
    <xf numFmtId="0" fontId="69" fillId="0" borderId="23"/>
    <xf numFmtId="0" fontId="67" fillId="12" borderId="20"/>
    <xf numFmtId="0" fontId="70" fillId="10" borderId="0"/>
    <xf numFmtId="0" fontId="66" fillId="11" borderId="21"/>
    <xf numFmtId="0" fontId="65" fillId="10" borderId="20"/>
    <xf numFmtId="0" fontId="70" fillId="30" borderId="0"/>
    <xf numFmtId="0" fontId="67" fillId="12" borderId="20"/>
    <xf numFmtId="0" fontId="67" fillId="12" borderId="20"/>
    <xf numFmtId="0" fontId="67" fillId="12" borderId="20"/>
    <xf numFmtId="0" fontId="66" fillId="11" borderId="21"/>
    <xf numFmtId="0" fontId="70" fillId="23" borderId="0"/>
    <xf numFmtId="0" fontId="68" fillId="12" borderId="22"/>
    <xf numFmtId="0" fontId="70" fillId="18" borderId="0"/>
    <xf numFmtId="0" fontId="67" fillId="12" borderId="20"/>
    <xf numFmtId="0" fontId="66" fillId="11" borderId="21"/>
    <xf numFmtId="0" fontId="66" fillId="11" borderId="21"/>
    <xf numFmtId="0" fontId="65" fillId="10" borderId="20"/>
    <xf numFmtId="0" fontId="70" fillId="30" borderId="0"/>
    <xf numFmtId="0" fontId="70" fillId="18" borderId="0"/>
    <xf numFmtId="0" fontId="67" fillId="12" borderId="20"/>
    <xf numFmtId="0" fontId="66" fillId="11" borderId="21"/>
    <xf numFmtId="0" fontId="65" fillId="10" borderId="20"/>
    <xf numFmtId="0" fontId="67" fillId="12" borderId="20"/>
    <xf numFmtId="0" fontId="67" fillId="12" borderId="20"/>
    <xf numFmtId="0" fontId="68" fillId="12" borderId="22"/>
    <xf numFmtId="0" fontId="68" fillId="12" borderId="22"/>
    <xf numFmtId="0" fontId="65" fillId="10" borderId="20"/>
    <xf numFmtId="0" fontId="66" fillId="11" borderId="21"/>
    <xf numFmtId="0" fontId="70" fillId="30" borderId="0"/>
    <xf numFmtId="0" fontId="70" fillId="10" borderId="0"/>
    <xf numFmtId="0" fontId="67" fillId="12" borderId="20"/>
    <xf numFmtId="0" fontId="67" fillId="12" borderId="20"/>
    <xf numFmtId="0" fontId="68" fillId="12" borderId="22"/>
    <xf numFmtId="0" fontId="71" fillId="26" borderId="0"/>
    <xf numFmtId="0" fontId="65" fillId="10" borderId="20"/>
    <xf numFmtId="0" fontId="67" fillId="12" borderId="20"/>
    <xf numFmtId="0" fontId="67" fillId="12" borderId="20"/>
    <xf numFmtId="0" fontId="69" fillId="0" borderId="23"/>
    <xf numFmtId="0" fontId="68" fillId="12" borderId="22"/>
    <xf numFmtId="0" fontId="71" fillId="26" borderId="0"/>
    <xf numFmtId="0" fontId="67" fillId="12" borderId="20"/>
    <xf numFmtId="0" fontId="67" fillId="12" borderId="20"/>
    <xf numFmtId="0" fontId="69" fillId="0" borderId="23"/>
    <xf numFmtId="0" fontId="70" fillId="26" borderId="0"/>
    <xf numFmtId="0" fontId="67" fillId="12" borderId="20"/>
    <xf numFmtId="0" fontId="67" fillId="12" borderId="20"/>
    <xf numFmtId="0" fontId="67" fillId="12" borderId="20"/>
    <xf numFmtId="0" fontId="70" fillId="10" borderId="0"/>
    <xf numFmtId="0" fontId="67" fillId="12" borderId="20"/>
    <xf numFmtId="0" fontId="65" fillId="10" borderId="20"/>
    <xf numFmtId="0" fontId="65" fillId="10" borderId="20"/>
    <xf numFmtId="0" fontId="67" fillId="12" borderId="20"/>
    <xf numFmtId="0" fontId="70" fillId="26" borderId="0"/>
    <xf numFmtId="0" fontId="67" fillId="12" borderId="20"/>
    <xf numFmtId="0" fontId="67" fillId="12" borderId="20"/>
    <xf numFmtId="0" fontId="71" fillId="22" borderId="0"/>
    <xf numFmtId="0" fontId="65" fillId="10" borderId="20"/>
    <xf numFmtId="0" fontId="67" fillId="12" borderId="20"/>
    <xf numFmtId="0" fontId="67" fillId="12" borderId="20"/>
    <xf numFmtId="0" fontId="70" fillId="10" borderId="0"/>
    <xf numFmtId="0" fontId="68" fillId="12" borderId="22"/>
    <xf numFmtId="0" fontId="67" fillId="12" borderId="20"/>
    <xf numFmtId="0" fontId="67" fillId="12" borderId="20"/>
    <xf numFmtId="0" fontId="67" fillId="12" borderId="20"/>
    <xf numFmtId="0" fontId="67" fillId="25" borderId="20"/>
    <xf numFmtId="0" fontId="66" fillId="11" borderId="21"/>
    <xf numFmtId="0" fontId="70" fillId="21" borderId="0"/>
    <xf numFmtId="0" fontId="71" fillId="22" borderId="0"/>
    <xf numFmtId="0" fontId="65" fillId="10" borderId="20"/>
    <xf numFmtId="0" fontId="67" fillId="12" borderId="20"/>
    <xf numFmtId="0" fontId="65" fillId="10" borderId="20"/>
    <xf numFmtId="0" fontId="67" fillId="12" borderId="20"/>
    <xf numFmtId="0" fontId="67" fillId="12" borderId="20"/>
    <xf numFmtId="0" fontId="70" fillId="10" borderId="0"/>
    <xf numFmtId="0" fontId="67" fillId="12" borderId="20"/>
    <xf numFmtId="0" fontId="67" fillId="12" borderId="20"/>
    <xf numFmtId="0" fontId="66" fillId="11" borderId="21"/>
    <xf numFmtId="0" fontId="70" fillId="21" borderId="0"/>
    <xf numFmtId="0" fontId="71" fillId="22" borderId="0"/>
    <xf numFmtId="0" fontId="67" fillId="12" borderId="20"/>
    <xf numFmtId="0" fontId="65" fillId="10" borderId="20"/>
    <xf numFmtId="0" fontId="67" fillId="12" borderId="20"/>
    <xf numFmtId="0" fontId="65" fillId="10" borderId="20"/>
    <xf numFmtId="0" fontId="67" fillId="12" borderId="20"/>
    <xf numFmtId="0" fontId="67" fillId="12" borderId="20"/>
    <xf numFmtId="0" fontId="70" fillId="10" borderId="0"/>
    <xf numFmtId="0" fontId="68" fillId="12" borderId="22"/>
    <xf numFmtId="0" fontId="66" fillId="11" borderId="21"/>
    <xf numFmtId="0" fontId="65" fillId="10" borderId="20"/>
    <xf numFmtId="0" fontId="67" fillId="12" borderId="20"/>
    <xf numFmtId="0" fontId="67" fillId="12" borderId="20"/>
    <xf numFmtId="0" fontId="70" fillId="10" borderId="0"/>
    <xf numFmtId="0" fontId="68" fillId="12" borderId="22"/>
    <xf numFmtId="0" fontId="66" fillId="11" borderId="21"/>
    <xf numFmtId="0" fontId="65" fillId="10" borderId="20"/>
    <xf numFmtId="0" fontId="67" fillId="12" borderId="20"/>
    <xf numFmtId="0" fontId="67" fillId="12" borderId="20"/>
    <xf numFmtId="0" fontId="70" fillId="10" borderId="0"/>
    <xf numFmtId="0" fontId="66" fillId="11" borderId="21"/>
    <xf numFmtId="0" fontId="65" fillId="10" borderId="20"/>
    <xf numFmtId="0" fontId="67" fillId="12" borderId="20"/>
    <xf numFmtId="0" fontId="67" fillId="12" borderId="20"/>
    <xf numFmtId="0" fontId="71" fillId="26" borderId="0"/>
    <xf numFmtId="0" fontId="66" fillId="11" borderId="21"/>
    <xf numFmtId="0" fontId="67" fillId="12" borderId="20"/>
    <xf numFmtId="0" fontId="66" fillId="11" borderId="21"/>
    <xf numFmtId="0" fontId="70" fillId="26" borderId="0"/>
    <xf numFmtId="0" fontId="67" fillId="12" borderId="20"/>
    <xf numFmtId="0" fontId="66" fillId="11" borderId="21"/>
    <xf numFmtId="0" fontId="71" fillId="26" borderId="0"/>
    <xf numFmtId="0" fontId="65" fillId="10" borderId="20"/>
    <xf numFmtId="0" fontId="71" fillId="26" borderId="0"/>
    <xf numFmtId="0" fontId="67" fillId="12" borderId="20"/>
    <xf numFmtId="0" fontId="68" fillId="12" borderId="22"/>
    <xf numFmtId="0" fontId="65" fillId="10" borderId="20"/>
    <xf numFmtId="0" fontId="70" fillId="10" borderId="0"/>
    <xf numFmtId="0" fontId="67" fillId="12" borderId="20"/>
    <xf numFmtId="0" fontId="67" fillId="12" borderId="20"/>
    <xf numFmtId="0" fontId="67" fillId="12" borderId="20"/>
    <xf numFmtId="0" fontId="65" fillId="10" borderId="20"/>
    <xf numFmtId="0" fontId="67" fillId="12" borderId="20"/>
    <xf numFmtId="0" fontId="69" fillId="0" borderId="23"/>
    <xf numFmtId="0" fontId="68" fillId="12" borderId="22"/>
    <xf numFmtId="0" fontId="65" fillId="10" borderId="20"/>
    <xf numFmtId="0" fontId="71" fillId="10" borderId="0"/>
    <xf numFmtId="0" fontId="69" fillId="0" borderId="23"/>
    <xf numFmtId="0" fontId="67" fillId="12" borderId="20"/>
    <xf numFmtId="0" fontId="67" fillId="12" borderId="20"/>
    <xf numFmtId="0" fontId="67" fillId="12" borderId="20"/>
    <xf numFmtId="0" fontId="69" fillId="0" borderId="23"/>
    <xf numFmtId="0" fontId="69" fillId="0" borderId="23"/>
    <xf numFmtId="0" fontId="71" fillId="10" borderId="0"/>
    <xf numFmtId="0" fontId="69" fillId="0" borderId="23"/>
    <xf numFmtId="0" fontId="65" fillId="10" borderId="20"/>
    <xf numFmtId="0" fontId="67" fillId="12" borderId="20"/>
    <xf numFmtId="0" fontId="67" fillId="12" borderId="20"/>
    <xf numFmtId="0" fontId="69" fillId="0" borderId="23"/>
    <xf numFmtId="0" fontId="70" fillId="10" borderId="0"/>
    <xf numFmtId="0" fontId="68" fillId="12" borderId="22"/>
    <xf numFmtId="0" fontId="68" fillId="12" borderId="22"/>
    <xf numFmtId="0" fontId="67" fillId="12" borderId="20"/>
    <xf numFmtId="0" fontId="69" fillId="0" borderId="23"/>
    <xf numFmtId="0" fontId="71" fillId="26" borderId="0"/>
    <xf numFmtId="0" fontId="68" fillId="12" borderId="22"/>
    <xf numFmtId="0" fontId="68" fillId="12" borderId="22"/>
    <xf numFmtId="0" fontId="67" fillId="12" borderId="20"/>
    <xf numFmtId="0" fontId="67" fillId="12" borderId="20"/>
    <xf numFmtId="0" fontId="70" fillId="31" borderId="0"/>
    <xf numFmtId="0" fontId="67" fillId="12" borderId="20"/>
    <xf numFmtId="0" fontId="71" fillId="26" borderId="0"/>
    <xf numFmtId="0" fontId="67" fillId="12" borderId="20"/>
    <xf numFmtId="0" fontId="67" fillId="12" borderId="20"/>
    <xf numFmtId="0" fontId="67" fillId="12" borderId="20"/>
    <xf numFmtId="0" fontId="68" fillId="12" borderId="22"/>
    <xf numFmtId="0" fontId="70" fillId="10" borderId="0"/>
    <xf numFmtId="0" fontId="67" fillId="12" borderId="20"/>
    <xf numFmtId="0" fontId="67" fillId="12" borderId="20"/>
    <xf numFmtId="0" fontId="67" fillId="12" borderId="20"/>
    <xf numFmtId="0" fontId="66" fillId="11" borderId="21"/>
    <xf numFmtId="0" fontId="70" fillId="26" borderId="0"/>
    <xf numFmtId="0" fontId="67" fillId="12" borderId="20"/>
    <xf numFmtId="0" fontId="71" fillId="19" borderId="0"/>
    <xf numFmtId="0" fontId="67" fillId="12" borderId="20"/>
    <xf numFmtId="0" fontId="68" fillId="12" borderId="22"/>
    <xf numFmtId="0" fontId="70" fillId="10" borderId="0"/>
    <xf numFmtId="0" fontId="67" fillId="12" borderId="20"/>
    <xf numFmtId="0" fontId="69" fillId="0" borderId="23"/>
    <xf numFmtId="0" fontId="66" fillId="11" borderId="21"/>
    <xf numFmtId="0" fontId="70" fillId="26" borderId="0"/>
    <xf numFmtId="0" fontId="67" fillId="12" borderId="20"/>
    <xf numFmtId="0" fontId="73" fillId="27" borderId="0"/>
    <xf numFmtId="0" fontId="67" fillId="12" borderId="20"/>
    <xf numFmtId="0" fontId="66" fillId="11" borderId="21"/>
    <xf numFmtId="0" fontId="70" fillId="26" borderId="0"/>
    <xf numFmtId="0" fontId="67" fillId="12" borderId="20"/>
    <xf numFmtId="0" fontId="70" fillId="10" borderId="0"/>
    <xf numFmtId="0" fontId="68" fillId="12" borderId="22"/>
    <xf numFmtId="0" fontId="70" fillId="10" borderId="0"/>
    <xf numFmtId="0" fontId="68" fillId="12" borderId="22"/>
    <xf numFmtId="0" fontId="70" fillId="10" borderId="0"/>
    <xf numFmtId="0" fontId="70" fillId="22" borderId="0"/>
    <xf numFmtId="0" fontId="69" fillId="0" borderId="23"/>
    <xf numFmtId="0" fontId="65" fillId="10" borderId="20"/>
    <xf numFmtId="0" fontId="75" fillId="19" borderId="0"/>
    <xf numFmtId="0" fontId="71" fillId="22" borderId="0"/>
    <xf numFmtId="0" fontId="68" fillId="12" borderId="22"/>
    <xf numFmtId="0" fontId="67" fillId="12" borderId="20"/>
    <xf numFmtId="0" fontId="67" fillId="12" borderId="20"/>
    <xf numFmtId="0" fontId="66" fillId="11" borderId="21"/>
    <xf numFmtId="0" fontId="67" fillId="12" borderId="20"/>
    <xf numFmtId="0" fontId="70" fillId="22" borderId="0"/>
    <xf numFmtId="0" fontId="67" fillId="12" borderId="20"/>
    <xf numFmtId="0" fontId="66" fillId="11" borderId="21"/>
    <xf numFmtId="0" fontId="65" fillId="10" borderId="20"/>
    <xf numFmtId="0" fontId="66" fillId="11" borderId="21"/>
    <xf numFmtId="0" fontId="71" fillId="22" borderId="0"/>
    <xf numFmtId="0" fontId="67" fillId="12" borderId="20"/>
    <xf numFmtId="0" fontId="67" fillId="12" borderId="20"/>
    <xf numFmtId="0" fontId="73" fillId="29" borderId="0"/>
    <xf numFmtId="0" fontId="71" fillId="18" borderId="0"/>
    <xf numFmtId="0" fontId="67" fillId="12" borderId="20"/>
    <xf numFmtId="0" fontId="66" fillId="11" borderId="21"/>
    <xf numFmtId="0" fontId="70" fillId="22" borderId="0"/>
    <xf numFmtId="0" fontId="69" fillId="0" borderId="23"/>
    <xf numFmtId="0" fontId="65" fillId="10" borderId="20"/>
    <xf numFmtId="0" fontId="65" fillId="10" borderId="20"/>
    <xf numFmtId="0" fontId="68" fillId="12" borderId="22"/>
    <xf numFmtId="0" fontId="67" fillId="12" borderId="20"/>
    <xf numFmtId="0" fontId="67" fillId="12" borderId="20"/>
    <xf numFmtId="0" fontId="67" fillId="12" borderId="20"/>
    <xf numFmtId="0" fontId="70" fillId="22" borderId="0"/>
    <xf numFmtId="0" fontId="67" fillId="12" borderId="20"/>
    <xf numFmtId="0" fontId="71" fillId="22" borderId="0"/>
    <xf numFmtId="0" fontId="65" fillId="10" borderId="20"/>
    <xf numFmtId="0" fontId="67" fillId="12" borderId="20"/>
    <xf numFmtId="0" fontId="67" fillId="12" borderId="20"/>
    <xf numFmtId="0" fontId="70" fillId="21" borderId="0"/>
    <xf numFmtId="0" fontId="70" fillId="22" borderId="0"/>
    <xf numFmtId="0" fontId="70" fillId="21" borderId="0"/>
    <xf numFmtId="0" fontId="68" fillId="12" borderId="22"/>
    <xf numFmtId="0" fontId="66" fillId="11" borderId="21"/>
    <xf numFmtId="0" fontId="73" fillId="37" borderId="0"/>
    <xf numFmtId="0" fontId="70" fillId="22" borderId="0"/>
    <xf numFmtId="0" fontId="70" fillId="22" borderId="0"/>
    <xf numFmtId="0" fontId="70" fillId="22" borderId="0"/>
    <xf numFmtId="0" fontId="65" fillId="10" borderId="20"/>
    <xf numFmtId="0" fontId="70" fillId="22" borderId="0"/>
    <xf numFmtId="0" fontId="70" fillId="22" borderId="0"/>
    <xf numFmtId="0" fontId="67" fillId="12" borderId="20"/>
    <xf numFmtId="0" fontId="71" fillId="22" borderId="0"/>
    <xf numFmtId="0" fontId="67" fillId="12" borderId="20"/>
    <xf numFmtId="0" fontId="70" fillId="22" borderId="0"/>
    <xf numFmtId="0" fontId="66" fillId="11" borderId="21"/>
    <xf numFmtId="0" fontId="71" fillId="22" borderId="0"/>
    <xf numFmtId="0" fontId="70" fillId="22" borderId="0"/>
    <xf numFmtId="0" fontId="70" fillId="25" borderId="0"/>
    <xf numFmtId="0" fontId="65" fillId="10" borderId="20"/>
    <xf numFmtId="0" fontId="67" fillId="12" borderId="20"/>
    <xf numFmtId="0" fontId="67" fillId="12" borderId="20"/>
    <xf numFmtId="0" fontId="66" fillId="11" borderId="21"/>
    <xf numFmtId="0" fontId="70" fillId="12" borderId="0"/>
    <xf numFmtId="0" fontId="67" fillId="12" borderId="20"/>
    <xf numFmtId="0" fontId="66" fillId="11" borderId="21"/>
    <xf numFmtId="0" fontId="70" fillId="12" borderId="0"/>
    <xf numFmtId="0" fontId="67" fillId="12" borderId="20"/>
    <xf numFmtId="0" fontId="70" fillId="22" borderId="0"/>
    <xf numFmtId="0" fontId="67" fillId="12" borderId="20"/>
    <xf numFmtId="0" fontId="70" fillId="22" borderId="0"/>
    <xf numFmtId="0" fontId="65" fillId="10" borderId="20"/>
    <xf numFmtId="0" fontId="67" fillId="12" borderId="20"/>
    <xf numFmtId="0" fontId="70" fillId="18" borderId="0"/>
    <xf numFmtId="0" fontId="71" fillId="29" borderId="0"/>
    <xf numFmtId="0" fontId="68" fillId="12" borderId="22"/>
    <xf numFmtId="0" fontId="73" fillId="34" borderId="0"/>
    <xf numFmtId="0" fontId="71" fillId="29" borderId="0"/>
    <xf numFmtId="0" fontId="73" fillId="37" borderId="0"/>
    <xf numFmtId="0" fontId="68" fillId="12" borderId="22"/>
    <xf numFmtId="0" fontId="70" fillId="22" borderId="0"/>
    <xf numFmtId="0" fontId="67" fillId="12" borderId="20"/>
    <xf numFmtId="0" fontId="70" fillId="29" borderId="0"/>
    <xf numFmtId="0" fontId="66" fillId="11" borderId="21"/>
    <xf numFmtId="0" fontId="65" fillId="10" borderId="20"/>
    <xf numFmtId="0" fontId="67" fillId="12" borderId="20"/>
    <xf numFmtId="0" fontId="70" fillId="18" borderId="0"/>
    <xf numFmtId="0" fontId="67" fillId="12" borderId="20"/>
    <xf numFmtId="0" fontId="68" fillId="12" borderId="22"/>
    <xf numFmtId="0" fontId="70" fillId="18" borderId="0"/>
    <xf numFmtId="0" fontId="67" fillId="12" borderId="20"/>
    <xf numFmtId="0" fontId="71" fillId="19" borderId="0"/>
    <xf numFmtId="0" fontId="69" fillId="0" borderId="23"/>
    <xf numFmtId="0" fontId="67" fillId="12" borderId="20"/>
    <xf numFmtId="0" fontId="70" fillId="29" borderId="0"/>
    <xf numFmtId="0" fontId="65" fillId="10" borderId="20"/>
    <xf numFmtId="0" fontId="70" fillId="29" borderId="0"/>
    <xf numFmtId="0" fontId="70" fillId="18" borderId="0"/>
    <xf numFmtId="0" fontId="73" fillId="24" borderId="0"/>
    <xf numFmtId="0" fontId="67" fillId="12" borderId="20"/>
    <xf numFmtId="0" fontId="67" fillId="12" borderId="20"/>
    <xf numFmtId="0" fontId="70" fillId="18" borderId="0"/>
    <xf numFmtId="0" fontId="73" fillId="24" borderId="0"/>
    <xf numFmtId="0" fontId="67" fillId="12" borderId="20"/>
    <xf numFmtId="0" fontId="70" fillId="18" borderId="0"/>
    <xf numFmtId="0" fontId="66" fillId="11" borderId="21"/>
    <xf numFmtId="0" fontId="66" fillId="11" borderId="21"/>
    <xf numFmtId="0" fontId="65" fillId="10" borderId="20"/>
    <xf numFmtId="0" fontId="67" fillId="12" borderId="20"/>
    <xf numFmtId="0" fontId="70" fillId="29" borderId="0"/>
    <xf numFmtId="0" fontId="66" fillId="11" borderId="21"/>
    <xf numFmtId="0" fontId="66" fillId="11" borderId="21"/>
    <xf numFmtId="0" fontId="67" fillId="12" borderId="20"/>
    <xf numFmtId="0" fontId="70" fillId="18" borderId="0"/>
    <xf numFmtId="0" fontId="68" fillId="12" borderId="22"/>
    <xf numFmtId="0" fontId="71" fillId="29" borderId="0"/>
    <xf numFmtId="0" fontId="67" fillId="12" borderId="20"/>
    <xf numFmtId="0" fontId="68" fillId="12" borderId="22"/>
    <xf numFmtId="0" fontId="71" fillId="29" borderId="0"/>
    <xf numFmtId="0" fontId="66" fillId="11" borderId="21"/>
    <xf numFmtId="0" fontId="67" fillId="12" borderId="20"/>
    <xf numFmtId="0" fontId="65" fillId="10" borderId="20"/>
    <xf numFmtId="0" fontId="67" fillId="12" borderId="20"/>
    <xf numFmtId="0" fontId="73" fillId="27" borderId="0"/>
    <xf numFmtId="0" fontId="67" fillId="12" borderId="20"/>
    <xf numFmtId="0" fontId="68" fillId="12" borderId="22"/>
    <xf numFmtId="0" fontId="65" fillId="10" borderId="20"/>
    <xf numFmtId="0" fontId="75" fillId="20" borderId="0"/>
    <xf numFmtId="0" fontId="67" fillId="12" borderId="20"/>
    <xf numFmtId="0" fontId="71" fillId="29" borderId="0"/>
    <xf numFmtId="0" fontId="67" fillId="12" borderId="20"/>
    <xf numFmtId="0" fontId="70" fillId="29" borderId="0"/>
    <xf numFmtId="0" fontId="66" fillId="11" borderId="21"/>
    <xf numFmtId="0" fontId="66" fillId="11" borderId="21"/>
    <xf numFmtId="0" fontId="67" fillId="12" borderId="20"/>
    <xf numFmtId="0" fontId="70" fillId="29" borderId="0"/>
    <xf numFmtId="0" fontId="67" fillId="12" borderId="20"/>
    <xf numFmtId="0" fontId="70" fillId="29" borderId="0"/>
    <xf numFmtId="0" fontId="65" fillId="10" borderId="20"/>
    <xf numFmtId="0" fontId="70" fillId="29" borderId="0"/>
    <xf numFmtId="0" fontId="65" fillId="10" borderId="20"/>
    <xf numFmtId="0" fontId="70" fillId="18" borderId="0"/>
    <xf numFmtId="0" fontId="73" fillId="29" borderId="0"/>
    <xf numFmtId="0" fontId="71" fillId="18" borderId="0"/>
    <xf numFmtId="0" fontId="67" fillId="12" borderId="20"/>
    <xf numFmtId="0" fontId="65" fillId="10" borderId="20"/>
    <xf numFmtId="0" fontId="87" fillId="11" borderId="0"/>
    <xf numFmtId="0" fontId="67" fillId="12" borderId="20"/>
    <xf numFmtId="0" fontId="70" fillId="21" borderId="0"/>
    <xf numFmtId="0" fontId="67" fillId="12" borderId="20"/>
    <xf numFmtId="0" fontId="68" fillId="12" borderId="22"/>
    <xf numFmtId="0" fontId="71" fillId="29" borderId="0"/>
    <xf numFmtId="0" fontId="67" fillId="12" borderId="20"/>
    <xf numFmtId="0" fontId="70" fillId="18" borderId="0"/>
    <xf numFmtId="0" fontId="67" fillId="12" borderId="20"/>
    <xf numFmtId="0" fontId="71" fillId="29" borderId="0"/>
    <xf numFmtId="0" fontId="77" fillId="33" borderId="20"/>
    <xf numFmtId="0" fontId="67" fillId="12" borderId="20"/>
    <xf numFmtId="0" fontId="71" fillId="29" borderId="0"/>
    <xf numFmtId="0" fontId="70" fillId="29" borderId="0"/>
    <xf numFmtId="0" fontId="65" fillId="10" borderId="20"/>
    <xf numFmtId="0" fontId="67" fillId="12" borderId="20"/>
    <xf numFmtId="0" fontId="67" fillId="12" borderId="20"/>
    <xf numFmtId="0" fontId="70" fillId="18" borderId="0"/>
    <xf numFmtId="0" fontId="66" fillId="11" borderId="21"/>
    <xf numFmtId="0" fontId="70" fillId="31" borderId="0"/>
    <xf numFmtId="0" fontId="83" fillId="0" borderId="27"/>
    <xf numFmtId="0" fontId="73" fillId="32" borderId="0"/>
    <xf numFmtId="0" fontId="67" fillId="12" borderId="20"/>
    <xf numFmtId="0" fontId="67" fillId="12" borderId="20"/>
    <xf numFmtId="0" fontId="70" fillId="18" borderId="0"/>
    <xf numFmtId="0" fontId="67" fillId="12" borderId="20"/>
    <xf numFmtId="0" fontId="71" fillId="22" borderId="0"/>
    <xf numFmtId="0" fontId="73" fillId="32" borderId="0"/>
    <xf numFmtId="0" fontId="67" fillId="12" borderId="20"/>
    <xf numFmtId="0" fontId="70" fillId="18" borderId="0"/>
    <xf numFmtId="0" fontId="70" fillId="22" borderId="0"/>
    <xf numFmtId="0" fontId="67" fillId="12" borderId="20"/>
    <xf numFmtId="0" fontId="66" fillId="11" borderId="21"/>
    <xf numFmtId="0" fontId="70" fillId="18" borderId="0"/>
    <xf numFmtId="0" fontId="66" fillId="11" borderId="21"/>
    <xf numFmtId="0" fontId="67" fillId="12" borderId="20"/>
    <xf numFmtId="0" fontId="66" fillId="11" borderId="21"/>
    <xf numFmtId="0" fontId="70" fillId="18" borderId="0"/>
    <xf numFmtId="0" fontId="67" fillId="12" borderId="20"/>
    <xf numFmtId="0" fontId="70" fillId="18" borderId="0"/>
    <xf numFmtId="0" fontId="70" fillId="19" borderId="0"/>
    <xf numFmtId="0" fontId="71" fillId="19" borderId="0"/>
    <xf numFmtId="0" fontId="69" fillId="0" borderId="23"/>
    <xf numFmtId="0" fontId="112" fillId="0" borderId="0"/>
    <xf numFmtId="0" fontId="65" fillId="10" borderId="20"/>
    <xf numFmtId="0" fontId="67" fillId="12" borderId="20"/>
    <xf numFmtId="0" fontId="67" fillId="12" borderId="20"/>
    <xf numFmtId="0" fontId="70" fillId="21" borderId="0"/>
    <xf numFmtId="0" fontId="67" fillId="12" borderId="20"/>
    <xf numFmtId="0" fontId="66" fillId="11" borderId="21"/>
    <xf numFmtId="0" fontId="65" fillId="10" borderId="20"/>
    <xf numFmtId="0" fontId="67" fillId="12" borderId="20"/>
    <xf numFmtId="0" fontId="70" fillId="19" borderId="0"/>
    <xf numFmtId="0" fontId="70" fillId="19" borderId="0"/>
    <xf numFmtId="0" fontId="70" fillId="19" borderId="0"/>
    <xf numFmtId="0" fontId="70" fillId="19" borderId="0"/>
    <xf numFmtId="0" fontId="65" fillId="10" borderId="20"/>
    <xf numFmtId="0" fontId="67" fillId="12" borderId="20"/>
    <xf numFmtId="0" fontId="67" fillId="12" borderId="20"/>
    <xf numFmtId="0" fontId="65" fillId="10" borderId="20"/>
    <xf numFmtId="0" fontId="70" fillId="17" borderId="0"/>
    <xf numFmtId="0" fontId="65" fillId="10" borderId="20"/>
    <xf numFmtId="0" fontId="67" fillId="12" borderId="20"/>
    <xf numFmtId="0" fontId="66" fillId="11" borderId="21"/>
    <xf numFmtId="0" fontId="70" fillId="19" borderId="0"/>
    <xf numFmtId="0" fontId="65" fillId="10" borderId="20"/>
    <xf numFmtId="0" fontId="70" fillId="19" borderId="0"/>
    <xf numFmtId="0" fontId="65" fillId="10" borderId="20"/>
    <xf numFmtId="0" fontId="70" fillId="19" borderId="0"/>
    <xf numFmtId="0" fontId="65" fillId="10" borderId="20"/>
    <xf numFmtId="0" fontId="70" fillId="25" borderId="0"/>
    <xf numFmtId="0" fontId="65" fillId="10" borderId="20"/>
    <xf numFmtId="0" fontId="71" fillId="31" borderId="0"/>
    <xf numFmtId="0" fontId="65" fillId="10" borderId="20"/>
    <xf numFmtId="0" fontId="67" fillId="12" borderId="20"/>
    <xf numFmtId="0" fontId="65" fillId="10" borderId="20"/>
    <xf numFmtId="0" fontId="70" fillId="26" borderId="0"/>
    <xf numFmtId="0" fontId="66" fillId="11" borderId="21"/>
    <xf numFmtId="0" fontId="70" fillId="12" borderId="0"/>
    <xf numFmtId="0" fontId="65" fillId="10" borderId="20"/>
    <xf numFmtId="0" fontId="66" fillId="11" borderId="21"/>
    <xf numFmtId="0" fontId="69" fillId="0" borderId="23"/>
    <xf numFmtId="0" fontId="69" fillId="0" borderId="23"/>
    <xf numFmtId="0" fontId="65" fillId="10" borderId="20"/>
    <xf numFmtId="0" fontId="65" fillId="10" borderId="20"/>
    <xf numFmtId="0" fontId="70" fillId="31" borderId="0"/>
    <xf numFmtId="0" fontId="66" fillId="11" borderId="21"/>
    <xf numFmtId="0" fontId="65" fillId="10" borderId="20"/>
    <xf numFmtId="0" fontId="67" fillId="12" borderId="20"/>
    <xf numFmtId="0" fontId="70" fillId="31" borderId="0"/>
    <xf numFmtId="0" fontId="70" fillId="31" borderId="0"/>
    <xf numFmtId="0" fontId="70" fillId="31" borderId="0"/>
    <xf numFmtId="0" fontId="67" fillId="12" borderId="20"/>
    <xf numFmtId="0" fontId="70" fillId="10" borderId="0"/>
    <xf numFmtId="0" fontId="65" fillId="10" borderId="20"/>
    <xf numFmtId="0" fontId="79" fillId="28" borderId="0"/>
    <xf numFmtId="0" fontId="66" fillId="11" borderId="21"/>
    <xf numFmtId="0" fontId="69" fillId="0" borderId="23"/>
    <xf numFmtId="0" fontId="65" fillId="10" borderId="20"/>
    <xf numFmtId="0" fontId="71" fillId="31" borderId="0"/>
    <xf numFmtId="0" fontId="65" fillId="10" borderId="20"/>
    <xf numFmtId="0" fontId="75" fillId="19" borderId="0"/>
    <xf numFmtId="0" fontId="65" fillId="10" borderId="20"/>
    <xf numFmtId="0" fontId="70" fillId="21" borderId="0"/>
    <xf numFmtId="0" fontId="67" fillId="12" borderId="20"/>
    <xf numFmtId="0" fontId="66" fillId="11" borderId="21"/>
    <xf numFmtId="0" fontId="70" fillId="12" borderId="0"/>
    <xf numFmtId="0" fontId="65" fillId="10" borderId="20"/>
    <xf numFmtId="0" fontId="67" fillId="12" borderId="20"/>
    <xf numFmtId="0" fontId="67" fillId="12" borderId="20"/>
    <xf numFmtId="0" fontId="66" fillId="11" borderId="21"/>
    <xf numFmtId="0" fontId="69" fillId="0" borderId="23"/>
    <xf numFmtId="0" fontId="69" fillId="0" borderId="23"/>
    <xf numFmtId="0" fontId="65" fillId="10" borderId="20"/>
    <xf numFmtId="0" fontId="65" fillId="10" borderId="20"/>
    <xf numFmtId="0" fontId="70" fillId="31" borderId="0"/>
    <xf numFmtId="0" fontId="67" fillId="12" borderId="20"/>
    <xf numFmtId="0" fontId="65" fillId="10" borderId="20"/>
    <xf numFmtId="0" fontId="70" fillId="21" borderId="0"/>
    <xf numFmtId="0" fontId="70" fillId="26" borderId="0"/>
    <xf numFmtId="0" fontId="67" fillId="12" borderId="20"/>
    <xf numFmtId="0" fontId="65" fillId="10" borderId="20"/>
    <xf numFmtId="0" fontId="70" fillId="31" borderId="0"/>
    <xf numFmtId="0" fontId="67" fillId="12" borderId="20"/>
    <xf numFmtId="0" fontId="67" fillId="12" borderId="20"/>
    <xf numFmtId="0" fontId="67" fillId="25" borderId="20"/>
    <xf numFmtId="0" fontId="66" fillId="11" borderId="21"/>
    <xf numFmtId="0" fontId="69" fillId="0" borderId="23"/>
    <xf numFmtId="0" fontId="69" fillId="0" borderId="23"/>
    <xf numFmtId="0" fontId="65" fillId="10" borderId="20"/>
    <xf numFmtId="0" fontId="70" fillId="31" borderId="0"/>
    <xf numFmtId="0" fontId="68" fillId="12" borderId="22"/>
    <xf numFmtId="0" fontId="66" fillId="11" borderId="21"/>
    <xf numFmtId="0" fontId="69" fillId="0" borderId="23"/>
    <xf numFmtId="0" fontId="65" fillId="10" borderId="20"/>
    <xf numFmtId="0" fontId="70" fillId="31" borderId="0"/>
    <xf numFmtId="0" fontId="68" fillId="12" borderId="22"/>
    <xf numFmtId="0" fontId="66" fillId="11" borderId="21"/>
    <xf numFmtId="0" fontId="65" fillId="10" borderId="20"/>
    <xf numFmtId="0" fontId="70" fillId="31" borderId="0"/>
    <xf numFmtId="0" fontId="65" fillId="10" borderId="20"/>
    <xf numFmtId="0" fontId="70" fillId="31" borderId="0"/>
    <xf numFmtId="0" fontId="73" fillId="16" borderId="0"/>
    <xf numFmtId="0" fontId="65" fillId="10" borderId="20"/>
    <xf numFmtId="0" fontId="70" fillId="31" borderId="0"/>
    <xf numFmtId="0" fontId="67" fillId="12" borderId="20"/>
    <xf numFmtId="0" fontId="65" fillId="10" borderId="20"/>
    <xf numFmtId="0" fontId="70" fillId="31" borderId="0"/>
    <xf numFmtId="0" fontId="73" fillId="16" borderId="0"/>
    <xf numFmtId="0" fontId="65" fillId="10" borderId="20"/>
    <xf numFmtId="0" fontId="71" fillId="31" borderId="0"/>
    <xf numFmtId="0" fontId="73" fillId="32" borderId="0"/>
    <xf numFmtId="0" fontId="67" fillId="12" borderId="20"/>
    <xf numFmtId="0" fontId="66" fillId="11" borderId="21"/>
    <xf numFmtId="0" fontId="65" fillId="10" borderId="20"/>
    <xf numFmtId="0" fontId="70" fillId="31" borderId="0"/>
    <xf numFmtId="0" fontId="75" fillId="35" borderId="0"/>
    <xf numFmtId="0" fontId="70" fillId="11" borderId="21"/>
    <xf numFmtId="0" fontId="67" fillId="12" borderId="20"/>
    <xf numFmtId="0" fontId="68" fillId="12" borderId="22"/>
    <xf numFmtId="0" fontId="68" fillId="12" borderId="22"/>
    <xf numFmtId="0" fontId="66" fillId="11" borderId="21"/>
    <xf numFmtId="0" fontId="65" fillId="10" borderId="20"/>
    <xf numFmtId="0" fontId="75" fillId="37" borderId="0"/>
    <xf numFmtId="0" fontId="66" fillId="11" borderId="21"/>
    <xf numFmtId="0" fontId="65" fillId="10" borderId="20"/>
    <xf numFmtId="0" fontId="85" fillId="0" borderId="27"/>
    <xf numFmtId="0" fontId="71" fillId="31" borderId="0"/>
    <xf numFmtId="0" fontId="73" fillId="35" borderId="0"/>
    <xf numFmtId="0" fontId="67" fillId="12" borderId="20"/>
    <xf numFmtId="0" fontId="67" fillId="12" borderId="20"/>
    <xf numFmtId="0" fontId="67" fillId="12" borderId="20"/>
    <xf numFmtId="0" fontId="66" fillId="11" borderId="21"/>
    <xf numFmtId="0" fontId="65" fillId="10" borderId="20"/>
    <xf numFmtId="0" fontId="70" fillId="31" borderId="0"/>
    <xf numFmtId="0" fontId="75" fillId="32" borderId="0"/>
    <xf numFmtId="0" fontId="71" fillId="31" borderId="0"/>
    <xf numFmtId="0" fontId="73" fillId="35" borderId="0"/>
    <xf numFmtId="0" fontId="67" fillId="12" borderId="20"/>
    <xf numFmtId="0" fontId="71" fillId="31" borderId="0"/>
    <xf numFmtId="0" fontId="73" fillId="26" borderId="0"/>
    <xf numFmtId="0" fontId="71" fillId="31" borderId="0"/>
    <xf numFmtId="0" fontId="73" fillId="35" borderId="0"/>
    <xf numFmtId="0" fontId="71" fillId="31" borderId="0"/>
    <xf numFmtId="0" fontId="73" fillId="35" borderId="0"/>
    <xf numFmtId="0" fontId="70" fillId="31" borderId="0"/>
    <xf numFmtId="0" fontId="66" fillId="11" borderId="21"/>
    <xf numFmtId="0" fontId="65" fillId="10" borderId="20"/>
    <xf numFmtId="0" fontId="67" fillId="12" borderId="20"/>
    <xf numFmtId="0" fontId="67" fillId="12" borderId="20"/>
    <xf numFmtId="0" fontId="68" fillId="12" borderId="22"/>
    <xf numFmtId="0" fontId="70" fillId="22" borderId="0"/>
    <xf numFmtId="0" fontId="70" fillId="22" borderId="0"/>
    <xf numFmtId="0" fontId="67" fillId="12" borderId="20"/>
    <xf numFmtId="0" fontId="66" fillId="11" borderId="21"/>
    <xf numFmtId="0" fontId="65" fillId="10" borderId="20"/>
    <xf numFmtId="0" fontId="70" fillId="22" borderId="0"/>
    <xf numFmtId="0" fontId="66" fillId="11" borderId="21"/>
    <xf numFmtId="0" fontId="67" fillId="12" borderId="20"/>
    <xf numFmtId="0" fontId="67" fillId="12" borderId="20"/>
    <xf numFmtId="0" fontId="67" fillId="12" borderId="20"/>
    <xf numFmtId="0" fontId="67" fillId="12" borderId="20"/>
    <xf numFmtId="0" fontId="68" fillId="12" borderId="22"/>
    <xf numFmtId="0" fontId="66" fillId="11" borderId="21"/>
    <xf numFmtId="0" fontId="70" fillId="22" borderId="0"/>
    <xf numFmtId="0" fontId="67" fillId="12" borderId="20"/>
    <xf numFmtId="0" fontId="68" fillId="12" borderId="22"/>
    <xf numFmtId="0" fontId="66" fillId="11" borderId="21"/>
    <xf numFmtId="0" fontId="70" fillId="22" borderId="0"/>
    <xf numFmtId="0" fontId="67" fillId="12" borderId="20"/>
    <xf numFmtId="0" fontId="68" fillId="12" borderId="22"/>
    <xf numFmtId="0" fontId="67" fillId="12" borderId="20"/>
    <xf numFmtId="0" fontId="70" fillId="22" borderId="0"/>
    <xf numFmtId="0" fontId="66" fillId="11" borderId="21"/>
    <xf numFmtId="0" fontId="65" fillId="10" borderId="20"/>
    <xf numFmtId="0" fontId="67" fillId="12" borderId="20"/>
    <xf numFmtId="0" fontId="66" fillId="11" borderId="21"/>
    <xf numFmtId="0" fontId="70" fillId="22" borderId="0"/>
    <xf numFmtId="0" fontId="65" fillId="10" borderId="20"/>
    <xf numFmtId="0" fontId="67" fillId="12" borderId="20"/>
    <xf numFmtId="0" fontId="67" fillId="12" borderId="20"/>
    <xf numFmtId="0" fontId="66" fillId="11" borderId="21"/>
    <xf numFmtId="0" fontId="69" fillId="0" borderId="23"/>
    <xf numFmtId="0" fontId="71" fillId="22" borderId="0"/>
    <xf numFmtId="0" fontId="67" fillId="12" borderId="20"/>
    <xf numFmtId="0" fontId="70" fillId="21" borderId="0"/>
    <xf numFmtId="0" fontId="70" fillId="22" borderId="0"/>
    <xf numFmtId="0" fontId="65" fillId="10" borderId="20"/>
    <xf numFmtId="0" fontId="75" fillId="27" borderId="0"/>
    <xf numFmtId="0" fontId="66" fillId="11" borderId="21"/>
    <xf numFmtId="0" fontId="70" fillId="22" borderId="0"/>
    <xf numFmtId="0" fontId="67" fillId="12" borderId="20"/>
    <xf numFmtId="0" fontId="67" fillId="12" borderId="20"/>
    <xf numFmtId="0" fontId="70" fillId="22" borderId="0"/>
    <xf numFmtId="0" fontId="67" fillId="12" borderId="20"/>
    <xf numFmtId="0" fontId="67" fillId="12" borderId="20"/>
    <xf numFmtId="0" fontId="65" fillId="10" borderId="20"/>
    <xf numFmtId="0" fontId="70" fillId="22" borderId="0"/>
    <xf numFmtId="0" fontId="67" fillId="12" borderId="20"/>
    <xf numFmtId="0" fontId="67" fillId="12" borderId="20"/>
    <xf numFmtId="0" fontId="65" fillId="10" borderId="20"/>
    <xf numFmtId="0" fontId="70" fillId="22" borderId="0"/>
    <xf numFmtId="0" fontId="67" fillId="12" borderId="20"/>
    <xf numFmtId="0" fontId="67" fillId="12" borderId="20"/>
    <xf numFmtId="0" fontId="70" fillId="22" borderId="0"/>
    <xf numFmtId="0" fontId="76" fillId="15" borderId="0"/>
    <xf numFmtId="0" fontId="67" fillId="12" borderId="20"/>
    <xf numFmtId="0" fontId="67" fillId="12" borderId="20"/>
    <xf numFmtId="0" fontId="66" fillId="11" borderId="21"/>
    <xf numFmtId="0" fontId="71" fillId="21" borderId="0"/>
    <xf numFmtId="0" fontId="65" fillId="10" borderId="20"/>
    <xf numFmtId="0" fontId="67" fillId="12" borderId="20"/>
    <xf numFmtId="0" fontId="66" fillId="11" borderId="21"/>
    <xf numFmtId="0" fontId="70" fillId="21" borderId="0"/>
    <xf numFmtId="0" fontId="66" fillId="11" borderId="21"/>
    <xf numFmtId="0" fontId="66" fillId="11" borderId="21"/>
    <xf numFmtId="0" fontId="71" fillId="21" borderId="0"/>
    <xf numFmtId="0" fontId="68" fillId="12" borderId="22"/>
    <xf numFmtId="0" fontId="66" fillId="11" borderId="21"/>
    <xf numFmtId="0" fontId="70" fillId="21" borderId="0"/>
    <xf numFmtId="0" fontId="67" fillId="12" borderId="20"/>
    <xf numFmtId="0" fontId="66" fillId="11" borderId="21"/>
    <xf numFmtId="0" fontId="71" fillId="21" borderId="0"/>
    <xf numFmtId="0" fontId="66" fillId="11" borderId="21"/>
    <xf numFmtId="0" fontId="67" fillId="12" borderId="20"/>
    <xf numFmtId="0" fontId="70" fillId="21" borderId="0"/>
    <xf numFmtId="0" fontId="69" fillId="0" borderId="23"/>
    <xf numFmtId="0" fontId="70" fillId="21" borderId="0"/>
    <xf numFmtId="0" fontId="71" fillId="21" borderId="0"/>
    <xf numFmtId="0" fontId="66" fillId="11" borderId="21"/>
    <xf numFmtId="0" fontId="71" fillId="21" borderId="0"/>
    <xf numFmtId="0" fontId="73" fillId="18" borderId="0"/>
    <xf numFmtId="0" fontId="71" fillId="21" borderId="0"/>
    <xf numFmtId="0" fontId="71" fillId="21" borderId="0"/>
    <xf numFmtId="0" fontId="71" fillId="21" borderId="0"/>
    <xf numFmtId="0" fontId="65" fillId="10" borderId="20"/>
    <xf numFmtId="0" fontId="67" fillId="12" borderId="20"/>
    <xf numFmtId="0" fontId="65" fillId="10" borderId="20"/>
    <xf numFmtId="0" fontId="73" fillId="27" borderId="0"/>
    <xf numFmtId="0" fontId="67" fillId="12" borderId="20"/>
    <xf numFmtId="0" fontId="65" fillId="10" borderId="20"/>
    <xf numFmtId="0" fontId="75" fillId="27" borderId="0"/>
    <xf numFmtId="0" fontId="69" fillId="0" borderId="23"/>
    <xf numFmtId="0" fontId="67" fillId="12" borderId="20"/>
    <xf numFmtId="0" fontId="67" fillId="12" borderId="20"/>
    <xf numFmtId="0" fontId="73" fillId="27" borderId="0"/>
    <xf numFmtId="0" fontId="67" fillId="12" borderId="20"/>
    <xf numFmtId="0" fontId="75" fillId="27" borderId="0"/>
    <xf numFmtId="0" fontId="73" fillId="27" borderId="0"/>
    <xf numFmtId="0" fontId="68" fillId="12" borderId="22"/>
    <xf numFmtId="0" fontId="67" fillId="12" borderId="20"/>
    <xf numFmtId="0" fontId="73" fillId="27" borderId="0"/>
    <xf numFmtId="0" fontId="65" fillId="10" borderId="20"/>
    <xf numFmtId="0" fontId="75" fillId="27" borderId="0"/>
    <xf numFmtId="0" fontId="67" fillId="12" borderId="20"/>
    <xf numFmtId="0" fontId="67" fillId="12" borderId="20"/>
    <xf numFmtId="0" fontId="65" fillId="10" borderId="20"/>
    <xf numFmtId="0" fontId="73" fillId="27" borderId="0"/>
    <xf numFmtId="0" fontId="65" fillId="10" borderId="20"/>
    <xf numFmtId="0" fontId="73" fillId="27" borderId="0"/>
    <xf numFmtId="0" fontId="73" fillId="27" borderId="0"/>
    <xf numFmtId="0" fontId="67" fillId="12" borderId="20"/>
    <xf numFmtId="0" fontId="73" fillId="27" borderId="0"/>
    <xf numFmtId="0" fontId="68" fillId="12" borderId="22"/>
    <xf numFmtId="0" fontId="73" fillId="36" borderId="0"/>
    <xf numFmtId="0" fontId="73" fillId="27" borderId="0"/>
    <xf numFmtId="0" fontId="68" fillId="12" borderId="22"/>
    <xf numFmtId="0" fontId="73" fillId="36" borderId="0"/>
    <xf numFmtId="0" fontId="65" fillId="10" borderId="20"/>
    <xf numFmtId="0" fontId="73" fillId="27" borderId="0"/>
    <xf numFmtId="0" fontId="75" fillId="27" borderId="0"/>
    <xf numFmtId="0" fontId="68" fillId="12" borderId="22"/>
    <xf numFmtId="0" fontId="66" fillId="11" borderId="21"/>
    <xf numFmtId="0" fontId="67" fillId="12" borderId="20"/>
    <xf numFmtId="0" fontId="67" fillId="12" borderId="20"/>
    <xf numFmtId="0" fontId="68" fillId="12" borderId="22"/>
    <xf numFmtId="0" fontId="73" fillId="27" borderId="0"/>
    <xf numFmtId="0" fontId="65" fillId="10" borderId="20"/>
    <xf numFmtId="0" fontId="73" fillId="27" borderId="0"/>
    <xf numFmtId="0" fontId="65" fillId="10" borderId="20"/>
    <xf numFmtId="0" fontId="75" fillId="27" borderId="0"/>
    <xf numFmtId="0" fontId="74" fillId="17" borderId="20"/>
    <xf numFmtId="0" fontId="75" fillId="27" borderId="0"/>
    <xf numFmtId="0" fontId="65" fillId="10" borderId="20"/>
    <xf numFmtId="0" fontId="75" fillId="27" borderId="0"/>
    <xf numFmtId="0" fontId="65" fillId="10" borderId="20"/>
    <xf numFmtId="0" fontId="75" fillId="27" borderId="0"/>
    <xf numFmtId="0" fontId="67" fillId="12" borderId="20"/>
    <xf numFmtId="0" fontId="73" fillId="27" borderId="0"/>
    <xf numFmtId="0" fontId="68" fillId="12" borderId="22"/>
    <xf numFmtId="0" fontId="65" fillId="10" borderId="20"/>
    <xf numFmtId="0" fontId="75" fillId="20" borderId="0"/>
    <xf numFmtId="0" fontId="73" fillId="37" borderId="0"/>
    <xf numFmtId="0" fontId="65" fillId="10" borderId="20"/>
    <xf numFmtId="0" fontId="75" fillId="20" borderId="0"/>
    <xf numFmtId="0" fontId="73" fillId="27" borderId="0"/>
    <xf numFmtId="0" fontId="65" fillId="10" borderId="20"/>
    <xf numFmtId="0" fontId="75" fillId="20" borderId="0"/>
    <xf numFmtId="0" fontId="73" fillId="27" borderId="0"/>
    <xf numFmtId="0" fontId="66" fillId="11" borderId="21"/>
    <xf numFmtId="0" fontId="65" fillId="10" borderId="20"/>
    <xf numFmtId="0" fontId="73" fillId="18" borderId="0"/>
    <xf numFmtId="0" fontId="67" fillId="12" borderId="20"/>
    <xf numFmtId="0" fontId="75" fillId="29" borderId="0"/>
    <xf numFmtId="0" fontId="65" fillId="10" borderId="20"/>
    <xf numFmtId="0" fontId="67" fillId="12" borderId="20"/>
    <xf numFmtId="0" fontId="75" fillId="29" borderId="0"/>
    <xf numFmtId="0" fontId="65" fillId="10" borderId="20"/>
    <xf numFmtId="0" fontId="73" fillId="29" borderId="0"/>
    <xf numFmtId="0" fontId="66" fillId="11" borderId="21"/>
    <xf numFmtId="0" fontId="65" fillId="10" borderId="20"/>
    <xf numFmtId="0" fontId="69" fillId="0" borderId="23"/>
    <xf numFmtId="0" fontId="73" fillId="18" borderId="0"/>
    <xf numFmtId="0" fontId="67" fillId="12" borderId="20"/>
    <xf numFmtId="0" fontId="73" fillId="29" borderId="0"/>
    <xf numFmtId="0" fontId="73" fillId="21" borderId="0"/>
    <xf numFmtId="0" fontId="73" fillId="18" borderId="0"/>
    <xf numFmtId="0" fontId="67" fillId="12" borderId="20"/>
    <xf numFmtId="0" fontId="67" fillId="12" borderId="20"/>
    <xf numFmtId="0" fontId="73" fillId="29" borderId="0"/>
    <xf numFmtId="0" fontId="67" fillId="12" borderId="20"/>
    <xf numFmtId="0" fontId="68" fillId="12" borderId="22"/>
    <xf numFmtId="0" fontId="67" fillId="12" borderId="20"/>
    <xf numFmtId="0" fontId="73" fillId="18" borderId="0"/>
    <xf numFmtId="0" fontId="67" fillId="12" borderId="20"/>
    <xf numFmtId="0" fontId="73" fillId="18" borderId="0"/>
    <xf numFmtId="0" fontId="67" fillId="12" borderId="20"/>
    <xf numFmtId="0" fontId="67" fillId="12" borderId="20"/>
    <xf numFmtId="0" fontId="73" fillId="29" borderId="0"/>
    <xf numFmtId="0" fontId="73" fillId="21" borderId="0"/>
    <xf numFmtId="0" fontId="67" fillId="12" borderId="20"/>
    <xf numFmtId="0" fontId="67" fillId="12" borderId="20"/>
    <xf numFmtId="0" fontId="65" fillId="10" borderId="20"/>
    <xf numFmtId="0" fontId="69" fillId="0" borderId="23"/>
    <xf numFmtId="0" fontId="73" fillId="18" borderId="0"/>
    <xf numFmtId="0" fontId="73" fillId="18" borderId="0"/>
    <xf numFmtId="0" fontId="73" fillId="18" borderId="0"/>
    <xf numFmtId="0" fontId="73" fillId="18" borderId="0"/>
    <xf numFmtId="0" fontId="65" fillId="10" borderId="20"/>
    <xf numFmtId="0" fontId="73" fillId="18" borderId="0"/>
    <xf numFmtId="0" fontId="65" fillId="10" borderId="20"/>
    <xf numFmtId="0" fontId="73" fillId="29" borderId="0"/>
    <xf numFmtId="0" fontId="65" fillId="10" borderId="20"/>
    <xf numFmtId="0" fontId="69" fillId="0" borderId="23"/>
    <xf numFmtId="0" fontId="75" fillId="29" borderId="0"/>
    <xf numFmtId="0" fontId="66" fillId="11" borderId="21"/>
    <xf numFmtId="0" fontId="73" fillId="29" borderId="0"/>
    <xf numFmtId="0" fontId="66" fillId="11" borderId="21"/>
    <xf numFmtId="0" fontId="75" fillId="29" borderId="0"/>
    <xf numFmtId="0" fontId="75" fillId="29" borderId="0"/>
    <xf numFmtId="0" fontId="73" fillId="29" borderId="0"/>
    <xf numFmtId="0" fontId="73" fillId="29" borderId="0"/>
    <xf numFmtId="0" fontId="73" fillId="29" borderId="0"/>
    <xf numFmtId="0" fontId="73" fillId="29" borderId="0"/>
    <xf numFmtId="0" fontId="73" fillId="18" borderId="0"/>
    <xf numFmtId="0" fontId="66" fillId="11" borderId="21"/>
    <xf numFmtId="0" fontId="65" fillId="10" borderId="20"/>
    <xf numFmtId="0" fontId="75" fillId="18" borderId="0"/>
    <xf numFmtId="0" fontId="66" fillId="11" borderId="21"/>
    <xf numFmtId="0" fontId="65" fillId="10" borderId="20"/>
    <xf numFmtId="0" fontId="75" fillId="18" borderId="0"/>
    <xf numFmtId="0" fontId="66" fillId="11" borderId="21"/>
    <xf numFmtId="0" fontId="65" fillId="10" borderId="20"/>
    <xf numFmtId="0" fontId="73" fillId="18" borderId="0"/>
    <xf numFmtId="0" fontId="66" fillId="11" borderId="21"/>
    <xf numFmtId="0" fontId="74" fillId="17" borderId="20"/>
    <xf numFmtId="0" fontId="75" fillId="29" borderId="0"/>
    <xf numFmtId="0" fontId="66" fillId="11" borderId="21"/>
    <xf numFmtId="0" fontId="65" fillId="10" borderId="20"/>
    <xf numFmtId="0" fontId="73" fillId="18" borderId="0"/>
    <xf numFmtId="0" fontId="66" fillId="11" borderId="21"/>
    <xf numFmtId="0" fontId="67" fillId="12" borderId="20"/>
    <xf numFmtId="0" fontId="67" fillId="12" borderId="20"/>
    <xf numFmtId="0" fontId="66" fillId="11" borderId="21"/>
    <xf numFmtId="0" fontId="74" fillId="17" borderId="20"/>
    <xf numFmtId="0" fontId="75" fillId="29" borderId="0"/>
    <xf numFmtId="0" fontId="68" fillId="12" borderId="22"/>
    <xf numFmtId="0" fontId="66" fillId="11" borderId="21"/>
    <xf numFmtId="0" fontId="67" fillId="12" borderId="20"/>
    <xf numFmtId="0" fontId="65" fillId="10" borderId="20"/>
    <xf numFmtId="0" fontId="67" fillId="12" borderId="20"/>
    <xf numFmtId="0" fontId="69" fillId="0" borderId="23"/>
    <xf numFmtId="0" fontId="66" fillId="11" borderId="21"/>
    <xf numFmtId="0" fontId="73" fillId="18" borderId="0"/>
    <xf numFmtId="0" fontId="67" fillId="12" borderId="20"/>
    <xf numFmtId="0" fontId="67" fillId="12" borderId="20"/>
    <xf numFmtId="0" fontId="66" fillId="11" borderId="21"/>
    <xf numFmtId="0" fontId="65" fillId="10" borderId="20"/>
    <xf numFmtId="0" fontId="67" fillId="12" borderId="20"/>
    <xf numFmtId="0" fontId="72" fillId="0" borderId="24"/>
    <xf numFmtId="0" fontId="66" fillId="11" borderId="21"/>
    <xf numFmtId="0" fontId="73" fillId="18" borderId="0"/>
    <xf numFmtId="0" fontId="66" fillId="11" borderId="21"/>
    <xf numFmtId="0" fontId="65" fillId="10" borderId="20"/>
    <xf numFmtId="0" fontId="75" fillId="29" borderId="0"/>
    <xf numFmtId="0" fontId="66" fillId="11" borderId="21"/>
    <xf numFmtId="0" fontId="65" fillId="10" borderId="20"/>
    <xf numFmtId="0" fontId="75" fillId="29" borderId="0"/>
    <xf numFmtId="0" fontId="66" fillId="11" borderId="21"/>
    <xf numFmtId="0" fontId="75" fillId="29" borderId="0"/>
    <xf numFmtId="0" fontId="66" fillId="11" borderId="21"/>
    <xf numFmtId="0" fontId="73" fillId="29" borderId="0"/>
    <xf numFmtId="0" fontId="73" fillId="18" borderId="0"/>
    <xf numFmtId="0" fontId="66" fillId="11" borderId="21"/>
    <xf numFmtId="0" fontId="73" fillId="18" borderId="0"/>
    <xf numFmtId="0" fontId="66" fillId="11" borderId="21"/>
    <xf numFmtId="0" fontId="73" fillId="18" borderId="0"/>
    <xf numFmtId="0" fontId="73" fillId="29" borderId="0"/>
    <xf numFmtId="0" fontId="66" fillId="11" borderId="21"/>
    <xf numFmtId="0" fontId="73" fillId="18" borderId="0"/>
    <xf numFmtId="0" fontId="66" fillId="11" borderId="21"/>
    <xf numFmtId="0" fontId="73" fillId="18" borderId="0"/>
    <xf numFmtId="0" fontId="73" fillId="29" borderId="0"/>
    <xf numFmtId="0" fontId="73" fillId="18" borderId="0"/>
    <xf numFmtId="0" fontId="66" fillId="11" borderId="21"/>
    <xf numFmtId="0" fontId="73" fillId="18" borderId="0"/>
    <xf numFmtId="0" fontId="66" fillId="11" borderId="21"/>
    <xf numFmtId="0" fontId="73" fillId="18" borderId="0"/>
    <xf numFmtId="0" fontId="66" fillId="11" borderId="21"/>
    <xf numFmtId="0" fontId="73" fillId="18" borderId="0"/>
    <xf numFmtId="0" fontId="67" fillId="12" borderId="20"/>
    <xf numFmtId="0" fontId="66" fillId="11" borderId="21"/>
    <xf numFmtId="0" fontId="73" fillId="18" borderId="0"/>
    <xf numFmtId="0" fontId="66" fillId="11" borderId="21"/>
    <xf numFmtId="0" fontId="67" fillId="12" borderId="20"/>
    <xf numFmtId="0" fontId="66" fillId="11" borderId="21"/>
    <xf numFmtId="0" fontId="65" fillId="10" borderId="20"/>
    <xf numFmtId="0" fontId="73" fillId="19" borderId="0"/>
    <xf numFmtId="0" fontId="65" fillId="10" borderId="20"/>
    <xf numFmtId="0" fontId="75" fillId="19" borderId="0"/>
    <xf numFmtId="0" fontId="65" fillId="10" borderId="20"/>
    <xf numFmtId="0" fontId="73" fillId="19" borderId="0"/>
    <xf numFmtId="0" fontId="66" fillId="11" borderId="21"/>
    <xf numFmtId="0" fontId="75" fillId="19" borderId="0"/>
    <xf numFmtId="0" fontId="67" fillId="12" borderId="20"/>
    <xf numFmtId="0" fontId="73" fillId="19" borderId="0"/>
    <xf numFmtId="0" fontId="75" fillId="19" borderId="0"/>
    <xf numFmtId="0" fontId="68" fillId="12" borderId="22"/>
    <xf numFmtId="0" fontId="73" fillId="19" borderId="0"/>
    <xf numFmtId="0" fontId="69" fillId="0" borderId="23"/>
    <xf numFmtId="0" fontId="67" fillId="12" borderId="20"/>
    <xf numFmtId="0" fontId="73" fillId="19" borderId="0"/>
    <xf numFmtId="0" fontId="75" fillId="19" borderId="0"/>
    <xf numFmtId="0" fontId="65" fillId="10" borderId="20"/>
    <xf numFmtId="0" fontId="73" fillId="19" borderId="0"/>
    <xf numFmtId="0" fontId="65" fillId="10" borderId="20"/>
    <xf numFmtId="0" fontId="73" fillId="19" borderId="0"/>
    <xf numFmtId="0" fontId="73" fillId="19" borderId="0"/>
    <xf numFmtId="0" fontId="67" fillId="12" borderId="20"/>
    <xf numFmtId="0" fontId="73" fillId="19" borderId="0"/>
    <xf numFmtId="0" fontId="73" fillId="19" borderId="0"/>
    <xf numFmtId="0" fontId="73" fillId="19" borderId="0"/>
    <xf numFmtId="0" fontId="67" fillId="12" borderId="20"/>
    <xf numFmtId="0" fontId="65" fillId="10" borderId="20"/>
    <xf numFmtId="0" fontId="73" fillId="19" borderId="0"/>
    <xf numFmtId="0" fontId="87" fillId="11" borderId="0"/>
    <xf numFmtId="0" fontId="65" fillId="10" borderId="20"/>
    <xf numFmtId="0" fontId="75" fillId="19" borderId="0"/>
    <xf numFmtId="0" fontId="65" fillId="10" borderId="20"/>
    <xf numFmtId="0" fontId="73" fillId="19" borderId="0"/>
    <xf numFmtId="0" fontId="66" fillId="11" borderId="21"/>
    <xf numFmtId="0" fontId="75" fillId="19" borderId="0"/>
    <xf numFmtId="0" fontId="67" fillId="12" borderId="20"/>
    <xf numFmtId="0" fontId="67" fillId="12" borderId="20"/>
    <xf numFmtId="0" fontId="73" fillId="19" borderId="0"/>
    <xf numFmtId="0" fontId="65" fillId="10" borderId="20"/>
    <xf numFmtId="0" fontId="67" fillId="12" borderId="20"/>
    <xf numFmtId="0" fontId="67" fillId="12" borderId="20"/>
    <xf numFmtId="0" fontId="65" fillId="10" borderId="20"/>
    <xf numFmtId="0" fontId="73" fillId="19" borderId="0"/>
    <xf numFmtId="0" fontId="65" fillId="10" borderId="20"/>
    <xf numFmtId="0" fontId="75" fillId="19" borderId="0"/>
    <xf numFmtId="0" fontId="66" fillId="11" borderId="21"/>
    <xf numFmtId="0" fontId="73" fillId="19" borderId="0"/>
    <xf numFmtId="0" fontId="73" fillId="17" borderId="0"/>
    <xf numFmtId="0" fontId="73" fillId="19" borderId="0"/>
    <xf numFmtId="0" fontId="73" fillId="19" borderId="0"/>
    <xf numFmtId="0" fontId="73" fillId="19" borderId="0"/>
    <xf numFmtId="0" fontId="66" fillId="11" borderId="21"/>
    <xf numFmtId="0" fontId="65" fillId="10" borderId="20"/>
    <xf numFmtId="0" fontId="73" fillId="20" borderId="0"/>
    <xf numFmtId="0" fontId="65" fillId="10" borderId="20"/>
    <xf numFmtId="0" fontId="65" fillId="10" borderId="20"/>
    <xf numFmtId="0" fontId="75" fillId="20" borderId="0"/>
    <xf numFmtId="0" fontId="67" fillId="12" borderId="20"/>
    <xf numFmtId="0" fontId="68" fillId="12" borderId="22"/>
    <xf numFmtId="0" fontId="73" fillId="20" borderId="0"/>
    <xf numFmtId="0" fontId="73" fillId="39" borderId="0"/>
    <xf numFmtId="0" fontId="75" fillId="20" borderId="0"/>
    <xf numFmtId="0" fontId="73" fillId="20" borderId="0"/>
    <xf numFmtId="0" fontId="67" fillId="12" borderId="20"/>
    <xf numFmtId="0" fontId="73" fillId="20" borderId="0"/>
    <xf numFmtId="0" fontId="73" fillId="39" borderId="0"/>
    <xf numFmtId="0" fontId="66" fillId="11" borderId="21"/>
    <xf numFmtId="0" fontId="67" fillId="12" borderId="20"/>
    <xf numFmtId="0" fontId="65" fillId="10" borderId="20"/>
    <xf numFmtId="0" fontId="67" fillId="12" borderId="20"/>
    <xf numFmtId="0" fontId="73" fillId="20" borderId="0"/>
    <xf numFmtId="0" fontId="67" fillId="12" borderId="20"/>
    <xf numFmtId="0" fontId="73" fillId="20" borderId="0"/>
    <xf numFmtId="0" fontId="73" fillId="20" borderId="0"/>
    <xf numFmtId="0" fontId="73" fillId="20" borderId="0"/>
    <xf numFmtId="0" fontId="69" fillId="0" borderId="23"/>
    <xf numFmtId="0" fontId="73" fillId="20" borderId="0"/>
    <xf numFmtId="0" fontId="69" fillId="0" borderId="23"/>
    <xf numFmtId="0" fontId="65" fillId="10" borderId="20"/>
    <xf numFmtId="0" fontId="67" fillId="12" borderId="20"/>
    <xf numFmtId="0" fontId="67" fillId="12" borderId="20"/>
    <xf numFmtId="0" fontId="67" fillId="12" borderId="20"/>
    <xf numFmtId="0" fontId="65" fillId="10" borderId="20"/>
    <xf numFmtId="0" fontId="65" fillId="10" borderId="20"/>
    <xf numFmtId="0" fontId="73" fillId="20" borderId="0"/>
    <xf numFmtId="0" fontId="67" fillId="12" borderId="20"/>
    <xf numFmtId="0" fontId="67" fillId="12" borderId="20"/>
    <xf numFmtId="0" fontId="65" fillId="10" borderId="20"/>
    <xf numFmtId="0" fontId="65" fillId="10" borderId="20"/>
    <xf numFmtId="0" fontId="75" fillId="20" borderId="0"/>
    <xf numFmtId="0" fontId="67" fillId="12" borderId="20"/>
    <xf numFmtId="0" fontId="66" fillId="11" borderId="21"/>
    <xf numFmtId="0" fontId="65" fillId="10" borderId="20"/>
    <xf numFmtId="0" fontId="75" fillId="20" borderId="0"/>
    <xf numFmtId="0" fontId="67" fillId="12" borderId="20"/>
    <xf numFmtId="0" fontId="67" fillId="12" borderId="20"/>
    <xf numFmtId="0" fontId="65" fillId="10" borderId="20"/>
    <xf numFmtId="0" fontId="73" fillId="20" borderId="0"/>
    <xf numFmtId="0" fontId="67" fillId="12" borderId="20"/>
    <xf numFmtId="0" fontId="73" fillId="20" borderId="0"/>
    <xf numFmtId="0" fontId="73" fillId="25" borderId="0"/>
    <xf numFmtId="0" fontId="65" fillId="10" borderId="20"/>
    <xf numFmtId="0" fontId="73" fillId="12" borderId="0"/>
    <xf numFmtId="0" fontId="65" fillId="10" borderId="20"/>
    <xf numFmtId="0" fontId="67" fillId="12" borderId="20"/>
    <xf numFmtId="0" fontId="73" fillId="12" borderId="0"/>
    <xf numFmtId="0" fontId="65" fillId="10" borderId="20"/>
    <xf numFmtId="0" fontId="67" fillId="12" borderId="20"/>
    <xf numFmtId="0" fontId="73" fillId="20" borderId="0"/>
    <xf numFmtId="0" fontId="73" fillId="20" borderId="0"/>
    <xf numFmtId="0" fontId="73" fillId="20" borderId="0"/>
    <xf numFmtId="0" fontId="73" fillId="16" borderId="0"/>
    <xf numFmtId="0" fontId="66" fillId="11" borderId="21"/>
    <xf numFmtId="0" fontId="65" fillId="10" borderId="20"/>
    <xf numFmtId="0" fontId="73" fillId="37" borderId="0"/>
    <xf numFmtId="0" fontId="67" fillId="12" borderId="20"/>
    <xf numFmtId="0" fontId="66" fillId="11" borderId="21"/>
    <xf numFmtId="0" fontId="65" fillId="10" borderId="20"/>
    <xf numFmtId="0" fontId="75" fillId="37" borderId="0"/>
    <xf numFmtId="0" fontId="67" fillId="12" borderId="20"/>
    <xf numFmtId="0" fontId="66" fillId="11" borderId="21"/>
    <xf numFmtId="0" fontId="66" fillId="11" borderId="21"/>
    <xf numFmtId="0" fontId="65" fillId="10" borderId="20"/>
    <xf numFmtId="0" fontId="73" fillId="37" borderId="0"/>
    <xf numFmtId="0" fontId="68" fillId="12" borderId="22"/>
    <xf numFmtId="0" fontId="66" fillId="11" borderId="21"/>
    <xf numFmtId="0" fontId="67" fillId="12" borderId="20"/>
    <xf numFmtId="0" fontId="67" fillId="12" borderId="20"/>
    <xf numFmtId="0" fontId="67" fillId="12" borderId="20"/>
    <xf numFmtId="0" fontId="66" fillId="11" borderId="21"/>
    <xf numFmtId="0" fontId="67" fillId="12" borderId="20"/>
    <xf numFmtId="0" fontId="75" fillId="37" borderId="0"/>
    <xf numFmtId="0" fontId="67" fillId="12" borderId="20"/>
    <xf numFmtId="0" fontId="68" fillId="12" borderId="22"/>
    <xf numFmtId="0" fontId="67" fillId="12" borderId="20"/>
    <xf numFmtId="0" fontId="73" fillId="37" borderId="0"/>
    <xf numFmtId="0" fontId="66" fillId="11" borderId="21"/>
    <xf numFmtId="0" fontId="65" fillId="10" borderId="20"/>
    <xf numFmtId="0" fontId="67" fillId="12" borderId="20"/>
    <xf numFmtId="0" fontId="66" fillId="11" borderId="21"/>
    <xf numFmtId="0" fontId="75" fillId="37" borderId="0"/>
    <xf numFmtId="0" fontId="66" fillId="11" borderId="21"/>
    <xf numFmtId="0" fontId="73" fillId="37" borderId="0"/>
    <xf numFmtId="0" fontId="67" fillId="12" borderId="20"/>
    <xf numFmtId="0" fontId="67" fillId="12" borderId="20"/>
    <xf numFmtId="0" fontId="67" fillId="12" borderId="20"/>
    <xf numFmtId="0" fontId="73" fillId="37" borderId="0"/>
    <xf numFmtId="0" fontId="67" fillId="12" borderId="20"/>
    <xf numFmtId="0" fontId="75" fillId="37" borderId="0"/>
    <xf numFmtId="0" fontId="66" fillId="11" borderId="21"/>
    <xf numFmtId="0" fontId="65" fillId="10" borderId="20"/>
    <xf numFmtId="0" fontId="73" fillId="37" borderId="0"/>
    <xf numFmtId="0" fontId="67" fillId="12" borderId="20"/>
    <xf numFmtId="0" fontId="69" fillId="0" borderId="23"/>
    <xf numFmtId="0" fontId="66" fillId="11" borderId="21"/>
    <xf numFmtId="0" fontId="65" fillId="10" borderId="20"/>
    <xf numFmtId="0" fontId="73" fillId="37" borderId="0"/>
    <xf numFmtId="0" fontId="66" fillId="11" borderId="21"/>
    <xf numFmtId="0" fontId="73" fillId="37" borderId="0"/>
    <xf numFmtId="0" fontId="66" fillId="11" borderId="21"/>
    <xf numFmtId="0" fontId="73" fillId="37" borderId="0"/>
    <xf numFmtId="0" fontId="66" fillId="11" borderId="21"/>
    <xf numFmtId="0" fontId="65" fillId="10" borderId="20"/>
    <xf numFmtId="0" fontId="73" fillId="37" borderId="0"/>
    <xf numFmtId="0" fontId="67" fillId="12" borderId="20"/>
    <xf numFmtId="0" fontId="67" fillId="12" borderId="20"/>
    <xf numFmtId="0" fontId="66" fillId="11" borderId="21"/>
    <xf numFmtId="0" fontId="65" fillId="10" borderId="20"/>
    <xf numFmtId="0" fontId="75" fillId="37" borderId="0"/>
    <xf numFmtId="0" fontId="67" fillId="12" borderId="20"/>
    <xf numFmtId="0" fontId="67" fillId="12" borderId="20"/>
    <xf numFmtId="0" fontId="67" fillId="12" borderId="20"/>
    <xf numFmtId="0" fontId="66" fillId="11" borderId="21"/>
    <xf numFmtId="0" fontId="65" fillId="10" borderId="20"/>
    <xf numFmtId="0" fontId="65" fillId="10" borderId="20"/>
    <xf numFmtId="0" fontId="69" fillId="0" borderId="23"/>
    <xf numFmtId="0" fontId="73" fillId="37" borderId="0"/>
    <xf numFmtId="0" fontId="67" fillId="12" borderId="20"/>
    <xf numFmtId="0" fontId="67" fillId="12" borderId="20"/>
    <xf numFmtId="0" fontId="66" fillId="11" borderId="21"/>
    <xf numFmtId="0" fontId="66" fillId="11" borderId="21"/>
    <xf numFmtId="0" fontId="75" fillId="37" borderId="0"/>
    <xf numFmtId="0" fontId="67" fillId="12" borderId="20"/>
    <xf numFmtId="0" fontId="67" fillId="12" borderId="20"/>
    <xf numFmtId="0" fontId="66" fillId="11" borderId="21"/>
    <xf numFmtId="0" fontId="73" fillId="37" borderId="0"/>
    <xf numFmtId="0" fontId="69" fillId="0" borderId="23"/>
    <xf numFmtId="0" fontId="70" fillId="10" borderId="0"/>
    <xf numFmtId="0" fontId="67" fillId="12" borderId="20"/>
    <xf numFmtId="0" fontId="67" fillId="12" borderId="20"/>
    <xf numFmtId="0" fontId="66" fillId="11" borderId="21"/>
    <xf numFmtId="0" fontId="65" fillId="10" borderId="20"/>
    <xf numFmtId="0" fontId="69" fillId="0" borderId="23"/>
    <xf numFmtId="0" fontId="73" fillId="37" borderId="0"/>
    <xf numFmtId="0" fontId="67" fillId="12" borderId="20"/>
    <xf numFmtId="0" fontId="67" fillId="12" borderId="20"/>
    <xf numFmtId="0" fontId="68" fillId="12" borderId="22"/>
    <xf numFmtId="0" fontId="68" fillId="12" borderId="22"/>
    <xf numFmtId="0" fontId="66" fillId="11" borderId="21"/>
    <xf numFmtId="0" fontId="65" fillId="10" borderId="20"/>
    <xf numFmtId="0" fontId="75" fillId="37" borderId="0"/>
    <xf numFmtId="0" fontId="66" fillId="11" borderId="21"/>
    <xf numFmtId="0" fontId="65" fillId="10" borderId="20"/>
    <xf numFmtId="0" fontId="83" fillId="0" borderId="27"/>
    <xf numFmtId="0" fontId="73" fillId="32" borderId="0"/>
    <xf numFmtId="0" fontId="67" fillId="12" borderId="20"/>
    <xf numFmtId="0" fontId="68" fillId="12" borderId="22"/>
    <xf numFmtId="0" fontId="66" fillId="11" borderId="21"/>
    <xf numFmtId="0" fontId="65" fillId="10" borderId="20"/>
    <xf numFmtId="0" fontId="75" fillId="37" borderId="0"/>
    <xf numFmtId="0" fontId="66" fillId="11" borderId="21"/>
    <xf numFmtId="0" fontId="65" fillId="10" borderId="20"/>
    <xf numFmtId="0" fontId="83" fillId="0" borderId="27"/>
    <xf numFmtId="0" fontId="73" fillId="35" borderId="0"/>
    <xf numFmtId="0" fontId="67" fillId="12" borderId="20"/>
    <xf numFmtId="0" fontId="75" fillId="37" borderId="0"/>
    <xf numFmtId="0" fontId="85" fillId="0" borderId="28"/>
    <xf numFmtId="0" fontId="73" fillId="35" borderId="0"/>
    <xf numFmtId="0" fontId="67" fillId="12" borderId="20"/>
    <xf numFmtId="0" fontId="73" fillId="37" borderId="0"/>
    <xf numFmtId="0" fontId="67" fillId="12" borderId="20"/>
    <xf numFmtId="0" fontId="73" fillId="37" borderId="0"/>
    <xf numFmtId="0" fontId="73" fillId="37" borderId="0"/>
    <xf numFmtId="0" fontId="73" fillId="37" borderId="0"/>
    <xf numFmtId="0" fontId="75" fillId="35" borderId="0"/>
    <xf numFmtId="0" fontId="66" fillId="11" borderId="21"/>
    <xf numFmtId="0" fontId="66" fillId="11" borderId="21"/>
    <xf numFmtId="0" fontId="73" fillId="35" borderId="0"/>
    <xf numFmtId="0" fontId="67" fillId="12" borderId="20"/>
    <xf numFmtId="0" fontId="67" fillId="12" borderId="20"/>
    <xf numFmtId="0" fontId="66" fillId="11" borderId="21"/>
    <xf numFmtId="0" fontId="73" fillId="32" borderId="0"/>
    <xf numFmtId="0" fontId="67" fillId="12" borderId="20"/>
    <xf numFmtId="0" fontId="67" fillId="12" borderId="20"/>
    <xf numFmtId="0" fontId="70" fillId="11" borderId="21"/>
    <xf numFmtId="0" fontId="67" fillId="12" borderId="20"/>
    <xf numFmtId="0" fontId="73" fillId="35" borderId="0"/>
    <xf numFmtId="0" fontId="65" fillId="10" borderId="20"/>
    <xf numFmtId="0" fontId="67" fillId="12" borderId="20"/>
    <xf numFmtId="0" fontId="68" fillId="12" borderId="22"/>
    <xf numFmtId="0" fontId="66" fillId="11" borderId="21"/>
    <xf numFmtId="0" fontId="73" fillId="32" borderId="0"/>
    <xf numFmtId="0" fontId="66" fillId="11" borderId="21"/>
    <xf numFmtId="0" fontId="73" fillId="35" borderId="0"/>
    <xf numFmtId="0" fontId="67" fillId="12" borderId="20"/>
    <xf numFmtId="0" fontId="73" fillId="32" borderId="0"/>
    <xf numFmtId="0" fontId="67" fillId="12" borderId="20"/>
    <xf numFmtId="0" fontId="68" fillId="12" borderId="22"/>
    <xf numFmtId="0" fontId="67" fillId="12" borderId="20"/>
    <xf numFmtId="0" fontId="73" fillId="32" borderId="0"/>
    <xf numFmtId="0" fontId="67" fillId="12" borderId="20"/>
    <xf numFmtId="0" fontId="68" fillId="12" borderId="22"/>
    <xf numFmtId="0" fontId="67" fillId="12" borderId="20"/>
    <xf numFmtId="0" fontId="73" fillId="32" borderId="0"/>
    <xf numFmtId="0" fontId="67" fillId="12" borderId="20"/>
    <xf numFmtId="0" fontId="68" fillId="12" borderId="22"/>
    <xf numFmtId="0" fontId="67" fillId="12" borderId="20"/>
    <xf numFmtId="0" fontId="73" fillId="32" borderId="0"/>
    <xf numFmtId="0" fontId="68" fillId="12" borderId="22"/>
    <xf numFmtId="0" fontId="67" fillId="12" borderId="20"/>
    <xf numFmtId="0" fontId="75" fillId="35" borderId="0"/>
    <xf numFmtId="0" fontId="66" fillId="11" borderId="21"/>
    <xf numFmtId="0" fontId="67" fillId="12" borderId="20"/>
    <xf numFmtId="0" fontId="66" fillId="11" borderId="21"/>
    <xf numFmtId="0" fontId="66" fillId="11" borderId="21"/>
    <xf numFmtId="0" fontId="66" fillId="11" borderId="21"/>
    <xf numFmtId="0" fontId="73" fillId="35" borderId="0"/>
    <xf numFmtId="0" fontId="67" fillId="12" borderId="20"/>
    <xf numFmtId="0" fontId="66" fillId="11" borderId="21"/>
    <xf numFmtId="0" fontId="66" fillId="11" borderId="21"/>
    <xf numFmtId="0" fontId="75" fillId="35" borderId="0"/>
    <xf numFmtId="0" fontId="67" fillId="12" borderId="20"/>
    <xf numFmtId="0" fontId="75" fillId="35" borderId="0"/>
    <xf numFmtId="0" fontId="66" fillId="11" borderId="21"/>
    <xf numFmtId="0" fontId="67" fillId="12" borderId="20"/>
    <xf numFmtId="0" fontId="73" fillId="35" borderId="0"/>
    <xf numFmtId="0" fontId="67" fillId="12" borderId="20"/>
    <xf numFmtId="0" fontId="67" fillId="12" borderId="20"/>
    <xf numFmtId="0" fontId="73" fillId="35" borderId="0"/>
    <xf numFmtId="0" fontId="67" fillId="12" borderId="20"/>
    <xf numFmtId="0" fontId="67" fillId="12" borderId="20"/>
    <xf numFmtId="0" fontId="73" fillId="35" borderId="0"/>
    <xf numFmtId="0" fontId="67" fillId="12" borderId="20"/>
    <xf numFmtId="0" fontId="73" fillId="32" borderId="0"/>
    <xf numFmtId="0" fontId="67" fillId="12" borderId="20"/>
    <xf numFmtId="0" fontId="66" fillId="11" borderId="21"/>
    <xf numFmtId="0" fontId="65" fillId="10" borderId="20"/>
    <xf numFmtId="0" fontId="75" fillId="32" borderId="0"/>
    <xf numFmtId="0" fontId="68" fillId="12" borderId="22"/>
    <xf numFmtId="0" fontId="68" fillId="12" borderId="22"/>
    <xf numFmtId="0" fontId="66" fillId="11" borderId="21"/>
    <xf numFmtId="0" fontId="65" fillId="10" borderId="20"/>
    <xf numFmtId="0" fontId="73" fillId="32" borderId="0"/>
    <xf numFmtId="0" fontId="68" fillId="12" borderId="22"/>
    <xf numFmtId="0" fontId="68" fillId="12" borderId="22"/>
    <xf numFmtId="0" fontId="66" fillId="11" borderId="21"/>
    <xf numFmtId="0" fontId="65" fillId="10" borderId="20"/>
    <xf numFmtId="0" fontId="75" fillId="35" borderId="0"/>
    <xf numFmtId="0" fontId="73" fillId="32" borderId="0"/>
    <xf numFmtId="0" fontId="67" fillId="12" borderId="20"/>
    <xf numFmtId="0" fontId="68" fillId="12" borderId="22"/>
    <xf numFmtId="0" fontId="66" fillId="11" borderId="21"/>
    <xf numFmtId="0" fontId="75" fillId="35" borderId="0"/>
    <xf numFmtId="0" fontId="67" fillId="12" borderId="20"/>
    <xf numFmtId="0" fontId="67" fillId="12" borderId="20"/>
    <xf numFmtId="0" fontId="68" fillId="12" borderId="22"/>
    <xf numFmtId="0" fontId="65" fillId="10" borderId="20"/>
    <xf numFmtId="0" fontId="68" fillId="12" borderId="22"/>
    <xf numFmtId="0" fontId="73" fillId="32" borderId="0"/>
    <xf numFmtId="0" fontId="67" fillId="12" borderId="20"/>
    <xf numFmtId="0" fontId="67" fillId="12" borderId="20"/>
    <xf numFmtId="0" fontId="67" fillId="12" borderId="20"/>
    <xf numFmtId="0" fontId="67" fillId="12" borderId="20"/>
    <xf numFmtId="0" fontId="73" fillId="32" borderId="0"/>
    <xf numFmtId="0" fontId="67" fillId="12" borderId="20"/>
    <xf numFmtId="0" fontId="68" fillId="12" borderId="22"/>
    <xf numFmtId="0" fontId="66" fillId="11" borderId="21"/>
    <xf numFmtId="0" fontId="65" fillId="10" borderId="20"/>
    <xf numFmtId="0" fontId="75" fillId="35" borderId="0"/>
    <xf numFmtId="0" fontId="75" fillId="35" borderId="0"/>
    <xf numFmtId="0" fontId="75" fillId="35" borderId="0"/>
    <xf numFmtId="0" fontId="67" fillId="12" borderId="20"/>
    <xf numFmtId="0" fontId="66" fillId="11" borderId="21"/>
    <xf numFmtId="0" fontId="73" fillId="32" borderId="0"/>
    <xf numFmtId="0" fontId="67" fillId="12" borderId="20"/>
    <xf numFmtId="0" fontId="66" fillId="11" borderId="21"/>
    <xf numFmtId="0" fontId="65" fillId="10" borderId="20"/>
    <xf numFmtId="0" fontId="73" fillId="32" borderId="0"/>
    <xf numFmtId="0" fontId="66" fillId="11" borderId="21"/>
    <xf numFmtId="0" fontId="65" fillId="10" borderId="20"/>
    <xf numFmtId="0" fontId="73" fillId="32" borderId="0"/>
    <xf numFmtId="0" fontId="67" fillId="12" borderId="20"/>
    <xf numFmtId="0" fontId="73" fillId="36" borderId="0"/>
    <xf numFmtId="0" fontId="69" fillId="0" borderId="23"/>
    <xf numFmtId="0" fontId="73" fillId="10" borderId="0"/>
    <xf numFmtId="0" fontId="65" fillId="10" borderId="20"/>
    <xf numFmtId="0" fontId="73" fillId="10" borderId="0"/>
    <xf numFmtId="0" fontId="65" fillId="10" borderId="20"/>
    <xf numFmtId="0" fontId="73" fillId="32" borderId="0"/>
    <xf numFmtId="0" fontId="73" fillId="32" borderId="0"/>
    <xf numFmtId="0" fontId="65" fillId="10" borderId="20"/>
    <xf numFmtId="0" fontId="73" fillId="32" borderId="0"/>
    <xf numFmtId="0" fontId="65" fillId="10" borderId="20"/>
    <xf numFmtId="0" fontId="73" fillId="32" borderId="0"/>
    <xf numFmtId="0" fontId="73" fillId="32" borderId="0"/>
    <xf numFmtId="0" fontId="65" fillId="10" borderId="20"/>
    <xf numFmtId="0" fontId="73" fillId="32" borderId="0"/>
    <xf numFmtId="0" fontId="65" fillId="10" borderId="20"/>
    <xf numFmtId="0" fontId="73" fillId="32" borderId="0"/>
    <xf numFmtId="0" fontId="69" fillId="0" borderId="23"/>
    <xf numFmtId="0" fontId="70" fillId="22" borderId="0"/>
    <xf numFmtId="0" fontId="66" fillId="11" borderId="21"/>
    <xf numFmtId="0" fontId="73" fillId="23" borderId="0"/>
    <xf numFmtId="0" fontId="73" fillId="30" borderId="0"/>
    <xf numFmtId="0" fontId="73" fillId="30" borderId="0"/>
    <xf numFmtId="0" fontId="66" fillId="11" borderId="21"/>
    <xf numFmtId="0" fontId="73" fillId="30" borderId="0"/>
    <xf numFmtId="0" fontId="67" fillId="12" borderId="20"/>
    <xf numFmtId="0" fontId="73" fillId="30" borderId="0"/>
    <xf numFmtId="0" fontId="67" fillId="12" borderId="20"/>
    <xf numFmtId="0" fontId="68" fillId="12" borderId="22"/>
    <xf numFmtId="0" fontId="73" fillId="39" borderId="0"/>
    <xf numFmtId="0" fontId="68" fillId="12" borderId="22"/>
    <xf numFmtId="0" fontId="73" fillId="27" borderId="0"/>
    <xf numFmtId="0" fontId="73" fillId="39" borderId="0"/>
    <xf numFmtId="0" fontId="73" fillId="39" borderId="0"/>
    <xf numFmtId="0" fontId="73" fillId="39" borderId="0"/>
    <xf numFmtId="0" fontId="68" fillId="12" borderId="22"/>
    <xf numFmtId="0" fontId="73" fillId="27" borderId="0"/>
    <xf numFmtId="0" fontId="68" fillId="12" borderId="22"/>
    <xf numFmtId="0" fontId="67" fillId="12" borderId="20"/>
    <xf numFmtId="0" fontId="73" fillId="39" borderId="0"/>
    <xf numFmtId="0" fontId="68" fillId="12" borderId="22"/>
    <xf numFmtId="0" fontId="67" fillId="12" borderId="20"/>
    <xf numFmtId="0" fontId="73" fillId="27" borderId="0"/>
    <xf numFmtId="0" fontId="69" fillId="0" borderId="23"/>
    <xf numFmtId="0" fontId="67" fillId="12" borderId="20"/>
    <xf numFmtId="0" fontId="73" fillId="39" borderId="0"/>
    <xf numFmtId="0" fontId="69" fillId="0" borderId="23"/>
    <xf numFmtId="0" fontId="73" fillId="27" borderId="0"/>
    <xf numFmtId="0" fontId="73" fillId="39" borderId="0"/>
    <xf numFmtId="0" fontId="67" fillId="12" borderId="20"/>
    <xf numFmtId="0" fontId="73" fillId="39" borderId="0"/>
    <xf numFmtId="0" fontId="69" fillId="0" borderId="23"/>
    <xf numFmtId="0" fontId="68" fillId="12" borderId="22"/>
    <xf numFmtId="0" fontId="67" fillId="12" borderId="20"/>
    <xf numFmtId="0" fontId="73" fillId="27" borderId="0"/>
    <xf numFmtId="0" fontId="69" fillId="0" borderId="23"/>
    <xf numFmtId="0" fontId="67" fillId="12" borderId="20"/>
    <xf numFmtId="0" fontId="73" fillId="27" borderId="0"/>
    <xf numFmtId="0" fontId="69" fillId="0" borderId="23"/>
    <xf numFmtId="0" fontId="67" fillId="12" borderId="20"/>
    <xf numFmtId="0" fontId="73" fillId="27" borderId="0"/>
    <xf numFmtId="0" fontId="69" fillId="0" borderId="23"/>
    <xf numFmtId="0" fontId="67" fillId="12" borderId="20"/>
    <xf numFmtId="0" fontId="73" fillId="27" borderId="0"/>
    <xf numFmtId="0" fontId="69" fillId="0" borderId="23"/>
    <xf numFmtId="0" fontId="68" fillId="12" borderId="22"/>
    <xf numFmtId="0" fontId="66" fillId="11" borderId="21"/>
    <xf numFmtId="0" fontId="69" fillId="0" borderId="23"/>
    <xf numFmtId="0" fontId="73" fillId="39" borderId="0"/>
    <xf numFmtId="0" fontId="68" fillId="12" borderId="22"/>
    <xf numFmtId="0" fontId="66" fillId="11" borderId="21"/>
    <xf numFmtId="0" fontId="69" fillId="0" borderId="23"/>
    <xf numFmtId="0" fontId="73" fillId="37" borderId="0"/>
    <xf numFmtId="0" fontId="73" fillId="39" borderId="0"/>
    <xf numFmtId="0" fontId="67" fillId="12" borderId="20"/>
    <xf numFmtId="0" fontId="73" fillId="27" borderId="0"/>
    <xf numFmtId="0" fontId="67" fillId="12" borderId="20"/>
    <xf numFmtId="0" fontId="67" fillId="12" borderId="20"/>
    <xf numFmtId="0" fontId="67" fillId="12" borderId="20"/>
    <xf numFmtId="0" fontId="67" fillId="12" borderId="20"/>
    <xf numFmtId="0" fontId="66" fillId="11" borderId="21"/>
    <xf numFmtId="0" fontId="65" fillId="10" borderId="20"/>
    <xf numFmtId="0" fontId="67" fillId="12" borderId="20"/>
    <xf numFmtId="0" fontId="70" fillId="26" borderId="0"/>
    <xf numFmtId="0" fontId="67" fillId="12" borderId="20"/>
    <xf numFmtId="0" fontId="70" fillId="26" borderId="0"/>
    <xf numFmtId="0" fontId="69" fillId="0" borderId="23"/>
    <xf numFmtId="0" fontId="66" fillId="11" borderId="21"/>
    <xf numFmtId="0" fontId="67" fillId="12" borderId="20"/>
    <xf numFmtId="0" fontId="70" fillId="10" borderId="0"/>
    <xf numFmtId="0" fontId="70" fillId="10" borderId="0"/>
    <xf numFmtId="0" fontId="67" fillId="12" borderId="20"/>
    <xf numFmtId="0" fontId="65" fillId="10" borderId="20"/>
    <xf numFmtId="0" fontId="70" fillId="10" borderId="0"/>
    <xf numFmtId="0" fontId="67" fillId="12" borderId="20"/>
    <xf numFmtId="0" fontId="70" fillId="25" borderId="0"/>
    <xf numFmtId="0" fontId="67" fillId="12" borderId="20"/>
    <xf numFmtId="0" fontId="70" fillId="25" borderId="0"/>
    <xf numFmtId="0" fontId="67" fillId="12" borderId="20"/>
    <xf numFmtId="0" fontId="67" fillId="12" borderId="20"/>
    <xf numFmtId="0" fontId="70" fillId="12" borderId="0"/>
    <xf numFmtId="0" fontId="66" fillId="11" borderId="21"/>
    <xf numFmtId="0" fontId="65" fillId="10" borderId="20"/>
    <xf numFmtId="0" fontId="67" fillId="12" borderId="20"/>
    <xf numFmtId="0" fontId="67" fillId="12" borderId="20"/>
    <xf numFmtId="0" fontId="70" fillId="12" borderId="0"/>
    <xf numFmtId="0" fontId="67" fillId="12" borderId="20"/>
    <xf numFmtId="0" fontId="66" fillId="11" borderId="21"/>
    <xf numFmtId="0" fontId="67" fillId="12" borderId="20"/>
    <xf numFmtId="0" fontId="67" fillId="12" borderId="20"/>
    <xf numFmtId="0" fontId="70" fillId="12" borderId="0"/>
    <xf numFmtId="0" fontId="67" fillId="12" borderId="20"/>
    <xf numFmtId="0" fontId="67" fillId="12" borderId="20"/>
    <xf numFmtId="0" fontId="67" fillId="12" borderId="20"/>
    <xf numFmtId="0" fontId="67" fillId="12" borderId="20"/>
    <xf numFmtId="0" fontId="70" fillId="12" borderId="0"/>
    <xf numFmtId="0" fontId="67" fillId="12" borderId="20"/>
    <xf numFmtId="0" fontId="67" fillId="12" borderId="20"/>
    <xf numFmtId="0" fontId="67" fillId="12" borderId="20"/>
    <xf numFmtId="0" fontId="67" fillId="12" borderId="20"/>
    <xf numFmtId="0" fontId="73" fillId="38" borderId="0"/>
    <xf numFmtId="0" fontId="66" fillId="11" borderId="21"/>
    <xf numFmtId="0" fontId="65" fillId="10" borderId="20"/>
    <xf numFmtId="0" fontId="73" fillId="38" borderId="0"/>
    <xf numFmtId="0" fontId="73" fillId="34" borderId="0"/>
    <xf numFmtId="0" fontId="68" fillId="12" borderId="22"/>
    <xf numFmtId="0" fontId="67" fillId="12" borderId="20"/>
    <xf numFmtId="0" fontId="73" fillId="34" borderId="0"/>
    <xf numFmtId="0" fontId="68" fillId="12" borderId="22"/>
    <xf numFmtId="0" fontId="66" fillId="11" borderId="21"/>
    <xf numFmtId="0" fontId="67" fillId="12" borderId="20"/>
    <xf numFmtId="0" fontId="68" fillId="12" borderId="22"/>
    <xf numFmtId="0" fontId="72" fillId="0" borderId="0"/>
    <xf numFmtId="0" fontId="67" fillId="12" borderId="20"/>
    <xf numFmtId="0" fontId="68" fillId="12" borderId="22"/>
    <xf numFmtId="0" fontId="67" fillId="12" borderId="20"/>
    <xf numFmtId="0" fontId="73" fillId="34" borderId="0"/>
    <xf numFmtId="0" fontId="66" fillId="11" borderId="21"/>
    <xf numFmtId="0" fontId="73" fillId="36" borderId="0"/>
    <xf numFmtId="0" fontId="67" fillId="12" borderId="20"/>
    <xf numFmtId="0" fontId="66" fillId="11" borderId="21"/>
    <xf numFmtId="0" fontId="73" fillId="36" borderId="0"/>
    <xf numFmtId="0" fontId="73" fillId="16" borderId="0"/>
    <xf numFmtId="0" fontId="73" fillId="16" borderId="0"/>
    <xf numFmtId="0" fontId="69" fillId="0" borderId="23"/>
    <xf numFmtId="0" fontId="69" fillId="0" borderId="23"/>
    <xf numFmtId="0" fontId="73" fillId="36" borderId="0"/>
    <xf numFmtId="0" fontId="69" fillId="0" borderId="23"/>
    <xf numFmtId="0" fontId="69" fillId="0" borderId="23"/>
    <xf numFmtId="0" fontId="67" fillId="12" borderId="20"/>
    <xf numFmtId="0" fontId="67" fillId="12" borderId="20"/>
    <xf numFmtId="0" fontId="67" fillId="12" borderId="20"/>
    <xf numFmtId="0" fontId="73" fillId="16" borderId="0"/>
    <xf numFmtId="0" fontId="67" fillId="12" borderId="20"/>
    <xf numFmtId="0" fontId="73" fillId="16" borderId="0"/>
    <xf numFmtId="0" fontId="68" fillId="12" borderId="22"/>
    <xf numFmtId="0" fontId="67" fillId="12" borderId="20"/>
    <xf numFmtId="0" fontId="73" fillId="16" borderId="0"/>
    <xf numFmtId="0" fontId="68" fillId="12" borderId="22"/>
    <xf numFmtId="0" fontId="67" fillId="12" borderId="20"/>
    <xf numFmtId="0" fontId="73" fillId="16" borderId="0"/>
    <xf numFmtId="0" fontId="69" fillId="0" borderId="23"/>
    <xf numFmtId="0" fontId="68" fillId="12" borderId="22"/>
    <xf numFmtId="0" fontId="67" fillId="12" borderId="20"/>
    <xf numFmtId="0" fontId="73" fillId="36" borderId="0"/>
    <xf numFmtId="0" fontId="69" fillId="0" borderId="23"/>
    <xf numFmtId="0" fontId="67" fillId="12" borderId="20"/>
    <xf numFmtId="0" fontId="73" fillId="34" borderId="0"/>
    <xf numFmtId="0" fontId="69" fillId="0" borderId="23"/>
    <xf numFmtId="0" fontId="68" fillId="12" borderId="22"/>
    <xf numFmtId="0" fontId="67" fillId="12" borderId="20"/>
    <xf numFmtId="0" fontId="73" fillId="34" borderId="0"/>
    <xf numFmtId="0" fontId="65" fillId="10" borderId="20"/>
    <xf numFmtId="0" fontId="73" fillId="36" borderId="0"/>
    <xf numFmtId="0" fontId="67" fillId="12" borderId="20"/>
    <xf numFmtId="0" fontId="73" fillId="36" borderId="0"/>
    <xf numFmtId="0" fontId="69" fillId="0" borderId="23"/>
    <xf numFmtId="0" fontId="67" fillId="12" borderId="20"/>
    <xf numFmtId="0" fontId="73" fillId="34" borderId="0"/>
    <xf numFmtId="0" fontId="69" fillId="0" borderId="23"/>
    <xf numFmtId="0" fontId="67" fillId="12" borderId="20"/>
    <xf numFmtId="0" fontId="73" fillId="34" borderId="0"/>
    <xf numFmtId="0" fontId="67" fillId="12" borderId="20"/>
    <xf numFmtId="0" fontId="69" fillId="0" borderId="23"/>
    <xf numFmtId="0" fontId="68" fillId="12" borderId="22"/>
    <xf numFmtId="0" fontId="73" fillId="36" borderId="0"/>
    <xf numFmtId="0" fontId="68" fillId="12" borderId="22"/>
    <xf numFmtId="0" fontId="73" fillId="36" borderId="0"/>
    <xf numFmtId="0" fontId="73" fillId="36" borderId="0"/>
    <xf numFmtId="0" fontId="73" fillId="34" borderId="0"/>
    <xf numFmtId="0" fontId="67" fillId="12" borderId="20"/>
    <xf numFmtId="0" fontId="73" fillId="16" borderId="0"/>
    <xf numFmtId="0" fontId="73" fillId="16" borderId="0"/>
    <xf numFmtId="0" fontId="67" fillId="12" borderId="20"/>
    <xf numFmtId="0" fontId="70" fillId="26" borderId="0"/>
    <xf numFmtId="0" fontId="67" fillId="12" borderId="20"/>
    <xf numFmtId="0" fontId="70" fillId="26" borderId="0"/>
    <xf numFmtId="0" fontId="70" fillId="10" borderId="0"/>
    <xf numFmtId="0" fontId="67" fillId="12" borderId="20"/>
    <xf numFmtId="0" fontId="70" fillId="10" borderId="0"/>
    <xf numFmtId="0" fontId="67" fillId="12" borderId="20"/>
    <xf numFmtId="0" fontId="70" fillId="10" borderId="0"/>
    <xf numFmtId="0" fontId="67" fillId="12" borderId="20"/>
    <xf numFmtId="0" fontId="65" fillId="10" borderId="20"/>
    <xf numFmtId="0" fontId="70" fillId="10" borderId="0"/>
    <xf numFmtId="0" fontId="67" fillId="12" borderId="20"/>
    <xf numFmtId="0" fontId="70" fillId="26" borderId="0"/>
    <xf numFmtId="0" fontId="67" fillId="12" borderId="20"/>
    <xf numFmtId="0" fontId="70" fillId="26" borderId="0"/>
    <xf numFmtId="0" fontId="70" fillId="10" borderId="0"/>
    <xf numFmtId="0" fontId="67" fillId="12" borderId="20"/>
    <xf numFmtId="0" fontId="67" fillId="12" borderId="20"/>
    <xf numFmtId="0" fontId="66" fillId="11" borderId="21"/>
    <xf numFmtId="0" fontId="70" fillId="10" borderId="0"/>
    <xf numFmtId="0" fontId="67" fillId="12" borderId="20"/>
    <xf numFmtId="0" fontId="67" fillId="12" borderId="20"/>
    <xf numFmtId="0" fontId="73" fillId="25" borderId="0"/>
    <xf numFmtId="0" fontId="66" fillId="11" borderId="21"/>
    <xf numFmtId="0" fontId="65" fillId="10" borderId="20"/>
    <xf numFmtId="0" fontId="73" fillId="25" borderId="0"/>
    <xf numFmtId="0" fontId="65" fillId="10" borderId="20"/>
    <xf numFmtId="0" fontId="73" fillId="12" borderId="0"/>
    <xf numFmtId="0" fontId="67" fillId="12" borderId="20"/>
    <xf numFmtId="0" fontId="67" fillId="12" borderId="20"/>
    <xf numFmtId="0" fontId="65" fillId="10" borderId="20"/>
    <xf numFmtId="0" fontId="73" fillId="12" borderId="0"/>
    <xf numFmtId="0" fontId="66" fillId="11" borderId="21"/>
    <xf numFmtId="0" fontId="66" fillId="11" borderId="21"/>
    <xf numFmtId="0" fontId="65" fillId="10" borderId="20"/>
    <xf numFmtId="0" fontId="73" fillId="12" borderId="0"/>
    <xf numFmtId="0" fontId="67" fillId="12" borderId="20"/>
    <xf numFmtId="0" fontId="67" fillId="12" borderId="20"/>
    <xf numFmtId="0" fontId="65" fillId="10" borderId="20"/>
    <xf numFmtId="0" fontId="73" fillId="12" borderId="0"/>
    <xf numFmtId="0" fontId="67" fillId="12" borderId="20"/>
    <xf numFmtId="0" fontId="67" fillId="12" borderId="20"/>
    <xf numFmtId="0" fontId="68" fillId="12" borderId="22"/>
    <xf numFmtId="0" fontId="73" fillId="24" borderId="0"/>
    <xf numFmtId="0" fontId="68" fillId="12" borderId="22"/>
    <xf numFmtId="0" fontId="73" fillId="21" borderId="0"/>
    <xf numFmtId="0" fontId="73" fillId="24" borderId="0"/>
    <xf numFmtId="0" fontId="67" fillId="12" borderId="20"/>
    <xf numFmtId="0" fontId="73" fillId="24" borderId="0"/>
    <xf numFmtId="0" fontId="65" fillId="10" borderId="20"/>
    <xf numFmtId="0" fontId="67" fillId="12" borderId="20"/>
    <xf numFmtId="0" fontId="73" fillId="24" borderId="0"/>
    <xf numFmtId="0" fontId="67" fillId="12" borderId="20"/>
    <xf numFmtId="0" fontId="68" fillId="12" borderId="22"/>
    <xf numFmtId="0" fontId="73" fillId="21" borderId="0"/>
    <xf numFmtId="0" fontId="68" fillId="12" borderId="22"/>
    <xf numFmtId="0" fontId="73" fillId="24" borderId="0"/>
    <xf numFmtId="0" fontId="68" fillId="12" borderId="22"/>
    <xf numFmtId="0" fontId="73" fillId="21" borderId="0"/>
    <xf numFmtId="0" fontId="69" fillId="0" borderId="23"/>
    <xf numFmtId="0" fontId="73" fillId="21" borderId="0"/>
    <xf numFmtId="0" fontId="67" fillId="12" borderId="20"/>
    <xf numFmtId="0" fontId="73" fillId="24" borderId="0"/>
    <xf numFmtId="0" fontId="67" fillId="12" borderId="20"/>
    <xf numFmtId="0" fontId="67" fillId="12" borderId="20"/>
    <xf numFmtId="0" fontId="73" fillId="21" borderId="0"/>
    <xf numFmtId="0" fontId="67" fillId="12" borderId="20"/>
    <xf numFmtId="0" fontId="68" fillId="12" borderId="22"/>
    <xf numFmtId="0" fontId="73" fillId="24" borderId="0"/>
    <xf numFmtId="0" fontId="68" fillId="12" borderId="22"/>
    <xf numFmtId="0" fontId="73" fillId="24" borderId="0"/>
    <xf numFmtId="0" fontId="73" fillId="24" borderId="0"/>
    <xf numFmtId="0" fontId="73" fillId="21" borderId="0"/>
    <xf numFmtId="0" fontId="67" fillId="12" borderId="20"/>
    <xf numFmtId="0" fontId="67" fillId="12" borderId="20"/>
    <xf numFmtId="0" fontId="67" fillId="12" borderId="20"/>
    <xf numFmtId="0" fontId="67" fillId="12" borderId="20"/>
    <xf numFmtId="0" fontId="70" fillId="26" borderId="0"/>
    <xf numFmtId="0" fontId="67" fillId="12" borderId="20"/>
    <xf numFmtId="0" fontId="67" fillId="12" borderId="20"/>
    <xf numFmtId="0" fontId="70" fillId="26" borderId="0"/>
    <xf numFmtId="0" fontId="68" fillId="12" borderId="22"/>
    <xf numFmtId="0" fontId="70" fillId="10" borderId="0"/>
    <xf numFmtId="0" fontId="73" fillId="18" borderId="0"/>
    <xf numFmtId="0" fontId="66" fillId="11" borderId="21"/>
    <xf numFmtId="0" fontId="67" fillId="12" borderId="20"/>
    <xf numFmtId="0" fontId="70" fillId="10" borderId="0"/>
    <xf numFmtId="0" fontId="65" fillId="10" borderId="20"/>
    <xf numFmtId="0" fontId="67" fillId="12" borderId="20"/>
    <xf numFmtId="0" fontId="65" fillId="10" borderId="20"/>
    <xf numFmtId="0" fontId="70" fillId="10" borderId="0"/>
    <xf numFmtId="0" fontId="65" fillId="10" borderId="20"/>
    <xf numFmtId="0" fontId="67" fillId="12" borderId="20"/>
    <xf numFmtId="0" fontId="70" fillId="25" borderId="0"/>
    <xf numFmtId="0" fontId="67" fillId="12" borderId="20"/>
    <xf numFmtId="0" fontId="70" fillId="25" borderId="0"/>
    <xf numFmtId="0" fontId="67" fillId="12" borderId="20"/>
    <xf numFmtId="0" fontId="65" fillId="10" borderId="20"/>
    <xf numFmtId="0" fontId="70" fillId="12" borderId="0"/>
    <xf numFmtId="0" fontId="67" fillId="12" borderId="20"/>
    <xf numFmtId="0" fontId="65" fillId="10" borderId="20"/>
    <xf numFmtId="0" fontId="67" fillId="12" borderId="20"/>
    <xf numFmtId="0" fontId="67" fillId="12" borderId="20"/>
    <xf numFmtId="0" fontId="65" fillId="10" borderId="20"/>
    <xf numFmtId="0" fontId="70" fillId="12" borderId="0"/>
    <xf numFmtId="0" fontId="67" fillId="12" borderId="20"/>
    <xf numFmtId="0" fontId="67" fillId="12" borderId="20"/>
    <xf numFmtId="0" fontId="70" fillId="12" borderId="0"/>
    <xf numFmtId="0" fontId="67" fillId="12" borderId="20"/>
    <xf numFmtId="0" fontId="65" fillId="10" borderId="20"/>
    <xf numFmtId="0" fontId="67" fillId="12" borderId="20"/>
    <xf numFmtId="0" fontId="67" fillId="12" borderId="20"/>
    <xf numFmtId="0" fontId="65" fillId="10" borderId="20"/>
    <xf numFmtId="0" fontId="70" fillId="12" borderId="0"/>
    <xf numFmtId="0" fontId="67" fillId="12" borderId="20"/>
    <xf numFmtId="0" fontId="65" fillId="10" borderId="20"/>
    <xf numFmtId="0" fontId="67" fillId="12" borderId="20"/>
    <xf numFmtId="0" fontId="67" fillId="12" borderId="20"/>
    <xf numFmtId="0" fontId="73" fillId="28" borderId="0"/>
    <xf numFmtId="0" fontId="66" fillId="11" borderId="21"/>
    <xf numFmtId="0" fontId="73" fillId="28" borderId="0"/>
    <xf numFmtId="0" fontId="67" fillId="12" borderId="20"/>
    <xf numFmtId="0" fontId="68" fillId="12" borderId="22"/>
    <xf numFmtId="0" fontId="66" fillId="11" borderId="21"/>
    <xf numFmtId="0" fontId="73" fillId="20" borderId="0"/>
    <xf numFmtId="0" fontId="68" fillId="12" borderId="22"/>
    <xf numFmtId="0" fontId="73" fillId="40" borderId="0"/>
    <xf numFmtId="0" fontId="68" fillId="12" borderId="22"/>
    <xf numFmtId="0" fontId="73" fillId="20" borderId="0"/>
    <xf numFmtId="0" fontId="73" fillId="20" borderId="0"/>
    <xf numFmtId="0" fontId="73" fillId="20" borderId="0"/>
    <xf numFmtId="0" fontId="67" fillId="12" borderId="20"/>
    <xf numFmtId="0" fontId="68" fillId="12" borderId="22"/>
    <xf numFmtId="0" fontId="73" fillId="40" borderId="0"/>
    <xf numFmtId="0" fontId="68" fillId="12" borderId="22"/>
    <xf numFmtId="0" fontId="66" fillId="11" borderId="21"/>
    <xf numFmtId="0" fontId="73" fillId="20" borderId="0"/>
    <xf numFmtId="0" fontId="68" fillId="12" borderId="22"/>
    <xf numFmtId="0" fontId="66" fillId="11" borderId="21"/>
    <xf numFmtId="0" fontId="73" fillId="40" borderId="0"/>
    <xf numFmtId="0" fontId="69" fillId="0" borderId="23"/>
    <xf numFmtId="0" fontId="66" fillId="11" borderId="21"/>
    <xf numFmtId="0" fontId="65" fillId="10" borderId="20"/>
    <xf numFmtId="0" fontId="73" fillId="20" borderId="0"/>
    <xf numFmtId="0" fontId="67" fillId="12" borderId="20"/>
    <xf numFmtId="0" fontId="73" fillId="40" borderId="0"/>
    <xf numFmtId="0" fontId="68" fillId="12" borderId="22"/>
    <xf numFmtId="0" fontId="66" fillId="11" borderId="21"/>
    <xf numFmtId="0" fontId="65" fillId="10" borderId="20"/>
    <xf numFmtId="0" fontId="67" fillId="12" borderId="20"/>
    <xf numFmtId="0" fontId="73" fillId="20" borderId="0"/>
    <xf numFmtId="0" fontId="67" fillId="12" borderId="20"/>
    <xf numFmtId="0" fontId="68" fillId="12" borderId="22"/>
    <xf numFmtId="0" fontId="67" fillId="12" borderId="20"/>
    <xf numFmtId="0" fontId="66" fillId="11" borderId="21"/>
    <xf numFmtId="0" fontId="67" fillId="12" borderId="20"/>
    <xf numFmtId="0" fontId="66" fillId="11" borderId="21"/>
    <xf numFmtId="0" fontId="73" fillId="20" borderId="0"/>
    <xf numFmtId="0" fontId="68" fillId="12" borderId="22"/>
    <xf numFmtId="0" fontId="66" fillId="11" borderId="21"/>
    <xf numFmtId="0" fontId="73" fillId="40" borderId="0"/>
    <xf numFmtId="0" fontId="69" fillId="0" borderId="23"/>
    <xf numFmtId="0" fontId="66" fillId="11" borderId="21"/>
    <xf numFmtId="0" fontId="73" fillId="40" borderId="0"/>
    <xf numFmtId="0" fontId="66" fillId="11" borderId="21"/>
    <xf numFmtId="0" fontId="73" fillId="40" borderId="0"/>
    <xf numFmtId="0" fontId="66" fillId="11" borderId="21"/>
    <xf numFmtId="0" fontId="73" fillId="40" borderId="0"/>
    <xf numFmtId="0" fontId="67" fillId="12" borderId="20"/>
    <xf numFmtId="0" fontId="68" fillId="12" borderId="22"/>
    <xf numFmtId="0" fontId="66" fillId="11" borderId="21"/>
    <xf numFmtId="0" fontId="73" fillId="20" borderId="0"/>
    <xf numFmtId="0" fontId="68" fillId="12" borderId="22"/>
    <xf numFmtId="0" fontId="73" fillId="40" borderId="0"/>
    <xf numFmtId="0" fontId="65" fillId="10" borderId="20"/>
    <xf numFmtId="0" fontId="73" fillId="20" borderId="0"/>
    <xf numFmtId="0" fontId="68" fillId="12" borderId="22"/>
    <xf numFmtId="0" fontId="73" fillId="20" borderId="0"/>
    <xf numFmtId="0" fontId="67" fillId="12" borderId="20"/>
    <xf numFmtId="0" fontId="73" fillId="20" borderId="0"/>
    <xf numFmtId="0" fontId="67" fillId="12" borderId="20"/>
    <xf numFmtId="0" fontId="73" fillId="40" borderId="0"/>
    <xf numFmtId="0" fontId="67" fillId="12" borderId="20"/>
    <xf numFmtId="0" fontId="77" fillId="33" borderId="20"/>
    <xf numFmtId="0" fontId="67" fillId="12" borderId="20"/>
    <xf numFmtId="0" fontId="70" fillId="26" borderId="0"/>
    <xf numFmtId="0" fontId="67" fillId="12" borderId="20"/>
    <xf numFmtId="0" fontId="70" fillId="26" borderId="0"/>
    <xf numFmtId="0" fontId="66" fillId="11" borderId="21"/>
    <xf numFmtId="0" fontId="65" fillId="10" borderId="20"/>
    <xf numFmtId="0" fontId="67" fillId="12" borderId="20"/>
    <xf numFmtId="0" fontId="65" fillId="10" borderId="20"/>
    <xf numFmtId="0" fontId="70" fillId="10" borderId="0"/>
    <xf numFmtId="0" fontId="68" fillId="12" borderId="22"/>
    <xf numFmtId="0" fontId="69" fillId="0" borderId="23"/>
    <xf numFmtId="0" fontId="70" fillId="10" borderId="0"/>
    <xf numFmtId="0" fontId="65" fillId="10" borderId="20"/>
    <xf numFmtId="0" fontId="70" fillId="10" borderId="0"/>
    <xf numFmtId="0" fontId="67" fillId="12" borderId="20"/>
    <xf numFmtId="0" fontId="65" fillId="10" borderId="20"/>
    <xf numFmtId="0" fontId="65" fillId="10" borderId="20"/>
    <xf numFmtId="0" fontId="80" fillId="0" borderId="26"/>
    <xf numFmtId="0" fontId="77" fillId="33" borderId="20"/>
    <xf numFmtId="0" fontId="67" fillId="12" borderId="20"/>
    <xf numFmtId="0" fontId="70" fillId="23" borderId="0"/>
    <xf numFmtId="0" fontId="67" fillId="12" borderId="20"/>
    <xf numFmtId="0" fontId="70" fillId="23" borderId="0"/>
    <xf numFmtId="0" fontId="68" fillId="12" borderId="22"/>
    <xf numFmtId="0" fontId="66" fillId="11" borderId="21"/>
    <xf numFmtId="0" fontId="67" fillId="12" borderId="20"/>
    <xf numFmtId="0" fontId="67" fillId="12" borderId="20"/>
    <xf numFmtId="0" fontId="70" fillId="30" borderId="0"/>
    <xf numFmtId="0" fontId="67" fillId="12" borderId="20"/>
    <xf numFmtId="0" fontId="70" fillId="30" borderId="0"/>
    <xf numFmtId="0" fontId="73" fillId="23" borderId="0"/>
    <xf numFmtId="0" fontId="73" fillId="23" borderId="0"/>
    <xf numFmtId="0" fontId="73" fillId="30" borderId="0"/>
    <xf numFmtId="0" fontId="67" fillId="12" borderId="20"/>
    <xf numFmtId="0" fontId="73" fillId="30" borderId="0"/>
    <xf numFmtId="0" fontId="67" fillId="12" borderId="20"/>
    <xf numFmtId="0" fontId="73" fillId="30" borderId="0"/>
    <xf numFmtId="0" fontId="67" fillId="12" borderId="20"/>
    <xf numFmtId="0" fontId="67" fillId="12" borderId="20"/>
    <xf numFmtId="0" fontId="73" fillId="37" borderId="0"/>
    <xf numFmtId="0" fontId="68" fillId="12" borderId="22"/>
    <xf numFmtId="0" fontId="73" fillId="37" borderId="0"/>
    <xf numFmtId="0" fontId="68" fillId="12" borderId="22"/>
    <xf numFmtId="0" fontId="66" fillId="11" borderId="21"/>
    <xf numFmtId="0" fontId="73" fillId="37" borderId="0"/>
    <xf numFmtId="0" fontId="68" fillId="12" borderId="22"/>
    <xf numFmtId="0" fontId="73" fillId="37" borderId="0"/>
    <xf numFmtId="0" fontId="67" fillId="12" borderId="20"/>
    <xf numFmtId="0" fontId="73" fillId="37" borderId="0"/>
    <xf numFmtId="0" fontId="67" fillId="12" borderId="20"/>
    <xf numFmtId="0" fontId="73" fillId="37" borderId="0"/>
    <xf numFmtId="0" fontId="67" fillId="12" borderId="20"/>
    <xf numFmtId="0" fontId="66" fillId="11" borderId="21"/>
    <xf numFmtId="0" fontId="70" fillId="26" borderId="0"/>
    <xf numFmtId="0" fontId="66" fillId="11" borderId="21"/>
    <xf numFmtId="0" fontId="67" fillId="12" borderId="20"/>
    <xf numFmtId="0" fontId="70" fillId="10" borderId="0"/>
    <xf numFmtId="0" fontId="67" fillId="12" borderId="20"/>
    <xf numFmtId="0" fontId="70" fillId="10" borderId="0"/>
    <xf numFmtId="0" fontId="66" fillId="11" borderId="21"/>
    <xf numFmtId="0" fontId="67" fillId="12" borderId="20"/>
    <xf numFmtId="0" fontId="70" fillId="10" borderId="0"/>
    <xf numFmtId="0" fontId="67" fillId="12" borderId="20"/>
    <xf numFmtId="0" fontId="67" fillId="12" borderId="20"/>
    <xf numFmtId="0" fontId="69" fillId="0" borderId="23"/>
    <xf numFmtId="0" fontId="65" fillId="10" borderId="20"/>
    <xf numFmtId="0" fontId="70" fillId="10" borderId="0"/>
    <xf numFmtId="0" fontId="67" fillId="12" borderId="20"/>
    <xf numFmtId="0" fontId="67" fillId="12" borderId="20"/>
    <xf numFmtId="0" fontId="67" fillId="12" borderId="20"/>
    <xf numFmtId="0" fontId="69" fillId="0" borderId="23"/>
    <xf numFmtId="0" fontId="70" fillId="11" borderId="0"/>
    <xf numFmtId="0" fontId="67" fillId="12" borderId="20"/>
    <xf numFmtId="0" fontId="70" fillId="11" borderId="0"/>
    <xf numFmtId="0" fontId="73" fillId="17" borderId="0"/>
    <xf numFmtId="0" fontId="73" fillId="17" borderId="0"/>
    <xf numFmtId="0" fontId="66" fillId="11" borderId="21"/>
    <xf numFmtId="0" fontId="73" fillId="16" borderId="0"/>
    <xf numFmtId="0" fontId="83" fillId="0" borderId="27"/>
    <xf numFmtId="0" fontId="73" fillId="29" borderId="0"/>
    <xf numFmtId="0" fontId="67" fillId="12" borderId="20"/>
    <xf numFmtId="0" fontId="67" fillId="12" borderId="20"/>
    <xf numFmtId="0" fontId="73" fillId="34" borderId="0"/>
    <xf numFmtId="0" fontId="67" fillId="12" borderId="20"/>
    <xf numFmtId="0" fontId="66" fillId="11" borderId="21"/>
    <xf numFmtId="0" fontId="67" fillId="12" borderId="20"/>
    <xf numFmtId="0" fontId="73" fillId="16" borderId="0"/>
    <xf numFmtId="0" fontId="66" fillId="11" borderId="21"/>
    <xf numFmtId="0" fontId="65" fillId="10" borderId="20"/>
    <xf numFmtId="0" fontId="67" fillId="12" borderId="20"/>
    <xf numFmtId="0" fontId="73" fillId="34" borderId="0"/>
    <xf numFmtId="0" fontId="67" fillId="12" borderId="20"/>
    <xf numFmtId="0" fontId="66" fillId="11" borderId="21"/>
    <xf numFmtId="0" fontId="65" fillId="10"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5" fillId="10" borderId="20"/>
    <xf numFmtId="0" fontId="67" fillId="12" borderId="20"/>
    <xf numFmtId="0" fontId="73" fillId="18" borderId="0"/>
    <xf numFmtId="0" fontId="67" fillId="12" borderId="20"/>
    <xf numFmtId="0" fontId="66" fillId="11" borderId="21"/>
    <xf numFmtId="0" fontId="67" fillId="12" borderId="20"/>
    <xf numFmtId="0" fontId="67" fillId="12" borderId="20"/>
    <xf numFmtId="0" fontId="73" fillId="18" borderId="0"/>
    <xf numFmtId="0" fontId="67" fillId="12" borderId="20"/>
    <xf numFmtId="0" fontId="66" fillId="11" borderId="21"/>
    <xf numFmtId="0" fontId="65" fillId="10" borderId="20"/>
    <xf numFmtId="0" fontId="67" fillId="12" borderId="20"/>
    <xf numFmtId="0" fontId="67" fillId="12" borderId="20"/>
    <xf numFmtId="0" fontId="73" fillId="29" borderId="0"/>
    <xf numFmtId="0" fontId="66" fillId="11" borderId="21"/>
    <xf numFmtId="0" fontId="67" fillId="12" borderId="20"/>
    <xf numFmtId="0" fontId="73" fillId="18" borderId="0"/>
    <xf numFmtId="0" fontId="67" fillId="12" borderId="20"/>
    <xf numFmtId="0" fontId="67" fillId="12" borderId="20"/>
    <xf numFmtId="0" fontId="69" fillId="0" borderId="23"/>
    <xf numFmtId="0" fontId="73" fillId="18" borderId="0"/>
    <xf numFmtId="0" fontId="67" fillId="12" borderId="20"/>
    <xf numFmtId="0" fontId="67" fillId="12" borderId="20"/>
    <xf numFmtId="0" fontId="73" fillId="16" borderId="0"/>
    <xf numFmtId="0" fontId="69" fillId="0" borderId="23"/>
    <xf numFmtId="0" fontId="67" fillId="12" borderId="20"/>
    <xf numFmtId="0" fontId="73" fillId="29" borderId="0"/>
    <xf numFmtId="0" fontId="73" fillId="16" borderId="0"/>
    <xf numFmtId="0" fontId="65" fillId="10" borderId="20"/>
    <xf numFmtId="0" fontId="73" fillId="29" borderId="0"/>
    <xf numFmtId="0" fontId="67" fillId="12" borderId="20"/>
    <xf numFmtId="0" fontId="73" fillId="16" borderId="0"/>
    <xf numFmtId="0" fontId="67" fillId="12" borderId="20"/>
    <xf numFmtId="0" fontId="73" fillId="16" borderId="0"/>
    <xf numFmtId="0" fontId="73" fillId="29" borderId="0"/>
    <xf numFmtId="0" fontId="78" fillId="0" borderId="25"/>
    <xf numFmtId="0" fontId="73" fillId="29" borderId="0"/>
    <xf numFmtId="0" fontId="67" fillId="12" borderId="20"/>
    <xf numFmtId="0" fontId="73" fillId="34" borderId="0"/>
    <xf numFmtId="0" fontId="73" fillId="16" borderId="0"/>
    <xf numFmtId="0" fontId="67" fillId="12" borderId="20"/>
    <xf numFmtId="0" fontId="67" fillId="12" borderId="20"/>
    <xf numFmtId="0" fontId="73" fillId="16" borderId="0"/>
    <xf numFmtId="0" fontId="66" fillId="11" borderId="21"/>
    <xf numFmtId="0" fontId="67" fillId="12" borderId="20"/>
    <xf numFmtId="0" fontId="73" fillId="16" borderId="0"/>
    <xf numFmtId="0" fontId="66" fillId="11" borderId="21"/>
    <xf numFmtId="0" fontId="67" fillId="12" borderId="20"/>
    <xf numFmtId="0" fontId="73" fillId="35" borderId="0"/>
    <xf numFmtId="0" fontId="67" fillId="12" borderId="20"/>
    <xf numFmtId="0" fontId="65" fillId="10" borderId="20"/>
    <xf numFmtId="0" fontId="73" fillId="32" borderId="0"/>
    <xf numFmtId="0" fontId="67" fillId="12" borderId="20"/>
    <xf numFmtId="0" fontId="66" fillId="11" borderId="21"/>
    <xf numFmtId="0" fontId="66" fillId="11" borderId="21"/>
    <xf numFmtId="0" fontId="66" fillId="11" borderId="21"/>
    <xf numFmtId="0" fontId="67" fillId="12" borderId="20"/>
    <xf numFmtId="0" fontId="67" fillId="12" borderId="20"/>
    <xf numFmtId="0" fontId="67" fillId="12" borderId="20"/>
    <xf numFmtId="0" fontId="73" fillId="32" borderId="0"/>
    <xf numFmtId="0" fontId="66" fillId="11" borderId="21"/>
    <xf numFmtId="0" fontId="67" fillId="12" borderId="20"/>
    <xf numFmtId="0" fontId="66" fillId="11" borderId="21"/>
    <xf numFmtId="0" fontId="66" fillId="11" borderId="21"/>
    <xf numFmtId="0" fontId="66" fillId="11" borderId="21"/>
    <xf numFmtId="0" fontId="67" fillId="12" borderId="20"/>
    <xf numFmtId="0" fontId="67" fillId="12" borderId="20"/>
    <xf numFmtId="0" fontId="73" fillId="16" borderId="0"/>
    <xf numFmtId="0" fontId="66" fillId="11" borderId="21"/>
    <xf numFmtId="0" fontId="67" fillId="12" borderId="20"/>
    <xf numFmtId="0" fontId="66" fillId="11" borderId="21"/>
    <xf numFmtId="0" fontId="66" fillId="11" borderId="21"/>
    <xf numFmtId="0" fontId="67" fillId="12" borderId="20"/>
    <xf numFmtId="0" fontId="67" fillId="12" borderId="20"/>
    <xf numFmtId="0" fontId="73" fillId="34" borderId="0"/>
    <xf numFmtId="0" fontId="67" fillId="12" borderId="20"/>
    <xf numFmtId="0" fontId="67" fillId="12" borderId="20"/>
    <xf numFmtId="0" fontId="67" fillId="12" borderId="20"/>
    <xf numFmtId="0" fontId="65" fillId="10" borderId="20"/>
    <xf numFmtId="0" fontId="73" fillId="16" borderId="0"/>
    <xf numFmtId="0" fontId="67" fillId="12" borderId="20"/>
    <xf numFmtId="0" fontId="67" fillId="12" borderId="20"/>
    <xf numFmtId="0" fontId="67" fillId="12" borderId="20"/>
    <xf numFmtId="0" fontId="73" fillId="16" borderId="0"/>
    <xf numFmtId="0" fontId="66" fillId="11" borderId="21"/>
    <xf numFmtId="0" fontId="66" fillId="11" borderId="21"/>
    <xf numFmtId="0" fontId="67" fillId="12" borderId="20"/>
    <xf numFmtId="0" fontId="67" fillId="12" borderId="20"/>
    <xf numFmtId="0" fontId="73" fillId="16" borderId="0"/>
    <xf numFmtId="0" fontId="66" fillId="11" borderId="21"/>
    <xf numFmtId="0" fontId="66" fillId="11" borderId="21"/>
    <xf numFmtId="0" fontId="67" fillId="12" borderId="20"/>
    <xf numFmtId="0" fontId="67" fillId="12" borderId="20"/>
    <xf numFmtId="0" fontId="73" fillId="34" borderId="0"/>
    <xf numFmtId="0" fontId="67" fillId="12" borderId="20"/>
    <xf numFmtId="0" fontId="67" fillId="12" borderId="20"/>
    <xf numFmtId="0" fontId="67" fillId="12" borderId="20"/>
    <xf numFmtId="0" fontId="73" fillId="16" borderId="0"/>
    <xf numFmtId="0" fontId="67" fillId="12" borderId="20"/>
    <xf numFmtId="0" fontId="67" fillId="12" borderId="20"/>
    <xf numFmtId="0" fontId="67" fillId="12" borderId="20"/>
    <xf numFmtId="0" fontId="73" fillId="16" borderId="0"/>
    <xf numFmtId="0" fontId="66" fillId="11" borderId="21"/>
    <xf numFmtId="0" fontId="67" fillId="12" borderId="20"/>
    <xf numFmtId="0" fontId="67" fillId="12" borderId="20"/>
    <xf numFmtId="0" fontId="73" fillId="16" borderId="0"/>
    <xf numFmtId="0" fontId="66" fillId="11" borderId="21"/>
    <xf numFmtId="0" fontId="67" fillId="12" borderId="20"/>
    <xf numFmtId="0" fontId="67" fillId="12" borderId="20"/>
    <xf numFmtId="0" fontId="73" fillId="29" borderId="0"/>
    <xf numFmtId="0" fontId="67" fillId="12" borderId="20"/>
    <xf numFmtId="0" fontId="73" fillId="18" borderId="0"/>
    <xf numFmtId="0" fontId="67" fillId="12" borderId="20"/>
    <xf numFmtId="0" fontId="67" fillId="12" borderId="20"/>
    <xf numFmtId="0" fontId="73" fillId="18" borderId="0"/>
    <xf numFmtId="0" fontId="67" fillId="12" borderId="20"/>
    <xf numFmtId="0" fontId="79" fillId="28" borderId="0"/>
    <xf numFmtId="0" fontId="67" fillId="12" borderId="20"/>
    <xf numFmtId="0" fontId="67" fillId="12" borderId="20"/>
    <xf numFmtId="0" fontId="87" fillId="11" borderId="0"/>
    <xf numFmtId="0" fontId="68" fillId="12" borderId="22"/>
    <xf numFmtId="0" fontId="79" fillId="28" borderId="0"/>
    <xf numFmtId="0" fontId="66" fillId="11" borderId="21"/>
    <xf numFmtId="0" fontId="67" fillId="12" borderId="20"/>
    <xf numFmtId="0" fontId="68" fillId="12" borderId="22"/>
    <xf numFmtId="0" fontId="79" fillId="28" borderId="0"/>
    <xf numFmtId="0" fontId="67" fillId="12" borderId="20"/>
    <xf numFmtId="0" fontId="68" fillId="12" borderId="22"/>
    <xf numFmtId="0" fontId="79" fillId="28" borderId="0"/>
    <xf numFmtId="0" fontId="67" fillId="12" borderId="20"/>
    <xf numFmtId="0" fontId="67" fillId="12" borderId="20"/>
    <xf numFmtId="0" fontId="69" fillId="0" borderId="23"/>
    <xf numFmtId="0" fontId="87" fillId="11" borderId="0"/>
    <xf numFmtId="0" fontId="67" fillId="12" borderId="20"/>
    <xf numFmtId="0" fontId="65" fillId="10" borderId="20"/>
    <xf numFmtId="0" fontId="79" fillId="28" borderId="0"/>
    <xf numFmtId="0" fontId="67" fillId="12" borderId="20"/>
    <xf numFmtId="0" fontId="65" fillId="10" borderId="20"/>
    <xf numFmtId="0" fontId="87" fillId="11" borderId="0"/>
    <xf numFmtId="0" fontId="67" fillId="12" borderId="20"/>
    <xf numFmtId="0" fontId="79" fillId="28" borderId="0"/>
    <xf numFmtId="0" fontId="68" fillId="12" borderId="22"/>
    <xf numFmtId="0" fontId="79" fillId="28" borderId="0"/>
    <xf numFmtId="0" fontId="68" fillId="12" borderId="22"/>
    <xf numFmtId="0" fontId="79" fillId="28" borderId="0"/>
    <xf numFmtId="0" fontId="66" fillId="11" borderId="21"/>
    <xf numFmtId="0" fontId="65" fillId="10" borderId="20"/>
    <xf numFmtId="0" fontId="87" fillId="11" borderId="0"/>
    <xf numFmtId="0" fontId="67" fillId="12" borderId="20"/>
    <xf numFmtId="0" fontId="66" fillId="11" borderId="21"/>
    <xf numFmtId="0" fontId="87" fillId="11" borderId="0"/>
    <xf numFmtId="0" fontId="67" fillId="12" borderId="20"/>
    <xf numFmtId="0" fontId="87" fillId="11" borderId="0"/>
    <xf numFmtId="0" fontId="67" fillId="12" borderId="20"/>
    <xf numFmtId="0" fontId="87" fillId="11" borderId="0"/>
    <xf numFmtId="0" fontId="79" fillId="28" borderId="0"/>
    <xf numFmtId="0" fontId="67" fillId="12" borderId="20"/>
    <xf numFmtId="0" fontId="79" fillId="28" borderId="0"/>
    <xf numFmtId="0" fontId="67" fillId="12" borderId="20"/>
    <xf numFmtId="0" fontId="66" fillId="11" borderId="21"/>
    <xf numFmtId="0" fontId="67" fillId="12"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8" fillId="12" borderId="22"/>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25"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86" fillId="0" borderId="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112" fillId="0" borderId="0"/>
    <xf numFmtId="0" fontId="67" fillId="12" borderId="20"/>
    <xf numFmtId="0" fontId="66" fillId="11" borderId="21"/>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77" fillId="33" borderId="20"/>
    <xf numFmtId="0" fontId="67" fillId="12" borderId="20"/>
    <xf numFmtId="0" fontId="65" fillId="10" borderId="20"/>
    <xf numFmtId="0" fontId="65" fillId="10" borderId="20"/>
    <xf numFmtId="0" fontId="77" fillId="33" borderId="20"/>
    <xf numFmtId="0" fontId="67" fillId="12"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33" borderId="22"/>
    <xf numFmtId="0" fontId="67" fillId="12"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8" fillId="12" borderId="22"/>
    <xf numFmtId="0" fontId="74" fillId="17" borderId="20"/>
    <xf numFmtId="0" fontId="67" fillId="12" borderId="20"/>
    <xf numFmtId="0" fontId="67" fillId="12" borderId="20"/>
    <xf numFmtId="0" fontId="67" fillId="12" borderId="20"/>
    <xf numFmtId="0" fontId="68" fillId="33" borderId="22"/>
    <xf numFmtId="0" fontId="67" fillId="12" borderId="20"/>
    <xf numFmtId="0" fontId="67" fillId="12" borderId="20"/>
    <xf numFmtId="0" fontId="68" fillId="12" borderId="22"/>
    <xf numFmtId="0" fontId="67" fillId="12" borderId="20"/>
    <xf numFmtId="0" fontId="68" fillId="12" borderId="22"/>
    <xf numFmtId="0" fontId="66" fillId="11" borderId="21"/>
    <xf numFmtId="0" fontId="89" fillId="0" borderId="3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0" borderId="0"/>
    <xf numFmtId="0" fontId="112" fillId="0" borderId="0"/>
    <xf numFmtId="0" fontId="67" fillId="12" borderId="20"/>
    <xf numFmtId="0" fontId="66" fillId="0" borderId="0"/>
    <xf numFmtId="0" fontId="112" fillId="0" borderId="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70" fillId="11" borderId="21"/>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5" fillId="10" borderId="20"/>
    <xf numFmtId="0" fontId="67" fillId="12" borderId="20"/>
    <xf numFmtId="0" fontId="65" fillId="10"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6" fillId="11" borderId="21"/>
    <xf numFmtId="0" fontId="65" fillId="10" borderId="20"/>
    <xf numFmtId="0" fontId="67" fillId="12" borderId="20"/>
    <xf numFmtId="0" fontId="68" fillId="12" borderId="22"/>
    <xf numFmtId="0" fontId="65" fillId="10"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6" fillId="11" borderId="21"/>
    <xf numFmtId="0" fontId="66" fillId="11" borderId="21"/>
    <xf numFmtId="0" fontId="67" fillId="12" borderId="20"/>
    <xf numFmtId="0" fontId="67" fillId="12" borderId="20"/>
    <xf numFmtId="0" fontId="68" fillId="12" borderId="22"/>
    <xf numFmtId="0" fontId="66" fillId="11" borderId="21"/>
    <xf numFmtId="0" fontId="65" fillId="10"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88" fillId="0" borderId="29"/>
    <xf numFmtId="0" fontId="67" fillId="12" borderId="20"/>
    <xf numFmtId="0" fontId="68" fillId="12" borderId="22"/>
    <xf numFmtId="0" fontId="67" fillId="12" borderId="20"/>
    <xf numFmtId="0" fontId="66" fillId="11" borderId="21"/>
    <xf numFmtId="0" fontId="66" fillId="11" borderId="21"/>
    <xf numFmtId="0" fontId="65" fillId="10" borderId="20"/>
    <xf numFmtId="0" fontId="67" fillId="12" borderId="20"/>
    <xf numFmtId="0" fontId="69" fillId="0" borderId="23"/>
    <xf numFmtId="0" fontId="67" fillId="12" borderId="20"/>
    <xf numFmtId="0" fontId="67" fillId="12" borderId="20"/>
    <xf numFmtId="0" fontId="66" fillId="11" borderId="21"/>
    <xf numFmtId="0" fontId="66" fillId="11" borderId="21"/>
    <xf numFmtId="0" fontId="67" fillId="12" borderId="20"/>
    <xf numFmtId="0" fontId="69" fillId="0" borderId="23"/>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8" fillId="12" borderId="22"/>
    <xf numFmtId="0" fontId="68" fillId="12" borderId="22"/>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6" fillId="11" borderId="21"/>
    <xf numFmtId="0" fontId="65" fillId="10"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5" fillId="10"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78" fillId="0" borderId="25"/>
    <xf numFmtId="0" fontId="67" fillId="12" borderId="20"/>
    <xf numFmtId="0" fontId="68" fillId="12" borderId="22"/>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5" fillId="10" borderId="20"/>
    <xf numFmtId="0" fontId="67" fillId="12" borderId="20"/>
    <xf numFmtId="0" fontId="68" fillId="12" borderId="22"/>
    <xf numFmtId="0" fontId="68" fillId="12" borderId="22"/>
    <xf numFmtId="0" fontId="67" fillId="12" borderId="20"/>
    <xf numFmtId="0" fontId="65" fillId="10" borderId="20"/>
    <xf numFmtId="0" fontId="67" fillId="12" borderId="20"/>
    <xf numFmtId="0" fontId="68" fillId="12" borderId="22"/>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7" fillId="12"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7" fillId="12" borderId="20"/>
    <xf numFmtId="0" fontId="68" fillId="12" borderId="22"/>
    <xf numFmtId="0" fontId="68" fillId="12" borderId="22"/>
    <xf numFmtId="0" fontId="68" fillId="12" borderId="22"/>
    <xf numFmtId="0" fontId="66" fillId="11" borderId="21"/>
    <xf numFmtId="0" fontId="67" fillId="12" borderId="20"/>
    <xf numFmtId="0" fontId="67" fillId="12" borderId="20"/>
    <xf numFmtId="0" fontId="67" fillId="12" borderId="20"/>
    <xf numFmtId="0" fontId="68" fillId="12" borderId="22"/>
    <xf numFmtId="0" fontId="68" fillId="12" borderId="22"/>
    <xf numFmtId="0" fontId="68" fillId="12" borderId="22"/>
    <xf numFmtId="0" fontId="66" fillId="11" borderId="21"/>
    <xf numFmtId="0" fontId="67" fillId="12" borderId="20"/>
    <xf numFmtId="0" fontId="65" fillId="10" borderId="20"/>
    <xf numFmtId="0" fontId="67" fillId="12" borderId="20"/>
    <xf numFmtId="0" fontId="65" fillId="10" borderId="20"/>
    <xf numFmtId="0" fontId="67" fillId="12" borderId="20"/>
    <xf numFmtId="0" fontId="68" fillId="12" borderId="22"/>
    <xf numFmtId="0" fontId="68" fillId="12" borderId="22"/>
    <xf numFmtId="0" fontId="66" fillId="11" borderId="21"/>
    <xf numFmtId="0" fontId="66" fillId="11" borderId="21"/>
    <xf numFmtId="0" fontId="67" fillId="12" borderId="20"/>
    <xf numFmtId="0" fontId="67" fillId="12" borderId="20"/>
    <xf numFmtId="0" fontId="67" fillId="12" borderId="20"/>
    <xf numFmtId="0" fontId="68" fillId="12" borderId="22"/>
    <xf numFmtId="0" fontId="68" fillId="12" borderId="22"/>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80" fillId="0" borderId="26"/>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0" borderId="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33"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5" fillId="10" borderId="20"/>
    <xf numFmtId="0" fontId="67" fillId="12" borderId="20"/>
    <xf numFmtId="0" fontId="67" fillId="12" borderId="20"/>
    <xf numFmtId="0" fontId="69" fillId="0" borderId="23"/>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9" fillId="0" borderId="23"/>
    <xf numFmtId="0" fontId="65" fillId="10"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7" fillId="12" borderId="20"/>
    <xf numFmtId="0" fontId="67" fillId="12" borderId="20"/>
    <xf numFmtId="0" fontId="67" fillId="12" borderId="20"/>
    <xf numFmtId="0" fontId="67" fillId="12" borderId="20"/>
    <xf numFmtId="0" fontId="69" fillId="0" borderId="23"/>
    <xf numFmtId="0" fontId="68" fillId="12" borderId="22"/>
    <xf numFmtId="0" fontId="65" fillId="10" borderId="20"/>
    <xf numFmtId="0" fontId="67" fillId="12"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9" fillId="0" borderId="23"/>
    <xf numFmtId="0" fontId="68" fillId="12" borderId="22"/>
    <xf numFmtId="0" fontId="67" fillId="12" borderId="20"/>
    <xf numFmtId="0" fontId="67" fillId="12" borderId="20"/>
    <xf numFmtId="0" fontId="69" fillId="0" borderId="23"/>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6" fillId="11" borderId="21"/>
    <xf numFmtId="0" fontId="66" fillId="11" borderId="21"/>
    <xf numFmtId="0" fontId="69" fillId="0" borderId="23"/>
    <xf numFmtId="0" fontId="68" fillId="12" borderId="22"/>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9" fillId="0" borderId="23"/>
    <xf numFmtId="0" fontId="68" fillId="12" borderId="22"/>
    <xf numFmtId="0" fontId="66" fillId="11" borderId="21"/>
    <xf numFmtId="0" fontId="66" fillId="11" borderId="21"/>
    <xf numFmtId="0" fontId="67" fillId="12" borderId="20"/>
    <xf numFmtId="0" fontId="66" fillId="11" borderId="21"/>
    <xf numFmtId="0" fontId="67" fillId="12" borderId="20"/>
    <xf numFmtId="0" fontId="68" fillId="12" borderId="22"/>
    <xf numFmtId="0" fontId="66" fillId="11" borderId="21"/>
    <xf numFmtId="0" fontId="66" fillId="11" borderId="21"/>
    <xf numFmtId="0" fontId="67" fillId="12" borderId="20"/>
    <xf numFmtId="0" fontId="69" fillId="0" borderId="23"/>
    <xf numFmtId="0" fontId="68" fillId="12" borderId="22"/>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7" fillId="12" borderId="20"/>
    <xf numFmtId="0" fontId="67" fillId="12" borderId="20"/>
    <xf numFmtId="0" fontId="65" fillId="10"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9" fillId="0" borderId="23"/>
    <xf numFmtId="0" fontId="68" fillId="12" borderId="22"/>
    <xf numFmtId="0" fontId="68" fillId="12" borderId="22"/>
    <xf numFmtId="0" fontId="68" fillId="12" borderId="22"/>
    <xf numFmtId="0" fontId="65" fillId="10" borderId="20"/>
    <xf numFmtId="0" fontId="67" fillId="12" borderId="20"/>
    <xf numFmtId="0" fontId="67" fillId="12" borderId="20"/>
    <xf numFmtId="0" fontId="69" fillId="0" borderId="23"/>
    <xf numFmtId="0" fontId="68" fillId="33" borderId="22"/>
    <xf numFmtId="0" fontId="68" fillId="12" borderId="22"/>
    <xf numFmtId="0" fontId="68" fillId="12" borderId="22"/>
    <xf numFmtId="0" fontId="65" fillId="10" borderId="20"/>
    <xf numFmtId="0" fontId="67" fillId="12" borderId="20"/>
    <xf numFmtId="0" fontId="67" fillId="12" borderId="20"/>
    <xf numFmtId="0" fontId="68" fillId="12" borderId="22"/>
    <xf numFmtId="0" fontId="68" fillId="12" borderId="22"/>
    <xf numFmtId="0" fontId="68" fillId="12" borderId="22"/>
    <xf numFmtId="0" fontId="65" fillId="10" borderId="20"/>
    <xf numFmtId="0" fontId="67" fillId="12" borderId="20"/>
    <xf numFmtId="0" fontId="65" fillId="10"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8" fillId="12" borderId="22"/>
    <xf numFmtId="0" fontId="66" fillId="11" borderId="21"/>
    <xf numFmtId="0" fontId="68" fillId="12" borderId="22"/>
    <xf numFmtId="0" fontId="65" fillId="10" borderId="20"/>
    <xf numFmtId="0" fontId="67" fillId="12" borderId="20"/>
    <xf numFmtId="0" fontId="67" fillId="12" borderId="20"/>
    <xf numFmtId="0" fontId="67" fillId="12" borderId="20"/>
    <xf numFmtId="0" fontId="67" fillId="12" borderId="20"/>
    <xf numFmtId="0" fontId="69" fillId="0" borderId="23"/>
    <xf numFmtId="0" fontId="68" fillId="12" borderId="22"/>
    <xf numFmtId="0" fontId="68" fillId="12" borderId="22"/>
    <xf numFmtId="0" fontId="66" fillId="11" borderId="21"/>
    <xf numFmtId="0" fontId="68" fillId="12" borderId="22"/>
    <xf numFmtId="0" fontId="65" fillId="10" borderId="20"/>
    <xf numFmtId="0" fontId="67" fillId="12" borderId="20"/>
    <xf numFmtId="0" fontId="65" fillId="10"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70" fillId="11" borderId="21"/>
    <xf numFmtId="0" fontId="68" fillId="12" borderId="22"/>
    <xf numFmtId="0" fontId="66" fillId="11" borderId="21"/>
    <xf numFmtId="0" fontId="65" fillId="10"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8" fillId="12" borderId="22"/>
    <xf numFmtId="0" fontId="66" fillId="11" borderId="21"/>
    <xf numFmtId="0" fontId="65" fillId="10" borderId="20"/>
    <xf numFmtId="0" fontId="67" fillId="12" borderId="20"/>
    <xf numFmtId="0" fontId="65" fillId="10" borderId="20"/>
    <xf numFmtId="0" fontId="65" fillId="10" borderId="20"/>
    <xf numFmtId="0" fontId="67" fillId="12" borderId="20"/>
    <xf numFmtId="0" fontId="68" fillId="12" borderId="22"/>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81" fillId="12" borderId="0"/>
    <xf numFmtId="0" fontId="67" fillId="12" borderId="20"/>
    <xf numFmtId="0" fontId="67" fillId="12" borderId="20"/>
    <xf numFmtId="0" fontId="66" fillId="11" borderId="21"/>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112" fillId="0" borderId="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68" fillId="12" borderId="22"/>
    <xf numFmtId="0" fontId="65" fillId="10" borderId="20"/>
    <xf numFmtId="0" fontId="67" fillId="12" borderId="20"/>
    <xf numFmtId="0" fontId="112" fillId="0" borderId="0"/>
    <xf numFmtId="0" fontId="67" fillId="12" borderId="20"/>
    <xf numFmtId="0" fontId="65" fillId="10"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112" fillId="0" borderId="0"/>
    <xf numFmtId="0" fontId="67" fillId="12"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67" fillId="12" borderId="20"/>
    <xf numFmtId="0" fontId="67" fillId="25" borderId="20"/>
    <xf numFmtId="0" fontId="65" fillId="10" borderId="20"/>
    <xf numFmtId="0" fontId="67" fillId="12" borderId="20"/>
    <xf numFmtId="0" fontId="67" fillId="25"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5" fillId="10" borderId="20"/>
    <xf numFmtId="0" fontId="112" fillId="0" borderId="0"/>
    <xf numFmtId="0" fontId="69" fillId="0" borderId="23"/>
    <xf numFmtId="0" fontId="67" fillId="12" borderId="20"/>
    <xf numFmtId="0" fontId="67" fillId="12" borderId="20"/>
    <xf numFmtId="0" fontId="112" fillId="0" borderId="0"/>
    <xf numFmtId="0" fontId="69" fillId="0" borderId="23"/>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65" fillId="10" borderId="20"/>
    <xf numFmtId="0" fontId="69" fillId="0" borderId="23"/>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7" fillId="12" borderId="20"/>
    <xf numFmtId="0" fontId="69" fillId="0" borderId="23"/>
    <xf numFmtId="0" fontId="67" fillId="12" borderId="20"/>
    <xf numFmtId="0" fontId="67" fillId="25" borderId="20"/>
    <xf numFmtId="0" fontId="68" fillId="12" borderId="22"/>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77" fillId="33" borderId="20"/>
    <xf numFmtId="0" fontId="67" fillId="12" borderId="20"/>
    <xf numFmtId="0" fontId="69" fillId="0" borderId="23"/>
    <xf numFmtId="0" fontId="67" fillId="12" borderId="20"/>
    <xf numFmtId="0" fontId="68" fillId="12" borderId="22"/>
    <xf numFmtId="0" fontId="68" fillId="12" borderId="22"/>
    <xf numFmtId="0" fontId="67" fillId="12" borderId="20"/>
    <xf numFmtId="0" fontId="72" fillId="0" borderId="24"/>
    <xf numFmtId="0" fontId="68" fillId="12" borderId="22"/>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80" fillId="0" borderId="26"/>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112" fillId="0" borderId="0"/>
    <xf numFmtId="0" fontId="67" fillId="12" borderId="20"/>
    <xf numFmtId="0" fontId="67" fillId="12" borderId="20"/>
    <xf numFmtId="0" fontId="69" fillId="0" borderId="23"/>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5" fillId="10" borderId="20"/>
    <xf numFmtId="0" fontId="65" fillId="10"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6" fillId="11" borderId="21"/>
    <xf numFmtId="0" fontId="66" fillId="11" borderId="21"/>
    <xf numFmtId="0" fontId="67" fillId="12" borderId="20"/>
    <xf numFmtId="0" fontId="68" fillId="12" borderId="22"/>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80" fillId="0" borderId="26"/>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72" fillId="0" borderId="24"/>
    <xf numFmtId="0" fontId="72" fillId="0" borderId="24"/>
    <xf numFmtId="0" fontId="67" fillId="12" borderId="20"/>
    <xf numFmtId="0" fontId="67" fillId="12" borderId="20"/>
    <xf numFmtId="0" fontId="72" fillId="0" borderId="24"/>
    <xf numFmtId="0" fontId="72" fillId="0" borderId="24"/>
    <xf numFmtId="0" fontId="67" fillId="12" borderId="20"/>
    <xf numFmtId="0" fontId="72" fillId="0" borderId="24"/>
    <xf numFmtId="0" fontId="72" fillId="0" borderId="24"/>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9" fillId="0" borderId="23"/>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33"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8" fillId="12" borderId="22"/>
    <xf numFmtId="0" fontId="67" fillId="12" borderId="20"/>
    <xf numFmtId="0" fontId="65" fillId="10"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8" fillId="12" borderId="22"/>
    <xf numFmtId="0" fontId="67" fillId="12" borderId="20"/>
    <xf numFmtId="0" fontId="65" fillId="10"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5" fillId="10" borderId="20"/>
    <xf numFmtId="0" fontId="68" fillId="12" borderId="22"/>
    <xf numFmtId="0" fontId="69" fillId="0" borderId="23"/>
    <xf numFmtId="0" fontId="67" fillId="12" borderId="20"/>
    <xf numFmtId="0" fontId="67" fillId="12" borderId="20"/>
    <xf numFmtId="0" fontId="65" fillId="10" borderId="20"/>
    <xf numFmtId="0" fontId="65" fillId="10" borderId="20"/>
    <xf numFmtId="0" fontId="67" fillId="12" borderId="20"/>
    <xf numFmtId="0" fontId="67" fillId="12" borderId="20"/>
    <xf numFmtId="0" fontId="66" fillId="11" borderId="21"/>
    <xf numFmtId="0" fontId="68" fillId="12" borderId="22"/>
    <xf numFmtId="0" fontId="68" fillId="12" borderId="22"/>
    <xf numFmtId="0" fontId="67" fillId="12"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112" fillId="0" borderId="0"/>
    <xf numFmtId="0" fontId="67" fillId="12" borderId="20"/>
    <xf numFmtId="0" fontId="65" fillId="10"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7" fillId="12"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6" fillId="11" borderId="21"/>
    <xf numFmtId="0" fontId="68" fillId="12" borderId="22"/>
    <xf numFmtId="0" fontId="69" fillId="0" borderId="23"/>
    <xf numFmtId="0" fontId="67" fillId="12" borderId="20"/>
    <xf numFmtId="0" fontId="66" fillId="11" borderId="21"/>
    <xf numFmtId="0" fontId="69" fillId="0" borderId="23"/>
    <xf numFmtId="0" fontId="67" fillId="12" borderId="20"/>
    <xf numFmtId="0" fontId="67" fillId="12" borderId="20"/>
    <xf numFmtId="0" fontId="69" fillId="0" borderId="23"/>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5" fillId="10" borderId="20"/>
    <xf numFmtId="0" fontId="67" fillId="12" borderId="20"/>
    <xf numFmtId="0" fontId="69" fillId="0" borderId="23"/>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1" fillId="11"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5" fillId="26"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5" fillId="10" borderId="20"/>
    <xf numFmtId="0" fontId="70" fillId="11" borderId="21"/>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1" fillId="0" borderId="0"/>
    <xf numFmtId="0" fontId="67" fillId="12" borderId="20"/>
    <xf numFmtId="0" fontId="65" fillId="10" borderId="20"/>
    <xf numFmtId="0" fontId="68" fillId="12" borderId="22"/>
    <xf numFmtId="0" fontId="68" fillId="12" borderId="22"/>
    <xf numFmtId="0" fontId="67" fillId="12" borderId="20"/>
    <xf numFmtId="0" fontId="65" fillId="10" borderId="20"/>
    <xf numFmtId="0" fontId="68" fillId="33"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86" fillId="0" borderId="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77" fillId="33" borderId="20"/>
    <xf numFmtId="0" fontId="66" fillId="0" borderId="0"/>
    <xf numFmtId="0" fontId="66" fillId="11" borderId="21"/>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8" fillId="12" borderId="22"/>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6" fillId="11" borderId="21"/>
    <xf numFmtId="0" fontId="67" fillId="12" borderId="20"/>
    <xf numFmtId="0" fontId="67" fillId="12" borderId="20"/>
    <xf numFmtId="0" fontId="66" fillId="11" borderId="21"/>
    <xf numFmtId="0" fontId="69" fillId="0" borderId="23"/>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70" fillId="11" borderId="21"/>
    <xf numFmtId="0" fontId="67" fillId="12" borderId="20"/>
    <xf numFmtId="0" fontId="67" fillId="12" borderId="20"/>
    <xf numFmtId="0" fontId="70" fillId="11" borderId="21"/>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7" fillId="12" borderId="20"/>
    <xf numFmtId="0" fontId="68" fillId="12" borderId="22"/>
    <xf numFmtId="0" fontId="68" fillId="12" borderId="22"/>
    <xf numFmtId="0" fontId="69" fillId="0" borderId="23"/>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8" fillId="12" borderId="22"/>
    <xf numFmtId="0" fontId="69" fillId="0" borderId="23"/>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8" fillId="12" borderId="22"/>
    <xf numFmtId="0" fontId="68" fillId="12" borderId="22"/>
    <xf numFmtId="0" fontId="67" fillId="12"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112" fillId="0" borderId="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70"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70" fillId="0" borderId="0"/>
    <xf numFmtId="0" fontId="67" fillId="12" borderId="20"/>
    <xf numFmtId="0" fontId="67" fillId="12" borderId="20"/>
    <xf numFmtId="0" fontId="66" fillId="0" borderId="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25" borderId="20"/>
    <xf numFmtId="0" fontId="65" fillId="10" borderId="20"/>
    <xf numFmtId="0" fontId="69" fillId="0" borderId="23"/>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77" fillId="33" borderId="20"/>
    <xf numFmtId="0" fontId="67" fillId="12" borderId="20"/>
    <xf numFmtId="0" fontId="67" fillId="12" borderId="20"/>
    <xf numFmtId="0" fontId="67" fillId="12" borderId="20"/>
    <xf numFmtId="0" fontId="67" fillId="12" borderId="20"/>
    <xf numFmtId="0" fontId="112" fillId="0" borderId="0"/>
    <xf numFmtId="0" fontId="66" fillId="11" borderId="21"/>
    <xf numFmtId="0" fontId="67" fillId="12" borderId="20"/>
    <xf numFmtId="0" fontId="67" fillId="12" borderId="20"/>
    <xf numFmtId="0" fontId="67" fillId="12" borderId="20"/>
    <xf numFmtId="0" fontId="65" fillId="10" borderId="20"/>
    <xf numFmtId="0" fontId="68" fillId="12" borderId="22"/>
    <xf numFmtId="0" fontId="65" fillId="10"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9" fillId="0" borderId="23"/>
    <xf numFmtId="0" fontId="65" fillId="10"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8" fillId="12" borderId="22"/>
    <xf numFmtId="0" fontId="67" fillId="12" borderId="20"/>
    <xf numFmtId="0" fontId="67" fillId="12"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6" fillId="0" borderId="0"/>
    <xf numFmtId="0" fontId="67" fillId="12" borderId="20"/>
    <xf numFmtId="0" fontId="67" fillId="12" borderId="20"/>
    <xf numFmtId="0" fontId="86" fillId="0" borderId="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86" fillId="0" borderId="0"/>
    <xf numFmtId="0" fontId="68" fillId="12" borderId="22"/>
    <xf numFmtId="0" fontId="69" fillId="0" borderId="23"/>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92" fillId="0" borderId="32"/>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25" borderId="20"/>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5" fillId="10"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6" fillId="11" borderId="21"/>
    <xf numFmtId="0" fontId="66" fillId="11" borderId="21"/>
    <xf numFmtId="0" fontId="66" fillId="11" borderId="21"/>
    <xf numFmtId="0" fontId="67" fillId="12" borderId="20"/>
    <xf numFmtId="0" fontId="68" fillId="12" borderId="22"/>
    <xf numFmtId="0" fontId="68" fillId="12" borderId="22"/>
    <xf numFmtId="0" fontId="67" fillId="12" borderId="20"/>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12" borderId="22"/>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6" fillId="11" borderId="21"/>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7" fillId="12" borderId="20"/>
    <xf numFmtId="0" fontId="72" fillId="0" borderId="24"/>
    <xf numFmtId="0" fontId="68" fillId="12" borderId="22"/>
    <xf numFmtId="0" fontId="67" fillId="12" borderId="20"/>
    <xf numFmtId="0" fontId="67" fillId="12" borderId="20"/>
    <xf numFmtId="0" fontId="72" fillId="0" borderId="24"/>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77" fillId="33"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25"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9" fillId="0" borderId="23"/>
    <xf numFmtId="0" fontId="67" fillId="12" borderId="20"/>
    <xf numFmtId="0" fontId="65" fillId="10" borderId="20"/>
    <xf numFmtId="0" fontId="66" fillId="11" borderId="21"/>
    <xf numFmtId="0" fontId="67" fillId="12" borderId="20"/>
    <xf numFmtId="0" fontId="112" fillId="0" borderId="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25" borderId="20"/>
    <xf numFmtId="0" fontId="67" fillId="12" borderId="20"/>
    <xf numFmtId="0" fontId="112" fillId="0" borderId="0"/>
    <xf numFmtId="0" fontId="67" fillId="25" borderId="20"/>
    <xf numFmtId="0" fontId="67" fillId="12" borderId="20"/>
    <xf numFmtId="0" fontId="112" fillId="0" borderId="0"/>
    <xf numFmtId="0" fontId="67" fillId="12" borderId="20"/>
    <xf numFmtId="0" fontId="112" fillId="0" borderId="0"/>
    <xf numFmtId="0" fontId="67" fillId="12" borderId="20"/>
    <xf numFmtId="0" fontId="65" fillId="10" borderId="20"/>
    <xf numFmtId="0" fontId="112" fillId="0" borderId="0"/>
    <xf numFmtId="0" fontId="67" fillId="12" borderId="20"/>
    <xf numFmtId="0" fontId="67" fillId="12" borderId="20"/>
    <xf numFmtId="0" fontId="69" fillId="0" borderId="23"/>
    <xf numFmtId="0" fontId="65" fillId="10" borderId="20"/>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72" fillId="0" borderId="0"/>
    <xf numFmtId="0" fontId="67" fillId="12" borderId="20"/>
    <xf numFmtId="0" fontId="67" fillId="12" borderId="20"/>
    <xf numFmtId="0" fontId="67" fillId="12" borderId="20"/>
    <xf numFmtId="0" fontId="67" fillId="12" borderId="20"/>
    <xf numFmtId="0" fontId="67" fillId="12" borderId="20"/>
    <xf numFmtId="0" fontId="69" fillId="0" borderId="23"/>
    <xf numFmtId="0" fontId="69" fillId="0" borderId="23"/>
    <xf numFmtId="0" fontId="68" fillId="33" borderId="22"/>
    <xf numFmtId="0" fontId="67" fillId="12" borderId="20"/>
    <xf numFmtId="0" fontId="65" fillId="10" borderId="20"/>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25" borderId="20"/>
    <xf numFmtId="0" fontId="67" fillId="12" borderId="20"/>
    <xf numFmtId="0" fontId="67" fillId="25"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25" borderId="20"/>
    <xf numFmtId="0" fontId="67" fillId="12" borderId="20"/>
    <xf numFmtId="0" fontId="66" fillId="11" borderId="21"/>
    <xf numFmtId="0" fontId="67" fillId="25"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8" fillId="12" borderId="22"/>
    <xf numFmtId="0" fontId="69" fillId="0" borderId="23"/>
    <xf numFmtId="0" fontId="67" fillId="12" borderId="20"/>
    <xf numFmtId="0" fontId="69" fillId="0" borderId="23"/>
    <xf numFmtId="0" fontId="67" fillId="25" borderId="20"/>
    <xf numFmtId="0" fontId="68" fillId="12" borderId="22"/>
    <xf numFmtId="0" fontId="69" fillId="0" borderId="23"/>
    <xf numFmtId="0" fontId="67" fillId="12" borderId="20"/>
    <xf numFmtId="0" fontId="69" fillId="0" borderId="23"/>
    <xf numFmtId="0" fontId="69" fillId="0" borderId="23"/>
    <xf numFmtId="0" fontId="67" fillId="25"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6" fillId="11" borderId="21"/>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25" borderId="20"/>
    <xf numFmtId="0" fontId="68" fillId="12" borderId="22"/>
    <xf numFmtId="0" fontId="69" fillId="0" borderId="23"/>
    <xf numFmtId="0" fontId="69" fillId="0" borderId="23"/>
    <xf numFmtId="0" fontId="67" fillId="12" borderId="20"/>
    <xf numFmtId="0" fontId="68" fillId="12" borderId="22"/>
    <xf numFmtId="0" fontId="69" fillId="0" borderId="23"/>
    <xf numFmtId="0" fontId="69" fillId="0" borderId="23"/>
    <xf numFmtId="0" fontId="67" fillId="25"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25" borderId="20"/>
    <xf numFmtId="0" fontId="69" fillId="0" borderId="23"/>
    <xf numFmtId="0" fontId="69" fillId="0" borderId="23"/>
    <xf numFmtId="0" fontId="67" fillId="12" borderId="20"/>
    <xf numFmtId="0" fontId="70" fillId="11" borderId="21"/>
    <xf numFmtId="0" fontId="68" fillId="12" borderId="22"/>
    <xf numFmtId="0" fontId="69" fillId="0" borderId="23"/>
    <xf numFmtId="0" fontId="67" fillId="25" borderId="20"/>
    <xf numFmtId="0" fontId="66" fillId="11" borderId="21"/>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5" fillId="10" borderId="20"/>
    <xf numFmtId="0" fontId="68" fillId="12" borderId="22"/>
    <xf numFmtId="0" fontId="68" fillId="12" borderId="22"/>
    <xf numFmtId="0" fontId="68" fillId="12" borderId="22"/>
    <xf numFmtId="0" fontId="68" fillId="12" borderId="22"/>
    <xf numFmtId="0" fontId="69" fillId="0" borderId="23"/>
    <xf numFmtId="0" fontId="67" fillId="12" borderId="20"/>
    <xf numFmtId="0" fontId="68" fillId="12" borderId="22"/>
    <xf numFmtId="0" fontId="68" fillId="12" borderId="22"/>
    <xf numFmtId="0" fontId="68" fillId="12" borderId="22"/>
    <xf numFmtId="0" fontId="69" fillId="0" borderId="23"/>
    <xf numFmtId="0" fontId="69" fillId="0" borderId="23"/>
    <xf numFmtId="0" fontId="67" fillId="12" borderId="20"/>
    <xf numFmtId="0" fontId="65" fillId="10" borderId="20"/>
    <xf numFmtId="0" fontId="68" fillId="12" borderId="22"/>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9" fillId="0" borderId="23"/>
    <xf numFmtId="0" fontId="67" fillId="12" borderId="20"/>
    <xf numFmtId="0" fontId="65" fillId="10" borderId="20"/>
    <xf numFmtId="0" fontId="70" fillId="11" borderId="21"/>
    <xf numFmtId="0" fontId="68" fillId="12" borderId="22"/>
    <xf numFmtId="0" fontId="69" fillId="0" borderId="23"/>
    <xf numFmtId="0" fontId="67" fillId="25" borderId="20"/>
    <xf numFmtId="0" fontId="70" fillId="11" borderId="21"/>
    <xf numFmtId="0" fontId="69" fillId="0" borderId="23"/>
    <xf numFmtId="0" fontId="67" fillId="12" borderId="20"/>
    <xf numFmtId="0" fontId="65" fillId="10" borderId="20"/>
    <xf numFmtId="0" fontId="68" fillId="12" borderId="22"/>
    <xf numFmtId="0" fontId="69" fillId="0" borderId="23"/>
    <xf numFmtId="0" fontId="67" fillId="25" borderId="20"/>
    <xf numFmtId="0" fontId="65" fillId="10" borderId="20"/>
    <xf numFmtId="0" fontId="67" fillId="12" borderId="20"/>
    <xf numFmtId="0" fontId="70" fillId="11" borderId="21"/>
    <xf numFmtId="0" fontId="66" fillId="11" borderId="21"/>
    <xf numFmtId="0" fontId="68" fillId="12" borderId="22"/>
    <xf numFmtId="0" fontId="69" fillId="0" borderId="23"/>
    <xf numFmtId="0" fontId="67" fillId="12" borderId="20"/>
    <xf numFmtId="0" fontId="70" fillId="11" borderId="21"/>
    <xf numFmtId="0" fontId="68" fillId="12" borderId="22"/>
    <xf numFmtId="0" fontId="69" fillId="0" borderId="23"/>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7" fillId="12" borderId="20"/>
    <xf numFmtId="0" fontId="66" fillId="11" borderId="21"/>
    <xf numFmtId="0" fontId="68" fillId="12" borderId="22"/>
    <xf numFmtId="0" fontId="69" fillId="0" borderId="23"/>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9" fillId="0" borderId="23"/>
    <xf numFmtId="0" fontId="67" fillId="25" borderId="20"/>
    <xf numFmtId="0" fontId="69" fillId="0" borderId="23"/>
    <xf numFmtId="0" fontId="67" fillId="12" borderId="20"/>
    <xf numFmtId="0" fontId="68" fillId="12" borderId="22"/>
    <xf numFmtId="0" fontId="69" fillId="0" borderId="23"/>
    <xf numFmtId="0" fontId="67" fillId="25" borderId="20"/>
    <xf numFmtId="0" fontId="67" fillId="12" borderId="20"/>
    <xf numFmtId="0" fontId="88" fillId="0" borderId="29"/>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25" borderId="20"/>
    <xf numFmtId="0" fontId="65" fillId="10" borderId="20"/>
    <xf numFmtId="0" fontId="67" fillId="12" borderId="20"/>
    <xf numFmtId="0" fontId="65" fillId="10" borderId="20"/>
    <xf numFmtId="0" fontId="67" fillId="25" borderId="20"/>
    <xf numFmtId="0" fontId="67" fillId="12" borderId="20"/>
    <xf numFmtId="0" fontId="67" fillId="25" borderId="20"/>
    <xf numFmtId="0" fontId="67" fillId="12" borderId="20"/>
    <xf numFmtId="0" fontId="67" fillId="12" borderId="20"/>
    <xf numFmtId="0" fontId="68" fillId="12" borderId="22"/>
    <xf numFmtId="0" fontId="68" fillId="12" borderId="22"/>
    <xf numFmtId="0" fontId="67" fillId="25"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7" fillId="25"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25" borderId="20"/>
    <xf numFmtId="0" fontId="67" fillId="12" borderId="20"/>
    <xf numFmtId="0" fontId="69" fillId="0" borderId="23"/>
    <xf numFmtId="0" fontId="65" fillId="10" borderId="20"/>
    <xf numFmtId="0" fontId="67" fillId="25"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25" borderId="20"/>
    <xf numFmtId="0" fontId="67" fillId="12" borderId="20"/>
    <xf numFmtId="0" fontId="65" fillId="10" borderId="20"/>
    <xf numFmtId="0" fontId="67" fillId="25"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112" fillId="0" borderId="0"/>
    <xf numFmtId="0" fontId="67" fillId="12" borderId="20"/>
    <xf numFmtId="0" fontId="112" fillId="0" borderId="0"/>
    <xf numFmtId="0" fontId="66" fillId="11" borderId="21"/>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112" fillId="0" borderId="0"/>
    <xf numFmtId="0" fontId="67" fillId="12" borderId="20"/>
    <xf numFmtId="0" fontId="67" fillId="12" borderId="20"/>
    <xf numFmtId="0" fontId="67" fillId="12" borderId="20"/>
    <xf numFmtId="0" fontId="68" fillId="12" borderId="22"/>
    <xf numFmtId="0" fontId="67" fillId="12" borderId="20"/>
    <xf numFmtId="0" fontId="70" fillId="11" borderId="21"/>
    <xf numFmtId="0" fontId="70" fillId="11" borderId="21"/>
    <xf numFmtId="0" fontId="67" fillId="12" borderId="20"/>
    <xf numFmtId="0" fontId="70" fillId="11" borderId="21"/>
    <xf numFmtId="0" fontId="70" fillId="11" borderId="21"/>
    <xf numFmtId="0" fontId="67" fillId="25" borderId="20"/>
    <xf numFmtId="0" fontId="67" fillId="12" borderId="20"/>
    <xf numFmtId="0" fontId="68" fillId="12" borderId="22"/>
    <xf numFmtId="0" fontId="67" fillId="12" borderId="20"/>
    <xf numFmtId="0" fontId="67" fillId="25"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9" fillId="0" borderId="23"/>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9" fillId="0" borderId="23"/>
    <xf numFmtId="0" fontId="67" fillId="25" borderId="20"/>
    <xf numFmtId="0" fontId="69" fillId="0" borderId="23"/>
    <xf numFmtId="0" fontId="67" fillId="12" borderId="20"/>
    <xf numFmtId="0" fontId="68" fillId="12" borderId="22"/>
    <xf numFmtId="0" fontId="69" fillId="0" borderId="23"/>
    <xf numFmtId="0" fontId="67" fillId="25" borderId="20"/>
    <xf numFmtId="0" fontId="67" fillId="12" borderId="20"/>
    <xf numFmtId="0" fontId="69" fillId="0" borderId="23"/>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70" fillId="11" borderId="21"/>
    <xf numFmtId="0" fontId="68" fillId="12" borderId="22"/>
    <xf numFmtId="0" fontId="69" fillId="0" borderId="23"/>
    <xf numFmtId="0" fontId="67" fillId="12" borderId="20"/>
    <xf numFmtId="0" fontId="65" fillId="10" borderId="20"/>
    <xf numFmtId="0" fontId="68" fillId="12" borderId="22"/>
    <xf numFmtId="0" fontId="69" fillId="0" borderId="23"/>
    <xf numFmtId="0" fontId="67" fillId="25" borderId="20"/>
    <xf numFmtId="0" fontId="69" fillId="0" borderId="23"/>
    <xf numFmtId="0" fontId="67" fillId="12" borderId="20"/>
    <xf numFmtId="0" fontId="68" fillId="12" borderId="22"/>
    <xf numFmtId="0" fontId="69" fillId="0" borderId="23"/>
    <xf numFmtId="0" fontId="69" fillId="0" borderId="23"/>
    <xf numFmtId="0" fontId="67" fillId="25" borderId="20"/>
    <xf numFmtId="0" fontId="67" fillId="12" borderId="20"/>
    <xf numFmtId="0" fontId="69" fillId="0" borderId="23"/>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25"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77" fillId="33" borderId="20"/>
    <xf numFmtId="0" fontId="67" fillId="12" borderId="20"/>
    <xf numFmtId="0" fontId="77" fillId="33" borderId="20"/>
    <xf numFmtId="0" fontId="66" fillId="11" borderId="21"/>
    <xf numFmtId="0" fontId="67" fillId="12" borderId="20"/>
    <xf numFmtId="0" fontId="66" fillId="11" borderId="21"/>
    <xf numFmtId="0" fontId="67" fillId="12" borderId="20"/>
    <xf numFmtId="0" fontId="77" fillId="33" borderId="20"/>
    <xf numFmtId="0" fontId="67" fillId="12" borderId="20"/>
    <xf numFmtId="0" fontId="67" fillId="12" borderId="20"/>
    <xf numFmtId="0" fontId="112" fillId="0" borderId="0"/>
    <xf numFmtId="0" fontId="66" fillId="11" borderId="21"/>
    <xf numFmtId="0" fontId="77" fillId="33"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7" fillId="12" borderId="20"/>
    <xf numFmtId="0" fontId="65" fillId="10" borderId="20"/>
    <xf numFmtId="0" fontId="77" fillId="33"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77" fillId="33"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5" fillId="10" borderId="20"/>
    <xf numFmtId="0" fontId="67" fillId="12" borderId="20"/>
    <xf numFmtId="0" fontId="65" fillId="10"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9" fillId="0" borderId="23"/>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67" fillId="12" borderId="20"/>
    <xf numFmtId="0" fontId="66" fillId="11" borderId="21"/>
    <xf numFmtId="0" fontId="69" fillId="0" borderId="23"/>
    <xf numFmtId="0" fontId="65" fillId="10" borderId="20"/>
    <xf numFmtId="0" fontId="77" fillId="33"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67" fillId="12" borderId="20"/>
    <xf numFmtId="0" fontId="66" fillId="11" borderId="21"/>
    <xf numFmtId="0" fontId="69" fillId="0" borderId="23"/>
    <xf numFmtId="0" fontId="65" fillId="10" borderId="20"/>
    <xf numFmtId="0" fontId="77" fillId="33" borderId="20"/>
    <xf numFmtId="0" fontId="66" fillId="11" borderId="21"/>
    <xf numFmtId="0" fontId="65" fillId="10" borderId="20"/>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89" fillId="0" borderId="3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0" borderId="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5" fillId="10" borderId="20"/>
    <xf numFmtId="0" fontId="77" fillId="33"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77" fillId="33" borderId="20"/>
    <xf numFmtId="0" fontId="66" fillId="11" borderId="21"/>
    <xf numFmtId="0" fontId="68" fillId="12" borderId="22"/>
    <xf numFmtId="0" fontId="67" fillId="12" borderId="20"/>
    <xf numFmtId="0" fontId="66" fillId="11" borderId="21"/>
    <xf numFmtId="0" fontId="68" fillId="12" borderId="22"/>
    <xf numFmtId="0" fontId="77" fillId="33" borderId="20"/>
    <xf numFmtId="0" fontId="69" fillId="0" borderId="23"/>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76" fillId="15" borderId="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5" fillId="10"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6" fillId="11" borderId="21"/>
    <xf numFmtId="0" fontId="66" fillId="11" borderId="21"/>
    <xf numFmtId="0" fontId="67" fillId="12" borderId="20"/>
    <xf numFmtId="0" fontId="72" fillId="0" borderId="24"/>
    <xf numFmtId="0" fontId="72" fillId="0" borderId="24"/>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26"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70" fillId="11" borderId="21"/>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112" fillId="0" borderId="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9" fillId="0" borderId="23"/>
    <xf numFmtId="0" fontId="77" fillId="33" borderId="20"/>
    <xf numFmtId="0" fontId="65" fillId="10" borderId="20"/>
    <xf numFmtId="0" fontId="69" fillId="0" borderId="23"/>
    <xf numFmtId="0" fontId="67" fillId="12" borderId="20"/>
    <xf numFmtId="0" fontId="74" fillId="17" borderId="20"/>
    <xf numFmtId="0" fontId="69" fillId="0" borderId="23"/>
    <xf numFmtId="0" fontId="77" fillId="33" borderId="20"/>
    <xf numFmtId="0" fontId="65" fillId="10" borderId="20"/>
    <xf numFmtId="0" fontId="77" fillId="33" borderId="20"/>
    <xf numFmtId="0" fontId="65" fillId="10" borderId="20"/>
    <xf numFmtId="0" fontId="68" fillId="12" borderId="22"/>
    <xf numFmtId="0" fontId="69" fillId="0" borderId="23"/>
    <xf numFmtId="0" fontId="77" fillId="33" borderId="20"/>
    <xf numFmtId="0" fontId="69" fillId="0" borderId="23"/>
    <xf numFmtId="0" fontId="67" fillId="12" borderId="20"/>
    <xf numFmtId="0" fontId="67" fillId="12" borderId="20"/>
    <xf numFmtId="0" fontId="65" fillId="10" borderId="20"/>
    <xf numFmtId="0" fontId="77" fillId="33" borderId="20"/>
    <xf numFmtId="0" fontId="69" fillId="0" borderId="23"/>
    <xf numFmtId="0" fontId="67" fillId="12" borderId="20"/>
    <xf numFmtId="0" fontId="69" fillId="0" borderId="23"/>
    <xf numFmtId="0" fontId="77" fillId="33" borderId="20"/>
    <xf numFmtId="0" fontId="74" fillId="17"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0" borderId="23"/>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77" fillId="33" borderId="20"/>
    <xf numFmtId="0" fontId="67" fillId="12" borderId="20"/>
    <xf numFmtId="0" fontId="69" fillId="0" borderId="23"/>
    <xf numFmtId="0" fontId="77" fillId="33"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10" fontId="66" fillId="0"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77" fillId="33"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5" fillId="10" borderId="20"/>
    <xf numFmtId="0" fontId="77" fillId="33" borderId="20"/>
    <xf numFmtId="0" fontId="66" fillId="11" borderId="21"/>
    <xf numFmtId="0" fontId="67" fillId="12" borderId="20"/>
    <xf numFmtId="0" fontId="69" fillId="41" borderId="0"/>
    <xf numFmtId="0" fontId="68" fillId="12" borderId="22"/>
    <xf numFmtId="0" fontId="67" fillId="12" borderId="20"/>
    <xf numFmtId="0" fontId="69" fillId="42"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9" fillId="43" borderId="0"/>
    <xf numFmtId="0" fontId="67" fillId="12" borderId="20"/>
    <xf numFmtId="0" fontId="67" fillId="12" borderId="20"/>
    <xf numFmtId="0" fontId="67" fillId="12" borderId="20"/>
    <xf numFmtId="0" fontId="67" fillId="12" borderId="20"/>
    <xf numFmtId="0" fontId="67" fillId="12" borderId="20"/>
    <xf numFmtId="0" fontId="69" fillId="43" borderId="0"/>
    <xf numFmtId="0" fontId="67" fillId="12" borderId="20"/>
    <xf numFmtId="0" fontId="67" fillId="12"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77" fillId="33" borderId="20"/>
    <xf numFmtId="0" fontId="66" fillId="11" borderId="21"/>
    <xf numFmtId="0" fontId="83" fillId="0" borderId="27"/>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9" fillId="44" borderId="0"/>
    <xf numFmtId="0" fontId="67" fillId="12" borderId="20"/>
    <xf numFmtId="0" fontId="69" fillId="45" borderId="0"/>
    <xf numFmtId="0" fontId="67" fillId="12" borderId="20"/>
    <xf numFmtId="0" fontId="69" fillId="46" borderId="0"/>
    <xf numFmtId="0" fontId="65" fillId="10" borderId="20"/>
    <xf numFmtId="0" fontId="70" fillId="11" borderId="21"/>
    <xf numFmtId="0" fontId="67" fillId="12" borderId="20"/>
    <xf numFmtId="0" fontId="69" fillId="46" borderId="0"/>
    <xf numFmtId="0" fontId="70" fillId="11" borderId="21"/>
    <xf numFmtId="0" fontId="67" fillId="12" borderId="20"/>
    <xf numFmtId="0" fontId="67" fillId="12" borderId="20"/>
    <xf numFmtId="0" fontId="70" fillId="11" borderId="21"/>
    <xf numFmtId="0" fontId="67" fillId="12" borderId="20"/>
    <xf numFmtId="0" fontId="69" fillId="46" borderId="0"/>
    <xf numFmtId="0" fontId="70" fillId="11" borderId="21"/>
    <xf numFmtId="0" fontId="67" fillId="12" borderId="20"/>
    <xf numFmtId="0" fontId="68" fillId="12" borderId="22"/>
    <xf numFmtId="0" fontId="67" fillId="12" borderId="20"/>
    <xf numFmtId="0" fontId="70" fillId="11" borderId="21"/>
    <xf numFmtId="0" fontId="67" fillId="12" borderId="20"/>
    <xf numFmtId="0" fontId="67" fillId="12" borderId="20"/>
    <xf numFmtId="0" fontId="70" fillId="11" borderId="21"/>
    <xf numFmtId="0" fontId="67" fillId="12" borderId="20"/>
    <xf numFmtId="0" fontId="69" fillId="46" borderId="0"/>
    <xf numFmtId="0" fontId="70" fillId="11" borderId="21"/>
    <xf numFmtId="0" fontId="67" fillId="12" borderId="20"/>
    <xf numFmtId="0" fontId="68" fillId="12" borderId="22"/>
    <xf numFmtId="0" fontId="67" fillId="12" borderId="20"/>
    <xf numFmtId="0" fontId="70"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70" fillId="11" borderId="21"/>
    <xf numFmtId="0" fontId="77" fillId="33"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9" fillId="47" borderId="0"/>
    <xf numFmtId="0" fontId="70" fillId="11" borderId="21"/>
    <xf numFmtId="0" fontId="67" fillId="12" borderId="20"/>
    <xf numFmtId="0" fontId="69" fillId="23" borderId="0"/>
    <xf numFmtId="0" fontId="67" fillId="12" borderId="20"/>
    <xf numFmtId="0" fontId="69" fillId="30" borderId="0"/>
    <xf numFmtId="0" fontId="65" fillId="10" borderId="20"/>
    <xf numFmtId="0" fontId="66" fillId="11" borderId="21"/>
    <xf numFmtId="0" fontId="67" fillId="12" borderId="20"/>
    <xf numFmtId="0" fontId="69" fillId="30" borderId="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30" borderId="0"/>
    <xf numFmtId="0" fontId="68" fillId="12" borderId="22"/>
    <xf numFmtId="0" fontId="67" fillId="12" borderId="20"/>
    <xf numFmtId="0" fontId="66" fillId="11" borderId="21"/>
    <xf numFmtId="0" fontId="68" fillId="12" borderId="22"/>
    <xf numFmtId="0" fontId="67" fillId="12" borderId="20"/>
    <xf numFmtId="0" fontId="65" fillId="10" borderId="20"/>
    <xf numFmtId="0" fontId="66" fillId="11" borderId="21"/>
    <xf numFmtId="0" fontId="68" fillId="12" borderId="22"/>
    <xf numFmtId="0" fontId="67" fillId="12" borderId="20"/>
    <xf numFmtId="0" fontId="67" fillId="12" borderId="20"/>
    <xf numFmtId="0" fontId="65" fillId="10" borderId="20"/>
    <xf numFmtId="0" fontId="68" fillId="12" borderId="22"/>
    <xf numFmtId="0" fontId="67" fillId="12" borderId="20"/>
    <xf numFmtId="0" fontId="69" fillId="30" borderId="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6" fillId="11" borderId="21"/>
    <xf numFmtId="0" fontId="68" fillId="12" borderId="22"/>
    <xf numFmtId="0" fontId="68" fillId="12" borderId="22"/>
    <xf numFmtId="0" fontId="67" fillId="12" borderId="20"/>
    <xf numFmtId="0" fontId="66" fillId="11" borderId="21"/>
    <xf numFmtId="0" fontId="66" fillId="11" borderId="21"/>
    <xf numFmtId="0" fontId="68" fillId="12" borderId="22"/>
    <xf numFmtId="0" fontId="77" fillId="33" borderId="20"/>
    <xf numFmtId="0" fontId="66" fillId="11" borderId="21"/>
    <xf numFmtId="0" fontId="68" fillId="12" borderId="22"/>
    <xf numFmtId="0" fontId="67" fillId="12" borderId="20"/>
    <xf numFmtId="0" fontId="66" fillId="11" borderId="21"/>
    <xf numFmtId="0" fontId="66" fillId="11" borderId="21"/>
    <xf numFmtId="0" fontId="68" fillId="12" borderId="22"/>
    <xf numFmtId="0" fontId="77" fillId="33"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70" fillId="11" borderId="21"/>
    <xf numFmtId="0" fontId="70" fillId="11" borderId="21"/>
    <xf numFmtId="0" fontId="67" fillId="12" borderId="20"/>
    <xf numFmtId="0" fontId="112" fillId="0" borderId="0"/>
    <xf numFmtId="0" fontId="70" fillId="11" borderId="21"/>
    <xf numFmtId="0" fontId="70" fillId="11" borderId="21"/>
    <xf numFmtId="0" fontId="67" fillId="12" borderId="20"/>
    <xf numFmtId="0" fontId="112" fillId="0" borderId="0"/>
    <xf numFmtId="0" fontId="70" fillId="11" borderId="21"/>
    <xf numFmtId="0" fontId="70" fillId="11" borderId="21"/>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9" fillId="0" borderId="23"/>
    <xf numFmtId="0" fontId="69" fillId="0" borderId="23"/>
    <xf numFmtId="0" fontId="67" fillId="12" borderId="20"/>
    <xf numFmtId="0" fontId="68" fillId="12" borderId="22"/>
    <xf numFmtId="0" fontId="69" fillId="0" borderId="23"/>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2" fillId="0" borderId="0"/>
    <xf numFmtId="0" fontId="67" fillId="12" borderId="20"/>
    <xf numFmtId="0" fontId="82" fillId="0" borderId="0"/>
    <xf numFmtId="0" fontId="67" fillId="12" borderId="20"/>
    <xf numFmtId="0" fontId="68" fillId="12" borderId="22"/>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6" fillId="11" borderId="21"/>
    <xf numFmtId="0" fontId="67" fillId="12" borderId="20"/>
    <xf numFmtId="0" fontId="65" fillId="10" borderId="20"/>
    <xf numFmtId="0" fontId="66" fillId="11" borderId="21"/>
    <xf numFmtId="0" fontId="68" fillId="25"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8" fillId="33"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5" fillId="26"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7" fillId="12" borderId="20"/>
    <xf numFmtId="0" fontId="65" fillId="10" borderId="20"/>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9" fillId="0" borderId="23"/>
    <xf numFmtId="0" fontId="66" fillId="11" borderId="21"/>
    <xf numFmtId="0" fontId="67" fillId="12" borderId="20"/>
    <xf numFmtId="0" fontId="65" fillId="10" borderId="20"/>
    <xf numFmtId="0" fontId="112" fillId="0" borderId="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74" fillId="17" borderId="20"/>
    <xf numFmtId="0" fontId="66" fillId="11" borderId="21"/>
    <xf numFmtId="0" fontId="68" fillId="12" borderId="22"/>
    <xf numFmtId="0" fontId="67" fillId="12" borderId="20"/>
    <xf numFmtId="0" fontId="65" fillId="10" borderId="20"/>
    <xf numFmtId="0" fontId="69" fillId="0" borderId="23"/>
    <xf numFmtId="0" fontId="66" fillId="11" borderId="21"/>
    <xf numFmtId="0" fontId="68" fillId="12" borderId="22"/>
    <xf numFmtId="0" fontId="68" fillId="12" borderId="22"/>
    <xf numFmtId="0" fontId="67" fillId="12" borderId="20"/>
    <xf numFmtId="0" fontId="74" fillId="17"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6" fillId="11" borderId="21"/>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8" fillId="12" borderId="22"/>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5" fillId="10"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74" fillId="17"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9" fillId="0" borderId="23"/>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91" fillId="0" borderId="0"/>
    <xf numFmtId="0" fontId="67" fillId="12" borderId="20"/>
    <xf numFmtId="0" fontId="91" fillId="0" borderId="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69" fillId="0" borderId="23"/>
    <xf numFmtId="0" fontId="67" fillId="12" borderId="20"/>
    <xf numFmtId="0" fontId="69" fillId="0" borderId="23"/>
    <xf numFmtId="0" fontId="67" fillId="12" borderId="20"/>
    <xf numFmtId="0" fontId="66" fillId="11" borderId="21"/>
    <xf numFmtId="0" fontId="67" fillId="12" borderId="20"/>
    <xf numFmtId="0" fontId="67" fillId="12" borderId="20"/>
    <xf numFmtId="0" fontId="69" fillId="0" borderId="23"/>
    <xf numFmtId="0" fontId="67" fillId="12" borderId="20"/>
    <xf numFmtId="0" fontId="69" fillId="0" borderId="23"/>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9" fillId="0" borderId="23"/>
    <xf numFmtId="0" fontId="66" fillId="11" borderId="21"/>
    <xf numFmtId="0" fontId="68" fillId="12" borderId="22"/>
    <xf numFmtId="0" fontId="67" fillId="12" borderId="20"/>
    <xf numFmtId="0" fontId="112" fillId="0" borderId="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70" fillId="0" borderId="0"/>
    <xf numFmtId="0" fontId="67" fillId="12" borderId="20"/>
    <xf numFmtId="0" fontId="67" fillId="12" borderId="20"/>
    <xf numFmtId="0" fontId="67" fillId="12" borderId="20"/>
    <xf numFmtId="0" fontId="67" fillId="12" borderId="20"/>
    <xf numFmtId="0" fontId="68" fillId="12" borderId="22"/>
    <xf numFmtId="0" fontId="67" fillId="12" borderId="20"/>
    <xf numFmtId="0" fontId="70" fillId="0" borderId="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70"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70"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6" fillId="11" borderId="21"/>
    <xf numFmtId="0" fontId="66" fillId="11" borderId="21"/>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6" fillId="11" borderId="21"/>
    <xf numFmtId="0" fontId="66" fillId="11" borderId="21"/>
    <xf numFmtId="0" fontId="67" fillId="12" borderId="20"/>
    <xf numFmtId="0" fontId="65" fillId="10" borderId="20"/>
    <xf numFmtId="0" fontId="65" fillId="10" borderId="20"/>
    <xf numFmtId="0" fontId="66" fillId="11" borderId="21"/>
    <xf numFmtId="0" fontId="66" fillId="11" borderId="21"/>
    <xf numFmtId="0" fontId="66" fillId="11" borderId="21"/>
    <xf numFmtId="0" fontId="67" fillId="12" borderId="20"/>
    <xf numFmtId="0" fontId="65" fillId="10" borderId="20"/>
    <xf numFmtId="0" fontId="66" fillId="11" borderId="21"/>
    <xf numFmtId="0" fontId="66" fillId="11" borderId="21"/>
    <xf numFmtId="0" fontId="66" fillId="11" borderId="21"/>
    <xf numFmtId="0" fontId="67" fillId="12" borderId="20"/>
    <xf numFmtId="0" fontId="74" fillId="17" borderId="20"/>
    <xf numFmtId="0" fontId="66" fillId="11" borderId="21"/>
    <xf numFmtId="0" fontId="67" fillId="12"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33"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8" fillId="12" borderId="22"/>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6" fillId="0" borderId="0"/>
    <xf numFmtId="0" fontId="67" fillId="12" borderId="20"/>
    <xf numFmtId="0" fontId="66" fillId="0"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6" fillId="11" borderId="21"/>
    <xf numFmtId="0" fontId="68" fillId="12" borderId="22"/>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8" fillId="12" borderId="22"/>
    <xf numFmtId="0" fontId="69" fillId="0" borderId="23"/>
    <xf numFmtId="0" fontId="67" fillId="12" borderId="20"/>
    <xf numFmtId="0" fontId="65" fillId="10" borderId="20"/>
    <xf numFmtId="0" fontId="68" fillId="12" borderId="22"/>
    <xf numFmtId="0" fontId="69" fillId="0" borderId="23"/>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26" borderId="20"/>
    <xf numFmtId="0" fontId="67" fillId="12" borderId="20"/>
    <xf numFmtId="0" fontId="65" fillId="10" borderId="20"/>
    <xf numFmtId="0" fontId="67" fillId="12" borderId="20"/>
    <xf numFmtId="0" fontId="68" fillId="12" borderId="22"/>
    <xf numFmtId="0" fontId="65" fillId="10" borderId="20"/>
    <xf numFmtId="0" fontId="68" fillId="12" borderId="22"/>
    <xf numFmtId="0" fontId="67" fillId="12" borderId="20"/>
    <xf numFmtId="0" fontId="68" fillId="12" borderId="22"/>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112" fillId="0" borderId="0"/>
    <xf numFmtId="0" fontId="112" fillId="0" borderId="0"/>
    <xf numFmtId="0" fontId="67" fillId="12" borderId="20"/>
    <xf numFmtId="0" fontId="70" fillId="0" borderId="0"/>
    <xf numFmtId="0" fontId="67" fillId="12" borderId="20"/>
    <xf numFmtId="0" fontId="112" fillId="0" borderId="0"/>
    <xf numFmtId="0" fontId="67" fillId="12" borderId="20"/>
    <xf numFmtId="0" fontId="69" fillId="0" borderId="23"/>
    <xf numFmtId="0" fontId="68" fillId="12" borderId="22"/>
    <xf numFmtId="0" fontId="67" fillId="12" borderId="20"/>
    <xf numFmtId="0" fontId="112" fillId="0" borderId="0"/>
    <xf numFmtId="0" fontId="67" fillId="12" borderId="20"/>
    <xf numFmtId="0" fontId="68" fillId="12" borderId="22"/>
    <xf numFmtId="0" fontId="67" fillId="12" borderId="20"/>
    <xf numFmtId="0" fontId="112" fillId="0" borderId="0"/>
    <xf numFmtId="0" fontId="67" fillId="12" borderId="20"/>
    <xf numFmtId="0" fontId="112" fillId="0" borderId="0"/>
    <xf numFmtId="0" fontId="67" fillId="12" borderId="20"/>
    <xf numFmtId="0" fontId="65" fillId="10" borderId="20"/>
    <xf numFmtId="0" fontId="68" fillId="12" borderId="22"/>
    <xf numFmtId="0" fontId="68" fillId="12" borderId="22"/>
    <xf numFmtId="0" fontId="67" fillId="12" borderId="20"/>
    <xf numFmtId="0" fontId="68" fillId="12" borderId="22"/>
    <xf numFmtId="0" fontId="67" fillId="12" borderId="20"/>
    <xf numFmtId="0" fontId="65" fillId="10" borderId="20"/>
    <xf numFmtId="0" fontId="112" fillId="0" borderId="0"/>
    <xf numFmtId="0" fontId="69" fillId="0" borderId="23"/>
    <xf numFmtId="0" fontId="68" fillId="12" borderId="22"/>
    <xf numFmtId="0" fontId="67" fillId="12" borderId="20"/>
    <xf numFmtId="0" fontId="70" fillId="0" borderId="0"/>
    <xf numFmtId="0" fontId="67" fillId="12" borderId="20"/>
    <xf numFmtId="0" fontId="65" fillId="10" borderId="20"/>
    <xf numFmtId="0" fontId="112" fillId="0" borderId="0"/>
    <xf numFmtId="0" fontId="69" fillId="0" borderId="23"/>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6" fillId="11" borderId="21"/>
    <xf numFmtId="0" fontId="65" fillId="10"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5" fillId="10"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112" fillId="0" borderId="0"/>
    <xf numFmtId="0" fontId="112" fillId="0" borderId="0"/>
    <xf numFmtId="0" fontId="67" fillId="12" borderId="20"/>
    <xf numFmtId="0" fontId="70" fillId="0" borderId="0"/>
    <xf numFmtId="0" fontId="69" fillId="0" borderId="23"/>
    <xf numFmtId="0" fontId="66" fillId="11" borderId="21"/>
    <xf numFmtId="0" fontId="67" fillId="12" borderId="20"/>
    <xf numFmtId="0" fontId="70" fillId="0" borderId="0"/>
    <xf numFmtId="0" fontId="67" fillId="12" borderId="20"/>
    <xf numFmtId="0" fontId="66" fillId="0" borderId="0"/>
    <xf numFmtId="0" fontId="67" fillId="12" borderId="20"/>
    <xf numFmtId="0" fontId="112" fillId="0" borderId="0"/>
    <xf numFmtId="0" fontId="67" fillId="12" borderId="20"/>
    <xf numFmtId="0" fontId="68" fillId="12" borderId="22"/>
    <xf numFmtId="0" fontId="67" fillId="12" borderId="20"/>
    <xf numFmtId="0" fontId="67" fillId="12" borderId="20"/>
    <xf numFmtId="0" fontId="112" fillId="0" borderId="0"/>
    <xf numFmtId="0" fontId="67" fillId="12" borderId="20"/>
    <xf numFmtId="0" fontId="68" fillId="12" borderId="22"/>
    <xf numFmtId="0" fontId="67" fillId="12" borderId="20"/>
    <xf numFmtId="0" fontId="67" fillId="12" borderId="20"/>
    <xf numFmtId="0" fontId="112" fillId="0" borderId="0"/>
    <xf numFmtId="0" fontId="67" fillId="12" borderId="20"/>
    <xf numFmtId="0" fontId="112" fillId="0" borderId="0"/>
    <xf numFmtId="0" fontId="67" fillId="12" borderId="20"/>
    <xf numFmtId="0" fontId="65" fillId="10"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112" fillId="0" borderId="0"/>
    <xf numFmtId="0" fontId="67" fillId="12" borderId="20"/>
    <xf numFmtId="0" fontId="70" fillId="0" borderId="0"/>
    <xf numFmtId="0" fontId="69" fillId="0" borderId="23"/>
    <xf numFmtId="0" fontId="66" fillId="11" borderId="21"/>
    <xf numFmtId="0" fontId="67" fillId="12" borderId="20"/>
    <xf numFmtId="0" fontId="67" fillId="12" borderId="20"/>
    <xf numFmtId="0" fontId="67" fillId="12" borderId="20"/>
    <xf numFmtId="0" fontId="65" fillId="10" borderId="20"/>
    <xf numFmtId="0" fontId="112" fillId="0" borderId="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9" fillId="0" borderId="23"/>
    <xf numFmtId="0" fontId="65" fillId="26"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9" fillId="0" borderId="23"/>
    <xf numFmtId="0" fontId="67" fillId="12" borderId="20"/>
    <xf numFmtId="0" fontId="65" fillId="10" borderId="20"/>
    <xf numFmtId="0" fontId="65" fillId="10" borderId="20"/>
    <xf numFmtId="0" fontId="66" fillId="11" borderId="21"/>
    <xf numFmtId="0" fontId="65" fillId="10" borderId="20"/>
    <xf numFmtId="0" fontId="67" fillId="12" borderId="20"/>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9" fillId="0" borderId="23"/>
    <xf numFmtId="0" fontId="68" fillId="12" borderId="22"/>
    <xf numFmtId="0" fontId="65" fillId="10" borderId="20"/>
    <xf numFmtId="0" fontId="67" fillId="12" borderId="20"/>
    <xf numFmtId="0" fontId="65" fillId="10" borderId="20"/>
    <xf numFmtId="0" fontId="69" fillId="0" borderId="23"/>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6" fillId="11" borderId="21"/>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25" borderId="22"/>
    <xf numFmtId="0" fontId="66" fillId="11" borderId="21"/>
    <xf numFmtId="0" fontId="67" fillId="12" borderId="20"/>
    <xf numFmtId="0" fontId="68" fillId="12" borderId="22"/>
    <xf numFmtId="0" fontId="67" fillId="12" borderId="20"/>
    <xf numFmtId="0" fontId="65" fillId="10" borderId="20"/>
    <xf numFmtId="0" fontId="66" fillId="11" borderId="21"/>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25" borderId="22"/>
    <xf numFmtId="0" fontId="65" fillId="10"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25" borderId="22"/>
    <xf numFmtId="0" fontId="65" fillId="10"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0" borderId="23"/>
    <xf numFmtId="0" fontId="65" fillId="10" borderId="20"/>
    <xf numFmtId="0" fontId="68" fillId="12" borderId="22"/>
    <xf numFmtId="0" fontId="69" fillId="0" borderId="23"/>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8" fillId="12" borderId="22"/>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7" fillId="12" borderId="20"/>
    <xf numFmtId="0" fontId="65" fillId="10" borderId="20"/>
    <xf numFmtId="0" fontId="65" fillId="10"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6" fillId="11" borderId="21"/>
    <xf numFmtId="0" fontId="67" fillId="12" borderId="20"/>
    <xf numFmtId="0" fontId="69" fillId="0" borderId="23"/>
    <xf numFmtId="0" fontId="65" fillId="10" borderId="20"/>
    <xf numFmtId="0" fontId="68" fillId="12" borderId="22"/>
    <xf numFmtId="0" fontId="69" fillId="0" borderId="23"/>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8" fillId="12" borderId="22"/>
    <xf numFmtId="0" fontId="68" fillId="12" borderId="22"/>
    <xf numFmtId="0" fontId="67" fillId="12"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77" fillId="33" borderId="20"/>
    <xf numFmtId="0" fontId="67" fillId="12" borderId="20"/>
    <xf numFmtId="0" fontId="67" fillId="12" borderId="20"/>
    <xf numFmtId="0" fontId="65" fillId="10" borderId="20"/>
    <xf numFmtId="0" fontId="77" fillId="33"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6" fillId="11" borderId="21"/>
    <xf numFmtId="0" fontId="67" fillId="12" borderId="20"/>
    <xf numFmtId="0" fontId="65" fillId="10" borderId="20"/>
    <xf numFmtId="0" fontId="65" fillId="10" borderId="20"/>
    <xf numFmtId="0" fontId="65" fillId="10" borderId="20"/>
    <xf numFmtId="0" fontId="67" fillId="12" borderId="20"/>
    <xf numFmtId="0" fontId="68" fillId="12" borderId="22"/>
    <xf numFmtId="0" fontId="65" fillId="10" borderId="20"/>
    <xf numFmtId="0" fontId="68" fillId="12" borderId="22"/>
    <xf numFmtId="0" fontId="65" fillId="10" borderId="20"/>
    <xf numFmtId="0" fontId="67" fillId="12" borderId="20"/>
    <xf numFmtId="0" fontId="68" fillId="12" borderId="22"/>
    <xf numFmtId="0" fontId="65" fillId="10" borderId="20"/>
    <xf numFmtId="0" fontId="65" fillId="10" borderId="20"/>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5" fillId="10" borderId="20"/>
    <xf numFmtId="0" fontId="77" fillId="33" borderId="20"/>
    <xf numFmtId="0" fontId="67" fillId="12" borderId="20"/>
    <xf numFmtId="0" fontId="77" fillId="33"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77" fillId="33" borderId="20"/>
    <xf numFmtId="0" fontId="68" fillId="12" borderId="22"/>
    <xf numFmtId="0" fontId="67" fillId="12" borderId="20"/>
    <xf numFmtId="0" fontId="65" fillId="10" borderId="20"/>
    <xf numFmtId="0" fontId="77" fillId="33"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8" fillId="12" borderId="22"/>
    <xf numFmtId="0" fontId="67" fillId="12" borderId="20"/>
    <xf numFmtId="0" fontId="65" fillId="10" borderId="20"/>
    <xf numFmtId="0" fontId="66" fillId="11" borderId="21"/>
    <xf numFmtId="0" fontId="67" fillId="12" borderId="20"/>
    <xf numFmtId="0" fontId="68" fillId="12" borderId="22"/>
    <xf numFmtId="0" fontId="77" fillId="33" borderId="20"/>
    <xf numFmtId="0" fontId="67" fillId="12" borderId="20"/>
    <xf numFmtId="0" fontId="65" fillId="10" borderId="20"/>
    <xf numFmtId="0" fontId="66" fillId="11" borderId="21"/>
    <xf numFmtId="0" fontId="77" fillId="33"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26"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70" fillId="11" borderId="21"/>
    <xf numFmtId="0" fontId="67" fillId="12" borderId="20"/>
    <xf numFmtId="0" fontId="112" fillId="0" borderId="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9" fillId="0" borderId="23"/>
    <xf numFmtId="0" fontId="68" fillId="12" borderId="22"/>
    <xf numFmtId="0" fontId="67" fillId="12" borderId="20"/>
    <xf numFmtId="0" fontId="65" fillId="10"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5" fillId="10" borderId="20"/>
    <xf numFmtId="0" fontId="68" fillId="12" borderId="22"/>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8" fillId="12" borderId="22"/>
    <xf numFmtId="0" fontId="67" fillId="12" borderId="20"/>
    <xf numFmtId="0" fontId="66" fillId="11" borderId="21"/>
    <xf numFmtId="0" fontId="69" fillId="0" borderId="23"/>
    <xf numFmtId="0" fontId="67" fillId="12" borderId="20"/>
    <xf numFmtId="0" fontId="68" fillId="12" borderId="22"/>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7" fillId="12"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70" fillId="0" borderId="0" applyAlignment="1">
      <alignment horizontal="left"/>
    </xf>
    <xf numFmtId="0" fontId="68" fillId="12" borderId="22"/>
    <xf numFmtId="0" fontId="67" fillId="12" borderId="20"/>
    <xf numFmtId="0" fontId="68" fillId="12" borderId="22"/>
    <xf numFmtId="0" fontId="67" fillId="12" borderId="20"/>
    <xf numFmtId="0" fontId="66" fillId="11" borderId="21"/>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72" fillId="0" borderId="24"/>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70"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112" fillId="0" borderId="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5" fillId="10" borderId="20"/>
    <xf numFmtId="0" fontId="65" fillId="10" borderId="20"/>
    <xf numFmtId="0" fontId="67" fillId="12" borderId="20"/>
    <xf numFmtId="0" fontId="68" fillId="12" borderId="22"/>
    <xf numFmtId="0" fontId="65" fillId="10" borderId="20"/>
    <xf numFmtId="0" fontId="65" fillId="10" borderId="20"/>
    <xf numFmtId="0" fontId="67" fillId="12" borderId="20"/>
    <xf numFmtId="0" fontId="68" fillId="12" borderId="22"/>
    <xf numFmtId="0" fontId="65" fillId="10" borderId="20"/>
    <xf numFmtId="0" fontId="65" fillId="10" borderId="20"/>
    <xf numFmtId="0" fontId="66" fillId="11" borderId="21"/>
    <xf numFmtId="0" fontId="67" fillId="12" borderId="20"/>
    <xf numFmtId="0" fontId="68" fillId="12" borderId="22"/>
    <xf numFmtId="0" fontId="67" fillId="12" borderId="20"/>
    <xf numFmtId="0" fontId="65" fillId="10" borderId="20"/>
    <xf numFmtId="0" fontId="68" fillId="12" borderId="22"/>
    <xf numFmtId="0" fontId="69" fillId="0" borderId="23"/>
    <xf numFmtId="0" fontId="65" fillId="10" borderId="20"/>
    <xf numFmtId="0" fontId="67" fillId="12" borderId="20"/>
    <xf numFmtId="0" fontId="68" fillId="12" borderId="22"/>
    <xf numFmtId="0" fontId="69" fillId="0" borderId="23"/>
    <xf numFmtId="0" fontId="65" fillId="10"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5" fillId="10" borderId="20"/>
    <xf numFmtId="0" fontId="68" fillId="12" borderId="22"/>
    <xf numFmtId="0" fontId="69" fillId="0" borderId="23"/>
    <xf numFmtId="0" fontId="65" fillId="10" borderId="20"/>
    <xf numFmtId="0" fontId="67" fillId="12" borderId="20"/>
    <xf numFmtId="0" fontId="68" fillId="12" borderId="22"/>
    <xf numFmtId="0" fontId="65" fillId="10" borderId="20"/>
    <xf numFmtId="0" fontId="65" fillId="10" borderId="20"/>
    <xf numFmtId="0" fontId="67" fillId="12" borderId="20"/>
    <xf numFmtId="0" fontId="68" fillId="12" borderId="22"/>
    <xf numFmtId="0" fontId="65" fillId="10"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5" fillId="10"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9" fillId="0" borderId="23"/>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77" fillId="33" borderId="20"/>
    <xf numFmtId="0" fontId="67" fillId="12" borderId="20"/>
    <xf numFmtId="0" fontId="67" fillId="12" borderId="20"/>
    <xf numFmtId="0" fontId="65" fillId="10" borderId="20"/>
    <xf numFmtId="0" fontId="77" fillId="33"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9" fillId="0" borderId="23"/>
    <xf numFmtId="0" fontId="68" fillId="12" borderId="22"/>
    <xf numFmtId="0" fontId="67" fillId="12" borderId="20"/>
    <xf numFmtId="0" fontId="69" fillId="0" borderId="23"/>
    <xf numFmtId="0" fontId="68" fillId="12" borderId="22"/>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5" fillId="26" borderId="20"/>
    <xf numFmtId="0" fontId="67" fillId="12" borderId="20"/>
    <xf numFmtId="0" fontId="67" fillId="12" borderId="20"/>
    <xf numFmtId="0" fontId="74" fillId="17"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26"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5" fillId="10" borderId="20"/>
    <xf numFmtId="0" fontId="66" fillId="11" borderId="21"/>
    <xf numFmtId="0" fontId="68" fillId="33" borderId="22"/>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9" fillId="0" borderId="23"/>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70" fillId="11" borderId="21"/>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9" fillId="0" borderId="23"/>
    <xf numFmtId="0" fontId="68" fillId="12" borderId="22"/>
    <xf numFmtId="0" fontId="67" fillId="12" borderId="20"/>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0" borderId="0"/>
    <xf numFmtId="0" fontId="66" fillId="11" borderId="21"/>
    <xf numFmtId="0" fontId="69" fillId="0" borderId="23"/>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8" fillId="12" borderId="22"/>
    <xf numFmtId="0" fontId="68" fillId="12" borderId="22"/>
    <xf numFmtId="0" fontId="67" fillId="12" borderId="20"/>
    <xf numFmtId="0" fontId="69" fillId="0" borderId="23"/>
    <xf numFmtId="0" fontId="66" fillId="11" borderId="21"/>
    <xf numFmtId="0" fontId="70" fillId="11" borderId="21"/>
    <xf numFmtId="0" fontId="68" fillId="12" borderId="22"/>
    <xf numFmtId="0" fontId="67" fillId="12" borderId="20"/>
    <xf numFmtId="0" fontId="69" fillId="0" borderId="23"/>
    <xf numFmtId="0" fontId="66" fillId="11" borderId="21"/>
    <xf numFmtId="0" fontId="66" fillId="11" borderId="21"/>
    <xf numFmtId="0" fontId="68" fillId="12" borderId="22"/>
    <xf numFmtId="0" fontId="67" fillId="12" borderId="20"/>
    <xf numFmtId="0" fontId="69" fillId="0" borderId="23"/>
    <xf numFmtId="0" fontId="67" fillId="12" borderId="20"/>
    <xf numFmtId="0" fontId="69" fillId="0" borderId="23"/>
    <xf numFmtId="0" fontId="68" fillId="12" borderId="22"/>
    <xf numFmtId="0" fontId="68" fillId="12" borderId="22"/>
    <xf numFmtId="0" fontId="68" fillId="12" borderId="22"/>
    <xf numFmtId="0" fontId="67" fillId="12" borderId="20"/>
    <xf numFmtId="0" fontId="69" fillId="0" borderId="23"/>
    <xf numFmtId="0" fontId="66" fillId="11" borderId="21"/>
    <xf numFmtId="0" fontId="66" fillId="11" borderId="21"/>
    <xf numFmtId="0" fontId="68" fillId="12" borderId="22"/>
    <xf numFmtId="0" fontId="67" fillId="12" borderId="20"/>
    <xf numFmtId="0" fontId="69" fillId="0" borderId="23"/>
    <xf numFmtId="0" fontId="66" fillId="11" borderId="21"/>
    <xf numFmtId="0" fontId="68" fillId="12" borderId="22"/>
    <xf numFmtId="0" fontId="67" fillId="12" borderId="20"/>
    <xf numFmtId="0" fontId="69" fillId="0" borderId="23"/>
    <xf numFmtId="0" fontId="67" fillId="12" borderId="20"/>
    <xf numFmtId="0" fontId="66" fillId="11" borderId="21"/>
    <xf numFmtId="0" fontId="69" fillId="0" borderId="23"/>
    <xf numFmtId="0" fontId="68" fillId="12" borderId="22"/>
    <xf numFmtId="0" fontId="68" fillId="12" borderId="22"/>
    <xf numFmtId="0" fontId="68" fillId="12" borderId="22"/>
    <xf numFmtId="0" fontId="67" fillId="12" borderId="20"/>
    <xf numFmtId="0" fontId="69" fillId="0" borderId="23"/>
    <xf numFmtId="0" fontId="66" fillId="11" borderId="21"/>
    <xf numFmtId="0" fontId="68" fillId="12" borderId="22"/>
    <xf numFmtId="0" fontId="67" fillId="12" borderId="20"/>
    <xf numFmtId="0" fontId="69" fillId="0" borderId="23"/>
    <xf numFmtId="0" fontId="67" fillId="12" borderId="20"/>
    <xf numFmtId="0" fontId="66" fillId="11" borderId="21"/>
    <xf numFmtId="0" fontId="68" fillId="12" borderId="22"/>
    <xf numFmtId="0" fontId="68" fillId="12" borderId="22"/>
    <xf numFmtId="0" fontId="68" fillId="12" borderId="22"/>
    <xf numFmtId="0" fontId="67" fillId="12" borderId="20"/>
    <xf numFmtId="0" fontId="69" fillId="0" borderId="23"/>
    <xf numFmtId="0" fontId="68" fillId="12" borderId="22"/>
    <xf numFmtId="0" fontId="67" fillId="12" borderId="20"/>
    <xf numFmtId="0" fontId="69" fillId="0" borderId="23"/>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74" fillId="17"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9" fillId="0" borderId="23"/>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0" borderId="0"/>
    <xf numFmtId="0" fontId="67" fillId="12" borderId="20"/>
    <xf numFmtId="0" fontId="66" fillId="11" borderId="21"/>
    <xf numFmtId="0" fontId="66" fillId="11" borderId="21"/>
    <xf numFmtId="0" fontId="65" fillId="10"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0" borderId="0"/>
    <xf numFmtId="0" fontId="67" fillId="12" borderId="20"/>
    <xf numFmtId="0" fontId="71" fillId="0" borderId="0"/>
    <xf numFmtId="0" fontId="67" fillId="12" borderId="20"/>
    <xf numFmtId="0" fontId="66" fillId="0" borderId="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6" fillId="11" borderId="21"/>
    <xf numFmtId="0" fontId="65" fillId="10"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0" borderId="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26"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77" fillId="33" borderId="20"/>
    <xf numFmtId="0" fontId="67" fillId="12" borderId="20"/>
    <xf numFmtId="0" fontId="66" fillId="11" borderId="21"/>
    <xf numFmtId="0" fontId="77" fillId="33"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91" fillId="0" borderId="0"/>
    <xf numFmtId="0" fontId="67" fillId="12" borderId="20"/>
    <xf numFmtId="0" fontId="68" fillId="12" borderId="22"/>
    <xf numFmtId="0" fontId="68" fillId="12" borderId="22"/>
    <xf numFmtId="0" fontId="82" fillId="0" borderId="0"/>
    <xf numFmtId="0" fontId="67" fillId="12" borderId="20"/>
    <xf numFmtId="0" fontId="67" fillId="12" borderId="20"/>
    <xf numFmtId="0" fontId="67" fillId="12" borderId="20"/>
    <xf numFmtId="0" fontId="67" fillId="12" borderId="20"/>
    <xf numFmtId="0" fontId="99" fillId="0" borderId="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99" fillId="0" borderId="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99" fillId="0" borderId="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6" fillId="11" borderId="21"/>
    <xf numFmtId="0" fontId="68" fillId="12" borderId="22"/>
    <xf numFmtId="0" fontId="68" fillId="12" borderId="22"/>
    <xf numFmtId="0" fontId="67" fillId="12" borderId="20"/>
    <xf numFmtId="0" fontId="66" fillId="11" borderId="21"/>
    <xf numFmtId="0" fontId="66" fillId="11" borderId="21"/>
    <xf numFmtId="0" fontId="66" fillId="11" borderId="21"/>
    <xf numFmtId="0" fontId="68" fillId="12" borderId="22"/>
    <xf numFmtId="0" fontId="67" fillId="12" borderId="20"/>
    <xf numFmtId="0" fontId="66" fillId="11" borderId="21"/>
    <xf numFmtId="0" fontId="66" fillId="11" borderId="21"/>
    <xf numFmtId="0" fontId="66" fillId="11" borderId="21"/>
    <xf numFmtId="0" fontId="67" fillId="12" borderId="20"/>
    <xf numFmtId="0" fontId="67" fillId="12" borderId="20"/>
    <xf numFmtId="0" fontId="66" fillId="11" borderId="21"/>
    <xf numFmtId="0" fontId="68" fillId="25" borderId="22"/>
    <xf numFmtId="0" fontId="67" fillId="12" borderId="20"/>
    <xf numFmtId="0" fontId="66" fillId="11" borderId="21"/>
    <xf numFmtId="0" fontId="68" fillId="33" borderId="22"/>
    <xf numFmtId="0" fontId="67" fillId="12" borderId="20"/>
    <xf numFmtId="0" fontId="66" fillId="11" borderId="21"/>
    <xf numFmtId="0" fontId="68" fillId="25" borderId="22"/>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70"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6" fillId="11" borderId="21"/>
    <xf numFmtId="0" fontId="69" fillId="0" borderId="23"/>
    <xf numFmtId="0" fontId="67" fillId="12" borderId="20"/>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7" fillId="12" borderId="20"/>
    <xf numFmtId="0" fontId="65" fillId="10"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5" fillId="10"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6" fillId="11" borderId="21"/>
    <xf numFmtId="0" fontId="77" fillId="33" borderId="20"/>
    <xf numFmtId="0" fontId="65" fillId="10" borderId="20"/>
    <xf numFmtId="0" fontId="67" fillId="12" borderId="20"/>
    <xf numFmtId="0" fontId="65" fillId="10" borderId="20"/>
    <xf numFmtId="0" fontId="66" fillId="11" borderId="21"/>
    <xf numFmtId="0" fontId="69" fillId="0" borderId="23"/>
    <xf numFmtId="0" fontId="77" fillId="33" borderId="20"/>
    <xf numFmtId="0" fontId="67" fillId="12" borderId="20"/>
    <xf numFmtId="0" fontId="67" fillId="12" borderId="20"/>
    <xf numFmtId="0" fontId="67" fillId="12" borderId="20"/>
    <xf numFmtId="0" fontId="65" fillId="10" borderId="20"/>
    <xf numFmtId="0" fontId="67" fillId="12" borderId="20"/>
    <xf numFmtId="0" fontId="100" fillId="17" borderId="34" applyAlignment="1">
      <alignment horizontal="left" vertical="center" wrapText="1"/>
    </xf>
    <xf numFmtId="0" fontId="67" fillId="12" borderId="20"/>
    <xf numFmtId="0" fontId="67" fillId="12" borderId="20"/>
    <xf numFmtId="0" fontId="100" fillId="22" borderId="34" applyAlignment="1">
      <alignment horizontal="center" vertical="center" wrapText="1"/>
    </xf>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5" fillId="10" borderId="20"/>
    <xf numFmtId="0" fontId="66" fillId="11" borderId="21"/>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112" fillId="0" borderId="0"/>
    <xf numFmtId="0" fontId="68" fillId="12" borderId="22"/>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6" fillId="11" borderId="21"/>
    <xf numFmtId="0" fontId="67" fillId="12" borderId="20"/>
    <xf numFmtId="0" fontId="70" fillId="11" borderId="21"/>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8" fillId="12" borderId="22"/>
    <xf numFmtId="0" fontId="67" fillId="12" borderId="20"/>
    <xf numFmtId="0" fontId="65" fillId="10" borderId="20"/>
    <xf numFmtId="0" fontId="66" fillId="11" borderId="21"/>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5" fillId="10" borderId="20"/>
    <xf numFmtId="0" fontId="68" fillId="12" borderId="22"/>
    <xf numFmtId="0" fontId="69" fillId="0" borderId="23"/>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4" fillId="17" borderId="0"/>
    <xf numFmtId="0" fontId="67" fillId="12" borderId="20"/>
    <xf numFmtId="0" fontId="94" fillId="17" borderId="0"/>
    <xf numFmtId="0" fontId="67" fillId="12" borderId="20"/>
    <xf numFmtId="0" fontId="94" fillId="17"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6" fillId="11" borderId="21"/>
    <xf numFmtId="0" fontId="67" fillId="12" borderId="20"/>
    <xf numFmtId="0" fontId="66" fillId="11" borderId="21"/>
    <xf numFmtId="0" fontId="66" fillId="11" borderId="21"/>
    <xf numFmtId="0" fontId="68" fillId="12" borderId="22"/>
    <xf numFmtId="0" fontId="67" fillId="12" borderId="20"/>
    <xf numFmtId="0" fontId="66" fillId="11" borderId="21"/>
    <xf numFmtId="0" fontId="66" fillId="11" borderId="21"/>
    <xf numFmtId="0" fontId="66" fillId="11" borderId="21"/>
    <xf numFmtId="0" fontId="68" fillId="12" borderId="22"/>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25"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101" fillId="33"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77" fillId="33" borderId="20"/>
    <xf numFmtId="0" fontId="65" fillId="10" borderId="20"/>
    <xf numFmtId="0" fontId="102" fillId="38" borderId="35"/>
    <xf numFmtId="0" fontId="102" fillId="38" borderId="35"/>
    <xf numFmtId="0" fontId="68" fillId="12" borderId="22"/>
    <xf numFmtId="0" fontId="68" fillId="12" borderId="22"/>
    <xf numFmtId="0" fontId="102" fillId="38" borderId="35"/>
    <xf numFmtId="0" fontId="102" fillId="38" borderId="35"/>
    <xf numFmtId="0" fontId="102" fillId="38" borderId="35"/>
    <xf numFmtId="0" fontId="68" fillId="12" borderId="22"/>
    <xf numFmtId="0" fontId="65" fillId="10" borderId="20"/>
    <xf numFmtId="0" fontId="65" fillId="10" borderId="20"/>
    <xf numFmtId="0" fontId="102" fillId="38" borderId="35"/>
    <xf numFmtId="0" fontId="66" fillId="11" borderId="21"/>
    <xf numFmtId="0" fontId="65" fillId="10" borderId="20"/>
    <xf numFmtId="0" fontId="65" fillId="10" borderId="20"/>
    <xf numFmtId="0" fontId="102" fillId="38" borderId="35"/>
    <xf numFmtId="0" fontId="66" fillId="11" borderId="21"/>
    <xf numFmtId="0" fontId="102" fillId="38" borderId="35"/>
    <xf numFmtId="0" fontId="66" fillId="11" borderId="21"/>
    <xf numFmtId="0" fontId="102" fillId="38" borderId="35"/>
    <xf numFmtId="0" fontId="102" fillId="38" borderId="35"/>
    <xf numFmtId="0" fontId="100" fillId="23" borderId="34" applyAlignment="1">
      <alignment horizontal="left" vertical="center" wrapText="1"/>
    </xf>
    <xf numFmtId="0" fontId="100" fillId="30" borderId="34" applyAlignment="1">
      <alignment horizontal="left" vertical="center" wrapText="1"/>
    </xf>
    <xf numFmtId="0" fontId="100" fillId="30" borderId="34" applyAlignment="1">
      <alignment horizontal="left" vertical="center" wrapText="1"/>
    </xf>
    <xf numFmtId="0" fontId="100" fillId="26" borderId="34" applyAlignment="1">
      <alignment horizontal="left" vertical="center" wrapText="1"/>
    </xf>
    <xf numFmtId="0" fontId="100" fillId="10" borderId="34" applyAlignment="1">
      <alignment horizontal="left" vertical="center" wrapText="1"/>
    </xf>
    <xf numFmtId="0" fontId="65" fillId="10" borderId="20"/>
    <xf numFmtId="0" fontId="66" fillId="11" borderId="21"/>
    <xf numFmtId="0" fontId="100" fillId="10" borderId="34" applyAlignment="1">
      <alignment horizontal="left" vertical="center" wrapText="1"/>
    </xf>
    <xf numFmtId="169" fontId="66" fillId="0" borderId="0"/>
    <xf numFmtId="169" fontId="66" fillId="0" borderId="0"/>
    <xf numFmtId="0" fontId="68" fillId="12" borderId="22"/>
    <xf numFmtId="0" fontId="66" fillId="0" borderId="0" applyAlignment="1">
      <alignment horizontal="left"/>
    </xf>
    <xf numFmtId="0" fontId="65" fillId="10" borderId="20"/>
    <xf numFmtId="0" fontId="66" fillId="0" borderId="0"/>
    <xf numFmtId="0" fontId="66" fillId="0" borderId="0"/>
    <xf numFmtId="0" fontId="65" fillId="10" borderId="20"/>
    <xf numFmtId="0" fontId="68" fillId="12" borderId="22"/>
    <xf numFmtId="0" fontId="66" fillId="0" borderId="0"/>
    <xf numFmtId="0" fontId="66" fillId="0" borderId="0" applyAlignment="1">
      <alignment horizontal="left"/>
    </xf>
    <xf numFmtId="0" fontId="66" fillId="0" borderId="0"/>
    <xf numFmtId="170" fontId="66" fillId="0" borderId="0"/>
    <xf numFmtId="0" fontId="65" fillId="10" borderId="20"/>
    <xf numFmtId="171" fontId="66" fillId="0" borderId="0"/>
    <xf numFmtId="0" fontId="86" fillId="0" borderId="0"/>
    <xf numFmtId="0" fontId="65" fillId="10" borderId="20"/>
    <xf numFmtId="0" fontId="99" fillId="0" borderId="0"/>
    <xf numFmtId="0" fontId="99" fillId="0" borderId="0"/>
    <xf numFmtId="0" fontId="86" fillId="0" borderId="0"/>
    <xf numFmtId="0" fontId="99" fillId="0" borderId="0"/>
    <xf numFmtId="0" fontId="86" fillId="0" borderId="0"/>
    <xf numFmtId="0" fontId="99" fillId="0" borderId="0"/>
    <xf numFmtId="0" fontId="66" fillId="11" borderId="21"/>
    <xf numFmtId="0" fontId="86" fillId="0" borderId="0"/>
    <xf numFmtId="0" fontId="86" fillId="0" borderId="0"/>
    <xf numFmtId="0" fontId="86" fillId="0" borderId="0"/>
    <xf numFmtId="0" fontId="86" fillId="0" borderId="0"/>
    <xf numFmtId="0" fontId="86" fillId="0" borderId="0"/>
    <xf numFmtId="0" fontId="65" fillId="10" borderId="20"/>
    <xf numFmtId="0" fontId="86" fillId="0" borderId="0"/>
    <xf numFmtId="0" fontId="99" fillId="0" borderId="0"/>
    <xf numFmtId="0" fontId="99" fillId="0" borderId="0"/>
    <xf numFmtId="0" fontId="65" fillId="10" borderId="20"/>
    <xf numFmtId="0" fontId="68" fillId="12" borderId="22"/>
    <xf numFmtId="0" fontId="69" fillId="0" borderId="23"/>
    <xf numFmtId="0" fontId="86" fillId="0" borderId="0"/>
    <xf numFmtId="0" fontId="68" fillId="12" borderId="22"/>
    <xf numFmtId="0" fontId="99" fillId="0" borderId="0"/>
    <xf numFmtId="0" fontId="86" fillId="0" borderId="0"/>
    <xf numFmtId="0" fontId="86" fillId="0" borderId="0"/>
    <xf numFmtId="0" fontId="86" fillId="0" borderId="0"/>
    <xf numFmtId="0" fontId="86" fillId="0" borderId="0"/>
    <xf numFmtId="0" fontId="76" fillId="15" borderId="0"/>
    <xf numFmtId="0" fontId="66" fillId="11" borderId="21"/>
    <xf numFmtId="0" fontId="76" fillId="15" borderId="0"/>
    <xf numFmtId="0" fontId="76" fillId="15" borderId="0"/>
    <xf numFmtId="0" fontId="66" fillId="11" borderId="21"/>
    <xf numFmtId="0" fontId="76" fillId="15" borderId="0"/>
    <xf numFmtId="0" fontId="65" fillId="10" borderId="20"/>
    <xf numFmtId="0" fontId="76" fillId="15" borderId="0"/>
    <xf numFmtId="0" fontId="65" fillId="10" borderId="20"/>
    <xf numFmtId="0" fontId="76" fillId="15" borderId="0"/>
    <xf numFmtId="0" fontId="76" fillId="15" borderId="0"/>
    <xf numFmtId="0" fontId="76" fillId="15" borderId="0"/>
    <xf numFmtId="0" fontId="81" fillId="25" borderId="0"/>
    <xf numFmtId="0" fontId="81" fillId="25" borderId="0"/>
    <xf numFmtId="0" fontId="81" fillId="12" borderId="0"/>
    <xf numFmtId="0" fontId="81" fillId="12" borderId="0"/>
    <xf numFmtId="0" fontId="65" fillId="10" borderId="20"/>
    <xf numFmtId="0" fontId="81" fillId="12" borderId="0"/>
    <xf numFmtId="0" fontId="65" fillId="10" borderId="20"/>
    <xf numFmtId="0" fontId="103" fillId="0" borderId="36"/>
    <xf numFmtId="0" fontId="66" fillId="11" borderId="21"/>
    <xf numFmtId="0" fontId="103" fillId="0" borderId="36"/>
    <xf numFmtId="0" fontId="66" fillId="11" borderId="21"/>
    <xf numFmtId="0" fontId="103" fillId="0" borderId="37" applyAlignment="1">
      <alignment horizontal="left" vertical="center"/>
    </xf>
    <xf numFmtId="0" fontId="103" fillId="0" borderId="37" applyAlignment="1">
      <alignment horizontal="left" vertical="center"/>
    </xf>
    <xf numFmtId="0" fontId="66" fillId="11" borderId="21"/>
    <xf numFmtId="0" fontId="89" fillId="0" borderId="30"/>
    <xf numFmtId="0" fontId="88" fillId="0" borderId="29"/>
    <xf numFmtId="0" fontId="66" fillId="11" borderId="21"/>
    <xf numFmtId="0" fontId="89" fillId="0" borderId="30"/>
    <xf numFmtId="0" fontId="88" fillId="0" borderId="29"/>
    <xf numFmtId="0" fontId="89" fillId="0" borderId="30"/>
    <xf numFmtId="0" fontId="70" fillId="11" borderId="21"/>
    <xf numFmtId="0" fontId="66" fillId="11" borderId="21"/>
    <xf numFmtId="0" fontId="68" fillId="12" borderId="22"/>
    <xf numFmtId="0" fontId="89" fillId="0" borderId="30"/>
    <xf numFmtId="0" fontId="68" fillId="12" borderId="22"/>
    <xf numFmtId="0" fontId="89" fillId="0" borderId="30"/>
    <xf numFmtId="0" fontId="66" fillId="11" borderId="21"/>
    <xf numFmtId="0" fontId="68" fillId="12" borderId="22"/>
    <xf numFmtId="0" fontId="88" fillId="0" borderId="29"/>
    <xf numFmtId="0" fontId="89" fillId="0" borderId="30"/>
    <xf numFmtId="0" fontId="89" fillId="0" borderId="30"/>
    <xf numFmtId="0" fontId="89" fillId="0" borderId="30"/>
    <xf numFmtId="0" fontId="66" fillId="11" borderId="21"/>
    <xf numFmtId="0" fontId="89" fillId="0" borderId="30"/>
    <xf numFmtId="0" fontId="66" fillId="11" borderId="21"/>
    <xf numFmtId="0" fontId="89" fillId="0" borderId="30"/>
    <xf numFmtId="0" fontId="89" fillId="0" borderId="30"/>
    <xf numFmtId="0" fontId="66" fillId="11" borderId="21"/>
    <xf numFmtId="0" fontId="89" fillId="0" borderId="30"/>
    <xf numFmtId="0" fontId="88" fillId="0" borderId="29"/>
    <xf numFmtId="0" fontId="89" fillId="0" borderId="30"/>
    <xf numFmtId="0" fontId="65" fillId="10" borderId="20"/>
    <xf numFmtId="0" fontId="89" fillId="0" borderId="30"/>
    <xf numFmtId="0" fontId="88" fillId="0" borderId="29"/>
    <xf numFmtId="0" fontId="88" fillId="0" borderId="29"/>
    <xf numFmtId="0" fontId="88" fillId="0" borderId="29"/>
    <xf numFmtId="0" fontId="88" fillId="0" borderId="29"/>
    <xf numFmtId="0" fontId="89" fillId="0" borderId="30"/>
    <xf numFmtId="0" fontId="88" fillId="0" borderId="38"/>
    <xf numFmtId="0" fontId="66" fillId="11" borderId="21"/>
    <xf numFmtId="0" fontId="89" fillId="0" borderId="30"/>
    <xf numFmtId="0" fontId="66" fillId="11" borderId="21"/>
    <xf numFmtId="0" fontId="89" fillId="0" borderId="30"/>
    <xf numFmtId="0" fontId="66" fillId="11" borderId="21"/>
    <xf numFmtId="0" fontId="89" fillId="0" borderId="30"/>
    <xf numFmtId="0" fontId="66" fillId="11" borderId="21"/>
    <xf numFmtId="0" fontId="88" fillId="0" borderId="29"/>
    <xf numFmtId="0" fontId="83" fillId="0" borderId="27"/>
    <xf numFmtId="0" fontId="85" fillId="0" borderId="28"/>
    <xf numFmtId="0" fontId="66" fillId="11" borderId="21"/>
    <xf numFmtId="0" fontId="83" fillId="0" borderId="27"/>
    <xf numFmtId="0" fontId="66" fillId="11" borderId="21"/>
    <xf numFmtId="0" fontId="85" fillId="0" borderId="28"/>
    <xf numFmtId="0" fontId="83" fillId="0" borderId="27"/>
    <xf numFmtId="0" fontId="85" fillId="0" borderId="28"/>
    <xf numFmtId="0" fontId="68" fillId="12" borderId="22"/>
    <xf numFmtId="0" fontId="83" fillId="0" borderId="27"/>
    <xf numFmtId="0" fontId="65" fillId="10" borderId="20"/>
    <xf numFmtId="0" fontId="68" fillId="12" borderId="22"/>
    <xf numFmtId="0" fontId="83" fillId="0" borderId="27"/>
    <xf numFmtId="0" fontId="66" fillId="11" borderId="21"/>
    <xf numFmtId="0" fontId="85" fillId="0" borderId="28"/>
    <xf numFmtId="0" fontId="83" fillId="0" borderId="27"/>
    <xf numFmtId="0" fontId="83" fillId="0" borderId="27"/>
    <xf numFmtId="0" fontId="65" fillId="10" borderId="20"/>
    <xf numFmtId="0" fontId="83" fillId="0" borderId="27"/>
    <xf numFmtId="0" fontId="65" fillId="10" borderId="20"/>
    <xf numFmtId="0" fontId="66" fillId="11" borderId="21"/>
    <xf numFmtId="0" fontId="66" fillId="11" borderId="21"/>
    <xf numFmtId="0" fontId="83" fillId="0" borderId="27"/>
    <xf numFmtId="0" fontId="66" fillId="11" borderId="21"/>
    <xf numFmtId="0" fontId="66" fillId="11" borderId="21"/>
    <xf numFmtId="0" fontId="83" fillId="0" borderId="27"/>
    <xf numFmtId="0" fontId="66" fillId="11" borderId="21"/>
    <xf numFmtId="0" fontId="83" fillId="0" borderId="27"/>
    <xf numFmtId="0" fontId="66" fillId="11" borderId="21"/>
    <xf numFmtId="0" fontId="83" fillId="0" borderId="27"/>
    <xf numFmtId="0" fontId="85" fillId="0" borderId="28"/>
    <xf numFmtId="0" fontId="83" fillId="0" borderId="27"/>
    <xf numFmtId="0" fontId="65" fillId="10" borderId="20"/>
    <xf numFmtId="0" fontId="85" fillId="0" borderId="28"/>
    <xf numFmtId="0" fontId="83" fillId="0" borderId="27"/>
    <xf numFmtId="0" fontId="85" fillId="0" borderId="28"/>
    <xf numFmtId="0" fontId="85" fillId="0" borderId="28"/>
    <xf numFmtId="0" fontId="85" fillId="0" borderId="28"/>
    <xf numFmtId="0" fontId="85" fillId="0" borderId="28"/>
    <xf numFmtId="0" fontId="83" fillId="0" borderId="27"/>
    <xf numFmtId="0" fontId="72" fillId="0" borderId="24"/>
    <xf numFmtId="0" fontId="72" fillId="0" borderId="24"/>
    <xf numFmtId="0" fontId="72" fillId="0" borderId="24"/>
    <xf numFmtId="0" fontId="72" fillId="0" borderId="24"/>
    <xf numFmtId="0" fontId="65" fillId="10" borderId="20"/>
    <xf numFmtId="0" fontId="72" fillId="0" borderId="24"/>
    <xf numFmtId="0" fontId="65" fillId="10" borderId="20"/>
    <xf numFmtId="0" fontId="72" fillId="0" borderId="24"/>
    <xf numFmtId="0" fontId="65" fillId="10" borderId="20"/>
    <xf numFmtId="0" fontId="65" fillId="10" borderId="20"/>
    <xf numFmtId="0" fontId="66" fillId="11" borderId="21"/>
    <xf numFmtId="0" fontId="72" fillId="0" borderId="24"/>
    <xf numFmtId="0" fontId="72" fillId="0" borderId="24"/>
    <xf numFmtId="0" fontId="65" fillId="10" borderId="20"/>
    <xf numFmtId="0" fontId="66" fillId="11" borderId="21"/>
    <xf numFmtId="0" fontId="72" fillId="0" borderId="24"/>
    <xf numFmtId="0" fontId="66" fillId="11" borderId="21"/>
    <xf numFmtId="0" fontId="72" fillId="0" borderId="24"/>
    <xf numFmtId="0" fontId="72" fillId="0" borderId="24"/>
    <xf numFmtId="0" fontId="72" fillId="0" borderId="24"/>
    <xf numFmtId="0" fontId="72" fillId="0" borderId="24"/>
    <xf numFmtId="0" fontId="72" fillId="0" borderId="24"/>
    <xf numFmtId="0" fontId="68" fillId="12" borderId="22"/>
    <xf numFmtId="0" fontId="68" fillId="12" borderId="22"/>
    <xf numFmtId="0" fontId="72" fillId="0" borderId="24"/>
    <xf numFmtId="0" fontId="68" fillId="12" borderId="22"/>
    <xf numFmtId="0" fontId="68" fillId="12" borderId="22"/>
    <xf numFmtId="0" fontId="72" fillId="0" borderId="24"/>
    <xf numFmtId="0" fontId="65" fillId="10" borderId="20"/>
    <xf numFmtId="0" fontId="66" fillId="11" borderId="21"/>
    <xf numFmtId="0" fontId="80" fillId="0" borderId="26"/>
    <xf numFmtId="0" fontId="66" fillId="11" borderId="21"/>
    <xf numFmtId="0" fontId="72" fillId="0" borderId="24"/>
    <xf numFmtId="0" fontId="66" fillId="11" borderId="21"/>
    <xf numFmtId="0" fontId="66" fillId="11" borderId="21"/>
    <xf numFmtId="0" fontId="72" fillId="0" borderId="24"/>
    <xf numFmtId="0" fontId="65" fillId="10" borderId="20"/>
    <xf numFmtId="0" fontId="72" fillId="0" borderId="24"/>
    <xf numFmtId="0" fontId="65" fillId="10" borderId="20"/>
    <xf numFmtId="0" fontId="65" fillId="10" borderId="20"/>
    <xf numFmtId="0" fontId="72" fillId="0" borderId="24"/>
    <xf numFmtId="0" fontId="65" fillId="10" borderId="20"/>
    <xf numFmtId="0" fontId="65" fillId="10" borderId="20"/>
    <xf numFmtId="0" fontId="66" fillId="11" borderId="21"/>
    <xf numFmtId="0" fontId="65" fillId="10" borderId="20"/>
    <xf numFmtId="0" fontId="66" fillId="11" borderId="21"/>
    <xf numFmtId="0" fontId="72" fillId="0" borderId="24"/>
    <xf numFmtId="0" fontId="69" fillId="0" borderId="23"/>
    <xf numFmtId="0" fontId="65" fillId="10" borderId="20"/>
    <xf numFmtId="0" fontId="66" fillId="11" borderId="21"/>
    <xf numFmtId="0" fontId="65" fillId="10" borderId="20"/>
    <xf numFmtId="0" fontId="66" fillId="11" borderId="21"/>
    <xf numFmtId="0" fontId="72" fillId="0" borderId="24"/>
    <xf numFmtId="0" fontId="69" fillId="0" borderId="23"/>
    <xf numFmtId="0" fontId="65" fillId="10" borderId="20"/>
    <xf numFmtId="0" fontId="66" fillId="11" borderId="21"/>
    <xf numFmtId="0" fontId="69" fillId="0" borderId="23"/>
    <xf numFmtId="0" fontId="72" fillId="0" borderId="24"/>
    <xf numFmtId="0" fontId="69" fillId="0" borderId="23"/>
    <xf numFmtId="0" fontId="65" fillId="10" borderId="20"/>
    <xf numFmtId="0" fontId="66" fillId="11" borderId="21"/>
    <xf numFmtId="0" fontId="69" fillId="0" borderId="23"/>
    <xf numFmtId="0" fontId="80" fillId="0" borderId="26"/>
    <xf numFmtId="0" fontId="65" fillId="10" borderId="20"/>
    <xf numFmtId="0" fontId="66" fillId="11" borderId="21"/>
    <xf numFmtId="0" fontId="72" fillId="0" borderId="24"/>
    <xf numFmtId="0" fontId="65" fillId="10" borderId="20"/>
    <xf numFmtId="0" fontId="72" fillId="0" borderId="24"/>
    <xf numFmtId="0" fontId="65" fillId="10" borderId="20"/>
    <xf numFmtId="0" fontId="72" fillId="0" borderId="24"/>
    <xf numFmtId="0" fontId="65" fillId="10" borderId="20"/>
    <xf numFmtId="0" fontId="69" fillId="0" borderId="23"/>
    <xf numFmtId="0" fontId="80" fillId="0" borderId="26"/>
    <xf numFmtId="0" fontId="65" fillId="10" borderId="20"/>
    <xf numFmtId="0" fontId="69" fillId="0" borderId="23"/>
    <xf numFmtId="0" fontId="72" fillId="0" borderId="24"/>
    <xf numFmtId="0" fontId="65" fillId="10" borderId="20"/>
    <xf numFmtId="0" fontId="80" fillId="0" borderId="26"/>
    <xf numFmtId="0" fontId="65" fillId="10" borderId="20"/>
    <xf numFmtId="0" fontId="65" fillId="10" borderId="20"/>
    <xf numFmtId="0" fontId="72" fillId="0" borderId="24"/>
    <xf numFmtId="0" fontId="68" fillId="12" borderId="22"/>
    <xf numFmtId="0" fontId="80" fillId="0" borderId="26"/>
    <xf numFmtId="0" fontId="65" fillId="10" borderId="20"/>
    <xf numFmtId="0" fontId="72" fillId="0" borderId="24"/>
    <xf numFmtId="0" fontId="68" fillId="12" borderId="22"/>
    <xf numFmtId="0" fontId="80" fillId="0" borderId="26"/>
    <xf numFmtId="0" fontId="65" fillId="10" borderId="20"/>
    <xf numFmtId="0" fontId="72" fillId="0" borderId="24"/>
    <xf numFmtId="0" fontId="72" fillId="0" borderId="24"/>
    <xf numFmtId="0" fontId="80" fillId="0" borderId="39"/>
    <xf numFmtId="0" fontId="65" fillId="10" borderId="20"/>
    <xf numFmtId="0" fontId="66" fillId="11" borderId="21"/>
    <xf numFmtId="0" fontId="72" fillId="0" borderId="24"/>
    <xf numFmtId="0" fontId="66" fillId="11" borderId="21"/>
    <xf numFmtId="0" fontId="72" fillId="0" borderId="24"/>
    <xf numFmtId="0" fontId="65" fillId="10" borderId="20"/>
    <xf numFmtId="0" fontId="66" fillId="11" borderId="21"/>
    <xf numFmtId="0" fontId="72" fillId="0" borderId="24"/>
    <xf numFmtId="0" fontId="65" fillId="10" borderId="20"/>
    <xf numFmtId="0" fontId="80" fillId="0" borderId="26"/>
    <xf numFmtId="0" fontId="72" fillId="0" borderId="0"/>
    <xf numFmtId="0" fontId="80" fillId="0" borderId="0"/>
    <xf numFmtId="0" fontId="66" fillId="11" borderId="21"/>
    <xf numFmtId="0" fontId="72" fillId="0" borderId="0"/>
    <xf numFmtId="0" fontId="68" fillId="12" borderId="22"/>
    <xf numFmtId="0" fontId="80" fillId="0" borderId="0"/>
    <xf numFmtId="0" fontId="80" fillId="0" borderId="0"/>
    <xf numFmtId="0" fontId="72" fillId="0" borderId="0"/>
    <xf numFmtId="0" fontId="69" fillId="0" borderId="23"/>
    <xf numFmtId="0" fontId="65" fillId="10" borderId="20"/>
    <xf numFmtId="0" fontId="72" fillId="0" borderId="0"/>
    <xf numFmtId="0" fontId="80" fillId="0" borderId="0"/>
    <xf numFmtId="0" fontId="65" fillId="10" borderId="20"/>
    <xf numFmtId="0" fontId="72" fillId="0" borderId="0"/>
    <xf numFmtId="0" fontId="72" fillId="0" borderId="0"/>
    <xf numFmtId="0" fontId="65" fillId="10" borderId="20"/>
    <xf numFmtId="0" fontId="72" fillId="0" borderId="0"/>
    <xf numFmtId="0" fontId="65" fillId="10" borderId="20"/>
    <xf numFmtId="0" fontId="66" fillId="11" borderId="21"/>
    <xf numFmtId="0" fontId="72" fillId="0" borderId="0"/>
    <xf numFmtId="0" fontId="66" fillId="11" borderId="21"/>
    <xf numFmtId="0" fontId="72" fillId="0" borderId="0"/>
    <xf numFmtId="0" fontId="66" fillId="11" borderId="21"/>
    <xf numFmtId="0" fontId="72" fillId="0" borderId="0"/>
    <xf numFmtId="0" fontId="72" fillId="0" borderId="0"/>
    <xf numFmtId="0" fontId="66" fillId="11" borderId="21"/>
    <xf numFmtId="0" fontId="72" fillId="0" borderId="0"/>
    <xf numFmtId="0" fontId="80" fillId="0" borderId="0"/>
    <xf numFmtId="0" fontId="72" fillId="0" borderId="0"/>
    <xf numFmtId="0" fontId="80" fillId="0" borderId="0"/>
    <xf numFmtId="0" fontId="65" fillId="10" borderId="20"/>
    <xf numFmtId="0" fontId="72" fillId="0" borderId="0"/>
    <xf numFmtId="0" fontId="65" fillId="10" borderId="20"/>
    <xf numFmtId="0" fontId="72" fillId="0" borderId="0"/>
    <xf numFmtId="0" fontId="80" fillId="0" borderId="0"/>
    <xf numFmtId="0" fontId="68" fillId="12" borderId="22"/>
    <xf numFmtId="0" fontId="80" fillId="0" borderId="0"/>
    <xf numFmtId="0" fontId="68" fillId="12" borderId="22"/>
    <xf numFmtId="0" fontId="80" fillId="0" borderId="0"/>
    <xf numFmtId="0" fontId="68" fillId="12" borderId="22"/>
    <xf numFmtId="0" fontId="80" fillId="0" borderId="0"/>
    <xf numFmtId="0" fontId="72" fillId="0" borderId="0"/>
    <xf numFmtId="0" fontId="72" fillId="0" borderId="0"/>
    <xf numFmtId="0" fontId="65" fillId="10" borderId="20"/>
    <xf numFmtId="0" fontId="66" fillId="11" borderId="21"/>
    <xf numFmtId="0" fontId="72" fillId="0" borderId="0"/>
    <xf numFmtId="0" fontId="65" fillId="10" borderId="20"/>
    <xf numFmtId="0" fontId="66" fillId="11" borderId="21"/>
    <xf numFmtId="0" fontId="80" fillId="0" borderId="0"/>
    <xf numFmtId="0" fontId="104" fillId="0" borderId="0"/>
    <xf numFmtId="0" fontId="68" fillId="12" borderId="22"/>
    <xf numFmtId="0" fontId="65" fillId="10" borderId="20"/>
    <xf numFmtId="0" fontId="65" fillId="10" borderId="20"/>
    <xf numFmtId="0" fontId="65" fillId="10" borderId="20"/>
    <xf numFmtId="0" fontId="68" fillId="12" borderId="22"/>
    <xf numFmtId="0" fontId="65" fillId="10" borderId="20"/>
    <xf numFmtId="0" fontId="69" fillId="0" borderId="23"/>
    <xf numFmtId="0" fontId="66" fillId="11" borderId="21"/>
    <xf numFmtId="0" fontId="65" fillId="10" borderId="20"/>
    <xf numFmtId="0" fontId="66" fillId="11" borderId="21"/>
    <xf numFmtId="0" fontId="66" fillId="11" borderId="21"/>
    <xf numFmtId="0" fontId="68" fillId="12" borderId="22"/>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9" fillId="0" borderId="23"/>
    <xf numFmtId="0" fontId="69" fillId="0" borderId="23"/>
    <xf numFmtId="0" fontId="65" fillId="10" borderId="20"/>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9" fillId="0" borderId="23"/>
    <xf numFmtId="0" fontId="66" fillId="11" borderId="21"/>
    <xf numFmtId="0" fontId="65" fillId="10" borderId="20"/>
    <xf numFmtId="0" fontId="69" fillId="0" borderId="23"/>
    <xf numFmtId="0" fontId="66" fillId="11" borderId="21"/>
    <xf numFmtId="0" fontId="68" fillId="12" borderId="22"/>
    <xf numFmtId="0" fontId="65" fillId="10" borderId="20"/>
    <xf numFmtId="0" fontId="69" fillId="0" borderId="23"/>
    <xf numFmtId="0" fontId="66" fillId="11" borderId="21"/>
    <xf numFmtId="0" fontId="65" fillId="10" borderId="20"/>
    <xf numFmtId="0" fontId="69" fillId="0" borderId="23"/>
    <xf numFmtId="0" fontId="66" fillId="11" borderId="21"/>
    <xf numFmtId="0" fontId="68" fillId="12" borderId="22"/>
    <xf numFmtId="0" fontId="65" fillId="10" borderId="20"/>
    <xf numFmtId="0" fontId="69" fillId="0" borderId="23"/>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8" fillId="25" borderId="22"/>
    <xf numFmtId="0" fontId="65" fillId="10" borderId="20"/>
    <xf numFmtId="0" fontId="68" fillId="12" borderId="22"/>
    <xf numFmtId="0" fontId="65" fillId="10" borderId="20"/>
    <xf numFmtId="0" fontId="65" fillId="10" borderId="20"/>
    <xf numFmtId="0" fontId="69" fillId="0" borderId="23"/>
    <xf numFmtId="0" fontId="68" fillId="12" borderId="22"/>
    <xf numFmtId="0" fontId="65" fillId="10" borderId="20"/>
    <xf numFmtId="0" fontId="69" fillId="0" borderId="23"/>
    <xf numFmtId="0" fontId="65" fillId="10" borderId="20"/>
    <xf numFmtId="0" fontId="68" fillId="12" borderId="22"/>
    <xf numFmtId="0" fontId="68" fillId="12" borderId="22"/>
    <xf numFmtId="0" fontId="65" fillId="10" borderId="20"/>
    <xf numFmtId="0" fontId="69" fillId="0" borderId="23"/>
    <xf numFmtId="0" fontId="65" fillId="10" borderId="20"/>
    <xf numFmtId="0" fontId="68" fillId="12" borderId="22"/>
    <xf numFmtId="0" fontId="65" fillId="10" borderId="20"/>
    <xf numFmtId="0" fontId="68" fillId="12" borderId="22"/>
    <xf numFmtId="0" fontId="69" fillId="0" borderId="23"/>
    <xf numFmtId="0" fontId="68" fillId="12" borderId="22"/>
    <xf numFmtId="0" fontId="65" fillId="10" borderId="20"/>
    <xf numFmtId="0" fontId="68" fillId="12" borderId="22"/>
    <xf numFmtId="0" fontId="69" fillId="0" borderId="23"/>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9" fillId="0" borderId="23"/>
    <xf numFmtId="0" fontId="66" fillId="11" borderId="21"/>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9" fillId="0" borderId="23"/>
    <xf numFmtId="0" fontId="66" fillId="11" borderId="21"/>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6" fillId="11" borderId="21"/>
    <xf numFmtId="0" fontId="69" fillId="0" borderId="23"/>
    <xf numFmtId="0" fontId="65" fillId="10" borderId="20"/>
    <xf numFmtId="0" fontId="68" fillId="12" borderId="22"/>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8" fillId="12" borderId="22"/>
    <xf numFmtId="0" fontId="65" fillId="10" borderId="20"/>
    <xf numFmtId="0" fontId="68" fillId="12" borderId="22"/>
    <xf numFmtId="0" fontId="69" fillId="0" borderId="23"/>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9" fillId="0" borderId="23"/>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6" fillId="11" borderId="21"/>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6" fillId="11" borderId="21"/>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26"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9" fillId="0" borderId="23"/>
    <xf numFmtId="0" fontId="66" fillId="11" borderId="21"/>
    <xf numFmtId="0" fontId="65" fillId="10" borderId="20"/>
    <xf numFmtId="0" fontId="66" fillId="11" borderId="21"/>
    <xf numFmtId="0" fontId="65" fillId="10" borderId="20"/>
    <xf numFmtId="0" fontId="70" fillId="11" borderId="21"/>
    <xf numFmtId="0" fontId="65" fillId="10" borderId="20"/>
    <xf numFmtId="0" fontId="70"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5" fillId="10" borderId="20"/>
    <xf numFmtId="0" fontId="65" fillId="10" borderId="20"/>
    <xf numFmtId="0" fontId="69" fillId="0" borderId="23"/>
    <xf numFmtId="0" fontId="66" fillId="11" borderId="21"/>
    <xf numFmtId="0" fontId="65" fillId="10" borderId="20"/>
    <xf numFmtId="0" fontId="66" fillId="11" borderId="21"/>
    <xf numFmtId="0" fontId="74" fillId="17"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8" fillId="12" borderId="22"/>
    <xf numFmtId="0" fontId="65" fillId="10" borderId="20"/>
    <xf numFmtId="0" fontId="112" fillId="0" borderId="0"/>
    <xf numFmtId="0" fontId="65" fillId="10" borderId="20"/>
    <xf numFmtId="0" fontId="112" fillId="0" borderId="0"/>
    <xf numFmtId="0" fontId="65" fillId="10" borderId="20"/>
    <xf numFmtId="0" fontId="68" fillId="12" borderId="22"/>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5" fillId="10" borderId="20"/>
    <xf numFmtId="0" fontId="112" fillId="0" borderId="0"/>
    <xf numFmtId="0" fontId="65" fillId="10" borderId="20"/>
    <xf numFmtId="0" fontId="112" fillId="0" borderId="0"/>
    <xf numFmtId="0" fontId="65" fillId="10" borderId="20"/>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8" fillId="25" borderId="22"/>
    <xf numFmtId="0" fontId="65" fillId="10" borderId="20"/>
    <xf numFmtId="0" fontId="112" fillId="0" borderId="0"/>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0" borderId="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10" borderId="20"/>
    <xf numFmtId="0" fontId="66" fillId="11" borderId="21"/>
    <xf numFmtId="0" fontId="68" fillId="12" borderId="22"/>
    <xf numFmtId="0" fontId="68" fillId="12" borderId="22"/>
    <xf numFmtId="0" fontId="65" fillId="10" borderId="20"/>
    <xf numFmtId="0" fontId="65" fillId="10" borderId="20"/>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5" fillId="10" borderId="20"/>
    <xf numFmtId="0" fontId="69" fillId="0" borderId="23"/>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8" fillId="25"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6"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70" fillId="11" borderId="21"/>
    <xf numFmtId="0" fontId="65" fillId="10" borderId="20"/>
    <xf numFmtId="0" fontId="66" fillId="11" borderId="21"/>
    <xf numFmtId="0" fontId="65" fillId="10" borderId="20"/>
    <xf numFmtId="0" fontId="68" fillId="25" borderId="22"/>
    <xf numFmtId="0" fontId="65" fillId="10" borderId="20"/>
    <xf numFmtId="0" fontId="70"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8" fillId="12" borderId="22"/>
    <xf numFmtId="0" fontId="69" fillId="0" borderId="23"/>
    <xf numFmtId="0" fontId="69" fillId="0" borderId="23"/>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8" fillId="12" borderId="22"/>
    <xf numFmtId="0" fontId="68" fillId="12" borderId="22"/>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5" fillId="10" borderId="20"/>
    <xf numFmtId="0" fontId="68" fillId="12" borderId="22"/>
    <xf numFmtId="0" fontId="69" fillId="0" borderId="23"/>
    <xf numFmtId="0" fontId="65" fillId="10" borderId="20"/>
    <xf numFmtId="0" fontId="112" fillId="0" borderId="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25"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9" fillId="0" borderId="23"/>
    <xf numFmtId="0" fontId="66" fillId="11" borderId="21"/>
    <xf numFmtId="0" fontId="69" fillId="0" borderId="23"/>
    <xf numFmtId="0" fontId="65" fillId="10" borderId="20"/>
    <xf numFmtId="0" fontId="65" fillId="10" borderId="20"/>
    <xf numFmtId="0" fontId="69" fillId="0" borderId="23"/>
    <xf numFmtId="0" fontId="66" fillId="11" borderId="21"/>
    <xf numFmtId="0" fontId="66" fillId="11" borderId="21"/>
    <xf numFmtId="0" fontId="65" fillId="10" borderId="20"/>
    <xf numFmtId="0" fontId="65" fillId="10" borderId="20"/>
    <xf numFmtId="0" fontId="66" fillId="11" borderId="21"/>
    <xf numFmtId="0" fontId="66" fillId="11" borderId="21"/>
    <xf numFmtId="0" fontId="65" fillId="10" borderId="20"/>
    <xf numFmtId="0" fontId="68" fillId="12" borderId="22"/>
    <xf numFmtId="0" fontId="68" fillId="25" borderId="22"/>
    <xf numFmtId="0" fontId="65" fillId="10" borderId="20"/>
    <xf numFmtId="0" fontId="65" fillId="10" borderId="20"/>
    <xf numFmtId="0" fontId="69" fillId="0" borderId="23"/>
    <xf numFmtId="0" fontId="68" fillId="12" borderId="22"/>
    <xf numFmtId="0" fontId="65" fillId="10" borderId="20"/>
    <xf numFmtId="0" fontId="65" fillId="10" borderId="20"/>
    <xf numFmtId="0" fontId="69" fillId="0" borderId="23"/>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0" borderId="0"/>
    <xf numFmtId="0" fontId="71" fillId="0" borderId="0"/>
    <xf numFmtId="0" fontId="68" fillId="12" borderId="22"/>
    <xf numFmtId="0" fontId="65" fillId="10" borderId="20"/>
    <xf numFmtId="0" fontId="66" fillId="0" borderId="0"/>
    <xf numFmtId="0" fontId="71" fillId="0" borderId="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6" fillId="0" borderId="0"/>
    <xf numFmtId="0" fontId="65" fillId="10" borderId="20"/>
    <xf numFmtId="0" fontId="70" fillId="0" borderId="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6" fillId="11" borderId="21"/>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70" fillId="11" borderId="21"/>
    <xf numFmtId="0" fontId="65" fillId="10" borderId="20"/>
    <xf numFmtId="0" fontId="66" fillId="11" borderId="21"/>
    <xf numFmtId="0" fontId="69" fillId="0" borderId="23"/>
    <xf numFmtId="0" fontId="65" fillId="10" borderId="20"/>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8" fillId="12" borderId="22"/>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70"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9" fillId="0" borderId="23"/>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33"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92" fillId="0" borderId="32"/>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70"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172" fontId="95"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9" fillId="0" borderId="23"/>
    <xf numFmtId="0" fontId="66" fillId="11" borderId="21"/>
    <xf numFmtId="0" fontId="68" fillId="12" borderId="22"/>
    <xf numFmtId="0" fontId="69" fillId="0" borderId="23"/>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8" fillId="12" borderId="22"/>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6" fillId="11" borderId="21"/>
    <xf numFmtId="0" fontId="65" fillId="10" borderId="20"/>
    <xf numFmtId="0" fontId="68" fillId="12" borderId="22"/>
    <xf numFmtId="0" fontId="65" fillId="10" borderId="20"/>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9" fillId="0" borderId="23"/>
    <xf numFmtId="0" fontId="65" fillId="10" borderId="20"/>
    <xf numFmtId="0" fontId="65" fillId="10" borderId="20"/>
    <xf numFmtId="0" fontId="65" fillId="10" borderId="20"/>
    <xf numFmtId="0" fontId="70" fillId="11" borderId="21"/>
    <xf numFmtId="0" fontId="65" fillId="10" borderId="20"/>
    <xf numFmtId="0" fontId="65" fillId="10" borderId="20"/>
    <xf numFmtId="0" fontId="65" fillId="10" borderId="20"/>
    <xf numFmtId="0" fontId="70"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70" fillId="11" borderId="21"/>
    <xf numFmtId="0" fontId="65" fillId="10" borderId="20"/>
    <xf numFmtId="0" fontId="66" fillId="11" borderId="21"/>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8" fillId="12" borderId="22"/>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9" fillId="0" borderId="23"/>
    <xf numFmtId="0" fontId="66" fillId="11" borderId="21"/>
    <xf numFmtId="0" fontId="65" fillId="10" borderId="20"/>
    <xf numFmtId="0" fontId="69" fillId="0" borderId="23"/>
    <xf numFmtId="0" fontId="69" fillId="0" borderId="23"/>
    <xf numFmtId="0" fontId="66" fillId="11" borderId="21"/>
    <xf numFmtId="0" fontId="65" fillId="10" borderId="20"/>
    <xf numFmtId="0" fontId="65" fillId="10" borderId="20"/>
    <xf numFmtId="0" fontId="69" fillId="0" borderId="23"/>
    <xf numFmtId="0" fontId="69" fillId="0" borderId="23"/>
    <xf numFmtId="0" fontId="66" fillId="11" borderId="21"/>
    <xf numFmtId="0" fontId="65" fillId="10" borderId="20"/>
    <xf numFmtId="0" fontId="65" fillId="10" borderId="20"/>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70" fillId="11" borderId="21"/>
    <xf numFmtId="0" fontId="68" fillId="12" borderId="22"/>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8" fillId="12" borderId="22"/>
    <xf numFmtId="0" fontId="69" fillId="0" borderId="23"/>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70" fillId="11" borderId="21"/>
    <xf numFmtId="0" fontId="68" fillId="12" borderId="22"/>
    <xf numFmtId="0" fontId="65" fillId="10" borderId="20"/>
    <xf numFmtId="0" fontId="68" fillId="12" borderId="22"/>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9" fillId="0" borderId="23"/>
    <xf numFmtId="0" fontId="65" fillId="10" borderId="20"/>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112" fillId="0" borderId="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6" fillId="11" borderId="21"/>
    <xf numFmtId="0" fontId="70" fillId="11" borderId="21"/>
    <xf numFmtId="0" fontId="69" fillId="0" borderId="23"/>
    <xf numFmtId="0" fontId="65" fillId="10" borderId="20"/>
    <xf numFmtId="0" fontId="68" fillId="12" borderId="22"/>
    <xf numFmtId="0" fontId="65" fillId="10" borderId="20"/>
    <xf numFmtId="0" fontId="68" fillId="12" borderId="22"/>
    <xf numFmtId="0" fontId="65" fillId="26" borderId="20"/>
    <xf numFmtId="0" fontId="65" fillId="10" borderId="20"/>
    <xf numFmtId="0" fontId="68" fillId="12" borderId="22"/>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9" fillId="0" borderId="23"/>
    <xf numFmtId="0" fontId="66" fillId="11" borderId="21"/>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9" fillId="0" borderId="23"/>
    <xf numFmtId="0" fontId="65" fillId="26" borderId="20"/>
    <xf numFmtId="0" fontId="66" fillId="11" borderId="21"/>
    <xf numFmtId="0" fontId="69" fillId="0" borderId="23"/>
    <xf numFmtId="0" fontId="65" fillId="10" borderId="20"/>
    <xf numFmtId="0" fontId="92" fillId="0" borderId="3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26"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9" fontId="66"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26"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26" borderId="20"/>
    <xf numFmtId="0" fontId="69" fillId="0" borderId="23"/>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9" fillId="0" borderId="23"/>
    <xf numFmtId="0" fontId="68" fillId="12" borderId="22"/>
    <xf numFmtId="0" fontId="65" fillId="10" borderId="20"/>
    <xf numFmtId="0" fontId="68" fillId="12" borderId="22"/>
    <xf numFmtId="0" fontId="65" fillId="10" borderId="20"/>
    <xf numFmtId="0" fontId="68" fillId="12" borderId="22"/>
    <xf numFmtId="0" fontId="65" fillId="26" borderId="20"/>
    <xf numFmtId="0" fontId="69" fillId="0" borderId="23"/>
    <xf numFmtId="0" fontId="68" fillId="12" borderId="22"/>
    <xf numFmtId="0" fontId="65" fillId="10" borderId="20"/>
    <xf numFmtId="0" fontId="65" fillId="26"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26" borderId="20"/>
    <xf numFmtId="0" fontId="68" fillId="12" borderId="22"/>
    <xf numFmtId="0" fontId="65" fillId="10" borderId="20"/>
    <xf numFmtId="0" fontId="65" fillId="26"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26" borderId="20"/>
    <xf numFmtId="0" fontId="65" fillId="10" borderId="20"/>
    <xf numFmtId="0" fontId="65" fillId="26"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5" fillId="10" borderId="20"/>
    <xf numFmtId="0" fontId="69" fillId="0" borderId="23"/>
    <xf numFmtId="0" fontId="65" fillId="10" borderId="20"/>
    <xf numFmtId="0" fontId="68" fillId="12" borderId="22"/>
    <xf numFmtId="0" fontId="65" fillId="10" borderId="20"/>
    <xf numFmtId="0" fontId="112" fillId="0" borderId="0"/>
    <xf numFmtId="0" fontId="65" fillId="10" borderId="20"/>
    <xf numFmtId="0" fontId="69" fillId="0" borderId="23"/>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26" borderId="20"/>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26" borderId="20"/>
    <xf numFmtId="0" fontId="65" fillId="10" borderId="20"/>
    <xf numFmtId="0" fontId="68" fillId="12" borderId="22"/>
    <xf numFmtId="0" fontId="65" fillId="26" borderId="20"/>
    <xf numFmtId="0" fontId="65" fillId="10" borderId="20"/>
    <xf numFmtId="0" fontId="65" fillId="26"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26"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74" fillId="17" borderId="20"/>
    <xf numFmtId="0" fontId="65" fillId="10" borderId="20"/>
    <xf numFmtId="0" fontId="74" fillId="17" borderId="20"/>
    <xf numFmtId="0" fontId="74" fillId="17" borderId="20"/>
    <xf numFmtId="0" fontId="65" fillId="10" borderId="20"/>
    <xf numFmtId="0" fontId="65" fillId="10" borderId="20"/>
    <xf numFmtId="0" fontId="74" fillId="17" borderId="20"/>
    <xf numFmtId="0" fontId="66" fillId="11" borderId="21"/>
    <xf numFmtId="0" fontId="68" fillId="12" borderId="22"/>
    <xf numFmtId="0" fontId="65" fillId="10" borderId="20"/>
    <xf numFmtId="0" fontId="65" fillId="10" borderId="20"/>
    <xf numFmtId="0" fontId="74" fillId="17" borderId="20"/>
    <xf numFmtId="0" fontId="74" fillId="17"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8" fillId="12" borderId="22"/>
    <xf numFmtId="0" fontId="65" fillId="10" borderId="20"/>
    <xf numFmtId="0" fontId="65" fillId="10" borderId="20"/>
    <xf numFmtId="0" fontId="65" fillId="10" borderId="20"/>
    <xf numFmtId="0" fontId="69" fillId="0" borderId="23"/>
    <xf numFmtId="0" fontId="65" fillId="10" borderId="20"/>
    <xf numFmtId="0" fontId="68" fillId="12" borderId="22"/>
    <xf numFmtId="0" fontId="65" fillId="10" borderId="20"/>
    <xf numFmtId="0" fontId="65" fillId="10" borderId="20"/>
    <xf numFmtId="0" fontId="74" fillId="17" borderId="20"/>
    <xf numFmtId="0" fontId="74" fillId="17"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8" fillId="12" borderId="22"/>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5" fillId="10" borderId="20"/>
    <xf numFmtId="0" fontId="66" fillId="11" borderId="21"/>
    <xf numFmtId="0" fontId="69" fillId="0" borderId="23"/>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6" fillId="11" borderId="21"/>
    <xf numFmtId="0" fontId="66" fillId="11" borderId="21"/>
    <xf numFmtId="0" fontId="65" fillId="10" borderId="20"/>
    <xf numFmtId="0" fontId="68" fillId="12" borderId="22"/>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6" fillId="11" borderId="21"/>
    <xf numFmtId="0" fontId="66" fillId="11" borderId="21"/>
    <xf numFmtId="0" fontId="65" fillId="10" borderId="20"/>
    <xf numFmtId="0" fontId="65" fillId="10" borderId="20"/>
    <xf numFmtId="0" fontId="68" fillId="12" borderId="22"/>
    <xf numFmtId="0" fontId="65" fillId="10" borderId="20"/>
    <xf numFmtId="0" fontId="66" fillId="11" borderId="21"/>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4" fillId="17"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0" borderId="0"/>
    <xf numFmtId="0" fontId="70" fillId="0" borderId="0"/>
    <xf numFmtId="0" fontId="74" fillId="17" borderId="20"/>
    <xf numFmtId="0" fontId="65" fillId="10" borderId="20"/>
    <xf numFmtId="0" fontId="66" fillId="11" borderId="21"/>
    <xf numFmtId="0" fontId="74" fillId="17" borderId="20"/>
    <xf numFmtId="0" fontId="65" fillId="10" borderId="20"/>
    <xf numFmtId="0" fontId="66" fillId="11" borderId="21"/>
    <xf numFmtId="0" fontId="74" fillId="17" borderId="20"/>
    <xf numFmtId="0" fontId="66" fillId="11" borderId="21"/>
    <xf numFmtId="0" fontId="68" fillId="12" borderId="22"/>
    <xf numFmtId="0" fontId="74" fillId="17" borderId="20"/>
    <xf numFmtId="0" fontId="65" fillId="10" borderId="20"/>
    <xf numFmtId="0" fontId="65" fillId="10" borderId="20"/>
    <xf numFmtId="0" fontId="66" fillId="11" borderId="21"/>
    <xf numFmtId="0" fontId="74" fillId="17" borderId="20"/>
    <xf numFmtId="0" fontId="70" fillId="0" borderId="0"/>
    <xf numFmtId="0" fontId="70" fillId="0" borderId="0"/>
    <xf numFmtId="0" fontId="65" fillId="10" borderId="20"/>
    <xf numFmtId="0" fontId="74" fillId="17" borderId="20"/>
    <xf numFmtId="0" fontId="66" fillId="11" borderId="21"/>
    <xf numFmtId="0" fontId="65" fillId="10" borderId="20"/>
    <xf numFmtId="0" fontId="70" fillId="0" borderId="0"/>
    <xf numFmtId="0" fontId="70" fillId="0" borderId="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5" fillId="10" borderId="20"/>
    <xf numFmtId="0" fontId="65" fillId="10" borderId="20"/>
    <xf numFmtId="0" fontId="65" fillId="10" borderId="20"/>
    <xf numFmtId="0" fontId="112" fillId="0" borderId="0"/>
    <xf numFmtId="0" fontId="65" fillId="10" borderId="20"/>
    <xf numFmtId="0" fontId="66" fillId="11" borderId="21"/>
    <xf numFmtId="0" fontId="65" fillId="10" borderId="20"/>
    <xf numFmtId="0" fontId="112" fillId="0" borderId="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33"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82" fillId="0" borderId="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9" fillId="0" borderId="23"/>
    <xf numFmtId="0" fontId="65" fillId="10" borderId="20"/>
    <xf numFmtId="0" fontId="112" fillId="0" borderId="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9" fillId="0" borderId="23"/>
    <xf numFmtId="0" fontId="65" fillId="10" borderId="20"/>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70" fillId="11" borderId="21"/>
    <xf numFmtId="0" fontId="70" fillId="11" borderId="21"/>
    <xf numFmtId="0" fontId="65" fillId="10" borderId="20"/>
    <xf numFmtId="0" fontId="65" fillId="10" borderId="20"/>
    <xf numFmtId="0" fontId="70" fillId="11" borderId="21"/>
    <xf numFmtId="0" fontId="70" fillId="11" borderId="21"/>
    <xf numFmtId="0" fontId="65" fillId="10" borderId="20"/>
    <xf numFmtId="0" fontId="70" fillId="11" borderId="21"/>
    <xf numFmtId="0" fontId="70"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6" fillId="11" borderId="21"/>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9" fillId="0" borderId="23"/>
    <xf numFmtId="0" fontId="65" fillId="10" borderId="20"/>
    <xf numFmtId="0" fontId="66" fillId="11" borderId="21"/>
    <xf numFmtId="0" fontId="69" fillId="0" borderId="23"/>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6" fillId="11" borderId="21"/>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9" fillId="0" borderId="23"/>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8" fillId="12" borderId="22"/>
    <xf numFmtId="0" fontId="68" fillId="12" borderId="22"/>
    <xf numFmtId="0" fontId="65" fillId="10" borderId="20"/>
    <xf numFmtId="0" fontId="74" fillId="17"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82" fillId="0" borderId="0"/>
    <xf numFmtId="0" fontId="65" fillId="10" borderId="20"/>
    <xf numFmtId="0" fontId="82" fillId="0" borderId="0"/>
    <xf numFmtId="0" fontId="65" fillId="10" borderId="20"/>
    <xf numFmtId="0" fontId="8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8" fillId="12" borderId="22"/>
    <xf numFmtId="0" fontId="68" fillId="12" borderId="22"/>
    <xf numFmtId="0" fontId="65" fillId="10" borderId="20"/>
    <xf numFmtId="0" fontId="74" fillId="17"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91" fillId="0" borderId="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112" fillId="0" borderId="0"/>
    <xf numFmtId="0" fontId="69" fillId="0" borderId="23"/>
    <xf numFmtId="0" fontId="65" fillId="10" borderId="20"/>
    <xf numFmtId="0" fontId="69" fillId="0" borderId="23"/>
    <xf numFmtId="0" fontId="65" fillId="10" borderId="20"/>
    <xf numFmtId="0" fontId="65" fillId="10" borderId="20"/>
    <xf numFmtId="0" fontId="112" fillId="0" borderId="0"/>
    <xf numFmtId="0" fontId="65" fillId="10" borderId="20"/>
    <xf numFmtId="0" fontId="112" fillId="0" borderId="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70" fillId="11" borderId="21"/>
    <xf numFmtId="0" fontId="70"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112" fillId="0" borderId="0"/>
    <xf numFmtId="0" fontId="66" fillId="11" borderId="21"/>
    <xf numFmtId="0" fontId="65" fillId="10" borderId="20"/>
    <xf numFmtId="0" fontId="112" fillId="0" borderId="0"/>
    <xf numFmtId="0" fontId="65" fillId="10" borderId="20"/>
    <xf numFmtId="0" fontId="70" fillId="11" borderId="21"/>
    <xf numFmtId="0" fontId="66" fillId="11" borderId="21"/>
    <xf numFmtId="0" fontId="66" fillId="11" borderId="21"/>
    <xf numFmtId="0" fontId="65" fillId="10" borderId="20"/>
    <xf numFmtId="0" fontId="70" fillId="11" borderId="21"/>
    <xf numFmtId="0" fontId="65" fillId="10" borderId="20"/>
    <xf numFmtId="0" fontId="66" fillId="11" borderId="21"/>
    <xf numFmtId="0" fontId="65" fillId="10" borderId="20"/>
    <xf numFmtId="0" fontId="66" fillId="11" borderId="21"/>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70"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70" fillId="11" borderId="21"/>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70" fillId="11" borderId="21"/>
    <xf numFmtId="0" fontId="65" fillId="10" borderId="20"/>
    <xf numFmtId="0" fontId="66" fillId="11" borderId="21"/>
    <xf numFmtId="0" fontId="69" fillId="0" borderId="23"/>
    <xf numFmtId="0" fontId="65" fillId="10" borderId="20"/>
    <xf numFmtId="0" fontId="66" fillId="11" borderId="21"/>
    <xf numFmtId="0" fontId="66" fillId="11" borderId="21"/>
    <xf numFmtId="0" fontId="69" fillId="0" borderId="23"/>
    <xf numFmtId="0" fontId="65" fillId="10" borderId="20"/>
    <xf numFmtId="0" fontId="69" fillId="0" borderId="23"/>
    <xf numFmtId="0" fontId="65" fillId="10" borderId="20"/>
    <xf numFmtId="0" fontId="66" fillId="11" borderId="21"/>
    <xf numFmtId="0" fontId="66" fillId="11" borderId="21"/>
    <xf numFmtId="0" fontId="69" fillId="0" borderId="23"/>
    <xf numFmtId="0" fontId="65" fillId="10" borderId="20"/>
    <xf numFmtId="0" fontId="66" fillId="11" borderId="21"/>
    <xf numFmtId="0" fontId="69" fillId="0" borderId="23"/>
    <xf numFmtId="0" fontId="65" fillId="10" borderId="20"/>
    <xf numFmtId="0" fontId="66" fillId="11" borderId="21"/>
    <xf numFmtId="0" fontId="69" fillId="0" borderId="23"/>
    <xf numFmtId="0" fontId="65" fillId="10" borderId="20"/>
    <xf numFmtId="0" fontId="70" fillId="11" borderId="21"/>
    <xf numFmtId="0" fontId="69" fillId="0" borderId="23"/>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70" fillId="11" borderId="21"/>
    <xf numFmtId="0" fontId="69" fillId="0" borderId="23"/>
    <xf numFmtId="0" fontId="65" fillId="10" borderId="20"/>
    <xf numFmtId="0" fontId="66" fillId="11" borderId="21"/>
    <xf numFmtId="0" fontId="69" fillId="0" borderId="23"/>
    <xf numFmtId="0" fontId="65" fillId="10" borderId="20"/>
    <xf numFmtId="0" fontId="69" fillId="0" borderId="23"/>
    <xf numFmtId="0" fontId="65" fillId="10" borderId="20"/>
    <xf numFmtId="0" fontId="66" fillId="11" borderId="21"/>
    <xf numFmtId="0" fontId="69" fillId="0" borderId="23"/>
    <xf numFmtId="0" fontId="65" fillId="10" borderId="20"/>
    <xf numFmtId="0" fontId="66" fillId="11" borderId="21"/>
    <xf numFmtId="0" fontId="69" fillId="0" borderId="23"/>
    <xf numFmtId="0" fontId="65" fillId="10" borderId="20"/>
    <xf numFmtId="0" fontId="70" fillId="11" borderId="21"/>
    <xf numFmtId="0" fontId="69" fillId="0" borderId="23"/>
    <xf numFmtId="0" fontId="65" fillId="10" borderId="20"/>
    <xf numFmtId="0" fontId="65" fillId="10" borderId="20"/>
    <xf numFmtId="0" fontId="70" fillId="11" borderId="21"/>
    <xf numFmtId="0" fontId="65" fillId="10" borderId="20"/>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8" fillId="12" borderId="22"/>
    <xf numFmtId="0" fontId="69" fillId="0" borderId="23"/>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9" fillId="0" borderId="23"/>
    <xf numFmtId="0" fontId="65" fillId="10" borderId="20"/>
    <xf numFmtId="0" fontId="66" fillId="11" borderId="21"/>
    <xf numFmtId="0" fontId="69" fillId="0" borderId="23"/>
    <xf numFmtId="0" fontId="65" fillId="10" borderId="20"/>
    <xf numFmtId="0" fontId="69" fillId="0" borderId="23"/>
    <xf numFmtId="0" fontId="65" fillId="10" borderId="20"/>
    <xf numFmtId="0" fontId="66" fillId="11" borderId="21"/>
    <xf numFmtId="0" fontId="69" fillId="0" borderId="23"/>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70" fillId="11" borderId="21"/>
    <xf numFmtId="0" fontId="65" fillId="10" borderId="20"/>
    <xf numFmtId="0" fontId="70"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70" fillId="11" borderId="21"/>
    <xf numFmtId="0" fontId="65" fillId="10" borderId="20"/>
    <xf numFmtId="0" fontId="68" fillId="12" borderId="22"/>
    <xf numFmtId="0" fontId="65" fillId="10" borderId="20"/>
    <xf numFmtId="0" fontId="70" fillId="11" borderId="21"/>
    <xf numFmtId="0" fontId="68" fillId="12" borderId="22"/>
    <xf numFmtId="0" fontId="65" fillId="10" borderId="20"/>
    <xf numFmtId="0" fontId="70" fillId="11" borderId="21"/>
    <xf numFmtId="0" fontId="68" fillId="12" borderId="22"/>
    <xf numFmtId="0" fontId="65" fillId="10" borderId="20"/>
    <xf numFmtId="0" fontId="68" fillId="12" borderId="22"/>
    <xf numFmtId="0" fontId="65" fillId="10" borderId="20"/>
    <xf numFmtId="0" fontId="70" fillId="11" borderId="21"/>
    <xf numFmtId="0" fontId="68" fillId="12" borderId="22"/>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70" fillId="11" borderId="21"/>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70" fillId="11" borderId="21"/>
    <xf numFmtId="0" fontId="65" fillId="10" borderId="20"/>
    <xf numFmtId="0" fontId="65" fillId="10" borderId="20"/>
    <xf numFmtId="0" fontId="65" fillId="10" borderId="20"/>
    <xf numFmtId="0" fontId="66" fillId="11" borderId="21"/>
    <xf numFmtId="0" fontId="68" fillId="25"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9" fillId="0" borderId="23"/>
    <xf numFmtId="0" fontId="112" fillId="0" borderId="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9" fillId="0" borderId="23"/>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74" fillId="17" borderId="20"/>
    <xf numFmtId="0" fontId="66" fillId="11" borderId="21"/>
    <xf numFmtId="0" fontId="65" fillId="10" borderId="20"/>
    <xf numFmtId="0" fontId="68" fillId="12" borderId="22"/>
    <xf numFmtId="0" fontId="68" fillId="12" borderId="22"/>
    <xf numFmtId="0" fontId="74" fillId="17"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9" fillId="0" borderId="23"/>
    <xf numFmtId="0" fontId="68" fillId="12" borderId="22"/>
    <xf numFmtId="0" fontId="65" fillId="10" borderId="20"/>
    <xf numFmtId="0" fontId="69" fillId="0" borderId="23"/>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8" fillId="12" borderId="22"/>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8" fillId="12" borderId="22"/>
    <xf numFmtId="0" fontId="112" fillId="0" borderId="0"/>
    <xf numFmtId="0" fontId="74" fillId="17"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5" fillId="10" borderId="20"/>
    <xf numFmtId="0" fontId="66" fillId="11" borderId="21"/>
    <xf numFmtId="0" fontId="65" fillId="10" borderId="20"/>
    <xf numFmtId="0" fontId="65" fillId="10" borderId="20"/>
    <xf numFmtId="0" fontId="112" fillId="0" borderId="0"/>
    <xf numFmtId="0" fontId="65" fillId="10" borderId="20"/>
    <xf numFmtId="0" fontId="65" fillId="10" borderId="20"/>
    <xf numFmtId="0" fontId="66" fillId="11" borderId="21"/>
    <xf numFmtId="0" fontId="65" fillId="10" borderId="20"/>
    <xf numFmtId="0" fontId="112" fillId="0" borderId="0"/>
    <xf numFmtId="0" fontId="66" fillId="11" borderId="21"/>
    <xf numFmtId="0" fontId="65" fillId="10" borderId="20"/>
    <xf numFmtId="0" fontId="65" fillId="10" borderId="20"/>
    <xf numFmtId="0" fontId="65" fillId="10" borderId="20"/>
    <xf numFmtId="0" fontId="112" fillId="0" borderId="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33"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6" fillId="11" borderId="21"/>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112" fillId="0" borderId="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5" fillId="10" borderId="20"/>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6" fillId="11" borderId="21"/>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8" fillId="12" borderId="22"/>
    <xf numFmtId="0" fontId="66" fillId="11" borderId="21"/>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0" borderId="0"/>
    <xf numFmtId="0" fontId="92" fillId="0" borderId="32"/>
    <xf numFmtId="0" fontId="78" fillId="0" borderId="25"/>
    <xf numFmtId="0" fontId="66" fillId="11" borderId="21"/>
    <xf numFmtId="0" fontId="92" fillId="0" borderId="32"/>
    <xf numFmtId="0" fontId="66" fillId="11" borderId="21"/>
    <xf numFmtId="0" fontId="78" fillId="0" borderId="25"/>
    <xf numFmtId="0" fontId="92" fillId="0" borderId="32"/>
    <xf numFmtId="0" fontId="78" fillId="0" borderId="25"/>
    <xf numFmtId="0" fontId="92" fillId="0" borderId="32"/>
    <xf numFmtId="0" fontId="66" fillId="11" borderId="21"/>
    <xf numFmtId="0" fontId="92" fillId="0" borderId="32"/>
    <xf numFmtId="0" fontId="92" fillId="0" borderId="32"/>
    <xf numFmtId="0" fontId="92" fillId="0" borderId="32"/>
    <xf numFmtId="0" fontId="92" fillId="0" borderId="32"/>
    <xf numFmtId="0" fontId="66" fillId="11" borderId="21"/>
    <xf numFmtId="0" fontId="92" fillId="0" borderId="32"/>
    <xf numFmtId="0" fontId="66" fillId="11" borderId="21"/>
    <xf numFmtId="0" fontId="78" fillId="0" borderId="25"/>
    <xf numFmtId="0" fontId="66" fillId="11" borderId="21"/>
    <xf numFmtId="0" fontId="92" fillId="0" borderId="32"/>
    <xf numFmtId="0" fontId="92" fillId="0" borderId="32"/>
    <xf numFmtId="0" fontId="78" fillId="0" borderId="25"/>
    <xf numFmtId="0" fontId="78" fillId="0" borderId="25"/>
    <xf numFmtId="0" fontId="78" fillId="0" borderId="25"/>
    <xf numFmtId="0" fontId="78" fillId="0" borderId="25"/>
    <xf numFmtId="0" fontId="92" fillId="0" borderId="32"/>
    <xf numFmtId="0" fontId="93" fillId="0" borderId="33"/>
    <xf numFmtId="0" fontId="92" fillId="0" borderId="32"/>
    <xf numFmtId="0" fontId="92" fillId="0" borderId="32"/>
    <xf numFmtId="0" fontId="78" fillId="0" borderId="25"/>
    <xf numFmtId="0" fontId="68" fillId="12" borderId="22"/>
    <xf numFmtId="173" fontId="66" fillId="0" borderId="0"/>
    <xf numFmtId="174" fontId="66" fillId="0" borderId="0"/>
    <xf numFmtId="0" fontId="94" fillId="17" borderId="0"/>
    <xf numFmtId="0" fontId="78" fillId="17" borderId="0"/>
    <xf numFmtId="0" fontId="94" fillId="17" borderId="0"/>
    <xf numFmtId="0" fontId="94" fillId="17" borderId="0"/>
    <xf numFmtId="0" fontId="94" fillId="17" borderId="0"/>
    <xf numFmtId="0" fontId="78" fillId="17" borderId="0"/>
    <xf numFmtId="0" fontId="94" fillId="17" borderId="0"/>
    <xf numFmtId="0" fontId="78" fillId="17" borderId="0"/>
    <xf numFmtId="0" fontId="94" fillId="17" borderId="0"/>
    <xf numFmtId="0" fontId="78" fillId="17" borderId="0"/>
    <xf numFmtId="0" fontId="94" fillId="17" borderId="0"/>
    <xf numFmtId="0" fontId="68" fillId="12" borderId="22"/>
    <xf numFmtId="0" fontId="94" fillId="17" borderId="0"/>
    <xf numFmtId="0" fontId="78" fillId="17" borderId="0"/>
    <xf numFmtId="0" fontId="78" fillId="17" borderId="0"/>
    <xf numFmtId="0" fontId="78" fillId="17" borderId="0"/>
    <xf numFmtId="0" fontId="66" fillId="11" borderId="21"/>
    <xf numFmtId="0" fontId="78" fillId="17" borderId="0"/>
    <xf numFmtId="0" fontId="66" fillId="11" borderId="21"/>
    <xf numFmtId="0" fontId="94" fillId="17" borderId="0"/>
    <xf numFmtId="0" fontId="66" fillId="11" borderId="21"/>
    <xf numFmtId="0" fontId="68" fillId="12" borderId="22"/>
    <xf numFmtId="0" fontId="78" fillId="17" borderId="0"/>
    <xf numFmtId="0" fontId="66" fillId="11" borderId="21"/>
    <xf numFmtId="0" fontId="68" fillId="12" borderId="22"/>
    <xf numFmtId="172" fontId="95" fillId="0" borderId="0"/>
    <xf numFmtId="0" fontId="66" fillId="0" borderId="0"/>
    <xf numFmtId="0" fontId="68" fillId="12" borderId="22"/>
    <xf numFmtId="0" fontId="66" fillId="0" borderId="0"/>
    <xf numFmtId="0" fontId="66" fillId="0" borderId="0"/>
    <xf numFmtId="0" fontId="66" fillId="0" borderId="0"/>
    <xf numFmtId="0" fontId="66" fillId="0" borderId="0"/>
    <xf numFmtId="0" fontId="112"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1" fillId="0" borderId="0"/>
    <xf numFmtId="0" fontId="112" fillId="0" borderId="0"/>
    <xf numFmtId="0" fontId="112" fillId="0" borderId="0"/>
    <xf numFmtId="0" fontId="66" fillId="11" borderId="21"/>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8" fillId="12" borderId="22"/>
    <xf numFmtId="0" fontId="112" fillId="0" borderId="0"/>
    <xf numFmtId="0" fontId="112" fillId="0" borderId="0"/>
    <xf numFmtId="0" fontId="68" fillId="12" borderId="22"/>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66" fillId="0" borderId="0"/>
    <xf numFmtId="0" fontId="9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70" fillId="0" borderId="0"/>
    <xf numFmtId="0" fontId="70" fillId="0" borderId="0"/>
    <xf numFmtId="0" fontId="70" fillId="0" borderId="0"/>
    <xf numFmtId="0" fontId="68" fillId="12" borderId="22"/>
    <xf numFmtId="0" fontId="70" fillId="0" borderId="0"/>
    <xf numFmtId="0" fontId="70" fillId="0" borderId="0"/>
    <xf numFmtId="0" fontId="68" fillId="12" borderId="22"/>
    <xf numFmtId="0" fontId="66"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8" fillId="12" borderId="22"/>
    <xf numFmtId="0" fontId="69" fillId="0" borderId="23"/>
    <xf numFmtId="0" fontId="112" fillId="0" borderId="0"/>
    <xf numFmtId="0" fontId="112" fillId="0" borderId="0"/>
    <xf numFmtId="0" fontId="68" fillId="25" borderId="22"/>
    <xf numFmtId="0" fontId="112" fillId="0" borderId="0"/>
    <xf numFmtId="0" fontId="68" fillId="12" borderId="22"/>
    <xf numFmtId="0" fontId="112" fillId="0" borderId="0"/>
    <xf numFmtId="0" fontId="70" fillId="11" borderId="21"/>
    <xf numFmtId="0" fontId="112" fillId="0" borderId="0"/>
    <xf numFmtId="0" fontId="112" fillId="0" borderId="0"/>
    <xf numFmtId="0" fontId="70" fillId="11" borderId="21"/>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112" fillId="0" borderId="0"/>
    <xf numFmtId="0" fontId="66"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66" fillId="0" borderId="0"/>
    <xf numFmtId="0" fontId="71" fillId="0" borderId="0"/>
    <xf numFmtId="0" fontId="68" fillId="12" borderId="22"/>
    <xf numFmtId="0" fontId="71" fillId="0" borderId="0"/>
    <xf numFmtId="0" fontId="66" fillId="11" borderId="21"/>
    <xf numFmtId="0" fontId="71" fillId="0" borderId="0"/>
    <xf numFmtId="0" fontId="66" fillId="11" borderId="21"/>
    <xf numFmtId="0" fontId="70" fillId="0" borderId="0"/>
    <xf numFmtId="0" fontId="112" fillId="0" borderId="0"/>
    <xf numFmtId="0" fontId="112" fillId="0" borderId="0"/>
    <xf numFmtId="0" fontId="112" fillId="0" borderId="0"/>
    <xf numFmtId="0" fontId="112"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66" fillId="11" borderId="21"/>
    <xf numFmtId="0" fontId="112" fillId="0" borderId="0"/>
    <xf numFmtId="0" fontId="112" fillId="0" borderId="0"/>
    <xf numFmtId="0" fontId="66" fillId="11" borderId="21"/>
    <xf numFmtId="0" fontId="112" fillId="0" borderId="0"/>
    <xf numFmtId="0" fontId="69" fillId="0" borderId="23"/>
    <xf numFmtId="0" fontId="112" fillId="0" borderId="0"/>
    <xf numFmtId="0" fontId="66" fillId="11" borderId="21"/>
    <xf numFmtId="0" fontId="68" fillId="12" borderId="22"/>
    <xf numFmtId="0" fontId="112" fillId="0" borderId="0"/>
    <xf numFmtId="0" fontId="69" fillId="0" borderId="23"/>
    <xf numFmtId="0" fontId="112" fillId="0" borderId="0"/>
    <xf numFmtId="0" fontId="66" fillId="11" borderId="21"/>
    <xf numFmtId="0" fontId="112" fillId="0" borderId="0"/>
    <xf numFmtId="0" fontId="69" fillId="0" borderId="23"/>
    <xf numFmtId="0" fontId="112" fillId="0" borderId="0"/>
    <xf numFmtId="0" fontId="66" fillId="11" borderId="21"/>
    <xf numFmtId="0" fontId="68" fillId="12" borderId="22"/>
    <xf numFmtId="0" fontId="112" fillId="0" borderId="0"/>
    <xf numFmtId="0" fontId="112" fillId="0" borderId="0"/>
    <xf numFmtId="0" fontId="68" fillId="12" borderId="22"/>
    <xf numFmtId="0" fontId="112" fillId="0" borderId="0"/>
    <xf numFmtId="0" fontId="112" fillId="0" borderId="0"/>
    <xf numFmtId="0" fontId="112" fillId="0" borderId="0"/>
    <xf numFmtId="0" fontId="112" fillId="0" borderId="0"/>
    <xf numFmtId="0" fontId="68" fillId="12" borderId="22"/>
    <xf numFmtId="0" fontId="112" fillId="0" borderId="0"/>
    <xf numFmtId="0" fontId="112" fillId="0" borderId="0"/>
    <xf numFmtId="0" fontId="112" fillId="0" borderId="0"/>
    <xf numFmtId="0" fontId="112" fillId="0" borderId="0"/>
    <xf numFmtId="0" fontId="70"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68" fillId="12" borderId="22"/>
    <xf numFmtId="0" fontId="112" fillId="0" borderId="0"/>
    <xf numFmtId="0" fontId="112" fillId="0" borderId="0"/>
    <xf numFmtId="0" fontId="112" fillId="0" borderId="0"/>
    <xf numFmtId="0" fontId="66" fillId="11" borderId="21"/>
    <xf numFmtId="0" fontId="112" fillId="0" borderId="0"/>
    <xf numFmtId="0" fontId="68" fillId="12" borderId="22"/>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112" fillId="0" borderId="0"/>
    <xf numFmtId="0" fontId="112" fillId="0" borderId="0"/>
    <xf numFmtId="0" fontId="112"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66" fillId="0" borderId="0"/>
    <xf numFmtId="0" fontId="70" fillId="0" borderId="0"/>
    <xf numFmtId="0" fontId="66"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6" fillId="0" borderId="0"/>
    <xf numFmtId="0" fontId="66" fillId="0" borderId="0"/>
    <xf numFmtId="0" fontId="66" fillId="0" borderId="0"/>
    <xf numFmtId="0" fontId="66" fillId="0" borderId="0"/>
    <xf numFmtId="0" fontId="112" fillId="0" borderId="0"/>
    <xf numFmtId="0" fontId="66" fillId="11" borderId="21"/>
    <xf numFmtId="0" fontId="112" fillId="0" borderId="0"/>
    <xf numFmtId="0" fontId="66" fillId="0" borderId="0"/>
    <xf numFmtId="0" fontId="112" fillId="0" borderId="0"/>
    <xf numFmtId="0" fontId="66" fillId="11" borderId="21"/>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66" fillId="0" borderId="0"/>
    <xf numFmtId="0" fontId="112" fillId="0" borderId="0"/>
    <xf numFmtId="0" fontId="70" fillId="0" borderId="0"/>
    <xf numFmtId="0" fontId="112" fillId="0" borderId="0"/>
    <xf numFmtId="0" fontId="112" fillId="0" borderId="0"/>
    <xf numFmtId="0" fontId="112" fillId="0" borderId="0"/>
    <xf numFmtId="0" fontId="66" fillId="0" borderId="0"/>
    <xf numFmtId="0" fontId="112" fillId="0" borderId="0"/>
    <xf numFmtId="0" fontId="70" fillId="0" borderId="0"/>
    <xf numFmtId="0" fontId="70" fillId="0" borderId="0"/>
    <xf numFmtId="0" fontId="70" fillId="0" borderId="0"/>
    <xf numFmtId="0" fontId="112" fillId="0" borderId="0"/>
    <xf numFmtId="0" fontId="66" fillId="11" borderId="21"/>
    <xf numFmtId="0" fontId="68" fillId="12" borderId="22"/>
    <xf numFmtId="0" fontId="70" fillId="0" borderId="0"/>
    <xf numFmtId="0" fontId="66" fillId="11" borderId="21"/>
    <xf numFmtId="0" fontId="66" fillId="11" borderId="21"/>
    <xf numFmtId="0" fontId="112" fillId="0" borderId="0"/>
    <xf numFmtId="0" fontId="112" fillId="0" borderId="0"/>
    <xf numFmtId="0" fontId="66" fillId="11" borderId="21"/>
    <xf numFmtId="0" fontId="112" fillId="0" borderId="0"/>
    <xf numFmtId="0" fontId="66" fillId="0" borderId="0"/>
    <xf numFmtId="0" fontId="112" fillId="0" borderId="0"/>
    <xf numFmtId="0" fontId="66" fillId="11" borderId="21"/>
    <xf numFmtId="0" fontId="70" fillId="0" borderId="0"/>
    <xf numFmtId="0" fontId="70" fillId="0" borderId="0"/>
    <xf numFmtId="0" fontId="66" fillId="0" borderId="0"/>
    <xf numFmtId="0" fontId="66" fillId="0" borderId="0"/>
    <xf numFmtId="0" fontId="66" fillId="0" borderId="0"/>
    <xf numFmtId="0" fontId="90" fillId="0" borderId="0"/>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70" fillId="11" borderId="21"/>
    <xf numFmtId="0" fontId="70" fillId="11" borderId="21"/>
    <xf numFmtId="0" fontId="68" fillId="12" borderId="22"/>
    <xf numFmtId="0" fontId="66" fillId="11" borderId="21"/>
    <xf numFmtId="0" fontId="66" fillId="11" borderId="21"/>
    <xf numFmtId="0" fontId="66" fillId="11" borderId="21"/>
    <xf numFmtId="0" fontId="69" fillId="0" borderId="23"/>
    <xf numFmtId="0" fontId="66" fillId="11" borderId="21"/>
    <xf numFmtId="0" fontId="70"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9" fillId="0" borderId="23"/>
    <xf numFmtId="0" fontId="68" fillId="12" borderId="22"/>
    <xf numFmtId="0" fontId="68" fillId="12" borderId="22"/>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70"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9" fillId="0" borderId="23"/>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70" fillId="11" borderId="21"/>
    <xf numFmtId="0" fontId="68" fillId="12" borderId="22"/>
    <xf numFmtId="0" fontId="66" fillId="11" borderId="21"/>
    <xf numFmtId="0" fontId="70"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25"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25"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70"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70"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70"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70" fillId="11" borderId="21"/>
    <xf numFmtId="0" fontId="68" fillId="12" borderId="22"/>
    <xf numFmtId="0" fontId="66" fillId="11" borderId="21"/>
    <xf numFmtId="0" fontId="68" fillId="12" borderId="22"/>
    <xf numFmtId="0" fontId="66" fillId="11" borderId="21"/>
    <xf numFmtId="0" fontId="70"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68" fillId="12" borderId="22"/>
    <xf numFmtId="0" fontId="69" fillId="0" borderId="23"/>
    <xf numFmtId="0" fontId="70" fillId="11" borderId="21"/>
    <xf numFmtId="0" fontId="70" fillId="11" borderId="21"/>
    <xf numFmtId="0" fontId="70" fillId="11" borderId="21"/>
    <xf numFmtId="0" fontId="68" fillId="12" borderId="22"/>
    <xf numFmtId="0" fontId="66" fillId="11" borderId="21"/>
    <xf numFmtId="0" fontId="70" fillId="11" borderId="21"/>
    <xf numFmtId="0" fontId="70" fillId="11" borderId="21"/>
    <xf numFmtId="0" fontId="68" fillId="12" borderId="22"/>
    <xf numFmtId="0" fontId="70"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68" fillId="12" borderId="22"/>
    <xf numFmtId="0" fontId="70" fillId="11" borderId="21"/>
    <xf numFmtId="0" fontId="68" fillId="12" borderId="22"/>
    <xf numFmtId="0" fontId="70" fillId="11" borderId="21"/>
    <xf numFmtId="0" fontId="70" fillId="11" borderId="21"/>
    <xf numFmtId="0" fontId="66" fillId="11" borderId="21"/>
    <xf numFmtId="0" fontId="70" fillId="11" borderId="21"/>
    <xf numFmtId="0" fontId="66" fillId="11" borderId="21"/>
    <xf numFmtId="0" fontId="70" fillId="11" borderId="21"/>
    <xf numFmtId="0" fontId="68" fillId="12" borderId="22"/>
    <xf numFmtId="0" fontId="70" fillId="11" borderId="21"/>
    <xf numFmtId="0" fontId="68" fillId="12" borderId="22"/>
    <xf numFmtId="0" fontId="66" fillId="11" borderId="21"/>
    <xf numFmtId="0" fontId="66"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66" fillId="11" borderId="21"/>
    <xf numFmtId="0" fontId="66" fillId="11" borderId="21"/>
    <xf numFmtId="0" fontId="68" fillId="12" borderId="22"/>
    <xf numFmtId="0" fontId="69" fillId="0" borderId="23"/>
    <xf numFmtId="0" fontId="70" fillId="11" borderId="21"/>
    <xf numFmtId="0" fontId="68" fillId="12" borderId="22"/>
    <xf numFmtId="0" fontId="66" fillId="11" borderId="21"/>
    <xf numFmtId="0" fontId="70" fillId="11" borderId="21"/>
    <xf numFmtId="0" fontId="70" fillId="11" borderId="21"/>
    <xf numFmtId="0" fontId="68" fillId="12" borderId="22"/>
    <xf numFmtId="0" fontId="70" fillId="11" borderId="21"/>
    <xf numFmtId="0" fontId="68" fillId="12" borderId="22"/>
    <xf numFmtId="0" fontId="66" fillId="11" borderId="21"/>
    <xf numFmtId="0" fontId="70" fillId="11" borderId="21"/>
    <xf numFmtId="0" fontId="68" fillId="12" borderId="22"/>
    <xf numFmtId="0" fontId="69" fillId="0" borderId="23"/>
    <xf numFmtId="0" fontId="66" fillId="11" borderId="21"/>
    <xf numFmtId="0" fontId="68" fillId="12" borderId="22"/>
    <xf numFmtId="0" fontId="68" fillId="12" borderId="22"/>
    <xf numFmtId="0" fontId="69" fillId="0" borderId="23"/>
    <xf numFmtId="0" fontId="70"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70" fillId="11" borderId="21"/>
    <xf numFmtId="0" fontId="66" fillId="11" borderId="21"/>
    <xf numFmtId="0" fontId="70"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8" fillId="12" borderId="22"/>
    <xf numFmtId="0" fontId="70" fillId="11" borderId="21"/>
    <xf numFmtId="0" fontId="68" fillId="12" borderId="22"/>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66"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68" fillId="12" borderId="22"/>
    <xf numFmtId="0" fontId="70" fillId="11" borderId="21"/>
    <xf numFmtId="0" fontId="70" fillId="11" borderId="21"/>
    <xf numFmtId="0" fontId="66" fillId="11" borderId="21"/>
    <xf numFmtId="0" fontId="68" fillId="12" borderId="22"/>
    <xf numFmtId="0" fontId="68" fillId="12" borderId="22"/>
    <xf numFmtId="0" fontId="70"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68" fillId="12" borderId="22"/>
    <xf numFmtId="0" fontId="70" fillId="11" borderId="21"/>
    <xf numFmtId="0" fontId="68" fillId="12" borderId="22"/>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70"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70"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9" fillId="0" borderId="23"/>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9" fillId="0" borderId="23"/>
    <xf numFmtId="0" fontId="68" fillId="12" borderId="22"/>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33"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9" fillId="0" borderId="23"/>
    <xf numFmtId="0" fontId="66" fillId="11" borderId="21"/>
    <xf numFmtId="0" fontId="68" fillId="12" borderId="22"/>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33"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8" fillId="33" borderId="22"/>
    <xf numFmtId="0" fontId="66" fillId="11" borderId="21"/>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98" fillId="0" borderId="0"/>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91" fillId="0" borderId="0"/>
    <xf numFmtId="0" fontId="66" fillId="11" borderId="21"/>
    <xf numFmtId="0" fontId="66" fillId="11" borderId="21"/>
    <xf numFmtId="0" fontId="66" fillId="11" borderId="21"/>
    <xf numFmtId="0" fontId="66" fillId="11" borderId="21"/>
    <xf numFmtId="0" fontId="66" fillId="11" borderId="21"/>
    <xf numFmtId="0" fontId="91" fillId="0" borderId="0"/>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33" borderId="22"/>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9" fillId="0" borderId="23"/>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25"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8" fillId="12" borderId="22"/>
    <xf numFmtId="0" fontId="66" fillId="11" borderId="21"/>
    <xf numFmtId="0" fontId="66" fillId="11" borderId="21"/>
    <xf numFmtId="0" fontId="69" fillId="0" borderId="23"/>
    <xf numFmtId="0" fontId="66" fillId="11" borderId="21"/>
    <xf numFmtId="0" fontId="69" fillId="0" borderId="23"/>
    <xf numFmtId="0" fontId="66" fillId="11" borderId="21"/>
    <xf numFmtId="0" fontId="68" fillId="12" borderId="22"/>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25"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9" fillId="0" borderId="23"/>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6" fillId="11" borderId="21"/>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33"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98" fillId="0" borderId="0"/>
    <xf numFmtId="0" fontId="98" fillId="0" borderId="0"/>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91" fillId="0" borderId="0"/>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25" borderId="22"/>
    <xf numFmtId="0" fontId="68" fillId="12" borderId="22"/>
    <xf numFmtId="0" fontId="68" fillId="12" borderId="22"/>
    <xf numFmtId="0" fontId="68" fillId="25"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33" borderId="22"/>
    <xf numFmtId="0" fontId="68" fillId="33"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33"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33"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9" fillId="0" borderId="23"/>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9" fillId="0" borderId="23"/>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82" fillId="0" borderId="0"/>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175" fontId="66" fillId="0" borderId="0"/>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10" fontId="66" fillId="0" borderId="0"/>
    <xf numFmtId="10" fontId="66" fillId="0" borderId="0"/>
    <xf numFmtId="9" fontId="66" fillId="0" borderId="0"/>
    <xf numFmtId="9" fontId="96" fillId="0" borderId="0"/>
    <xf numFmtId="0" fontId="82" fillId="0" borderId="0"/>
    <xf numFmtId="0" fontId="91" fillId="0" borderId="0"/>
    <xf numFmtId="0" fontId="82" fillId="0" borderId="0"/>
    <xf numFmtId="0" fontId="82" fillId="0" borderId="0"/>
    <xf numFmtId="0" fontId="82" fillId="0" borderId="0"/>
    <xf numFmtId="0" fontId="82" fillId="0" borderId="0"/>
    <xf numFmtId="0" fontId="82" fillId="0" borderId="0"/>
    <xf numFmtId="0" fontId="91" fillId="0" borderId="0"/>
    <xf numFmtId="0" fontId="82" fillId="0" borderId="0"/>
    <xf numFmtId="0" fontId="82" fillId="0" borderId="0"/>
    <xf numFmtId="0" fontId="82" fillId="0" borderId="0"/>
    <xf numFmtId="0" fontId="84" fillId="0" borderId="0"/>
    <xf numFmtId="0" fontId="82" fillId="0" borderId="0"/>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40"/>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98" fillId="0" borderId="0"/>
    <xf numFmtId="0" fontId="98" fillId="0" borderId="0"/>
    <xf numFmtId="176" fontId="66" fillId="0" borderId="0"/>
    <xf numFmtId="177" fontId="66" fillId="0" borderId="0"/>
    <xf numFmtId="178" fontId="66"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3" fontId="66" fillId="0" borderId="0"/>
    <xf numFmtId="9" fontId="112" fillId="0" borderId="0"/>
    <xf numFmtId="0" fontId="112" fillId="0" borderId="0"/>
    <xf numFmtId="0" fontId="112" fillId="0" borderId="0"/>
    <xf numFmtId="0" fontId="112" fillId="0" borderId="0"/>
    <xf numFmtId="0" fontId="112" fillId="0" borderId="0"/>
  </cellStyleXfs>
  <cellXfs count="429">
    <xf numFmtId="0" fontId="0" fillId="0" borderId="0" pivotButton="0" quotePrefix="0" xfId="0"/>
    <xf numFmtId="0" fontId="0" fillId="2" borderId="1" applyAlignment="1" pivotButton="0" quotePrefix="0" xfId="0">
      <alignment horizontal="center"/>
    </xf>
    <xf numFmtId="164" fontId="44" fillId="2" borderId="1" applyAlignment="1" applyProtection="1" pivotButton="0" quotePrefix="0" xfId="0">
      <alignment horizontal="left" vertical="center" wrapText="1"/>
      <protection locked="1" hidden="1"/>
    </xf>
    <xf numFmtId="164" fontId="44" fillId="2" borderId="2" applyAlignment="1" applyProtection="1" pivotButton="0" quotePrefix="0" xfId="0">
      <alignment horizontal="left" vertical="center" wrapText="1"/>
      <protection locked="1" hidden="1"/>
    </xf>
    <xf numFmtId="0" fontId="44" fillId="2" borderId="3" applyAlignment="1" applyProtection="1" pivotButton="0" quotePrefix="0" xfId="0">
      <alignment vertical="center" wrapText="1"/>
      <protection locked="1" hidden="1"/>
    </xf>
    <xf numFmtId="0" fontId="44" fillId="2" borderId="4" applyAlignment="1" applyProtection="1" pivotButton="0" quotePrefix="0" xfId="0">
      <alignment vertical="center" wrapText="1"/>
      <protection locked="1" hidden="1"/>
    </xf>
    <xf numFmtId="0" fontId="46" fillId="3" borderId="4" applyAlignment="1" applyProtection="1" pivotButton="0" quotePrefix="0" xfId="0">
      <alignment vertical="center" wrapText="1"/>
      <protection locked="1" hidden="1"/>
    </xf>
    <xf numFmtId="0" fontId="46" fillId="3" borderId="5" applyAlignment="1" applyProtection="1" pivotButton="0" quotePrefix="0" xfId="0">
      <alignment vertical="center" wrapText="1"/>
      <protection locked="1" hidden="1"/>
    </xf>
    <xf numFmtId="0" fontId="45" fillId="2" borderId="1" applyAlignment="1" applyProtection="1" pivotButton="0" quotePrefix="0" xfId="0">
      <alignment horizontal="center" vertical="center"/>
      <protection locked="1" hidden="1"/>
    </xf>
    <xf numFmtId="165" fontId="44" fillId="2" borderId="1" applyAlignment="1" applyProtection="1" pivotButton="0" quotePrefix="0" xfId="0">
      <alignment horizontal="center" vertical="center"/>
      <protection locked="1" hidden="1"/>
    </xf>
    <xf numFmtId="164" fontId="44" fillId="2" borderId="1" applyAlignment="1" applyProtection="1" pivotButton="0" quotePrefix="0" xfId="0">
      <alignment horizontal="left" vertical="center"/>
      <protection locked="1" hidden="1"/>
    </xf>
    <xf numFmtId="0" fontId="0" fillId="0" borderId="0" applyAlignment="1" pivotButton="0" quotePrefix="0" xfId="0">
      <alignment horizontal="center" vertical="center"/>
    </xf>
    <xf numFmtId="0" fontId="48" fillId="0" borderId="0" pivotButton="0" quotePrefix="0" xfId="0"/>
    <xf numFmtId="0" fontId="46" fillId="3" borderId="0" applyAlignment="1" applyProtection="1" pivotButton="0" quotePrefix="0" xfId="0">
      <alignment vertical="center" wrapText="1"/>
      <protection locked="1" hidden="1"/>
    </xf>
    <xf numFmtId="0" fontId="0" fillId="5" borderId="0" pivotButton="0" quotePrefix="0" xfId="0"/>
    <xf numFmtId="0" fontId="50" fillId="5" borderId="10" applyAlignment="1" applyProtection="1" pivotButton="0" quotePrefix="0" xfId="0">
      <alignment horizontal="left" vertical="center"/>
      <protection locked="1" hidden="1"/>
    </xf>
    <xf numFmtId="0" fontId="51" fillId="5" borderId="10" applyAlignment="1" applyProtection="1" pivotButton="0" quotePrefix="0" xfId="0">
      <alignment horizontal="left" vertical="center"/>
      <protection locked="1" hidden="1"/>
    </xf>
    <xf numFmtId="0" fontId="53" fillId="5" borderId="0" applyAlignment="1" applyProtection="1" pivotButton="0" quotePrefix="0" xfId="0">
      <alignment horizontal="left" vertical="center"/>
      <protection locked="1" hidden="1"/>
    </xf>
    <xf numFmtId="0" fontId="54" fillId="5" borderId="0" applyAlignment="1" applyProtection="1" pivotButton="0" quotePrefix="0" xfId="0">
      <alignment horizontal="left" vertical="center"/>
      <protection locked="1" hidden="1"/>
    </xf>
    <xf numFmtId="0" fontId="44" fillId="5" borderId="0" applyAlignment="1" applyProtection="1" pivotButton="0" quotePrefix="0" xfId="0">
      <alignment horizontal="center" vertical="center"/>
      <protection locked="1" hidden="1"/>
    </xf>
    <xf numFmtId="0" fontId="56" fillId="5" borderId="8" applyAlignment="1" applyProtection="1" pivotButton="0" quotePrefix="0" xfId="0">
      <alignment horizontal="left" vertical="center"/>
      <protection locked="1" hidden="1"/>
    </xf>
    <xf numFmtId="0" fontId="57" fillId="5" borderId="12" applyAlignment="1" applyProtection="1" pivotButton="0" quotePrefix="0" xfId="0">
      <alignment horizontal="left" vertical="center"/>
      <protection locked="1" hidden="1"/>
    </xf>
    <xf numFmtId="0" fontId="55" fillId="5" borderId="12" applyProtection="1" pivotButton="0" quotePrefix="0" xfId="0">
      <protection locked="1" hidden="1"/>
    </xf>
    <xf numFmtId="0" fontId="0" fillId="7" borderId="8" pivotButton="0" quotePrefix="0" xfId="0"/>
    <xf numFmtId="0" fontId="57" fillId="7" borderId="12" applyAlignment="1" applyProtection="1" pivotButton="0" quotePrefix="0" xfId="0">
      <alignment horizontal="left" vertical="center"/>
      <protection locked="1" hidden="1"/>
    </xf>
    <xf numFmtId="0" fontId="58" fillId="7" borderId="12" applyAlignment="1" applyProtection="1" pivotButton="0" quotePrefix="0" xfId="0">
      <alignment horizontal="center" vertical="center"/>
      <protection locked="1" hidden="1"/>
    </xf>
    <xf numFmtId="0" fontId="57" fillId="7" borderId="12" applyAlignment="1" applyProtection="1" pivotButton="0" quotePrefix="0" xfId="0">
      <alignment horizontal="right" vertical="center"/>
      <protection locked="1" hidden="1"/>
    </xf>
    <xf numFmtId="0" fontId="58" fillId="5" borderId="0" applyAlignment="1" applyProtection="1" pivotButton="0" quotePrefix="0" xfId="0">
      <alignment horizontal="center" vertical="center"/>
      <protection locked="1" hidden="1"/>
    </xf>
    <xf numFmtId="0" fontId="58" fillId="5" borderId="0" applyAlignment="1" pivotButton="0" quotePrefix="0" xfId="0">
      <alignment horizontal="center" vertical="center"/>
    </xf>
    <xf numFmtId="0" fontId="44" fillId="3" borderId="1" applyAlignment="1" applyProtection="1" pivotButton="0" quotePrefix="0" xfId="0">
      <alignment horizontal="center" vertical="center" wrapText="1"/>
      <protection locked="1" hidden="1"/>
    </xf>
    <xf numFmtId="0" fontId="44" fillId="3" borderId="1" applyAlignment="1" applyProtection="1" pivotButton="0" quotePrefix="0" xfId="0">
      <alignment vertical="center" wrapText="1"/>
      <protection locked="1" hidden="1"/>
    </xf>
    <xf numFmtId="0" fontId="49" fillId="5" borderId="8" applyAlignment="1" pivotButton="0" quotePrefix="0" xfId="0">
      <alignment horizontal="center" vertical="center"/>
    </xf>
    <xf numFmtId="0" fontId="44" fillId="2" borderId="14" applyAlignment="1" applyProtection="1" pivotButton="0" quotePrefix="0" xfId="0">
      <alignment horizontal="center" vertical="center" wrapText="1"/>
      <protection locked="1" hidden="1"/>
    </xf>
    <xf numFmtId="0" fontId="44" fillId="2" borderId="1" applyAlignment="1" applyProtection="1" pivotButton="0" quotePrefix="0" xfId="0">
      <alignment horizontal="center" vertical="center" wrapText="1"/>
      <protection locked="1" hidden="1"/>
    </xf>
    <xf numFmtId="0" fontId="46" fillId="3" borderId="1" applyAlignment="1" applyProtection="1" pivotButton="0" quotePrefix="0" xfId="0">
      <alignment horizontal="center" vertical="center"/>
      <protection locked="1" hidden="1"/>
    </xf>
    <xf numFmtId="0" fontId="46" fillId="3" borderId="6" applyAlignment="1" applyProtection="1" pivotButton="0" quotePrefix="0" xfId="0">
      <alignment horizontal="center" vertical="center"/>
      <protection locked="1" hidden="1"/>
    </xf>
    <xf numFmtId="0" fontId="46" fillId="3" borderId="2" applyAlignment="1" applyProtection="1" pivotButton="0" quotePrefix="0" xfId="0">
      <alignment horizontal="center" vertical="center"/>
      <protection locked="1" hidden="1"/>
    </xf>
    <xf numFmtId="16" fontId="0" fillId="5" borderId="0" pivotButton="0" quotePrefix="0" xfId="0"/>
    <xf numFmtId="0" fontId="44" fillId="3" borderId="8" applyAlignment="1" applyProtection="1" pivotButton="0" quotePrefix="0" xfId="0">
      <alignment vertical="center" wrapText="1"/>
      <protection locked="1" hidden="1"/>
    </xf>
    <xf numFmtId="0" fontId="46" fillId="3" borderId="8" applyAlignment="1" applyProtection="1" pivotButton="0" quotePrefix="0" xfId="0">
      <alignment horizontal="center" vertical="center"/>
      <protection locked="1" hidden="1"/>
    </xf>
    <xf numFmtId="0" fontId="46" fillId="3" borderId="14" applyAlignment="1" applyProtection="1" pivotButton="0" quotePrefix="0" xfId="0">
      <alignment horizontal="center" vertical="center"/>
      <protection locked="1" hidden="1"/>
    </xf>
    <xf numFmtId="0" fontId="44" fillId="2" borderId="6" applyAlignment="1" applyProtection="1" pivotButton="0" quotePrefix="0" xfId="0">
      <alignment horizontal="center" vertical="center" wrapText="1"/>
      <protection locked="1" hidden="1"/>
    </xf>
    <xf numFmtId="164" fontId="44" fillId="2" borderId="1" applyAlignment="1" pivotButton="0" quotePrefix="0" xfId="0">
      <alignment horizontal="left" vertical="center" wrapText="1"/>
    </xf>
    <xf numFmtId="15" fontId="44" fillId="2" borderId="1" applyAlignment="1" applyProtection="1" pivotButton="0" quotePrefix="0" xfId="0">
      <alignment horizontal="center" vertical="center" wrapText="1"/>
      <protection locked="1" hidden="1"/>
    </xf>
    <xf numFmtId="15" fontId="60" fillId="5" borderId="0" pivotButton="0" quotePrefix="0" xfId="0"/>
    <xf numFmtId="0" fontId="46" fillId="3" borderId="12" applyAlignment="1" applyProtection="1" pivotButton="0" quotePrefix="0" xfId="0">
      <alignment horizontal="center" vertical="center"/>
      <protection locked="1" hidden="1"/>
    </xf>
    <xf numFmtId="0" fontId="44" fillId="2" borderId="8" applyAlignment="1" applyProtection="1" pivotButton="0" quotePrefix="0" xfId="0">
      <alignment horizontal="center" vertical="center" wrapText="1"/>
      <protection locked="1" hidden="1"/>
    </xf>
    <xf numFmtId="0" fontId="46" fillId="3" borderId="6" applyAlignment="1" applyProtection="1" pivotButton="0" quotePrefix="0" xfId="0">
      <alignment horizontal="center" vertical="center" wrapText="1"/>
      <protection locked="1" hidden="1"/>
    </xf>
    <xf numFmtId="1" fontId="44" fillId="2" borderId="1" applyAlignment="1" applyProtection="1" pivotButton="0" quotePrefix="0" xfId="0">
      <alignment horizontal="center" vertical="center" wrapText="1"/>
      <protection locked="1" hidden="1"/>
    </xf>
    <xf numFmtId="165" fontId="44" fillId="8" borderId="1" applyAlignment="1" applyProtection="1" pivotButton="0" quotePrefix="0" xfId="0">
      <alignment horizontal="center" vertical="center" wrapText="1"/>
      <protection locked="1" hidden="1"/>
    </xf>
    <xf numFmtId="165" fontId="44" fillId="2" borderId="1" applyAlignment="1" applyProtection="1" pivotButton="0" quotePrefix="0" xfId="0">
      <alignment horizontal="center" vertical="center" wrapText="1"/>
      <protection locked="1" hidden="1"/>
    </xf>
    <xf numFmtId="15" fontId="46" fillId="2" borderId="1" applyAlignment="1" pivotButton="0" quotePrefix="0" xfId="0">
      <alignment horizontal="center" vertical="center" wrapText="1"/>
    </xf>
    <xf numFmtId="0" fontId="46" fillId="3" borderId="12" applyAlignment="1" applyProtection="1" pivotButton="0" quotePrefix="0" xfId="0">
      <alignment vertical="center"/>
      <protection locked="1" hidden="1"/>
    </xf>
    <xf numFmtId="0" fontId="0" fillId="0" borderId="6" applyAlignment="1" pivotButton="0" quotePrefix="0" xfId="0">
      <alignment horizontal="center" vertical="center"/>
    </xf>
    <xf numFmtId="0" fontId="62" fillId="2" borderId="12" applyProtection="1" pivotButton="0" quotePrefix="0" xfId="0">
      <protection locked="1" hidden="1"/>
    </xf>
    <xf numFmtId="0" fontId="0" fillId="5" borderId="0" applyProtection="1" pivotButton="0" quotePrefix="0" xfId="0">
      <protection locked="0" hidden="0"/>
    </xf>
    <xf numFmtId="0" fontId="0" fillId="5" borderId="0" applyProtection="1" pivotButton="0" quotePrefix="0" xfId="0">
      <protection locked="1" hidden="1"/>
    </xf>
    <xf numFmtId="0" fontId="46" fillId="3" borderId="14" applyAlignment="1" applyProtection="1" pivotButton="0" quotePrefix="0" xfId="0">
      <alignment vertical="center"/>
      <protection locked="1" hidden="1"/>
    </xf>
    <xf numFmtId="166" fontId="63" fillId="5" borderId="1" applyAlignment="1" applyProtection="1" pivotButton="0" quotePrefix="0" xfId="0">
      <alignment horizontal="left" textRotation="90" shrinkToFit="1"/>
      <protection locked="1" hidden="1"/>
    </xf>
    <xf numFmtId="0" fontId="64" fillId="3" borderId="1" applyAlignment="1" applyProtection="1" pivotButton="0" quotePrefix="0" xfId="0">
      <alignment horizontal="center" vertical="center"/>
      <protection locked="1" hidden="1"/>
    </xf>
    <xf numFmtId="0" fontId="0" fillId="5" borderId="11" applyProtection="1" pivotButton="0" quotePrefix="0" xfId="0">
      <protection locked="0" hidden="0"/>
    </xf>
    <xf numFmtId="0" fontId="0" fillId="5" borderId="18" applyProtection="1" pivotButton="0" quotePrefix="0" xfId="0">
      <protection locked="0" hidden="0"/>
    </xf>
    <xf numFmtId="0" fontId="62" fillId="2" borderId="14" applyProtection="1" pivotButton="0" quotePrefix="0" xfId="0">
      <protection locked="1" hidden="1"/>
    </xf>
    <xf numFmtId="0" fontId="0" fillId="5" borderId="10" applyProtection="1" pivotButton="0" quotePrefix="0" xfId="0">
      <protection locked="0" hidden="0"/>
    </xf>
    <xf numFmtId="0" fontId="0" fillId="5" borderId="16" applyProtection="1" pivotButton="0" quotePrefix="0" xfId="0">
      <protection locked="0" hidden="0"/>
    </xf>
    <xf numFmtId="0" fontId="0" fillId="5" borderId="19" applyProtection="1" pivotButton="0" quotePrefix="0" xfId="0">
      <protection locked="0" hidden="0"/>
    </xf>
    <xf numFmtId="0" fontId="0" fillId="5" borderId="9" applyProtection="1" pivotButton="0" quotePrefix="0" xfId="0">
      <protection locked="0" hidden="0"/>
    </xf>
    <xf numFmtId="0" fontId="0" fillId="5" borderId="17" applyProtection="1" pivotButton="0" quotePrefix="0" xfId="0">
      <protection locked="0" hidden="0"/>
    </xf>
    <xf numFmtId="0" fontId="0" fillId="5" borderId="13" applyProtection="1" pivotButton="0" quotePrefix="0" xfId="0">
      <protection locked="0" hidden="0"/>
    </xf>
    <xf numFmtId="0" fontId="42" fillId="5" borderId="0" pivotButton="0" quotePrefix="0" xfId="0"/>
    <xf numFmtId="0" fontId="107" fillId="5" borderId="8" applyAlignment="1" applyProtection="1" pivotButton="0" quotePrefix="0" xfId="0">
      <alignment horizontal="left" vertical="center"/>
      <protection locked="1" hidden="1"/>
    </xf>
    <xf numFmtId="0" fontId="49" fillId="5" borderId="8" applyAlignment="1" pivotButton="0" quotePrefix="0" xfId="0">
      <alignment horizontal="right" vertical="center"/>
    </xf>
    <xf numFmtId="9" fontId="113" fillId="49" borderId="0" pivotButton="0" quotePrefix="0" xfId="0"/>
    <xf numFmtId="0" fontId="41" fillId="0" borderId="0" pivotButton="0" quotePrefix="0" xfId="0"/>
    <xf numFmtId="0" fontId="0" fillId="50" borderId="0" pivotButton="0" quotePrefix="0" xfId="0"/>
    <xf numFmtId="0" fontId="41" fillId="50" borderId="0" pivotButton="0" quotePrefix="0" xfId="0"/>
    <xf numFmtId="0" fontId="46" fillId="5" borderId="19" applyAlignment="1" applyProtection="1" pivotButton="0" quotePrefix="0" xfId="0">
      <alignment horizontal="center" vertical="center"/>
      <protection locked="1" hidden="1"/>
    </xf>
    <xf numFmtId="0" fontId="46" fillId="5" borderId="16" applyAlignment="1" applyProtection="1" pivotButton="0" quotePrefix="0" xfId="0">
      <alignment horizontal="center" vertical="center"/>
      <protection locked="1" hidden="1"/>
    </xf>
    <xf numFmtId="0" fontId="0" fillId="3" borderId="11" pivotButton="0" quotePrefix="0" xfId="0"/>
    <xf numFmtId="0" fontId="0" fillId="3" borderId="18" pivotButton="0" quotePrefix="0" xfId="0"/>
    <xf numFmtId="0" fontId="0" fillId="3" borderId="9" pivotButton="0" quotePrefix="0" xfId="0"/>
    <xf numFmtId="0" fontId="0" fillId="3" borderId="10" pivotButton="0" quotePrefix="0" xfId="0"/>
    <xf numFmtId="0" fontId="0" fillId="3" borderId="0" pivotButton="0" quotePrefix="0" xfId="0"/>
    <xf numFmtId="0" fontId="0" fillId="3" borderId="17" pivotButton="0" quotePrefix="0" xfId="0"/>
    <xf numFmtId="0" fontId="0" fillId="3" borderId="16" pivotButton="0" quotePrefix="0" xfId="0"/>
    <xf numFmtId="0" fontId="0" fillId="3" borderId="19" pivotButton="0" quotePrefix="0" xfId="0"/>
    <xf numFmtId="0" fontId="0" fillId="3" borderId="13" pivotButton="0" quotePrefix="0" xfId="0"/>
    <xf numFmtId="0" fontId="0" fillId="9" borderId="0" pivotButton="0" quotePrefix="0" xfId="0"/>
    <xf numFmtId="9" fontId="0" fillId="9" borderId="0" applyAlignment="1" pivotButton="0" quotePrefix="0" xfId="39115">
      <alignment horizontal="center"/>
    </xf>
    <xf numFmtId="0" fontId="56" fillId="5" borderId="8" applyAlignment="1" pivotButton="0" quotePrefix="0" xfId="0">
      <alignment horizontal="right" vertical="center"/>
    </xf>
    <xf numFmtId="0" fontId="59" fillId="5" borderId="41" applyAlignment="1" applyProtection="1" pivotButton="0" quotePrefix="0" xfId="0">
      <alignment horizontal="center" vertical="center"/>
      <protection locked="1" hidden="1"/>
    </xf>
    <xf numFmtId="0" fontId="0" fillId="52" borderId="14" applyAlignment="1" applyProtection="1" pivotButton="0" quotePrefix="0" xfId="0">
      <alignment horizontal="center" vertical="center"/>
      <protection locked="0" hidden="0"/>
    </xf>
    <xf numFmtId="0" fontId="40" fillId="3" borderId="0" pivotButton="0" quotePrefix="0" xfId="0"/>
    <xf numFmtId="0" fontId="0" fillId="3" borderId="0" applyAlignment="1" pivotButton="0" quotePrefix="0" xfId="0">
      <alignment horizontal="center" vertical="center"/>
    </xf>
    <xf numFmtId="10" fontId="39" fillId="54" borderId="1" applyAlignment="1" pivotButton="0" quotePrefix="0" xfId="39115">
      <alignment horizontal="center" vertical="center"/>
    </xf>
    <xf numFmtId="0" fontId="39" fillId="53" borderId="1" applyAlignment="1" pivotButton="0" quotePrefix="0" xfId="0">
      <alignment horizontal="center" vertical="center"/>
    </xf>
    <xf numFmtId="0" fontId="0" fillId="3" borderId="1" pivotButton="0" quotePrefix="0" xfId="0"/>
    <xf numFmtId="0" fontId="0" fillId="54" borderId="1" applyAlignment="1" pivotButton="0" quotePrefix="0" xfId="0">
      <alignment horizontal="center" vertical="center"/>
    </xf>
    <xf numFmtId="165" fontId="0" fillId="54" borderId="1" applyAlignment="1" pivotButton="0" quotePrefix="0" xfId="0">
      <alignment horizontal="center" vertical="center"/>
    </xf>
    <xf numFmtId="164" fontId="110" fillId="55" borderId="1" applyAlignment="1" applyProtection="1" pivotButton="0" quotePrefix="0" xfId="0">
      <alignment horizontal="center" textRotation="90" wrapText="1"/>
      <protection locked="1" hidden="1"/>
    </xf>
    <xf numFmtId="0" fontId="49" fillId="0" borderId="0" applyAlignment="1" pivotButton="0" quotePrefix="0" xfId="0">
      <alignment horizontal="center" vertical="center"/>
    </xf>
    <xf numFmtId="0" fontId="56" fillId="55" borderId="42" pivotButton="0" quotePrefix="0" xfId="0"/>
    <xf numFmtId="0" fontId="57" fillId="55" borderId="1" pivotButton="0" quotePrefix="0" xfId="0"/>
    <xf numFmtId="0" fontId="57" fillId="56" borderId="1" applyAlignment="1" pivotButton="0" quotePrefix="0" xfId="0">
      <alignment horizontal="center" vertical="center"/>
    </xf>
    <xf numFmtId="0" fontId="57" fillId="55" borderId="6" pivotButton="0" quotePrefix="0" xfId="0"/>
    <xf numFmtId="0" fontId="57" fillId="57" borderId="1" applyAlignment="1" pivotButton="0" quotePrefix="0" xfId="0">
      <alignment horizontal="center" vertical="center"/>
    </xf>
    <xf numFmtId="1" fontId="57" fillId="55" borderId="1" pivotButton="0" quotePrefix="0" xfId="0"/>
    <xf numFmtId="0" fontId="116" fillId="3" borderId="0" pivotButton="0" quotePrefix="0" xfId="0"/>
    <xf numFmtId="0" fontId="38" fillId="3" borderId="1" applyAlignment="1" pivotButton="0" quotePrefix="0" xfId="0">
      <alignment horizontal="center" vertical="center"/>
    </xf>
    <xf numFmtId="0" fontId="38" fillId="0" borderId="0" pivotButton="0" quotePrefix="0" xfId="0"/>
    <xf numFmtId="0" fontId="0" fillId="51" borderId="43" applyAlignment="1" pivotButton="0" quotePrefix="0" xfId="0">
      <alignment horizontal="center" vertical="center"/>
    </xf>
    <xf numFmtId="0" fontId="0" fillId="51" borderId="44" applyAlignment="1" pivotButton="0" quotePrefix="0" xfId="0">
      <alignment horizontal="center" vertical="center"/>
    </xf>
    <xf numFmtId="0" fontId="0" fillId="51" borderId="0" applyAlignment="1" pivotButton="0" quotePrefix="0" xfId="0">
      <alignment horizontal="center" vertical="center"/>
    </xf>
    <xf numFmtId="0" fontId="39" fillId="51" borderId="43" applyAlignment="1" pivotButton="0" quotePrefix="0" xfId="0">
      <alignment horizontal="center" vertical="center"/>
    </xf>
    <xf numFmtId="0" fontId="0" fillId="9" borderId="18" pivotButton="0" quotePrefix="0" xfId="0"/>
    <xf numFmtId="0" fontId="0" fillId="9" borderId="18" applyAlignment="1" pivotButton="0" quotePrefix="0" xfId="0">
      <alignment horizontal="center" vertical="center"/>
    </xf>
    <xf numFmtId="9" fontId="0" fillId="9" borderId="18" applyAlignment="1" pivotButton="0" quotePrefix="0" xfId="39115">
      <alignment horizontal="center" vertical="center"/>
    </xf>
    <xf numFmtId="1" fontId="0" fillId="9" borderId="18" applyAlignment="1" pivotButton="0" quotePrefix="0" xfId="0">
      <alignment horizontal="center" vertical="center"/>
    </xf>
    <xf numFmtId="0" fontId="0" fillId="9" borderId="0" applyAlignment="1" pivotButton="0" quotePrefix="0" xfId="0">
      <alignment horizontal="center"/>
    </xf>
    <xf numFmtId="1" fontId="0" fillId="9" borderId="0" applyAlignment="1" pivotButton="0" quotePrefix="0" xfId="0">
      <alignment horizontal="center" vertical="center"/>
    </xf>
    <xf numFmtId="1" fontId="0" fillId="9" borderId="19" applyAlignment="1" pivotButton="0" quotePrefix="0" xfId="0">
      <alignment horizontal="center" vertical="center"/>
    </xf>
    <xf numFmtId="0" fontId="0" fillId="5" borderId="2" applyAlignment="1" pivotButton="0" quotePrefix="0" xfId="0">
      <alignment horizontal="center" vertical="center"/>
    </xf>
    <xf numFmtId="0" fontId="37" fillId="5" borderId="8" applyAlignment="1" applyProtection="1" pivotButton="0" quotePrefix="0" xfId="0">
      <alignment horizontal="left"/>
      <protection locked="1" hidden="1"/>
    </xf>
    <xf numFmtId="0" fontId="36" fillId="5" borderId="0" pivotButton="0" quotePrefix="0" xfId="0"/>
    <xf numFmtId="0" fontId="36" fillId="5" borderId="8" applyAlignment="1" applyProtection="1" pivotButton="0" quotePrefix="0" xfId="0">
      <alignment horizontal="left"/>
      <protection locked="1" hidden="1"/>
    </xf>
    <xf numFmtId="0" fontId="49" fillId="5" borderId="8" applyAlignment="1" pivotButton="0" quotePrefix="1" xfId="0">
      <alignment horizontal="center" vertical="center"/>
    </xf>
    <xf numFmtId="0" fontId="35" fillId="5" borderId="0" pivotButton="0" quotePrefix="0" xfId="0"/>
    <xf numFmtId="15" fontId="44" fillId="6" borderId="1" applyAlignment="1" applyProtection="1" pivotButton="0" quotePrefix="0" xfId="0">
      <alignment horizontal="center" vertical="center" wrapText="1"/>
      <protection locked="0" hidden="0"/>
    </xf>
    <xf numFmtId="0" fontId="41" fillId="9" borderId="1" applyProtection="1" pivotButton="0" quotePrefix="0" xfId="39118">
      <protection locked="0" hidden="0"/>
    </xf>
    <xf numFmtId="14" fontId="41" fillId="9" borderId="1" applyProtection="1" pivotButton="0" quotePrefix="0" xfId="39118">
      <protection locked="0" hidden="0"/>
    </xf>
    <xf numFmtId="15" fontId="44" fillId="48" borderId="1" applyAlignment="1" applyProtection="1" pivotButton="0" quotePrefix="0" xfId="0">
      <alignment horizontal="center" vertical="center" wrapText="1"/>
      <protection locked="1" hidden="1"/>
    </xf>
    <xf numFmtId="167" fontId="0" fillId="58" borderId="8" applyAlignment="1" applyProtection="1" pivotButton="0" quotePrefix="0" xfId="0">
      <alignment horizontal="center" vertical="center" shrinkToFit="1"/>
      <protection locked="1" hidden="1"/>
    </xf>
    <xf numFmtId="0" fontId="34" fillId="52" borderId="14" applyAlignment="1" applyProtection="1" pivotButton="0" quotePrefix="0" xfId="0">
      <alignment horizontal="center" vertical="center"/>
      <protection locked="0" hidden="0"/>
    </xf>
    <xf numFmtId="0" fontId="33" fillId="5" borderId="0" pivotButton="0" quotePrefix="0" xfId="0"/>
    <xf numFmtId="0" fontId="0" fillId="48" borderId="9" pivotButton="0" quotePrefix="0" xfId="0"/>
    <xf numFmtId="0" fontId="63" fillId="5" borderId="1" applyAlignment="1" applyProtection="1" pivotButton="0" quotePrefix="0" xfId="0">
      <alignment horizontal="right" vertical="center" textRotation="90"/>
      <protection locked="1" hidden="1"/>
    </xf>
    <xf numFmtId="0" fontId="55" fillId="5" borderId="0" applyAlignment="1" applyProtection="1" pivotButton="0" quotePrefix="0" xfId="0">
      <alignment horizontal="center" vertical="center"/>
      <protection locked="1" hidden="1"/>
    </xf>
    <xf numFmtId="0" fontId="119" fillId="5" borderId="15" applyAlignment="1" applyProtection="1" pivotButton="0" quotePrefix="0" xfId="0">
      <alignment horizontal="center" vertical="center" wrapText="1"/>
      <protection locked="1" hidden="1"/>
    </xf>
    <xf numFmtId="0" fontId="0" fillId="5" borderId="15" pivotButton="0" quotePrefix="0" xfId="0"/>
    <xf numFmtId="9" fontId="55" fillId="5" borderId="15" applyAlignment="1" pivotButton="0" quotePrefix="0" xfId="39115">
      <alignment horizontal="center" vertical="center"/>
    </xf>
    <xf numFmtId="0" fontId="0" fillId="5" borderId="8" applyAlignment="1" applyProtection="1" pivotButton="0" quotePrefix="0" xfId="0">
      <alignment horizontal="left" vertical="center"/>
      <protection locked="0" hidden="0"/>
    </xf>
    <xf numFmtId="0" fontId="32" fillId="2" borderId="1" applyAlignment="1" pivotButton="0" quotePrefix="0" xfId="0">
      <alignment horizontal="center"/>
    </xf>
    <xf numFmtId="2" fontId="45" fillId="2" borderId="2" applyAlignment="1" applyProtection="1" pivotButton="0" quotePrefix="0" xfId="0">
      <alignment horizontal="center" vertical="center"/>
      <protection locked="1" hidden="1"/>
    </xf>
    <xf numFmtId="0" fontId="118" fillId="0" borderId="0" applyAlignment="1" pivotButton="0" quotePrefix="0" xfId="0">
      <alignment horizontal="center" vertical="center" textRotation="45"/>
    </xf>
    <xf numFmtId="0" fontId="0" fillId="62" borderId="45" applyProtection="1" pivotButton="0" quotePrefix="0" xfId="0">
      <protection locked="1" hidden="1"/>
    </xf>
    <xf numFmtId="0" fontId="0" fillId="61" borderId="45" applyProtection="1" pivotButton="0" quotePrefix="0" xfId="0">
      <protection locked="1" hidden="1"/>
    </xf>
    <xf numFmtId="0" fontId="0" fillId="60" borderId="46" applyProtection="1" pivotButton="0" quotePrefix="0" xfId="0">
      <protection locked="1" hidden="1"/>
    </xf>
    <xf numFmtId="0" fontId="31" fillId="5" borderId="0" pivotButton="0" quotePrefix="0" xfId="0"/>
    <xf numFmtId="0" fontId="49" fillId="2" borderId="15" applyAlignment="1" pivotButton="0" quotePrefix="0" xfId="0">
      <alignment horizontal="right"/>
    </xf>
    <xf numFmtId="0" fontId="52" fillId="2" borderId="15" applyAlignment="1" pivotButton="0" quotePrefix="0" xfId="0">
      <alignment horizontal="right"/>
    </xf>
    <xf numFmtId="16" fontId="31" fillId="5" borderId="0" pivotButton="0" quotePrefix="0" xfId="0"/>
    <xf numFmtId="0" fontId="0" fillId="5" borderId="1" applyAlignment="1" pivotButton="0" quotePrefix="0" xfId="0">
      <alignment horizontal="center" vertical="center"/>
    </xf>
    <xf numFmtId="0" fontId="123" fillId="64" borderId="8" applyAlignment="1" pivotButton="0" quotePrefix="0" xfId="0">
      <alignment horizontal="left" vertical="center"/>
    </xf>
    <xf numFmtId="0" fontId="123" fillId="64" borderId="12" applyAlignment="1" pivotButton="0" quotePrefix="0" xfId="0">
      <alignment horizontal="left" vertical="center"/>
    </xf>
    <xf numFmtId="0" fontId="123" fillId="64" borderId="14" applyAlignment="1" pivotButton="0" quotePrefix="0" xfId="0">
      <alignment horizontal="left" vertical="center"/>
    </xf>
    <xf numFmtId="0" fontId="124" fillId="64" borderId="0" applyAlignment="1" pivotButton="0" quotePrefix="0" xfId="0">
      <alignment horizontal="left" vertical="center"/>
    </xf>
    <xf numFmtId="0" fontId="125" fillId="64" borderId="0" applyAlignment="1" pivotButton="0" quotePrefix="0" xfId="0">
      <alignment horizontal="left" vertical="center"/>
    </xf>
    <xf numFmtId="15" fontId="0" fillId="5" borderId="1" applyAlignment="1" pivotButton="0" quotePrefix="0" xfId="0">
      <alignment horizontal="center" vertical="center"/>
    </xf>
    <xf numFmtId="0" fontId="122" fillId="63" borderId="6" applyAlignment="1" pivotButton="0" quotePrefix="0" xfId="0">
      <alignment horizontal="center" vertical="center"/>
    </xf>
    <xf numFmtId="0" fontId="29" fillId="2" borderId="1" applyAlignment="1" pivotButton="0" quotePrefix="0" xfId="0">
      <alignment horizontal="center"/>
    </xf>
    <xf numFmtId="0" fontId="113" fillId="63" borderId="1" applyAlignment="1" pivotButton="0" quotePrefix="0" xfId="0">
      <alignment horizontal="center" vertical="center"/>
    </xf>
    <xf numFmtId="0" fontId="113" fillId="63" borderId="1" applyAlignment="1" pivotButton="0" quotePrefix="0" xfId="0">
      <alignment horizontal="right" vertical="center"/>
    </xf>
    <xf numFmtId="0" fontId="29" fillId="0" borderId="1" pivotButton="0" quotePrefix="0" xfId="0"/>
    <xf numFmtId="17" fontId="29" fillId="0" borderId="1" pivotButton="0" quotePrefix="0" xfId="0"/>
    <xf numFmtId="3" fontId="29" fillId="0" borderId="1" pivotButton="0" quotePrefix="1" xfId="0"/>
    <xf numFmtId="0" fontId="0" fillId="0" borderId="1" applyAlignment="1" pivotButton="0" quotePrefix="0" xfId="0">
      <alignment horizontal="left" vertical="center"/>
    </xf>
    <xf numFmtId="0" fontId="0" fillId="48" borderId="47" pivotButton="0" quotePrefix="0" xfId="0"/>
    <xf numFmtId="0" fontId="28" fillId="48" borderId="48" pivotButton="0" quotePrefix="0" xfId="0"/>
    <xf numFmtId="0" fontId="0" fillId="48" borderId="47" applyAlignment="1" pivotButton="0" quotePrefix="0" xfId="0">
      <alignment horizontal="center" vertical="center"/>
    </xf>
    <xf numFmtId="0" fontId="28" fillId="48" borderId="48" applyAlignment="1" pivotButton="0" quotePrefix="0" xfId="0">
      <alignment horizontal="center" vertical="center"/>
    </xf>
    <xf numFmtId="0" fontId="0" fillId="5" borderId="19" applyProtection="1" pivotButton="0" quotePrefix="0" xfId="0">
      <protection locked="1" hidden="1"/>
    </xf>
    <xf numFmtId="0" fontId="0" fillId="5" borderId="13" applyProtection="1" pivotButton="0" quotePrefix="0" xfId="0">
      <protection locked="1" hidden="1"/>
    </xf>
    <xf numFmtId="0" fontId="49" fillId="5" borderId="11" applyAlignment="1" pivotButton="0" quotePrefix="0" xfId="0">
      <alignment horizontal="center" vertical="center"/>
    </xf>
    <xf numFmtId="0" fontId="47" fillId="2" borderId="52" applyAlignment="1" applyProtection="1" pivotButton="0" quotePrefix="0" xfId="0">
      <alignment horizontal="center" vertical="center"/>
      <protection locked="1" hidden="1"/>
    </xf>
    <xf numFmtId="0" fontId="47" fillId="2" borderId="0" applyAlignment="1" applyProtection="1" pivotButton="0" quotePrefix="0" xfId="0">
      <alignment horizontal="center" vertical="center"/>
      <protection locked="1" hidden="1"/>
    </xf>
    <xf numFmtId="0" fontId="47" fillId="2" borderId="53" applyAlignment="1" applyProtection="1" pivotButton="0" quotePrefix="0" xfId="0">
      <alignment horizontal="center" vertical="center"/>
      <protection locked="1" hidden="1"/>
    </xf>
    <xf numFmtId="0" fontId="47" fillId="2" borderId="54" applyAlignment="1" applyProtection="1" pivotButton="0" quotePrefix="0" xfId="0">
      <alignment horizontal="center" vertical="center"/>
      <protection locked="1" hidden="1"/>
    </xf>
    <xf numFmtId="0" fontId="47" fillId="2" borderId="55" applyAlignment="1" applyProtection="1" pivotButton="0" quotePrefix="0" xfId="0">
      <alignment horizontal="center" vertical="center"/>
      <protection locked="1" hidden="1"/>
    </xf>
    <xf numFmtId="0" fontId="47" fillId="2" borderId="56" applyAlignment="1" applyProtection="1" pivotButton="0" quotePrefix="0" xfId="0">
      <alignment horizontal="center" vertical="center"/>
      <protection locked="1" hidden="1"/>
    </xf>
    <xf numFmtId="0" fontId="0" fillId="65" borderId="51" applyProtection="1" pivotButton="0" quotePrefix="0" xfId="0">
      <protection locked="1" hidden="1"/>
    </xf>
    <xf numFmtId="0" fontId="126" fillId="58" borderId="8" applyAlignment="1" pivotButton="0" quotePrefix="0" xfId="0">
      <alignment horizontal="center" vertical="center"/>
    </xf>
    <xf numFmtId="0" fontId="0" fillId="65" borderId="57" applyProtection="1" pivotButton="0" quotePrefix="0" xfId="0">
      <protection locked="1" hidden="1"/>
    </xf>
    <xf numFmtId="0" fontId="0" fillId="0" borderId="1" applyAlignment="1" pivotButton="0" quotePrefix="0" xfId="0">
      <alignment horizontal="center" vertical="center"/>
    </xf>
    <xf numFmtId="0" fontId="126" fillId="58" borderId="1" applyAlignment="1" pivotButton="0" quotePrefix="0" xfId="0">
      <alignment horizontal="center" vertical="center"/>
    </xf>
    <xf numFmtId="0" fontId="0" fillId="6" borderId="1" applyAlignment="1" pivotButton="0" quotePrefix="0" xfId="0">
      <alignment horizontal="center" vertical="center"/>
    </xf>
    <xf numFmtId="0" fontId="26" fillId="2" borderId="1" applyAlignment="1" pivotButton="0" quotePrefix="0" xfId="0">
      <alignment horizontal="center"/>
    </xf>
    <xf numFmtId="2" fontId="45" fillId="56" borderId="2" applyAlignment="1" applyProtection="1" pivotButton="0" quotePrefix="0" xfId="0">
      <alignment horizontal="center" vertical="center"/>
      <protection locked="1" hidden="1"/>
    </xf>
    <xf numFmtId="0" fontId="25" fillId="5" borderId="0" pivotButton="0" quotePrefix="0" xfId="0"/>
    <xf numFmtId="1" fontId="47" fillId="48" borderId="1" applyAlignment="1" applyProtection="1" pivotButton="0" quotePrefix="0" xfId="0">
      <alignment horizontal="center" vertical="center"/>
      <protection locked="1" hidden="1"/>
    </xf>
    <xf numFmtId="9" fontId="44" fillId="6" borderId="1" applyAlignment="1" applyProtection="1" pivotButton="0" quotePrefix="0" xfId="0">
      <alignment horizontal="center" vertical="center" wrapText="1"/>
      <protection locked="0" hidden="0"/>
    </xf>
    <xf numFmtId="9" fontId="115" fillId="2" borderId="1" applyAlignment="1" applyProtection="1" pivotButton="0" quotePrefix="0" xfId="0">
      <alignment horizontal="center" vertical="center" wrapText="1"/>
      <protection locked="1" hidden="1"/>
    </xf>
    <xf numFmtId="165" fontId="44" fillId="48" borderId="1" applyAlignment="1" applyProtection="1" pivotButton="0" quotePrefix="0" xfId="0">
      <alignment horizontal="center" vertical="center" wrapText="1"/>
      <protection locked="1" hidden="1"/>
    </xf>
    <xf numFmtId="0" fontId="25" fillId="5" borderId="0" applyAlignment="1" pivotButton="0" quotePrefix="0" xfId="0">
      <alignment horizontal="centerContinuous" vertical="center"/>
    </xf>
    <xf numFmtId="0" fontId="0" fillId="5" borderId="0" applyAlignment="1" pivotButton="0" quotePrefix="0" xfId="0">
      <alignment horizontal="centerContinuous"/>
    </xf>
    <xf numFmtId="164" fontId="0" fillId="5" borderId="0" pivotButton="0" quotePrefix="0" xfId="0"/>
    <xf numFmtId="164" fontId="44" fillId="2" borderId="1" applyAlignment="1" pivotButton="0" quotePrefix="0" xfId="0">
      <alignment horizontal="left" vertical="center" shrinkToFit="1"/>
    </xf>
    <xf numFmtId="0" fontId="117" fillId="5" borderId="0" applyAlignment="1" applyProtection="1" pivotButton="0" quotePrefix="0" xfId="0">
      <alignment horizontal="right"/>
      <protection locked="1" hidden="1"/>
    </xf>
    <xf numFmtId="0" fontId="49" fillId="48" borderId="8" applyAlignment="1" applyProtection="1" pivotButton="0" quotePrefix="0" xfId="0">
      <alignment horizontal="centerContinuous" vertical="center"/>
      <protection locked="1" hidden="1"/>
    </xf>
    <xf numFmtId="0" fontId="49" fillId="48" borderId="14" applyAlignment="1" applyProtection="1" pivotButton="0" quotePrefix="0" xfId="0">
      <alignment horizontal="centerContinuous" vertical="center"/>
      <protection locked="1" hidden="1"/>
    </xf>
    <xf numFmtId="0" fontId="57" fillId="55" borderId="15" pivotButton="0" quotePrefix="0" xfId="0"/>
    <xf numFmtId="0" fontId="57" fillId="55" borderId="2" pivotButton="0" quotePrefix="0" xfId="0"/>
    <xf numFmtId="0" fontId="24" fillId="51" borderId="43" applyAlignment="1" pivotButton="0" quotePrefix="0" xfId="0">
      <alignment horizontal="center" vertical="center"/>
    </xf>
    <xf numFmtId="0" fontId="0" fillId="9" borderId="0" applyAlignment="1" pivotButton="0" quotePrefix="0" xfId="0">
      <alignment horizontal="left" vertical="center"/>
    </xf>
    <xf numFmtId="1" fontId="0" fillId="9" borderId="0" applyAlignment="1" pivotButton="0" quotePrefix="0" xfId="0">
      <alignment horizontal="left" vertical="center"/>
    </xf>
    <xf numFmtId="1" fontId="0" fillId="3" borderId="0" applyAlignment="1" pivotButton="0" quotePrefix="0" xfId="0">
      <alignment horizontal="center" vertical="center"/>
    </xf>
    <xf numFmtId="164" fontId="44" fillId="2" borderId="1" applyAlignment="1" applyProtection="1" pivotButton="0" quotePrefix="0" xfId="0">
      <alignment horizontal="left" vertical="center" shrinkToFit="1"/>
      <protection locked="1" hidden="1"/>
    </xf>
    <xf numFmtId="15" fontId="61" fillId="58" borderId="1" applyAlignment="1" applyProtection="1" pivotButton="0" quotePrefix="0" xfId="0">
      <alignment horizontal="center" vertical="center" wrapText="1"/>
      <protection locked="1" hidden="1"/>
    </xf>
    <xf numFmtId="0" fontId="43" fillId="48" borderId="14" applyAlignment="1" applyProtection="1" pivotButton="0" quotePrefix="0" xfId="0">
      <alignment horizontal="left" vertical="center" shrinkToFit="1"/>
      <protection locked="0" hidden="0"/>
    </xf>
    <xf numFmtId="1" fontId="44" fillId="6" borderId="1" applyAlignment="1" applyProtection="1" pivotButton="0" quotePrefix="0" xfId="0">
      <alignment horizontal="center" vertical="center" wrapText="1"/>
      <protection locked="0" hidden="0"/>
    </xf>
    <xf numFmtId="0" fontId="23" fillId="5" borderId="0" pivotButton="0" quotePrefix="0" xfId="0"/>
    <xf numFmtId="164" fontId="23" fillId="5" borderId="0" pivotButton="0" quotePrefix="0" xfId="0"/>
    <xf numFmtId="0" fontId="23" fillId="5" borderId="1" applyAlignment="1" applyProtection="1" pivotButton="0" quotePrefix="0" xfId="39119">
      <alignment horizontal="center" vertical="center"/>
      <protection locked="1" hidden="1"/>
    </xf>
    <xf numFmtId="0" fontId="23" fillId="0" borderId="0" pivotButton="0" quotePrefix="0" xfId="0"/>
    <xf numFmtId="0" fontId="57" fillId="7" borderId="14" applyAlignment="1" applyProtection="1" pivotButton="0" quotePrefix="0" xfId="0">
      <alignment horizontal="center" vertical="center" shrinkToFit="1"/>
      <protection locked="1" hidden="1"/>
    </xf>
    <xf numFmtId="0" fontId="23" fillId="5" borderId="0" applyProtection="1" pivotButton="0" quotePrefix="1" xfId="0">
      <protection locked="1" hidden="1"/>
    </xf>
    <xf numFmtId="0" fontId="23" fillId="5" borderId="16" applyProtection="1" pivotButton="0" quotePrefix="1" xfId="0">
      <protection locked="1" hidden="1"/>
    </xf>
    <xf numFmtId="0" fontId="46" fillId="4" borderId="7" applyAlignment="1" applyProtection="1" pivotButton="0" quotePrefix="0" xfId="0">
      <alignment horizontal="center" vertical="center"/>
      <protection locked="1" hidden="1"/>
    </xf>
    <xf numFmtId="0" fontId="46" fillId="4" borderId="2" applyAlignment="1" applyProtection="1" pivotButton="0" quotePrefix="0" xfId="0">
      <alignment horizontal="center" vertical="center"/>
      <protection locked="1" hidden="1"/>
    </xf>
    <xf numFmtId="0" fontId="46" fillId="4" borderId="58" applyAlignment="1" applyProtection="1" pivotButton="0" quotePrefix="0" xfId="0">
      <alignment horizontal="center" vertical="center"/>
      <protection locked="1" hidden="1"/>
    </xf>
    <xf numFmtId="0" fontId="47" fillId="0" borderId="1" applyAlignment="1" applyProtection="1" pivotButton="0" quotePrefix="0" xfId="0">
      <alignment horizontal="left" vertical="top"/>
      <protection locked="0" hidden="0"/>
    </xf>
    <xf numFmtId="0" fontId="117" fillId="5" borderId="17" applyAlignment="1" applyProtection="1" pivotButton="0" quotePrefix="0" xfId="0">
      <alignment horizontal="right"/>
      <protection locked="1" hidden="1"/>
    </xf>
    <xf numFmtId="0" fontId="117" fillId="5" borderId="13" applyAlignment="1" applyProtection="1" pivotButton="0" quotePrefix="0" xfId="0">
      <alignment horizontal="right"/>
      <protection locked="1" hidden="1"/>
    </xf>
    <xf numFmtId="0" fontId="117" fillId="5" borderId="16" applyAlignment="1" applyProtection="1" pivotButton="0" quotePrefix="0" xfId="0">
      <alignment horizontal="right"/>
      <protection locked="1" hidden="1"/>
    </xf>
    <xf numFmtId="0" fontId="117" fillId="5" borderId="19" applyAlignment="1" applyProtection="1" pivotButton="0" quotePrefix="0" xfId="0">
      <alignment horizontal="right"/>
      <protection locked="1" hidden="1"/>
    </xf>
    <xf numFmtId="0" fontId="63" fillId="5" borderId="14" applyAlignment="1" applyProtection="1" pivotButton="0" quotePrefix="0" xfId="0">
      <alignment horizontal="right" vertical="center" textRotation="90"/>
      <protection locked="1" hidden="1"/>
    </xf>
    <xf numFmtId="166" fontId="63" fillId="5" borderId="14" applyAlignment="1" applyProtection="1" pivotButton="0" quotePrefix="0" xfId="0">
      <alignment horizontal="left" textRotation="90" shrinkToFit="1"/>
      <protection locked="1" hidden="1"/>
    </xf>
    <xf numFmtId="0" fontId="0" fillId="5" borderId="17" pivotButton="0" quotePrefix="0" xfId="0"/>
    <xf numFmtId="0" fontId="117" fillId="0" borderId="1" applyAlignment="1" pivotButton="0" quotePrefix="0" xfId="0">
      <alignment horizontal="center" vertical="center"/>
    </xf>
    <xf numFmtId="0" fontId="46" fillId="0" borderId="1" applyAlignment="1" pivotButton="0" quotePrefix="0" xfId="0">
      <alignment horizontal="left" vertical="center"/>
    </xf>
    <xf numFmtId="0" fontId="29" fillId="2" borderId="0" applyAlignment="1" pivotButton="0" quotePrefix="0" xfId="0">
      <alignment horizontal="center"/>
    </xf>
    <xf numFmtId="2" fontId="45" fillId="56" borderId="0" applyAlignment="1" applyProtection="1" pivotButton="0" quotePrefix="0" xfId="0">
      <alignment horizontal="center" vertical="center"/>
      <protection locked="1" hidden="1"/>
    </xf>
    <xf numFmtId="2" fontId="45" fillId="2" borderId="0" applyAlignment="1" applyProtection="1" pivotButton="0" quotePrefix="0" xfId="0">
      <alignment horizontal="center" vertical="center"/>
      <protection locked="1" hidden="1"/>
    </xf>
    <xf numFmtId="0" fontId="46" fillId="4" borderId="0" applyAlignment="1" applyProtection="1" pivotButton="0" quotePrefix="0" xfId="0">
      <alignment horizontal="center" vertical="center"/>
      <protection locked="1" hidden="1"/>
    </xf>
    <xf numFmtId="0" fontId="45" fillId="2" borderId="0" applyAlignment="1" applyProtection="1" pivotButton="0" quotePrefix="0" xfId="0">
      <alignment horizontal="center" vertical="center"/>
      <protection locked="1" hidden="1"/>
    </xf>
    <xf numFmtId="0" fontId="117" fillId="2" borderId="2" applyAlignment="1" pivotButton="0" quotePrefix="0" xfId="0">
      <alignment horizontal="right" vertical="center" shrinkToFit="1"/>
    </xf>
    <xf numFmtId="0" fontId="117" fillId="2" borderId="15" applyAlignment="1" pivotButton="0" quotePrefix="0" xfId="0">
      <alignment horizontal="right" vertical="center" shrinkToFit="1"/>
    </xf>
    <xf numFmtId="0" fontId="117" fillId="2" borderId="16" applyAlignment="1" pivotButton="0" quotePrefix="0" xfId="0">
      <alignment horizontal="right" vertical="center" shrinkToFit="1"/>
    </xf>
    <xf numFmtId="0" fontId="52" fillId="48" borderId="11" applyAlignment="1" pivotButton="0" quotePrefix="0" xfId="0">
      <alignment horizontal="left" vertical="center"/>
    </xf>
    <xf numFmtId="0" fontId="22" fillId="9" borderId="1" applyProtection="1" pivotButton="0" quotePrefix="0" xfId="39118">
      <protection locked="0" hidden="0"/>
    </xf>
    <xf numFmtId="0" fontId="21" fillId="0" borderId="1" pivotButton="0" quotePrefix="0" xfId="0"/>
    <xf numFmtId="1" fontId="20" fillId="9" borderId="0" applyAlignment="1" pivotButton="0" quotePrefix="0" xfId="0">
      <alignment horizontal="left" vertical="center"/>
    </xf>
    <xf numFmtId="2" fontId="0" fillId="3" borderId="0" applyAlignment="1" pivotButton="0" quotePrefix="0" xfId="0">
      <alignment horizontal="center" vertical="center"/>
    </xf>
    <xf numFmtId="0" fontId="49" fillId="3" borderId="0" applyAlignment="1" pivotButton="0" quotePrefix="0" xfId="0">
      <alignment horizontal="center" vertical="center"/>
    </xf>
    <xf numFmtId="0" fontId="49" fillId="3" borderId="0" applyAlignment="1" pivotButton="0" quotePrefix="0" xfId="0">
      <alignment horizontal="right" vertical="center"/>
    </xf>
    <xf numFmtId="0" fontId="131" fillId="2" borderId="2" applyAlignment="1" pivotButton="0" quotePrefix="0" xfId="0">
      <alignment horizontal="left" vertical="center"/>
    </xf>
    <xf numFmtId="0" fontId="20" fillId="51" borderId="43" applyAlignment="1" pivotButton="0" quotePrefix="0" xfId="0">
      <alignment horizontal="center" vertical="center"/>
    </xf>
    <xf numFmtId="22" fontId="130" fillId="3" borderId="0" applyAlignment="1" pivotButton="0" quotePrefix="0" xfId="0">
      <alignment horizontal="left" vertical="center"/>
    </xf>
    <xf numFmtId="0" fontId="46" fillId="3" borderId="0" applyAlignment="1" pivotButton="0" quotePrefix="0" xfId="0">
      <alignment horizontal="right" vertical="center"/>
    </xf>
    <xf numFmtId="0" fontId="19" fillId="9" borderId="1" applyProtection="1" pivotButton="0" quotePrefix="0" xfId="39118">
      <protection locked="0" hidden="0"/>
    </xf>
    <xf numFmtId="0" fontId="61" fillId="2" borderId="1" applyAlignment="1" applyProtection="1" pivotButton="0" quotePrefix="0" xfId="0">
      <alignment horizontal="center" vertical="center" wrapText="1"/>
      <protection locked="1" hidden="1"/>
    </xf>
    <xf numFmtId="0" fontId="18" fillId="0" borderId="0" pivotButton="0" quotePrefix="0" xfId="0"/>
    <xf numFmtId="0" fontId="132" fillId="2" borderId="12" applyAlignment="1" applyProtection="1" pivotButton="0" quotePrefix="1" xfId="0">
      <alignment horizontal="center" vertical="center"/>
      <protection locked="1" hidden="1"/>
    </xf>
    <xf numFmtId="0" fontId="121" fillId="58" borderId="1" applyAlignment="1" pivotButton="0" quotePrefix="0" xfId="0">
      <alignment horizontal="center" vertical="center"/>
    </xf>
    <xf numFmtId="2" fontId="0" fillId="58" borderId="1" applyAlignment="1" pivotButton="0" quotePrefix="0" xfId="0">
      <alignment horizontal="center" vertical="center"/>
    </xf>
    <xf numFmtId="0" fontId="17" fillId="5" borderId="0" pivotButton="0" quotePrefix="0" xfId="0"/>
    <xf numFmtId="0" fontId="16" fillId="66" borderId="1" applyAlignment="1" applyProtection="1" pivotButton="0" quotePrefix="0" xfId="0">
      <alignment horizontal="left" vertical="center"/>
      <protection locked="0" hidden="0"/>
    </xf>
    <xf numFmtId="0" fontId="0" fillId="66" borderId="1" applyAlignment="1" applyProtection="1" pivotButton="0" quotePrefix="0" xfId="0">
      <alignment horizontal="center" vertical="center"/>
      <protection locked="0" hidden="0"/>
    </xf>
    <xf numFmtId="2" fontId="0" fillId="66" borderId="1" applyAlignment="1" applyProtection="1" pivotButton="0" quotePrefix="0" xfId="0">
      <alignment horizontal="center" vertical="center"/>
      <protection locked="0" hidden="0"/>
    </xf>
    <xf numFmtId="15" fontId="0" fillId="66" borderId="1" applyAlignment="1" applyProtection="1" pivotButton="0" quotePrefix="0" xfId="0">
      <alignment horizontal="center" vertical="center"/>
      <protection locked="0" hidden="0"/>
    </xf>
    <xf numFmtId="0" fontId="16" fillId="66" borderId="1" applyAlignment="1" applyProtection="1" pivotButton="0" quotePrefix="0" xfId="0">
      <alignment horizontal="left" vertical="top"/>
      <protection locked="0" hidden="0"/>
    </xf>
    <xf numFmtId="0" fontId="16" fillId="66" borderId="1" applyAlignment="1" applyProtection="1" pivotButton="0" quotePrefix="0" xfId="0">
      <alignment horizontal="left" vertical="top" wrapText="1"/>
      <protection locked="0" hidden="0"/>
    </xf>
    <xf numFmtId="0" fontId="0" fillId="5" borderId="11" pivotButton="0" quotePrefix="0" xfId="0"/>
    <xf numFmtId="0" fontId="0" fillId="5" borderId="18" pivotButton="0" quotePrefix="0" xfId="0"/>
    <xf numFmtId="0" fontId="0" fillId="5" borderId="9" pivotButton="0" quotePrefix="0" xfId="0"/>
    <xf numFmtId="0" fontId="0" fillId="5" borderId="10" pivotButton="0" quotePrefix="0" xfId="0"/>
    <xf numFmtId="0" fontId="15" fillId="57" borderId="16" pivotButton="0" quotePrefix="0" xfId="0"/>
    <xf numFmtId="0" fontId="15" fillId="57" borderId="19" pivotButton="0" quotePrefix="0" xfId="0"/>
    <xf numFmtId="0" fontId="15" fillId="57" borderId="13" pivotButton="0" quotePrefix="0" xfId="0"/>
    <xf numFmtId="0" fontId="0" fillId="5" borderId="0" applyAlignment="1" pivotButton="0" quotePrefix="0" xfId="0">
      <alignment horizontal="centerContinuous" vertical="center"/>
    </xf>
    <xf numFmtId="0" fontId="15" fillId="5" borderId="0" applyAlignment="1" pivotButton="0" quotePrefix="0" xfId="0">
      <alignment horizontal="centerContinuous" vertical="center"/>
    </xf>
    <xf numFmtId="0" fontId="0" fillId="5" borderId="17" applyAlignment="1" pivotButton="0" quotePrefix="0" xfId="0">
      <alignment horizontal="centerContinuous" vertical="center"/>
    </xf>
    <xf numFmtId="0" fontId="133" fillId="5" borderId="10" applyAlignment="1" pivotButton="0" quotePrefix="0" xfId="0">
      <alignment horizontal="centerContinuous" vertical="center"/>
    </xf>
    <xf numFmtId="0" fontId="49" fillId="5" borderId="14" applyAlignment="1" pivotButton="0" quotePrefix="0" xfId="0">
      <alignment horizontal="right" vertical="center" indent="1"/>
    </xf>
    <xf numFmtId="0" fontId="0" fillId="5" borderId="1" applyAlignment="1" pivotButton="0" quotePrefix="0" xfId="0">
      <alignment horizontal="left" vertical="center" indent="1"/>
    </xf>
    <xf numFmtId="0" fontId="23" fillId="5" borderId="11" applyProtection="1" pivotButton="0" quotePrefix="1" xfId="0">
      <protection locked="1" hidden="1"/>
    </xf>
    <xf numFmtId="0" fontId="0" fillId="5" borderId="18" applyProtection="1" pivotButton="0" quotePrefix="0" xfId="0">
      <protection locked="1" hidden="1"/>
    </xf>
    <xf numFmtId="0" fontId="0" fillId="5" borderId="9" applyProtection="1" pivotButton="0" quotePrefix="0" xfId="0">
      <protection locked="1" hidden="1"/>
    </xf>
    <xf numFmtId="0" fontId="128" fillId="5" borderId="10" applyAlignment="1" applyProtection="1" pivotButton="0" quotePrefix="1" xfId="0">
      <alignment horizontal="left" vertical="center"/>
      <protection locked="1" hidden="1"/>
    </xf>
    <xf numFmtId="0" fontId="129" fillId="5" borderId="0" applyAlignment="1" applyProtection="1" pivotButton="0" quotePrefix="0" xfId="0">
      <alignment horizontal="left" vertical="center"/>
      <protection locked="1" hidden="1"/>
    </xf>
    <xf numFmtId="0" fontId="128" fillId="5" borderId="0" applyAlignment="1" applyProtection="1" pivotButton="0" quotePrefix="0" xfId="0">
      <alignment horizontal="center" vertical="center"/>
      <protection locked="1" hidden="1"/>
    </xf>
    <xf numFmtId="0" fontId="128" fillId="5" borderId="17" applyAlignment="1" applyProtection="1" pivotButton="0" quotePrefix="0" xfId="0">
      <alignment horizontal="center" vertical="center"/>
      <protection locked="1" hidden="1"/>
    </xf>
    <xf numFmtId="0" fontId="55" fillId="5" borderId="10" applyAlignment="1" applyProtection="1" pivotButton="0" quotePrefix="1" xfId="0">
      <alignment horizontal="center" vertical="center"/>
      <protection locked="1" hidden="1"/>
    </xf>
    <xf numFmtId="0" fontId="116" fillId="5" borderId="0" applyProtection="1" pivotButton="0" quotePrefix="1" xfId="0">
      <protection locked="1" hidden="1"/>
    </xf>
    <xf numFmtId="0" fontId="0" fillId="5" borderId="17" applyProtection="1" pivotButton="0" quotePrefix="0" xfId="0">
      <protection locked="1" hidden="1"/>
    </xf>
    <xf numFmtId="0" fontId="118" fillId="5" borderId="0" applyAlignment="1" applyProtection="1" pivotButton="0" quotePrefix="0" xfId="0">
      <alignment horizontal="left" vertical="center"/>
      <protection locked="1" hidden="1"/>
    </xf>
    <xf numFmtId="2" fontId="118" fillId="5" borderId="0" applyAlignment="1" applyProtection="1" pivotButton="0" quotePrefix="0" xfId="0">
      <alignment horizontal="center" vertical="center"/>
      <protection locked="1" hidden="1"/>
    </xf>
    <xf numFmtId="0" fontId="129" fillId="5" borderId="17" applyAlignment="1" applyProtection="1" pivotButton="0" quotePrefix="0" xfId="0">
      <alignment horizontal="left" vertical="center"/>
      <protection locked="1" hidden="1"/>
    </xf>
    <xf numFmtId="0" fontId="23" fillId="5" borderId="10" applyProtection="1" pivotButton="0" quotePrefix="1" xfId="0">
      <protection locked="1" hidden="1"/>
    </xf>
    <xf numFmtId="2" fontId="55" fillId="5" borderId="17" applyAlignment="1" applyProtection="1" pivotButton="0" quotePrefix="0" xfId="0">
      <alignment horizontal="left" vertical="center"/>
      <protection locked="1" hidden="1"/>
    </xf>
    <xf numFmtId="0" fontId="118" fillId="5" borderId="10" applyAlignment="1" applyProtection="1" pivotButton="0" quotePrefix="0" xfId="0">
      <alignment horizontal="left" vertical="center"/>
      <protection locked="1" hidden="1"/>
    </xf>
    <xf numFmtId="2" fontId="118" fillId="5" borderId="0" applyAlignment="1" applyProtection="1" pivotButton="0" quotePrefix="0" xfId="0">
      <alignment horizontal="left" vertical="center"/>
      <protection locked="1" hidden="1"/>
    </xf>
    <xf numFmtId="14" fontId="0" fillId="5" borderId="0" applyProtection="1" pivotButton="0" quotePrefix="0" xfId="0">
      <protection locked="1" hidden="1"/>
    </xf>
    <xf numFmtId="2" fontId="118" fillId="5" borderId="17" applyAlignment="1" applyProtection="1" pivotButton="0" quotePrefix="0" xfId="0">
      <alignment horizontal="left" vertical="center"/>
      <protection locked="1" hidden="1"/>
    </xf>
    <xf numFmtId="0" fontId="120" fillId="5" borderId="10" applyAlignment="1" pivotButton="0" quotePrefix="1" xfId="0">
      <alignment vertical="center"/>
    </xf>
    <xf numFmtId="0" fontId="120" fillId="5" borderId="0" applyAlignment="1" pivotButton="0" quotePrefix="0" xfId="0">
      <alignment vertical="center" wrapText="1"/>
    </xf>
    <xf numFmtId="0" fontId="120" fillId="5" borderId="0" applyAlignment="1" pivotButton="0" quotePrefix="0" xfId="0">
      <alignment vertical="center"/>
    </xf>
    <xf numFmtId="0" fontId="120" fillId="5" borderId="17" applyAlignment="1" pivotButton="0" quotePrefix="0" xfId="0">
      <alignment vertical="center" wrapText="1"/>
    </xf>
    <xf numFmtId="0" fontId="23" fillId="5" borderId="10" applyAlignment="1" pivotButton="0" quotePrefix="1" xfId="0">
      <alignment horizontal="center" vertical="center"/>
    </xf>
    <xf numFmtId="0" fontId="120" fillId="5" borderId="10" applyAlignment="1" pivotButton="0" quotePrefix="0" xfId="0">
      <alignment vertical="center" wrapText="1"/>
    </xf>
    <xf numFmtId="2" fontId="0" fillId="3" borderId="0" pivotButton="0" quotePrefix="0" xfId="0"/>
    <xf numFmtId="0" fontId="15" fillId="3" borderId="0" pivotButton="0" quotePrefix="0" xfId="0"/>
    <xf numFmtId="0" fontId="134" fillId="3" borderId="18" applyAlignment="1" pivotButton="0" quotePrefix="0" xfId="0">
      <alignment horizontal="right" vertical="center"/>
    </xf>
    <xf numFmtId="0" fontId="134" fillId="3" borderId="0" applyAlignment="1" pivotButton="0" quotePrefix="0" xfId="0">
      <alignment horizontal="right" vertical="center"/>
    </xf>
    <xf numFmtId="2" fontId="0" fillId="3" borderId="18" applyAlignment="1" pivotButton="0" quotePrefix="0" xfId="0">
      <alignment horizontal="center" vertical="center"/>
    </xf>
    <xf numFmtId="1" fontId="14" fillId="6" borderId="8" applyAlignment="1" applyProtection="1" pivotButton="0" quotePrefix="0" xfId="0">
      <alignment horizontal="center" vertical="center" shrinkToFit="1"/>
      <protection locked="0" hidden="0"/>
    </xf>
    <xf numFmtId="0" fontId="49" fillId="2" borderId="2" applyAlignment="1" pivotButton="0" quotePrefix="0" xfId="0">
      <alignment horizontal="right"/>
    </xf>
    <xf numFmtId="0" fontId="14" fillId="5" borderId="0" pivotButton="0" quotePrefix="0" xfId="0"/>
    <xf numFmtId="0" fontId="49" fillId="2" borderId="6" applyAlignment="1" pivotButton="0" quotePrefix="0" xfId="0">
      <alignment horizontal="right"/>
    </xf>
    <xf numFmtId="0" fontId="136" fillId="5" borderId="0" applyAlignment="1" pivotButton="0" quotePrefix="0" xfId="0">
      <alignment horizontal="center" vertical="center"/>
    </xf>
    <xf numFmtId="0" fontId="13" fillId="5" borderId="0" pivotButton="0" quotePrefix="0" xfId="0"/>
    <xf numFmtId="0" fontId="13" fillId="0" borderId="0" pivotButton="0" quotePrefix="0" xfId="0"/>
    <xf numFmtId="1" fontId="44" fillId="2" borderId="2" applyAlignment="1" applyProtection="1" pivotButton="0" quotePrefix="0" xfId="0">
      <alignment horizontal="center" vertical="center" wrapText="1"/>
      <protection locked="1" hidden="1"/>
    </xf>
    <xf numFmtId="1" fontId="44" fillId="2" borderId="15" applyAlignment="1" applyProtection="1" pivotButton="0" quotePrefix="0" xfId="0">
      <alignment horizontal="center" vertical="center" wrapText="1"/>
      <protection locked="1" hidden="1"/>
    </xf>
    <xf numFmtId="165" fontId="44" fillId="48" borderId="15" applyAlignment="1" applyProtection="1" pivotButton="0" quotePrefix="0" xfId="0">
      <alignment horizontal="center" vertical="center" wrapText="1"/>
      <protection locked="1" hidden="1"/>
    </xf>
    <xf numFmtId="1" fontId="12" fillId="51" borderId="1" applyAlignment="1" applyProtection="1" pivotButton="0" quotePrefix="0" xfId="0">
      <alignment horizontal="center" vertical="center" shrinkToFit="1"/>
      <protection locked="1" hidden="1"/>
    </xf>
    <xf numFmtId="15" fontId="44" fillId="67" borderId="1" applyAlignment="1" applyProtection="1" pivotButton="0" quotePrefix="0" xfId="0">
      <alignment horizontal="center" vertical="center" wrapText="1"/>
      <protection locked="1" hidden="1"/>
    </xf>
    <xf numFmtId="0" fontId="49" fillId="5" borderId="18" applyAlignment="1" pivotButton="0" quotePrefix="0" xfId="0">
      <alignment horizontal="center" vertical="center"/>
    </xf>
    <xf numFmtId="0" fontId="49" fillId="5" borderId="0" applyAlignment="1" pivotButton="0" quotePrefix="0" xfId="0">
      <alignment horizontal="center" vertical="center"/>
    </xf>
    <xf numFmtId="0" fontId="49" fillId="2" borderId="59" applyAlignment="1" pivotButton="0" quotePrefix="0" xfId="0">
      <alignment horizontal="right"/>
    </xf>
    <xf numFmtId="0" fontId="11" fillId="48" borderId="8" applyAlignment="1" pivotButton="0" quotePrefix="0" xfId="0">
      <alignment horizontal="left" vertical="center" shrinkToFit="1"/>
    </xf>
    <xf numFmtId="2" fontId="0" fillId="48" borderId="8" applyAlignment="1" pivotButton="0" quotePrefix="0" xfId="0">
      <alignment horizontal="center" vertical="center" shrinkToFit="1"/>
    </xf>
    <xf numFmtId="1" fontId="0" fillId="48" borderId="8" applyAlignment="1" pivotButton="0" quotePrefix="0" xfId="0">
      <alignment horizontal="center" vertical="center" shrinkToFit="1"/>
    </xf>
    <xf numFmtId="167" fontId="0" fillId="48" borderId="8" applyAlignment="1" pivotButton="0" quotePrefix="0" xfId="0">
      <alignment horizontal="center" vertical="center" shrinkToFit="1"/>
    </xf>
    <xf numFmtId="167" fontId="37" fillId="48" borderId="1" applyAlignment="1" pivotButton="0" quotePrefix="0" xfId="0">
      <alignment horizontal="left" vertical="center"/>
    </xf>
    <xf numFmtId="10" fontId="43" fillId="48" borderId="1" applyAlignment="1" pivotButton="0" quotePrefix="0" xfId="39115">
      <alignment horizontal="left"/>
    </xf>
    <xf numFmtId="10" fontId="10" fillId="48" borderId="1" applyAlignment="1" pivotButton="0" quotePrefix="0" xfId="0">
      <alignment horizontal="left"/>
    </xf>
    <xf numFmtId="0" fontId="0" fillId="48" borderId="1" pivotButton="0" quotePrefix="0" xfId="0"/>
    <xf numFmtId="0" fontId="10" fillId="48" borderId="1" pivotButton="0" quotePrefix="0" xfId="0"/>
    <xf numFmtId="0" fontId="9" fillId="48" borderId="9" applyAlignment="1" pivotButton="0" quotePrefix="0" xfId="0">
      <alignment horizontal="left" vertical="center" shrinkToFit="1"/>
    </xf>
    <xf numFmtId="0" fontId="57" fillId="48" borderId="14" applyAlignment="1" pivotButton="0" quotePrefix="0" xfId="0">
      <alignment horizontal="left" vertical="center" shrinkToFit="1"/>
    </xf>
    <xf numFmtId="1" fontId="44" fillId="2" borderId="59" applyAlignment="1" applyProtection="1" pivotButton="0" quotePrefix="0" xfId="0">
      <alignment horizontal="center" vertical="center" wrapText="1"/>
      <protection locked="1" hidden="1"/>
    </xf>
    <xf numFmtId="168" fontId="44" fillId="48" borderId="1" applyAlignment="1" applyProtection="1" pivotButton="0" quotePrefix="0" xfId="0">
      <alignment horizontal="center" vertical="center" wrapText="1"/>
      <protection locked="1" hidden="1"/>
    </xf>
    <xf numFmtId="168" fontId="137" fillId="48" borderId="1" applyAlignment="1" applyProtection="1" pivotButton="0" quotePrefix="0" xfId="0">
      <alignment horizontal="center" vertical="center" wrapText="1"/>
      <protection locked="1" hidden="1"/>
    </xf>
    <xf numFmtId="49" fontId="8" fillId="5" borderId="59" applyAlignment="1" pivotButton="0" quotePrefix="0" xfId="0">
      <alignment horizontal="center" vertical="center"/>
    </xf>
    <xf numFmtId="15" fontId="0" fillId="5" borderId="59" applyAlignment="1" pivotButton="0" quotePrefix="0" xfId="0">
      <alignment horizontal="center" vertical="center"/>
    </xf>
    <xf numFmtId="0" fontId="8" fillId="48" borderId="48" applyAlignment="1" pivotButton="0" quotePrefix="0" xfId="0">
      <alignment horizontal="center" vertical="center"/>
    </xf>
    <xf numFmtId="0" fontId="7" fillId="0" borderId="0" pivotButton="0" quotePrefix="0" xfId="0"/>
    <xf numFmtId="0" fontId="49" fillId="5" borderId="59" applyAlignment="1" applyProtection="1" pivotButton="0" quotePrefix="0" xfId="0">
      <alignment horizontal="right" vertical="center"/>
      <protection locked="1" hidden="1"/>
    </xf>
    <xf numFmtId="0" fontId="6" fillId="48" borderId="59" applyAlignment="1" pivotButton="0" quotePrefix="0" xfId="0">
      <alignment horizontal="center" vertical="center" shrinkToFit="1"/>
    </xf>
    <xf numFmtId="0" fontId="5" fillId="9" borderId="1" applyProtection="1" pivotButton="0" quotePrefix="0" xfId="39118">
      <protection locked="0" hidden="0"/>
    </xf>
    <xf numFmtId="0" fontId="2" fillId="51" borderId="43" applyAlignment="1" pivotButton="0" quotePrefix="0" xfId="0">
      <alignment horizontal="center" vertical="center"/>
    </xf>
    <xf numFmtId="0" fontId="2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1" fillId="5" borderId="1" applyAlignment="1" pivotButton="0" quotePrefix="0" xfId="0">
      <alignment horizontal="left" vertical="top" wrapText="1"/>
    </xf>
    <xf numFmtId="0" fontId="8" fillId="5" borderId="59" applyAlignment="1" pivotButton="0" quotePrefix="0" xfId="0">
      <alignment horizontal="left" vertical="top" wrapText="1"/>
    </xf>
    <xf numFmtId="0" fontId="122" fillId="63" borderId="1" applyAlignment="1" pivotButton="0" quotePrefix="0" xfId="0">
      <alignment horizontal="right" vertical="center"/>
    </xf>
    <xf numFmtId="0" fontId="23" fillId="5" borderId="1" applyAlignment="1" pivotButton="0" quotePrefix="0" xfId="0">
      <alignment horizontal="left" vertical="center"/>
    </xf>
    <xf numFmtId="0" fontId="122" fillId="63" borderId="1" applyAlignment="1" applyProtection="1" pivotButton="0" quotePrefix="0" xfId="0">
      <alignment horizontal="right" vertical="center"/>
      <protection locked="1" hidden="1"/>
    </xf>
    <xf numFmtId="0" fontId="122" fillId="63" borderId="10" applyAlignment="1" pivotButton="0" quotePrefix="0" xfId="0">
      <alignment horizontal="center" vertical="center"/>
    </xf>
    <xf numFmtId="0" fontId="122" fillId="63" borderId="0" applyAlignment="1" pivotButton="0" quotePrefix="0" xfId="0">
      <alignment horizontal="center" vertical="center"/>
    </xf>
    <xf numFmtId="0" fontId="8" fillId="5" borderId="1" applyAlignment="1" pivotButton="0" quotePrefix="0" xfId="0">
      <alignment horizontal="left" vertical="top" wrapText="1"/>
    </xf>
    <xf numFmtId="0" fontId="29" fillId="48" borderId="49" applyAlignment="1" pivotButton="0" quotePrefix="0" xfId="0">
      <alignment horizontal="left" vertical="top" wrapText="1"/>
    </xf>
    <xf numFmtId="0" fontId="29" fillId="48" borderId="50" applyAlignment="1" pivotButton="0" quotePrefix="0" xfId="0">
      <alignment horizontal="left" vertical="top" wrapText="1"/>
    </xf>
    <xf numFmtId="0" fontId="29" fillId="48" borderId="51" applyAlignment="1" pivotButton="0" quotePrefix="0" xfId="0">
      <alignment horizontal="left" vertical="top" wrapText="1"/>
    </xf>
    <xf numFmtId="0" fontId="27" fillId="48" borderId="49" applyAlignment="1" pivotButton="0" quotePrefix="0" xfId="0">
      <alignment horizontal="left" vertical="top" wrapText="1"/>
    </xf>
    <xf numFmtId="0" fontId="29" fillId="48" borderId="48" applyAlignment="1" pivotButton="0" quotePrefix="0" xfId="0">
      <alignment horizontal="left" vertical="top" wrapText="1"/>
    </xf>
    <xf numFmtId="0" fontId="29" fillId="48" borderId="60" applyAlignment="1" pivotButton="0" quotePrefix="0" xfId="0">
      <alignment horizontal="left" vertical="top" wrapText="1"/>
    </xf>
    <xf numFmtId="0" fontId="29" fillId="48" borderId="61" applyAlignment="1" pivotButton="0" quotePrefix="0" xfId="0">
      <alignment horizontal="left" vertical="top" wrapText="1"/>
    </xf>
    <xf numFmtId="0" fontId="29" fillId="5" borderId="1" applyAlignment="1" pivotButton="0" quotePrefix="0" xfId="0">
      <alignment horizontal="left" vertical="center"/>
    </xf>
    <xf numFmtId="0" fontId="30" fillId="5" borderId="1" applyAlignment="1" pivotButton="0" quotePrefix="0" xfId="0">
      <alignment horizontal="left" vertical="center"/>
    </xf>
    <xf numFmtId="0" fontId="44" fillId="2" borderId="14" applyAlignment="1" applyProtection="1" pivotButton="0" quotePrefix="0" xfId="0">
      <alignment horizontal="center" vertical="center" wrapText="1"/>
      <protection locked="1" hidden="1"/>
    </xf>
    <xf numFmtId="0" fontId="44" fillId="2" borderId="1" applyAlignment="1" applyProtection="1" pivotButton="0" quotePrefix="0" xfId="0">
      <alignment horizontal="center" vertical="center" textRotation="90" wrapText="1"/>
      <protection locked="1" hidden="1"/>
    </xf>
    <xf numFmtId="0" fontId="44" fillId="2" borderId="1" applyAlignment="1" applyProtection="1" pivotButton="0" quotePrefix="0" xfId="0">
      <alignment horizontal="center" vertical="center" wrapText="1"/>
      <protection locked="1" hidden="1"/>
    </xf>
    <xf numFmtId="0" fontId="0" fillId="48" borderId="16" applyAlignment="1" applyProtection="1" pivotButton="0" quotePrefix="0" xfId="0">
      <alignment horizontal="left" vertical="center" shrinkToFit="1"/>
      <protection locked="1" hidden="1"/>
    </xf>
    <xf numFmtId="0" fontId="0" fillId="48" borderId="13" applyAlignment="1" applyProtection="1" pivotButton="0" quotePrefix="0" xfId="0">
      <alignment horizontal="left" vertical="center" shrinkToFit="1"/>
      <protection locked="1" hidden="1"/>
    </xf>
    <xf numFmtId="0" fontId="116" fillId="3" borderId="0" applyAlignment="1" pivotButton="0" quotePrefix="0" xfId="0">
      <alignment horizontal="center"/>
    </xf>
    <xf numFmtId="0" fontId="121" fillId="0" borderId="12" applyAlignment="1" applyProtection="1" pivotButton="0" quotePrefix="0" xfId="0">
      <alignment horizontal="center" vertical="center"/>
      <protection locked="1" hidden="1"/>
    </xf>
    <xf numFmtId="0" fontId="121" fillId="0" borderId="14" applyAlignment="1" applyProtection="1" pivotButton="0" quotePrefix="0" xfId="0">
      <alignment horizontal="center" vertical="center"/>
      <protection locked="1" hidden="1"/>
    </xf>
    <xf numFmtId="0" fontId="49" fillId="59" borderId="8" applyAlignment="1" applyProtection="1" pivotButton="0" quotePrefix="0" xfId="0">
      <alignment horizontal="center" vertical="center"/>
      <protection locked="0" hidden="1"/>
    </xf>
    <xf numFmtId="0" fontId="49" fillId="59" borderId="12" applyAlignment="1" applyProtection="1" pivotButton="0" quotePrefix="0" xfId="0">
      <alignment horizontal="center" vertical="center"/>
      <protection locked="0" hidden="1"/>
    </xf>
    <xf numFmtId="0" fontId="49" fillId="59" borderId="14" applyAlignment="1" applyProtection="1" pivotButton="0" quotePrefix="0" xfId="0">
      <alignment horizontal="center" vertical="center"/>
      <protection locked="0" hidden="1"/>
    </xf>
    <xf numFmtId="0" fontId="49" fillId="48" borderId="8" applyAlignment="1" applyProtection="1" pivotButton="0" quotePrefix="0" xfId="0">
      <alignment horizontal="center" vertical="center"/>
      <protection locked="1" hidden="1"/>
    </xf>
    <xf numFmtId="0" fontId="49" fillId="48" borderId="12" applyAlignment="1" applyProtection="1" pivotButton="0" quotePrefix="0" xfId="0">
      <alignment horizontal="center" vertical="center"/>
      <protection locked="1" hidden="1"/>
    </xf>
    <xf numFmtId="0" fontId="49" fillId="48" borderId="14" applyAlignment="1" applyProtection="1" pivotButton="0" quotePrefix="0" xfId="0">
      <alignment horizontal="center" vertical="center"/>
      <protection locked="1" hidden="1"/>
    </xf>
    <xf numFmtId="0" fontId="120" fillId="0" borderId="8" applyAlignment="1" applyProtection="1" pivotButton="0" quotePrefix="0" xfId="0">
      <alignment horizontal="center" vertical="center" shrinkToFit="1"/>
      <protection locked="1" hidden="1"/>
    </xf>
    <xf numFmtId="0" fontId="120" fillId="0" borderId="12" applyAlignment="1" applyProtection="1" pivotButton="0" quotePrefix="0" xfId="0">
      <alignment horizontal="center" vertical="center" shrinkToFit="1"/>
      <protection locked="1" hidden="1"/>
    </xf>
    <xf numFmtId="0" fontId="120" fillId="0" borderId="14" applyAlignment="1" applyProtection="1" pivotButton="0" quotePrefix="0" xfId="0">
      <alignment horizontal="center" vertical="center" shrinkToFit="1"/>
      <protection locked="1" hidden="1"/>
    </xf>
    <xf numFmtId="0" fontId="121" fillId="0" borderId="8" applyAlignment="1" applyProtection="1" pivotButton="0" quotePrefix="0" xfId="0">
      <alignment horizontal="center" vertical="center"/>
      <protection locked="1" hidden="1"/>
    </xf>
    <xf numFmtId="15" fontId="0" fillId="48" borderId="8" applyAlignment="1" applyProtection="1" pivotButton="0" quotePrefix="0" xfId="0">
      <alignment horizontal="center"/>
      <protection locked="1" hidden="1"/>
    </xf>
    <xf numFmtId="15" fontId="0" fillId="48" borderId="12" applyAlignment="1" applyProtection="1" pivotButton="0" quotePrefix="0" xfId="0">
      <alignment horizontal="center"/>
      <protection locked="1" hidden="1"/>
    </xf>
    <xf numFmtId="15" fontId="0" fillId="48" borderId="14" applyAlignment="1" applyProtection="1" pivotButton="0" quotePrefix="0" xfId="0">
      <alignment horizontal="center"/>
      <protection locked="1" hidden="1"/>
    </xf>
    <xf numFmtId="0" fontId="32" fillId="9" borderId="1" applyAlignment="1" applyProtection="1" pivotButton="0" quotePrefix="0" xfId="0">
      <alignment horizontal="left" vertical="center"/>
      <protection locked="1" hidden="1"/>
    </xf>
    <xf numFmtId="15" fontId="118" fillId="59" borderId="8" applyAlignment="1" applyProtection="1" pivotButton="0" quotePrefix="0" xfId="0">
      <alignment horizontal="center"/>
      <protection locked="0" hidden="1"/>
    </xf>
    <xf numFmtId="15" fontId="118" fillId="59" borderId="12" applyAlignment="1" applyProtection="1" pivotButton="0" quotePrefix="0" xfId="0">
      <alignment horizontal="center"/>
      <protection locked="0" hidden="1"/>
    </xf>
    <xf numFmtId="15" fontId="118" fillId="59" borderId="14" applyAlignment="1" applyProtection="1" pivotButton="0" quotePrefix="0" xfId="0">
      <alignment horizontal="center"/>
      <protection locked="0" hidden="1"/>
    </xf>
    <xf numFmtId="0" fontId="0" fillId="0" borderId="14" pivotButton="0" quotePrefix="0" xfId="0"/>
    <xf numFmtId="0" fontId="0" fillId="0" borderId="12" pivotButton="0" quotePrefix="0" xfId="0"/>
    <xf numFmtId="0" fontId="0" fillId="0" borderId="14" applyProtection="1" pivotButton="0" quotePrefix="0" xfId="0">
      <protection locked="1" hidden="1"/>
    </xf>
    <xf numFmtId="0" fontId="0" fillId="0" borderId="64" pivotButton="0" quotePrefix="0" xfId="0"/>
    <xf numFmtId="0" fontId="0" fillId="0" borderId="65" pivotButton="0" quotePrefix="0" xfId="0"/>
    <xf numFmtId="0" fontId="0" fillId="0" borderId="60" pivotButton="0" quotePrefix="0" xfId="0"/>
    <xf numFmtId="0" fontId="0" fillId="0" borderId="68" pivotButton="0" quotePrefix="0" xfId="0"/>
    <xf numFmtId="0" fontId="29" fillId="48" borderId="47" applyAlignment="1" pivotButton="0" quotePrefix="0" xfId="0">
      <alignment horizontal="left" vertical="top" wrapText="1"/>
    </xf>
    <xf numFmtId="0" fontId="0" fillId="0" borderId="61" pivotButton="0" quotePrefix="0" xfId="0"/>
    <xf numFmtId="167" fontId="37" fillId="48" borderId="1" applyAlignment="1" pivotButton="0" quotePrefix="0" xfId="0">
      <alignment horizontal="left" vertical="center"/>
    </xf>
    <xf numFmtId="0" fontId="0" fillId="0" borderId="12" applyProtection="1" pivotButton="0" quotePrefix="0" xfId="0">
      <protection locked="1" hidden="1"/>
    </xf>
    <xf numFmtId="0" fontId="49" fillId="59" borderId="1" applyAlignment="1" applyProtection="1" pivotButton="0" quotePrefix="0" xfId="0">
      <alignment horizontal="center" vertical="center"/>
      <protection locked="0" hidden="1"/>
    </xf>
    <xf numFmtId="0" fontId="0" fillId="0" borderId="12" applyProtection="1" pivotButton="0" quotePrefix="0" xfId="0">
      <protection locked="0" hidden="1"/>
    </xf>
    <xf numFmtId="0" fontId="0" fillId="0" borderId="14" applyProtection="1" pivotButton="0" quotePrefix="0" xfId="0">
      <protection locked="0" hidden="1"/>
    </xf>
    <xf numFmtId="0" fontId="120" fillId="0" borderId="1" applyAlignment="1" applyProtection="1" pivotButton="0" quotePrefix="0" xfId="0">
      <alignment horizontal="center" vertical="center" shrinkToFit="1"/>
      <protection locked="1" hidden="1"/>
    </xf>
    <xf numFmtId="0" fontId="121" fillId="0" borderId="1" applyAlignment="1" applyProtection="1" pivotButton="0" quotePrefix="0" xfId="0">
      <alignment horizontal="center" vertical="center"/>
      <protection locked="1" hidden="1"/>
    </xf>
    <xf numFmtId="15" fontId="0" fillId="48" borderId="1" applyAlignment="1" applyProtection="1" pivotButton="0" quotePrefix="0" xfId="0">
      <alignment horizontal="center"/>
      <protection locked="1" hidden="1"/>
    </xf>
    <xf numFmtId="0" fontId="49" fillId="48" borderId="1" applyAlignment="1" applyProtection="1" pivotButton="0" quotePrefix="0" xfId="0">
      <alignment horizontal="center" vertical="center"/>
      <protection locked="1" hidden="1"/>
    </xf>
    <xf numFmtId="15" fontId="118" fillId="59" borderId="1" applyAlignment="1" applyProtection="1" pivotButton="0" quotePrefix="0" xfId="0">
      <alignment horizontal="center"/>
      <protection locked="0" hidden="1"/>
    </xf>
    <xf numFmtId="165" fontId="0" fillId="54" borderId="1" applyAlignment="1" pivotButton="0" quotePrefix="0" xfId="0">
      <alignment horizontal="center" vertical="center"/>
    </xf>
    <xf numFmtId="0" fontId="0" fillId="0" borderId="13" applyProtection="1" pivotButton="0" quotePrefix="0" xfId="0">
      <protection locked="1" hidden="1"/>
    </xf>
    <xf numFmtId="0" fontId="0" fillId="0" borderId="6" applyProtection="1" pivotButton="0" quotePrefix="0" xfId="0">
      <protection locked="1" hidden="1"/>
    </xf>
    <xf numFmtId="166" fontId="63" fillId="5" borderId="14" applyAlignment="1" applyProtection="1" pivotButton="0" quotePrefix="0" xfId="0">
      <alignment horizontal="left" textRotation="90" shrinkToFit="1"/>
      <protection locked="1" hidden="1"/>
    </xf>
    <xf numFmtId="166" fontId="63" fillId="5" borderId="1" applyAlignment="1" applyProtection="1" pivotButton="0" quotePrefix="0" xfId="0">
      <alignment horizontal="left" textRotation="90" shrinkToFit="1"/>
      <protection locked="1" hidden="1"/>
    </xf>
    <xf numFmtId="165" fontId="44" fillId="2" borderId="1" applyAlignment="1" applyProtection="1" pivotButton="0" quotePrefix="0" xfId="0">
      <alignment horizontal="center" vertical="center"/>
      <protection locked="1" hidden="1"/>
    </xf>
    <xf numFmtId="164" fontId="44" fillId="2" borderId="1" applyAlignment="1" pivotButton="0" quotePrefix="0" xfId="0">
      <alignment horizontal="left" vertical="center" wrapText="1"/>
    </xf>
    <xf numFmtId="165" fontId="44" fillId="48" borderId="1" applyAlignment="1" applyProtection="1" pivotButton="0" quotePrefix="0" xfId="0">
      <alignment horizontal="center" vertical="center" wrapText="1"/>
      <protection locked="1" hidden="1"/>
    </xf>
    <xf numFmtId="165" fontId="44" fillId="2" borderId="1" applyAlignment="1" applyProtection="1" pivotButton="0" quotePrefix="0" xfId="0">
      <alignment horizontal="center" vertical="center" wrapText="1"/>
      <protection locked="1" hidden="1"/>
    </xf>
    <xf numFmtId="168" fontId="137" fillId="48" borderId="1" applyAlignment="1" applyProtection="1" pivotButton="0" quotePrefix="0" xfId="0">
      <alignment horizontal="center" vertical="center" wrapText="1"/>
      <protection locked="1" hidden="1"/>
    </xf>
    <xf numFmtId="164" fontId="0" fillId="5" borderId="0" pivotButton="0" quotePrefix="0" xfId="0"/>
    <xf numFmtId="168" fontId="44" fillId="48" borderId="1" applyAlignment="1" applyProtection="1" pivotButton="0" quotePrefix="0" xfId="0">
      <alignment horizontal="center" vertical="center" wrapText="1"/>
      <protection locked="1" hidden="1"/>
    </xf>
    <xf numFmtId="165" fontId="44" fillId="48" borderId="15" applyAlignment="1" applyProtection="1" pivotButton="0" quotePrefix="0" xfId="0">
      <alignment horizontal="center" vertical="center" wrapText="1"/>
      <protection locked="1" hidden="1"/>
    </xf>
    <xf numFmtId="165" fontId="44" fillId="8" borderId="1" applyAlignment="1" applyProtection="1" pivotButton="0" quotePrefix="0" xfId="0">
      <alignment horizontal="center" vertical="center" wrapText="1"/>
      <protection locked="1" hidden="1"/>
    </xf>
    <xf numFmtId="164" fontId="23" fillId="5" borderId="0" pivotButton="0" quotePrefix="0" xfId="0"/>
    <xf numFmtId="167" fontId="0" fillId="48" borderId="8" applyAlignment="1" pivotButton="0" quotePrefix="0" xfId="0">
      <alignment horizontal="center" vertical="center" shrinkToFit="1"/>
    </xf>
    <xf numFmtId="167" fontId="0" fillId="58" borderId="8" applyAlignment="1" applyProtection="1" pivotButton="0" quotePrefix="0" xfId="0">
      <alignment horizontal="center" vertical="center" shrinkToFit="1"/>
      <protection locked="1" hidden="1"/>
    </xf>
    <xf numFmtId="0" fontId="0" fillId="48" borderId="6" applyAlignment="1" applyProtection="1" pivotButton="0" quotePrefix="0" xfId="0">
      <alignment horizontal="left" vertical="center" shrinkToFit="1"/>
      <protection locked="1" hidden="1"/>
    </xf>
    <xf numFmtId="164" fontId="44" fillId="2" borderId="1" applyAlignment="1" applyProtection="1" pivotButton="0" quotePrefix="0" xfId="0">
      <alignment horizontal="left" vertical="center" wrapText="1"/>
      <protection locked="1" hidden="1"/>
    </xf>
    <xf numFmtId="164" fontId="44" fillId="2" borderId="2" applyAlignment="1" applyProtection="1" pivotButton="0" quotePrefix="0" xfId="0">
      <alignment horizontal="left" vertical="center" wrapText="1"/>
      <protection locked="1" hidden="1"/>
    </xf>
    <xf numFmtId="164" fontId="44" fillId="2" borderId="1" applyAlignment="1" pivotButton="0" quotePrefix="0" xfId="0">
      <alignment horizontal="left" vertical="center" shrinkToFit="1"/>
    </xf>
    <xf numFmtId="164" fontId="110" fillId="55" borderId="1" applyAlignment="1" applyProtection="1" pivotButton="0" quotePrefix="0" xfId="0">
      <alignment horizontal="center" textRotation="90" wrapText="1"/>
      <protection locked="1" hidden="1"/>
    </xf>
    <xf numFmtId="164" fontId="44" fillId="2" borderId="1" applyAlignment="1" applyProtection="1" pivotButton="0" quotePrefix="0" xfId="0">
      <alignment horizontal="left" vertical="center" shrinkToFit="1"/>
      <protection locked="1" hidden="1"/>
    </xf>
    <xf numFmtId="164" fontId="44" fillId="2" borderId="1" applyAlignment="1" applyProtection="1" pivotButton="0" quotePrefix="0" xfId="0">
      <alignment horizontal="left" vertical="center"/>
      <protection locked="1" hidden="1"/>
    </xf>
  </cellXfs>
  <cellStyles count="39120">
    <cellStyle name="Normal" xfId="0" builtinId="0"/>
    <cellStyle name="Calculation 2 12 7 6" xfId="1"/>
    <cellStyle name="Output 2 14 7 6" xfId="2"/>
    <cellStyle name="Accent3 4" xfId="3"/>
    <cellStyle name="Note 2 11 3 6 6" xfId="4"/>
    <cellStyle name="Total 2 10 3 3 2 2" xfId="5"/>
    <cellStyle name="20% - Accent3 2 4 2" xfId="6"/>
    <cellStyle name="Input 2 8 8 3 4" xfId="7"/>
    <cellStyle name="20% - Accent1 2 2 2 2 2" xfId="8"/>
    <cellStyle name="Note 2 9 3 2 5 2" xfId="9"/>
    <cellStyle name="Input 2 11 7 2" xfId="10"/>
    <cellStyle name="Calculation 2 13 5 7" xfId="11"/>
    <cellStyle name="Note 2 2 4 6 3" xfId="12"/>
    <cellStyle name="Input 2 8 7 2" xfId="13"/>
    <cellStyle name="Input 2 15 9 6" xfId="14"/>
    <cellStyle name="Calculation 2 5 3 11" xfId="15"/>
    <cellStyle name="Calculation 2 16 6 2 3" xfId="16"/>
    <cellStyle name="Total 2 11 2 6 2 3" xfId="17"/>
    <cellStyle name="Calculation 2 12 3 10 2 3" xfId="18"/>
    <cellStyle name="Total 2 13 3 7 6" xfId="19"/>
    <cellStyle name="Calculation 2 14 3 2 5 2" xfId="20"/>
    <cellStyle name="20% - Accent6 4 2" xfId="21"/>
    <cellStyle name="Output 2 12 9 4 3" xfId="22"/>
    <cellStyle name="Total 2 10 2 9 5 3" xfId="23"/>
    <cellStyle name="Calculation 2 11 8 3 4" xfId="24"/>
    <cellStyle name="40% - Accent3 2 5" xfId="25"/>
    <cellStyle name="Calculation 2 10" xfId="26"/>
    <cellStyle name="Input 2 9 3 9 3" xfId="27"/>
    <cellStyle name="Output 2 13 3 4" xfId="28"/>
    <cellStyle name="20% - Accent3 2 7" xfId="29"/>
    <cellStyle name="Total 2 10 3 3 5" xfId="30"/>
    <cellStyle name="Calculation 2 7 3 16" xfId="31"/>
    <cellStyle name="20% - Accent1 2 2 2 5" xfId="32"/>
    <cellStyle name="Calculation 2 5 3 2 4 3" xfId="33"/>
    <cellStyle name="Normal 7 2" xfId="34"/>
    <cellStyle name="Calculation 2 6 2 3 3 3" xfId="35"/>
    <cellStyle name="Calculation 2 14 3 4 3 2" xfId="36"/>
    <cellStyle name="Input 2 3 5 8" xfId="37"/>
    <cellStyle name="Note 2 12 2 6 7" xfId="38"/>
    <cellStyle name="Note 2 2 3 9 2 2" xfId="39"/>
    <cellStyle name="Normal 2 3 3 2 3" xfId="40"/>
    <cellStyle name="Calculation 2 13 2 9 3 3" xfId="41"/>
    <cellStyle name="20% - Accent5 2 2 7" xfId="42"/>
    <cellStyle name="Calculation 2 14 2 5 3 3" xfId="43"/>
    <cellStyle name="Calculation 2 2 11 4 2" xfId="44"/>
    <cellStyle name="Calculation 2 10 2 8 5 2" xfId="45"/>
    <cellStyle name="Note 2 8 2 3 2" xfId="46"/>
    <cellStyle name="Output 2 4 9 7" xfId="47"/>
    <cellStyle name="20% - Accent6 5 2" xfId="48"/>
    <cellStyle name="Output 2 12 9 5 3" xfId="49"/>
    <cellStyle name="Note 2 7 2 9 2 3" xfId="50"/>
    <cellStyle name="Calculation 2 14 8 3 2" xfId="51"/>
    <cellStyle name="Calculation 2 12 12 5 3" xfId="52"/>
    <cellStyle name="Input 2 3 3 4 5 2" xfId="53"/>
    <cellStyle name="Input 2 6 2 10 4" xfId="54"/>
    <cellStyle name="20% - Accent3 2 4 3" xfId="55"/>
    <cellStyle name="Total 2 10 3 3 2 3" xfId="56"/>
    <cellStyle name="Calculation 2 14 2 5 3 2" xfId="57"/>
    <cellStyle name="Note 2 11 3 6 7" xfId="58"/>
    <cellStyle name="20% - Accent6 2 6 2 2 2" xfId="59"/>
    <cellStyle name="Calculation 2 12 7 3 4" xfId="60"/>
    <cellStyle name="Accent6 2 2 6" xfId="61"/>
    <cellStyle name="Calculation 2 11 9 6" xfId="62"/>
    <cellStyle name="Calculation 2 2 2 2 3" xfId="63"/>
    <cellStyle name="Note 2 14 3 4 3 3" xfId="64"/>
    <cellStyle name="Output 2 2 2 10 4 2" xfId="65"/>
    <cellStyle name="Calculation 2 11 3 14 3" xfId="66"/>
    <cellStyle name="Input 2 9 3 4 2 3" xfId="67"/>
    <cellStyle name="Calculation 2 15 10 7" xfId="68"/>
    <cellStyle name="Input 2 5 3 7 4 2" xfId="69"/>
    <cellStyle name="Calculation 2 12 2 4 7" xfId="70"/>
    <cellStyle name="Calculation 2 12 3 3 3 4" xfId="71"/>
    <cellStyle name="Calculation 2 13 4 5 3" xfId="72"/>
    <cellStyle name="Input 2 9 3 9 2" xfId="73"/>
    <cellStyle name="Output 2 13 3 3" xfId="74"/>
    <cellStyle name="20% - Accent3 2 6" xfId="75"/>
    <cellStyle name="Total 2 10 3 3 4" xfId="76"/>
    <cellStyle name="Calculation 2 11" xfId="77"/>
    <cellStyle name="20% - Accent3 2" xfId="78"/>
    <cellStyle name="Note 2 3 3 4 3 2" xfId="79"/>
    <cellStyle name="Input 2 9 3 9 4" xfId="80"/>
    <cellStyle name="Output 2 13 3 5" xfId="81"/>
    <cellStyle name="20% - Accent3 2 8" xfId="82"/>
    <cellStyle name="Total 2 10 3 3 6" xfId="83"/>
    <cellStyle name="Calculation 2 12" xfId="84"/>
    <cellStyle name="20% - Accent3 3" xfId="85"/>
    <cellStyle name="Calculation 2 12 10 3 4" xfId="86"/>
    <cellStyle name="Input 2 3 3" xfId="87"/>
    <cellStyle name="Input 2 3 3 2 3 3" xfId="88"/>
    <cellStyle name="Calculation 2 13 3 2 4 2" xfId="89"/>
    <cellStyle name="Input 2 15 10 4 3" xfId="90"/>
    <cellStyle name="Input 2 4 12 3" xfId="91"/>
    <cellStyle name="Note 2 11 10 2 4" xfId="92"/>
    <cellStyle name="Calculation 2 16 7 3 3" xfId="93"/>
    <cellStyle name="40% - Accent1 2 4 2 2 2" xfId="94"/>
    <cellStyle name="Note 2 3 10 3 2" xfId="95"/>
    <cellStyle name="Calculation 2 10 6 2 3" xfId="96"/>
    <cellStyle name="20% - Accent5 2 2 6" xfId="97"/>
    <cellStyle name="Calculation 2 10 12 4" xfId="98"/>
    <cellStyle name="60% - Accent6 2 2 2 2 2 3" xfId="99"/>
    <cellStyle name="Note 2 3 7 4 3" xfId="100"/>
    <cellStyle name="60% - Accent1 2 2 6" xfId="101"/>
    <cellStyle name="Calculation 2 8 3 2 5 2" xfId="102"/>
    <cellStyle name="20% - Accent1 2 6 2 2 2" xfId="103"/>
    <cellStyle name="Calculation 2 9 5 5 3" xfId="104"/>
    <cellStyle name="Note 2 2 10 2 2" xfId="105"/>
    <cellStyle name="Calculation 2 11 7 2 3" xfId="106"/>
    <cellStyle name="Accent1 - 20%" xfId="107"/>
    <cellStyle name="Note 2 6 3 2 5 3" xfId="108"/>
    <cellStyle name="Note 2 14 2 2 6" xfId="109"/>
    <cellStyle name="Calculation 2 14 3 8 2 4" xfId="110"/>
    <cellStyle name="Input 2 6 2 3 2" xfId="111"/>
    <cellStyle name="Calculation 2 12 3 10 3 4" xfId="112"/>
    <cellStyle name="Calculation 2 11 3 2 5 2" xfId="113"/>
    <cellStyle name="Note 2 5 3 2 2" xfId="114"/>
    <cellStyle name="Output 2 10 2 9 5" xfId="115"/>
    <cellStyle name="Output 2 4 2 8 3" xfId="116"/>
    <cellStyle name="Calculation 2 14 4 3 3" xfId="117"/>
    <cellStyle name="Calculation 2 12 3 9 5 3" xfId="118"/>
    <cellStyle name="40% - Accent4 2 2 2 2 2 2" xfId="119"/>
    <cellStyle name="Normal 2 2 12" xfId="120"/>
    <cellStyle name="Note 2 7 2 5 2 4" xfId="121"/>
    <cellStyle name="Calculation 2 13 2 3 3 3" xfId="122"/>
    <cellStyle name="Input 2 9 6 4 3" xfId="123"/>
    <cellStyle name="Calculation 2 10 3 9 2" xfId="124"/>
    <cellStyle name="40% - Accent6 2 8" xfId="125"/>
    <cellStyle name="40% - Accent1 6" xfId="126"/>
    <cellStyle name="Note 2 16 10 4 3" xfId="127"/>
    <cellStyle name="Output 2 18 4 3" xfId="128"/>
    <cellStyle name="Output 2 23 4 3" xfId="129"/>
    <cellStyle name="Calculation 2 14 3 2 4" xfId="130"/>
    <cellStyle name="20% - Accent6 3" xfId="131"/>
    <cellStyle name="Calculation 2 16 4 3 4" xfId="132"/>
    <cellStyle name="Input 2 14 2 8 4 2" xfId="133"/>
    <cellStyle name="Output 2 9 2 11 3" xfId="134"/>
    <cellStyle name="Note 2 11 10 2 2" xfId="135"/>
    <cellStyle name="Calculation 2 16 10 3 3" xfId="136"/>
    <cellStyle name="Note 2 2 10 2 3" xfId="137"/>
    <cellStyle name="Calculation 2 11 7 2 4" xfId="138"/>
    <cellStyle name="Calculation 2 12 10 7" xfId="139"/>
    <cellStyle name="20% - Accent5 3 2" xfId="140"/>
    <cellStyle name="Output 2 12 8 3 3" xfId="141"/>
    <cellStyle name="Total 2 10 2 8 4 3" xfId="142"/>
    <cellStyle name="Calculation 2 12 4 5 3" xfId="143"/>
    <cellStyle name="40% - Accent2 2 2 2 2 2 2 2" xfId="144"/>
    <cellStyle name="Note 2 3 3 4 2" xfId="145"/>
    <cellStyle name="Output 2 9 2 11 4" xfId="146"/>
    <cellStyle name="Note 2 11 10 2 3" xfId="147"/>
    <cellStyle name="Calculation 2 16 10 3 4" xfId="148"/>
    <cellStyle name="Note 2 2 10 2 4" xfId="149"/>
    <cellStyle name="20% - Accent5 3 3" xfId="150"/>
    <cellStyle name="Output 2 12 8 3 4" xfId="151"/>
    <cellStyle name="Output 2 6 8 2 2" xfId="152"/>
    <cellStyle name="Note 2 2 19 2" xfId="153"/>
    <cellStyle name="Output 2 9 2 11 2" xfId="154"/>
    <cellStyle name="Output 2 6 8 2 3" xfId="155"/>
    <cellStyle name="20% - Accent5 3 4" xfId="156"/>
    <cellStyle name="Total 2 10 5 4 2" xfId="157"/>
    <cellStyle name="Calculation 2 14 2 5 3 4" xfId="158"/>
    <cellStyle name="Input 2 11 12 3 2" xfId="159"/>
    <cellStyle name="Calculation 2 2 11 4 3" xfId="160"/>
    <cellStyle name="Input 2 14 3 7 5 2" xfId="161"/>
    <cellStyle name="Calculation 2 10 2 8 5 3" xfId="162"/>
    <cellStyle name="Note 2 8 2 3 3" xfId="163"/>
    <cellStyle name="20% - Accent6 5 3" xfId="164"/>
    <cellStyle name="Output 2 6 9 4 2" xfId="165"/>
    <cellStyle name="Input 2 3 2 3 3 2" xfId="166"/>
    <cellStyle name="Calculation 2 10 11 3 2" xfId="167"/>
    <cellStyle name="Input 2 11 12 3 3" xfId="168"/>
    <cellStyle name="20% - Accent1 2 2 2 2 2 2 2" xfId="169"/>
    <cellStyle name="20% - Accent6 5 4" xfId="170"/>
    <cellStyle name="Output 2 6 9 4 3" xfId="171"/>
    <cellStyle name="Note 2 2 3 9 2 3" xfId="172"/>
    <cellStyle name="Input 2 3 2 3 3 3" xfId="173"/>
    <cellStyle name="Calculation 2 13 2 3 4 2" xfId="174"/>
    <cellStyle name="Input 2 9 6 5 2" xfId="175"/>
    <cellStyle name="Calculation 2 10 11 3 3" xfId="176"/>
    <cellStyle name="Input 2 11 12 3 4" xfId="177"/>
    <cellStyle name="Note 2 2 3 9 2 4" xfId="178"/>
    <cellStyle name="Calculation 2 13 2 7 2 2" xfId="179"/>
    <cellStyle name="20% - Accent1 2 10" xfId="180"/>
    <cellStyle name="Output 2 8 2 3 6" xfId="181"/>
    <cellStyle name="20% - Accent6 2 2 2" xfId="182"/>
    <cellStyle name="Calculation 2 8 3 6 5 3" xfId="183"/>
    <cellStyle name="Calculation 2 13 3 6 2 3" xfId="184"/>
    <cellStyle name="Calculation 2 5 2 5 2 4" xfId="185"/>
    <cellStyle name="Accent5 - 60% 4" xfId="186"/>
    <cellStyle name="Accent1 - 20% 2 2" xfId="187"/>
    <cellStyle name="Calculation 2 8 12 4 3" xfId="188"/>
    <cellStyle name="20% - Accent1 2 2" xfId="189"/>
    <cellStyle name="Note 2 5 2 9 7" xfId="190"/>
    <cellStyle name="Output 2 12 4 2 3" xfId="191"/>
    <cellStyle name="Total 2 10 2 4 3 3" xfId="192"/>
    <cellStyle name="40% - Accent3 2 2 4" xfId="193"/>
    <cellStyle name="20% - Accent1 2 2 2 2 3" xfId="194"/>
    <cellStyle name="20% - Accent1 2 2 2 4" xfId="195"/>
    <cellStyle name="Calculation 2 3 6 3 4" xfId="196"/>
    <cellStyle name="Calculation 2 5 3 2 4 2" xfId="197"/>
    <cellStyle name="20% - Accent1 2 2 2 6" xfId="198"/>
    <cellStyle name="Calculation 2 12 5 6" xfId="199"/>
    <cellStyle name="=C:\WINDOWS\SYSTEM32\COMMAND.COM" xfId="200"/>
    <cellStyle name="Output 2 2 3 3 6 2" xfId="201"/>
    <cellStyle name="40% - Accent4 2 2 7" xfId="202"/>
    <cellStyle name="Calculation 2 6 2 7 5 2" xfId="203"/>
    <cellStyle name="Input 2 7 7 7" xfId="204"/>
    <cellStyle name="Note 2 2 3 6 8" xfId="205"/>
    <cellStyle name="Output 2 12 2 4 3 4" xfId="206"/>
    <cellStyle name="20% - Accent1 2 2 2 2" xfId="207"/>
    <cellStyle name="Calculation 2 3 6 3 2" xfId="208"/>
    <cellStyle name="20% - Accent1 2 2 2 3" xfId="209"/>
    <cellStyle name="Calculation 2 3 6 3 3" xfId="210"/>
    <cellStyle name="Accent1 - 20% 2" xfId="211"/>
    <cellStyle name="20% - Accent1 2" xfId="212"/>
    <cellStyle name="Calculation 2 13 2 7 7" xfId="213"/>
    <cellStyle name="20% - Accent1 2 2 2" xfId="214"/>
    <cellStyle name="Calculation 2 3 6 3" xfId="215"/>
    <cellStyle name="20% - Accent6 2 7" xfId="216"/>
    <cellStyle name="Output 2 16 3 4" xfId="217"/>
    <cellStyle name="Output 2 21 3 4" xfId="218"/>
    <cellStyle name="20% - Accent1 2 2 2 2 2 2" xfId="219"/>
    <cellStyle name="20% - Accent4 2 2 2 3" xfId="220"/>
    <cellStyle name="20% - Accent4 2 4 3" xfId="221"/>
    <cellStyle name="Calculation 2 12 2 7 2 4" xfId="222"/>
    <cellStyle name="40% - Accent1 2 8" xfId="223"/>
    <cellStyle name="Input 2 12 3 9 4 2" xfId="224"/>
    <cellStyle name="Calculation 2 10 2 5 6" xfId="225"/>
    <cellStyle name="Note 2 8 10 2 4" xfId="226"/>
    <cellStyle name="Total 2 12 7 5 2" xfId="227"/>
    <cellStyle name="Accent6 2 5" xfId="228"/>
    <cellStyle name="Accent4 - 20% 2 3" xfId="229"/>
    <cellStyle name="20% - Accent1 2 2 2 2 2 2 2 2" xfId="230"/>
    <cellStyle name="60% - Accent4 2 4 3" xfId="231"/>
    <cellStyle name="Input 2 5 9 4 3" xfId="232"/>
    <cellStyle name="20% - Accent3 6" xfId="233"/>
    <cellStyle name="Calculation 2 15" xfId="234"/>
    <cellStyle name="Calculation 2 20" xfId="235"/>
    <cellStyle name="Calculation 2 9 2 3 5 3" xfId="236"/>
    <cellStyle name="40% - Accent5 2" xfId="237"/>
    <cellStyle name="20% - Accent1 2 2 2 2 2 3" xfId="238"/>
    <cellStyle name="Calculation 2 8 3 2 4 2" xfId="239"/>
    <cellStyle name="20% - Accent1 2 2 2 7" xfId="240"/>
    <cellStyle name="Note 2 3 2 9 2" xfId="241"/>
    <cellStyle name="60% - Accent3 2 5" xfId="242"/>
    <cellStyle name="Input 2 4 9 5" xfId="243"/>
    <cellStyle name="40% - Accent4 2 2 2 2" xfId="244"/>
    <cellStyle name="Input 2 7 7 2 2" xfId="245"/>
    <cellStyle name="Total 2 31 2" xfId="246"/>
    <cellStyle name="Total 2 26 2" xfId="247"/>
    <cellStyle name="Note 2 2 3 6 3 2" xfId="248"/>
    <cellStyle name="Bad 5" xfId="249"/>
    <cellStyle name="Input 2 11 2 8 2" xfId="250"/>
    <cellStyle name="40% - Accent6 4 2" xfId="251"/>
    <cellStyle name="Calculation 2 10 5 5 2" xfId="252"/>
    <cellStyle name="Note 2 11 2 4 2 4" xfId="253"/>
    <cellStyle name="20% - Accent1 2 2 3" xfId="254"/>
    <cellStyle name="Calculation 2 3 6 4" xfId="255"/>
    <cellStyle name="Calculation 2 13 3 2 2 2" xfId="256"/>
    <cellStyle name="Input 2 15 10 2 3" xfId="257"/>
    <cellStyle name="Input 2 4 10 3" xfId="258"/>
    <cellStyle name="Accent5 - 20% 3" xfId="259"/>
    <cellStyle name="20% - Accent5 2 10" xfId="260"/>
    <cellStyle name="Calculation 2 15 3 2 2" xfId="261"/>
    <cellStyle name="20% - Accent6 2 8" xfId="262"/>
    <cellStyle name="Total 2 2 4 2 4" xfId="263"/>
    <cellStyle name="Note 2 3 3 7 3 2" xfId="264"/>
    <cellStyle name="Output 2 16 3 5" xfId="265"/>
    <cellStyle name="Calculation 2 10 5 5 3" xfId="266"/>
    <cellStyle name="20% - Accent1 2 2 4" xfId="267"/>
    <cellStyle name="Calculation 2 3 6 5" xfId="268"/>
    <cellStyle name="Note 2 11 3 2" xfId="269"/>
    <cellStyle name="Calculation 2 15 3 2 3" xfId="270"/>
    <cellStyle name="Calculation 2 8 4 2" xfId="271"/>
    <cellStyle name="20% - Accent6 2 9" xfId="272"/>
    <cellStyle name="Note 2 3 3 7 3 3" xfId="273"/>
    <cellStyle name="Output 2 16 3 6" xfId="274"/>
    <cellStyle name="20% - Accent1 2 2 4 2" xfId="275"/>
    <cellStyle name="Calculation 2 3 6 5 2" xfId="276"/>
    <cellStyle name="Note 2 11 3 2 2" xfId="277"/>
    <cellStyle name="40% - Accent5 2 2 8" xfId="278"/>
    <cellStyle name="Calculation 2 6 3 7 5 3" xfId="279"/>
    <cellStyle name="Calculation 2 2 2 15" xfId="280"/>
    <cellStyle name="Calculation 2 2 2 20" xfId="281"/>
    <cellStyle name="Calculation 2 15 5 7" xfId="282"/>
    <cellStyle name="Input 2 13 7 2" xfId="283"/>
    <cellStyle name="Note 2 9 3 4 5 2" xfId="284"/>
    <cellStyle name="Total 2 11 11 3 2" xfId="285"/>
    <cellStyle name="Input 2 11 3 2 2 4" xfId="286"/>
    <cellStyle name="20% - Accent1 2 2 4 2 2" xfId="287"/>
    <cellStyle name="Note 2 11 3 2 2 2" xfId="288"/>
    <cellStyle name="Calculation 2 14 5 5 3" xfId="289"/>
    <cellStyle name="Calculation 2 14 2 10 3 3" xfId="290"/>
    <cellStyle name="Note 2 5 4 4 2" xfId="291"/>
    <cellStyle name="20% - Accent5 2 2 4" xfId="292"/>
    <cellStyle name="Calculation 2 2 2 15 2" xfId="293"/>
    <cellStyle name="Output 2 2 9 3" xfId="294"/>
    <cellStyle name="Total 2 12 4 5 3" xfId="295"/>
    <cellStyle name="Accent3 2 6" xfId="296"/>
    <cellStyle name="Output 2 8 7 3 4" xfId="297"/>
    <cellStyle name="20% - Accent1 2 2 4 2 2 2" xfId="298"/>
    <cellStyle name="Calculation 2 10 4 3 4" xfId="299"/>
    <cellStyle name="20% - Accent5 2 2 4 2" xfId="300"/>
    <cellStyle name="Input 2 13 10 6" xfId="301"/>
    <cellStyle name="20% - Accent1 2 2 4 3" xfId="302"/>
    <cellStyle name="Calculation 2 3 6 5 3" xfId="303"/>
    <cellStyle name="Note 2 11 3 2 3" xfId="304"/>
    <cellStyle name="20% - Accent1 2 2 5" xfId="305"/>
    <cellStyle name="Calculation 2 3 6 6" xfId="306"/>
    <cellStyle name="Note 2 11 3 3" xfId="307"/>
    <cellStyle name="20% - Accent4 2 2 2 2 2 2 2" xfId="308"/>
    <cellStyle name="Input 2 2 3 2 4 2 2" xfId="309"/>
    <cellStyle name="20% - Accent1 2 2 6" xfId="310"/>
    <cellStyle name="Calculation 2 3 6 7" xfId="311"/>
    <cellStyle name="Note 2 11 3 4" xfId="312"/>
    <cellStyle name="40% - Accent2 5 2" xfId="313"/>
    <cellStyle name="Note 2 11 3 6 3 3" xfId="314"/>
    <cellStyle name="20% - Accent1 2 2 7" xfId="315"/>
    <cellStyle name="Calculation 2 3 6 8" xfId="316"/>
    <cellStyle name="Note 2 11 3 5" xfId="317"/>
    <cellStyle name="Output 2 8 9 2" xfId="318"/>
    <cellStyle name="40% - Accent2 5 3" xfId="319"/>
    <cellStyle name="Note 2 11 3 6 3 4" xfId="320"/>
    <cellStyle name="20% - Accent1 2 2 8" xfId="321"/>
    <cellStyle name="Note 2 11 3 6" xfId="322"/>
    <cellStyle name="Output 2 8 9 3" xfId="323"/>
    <cellStyle name="Accent1 - 60%" xfId="324"/>
    <cellStyle name="40% - Accent2 5 4" xfId="325"/>
    <cellStyle name="20% - Accent1 2 2 9" xfId="326"/>
    <cellStyle name="Note 2 11 3 7" xfId="327"/>
    <cellStyle name="Output 2 8 9 4" xfId="328"/>
    <cellStyle name="Calculation 2 13 3 6 2 4" xfId="329"/>
    <cellStyle name="Note 2 2 5 7 2" xfId="330"/>
    <cellStyle name="Accent1 - 20% 2 3" xfId="331"/>
    <cellStyle name="20% - Accent1 2 3" xfId="332"/>
    <cellStyle name="Output 2 12 4 2 4" xfId="333"/>
    <cellStyle name="Total 2 10 2 4 3 4" xfId="334"/>
    <cellStyle name="40% - Accent3 2 2 5" xfId="335"/>
    <cellStyle name="Calculation 2 2 2 2 2 2 2" xfId="336"/>
    <cellStyle name="Input 2 9 8 2" xfId="337"/>
    <cellStyle name="20% - Accent1 2 4" xfId="338"/>
    <cellStyle name="40% - Accent3 2 2 6" xfId="339"/>
    <cellStyle name="Calculation 2 2 2 2 2 2 3" xfId="340"/>
    <cellStyle name="Calculation 2 13 2 5 2" xfId="341"/>
    <cellStyle name="Input 2 9 8 3" xfId="342"/>
    <cellStyle name="20% - Accent1 2 5" xfId="343"/>
    <cellStyle name="Output 2 11 3 2" xfId="344"/>
    <cellStyle name="40% - Accent3 2 2 7" xfId="345"/>
    <cellStyle name="Calculation 2 13 2 5 3" xfId="346"/>
    <cellStyle name="Input 2 9 8 4" xfId="347"/>
    <cellStyle name="Accent3 - 40% 2 2" xfId="348"/>
    <cellStyle name="20% - Accent1 2 6" xfId="349"/>
    <cellStyle name="Note 2 13 11 3 2" xfId="350"/>
    <cellStyle name="Output 2 11 3 3" xfId="351"/>
    <cellStyle name="Calculation 2 14 2 8 5 2" xfId="352"/>
    <cellStyle name="40% - Accent3 2 2 8" xfId="353"/>
    <cellStyle name="Calculation 2 13 2 5 3 2" xfId="354"/>
    <cellStyle name="Input 2 9 8 4 2" xfId="355"/>
    <cellStyle name="20% - Accent1 2 6 2" xfId="356"/>
    <cellStyle name="Output 2 11 3 3 2" xfId="357"/>
    <cellStyle name="Output 2 8 2 10 7" xfId="358"/>
    <cellStyle name="20% - Accent1 2 6 2 2" xfId="359"/>
    <cellStyle name="Note 2 4 4 7" xfId="360"/>
    <cellStyle name="Output 2 11 3 3 2 2" xfId="361"/>
    <cellStyle name="Calculation 2 13 2 5 3 3" xfId="362"/>
    <cellStyle name="Input 2 9 8 4 3" xfId="363"/>
    <cellStyle name="20% - Accent1 2 6 3" xfId="364"/>
    <cellStyle name="Output 2 11 3 3 3" xfId="365"/>
    <cellStyle name="Input 2 9 8 5" xfId="366"/>
    <cellStyle name="Calculation 2 13 2 5 4" xfId="367"/>
    <cellStyle name="Output 2 12 2 6 4 2" xfId="368"/>
    <cellStyle name="Output 2 6 2 5 2 2" xfId="369"/>
    <cellStyle name="Accent3 - 40% 2 3" xfId="370"/>
    <cellStyle name="20% - Accent1 2 7" xfId="371"/>
    <cellStyle name="Note 2 13 11 3 3" xfId="372"/>
    <cellStyle name="Output 2 11 3 4" xfId="373"/>
    <cellStyle name="Input 2 9 8 6" xfId="374"/>
    <cellStyle name="Calculation 2 13 2 5 5" xfId="375"/>
    <cellStyle name="Output 2 12 2 6 4 3" xfId="376"/>
    <cellStyle name="Output 2 6 2 5 2 3" xfId="377"/>
    <cellStyle name="20% - Accent1 2 8" xfId="378"/>
    <cellStyle name="Note 2 13 11 3 4" xfId="379"/>
    <cellStyle name="Note 2 3 3 2 3 2" xfId="380"/>
    <cellStyle name="Output 2 11 3 5" xfId="381"/>
    <cellStyle name="Output 2 2 2 8 4 2" xfId="382"/>
    <cellStyle name="Calculation 2 13 2 5 6" xfId="383"/>
    <cellStyle name="Input 2 9 8 7" xfId="384"/>
    <cellStyle name="Output 2 6 2 5 2 4" xfId="385"/>
    <cellStyle name="20% - Accent1 2 9" xfId="386"/>
    <cellStyle name="Note 2 3 3 2 3 3" xfId="387"/>
    <cellStyle name="Output 2 11 3 6" xfId="388"/>
    <cellStyle name="Output 2 2 2 8 4 3" xfId="389"/>
    <cellStyle name="Accent1 - 20% 3" xfId="390"/>
    <cellStyle name="20% - Accent1 3" xfId="391"/>
    <cellStyle name="Calculation 2 13 3 6 3 3" xfId="392"/>
    <cellStyle name="Calculation 2 5 2 5 3 4" xfId="393"/>
    <cellStyle name="20% - Accent1 3 2" xfId="394"/>
    <cellStyle name="Note 2 2 2 3 2 2 2 3" xfId="395"/>
    <cellStyle name="Output 2 12 4 3 3" xfId="396"/>
    <cellStyle name="Total 2 10 2 4 4 3" xfId="397"/>
    <cellStyle name="Calculation 2 13 3 6 3 4" xfId="398"/>
    <cellStyle name="Note 2 2 5 8 2" xfId="399"/>
    <cellStyle name="20% - Accent1 3 3" xfId="400"/>
    <cellStyle name="Note 2 2 2 3 2 2 2 4" xfId="401"/>
    <cellStyle name="Output 2 12 4 3 4" xfId="402"/>
    <cellStyle name="Output 2 6 4 2 2" xfId="403"/>
    <cellStyle name="Calculation 2 2 2 2 2 3 2" xfId="404"/>
    <cellStyle name="Input 2 9 9 2" xfId="405"/>
    <cellStyle name="20% - Accent1 3 4" xfId="406"/>
    <cellStyle name="Output 2 6 4 2 3" xfId="407"/>
    <cellStyle name="Accent1 - 20% 4" xfId="408"/>
    <cellStyle name="20% - Accent1 4" xfId="409"/>
    <cellStyle name="Calculation 2 13 3 6 4 3" xfId="410"/>
    <cellStyle name="20% - Accent1 4 2" xfId="411"/>
    <cellStyle name="Output 2 12 4 4 3" xfId="412"/>
    <cellStyle name="Total 2 10 2 4 5 3" xfId="413"/>
    <cellStyle name="Calculation 2 11 2 9 4 2" xfId="414"/>
    <cellStyle name="60% - Accent4 2 2 2" xfId="415"/>
    <cellStyle name="Input 2 5 9 2 2" xfId="416"/>
    <cellStyle name="20% - Accent1 5" xfId="417"/>
    <cellStyle name="Calculation 2 13 3 6 5 3" xfId="418"/>
    <cellStyle name="60% - Accent4 2 2 2 2" xfId="419"/>
    <cellStyle name="Note 2 4 2 5 4 3" xfId="420"/>
    <cellStyle name="20% - Accent1 5 2" xfId="421"/>
    <cellStyle name="Output 2 12 4 5 3" xfId="422"/>
    <cellStyle name="60% - Accent4 2 2 2 3" xfId="423"/>
    <cellStyle name="20% - Accent1 5 3" xfId="424"/>
    <cellStyle name="Output 2 13 3 5 2 2" xfId="425"/>
    <cellStyle name="Output 2 6 4 4 2" xfId="426"/>
    <cellStyle name="Calculation 2 10 2 3 5 3" xfId="427"/>
    <cellStyle name="20% - Accent3 2 2 2" xfId="428"/>
    <cellStyle name="Input 2 14 3 2 5 2" xfId="429"/>
    <cellStyle name="20% - Accent1 5 4" xfId="430"/>
    <cellStyle name="Output 2 13 3 5 2 3" xfId="431"/>
    <cellStyle name="Output 2 6 4 4 3" xfId="432"/>
    <cellStyle name="Calculation 2 12 5 5 2" xfId="433"/>
    <cellStyle name="20% - Accent3 2 2 3" xfId="434"/>
    <cellStyle name="Input 2 14 3 2 5 3" xfId="435"/>
    <cellStyle name="Calculation 2 11 2 9 4 3" xfId="436"/>
    <cellStyle name="60% - Accent4 2 2 3" xfId="437"/>
    <cellStyle name="Input 2 5 9 2 3" xfId="438"/>
    <cellStyle name="20% - Accent1 6" xfId="439"/>
    <cellStyle name="40% - Accent3 2" xfId="440"/>
    <cellStyle name="20% - Accent1 6 2" xfId="441"/>
    <cellStyle name="20% - Accent5 2 2 8" xfId="442"/>
    <cellStyle name="Output 2 9 2 6 5 2" xfId="443"/>
    <cellStyle name="40% - Accent3 2 2" xfId="444"/>
    <cellStyle name="Calculation 2 8 3 10 6" xfId="445"/>
    <cellStyle name="20% - Accent1 6 3" xfId="446"/>
    <cellStyle name="Output 2 13 3 5 3 2" xfId="447"/>
    <cellStyle name="Note 2 9 10 2" xfId="448"/>
    <cellStyle name="Output 2 6 4 5 2" xfId="449"/>
    <cellStyle name="Calculation 2 11 8 3 2" xfId="450"/>
    <cellStyle name="40% - Accent3 2 3" xfId="451"/>
    <cellStyle name="Calculation 2 8 3 10 7" xfId="452"/>
    <cellStyle name="20% - Accent5 2 2 9" xfId="453"/>
    <cellStyle name="Input 2 10 2 8 5 2" xfId="454"/>
    <cellStyle name="Output 2 9 2 6 5 3" xfId="455"/>
    <cellStyle name="20% - Accent1 6 4" xfId="456"/>
    <cellStyle name="Output 2 13 3 5 3 3" xfId="457"/>
    <cellStyle name="Note 2 9 10 3" xfId="458"/>
    <cellStyle name="Output 2 6 4 5 3" xfId="459"/>
    <cellStyle name="Calculation 2 11 8 3 3" xfId="460"/>
    <cellStyle name="40% - Accent3 2 4" xfId="461"/>
    <cellStyle name="Output 2 13 2 5" xfId="462"/>
    <cellStyle name="Input 2 9 3 8 4" xfId="463"/>
    <cellStyle name="40% - Accent2 2 2 2 2 2 2 2 2" xfId="464"/>
    <cellStyle name="Total 2 10 3 2 6" xfId="465"/>
    <cellStyle name="Note 2 3 3 4 2 2" xfId="466"/>
    <cellStyle name="20% - Accent2 2" xfId="467"/>
    <cellStyle name="Total 2 10 2 5 3 3" xfId="468"/>
    <cellStyle name="Output 2 12 5 2 3" xfId="469"/>
    <cellStyle name="Note 2 5 3 9 7" xfId="470"/>
    <cellStyle name="Input 2 14 2 2 5" xfId="471"/>
    <cellStyle name="20% - Accent2 2 2" xfId="472"/>
    <cellStyle name="Input 2 5 10 4" xfId="473"/>
    <cellStyle name="Calculation 2 5 2 6 2 4" xfId="474"/>
    <cellStyle name="Calculation 2 13 3 7 2 3" xfId="475"/>
    <cellStyle name="Input 2 14 2 2 5 2" xfId="476"/>
    <cellStyle name="20% - Accent2 2 2 2" xfId="477"/>
    <cellStyle name="Calculation 2 14 2 7 7" xfId="478"/>
    <cellStyle name="Total 2 10 2 8 3 4" xfId="479"/>
    <cellStyle name="Output 2 12 8 2 4" xfId="480"/>
    <cellStyle name="20% - Accent5 2 3" xfId="481"/>
    <cellStyle name="Total 2 7 3 5 5 2" xfId="482"/>
    <cellStyle name="Calculation 2 2 2 3 5 3" xfId="483"/>
    <cellStyle name="Calculation 2 10 3 4 5 2" xfId="484"/>
    <cellStyle name="20% - Accent2 2 2 2 2" xfId="485"/>
    <cellStyle name="60% - Accent5 2 2 5" xfId="486"/>
    <cellStyle name="Total 2 10 2 3 6" xfId="487"/>
    <cellStyle name="20% - Accent2 2 8" xfId="488"/>
    <cellStyle name="Output 2 2 2 9 4 2" xfId="489"/>
    <cellStyle name="Output 2 12 3 5" xfId="490"/>
    <cellStyle name="Input 2 9 2 9 4" xfId="491"/>
    <cellStyle name="Note 2 3 3 3 3 2" xfId="492"/>
    <cellStyle name="Note 2 13 12 3 4" xfId="493"/>
    <cellStyle name="Output 2 6 2 6 2 3" xfId="494"/>
    <cellStyle name="Output 2 12 2 7 4 3" xfId="495"/>
    <cellStyle name="Calculation 2 13 3 5 5" xfId="496"/>
    <cellStyle name="Calculation 2 14 12 5" xfId="497"/>
    <cellStyle name="20% - Accent2 2 2 2 2 2" xfId="498"/>
    <cellStyle name="60% - Accent2 6" xfId="499"/>
    <cellStyle name="20% - Accent2 2 2 2 2 2 2" xfId="500"/>
    <cellStyle name="Total 2 11 3 2 7" xfId="501"/>
    <cellStyle name="60% - Accent2 6 2" xfId="502"/>
    <cellStyle name="Calculation 2 11 18" xfId="503"/>
    <cellStyle name="20% - Accent2 2 2 2 2 2 2 2" xfId="504"/>
    <cellStyle name="Output 2 8 2 6 4 3" xfId="505"/>
    <cellStyle name="Calculation 2 11 3 8" xfId="506"/>
    <cellStyle name="20% - Accent2 2 2 2 2 3" xfId="507"/>
    <cellStyle name="Output 2 14 9 4 2" xfId="508"/>
    <cellStyle name="Accent5 2 2" xfId="509"/>
    <cellStyle name="40% - Accent3 2 2 2 2 2 2 2" xfId="510"/>
    <cellStyle name="Total 2 10 5 3 2" xfId="511"/>
    <cellStyle name="20% - Accent5 2 4" xfId="512"/>
    <cellStyle name="Total 2 7 3 5 5 3" xfId="513"/>
    <cellStyle name="Calculation 2 10 3 4 5 3" xfId="514"/>
    <cellStyle name="20% - Accent2 2 2 2 3" xfId="515"/>
    <cellStyle name="Total 2 6 2 5 2" xfId="516"/>
    <cellStyle name="Note 2 6 10 2" xfId="517"/>
    <cellStyle name="60% - Accent5 2 2 6" xfId="518"/>
    <cellStyle name="Input 2 14 2 2 5 3" xfId="519"/>
    <cellStyle name="20% - Accent2 2 2 3" xfId="520"/>
    <cellStyle name="Input 2 5 10 4 3" xfId="521"/>
    <cellStyle name="Input 2 15 7 4" xfId="522"/>
    <cellStyle name="Calculation 2 11 3 10 2 2" xfId="523"/>
    <cellStyle name="Note 2 11 3 4 2 4" xfId="524"/>
    <cellStyle name="Calculation 2 11 5 5 2" xfId="525"/>
    <cellStyle name="Note 2 14 2 2 5 2" xfId="526"/>
    <cellStyle name="20% - Accent2 2 2 4" xfId="527"/>
    <cellStyle name="Note 2 2 4 4 2" xfId="528"/>
    <cellStyle name="Input 2 15 7 5" xfId="529"/>
    <cellStyle name="Calculation 2 11 3 10 2 3" xfId="530"/>
    <cellStyle name="Calculation 2 11 5 5 3" xfId="531"/>
    <cellStyle name="Output 2 10 3 15" xfId="532"/>
    <cellStyle name="40% - Accent5 2 2" xfId="533"/>
    <cellStyle name="Output 2 3 3 4 5 3" xfId="534"/>
    <cellStyle name="Calculation 2 20 2" xfId="535"/>
    <cellStyle name="Calculation 2 15 2" xfId="536"/>
    <cellStyle name="Input 2 14 2 7 3 2" xfId="537"/>
    <cellStyle name="Calculation 2 16 3 2 4" xfId="538"/>
    <cellStyle name="Note 2 14 2 2 5 3" xfId="539"/>
    <cellStyle name="20% - Accent2 2 2 5" xfId="540"/>
    <cellStyle name="Note 2 2 4 4 3" xfId="541"/>
    <cellStyle name="Input 2 8 5 2" xfId="542"/>
    <cellStyle name="Input 2 15 7 6" xfId="543"/>
    <cellStyle name="Calculation 2 11 3 10 2 4" xfId="544"/>
    <cellStyle name="Output 2 10 3 16" xfId="545"/>
    <cellStyle name="40% - Accent5 2 3" xfId="546"/>
    <cellStyle name="Calculation 2 20 3" xfId="547"/>
    <cellStyle name="Calculation 2 15 3" xfId="548"/>
    <cellStyle name="20% - Accent2 2 2 6" xfId="549"/>
    <cellStyle name="Input [yellow] 2" xfId="550"/>
    <cellStyle name="Calculation 2 12 2 6 4 2" xfId="551"/>
    <cellStyle name="40% - Accent5 2 4" xfId="552"/>
    <cellStyle name="Calculation 2 20 4" xfId="553"/>
    <cellStyle name="Calculation 2 15 4" xfId="554"/>
    <cellStyle name="20% - Accent2 2 2 7" xfId="555"/>
    <cellStyle name="Calculation 2 12 2 6 4 3" xfId="556"/>
    <cellStyle name="40% - Accent5 2 5" xfId="557"/>
    <cellStyle name="Calculation 2 20 5" xfId="558"/>
    <cellStyle name="Calculation 2 15 5" xfId="559"/>
    <cellStyle name="20% - Accent6 2 2 2 2" xfId="560"/>
    <cellStyle name="Output 2 2 7 2 2" xfId="561"/>
    <cellStyle name="Calculation 2 12 2 8 6" xfId="562"/>
    <cellStyle name="Calculation 2 13 3 4" xfId="563"/>
    <cellStyle name="Calculation 2 14 11" xfId="564"/>
    <cellStyle name="20% - Accent2 2 2 8" xfId="565"/>
    <cellStyle name="Total 2 10 2 5 3 4" xfId="566"/>
    <cellStyle name="Output 2 12 5 2 4" xfId="567"/>
    <cellStyle name="Input 2 14 2 2 6" xfId="568"/>
    <cellStyle name="20% - Accent2 2 3" xfId="569"/>
    <cellStyle name="Total 2 7 3 2 5 2" xfId="570"/>
    <cellStyle name="Input 2 5 10 5" xfId="571"/>
    <cellStyle name="Calculation 2 13 3 7 2 4" xfId="572"/>
    <cellStyle name="Total 2 10 2 3 2" xfId="573"/>
    <cellStyle name="20% - Accent2 2 4" xfId="574"/>
    <cellStyle name="Total 2 7 3 2 5 3" xfId="575"/>
    <cellStyle name="Input 2 14 2 2 7" xfId="576"/>
    <cellStyle name="Total 2 10 2 3 2 2" xfId="577"/>
    <cellStyle name="20% - Accent2 2 4 2" xfId="578"/>
    <cellStyle name="Title 2 2 2" xfId="579"/>
    <cellStyle name="Output 2 4 7 3 3" xfId="580"/>
    <cellStyle name="Calculation 2 6 12 2 4" xfId="581"/>
    <cellStyle name="Calculation 2 14 2 9 7" xfId="582"/>
    <cellStyle name="Note 2 13 3 7 4" xfId="583"/>
    <cellStyle name="20% - Accent2 2 4 2 2" xfId="584"/>
    <cellStyle name="40% - Accent1 3" xfId="585"/>
    <cellStyle name="Input 2 5 11 3" xfId="586"/>
    <cellStyle name="Calculation 2 5 2 6 3 3" xfId="587"/>
    <cellStyle name="Calculation 2 13 3 7 3 2" xfId="588"/>
    <cellStyle name="Note 2 13 3 7 4 2" xfId="589"/>
    <cellStyle name="20% - Accent2 2 4 2 2 2" xfId="590"/>
    <cellStyle name="Total 2 10 2 3 2 3" xfId="591"/>
    <cellStyle name="20% - Accent2 2 4 3" xfId="592"/>
    <cellStyle name="Input 2 15 9 4" xfId="593"/>
    <cellStyle name="Calculation 2 11 3 10 4 2" xfId="594"/>
    <cellStyle name="Total 2 10 2 3 3" xfId="595"/>
    <cellStyle name="20% - Accent2 2 5" xfId="596"/>
    <cellStyle name="Output 2 12 3 2" xfId="597"/>
    <cellStyle name="Input 2 5 10 7" xfId="598"/>
    <cellStyle name="Calculation 2 13 3 5 2" xfId="599"/>
    <cellStyle name="Calculation 2 14 12 2" xfId="600"/>
    <cellStyle name="Calculation 2 2 2 2 2 2 2 2 2 2 2 2" xfId="601"/>
    <cellStyle name="Total 2 10 2 3 4" xfId="602"/>
    <cellStyle name="20% - Accent2 2 6" xfId="603"/>
    <cellStyle name="Output 2 12 3 3" xfId="604"/>
    <cellStyle name="Input 2 9 2 9 2" xfId="605"/>
    <cellStyle name="Note 2 13 12 3 2" xfId="606"/>
    <cellStyle name="Input 2 5 10 8" xfId="607"/>
    <cellStyle name="Calculation 2 13 3 5 3" xfId="608"/>
    <cellStyle name="Calculation 2 14 12 3" xfId="609"/>
    <cellStyle name="Total 2 10 2 3 5" xfId="610"/>
    <cellStyle name="20% - Accent2 2 7" xfId="611"/>
    <cellStyle name="Output 2 12 3 4" xfId="612"/>
    <cellStyle name="Input 2 9 2 9 3" xfId="613"/>
    <cellStyle name="Note 2 13 12 3 3" xfId="614"/>
    <cellStyle name="Output 2 6 2 6 2 2" xfId="615"/>
    <cellStyle name="Output 2 12 2 7 4 2" xfId="616"/>
    <cellStyle name="Calculation 2 13 3 5 4" xfId="617"/>
    <cellStyle name="Calculation 2 14 12 4" xfId="618"/>
    <cellStyle name="20% - Accent2 3" xfId="619"/>
    <cellStyle name="20% - Accent2 4" xfId="620"/>
    <cellStyle name="40% - Accent2 4" xfId="621"/>
    <cellStyle name="Total 2 10 2 5 5 3" xfId="622"/>
    <cellStyle name="Output 2 12 5 4 3" xfId="623"/>
    <cellStyle name="Input 2 14 2 4 5" xfId="624"/>
    <cellStyle name="20% - Accent2 4 2" xfId="625"/>
    <cellStyle name="Input 2 5 12 4" xfId="626"/>
    <cellStyle name="Calculation 2 13 3 7 4 3" xfId="627"/>
    <cellStyle name="40% - Accent2 5" xfId="628"/>
    <cellStyle name="Output 2 6 5 3 2" xfId="629"/>
    <cellStyle name="Input 2 14 2 4 6" xfId="630"/>
    <cellStyle name="20% - Accent2 4 3" xfId="631"/>
    <cellStyle name="40% - Accent2 6" xfId="632"/>
    <cellStyle name="Total 2 10 2 5 2" xfId="633"/>
    <cellStyle name="20% - Accent2 4 4" xfId="634"/>
    <cellStyle name="Output 2 6 5 3 3" xfId="635"/>
    <cellStyle name="Input 2 14 2 4 7" xfId="636"/>
    <cellStyle name="20% - Accent2 5" xfId="637"/>
    <cellStyle name="Calculation 2 11 2 9 5 2" xfId="638"/>
    <cellStyle name="40% - Accent4 2" xfId="639"/>
    <cellStyle name="Input 2 7 3 4 3 3" xfId="640"/>
    <cellStyle name="Calculation 2 13 18" xfId="641"/>
    <cellStyle name="20% - Accent2 6" xfId="642"/>
    <cellStyle name="Input 2 6 2 2 2 2 2 2 2" xfId="643"/>
    <cellStyle name="Calculation 2 11 2 9 5 3" xfId="644"/>
    <cellStyle name="Total 2 10 2 6 3 3" xfId="645"/>
    <cellStyle name="Output 2 12 6 2 3" xfId="646"/>
    <cellStyle name="Input 2 14 3 2 5" xfId="647"/>
    <cellStyle name="20% - Accent3 2 2" xfId="648"/>
    <cellStyle name="Calculation 2 5 2 7 2 4" xfId="649"/>
    <cellStyle name="Calculation 2 13 3 8 2 3" xfId="650"/>
    <cellStyle name="20% - Accent3 2 2 2 2" xfId="651"/>
    <cellStyle name="20% - Accent3 2 2 2 2 2" xfId="652"/>
    <cellStyle name="40% - Accent2 2 2 2 5" xfId="653"/>
    <cellStyle name="Note 2 14 9 7" xfId="654"/>
    <cellStyle name="Calculation 2 20 3 3" xfId="655"/>
    <cellStyle name="Calculation 2 15 3 3" xfId="656"/>
    <cellStyle name="Output 2 6 8 5 3" xfId="657"/>
    <cellStyle name="Output 2 13 3 9 3 3" xfId="658"/>
    <cellStyle name="Input 2 7 3 2 7" xfId="659"/>
    <cellStyle name="20% - Accent5 6 4" xfId="660"/>
    <cellStyle name="20% - Accent3 2 2 2 2 2 2" xfId="661"/>
    <cellStyle name="Calculation 2 10 5 6" xfId="662"/>
    <cellStyle name="Calculation 2 2 2 10 3 4" xfId="663"/>
    <cellStyle name="20% - Accent3 2 2 2 2 2 2 2" xfId="664"/>
    <cellStyle name="20% - Accent3 2 2 2 2 3" xfId="665"/>
    <cellStyle name="20% - Accent3 2 2 2 3" xfId="666"/>
    <cellStyle name="60% - Accent2 4 2" xfId="667"/>
    <cellStyle name="Total 2 10 2 9 4 3" xfId="668"/>
    <cellStyle name="Output 2 12 9 3 3" xfId="669"/>
    <cellStyle name="20% - Accent6 3 2" xfId="670"/>
    <cellStyle name="Calculation 2 14 3 2 4 2" xfId="671"/>
    <cellStyle name="Total 2 13 3 6 6" xfId="672"/>
    <cellStyle name="Note 2 14 3 2 5 2" xfId="673"/>
    <cellStyle name="20% - Accent3 2 2 4" xfId="674"/>
    <cellStyle name="Calculation 2 12 5 5 3" xfId="675"/>
    <cellStyle name="Output 2 6 9 2 2" xfId="676"/>
    <cellStyle name="Output 2 12 9 3 4" xfId="677"/>
    <cellStyle name="20% - Accent6 3 3" xfId="678"/>
    <cellStyle name="Calculation 2 14 3 2 4 3" xfId="679"/>
    <cellStyle name="Total 2 13 3 6 7" xfId="680"/>
    <cellStyle name="Note 2 14 3 2 5 3" xfId="681"/>
    <cellStyle name="20% - Accent3 2 2 5" xfId="682"/>
    <cellStyle name="Total 2 10 6 4 2" xfId="683"/>
    <cellStyle name="20% - Accent6 3 4" xfId="684"/>
    <cellStyle name="Output 2 6 9 2 3" xfId="685"/>
    <cellStyle name="Input 2 3 13 2" xfId="686"/>
    <cellStyle name="20% - Accent3 2 2 6" xfId="687"/>
    <cellStyle name="Calculation 2 4 2 5 4 3" xfId="688"/>
    <cellStyle name="Calculation 2 12 3 6 4 2" xfId="689"/>
    <cellStyle name="Input 2 5 2 10 2" xfId="690"/>
    <cellStyle name="Input 2 3 13 3" xfId="691"/>
    <cellStyle name="20% - Accent3 2 2 7" xfId="692"/>
    <cellStyle name="Calculation 2 12 3 6 4 3" xfId="693"/>
    <cellStyle name="Input 2 5 2 10 3" xfId="694"/>
    <cellStyle name="Input 2 3 13 4" xfId="695"/>
    <cellStyle name="20% - Accent3 2 2 8" xfId="696"/>
    <cellStyle name="Calculation 2 11 12 5 2" xfId="697"/>
    <cellStyle name="Total 2 10 2 6 3 4" xfId="698"/>
    <cellStyle name="Output 2 12 6 2 4" xfId="699"/>
    <cellStyle name="Input 2 14 3 2 6" xfId="700"/>
    <cellStyle name="20% - Accent3 2 3" xfId="701"/>
    <cellStyle name="Total 2 7 3 3 5 2" xfId="702"/>
    <cellStyle name="Calculation 2 10 3 2 5 2" xfId="703"/>
    <cellStyle name="Calculation 2 3 8 6 2 2" xfId="704"/>
    <cellStyle name="Calculation 2 13 3 8 2 4" xfId="705"/>
    <cellStyle name="Total 2 10 3 3 2" xfId="706"/>
    <cellStyle name="20% - Accent3 2 4" xfId="707"/>
    <cellStyle name="Total 2 7 3 3 5 3" xfId="708"/>
    <cellStyle name="Input 2 14 3 2 7" xfId="709"/>
    <cellStyle name="Calculation 2 10 3 2 5 3" xfId="710"/>
    <cellStyle name="40% - Accent1 2" xfId="711"/>
    <cellStyle name="Input 2 5 26" xfId="712"/>
    <cellStyle name="20% - Accent3 2 4 2 2" xfId="713"/>
    <cellStyle name="Note 2 2 2 14 4" xfId="714"/>
    <cellStyle name="40% - Accent1 2 2" xfId="715"/>
    <cellStyle name="Note 2 12 19" xfId="716"/>
    <cellStyle name="Calculation 2 14 3 5 7" xfId="717"/>
    <cellStyle name="20% - Accent3 2 4 2 2 2" xfId="718"/>
    <cellStyle name="Total 2 10 3 3 3" xfId="719"/>
    <cellStyle name="20% - Accent3 2 5" xfId="720"/>
    <cellStyle name="Output 2 13 3 2" xfId="721"/>
    <cellStyle name="Calculation 2 13 4 5 2" xfId="722"/>
    <cellStyle name="40% - Accent3 2 4 2 2" xfId="723"/>
    <cellStyle name="Calculation 2 13" xfId="724"/>
    <cellStyle name="20% - Accent3 4" xfId="725"/>
    <cellStyle name="Output 2 3 3 4 3 3" xfId="726"/>
    <cellStyle name="Input 2 7 3 12 4" xfId="727"/>
    <cellStyle name="40% - Accent3 2 4 2 2 2" xfId="728"/>
    <cellStyle name="Calculation 2 13 2" xfId="729"/>
    <cellStyle name="Total 2 10 2 6 5 3" xfId="730"/>
    <cellStyle name="Output 2 12 6 4 3" xfId="731"/>
    <cellStyle name="Input 2 14 3 4 5" xfId="732"/>
    <cellStyle name="20% - Accent3 4 2" xfId="733"/>
    <cellStyle name="Calculation 2 13 3 8 4 3" xfId="734"/>
    <cellStyle name="Output 2 2 2 3" xfId="735"/>
    <cellStyle name="40% - Accent2 2 2 4 2 2" xfId="736"/>
    <cellStyle name="20% - Accent3 5" xfId="737"/>
    <cellStyle name="Input 2 5 9 4 2" xfId="738"/>
    <cellStyle name="Input 2 5 2 6 3 4" xfId="739"/>
    <cellStyle name="60% - Accent4 2 4 2" xfId="740"/>
    <cellStyle name="Note 2 12 2 10 2 4" xfId="741"/>
    <cellStyle name="Calculation 2 4 2 7 2 4" xfId="742"/>
    <cellStyle name="20% - Accent4 2" xfId="743"/>
    <cellStyle name="Calculation 2 12 3 8 2 3" xfId="744"/>
    <cellStyle name="Total 2 10 2 7 3 3" xfId="745"/>
    <cellStyle name="Output 2 12 7 2 3" xfId="746"/>
    <cellStyle name="20% - Accent4 2 2" xfId="747"/>
    <cellStyle name="Calculation 2 5 2 8 2 4" xfId="748"/>
    <cellStyle name="Calculation 2 13 3 9 2 3" xfId="749"/>
    <cellStyle name="Total 2 10 4 3 2" xfId="750"/>
    <cellStyle name="20% - Accent4 2 4" xfId="751"/>
    <cellStyle name="Total 2 7 3 4 5 3" xfId="752"/>
    <cellStyle name="20% - Accent4 2 2 2" xfId="753"/>
    <cellStyle name="Calculation 2 10 3 3 5 3" xfId="754"/>
    <cellStyle name="40% - Accent1 2 7" xfId="755"/>
    <cellStyle name="Calculation 2 12 2 7 2 3" xfId="756"/>
    <cellStyle name="20% - Accent4 2 4 2" xfId="757"/>
    <cellStyle name="20% - Accent4 2 2 2 2" xfId="758"/>
    <cellStyle name="40% - Accent3 2 7" xfId="759"/>
    <cellStyle name="Calculation 2 9 2" xfId="760"/>
    <cellStyle name="Calculation 2 12 2 9 2 3" xfId="761"/>
    <cellStyle name="Total 2 10 6 5 2" xfId="762"/>
    <cellStyle name="20% - Accent6 4 4" xfId="763"/>
    <cellStyle name="Output 2 6 9 3 3" xfId="764"/>
    <cellStyle name="20% - Accent4 2 4 2 2" xfId="765"/>
    <cellStyle name="20% - Accent4 2 2 2 2 2" xfId="766"/>
    <cellStyle name="20% - Accent4 2 4 2 2 2" xfId="767"/>
    <cellStyle name="20% - Accent4 2 2 2 2 2 2" xfId="768"/>
    <cellStyle name="40% - Accent3 2 8" xfId="769"/>
    <cellStyle name="Calculation 2 9 3" xfId="770"/>
    <cellStyle name="Calculation 2 12 2 9 2 4" xfId="771"/>
    <cellStyle name="Input 2 11 9 2 2" xfId="772"/>
    <cellStyle name="20% - Accent4 2 2 2 2 3" xfId="773"/>
    <cellStyle name="Total 2 10 4 3 3" xfId="774"/>
    <cellStyle name="20% - Accent4 2 5" xfId="775"/>
    <cellStyle name="Output 2 14 3 2" xfId="776"/>
    <cellStyle name="20% - Accent4 2 2 3" xfId="777"/>
    <cellStyle name="Calculation 2 13 5 5 2" xfId="778"/>
    <cellStyle name="Total 2 10 4 3 4" xfId="779"/>
    <cellStyle name="20% - Accent4 2 6" xfId="780"/>
    <cellStyle name="Output 2 14 3 3" xfId="781"/>
    <cellStyle name="20% - Accent4 2 2 4" xfId="782"/>
    <cellStyle name="Calculation 2 13 5 5 3" xfId="783"/>
    <cellStyle name="Output 2 14 3 4" xfId="784"/>
    <cellStyle name="20% - Accent4 2 7" xfId="785"/>
    <cellStyle name="20% - Accent4 2 2 5" xfId="786"/>
    <cellStyle name="40% - Accent2 2 6 2" xfId="787"/>
    <cellStyle name="Calculation 2 10 15" xfId="788"/>
    <cellStyle name="Calculation 2 10 20" xfId="789"/>
    <cellStyle name="Calculation 2 13 3 14 3" xfId="790"/>
    <cellStyle name="Output 2 14 3 5" xfId="791"/>
    <cellStyle name="Note 2 3 3 5 3 2" xfId="792"/>
    <cellStyle name="Total 2 2 2 2 4" xfId="793"/>
    <cellStyle name="20% - Accent4 2 8" xfId="794"/>
    <cellStyle name="Input 2 8 13 2" xfId="795"/>
    <cellStyle name="20% - Accent4 2 2 6" xfId="796"/>
    <cellStyle name="40% - Accent2 2 6 3" xfId="797"/>
    <cellStyle name="Calculation 2 10 16" xfId="798"/>
    <cellStyle name="Input 2 8 13 3" xfId="799"/>
    <cellStyle name="20% - Accent4 2 2 7" xfId="800"/>
    <cellStyle name="Input 2 8 13 4" xfId="801"/>
    <cellStyle name="20% - Accent4 2 2 8" xfId="802"/>
    <cellStyle name="Total 2 10 2 7 3 4" xfId="803"/>
    <cellStyle name="Output 2 12 7 2 4" xfId="804"/>
    <cellStyle name="20% - Accent4 2 3" xfId="805"/>
    <cellStyle name="Total 2 7 3 4 5 2" xfId="806"/>
    <cellStyle name="Calculation 2 2 2 2 5 3" xfId="807"/>
    <cellStyle name="Calculation 2 10 3 3 5 2" xfId="808"/>
    <cellStyle name="Calculation 2 13 3 9 2 4" xfId="809"/>
    <cellStyle name="40% - Accent3 2 2 2 2 2" xfId="810"/>
    <cellStyle name="Calculation 2 2 8 6 2 2" xfId="811"/>
    <cellStyle name="20% - Accent4 3" xfId="812"/>
    <cellStyle name="Calculation 2 12 3 8 2 4" xfId="813"/>
    <cellStyle name="40% - Accent3 2 2 2 2 3" xfId="814"/>
    <cellStyle name="20% - Accent4 4" xfId="815"/>
    <cellStyle name="40% - Accent1 2 5" xfId="816"/>
    <cellStyle name="Calculation 2 11 6 3 4" xfId="817"/>
    <cellStyle name="Total 2 10 2 7 5 3" xfId="818"/>
    <cellStyle name="Output 2 12 7 4 3" xfId="819"/>
    <cellStyle name="20% - Accent4 4 2" xfId="820"/>
    <cellStyle name="Calculation 2 13 3 9 4 3" xfId="821"/>
    <cellStyle name="Input 2 2 9 2" xfId="822"/>
    <cellStyle name="Calculation 2 2 2 2 8" xfId="823"/>
    <cellStyle name="60% - Accent1 2 2" xfId="824"/>
    <cellStyle name="20% - Accent4 5" xfId="825"/>
    <cellStyle name="40% - Accent6 2" xfId="826"/>
    <cellStyle name="20% - Accent4 6" xfId="827"/>
    <cellStyle name="Input 2 2 9 3" xfId="828"/>
    <cellStyle name="Calculation 2 2 2 2 9" xfId="829"/>
    <cellStyle name="Total 2 11 3 9 2 2" xfId="830"/>
    <cellStyle name="60% - Accent1 2 3" xfId="831"/>
    <cellStyle name="Note 2 4 3 6 4" xfId="832"/>
    <cellStyle name="Input 2 8 3 9 5 2" xfId="833"/>
    <cellStyle name="40% - Accent6 2 2 3" xfId="834"/>
    <cellStyle name="Note 2 12 2 10 3 4" xfId="835"/>
    <cellStyle name="Calculation 2 4 2 7 3 4" xfId="836"/>
    <cellStyle name="20% - Accent5 2" xfId="837"/>
    <cellStyle name="Calculation 2 12 3 8 3 3" xfId="838"/>
    <cellStyle name="Total 2 10 2 8 3 3" xfId="839"/>
    <cellStyle name="Output 2 12 8 2 3" xfId="840"/>
    <cellStyle name="20% - Accent5 2 2" xfId="841"/>
    <cellStyle name="Excel_BuiltIn_Bad" xfId="842"/>
    <cellStyle name="Calculation 2 8 2 6 5 3" xfId="843"/>
    <cellStyle name="20% - Accent5 2 2 2" xfId="844"/>
    <cellStyle name="20% - Accent6 2 2 3" xfId="845"/>
    <cellStyle name="Calculation 2 15 5 5 2" xfId="846"/>
    <cellStyle name="Output 2 2 7 3" xfId="847"/>
    <cellStyle name="Calculation 2 2 2 13 2" xfId="848"/>
    <cellStyle name="20% - Accent5 2 2 2 2" xfId="849"/>
    <cellStyle name="Output 2 4 2 3 2 3" xfId="850"/>
    <cellStyle name="Output 2 10 2 4 4 3" xfId="851"/>
    <cellStyle name="20% - Accent5 2 2 2 2 2" xfId="852"/>
    <cellStyle name="20% - Accent5 2 2 2 2 2 2" xfId="853"/>
    <cellStyle name="Total 2 2 3 10 3 4" xfId="854"/>
    <cellStyle name="Note 2 11 3 6 2 4" xfId="855"/>
    <cellStyle name="40% - Accent2 4 3" xfId="856"/>
    <cellStyle name="Calculation 2 11 7 5 2" xfId="857"/>
    <cellStyle name="Calculation 2 14 3 10 7" xfId="858"/>
    <cellStyle name="20% - Accent5 2 2 2 2 2 2 2" xfId="859"/>
    <cellStyle name="40% - Accent1 2 2 6" xfId="860"/>
    <cellStyle name="Output 2 14 9 6" xfId="861"/>
    <cellStyle name="20% - Accent5 2 2 2 2 2 2 2 2" xfId="862"/>
    <cellStyle name="Accent5 4" xfId="863"/>
    <cellStyle name="20% - Accent5 2 2 2 2 2 3" xfId="864"/>
    <cellStyle name="Calculation 2 2 2 6 2 3" xfId="865"/>
    <cellStyle name="Calculation 2 10 3 7 2 2" xfId="866"/>
    <cellStyle name="Output 2 4 2 3 2 4" xfId="867"/>
    <cellStyle name="20% - Accent5 2 2 2 2 3" xfId="868"/>
    <cellStyle name="Input 2 6 3 5 3 3" xfId="869"/>
    <cellStyle name="Calculation 2 23 2 2" xfId="870"/>
    <cellStyle name="Calculation 2 18 2 2" xfId="871"/>
    <cellStyle name="20% - Accent6 2 2 4" xfId="872"/>
    <cellStyle name="Calculation 2 15 5 5 3" xfId="873"/>
    <cellStyle name="Output 2 2 7 4" xfId="874"/>
    <cellStyle name="Calculation 2 2 2 13 3" xfId="875"/>
    <cellStyle name="20% - Accent5 2 2 2 3" xfId="876"/>
    <cellStyle name="20% - Accent6 2 2 5" xfId="877"/>
    <cellStyle name="Calculation 2 10 2 12 2" xfId="878"/>
    <cellStyle name="Output 2 2 7 5" xfId="879"/>
    <cellStyle name="Calculation 2 2 2 13 4" xfId="880"/>
    <cellStyle name="Calculation 2 9 3 2 4 2" xfId="881"/>
    <cellStyle name="20% - Accent5 2 2 2 4" xfId="882"/>
    <cellStyle name="20% - Accent6 2 2 6" xfId="883"/>
    <cellStyle name="Calculation 2 10 2 12 3" xfId="884"/>
    <cellStyle name="Calculation 2 9 3 2 4 3" xfId="885"/>
    <cellStyle name="20% - Accent5 2 2 2 5" xfId="886"/>
    <cellStyle name="Calculation 2 5 2 8 3 4" xfId="887"/>
    <cellStyle name="40% - Accent3 2 2 2 2 2 2" xfId="888"/>
    <cellStyle name="Calculation 2 13 3 9 3 3" xfId="889"/>
    <cellStyle name="20% - Accent6 2 2 7" xfId="890"/>
    <cellStyle name="Calculation 2 10 2 12 4" xfId="891"/>
    <cellStyle name="Output 2 2 7 7" xfId="892"/>
    <cellStyle name="Calculation 2 10 2 6 3 2" xfId="893"/>
    <cellStyle name="Calculation 2 12 9 2" xfId="894"/>
    <cellStyle name="20% - Accent5 2 2 2 6" xfId="895"/>
    <cellStyle name="Output 2 9 3 6 5 2" xfId="896"/>
    <cellStyle name="20% - Accent6 2 2 8" xfId="897"/>
    <cellStyle name="Calculation 2 10 2 6 3 3" xfId="898"/>
    <cellStyle name="Input 2 14 3 5 3 2" xfId="899"/>
    <cellStyle name="Calculation 2 12 9 3" xfId="900"/>
    <cellStyle name="20% - Accent5 2 2 2 7" xfId="901"/>
    <cellStyle name="Note 2 4 3 5 5 3" xfId="902"/>
    <cellStyle name="Calculation 2 5 5 2 3" xfId="903"/>
    <cellStyle name="Calculation 2 10 3 10 2" xfId="904"/>
    <cellStyle name="40% - Accent6 2 2 2 2 2 2" xfId="905"/>
    <cellStyle name="20% - Accent5 2 2 3" xfId="906"/>
    <cellStyle name="Calculation 2 14 2 10 3 2" xfId="907"/>
    <cellStyle name="Calculation 2 14 5 5 2" xfId="908"/>
    <cellStyle name="Output 2 4 2 5 2 3" xfId="909"/>
    <cellStyle name="Output 2 10 2 6 4 3" xfId="910"/>
    <cellStyle name="20% - Accent5 2 2 4 2 2" xfId="911"/>
    <cellStyle name="Calculation 2 10 10 5 3" xfId="912"/>
    <cellStyle name="Total 2 10 3 7 2 4" xfId="913"/>
    <cellStyle name="Input 2 10 2 10 3 2" xfId="914"/>
    <cellStyle name="Calculation 2 2 4 6 2" xfId="915"/>
    <cellStyle name="Calculation 2 16 12" xfId="916"/>
    <cellStyle name="Output 2 4 3 10 3 3" xfId="917"/>
    <cellStyle name="Note 2 2 5 6" xfId="918"/>
    <cellStyle name="Input 2 7 2 6 5 3" xfId="919"/>
    <cellStyle name="20% - Accent5 2 2 4 2 2 2" xfId="920"/>
    <cellStyle name="Input 2 7 10 7" xfId="921"/>
    <cellStyle name="Calculation 2 2 4 6 2 2" xfId="922"/>
    <cellStyle name="Calculation 2 16 12 2" xfId="923"/>
    <cellStyle name="Input 2 13 10 7" xfId="924"/>
    <cellStyle name="20% - Accent5 2 2 4 3" xfId="925"/>
    <cellStyle name="20% - Accent5 2 2 5" xfId="926"/>
    <cellStyle name="Note 2 5 4 4 3" xfId="927"/>
    <cellStyle name="Calculation 2 14 2 10 3 4" xfId="928"/>
    <cellStyle name="Total 2 10 5 3 3" xfId="929"/>
    <cellStyle name="20% - Accent5 2 5" xfId="930"/>
    <cellStyle name="Output 2 20 3 2" xfId="931"/>
    <cellStyle name="Output 2 15 3 2" xfId="932"/>
    <cellStyle name="Total 2 10 10 2" xfId="933"/>
    <cellStyle name="Calculation 2 12 2 10 5 2" xfId="934"/>
    <cellStyle name="Calculation 2 13 6 5 2" xfId="935"/>
    <cellStyle name="Total 2 10 5 3 4" xfId="936"/>
    <cellStyle name="20% - Accent5 2 6" xfId="937"/>
    <cellStyle name="Output 2 20 3 3" xfId="938"/>
    <cellStyle name="Output 2 15 3 3" xfId="939"/>
    <cellStyle name="Total 2 10 10 3" xfId="940"/>
    <cellStyle name="Calculation 2 8 3 3 2 2" xfId="941"/>
    <cellStyle name="Calculation 2 12 2 10 5 3" xfId="942"/>
    <cellStyle name="Calculation 2 13 6 5 3" xfId="943"/>
    <cellStyle name="Output 2 15 3 3 2" xfId="944"/>
    <cellStyle name="20% - Accent5 2 6 2" xfId="945"/>
    <cellStyle name="Calculation 2 13 2 10 5" xfId="946"/>
    <cellStyle name="20% - Accent5 2 6 2 2" xfId="947"/>
    <cellStyle name="Note 2 3 10 7" xfId="948"/>
    <cellStyle name="Calculation 2 13 2 10 5 2" xfId="949"/>
    <cellStyle name="40% - Accent1 2 6" xfId="950"/>
    <cellStyle name="Calculation 2 12 2 7 2 2" xfId="951"/>
    <cellStyle name="20% - Accent5 2 6 2 2 2" xfId="952"/>
    <cellStyle name="Output 2 15 3 3 3" xfId="953"/>
    <cellStyle name="20% - Accent5 2 6 3" xfId="954"/>
    <cellStyle name="Calculation 2 11 2 5 2 2" xfId="955"/>
    <cellStyle name="Calculation 2 13 2 10 6" xfId="956"/>
    <cellStyle name="Output 2 20 3 4" xfId="957"/>
    <cellStyle name="Output 2 15 3 4" xfId="958"/>
    <cellStyle name="20% - Accent5 2 7" xfId="959"/>
    <cellStyle name="Output 2 15 3 5" xfId="960"/>
    <cellStyle name="40% - Accent5 2 2 2 2" xfId="961"/>
    <cellStyle name="Note 2 3 3 6 3 2" xfId="962"/>
    <cellStyle name="Total 2 2 3 2 4" xfId="963"/>
    <cellStyle name="20% - Accent5 2 8" xfId="964"/>
    <cellStyle name="Calculation 2 15 2 2 2" xfId="965"/>
    <cellStyle name="Calculation 2 2 17 2" xfId="966"/>
    <cellStyle name="Output 2 15 3 6" xfId="967"/>
    <cellStyle name="40% - Accent5 2 2 2 3" xfId="968"/>
    <cellStyle name="Note 2 3 3 6 3 3" xfId="969"/>
    <cellStyle name="Total 2 2 3 2 5" xfId="970"/>
    <cellStyle name="20% - Accent5 2 9" xfId="971"/>
    <cellStyle name="Calculation 2 7 4 2" xfId="972"/>
    <cellStyle name="Calculation 2 15 2 2 3" xfId="973"/>
    <cellStyle name="Output 2 9 2 10 7" xfId="974"/>
    <cellStyle name="Output 2 16 3 3 2" xfId="975"/>
    <cellStyle name="20% - Accent6 2 6 2" xfId="976"/>
    <cellStyle name="Note 2 4 3 6 5" xfId="977"/>
    <cellStyle name="Input 2 8 3 9 5 3" xfId="978"/>
    <cellStyle name="Calculation 2 5 6 2" xfId="979"/>
    <cellStyle name="40% - Accent6 2 2 4" xfId="980"/>
    <cellStyle name="Note 2 3 3 4" xfId="981"/>
    <cellStyle name="40% - Accent2 2 2 2 2 2 2" xfId="982"/>
    <cellStyle name="20% - Accent5 3" xfId="983"/>
    <cellStyle name="Calculation 2 12 3 8 3 4" xfId="984"/>
    <cellStyle name="Note 2 4 3 6 6" xfId="985"/>
    <cellStyle name="Calculation 2 5 6 3" xfId="986"/>
    <cellStyle name="40% - Accent6 2 2 5" xfId="987"/>
    <cellStyle name="Note 2 3 3 5" xfId="988"/>
    <cellStyle name="Input 2 7 2 7 3 2" xfId="989"/>
    <cellStyle name="40% - Accent2 2 2 2 2 2 3" xfId="990"/>
    <cellStyle name="Sheet Title" xfId="991"/>
    <cellStyle name="Calculation 2 3 2 2 4 3" xfId="992"/>
    <cellStyle name="Calculation 2 11 3 3 4 2" xfId="993"/>
    <cellStyle name="Note 2 2 2 10 2" xfId="994"/>
    <cellStyle name="20% - Accent5 4" xfId="995"/>
    <cellStyle name="40% - Accent2 2 5" xfId="996"/>
    <cellStyle name="Calculation 2 11 7 3 4" xfId="997"/>
    <cellStyle name="Total 2 10 2 8 5 3" xfId="998"/>
    <cellStyle name="Output 2 12 8 4 3" xfId="999"/>
    <cellStyle name="Note 2 2 2 10 2 2" xfId="1000"/>
    <cellStyle name="Input 2 2 2 10 2 4" xfId="1001"/>
    <cellStyle name="20% - Accent5 4 2" xfId="1002"/>
    <cellStyle name="Calculation 2 12 11 7" xfId="1003"/>
    <cellStyle name="40% - Accent2 2 6" xfId="1004"/>
    <cellStyle name="Calculation 2 12 2 8 2 2" xfId="1005"/>
    <cellStyle name="Output 2 6 8 3 2" xfId="1006"/>
    <cellStyle name="Note 2 2 2 10 2 3" xfId="1007"/>
    <cellStyle name="20% - Accent5 4 3" xfId="1008"/>
    <cellStyle name="40% - Accent2 2 7" xfId="1009"/>
    <cellStyle name="Calculation 2 12 2 8 2 3" xfId="1010"/>
    <cellStyle name="Total 2 10 5 5 2" xfId="1011"/>
    <cellStyle name="20% - Accent5 4 4" xfId="1012"/>
    <cellStyle name="Output 2 6 8 3 3" xfId="1013"/>
    <cellStyle name="Note 2 2 2 10 2 4" xfId="1014"/>
    <cellStyle name="Note 2 4 3 6 7" xfId="1015"/>
    <cellStyle name="Calculation 2 5 6 4" xfId="1016"/>
    <cellStyle name="40% - Accent6 2 2 6" xfId="1017"/>
    <cellStyle name="Note 2 11 2 6 2 4" xfId="1018"/>
    <cellStyle name="Calculation 2 10 7 5 2" xfId="1019"/>
    <cellStyle name="Note 2 11 3 3 5 3" xfId="1020"/>
    <cellStyle name="20% - Accent6 2 2 2 2 2 2" xfId="1021"/>
    <cellStyle name="Accent5 - 40% 3" xfId="1022"/>
    <cellStyle name="Output 2 3 2 14 3" xfId="1023"/>
    <cellStyle name="Calculation 2 5 2 3 2 3" xfId="1024"/>
    <cellStyle name="Calculation 2 13 3 4 2 2" xfId="1025"/>
    <cellStyle name="Calculation 2 14 11 2 2" xfId="1026"/>
    <cellStyle name="Note 2 2 2 10 3" xfId="1027"/>
    <cellStyle name="20% - Accent5 5" xfId="1028"/>
    <cellStyle name="20% - Accent6 2 2 2 2 2 2 2" xfId="1029"/>
    <cellStyle name="Calculation 2 11 2 6 7" xfId="1030"/>
    <cellStyle name="Output 2 12 2 2 2 2" xfId="1031"/>
    <cellStyle name="Input 2 5 6 5" xfId="1032"/>
    <cellStyle name="Calculation 2 13 10 4" xfId="1033"/>
    <cellStyle name="Output 2 12 8 5 3" xfId="1034"/>
    <cellStyle name="Note 2 2 3 2 2 5" xfId="1035"/>
    <cellStyle name="Note 2 2 2 10 3 2" xfId="1036"/>
    <cellStyle name="Input 2 2 2 10 3 4" xfId="1037"/>
    <cellStyle name="20% - Accent5 5 2" xfId="1038"/>
    <cellStyle name="Calculation 2 12 12 7" xfId="1039"/>
    <cellStyle name="Note 2 3 3 6 3" xfId="1040"/>
    <cellStyle name="40% - Accent5 2 2 2" xfId="1041"/>
    <cellStyle name="Calculation 2 13 3 10 2 4" xfId="1042"/>
    <cellStyle name="Note 2 14 8 6" xfId="1043"/>
    <cellStyle name="Input 2 6 3 2 3 3" xfId="1044"/>
    <cellStyle name="Calculation 2 20 2 2" xfId="1045"/>
    <cellStyle name="Calculation 2 15 2 2" xfId="1046"/>
    <cellStyle name="Calculation 2 2 22" xfId="1047"/>
    <cellStyle name="Calculation 2 2 17" xfId="1048"/>
    <cellStyle name="Output 2 6 8 4 2" xfId="1049"/>
    <cellStyle name="Output 2 13 3 9 2 2" xfId="1050"/>
    <cellStyle name="Note 2 2 2 10 3 3" xfId="1051"/>
    <cellStyle name="20% - Accent5 5 3" xfId="1052"/>
    <cellStyle name="Note 2 3 3 6 4" xfId="1053"/>
    <cellStyle name="Input 2 8 2 9 5 2" xfId="1054"/>
    <cellStyle name="40% - Accent5 2 2 3" xfId="1055"/>
    <cellStyle name="Note 2 3 2 4 5 2" xfId="1056"/>
    <cellStyle name="Input 2 6 3 2 3 4" xfId="1057"/>
    <cellStyle name="Note 2 14 8 7" xfId="1058"/>
    <cellStyle name="Calculation 2 20 2 3" xfId="1059"/>
    <cellStyle name="Calculation 2 15 2 3" xfId="1060"/>
    <cellStyle name="Calculation 2 2 23" xfId="1061"/>
    <cellStyle name="Calculation 2 2 18" xfId="1062"/>
    <cellStyle name="Output 2 6 8 4 3" xfId="1063"/>
    <cellStyle name="Output 2 13 3 9 2 3" xfId="1064"/>
    <cellStyle name="Note 2 2 2 10 3 4" xfId="1065"/>
    <cellStyle name="20% - Accent5 5 4" xfId="1066"/>
    <cellStyle name="Note 2 13 3 2" xfId="1067"/>
    <cellStyle name="Calculation 2 5 6 5" xfId="1068"/>
    <cellStyle name="40% - Accent6 2 2 7" xfId="1069"/>
    <cellStyle name="Total 2 7 2 2 2 2" xfId="1070"/>
    <cellStyle name="Calculation 2 10 7 5 3" xfId="1071"/>
    <cellStyle name="20% - Accent6 2 2 2 2 2 3" xfId="1072"/>
    <cellStyle name="Note 2 10 15 2" xfId="1073"/>
    <cellStyle name="Input 2 14 3 10 4 2" xfId="1074"/>
    <cellStyle name="Accent5 - 40% 4" xfId="1075"/>
    <cellStyle name="Calculation 2 5 2 3 2 4" xfId="1076"/>
    <cellStyle name="Calculation 2 13 3 4 2 3" xfId="1077"/>
    <cellStyle name="Calculation 2 14 11 2 3" xfId="1078"/>
    <cellStyle name="Note 2 2 2 10 4" xfId="1079"/>
    <cellStyle name="20% - Accent5 6" xfId="1080"/>
    <cellStyle name="Output 2 7 14 4" xfId="1081"/>
    <cellStyle name="40% - Accent2 2 2 2 3" xfId="1082"/>
    <cellStyle name="Calculation 2 13 3 10 3 3" xfId="1083"/>
    <cellStyle name="Note 2 2 3 2 3 5" xfId="1084"/>
    <cellStyle name="Note 2 2 2 10 4 2" xfId="1085"/>
    <cellStyle name="Input 2 7 3 2 5" xfId="1086"/>
    <cellStyle name="20% - Accent5 6 2" xfId="1087"/>
    <cellStyle name="40% - Accent2 2 2 2 4" xfId="1088"/>
    <cellStyle name="Calculation 2 13 3 10 3 4" xfId="1089"/>
    <cellStyle name="Note 2 14 9 6" xfId="1090"/>
    <cellStyle name="Input 2 6 3 2 4 3" xfId="1091"/>
    <cellStyle name="Calculation 2 20 3 2" xfId="1092"/>
    <cellStyle name="Calculation 2 15 3 2" xfId="1093"/>
    <cellStyle name="Output 2 6 8 5 2" xfId="1094"/>
    <cellStyle name="Output 2 13 3 9 3 2" xfId="1095"/>
    <cellStyle name="Input 2 7 3 2 6" xfId="1096"/>
    <cellStyle name="Note 2 2 2 10 4 3" xfId="1097"/>
    <cellStyle name="20% - Accent5 6 3" xfId="1098"/>
    <cellStyle name="20% - Accent6 2" xfId="1099"/>
    <cellStyle name="Calculation 2 12 3 8 4 3" xfId="1100"/>
    <cellStyle name="Calculation 2 14 3 2 3" xfId="1101"/>
    <cellStyle name="Output 2 9 2 3 6" xfId="1102"/>
    <cellStyle name="20% - Accent6 2 10" xfId="1103"/>
    <cellStyle name="Input 2 5 10 3" xfId="1104"/>
    <cellStyle name="Calculation 2 5 2 6 2 3" xfId="1105"/>
    <cellStyle name="Calculation 2 13 3 7 2 2" xfId="1106"/>
    <cellStyle name="Total 2 10 2 9 3 3" xfId="1107"/>
    <cellStyle name="Output 2 12 9 2 3" xfId="1108"/>
    <cellStyle name="20% - Accent6 2 2" xfId="1109"/>
    <cellStyle name="Calculation 2 4 3 9 7" xfId="1110"/>
    <cellStyle name="Calculation 2 14 3 2 3 2" xfId="1111"/>
    <cellStyle name="Total 2 13 3 5 6" xfId="1112"/>
    <cellStyle name="20% - Accent6 2 2 2 2 2" xfId="1113"/>
    <cellStyle name="Calculation 2 13 3 4 2" xfId="1114"/>
    <cellStyle name="Calculation 2 14 11 2" xfId="1115"/>
    <cellStyle name="Calculation 2 7 5 4 3" xfId="1116"/>
    <cellStyle name="20% - Accent6 2 2 2 2 2 2 2 2" xfId="1117"/>
    <cellStyle name="Calculation 2 11 11 3 4" xfId="1118"/>
    <cellStyle name="Input 2 5 6 5 2" xfId="1119"/>
    <cellStyle name="Input 2 14 11 4 3" xfId="1120"/>
    <cellStyle name="Calculation 2 13 10 4 2" xfId="1121"/>
    <cellStyle name="20% - Accent6 2 2 2 2 3" xfId="1122"/>
    <cellStyle name="Calculation 2 13 3 4 3" xfId="1123"/>
    <cellStyle name="Calculation 2 14 11 3" xfId="1124"/>
    <cellStyle name="40% - Accent5 2 6" xfId="1125"/>
    <cellStyle name="Input 2 3 2 2 2 2" xfId="1126"/>
    <cellStyle name="Calculation 2 20 6" xfId="1127"/>
    <cellStyle name="Calculation 2 15 6" xfId="1128"/>
    <cellStyle name="20% - Accent6 2 2 2 3" xfId="1129"/>
    <cellStyle name="Output 2 2 7 2 3" xfId="1130"/>
    <cellStyle name="Calculation 2 12 2 8 7" xfId="1131"/>
    <cellStyle name="Calculation 2 13 3 5" xfId="1132"/>
    <cellStyle name="Calculation 2 14 12" xfId="1133"/>
    <cellStyle name="Calculation 2 2 2 2 2 2 2 2 2 2 2" xfId="1134"/>
    <cellStyle name="Note 2 4 3 8 3" xfId="1135"/>
    <cellStyle name="40% - Accent6 2 4 2" xfId="1136"/>
    <cellStyle name="40% - Accent5 2 7" xfId="1137"/>
    <cellStyle name="Input 2 9 5 4 2" xfId="1138"/>
    <cellStyle name="Calculation 2 13 2 2 3 2" xfId="1139"/>
    <cellStyle name="Input 2 3 2 2 2 3" xfId="1140"/>
    <cellStyle name="Calculation 2 20 7" xfId="1141"/>
    <cellStyle name="Calculation 2 15 7" xfId="1142"/>
    <cellStyle name="20% - Accent6 2 2 2 4" xfId="1143"/>
    <cellStyle name="Calculation 2 13 3 6" xfId="1144"/>
    <cellStyle name="Calculation 2 14 13" xfId="1145"/>
    <cellStyle name="Note 2 4 3 8 4" xfId="1146"/>
    <cellStyle name="40% - Accent6 2 4 3" xfId="1147"/>
    <cellStyle name="40% - Accent5 2 8" xfId="1148"/>
    <cellStyle name="Calculation 2 10 2 9 2" xfId="1149"/>
    <cellStyle name="Input 2 9 5 4 3" xfId="1150"/>
    <cellStyle name="Calculation 2 13 2 2 3 3" xfId="1151"/>
    <cellStyle name="Input 2 3 2 2 2 4" xfId="1152"/>
    <cellStyle name="Calculation 2 20 8" xfId="1153"/>
    <cellStyle name="Calculation 2 15 8" xfId="1154"/>
    <cellStyle name="20% - Accent6 2 2 2 5" xfId="1155"/>
    <cellStyle name="Output 2 8 2 8 4 2" xfId="1156"/>
    <cellStyle name="Note 2 9 3 2 3 2" xfId="1157"/>
    <cellStyle name="Input 2 11 5 2" xfId="1158"/>
    <cellStyle name="Calculation 2 13 3 7" xfId="1159"/>
    <cellStyle name="Calculation 2 14 14" xfId="1160"/>
    <cellStyle name="20% - Accent6 2 2 2 6" xfId="1161"/>
    <cellStyle name="Output 2 8 2 8 4 3" xfId="1162"/>
    <cellStyle name="Note 2 9 3 2 3 3" xfId="1163"/>
    <cellStyle name="Input 2 11 5 3" xfId="1164"/>
    <cellStyle name="Calculation 2 13 3 8" xfId="1165"/>
    <cellStyle name="Calculation 2 14 15" xfId="1166"/>
    <cellStyle name="20% - Accent6 2 2 2 7" xfId="1167"/>
    <cellStyle name="Note 2 9 3 2 3 4" xfId="1168"/>
    <cellStyle name="Input 2 11 5 4" xfId="1169"/>
    <cellStyle name="Calculation 2 13 3 9" xfId="1170"/>
    <cellStyle name="Calculation 2 14 16" xfId="1171"/>
    <cellStyle name="20% - Accent6 2 2 4 2" xfId="1172"/>
    <cellStyle name="Note 2 4 11 8" xfId="1173"/>
    <cellStyle name="Calculation 2 13 5 4" xfId="1174"/>
    <cellStyle name="Note 2 7 2 12" xfId="1175"/>
    <cellStyle name="20% - Accent6 2 2 4 2 2" xfId="1176"/>
    <cellStyle name="Calculation 2 13 5 4 2" xfId="1177"/>
    <cellStyle name="Note 2 7 2 12 2" xfId="1178"/>
    <cellStyle name="20% - Accent6 2 2 4 2 2 2" xfId="1179"/>
    <cellStyle name="Input 2 8 8 3 2" xfId="1180"/>
    <cellStyle name="20% - Accent6 2 2 4 3" xfId="1181"/>
    <cellStyle name="Calculation 2 13 5 5" xfId="1182"/>
    <cellStyle name="Output 2 9 3 6 5 3" xfId="1183"/>
    <cellStyle name="Input 2 10 3 8 5 2" xfId="1184"/>
    <cellStyle name="20% - Accent6 2 2 9" xfId="1185"/>
    <cellStyle name="Calculation 2 10 2 6 3 4" xfId="1186"/>
    <cellStyle name="Calculation 2 10 10 2" xfId="1187"/>
    <cellStyle name="Calculation 2 12 8 3 2" xfId="1188"/>
    <cellStyle name="Input 2 14 3 5 3 3" xfId="1189"/>
    <cellStyle name="Calculation 2 12 9 4" xfId="1190"/>
    <cellStyle name="Total 2 10 2 9 3 4" xfId="1191"/>
    <cellStyle name="Output 2 12 9 2 4" xfId="1192"/>
    <cellStyle name="Input 2 2 3 2 2 2 2 2" xfId="1193"/>
    <cellStyle name="20% - Accent6 2 3" xfId="1194"/>
    <cellStyle name="Total 2 7 3 6 5 2" xfId="1195"/>
    <cellStyle name="Calculation 2 2 2 4 5 3" xfId="1196"/>
    <cellStyle name="Calculation 2 10 3 5 5 2" xfId="1197"/>
    <cellStyle name="Calculation 2 14 3 2 3 3" xfId="1198"/>
    <cellStyle name="Total 2 13 3 5 7" xfId="1199"/>
    <cellStyle name="Total 2 10 6 3 2" xfId="1200"/>
    <cellStyle name="20% - Accent6 2 4" xfId="1201"/>
    <cellStyle name="Total 2 7 3 6 5 3" xfId="1202"/>
    <cellStyle name="Input 2 2 3 2 2 2 2 3" xfId="1203"/>
    <cellStyle name="Calculation 2 10 3 5 5 3" xfId="1204"/>
    <cellStyle name="Calculation 2 14 3 2 3 4" xfId="1205"/>
    <cellStyle name="Total 2 10 6 3 3" xfId="1206"/>
    <cellStyle name="20% - Accent6 2 5" xfId="1207"/>
    <cellStyle name="Output 2 21 3 2" xfId="1208"/>
    <cellStyle name="Output 2 16 3 2" xfId="1209"/>
    <cellStyle name="Calculation 2 13 7 5 2" xfId="1210"/>
    <cellStyle name="Total 2 10 6 3 4" xfId="1211"/>
    <cellStyle name="20% - Accent6 2 6" xfId="1212"/>
    <cellStyle name="Output 2 21 3 3" xfId="1213"/>
    <cellStyle name="Output 2 16 3 3" xfId="1214"/>
    <cellStyle name="Calculation 2 13 7 5 3" xfId="1215"/>
    <cellStyle name="Calculation 2 6 2 7 5 3" xfId="1216"/>
    <cellStyle name="40% - Accent4 2 2 8" xfId="1217"/>
    <cellStyle name="Calculation 2 14 3 8 5 2" xfId="1218"/>
    <cellStyle name="20% - Accent6 2 6 2 2" xfId="1219"/>
    <cellStyle name="Calculation 2 14 2 5 3" xfId="1220"/>
    <cellStyle name="Calculation 2 22 3 4" xfId="1221"/>
    <cellStyle name="Calculation 2 17 3 4" xfId="1222"/>
    <cellStyle name="Output 2 16 3 3 3" xfId="1223"/>
    <cellStyle name="20% - Accent6 2 6 3" xfId="1224"/>
    <cellStyle name="Calculation 2 3 2 4 2 3" xfId="1225"/>
    <cellStyle name="Calculation 2 11 3 5 2 2" xfId="1226"/>
    <cellStyle name="Calculation 2 2 2 17 2" xfId="1227"/>
    <cellStyle name="Note 2 2 2 11 2" xfId="1228"/>
    <cellStyle name="20% - Accent6 4" xfId="1229"/>
    <cellStyle name="Calculation 2 14 3 2 5" xfId="1230"/>
    <cellStyle name="40% - Accent3 2 6" xfId="1231"/>
    <cellStyle name="Calculation 2 12 2 9 2 2" xfId="1232"/>
    <cellStyle name="Output 2 6 9 3 2" xfId="1233"/>
    <cellStyle name="20% - Accent6 4 3" xfId="1234"/>
    <cellStyle name="Calculation 2 14 3 2 5 3" xfId="1235"/>
    <cellStyle name="Total 2 13 3 7 7" xfId="1236"/>
    <cellStyle name="Note 2 2 2 11 3" xfId="1237"/>
    <cellStyle name="20% - Accent6 5" xfId="1238"/>
    <cellStyle name="Calculation 2 2 2 4 8" xfId="1239"/>
    <cellStyle name="60% - Accent1 4 2" xfId="1240"/>
    <cellStyle name="Calculation 2 14 3 2 6" xfId="1241"/>
    <cellStyle name="Note 2 2 2 11 4" xfId="1242"/>
    <cellStyle name="20% - Accent6 6" xfId="1243"/>
    <cellStyle name="Calculation 2 14 3 2 7" xfId="1244"/>
    <cellStyle name="20% - Accent6 6 2" xfId="1245"/>
    <cellStyle name="Output 2 6 9 5 2" xfId="1246"/>
    <cellStyle name="20% - Accent6 6 3" xfId="1247"/>
    <cellStyle name="Output 2 6 9 5 3" xfId="1248"/>
    <cellStyle name="20% - Accent6 6 4" xfId="1249"/>
    <cellStyle name="40% - Accent1 2 2 2" xfId="1250"/>
    <cellStyle name="Total 2 26 5" xfId="1251"/>
    <cellStyle name="Input 2 4 9 8" xfId="1252"/>
    <cellStyle name="60% - Accent3 2 8" xfId="1253"/>
    <cellStyle name="40% - Accent1 2 2 2 2" xfId="1254"/>
    <cellStyle name="Output 2 12 2 7 2 4" xfId="1255"/>
    <cellStyle name="Calculation 2 13 3 3 6" xfId="1256"/>
    <cellStyle name="Calculation 2 14 10 6" xfId="1257"/>
    <cellStyle name="Note 2 7 2 8 2 4" xfId="1258"/>
    <cellStyle name="Calculation 2 4 28" xfId="1259"/>
    <cellStyle name="40% - Accent1 2 2 2 2 2" xfId="1260"/>
    <cellStyle name="Calculation 2 14 7 3 3" xfId="1261"/>
    <cellStyle name="Note 2 12 4 6" xfId="1262"/>
    <cellStyle name="Input 2 11 18" xfId="1263"/>
    <cellStyle name="Note 2 12 3 12" xfId="1264"/>
    <cellStyle name="40% - Accent1 2 2 2 2 2 2" xfId="1265"/>
    <cellStyle name="Calculation 2 11 2 14 3" xfId="1266"/>
    <cellStyle name="Calculation 2 12 2 3 4" xfId="1267"/>
    <cellStyle name="Accent6 2 10" xfId="1268"/>
    <cellStyle name="40% - Accent2 2 3" xfId="1269"/>
    <cellStyle name="Calculation 2 11 7 3 2" xfId="1270"/>
    <cellStyle name="Note 2 12 3 12 2" xfId="1271"/>
    <cellStyle name="40% - Accent1 2 2 2 2 2 2 2" xfId="1272"/>
    <cellStyle name="Total 2 2 3 9 3 4" xfId="1273"/>
    <cellStyle name="Input 2 5 5 3" xfId="1274"/>
    <cellStyle name="Input 2 12 7 7" xfId="1275"/>
    <cellStyle name="Output 6 2 2" xfId="1276"/>
    <cellStyle name="Calculation 2 11 2 5 5" xfId="1277"/>
    <cellStyle name="Calculation 2 12 2 3 4 2" xfId="1278"/>
    <cellStyle name="Calculation 2 4 29" xfId="1279"/>
    <cellStyle name="40% - Accent1 2 2 2 2 3" xfId="1280"/>
    <cellStyle name="Calculation 2 14 7 3 4" xfId="1281"/>
    <cellStyle name="40% - Accent1 2 2 2 3" xfId="1282"/>
    <cellStyle name="Input 2 5 3 2 4 2" xfId="1283"/>
    <cellStyle name="Calculation 2 13 3 3 7" xfId="1284"/>
    <cellStyle name="Calculation 2 14 10 7" xfId="1285"/>
    <cellStyle name="40% - Accent6 2 2 2 2 2" xfId="1286"/>
    <cellStyle name="40% - Accent1 2 2 3" xfId="1287"/>
    <cellStyle name="40% - Accent6 2 2 2 2 3" xfId="1288"/>
    <cellStyle name="Output 2 14 9 4" xfId="1289"/>
    <cellStyle name="Note 2 5 11 3 3" xfId="1290"/>
    <cellStyle name="Accent5 2" xfId="1291"/>
    <cellStyle name="40% - Accent1 2 2 4" xfId="1292"/>
    <cellStyle name="40% - Accent1 2 2 5" xfId="1293"/>
    <cellStyle name="40% - Accent1 2 2 7" xfId="1294"/>
    <cellStyle name="Input 2 12 2 3 5 2" xfId="1295"/>
    <cellStyle name="40% - Accent1 2 2 8" xfId="1296"/>
    <cellStyle name="40% - Accent1 2 3" xfId="1297"/>
    <cellStyle name="Calculation 2 11 6 3 2" xfId="1298"/>
    <cellStyle name="40% - Accent1 2 4" xfId="1299"/>
    <cellStyle name="Calculation 2 11 6 3 3" xfId="1300"/>
    <cellStyle name="40% - Accent1 2 4 2" xfId="1301"/>
    <cellStyle name="Note 2 3 10 3" xfId="1302"/>
    <cellStyle name="40% - Accent1 2 4 2 2" xfId="1303"/>
    <cellStyle name="40% - Accent1 2 4 3" xfId="1304"/>
    <cellStyle name="40% - Accent1 4" xfId="1305"/>
    <cellStyle name="Input 2 5 11 4" xfId="1306"/>
    <cellStyle name="Calculation 2 5 2 6 3 4" xfId="1307"/>
    <cellStyle name="Calculation 2 13 3 7 3 3" xfId="1308"/>
    <cellStyle name="Note 2 11 3 5 2 3" xfId="1309"/>
    <cellStyle name="40% - Accent1 4 2" xfId="1310"/>
    <cellStyle name="Calculation 2 14 3 7 7" xfId="1311"/>
    <cellStyle name="Note 2 11 3 5 2 4" xfId="1312"/>
    <cellStyle name="40% - Accent1 4 3" xfId="1313"/>
    <cellStyle name="Calculation 2 11 6 5 2" xfId="1314"/>
    <cellStyle name="40% - Accent1 4 4" xfId="1315"/>
    <cellStyle name="Calculation 2 11 6 5 3" xfId="1316"/>
    <cellStyle name="40% - Accent1 5" xfId="1317"/>
    <cellStyle name="Input 2 5 11 5" xfId="1318"/>
    <cellStyle name="Calculation 2 13 3 7 3 4" xfId="1319"/>
    <cellStyle name="40% - Accent2 2" xfId="1320"/>
    <cellStyle name="40% - Accent2 2 10" xfId="1321"/>
    <cellStyle name="Output 2 14 6 4 3" xfId="1322"/>
    <cellStyle name="Accent2 2 3" xfId="1323"/>
    <cellStyle name="40% - Accent2 2 2" xfId="1324"/>
    <cellStyle name="Accent5 2 2 3" xfId="1325"/>
    <cellStyle name="Output 2 15 3 5 3" xfId="1326"/>
    <cellStyle name="40% - Accent5 2 2 2 2 3" xfId="1327"/>
    <cellStyle name="Calculation 2 11 2 5 4 2" xfId="1328"/>
    <cellStyle name="40% - Accent2 2 2 2" xfId="1329"/>
    <cellStyle name="Note 2 15 15" xfId="1330"/>
    <cellStyle name="Input 2 13 2 6 3 3" xfId="1331"/>
    <cellStyle name="Calculation 2 13 3 10 3" xfId="1332"/>
    <cellStyle name="40% - Accent2 4 4" xfId="1333"/>
    <cellStyle name="Calculation 2 11 7 5 3" xfId="1334"/>
    <cellStyle name="Output 2 7 14 3" xfId="1335"/>
    <cellStyle name="40% - Accent2 2 2 2 2" xfId="1336"/>
    <cellStyle name="Calculation 2 13 3 10 3 2" xfId="1337"/>
    <cellStyle name="40% - Accent3 2 2 2 3" xfId="1338"/>
    <cellStyle name="Total 2 11 3 2 3 4" xfId="1339"/>
    <cellStyle name="Calculation 2 11 14 4" xfId="1340"/>
    <cellStyle name="40% - Accent2 2 2 2 2 2" xfId="1341"/>
    <cellStyle name="Input 2 9 3 3 2 2" xfId="1342"/>
    <cellStyle name="40% - Accent2 2 2 2 2 3" xfId="1343"/>
    <cellStyle name="40% - Accent2 2 2 2 6" xfId="1344"/>
    <cellStyle name="Accent3 2 5 2" xfId="1345"/>
    <cellStyle name="Calculation 2 20 3 4" xfId="1346"/>
    <cellStyle name="Calculation 2 15 3 4" xfId="1347"/>
    <cellStyle name="40% - Accent2 2 2 2 7" xfId="1348"/>
    <cellStyle name="Accent3 2 5 3" xfId="1349"/>
    <cellStyle name="Calculation 2 15 3 5" xfId="1350"/>
    <cellStyle name="40% - Accent2 2 2 3" xfId="1351"/>
    <cellStyle name="Note 2 15 16" xfId="1352"/>
    <cellStyle name="Note 2 13 2 6 3 2" xfId="1353"/>
    <cellStyle name="Input 2 13 2 6 3 4" xfId="1354"/>
    <cellStyle name="Calculation 2 13 3 10 4" xfId="1355"/>
    <cellStyle name="40% - Accent2 2 2 4" xfId="1356"/>
    <cellStyle name="Note 2 15 17" xfId="1357"/>
    <cellStyle name="Note 2 13 2 6 3 3" xfId="1358"/>
    <cellStyle name="Calculation 2 13 3 10 5" xfId="1359"/>
    <cellStyle name="40% - Accent2 6 4" xfId="1360"/>
    <cellStyle name="Output 2 7 16 3" xfId="1361"/>
    <cellStyle name="40% - Accent2 2 2 4 2" xfId="1362"/>
    <cellStyle name="Calculation 2 13 3 10 5 2" xfId="1363"/>
    <cellStyle name="Output 2 2 2 3 2" xfId="1364"/>
    <cellStyle name="40% - Accent2 2 2 4 2 2 2" xfId="1365"/>
    <cellStyle name="Note 2 3 10 8" xfId="1366"/>
    <cellStyle name="Calculation 2 13 2 10 5 3" xfId="1367"/>
    <cellStyle name="Input 2 2 9" xfId="1368"/>
    <cellStyle name="Calculation 2 7 12 6" xfId="1369"/>
    <cellStyle name="60% - Accent1 2" xfId="1370"/>
    <cellStyle name="Calculation 2 11 2 9 7" xfId="1371"/>
    <cellStyle name="Output 2 12 2 2 5 2" xfId="1372"/>
    <cellStyle name="Input 2 5 9 5" xfId="1373"/>
    <cellStyle name="60% - Accent4 2 5" xfId="1374"/>
    <cellStyle name="Calculation 2 13 13 4" xfId="1375"/>
    <cellStyle name="40% - Accent2 2 2 4 3" xfId="1376"/>
    <cellStyle name="Calculation 2 13 3 10 5 3" xfId="1377"/>
    <cellStyle name="40% - Accent2 2 2 5" xfId="1378"/>
    <cellStyle name="Note 2 3 2 17 2" xfId="1379"/>
    <cellStyle name="Note 2 13 2 6 3 4" xfId="1380"/>
    <cellStyle name="Calculation 2 13 3 10 6" xfId="1381"/>
    <cellStyle name="40% - Accent2 2 2 6" xfId="1382"/>
    <cellStyle name="Calculation 2 13 3 10 7" xfId="1383"/>
    <cellStyle name="40% - Accent2 2 2 7" xfId="1384"/>
    <cellStyle name="Input 2 12 3 3 5 2" xfId="1385"/>
    <cellStyle name="40% - Accent2 2 2 8" xfId="1386"/>
    <cellStyle name="Input 2 12 3 3 5 3" xfId="1387"/>
    <cellStyle name="40% - Accent2 2 2 9" xfId="1388"/>
    <cellStyle name="Accent6 2 11" xfId="1389"/>
    <cellStyle name="40% - Accent2 2 4" xfId="1390"/>
    <cellStyle name="Calculation 2 11 7 3 3" xfId="1391"/>
    <cellStyle name="Input 2 11 2 8 4" xfId="1392"/>
    <cellStyle name="Bad 7" xfId="1393"/>
    <cellStyle name="Calculation 2 2 2 4 2 3" xfId="1394"/>
    <cellStyle name="40% - Accent6 4 4" xfId="1395"/>
    <cellStyle name="Calculation 2 10 3 5 2 2" xfId="1396"/>
    <cellStyle name="Output 2 14 2 2 3 3" xfId="1397"/>
    <cellStyle name="40% - Accent2 2 6 2 2" xfId="1398"/>
    <cellStyle name="Calculation 2 10 15 2" xfId="1399"/>
    <cellStyle name="40% - Accent2 2 6 2 2 2" xfId="1400"/>
    <cellStyle name="Calculation 2 11 2 3 5 3" xfId="1401"/>
    <cellStyle name="40% - Accent2 2 8" xfId="1402"/>
    <cellStyle name="Calculation 2 2 7 6 2 2" xfId="1403"/>
    <cellStyle name="Calculation 2 12 2 8 2 4" xfId="1404"/>
    <cellStyle name="40% - Accent2 2 9" xfId="1405"/>
    <cellStyle name="40% - Accent2 3" xfId="1406"/>
    <cellStyle name="Input 2 5 12 3" xfId="1407"/>
    <cellStyle name="Calculation 2 5 2 6 4 3" xfId="1408"/>
    <cellStyle name="Calculation 2 13 3 7 4 2" xfId="1409"/>
    <cellStyle name="40% - Accent2 3 2" xfId="1410"/>
    <cellStyle name="Note 2 6 2 5 4 3" xfId="1411"/>
    <cellStyle name="40% - Accent4 2 4 2 2 2" xfId="1412"/>
    <cellStyle name="Heading 2 4 2" xfId="1413"/>
    <cellStyle name="60% - Accent6 2 2 2 2" xfId="1414"/>
    <cellStyle name="Calculation 2 8 8 4 3" xfId="1415"/>
    <cellStyle name="Calculation 2 10 4 2" xfId="1416"/>
    <cellStyle name="40% - Accent2 3 3" xfId="1417"/>
    <cellStyle name="Calculation 2 11 7 4 2" xfId="1418"/>
    <cellStyle name="40% - Accent5 2 2 2 2 2 2" xfId="1419"/>
    <cellStyle name="60% - Accent6 2 2 2 3" xfId="1420"/>
    <cellStyle name="Calculation 2 10 4 3" xfId="1421"/>
    <cellStyle name="40% - Accent2 3 4" xfId="1422"/>
    <cellStyle name="Accent1 - 40%" xfId="1423"/>
    <cellStyle name="Calculation 2 11 7 4 3" xfId="1424"/>
    <cellStyle name="Note 2 11 3 6 2 3" xfId="1425"/>
    <cellStyle name="40% - Accent2 4 2" xfId="1426"/>
    <cellStyle name="Note 2 4 2 17 2" xfId="1427"/>
    <cellStyle name="Calculation 2 14 3 10 6" xfId="1428"/>
    <cellStyle name="Note 2 11 3 6 4 3" xfId="1429"/>
    <cellStyle name="40% - Accent2 6 2" xfId="1430"/>
    <cellStyle name="Calculation 2 12 19" xfId="1431"/>
    <cellStyle name="40% - Accent2 6 3" xfId="1432"/>
    <cellStyle name="40% - Accent3 2 2 2" xfId="1433"/>
    <cellStyle name="40% - Accent3 2 2 2 2" xfId="1434"/>
    <cellStyle name="Total 2 11 3 2 3 3" xfId="1435"/>
    <cellStyle name="Normal 2 2 3 9 2" xfId="1436"/>
    <cellStyle name="Input 2 2 12 8" xfId="1437"/>
    <cellStyle name="Calculation 2 2 3 6 4 3" xfId="1438"/>
    <cellStyle name="Calculation 2 11 14 3" xfId="1439"/>
    <cellStyle name="40% - Accent6 2 4 2 2 2" xfId="1440"/>
    <cellStyle name="Calculation 2 11 3 5 4 3" xfId="1441"/>
    <cellStyle name="Note 2 2 2 4 3 3" xfId="1442"/>
    <cellStyle name="Input 2 6 5 2 3" xfId="1443"/>
    <cellStyle name="Calculation 2 14 3 10" xfId="1444"/>
    <cellStyle name="40% - Accent3 2 2 3" xfId="1445"/>
    <cellStyle name="40% - Accent3 2 4 2" xfId="1446"/>
    <cellStyle name="40% - Accent3 2 4 3" xfId="1447"/>
    <cellStyle name="40% - Accent3 3" xfId="1448"/>
    <cellStyle name="Input 2 5 13 3" xfId="1449"/>
    <cellStyle name="Calculation 2 5 2 6 5 3" xfId="1450"/>
    <cellStyle name="Calculation 2 13 3 7 5 2" xfId="1451"/>
    <cellStyle name="Input 2 2 7 2 2" xfId="1452"/>
    <cellStyle name="40% - Accent3 4" xfId="1453"/>
    <cellStyle name="Input 2 5 13 4" xfId="1454"/>
    <cellStyle name="Calculation 2 13 3 7 5 3" xfId="1455"/>
    <cellStyle name="Note 2 11 3 7 2 3" xfId="1456"/>
    <cellStyle name="40% - Accent3 4 2" xfId="1457"/>
    <cellStyle name="Input 2 2 7 2 3" xfId="1458"/>
    <cellStyle name="40% - Accent3 5" xfId="1459"/>
    <cellStyle name="Input 2 2 7 2 4" xfId="1460"/>
    <cellStyle name="40% - Accent3 6" xfId="1461"/>
    <cellStyle name="Input 2 2 7 3 2" xfId="1462"/>
    <cellStyle name="40% - Accent4 4" xfId="1463"/>
    <cellStyle name="Input 2 7 7" xfId="1464"/>
    <cellStyle name="40% - Accent4 2 2" xfId="1465"/>
    <cellStyle name="Input 2 14 2 6 3 2" xfId="1466"/>
    <cellStyle name="Calculation 2 16 2 2 4" xfId="1467"/>
    <cellStyle name="Input 2 2 7 5 2" xfId="1468"/>
    <cellStyle name="40% - Accent6 4" xfId="1469"/>
    <cellStyle name="Note 2 11 3 8 2 3" xfId="1470"/>
    <cellStyle name="40% - Accent4 4 2" xfId="1471"/>
    <cellStyle name="Input 2 9 7" xfId="1472"/>
    <cellStyle name="Note 2 2 3 6 3" xfId="1473"/>
    <cellStyle name="Total 2 26" xfId="1474"/>
    <cellStyle name="Total 2 31" xfId="1475"/>
    <cellStyle name="Input 2 7 7 2" xfId="1476"/>
    <cellStyle name="Input 2 14 9 6" xfId="1477"/>
    <cellStyle name="40% - Accent4 2 2 2" xfId="1478"/>
    <cellStyle name="Note 2 10 14 4" xfId="1479"/>
    <cellStyle name="Input 2 14 3 10 3 4" xfId="1480"/>
    <cellStyle name="Calculation 2 16 10 2 3" xfId="1481"/>
    <cellStyle name="40% - Accent4 2 2 2 2 2" xfId="1482"/>
    <cellStyle name="40% - Accent4 2 2 2 2 2 2 2" xfId="1483"/>
    <cellStyle name="40% - Accent4 2 2 2 2 3" xfId="1484"/>
    <cellStyle name="Calculation 2 2 2 4 2 2" xfId="1485"/>
    <cellStyle name="40% - Accent6 4 3" xfId="1486"/>
    <cellStyle name="Input 2 11 2 8 3" xfId="1487"/>
    <cellStyle name="Bad 6" xfId="1488"/>
    <cellStyle name="Note 2 2 3 6 3 3" xfId="1489"/>
    <cellStyle name="Total 2 26 3" xfId="1490"/>
    <cellStyle name="Input 2 7 7 2 3" xfId="1491"/>
    <cellStyle name="40% - Accent4 2 2 2 3" xfId="1492"/>
    <cellStyle name="Input 2 4 9 6" xfId="1493"/>
    <cellStyle name="60% - Accent3 2 6" xfId="1494"/>
    <cellStyle name="Input 2 2 7 5 3" xfId="1495"/>
    <cellStyle name="40% - Accent6 5" xfId="1496"/>
    <cellStyle name="Calculation 2 16 7 2 2" xfId="1497"/>
    <cellStyle name="Note 2 11 3 8 2 4" xfId="1498"/>
    <cellStyle name="40% - Accent4 4 3" xfId="1499"/>
    <cellStyle name="Input 2 9 8" xfId="1500"/>
    <cellStyle name="Calculation 2 11 9 5 2" xfId="1501"/>
    <cellStyle name="Calculation 2 2 2 2 2 2" xfId="1502"/>
    <cellStyle name="Note 2 2 3 6 4" xfId="1503"/>
    <cellStyle name="Total 2 27" xfId="1504"/>
    <cellStyle name="Total 2 32" xfId="1505"/>
    <cellStyle name="Input 2 7 7 3" xfId="1506"/>
    <cellStyle name="Input 2 14 9 7" xfId="1507"/>
    <cellStyle name="40% - Accent4 2 2 3" xfId="1508"/>
    <cellStyle name="Calculation 2 16 10 2 4" xfId="1509"/>
    <cellStyle name="Input 2 8 11 2 2" xfId="1510"/>
    <cellStyle name="40% - Accent6 6" xfId="1511"/>
    <cellStyle name="Accent6 - 20%" xfId="1512"/>
    <cellStyle name="Calculation 2 16 7 2 3" xfId="1513"/>
    <cellStyle name="Input 2 9 9" xfId="1514"/>
    <cellStyle name="40% - Accent4 4 4" xfId="1515"/>
    <cellStyle name="Calculation 2 10 3 3 2 2" xfId="1516"/>
    <cellStyle name="Calculation 2 11 9 5 3" xfId="1517"/>
    <cellStyle name="Calculation 2 2 2 2 2 3" xfId="1518"/>
    <cellStyle name="Note 2 2 3 6 5" xfId="1519"/>
    <cellStyle name="Total 2 28" xfId="1520"/>
    <cellStyle name="Total 2 33" xfId="1521"/>
    <cellStyle name="Input 2 7 7 4" xfId="1522"/>
    <cellStyle name="40% - Accent4 2 2 4" xfId="1523"/>
    <cellStyle name="Output 2 12 2 4 3 2" xfId="1524"/>
    <cellStyle name="Note 2 2 3 6 6" xfId="1525"/>
    <cellStyle name="Total 2 29" xfId="1526"/>
    <cellStyle name="Input 2 7 7 5" xfId="1527"/>
    <cellStyle name="40% - Accent4 2 2 5" xfId="1528"/>
    <cellStyle name="Output 2 12 2 4 3 3" xfId="1529"/>
    <cellStyle name="Note 2 2 3 6 7" xfId="1530"/>
    <cellStyle name="Input 2 7 7 6" xfId="1531"/>
    <cellStyle name="40% - Accent4 2 2 6" xfId="1532"/>
    <cellStyle name="Input 2 2 7 3 3" xfId="1533"/>
    <cellStyle name="40% - Accent4 5" xfId="1534"/>
    <cellStyle name="Accent6 2 2 3 2" xfId="1535"/>
    <cellStyle name="Input 2 7 8" xfId="1536"/>
    <cellStyle name="40% - Accent4 2 3" xfId="1537"/>
    <cellStyle name="Calculation 2 11 9 3 2" xfId="1538"/>
    <cellStyle name="Input 2 2 7 3 4" xfId="1539"/>
    <cellStyle name="40% - Accent4 6" xfId="1540"/>
    <cellStyle name="Accent6 2 2 3 3" xfId="1541"/>
    <cellStyle name="Input 2 7 9" xfId="1542"/>
    <cellStyle name="40% - Accent4 2 4" xfId="1543"/>
    <cellStyle name="60% - Accent6 2" xfId="1544"/>
    <cellStyle name="Calculation 2 11 9 3 3" xfId="1545"/>
    <cellStyle name="Note 2 2 3 8 3" xfId="1546"/>
    <cellStyle name="Input 2 7 9 2" xfId="1547"/>
    <cellStyle name="40% - Accent4 2 4 2" xfId="1548"/>
    <cellStyle name="60% - Accent6 2 2" xfId="1549"/>
    <cellStyle name="Note 2 2 4 28" xfId="1550"/>
    <cellStyle name="Calculation 2 16 10 4 3" xfId="1551"/>
    <cellStyle name="Output 2 6 2 2 3 2" xfId="1552"/>
    <cellStyle name="Output 2 12 2 3 5 2" xfId="1553"/>
    <cellStyle name="Note 2 2 2 8 6" xfId="1554"/>
    <cellStyle name="Input 2 6 9 5" xfId="1555"/>
    <cellStyle name="60% - Accent5 2 5" xfId="1556"/>
    <cellStyle name="Note 2 2 3 8 3 2" xfId="1557"/>
    <cellStyle name="Input 2 7 9 2 2" xfId="1558"/>
    <cellStyle name="Heading 2 4" xfId="1559"/>
    <cellStyle name="40% - Accent4 2 4 2 2" xfId="1560"/>
    <cellStyle name="60% - Accent6 2 2 2" xfId="1561"/>
    <cellStyle name="Calculation 2 3 3 8 4 3" xfId="1562"/>
    <cellStyle name="Calculation 2 10 4" xfId="1563"/>
    <cellStyle name="Calculation 2 11 3 9 7" xfId="1564"/>
    <cellStyle name="Note 2 2 3 8 4" xfId="1565"/>
    <cellStyle name="Input 2 7 9 3" xfId="1566"/>
    <cellStyle name="40% - Accent4 2 4 3" xfId="1567"/>
    <cellStyle name="60% - Accent6 2 3" xfId="1568"/>
    <cellStyle name="40% - Accent4 2 5" xfId="1569"/>
    <cellStyle name="60% - Accent6 3" xfId="1570"/>
    <cellStyle name="Calculation 2 11 9 3 4" xfId="1571"/>
    <cellStyle name="40% - Accent4 2 6" xfId="1572"/>
    <cellStyle name="60% - Accent6 4" xfId="1573"/>
    <cellStyle name="40% - Accent4 2 7" xfId="1574"/>
    <cellStyle name="60% - Accent6 5" xfId="1575"/>
    <cellStyle name="40% - Accent4 2 8" xfId="1576"/>
    <cellStyle name="60% - Accent6 6" xfId="1577"/>
    <cellStyle name="40% - Accent4 3" xfId="1578"/>
    <cellStyle name="Note 2 4 2 6 5 2" xfId="1579"/>
    <cellStyle name="Input 2 7 3 4 3 4" xfId="1580"/>
    <cellStyle name="Calculation 2 4 6 2 2" xfId="1581"/>
    <cellStyle name="Calculation 2 13 19" xfId="1582"/>
    <cellStyle name="Output 2 15 3 5 2" xfId="1583"/>
    <cellStyle name="40% - Accent5 2 2 2 2 2" xfId="1584"/>
    <cellStyle name="40% - Accent5 2 2 2 2 2 2 2" xfId="1585"/>
    <cellStyle name="Calculation 2 10 4 3 2" xfId="1586"/>
    <cellStyle name="Note 2 3 3 6 5" xfId="1587"/>
    <cellStyle name="Input 2 8 2 9 5 3" xfId="1588"/>
    <cellStyle name="40% - Accent5 2 2 4" xfId="1589"/>
    <cellStyle name="Note 2 3 2 4 5 3" xfId="1590"/>
    <cellStyle name="Calculation 2 20 2 4" xfId="1591"/>
    <cellStyle name="Calculation 2 15 2 4" xfId="1592"/>
    <cellStyle name="Calculation 2 2 24" xfId="1593"/>
    <cellStyle name="Calculation 2 2 19" xfId="1594"/>
    <cellStyle name="Output 2 12 3 4 3 2" xfId="1595"/>
    <cellStyle name="Note 2 3 3 6 6" xfId="1596"/>
    <cellStyle name="40% - Accent5 2 2 5" xfId="1597"/>
    <cellStyle name="Calculation 2 15 2 5" xfId="1598"/>
    <cellStyle name="Output 2 12 3 4 3 3" xfId="1599"/>
    <cellStyle name="Note 2 3 3 6 7" xfId="1600"/>
    <cellStyle name="40% - Accent5 2 2 6" xfId="1601"/>
    <cellStyle name="Calculation 2 15 2 6" xfId="1602"/>
    <cellStyle name="Output 2 12 3 4 3 4" xfId="1603"/>
    <cellStyle name="Calculation 2 6 3 7 5 2" xfId="1604"/>
    <cellStyle name="40% - Accent5 2 2 7" xfId="1605"/>
    <cellStyle name="Note 2 9 3 4 2 2" xfId="1606"/>
    <cellStyle name="Input 2 13 4 2" xfId="1607"/>
    <cellStyle name="Calculation 2 15 2 7" xfId="1608"/>
    <cellStyle name="Note 2 3 3 8 3" xfId="1609"/>
    <cellStyle name="40% - Accent5 2 4 2" xfId="1610"/>
    <cellStyle name="Input 2 6 3 2 5 3" xfId="1611"/>
    <cellStyle name="Calculation 2 20 4 2" xfId="1612"/>
    <cellStyle name="Calculation 2 15 4 2" xfId="1613"/>
    <cellStyle name="Note 2 3 3 8 3 2" xfId="1614"/>
    <cellStyle name="Total 2 2 5 2 4" xfId="1615"/>
    <cellStyle name="40% - Accent5 2 4 2 2" xfId="1616"/>
    <cellStyle name="Calculation 2 15 4 2 2" xfId="1617"/>
    <cellStyle name="40% - Accent6 3" xfId="1618"/>
    <cellStyle name="40% - Accent5 2 4 2 2 2" xfId="1619"/>
    <cellStyle name="Input 2 2 9 4" xfId="1620"/>
    <cellStyle name="60% - Accent1 2 4" xfId="1621"/>
    <cellStyle name="Note 2 3 3 8 4" xfId="1622"/>
    <cellStyle name="40% - Accent5 2 4 3" xfId="1623"/>
    <cellStyle name="Calculation 2 20 4 3" xfId="1624"/>
    <cellStyle name="Calculation 2 15 4 3" xfId="1625"/>
    <cellStyle name="40% - Accent5 3" xfId="1626"/>
    <cellStyle name="Calculation 2 21" xfId="1627"/>
    <cellStyle name="Calculation 2 16" xfId="1628"/>
    <cellStyle name="Input 2 2 7 4 2" xfId="1629"/>
    <cellStyle name="40% - Accent5 4" xfId="1630"/>
    <cellStyle name="Calculation 2 22" xfId="1631"/>
    <cellStyle name="Calculation 2 17" xfId="1632"/>
    <cellStyle name="Input 2 2 7 4 3" xfId="1633"/>
    <cellStyle name="40% - Accent5 5" xfId="1634"/>
    <cellStyle name="Calculation 2 23" xfId="1635"/>
    <cellStyle name="Calculation 2 18" xfId="1636"/>
    <cellStyle name="40% - Accent5 6" xfId="1637"/>
    <cellStyle name="Good 2 2 2" xfId="1638"/>
    <cellStyle name="Calculation 2 24" xfId="1639"/>
    <cellStyle name="Calculation 2 19" xfId="1640"/>
    <cellStyle name="Note 2 2 3 14 4" xfId="1641"/>
    <cellStyle name="40% - Accent6 2 2" xfId="1642"/>
    <cellStyle name="Input 2 14 2 8 3 2" xfId="1643"/>
    <cellStyle name="Calculation 2 16 4 2 4" xfId="1644"/>
    <cellStyle name="Note 2 4 3 6 3" xfId="1645"/>
    <cellStyle name="40% - Accent6 2 2 2" xfId="1646"/>
    <cellStyle name="Note 2 9 2 16" xfId="1647"/>
    <cellStyle name="Note 2 4 3 6 3 2" xfId="1648"/>
    <cellStyle name="40% - Accent6 2 2 2 2" xfId="1649"/>
    <cellStyle name="Output 2 6 3 6 2 4" xfId="1650"/>
    <cellStyle name="Note 2 12 18" xfId="1651"/>
    <cellStyle name="40% - Accent6 2 2 2 2 2 2 2" xfId="1652"/>
    <cellStyle name="Calculation 2 14 3 5 6" xfId="1653"/>
    <cellStyle name="Note 2 4 3 6 3 3" xfId="1654"/>
    <cellStyle name="40% - Accent6 2 2 2 3" xfId="1655"/>
    <cellStyle name="Note 2 13 3 3" xfId="1656"/>
    <cellStyle name="Calculation 2 5 6 6" xfId="1657"/>
    <cellStyle name="40% - Accent6 2 2 8" xfId="1658"/>
    <cellStyle name="Total 2 7 2 2 2 3" xfId="1659"/>
    <cellStyle name="40% - Accent6 2 3" xfId="1660"/>
    <cellStyle name="40% - Accent6 2 4" xfId="1661"/>
    <cellStyle name="Note 2 4 3 8 3 2" xfId="1662"/>
    <cellStyle name="40% - Accent6 2 4 2 2" xfId="1663"/>
    <cellStyle name="60% - Accent2 2 2 2 6" xfId="1664"/>
    <cellStyle name="40% - Accent6 2 5" xfId="1665"/>
    <cellStyle name="40% - Accent6 2 6" xfId="1666"/>
    <cellStyle name="40% - Accent6 2 7" xfId="1667"/>
    <cellStyle name="Input 2 9 6 4 2" xfId="1668"/>
    <cellStyle name="Calculation 2 13 2 3 3 2" xfId="1669"/>
    <cellStyle name="Input 2 2 9 2 2" xfId="1670"/>
    <cellStyle name="60% - Accent1 2 2 2" xfId="1671"/>
    <cellStyle name="Calculation 2 13 3 9 5 3" xfId="1672"/>
    <cellStyle name="Input 2 6 10 6" xfId="1673"/>
    <cellStyle name="60% - Accent1 2 2 2 2" xfId="1674"/>
    <cellStyle name="Total 2 11 3 10 3 4" xfId="1675"/>
    <cellStyle name="Calculation 2 10 3 6 5 3" xfId="1676"/>
    <cellStyle name="Calculation 2 14 3 3 3 4" xfId="1677"/>
    <cellStyle name="60% - Accent1 2 2 2 2 2" xfId="1678"/>
    <cellStyle name="Calculation 2 11 2 9 3 4" xfId="1679"/>
    <cellStyle name="60% - Accent1 2 2 2 2 2 2" xfId="1680"/>
    <cellStyle name="60% - Accent1 2 2 2 2 2 2 2" xfId="1681"/>
    <cellStyle name="Output 2 12 3 7 3 2" xfId="1682"/>
    <cellStyle name="Calculation 2 14 3 4 4" xfId="1683"/>
    <cellStyle name="60% - Accent1 2 2 2 2 3" xfId="1684"/>
    <cellStyle name="Input 2 6 10 7" xfId="1685"/>
    <cellStyle name="60% - Accent1 2 2 2 3" xfId="1686"/>
    <cellStyle name="Calculation 2 13 8 5 2" xfId="1687"/>
    <cellStyle name="Calculation 2 15 12 2" xfId="1688"/>
    <cellStyle name="Input 2 2 9 2 3" xfId="1689"/>
    <cellStyle name="60% - Accent1 2 2 3" xfId="1690"/>
    <cellStyle name="Input 2 2 9 2 4" xfId="1691"/>
    <cellStyle name="60% - Accent1 2 2 4" xfId="1692"/>
    <cellStyle name="60% - Accent1 2 2 5" xfId="1693"/>
    <cellStyle name="Calculation 2 8 3 2 5 3" xfId="1694"/>
    <cellStyle name="60% - Accent1 2 2 7" xfId="1695"/>
    <cellStyle name="Output 2 14 6 4" xfId="1696"/>
    <cellStyle name="Accent2 2" xfId="1697"/>
    <cellStyle name="60% - Accent1 2 2 8" xfId="1698"/>
    <cellStyle name="Output 2 14 6 5" xfId="1699"/>
    <cellStyle name="Accent2 3" xfId="1700"/>
    <cellStyle name="Input 2 2 9 4 2" xfId="1701"/>
    <cellStyle name="60% - Accent1 2 4 2" xfId="1702"/>
    <cellStyle name="60% - Accent1 2 4 2 2" xfId="1703"/>
    <cellStyle name="Output 2 6 11 3 3" xfId="1704"/>
    <cellStyle name="Note 2 9 2 3 3" xfId="1705"/>
    <cellStyle name="Calculation 2 10 3 8 5 3" xfId="1706"/>
    <cellStyle name="Calculation 2 14 3 5 3 4" xfId="1707"/>
    <cellStyle name="Output 2 2 2 5 4 3" xfId="1708"/>
    <cellStyle name="60% - Accent1 2 4 2 2 2" xfId="1709"/>
    <cellStyle name="Input 2 2 9 4 3" xfId="1710"/>
    <cellStyle name="60% - Accent1 2 4 3" xfId="1711"/>
    <cellStyle name="Input 2 2 9 5" xfId="1712"/>
    <cellStyle name="60% - Accent1 2 5" xfId="1713"/>
    <cellStyle name="Input 2 2 9 6" xfId="1714"/>
    <cellStyle name="60% - Accent1 2 6" xfId="1715"/>
    <cellStyle name="Input 2 2 9 7" xfId="1716"/>
    <cellStyle name="60% - Accent1 2 7" xfId="1717"/>
    <cellStyle name="Input 2 2 9 8" xfId="1718"/>
    <cellStyle name="60% - Accent1 2 8" xfId="1719"/>
    <cellStyle name="Calculation 2 7 12 7" xfId="1720"/>
    <cellStyle name="60% - Accent1 3" xfId="1721"/>
    <cellStyle name="Output 2 12 2 2 5 3" xfId="1722"/>
    <cellStyle name="Input 2 5 9 6" xfId="1723"/>
    <cellStyle name="60% - Accent4 2 6" xfId="1724"/>
    <cellStyle name="60% - Accent1 4" xfId="1725"/>
    <cellStyle name="Input 2 5 9 7" xfId="1726"/>
    <cellStyle name="60% - Accent4 2 7" xfId="1727"/>
    <cellStyle name="60% - Accent1 5" xfId="1728"/>
    <cellStyle name="Input 2 5 9 8" xfId="1729"/>
    <cellStyle name="60% - Accent4 2 8" xfId="1730"/>
    <cellStyle name="60% - Accent1 6" xfId="1731"/>
    <cellStyle name="Note 2 6 3 4 2 3" xfId="1732"/>
    <cellStyle name="Input 2 3 9" xfId="1733"/>
    <cellStyle name="60% - Accent2 2" xfId="1734"/>
    <cellStyle name="Calculation 2 13 14 4" xfId="1735"/>
    <cellStyle name="60% - Accent2 2 10" xfId="1736"/>
    <cellStyle name="Input 2 3 9 2" xfId="1737"/>
    <cellStyle name="Calculation 2 2 3 2 8" xfId="1738"/>
    <cellStyle name="60% - Accent2 2 2" xfId="1739"/>
    <cellStyle name="Input 2 3 9 2 2" xfId="1740"/>
    <cellStyle name="60% - Accent2 2 2 2" xfId="1741"/>
    <cellStyle name="Note 2 2 2 5 4 3" xfId="1742"/>
    <cellStyle name="Input 2 6 6 3 3" xfId="1743"/>
    <cellStyle name="Total 2 4 2 4" xfId="1744"/>
    <cellStyle name="60% - Accent2 2 2 2 2" xfId="1745"/>
    <cellStyle name="Calculation 2 11 3 6 5 3" xfId="1746"/>
    <cellStyle name="60% - Accent2 2 2 2 2 2" xfId="1747"/>
    <cellStyle name="Accent3 2 7" xfId="1748"/>
    <cellStyle name="60% - Accent2 2 2 2 2 2 2" xfId="1749"/>
    <cellStyle name="Calculation 2 15 5 4" xfId="1750"/>
    <cellStyle name="Calculation 2 2 2 12" xfId="1751"/>
    <cellStyle name="60% - Accent2 2 2 2 2 2 2 2" xfId="1752"/>
    <cellStyle name="Calculation 2 15 5 4 2" xfId="1753"/>
    <cellStyle name="Output 2 2 6 3" xfId="1754"/>
    <cellStyle name="Calculation 2 2 2 12 2" xfId="1755"/>
    <cellStyle name="60% - Accent2 2 2 2 2 2 2 2 2" xfId="1756"/>
    <cellStyle name="Calculation 2 12 4 4" xfId="1757"/>
    <cellStyle name="60% - Accent2 2 2 2 2 2 3" xfId="1758"/>
    <cellStyle name="Calculation 2 15 5 5" xfId="1759"/>
    <cellStyle name="Calculation 2 2 2 13" xfId="1760"/>
    <cellStyle name="60% - Accent2 2 2 2 2 3" xfId="1761"/>
    <cellStyle name="Accent3 2 8" xfId="1762"/>
    <cellStyle name="Calculation 2 8 2 13" xfId="1763"/>
    <cellStyle name="Calculation 2 10 2 14 2" xfId="1764"/>
    <cellStyle name="Input 2 6 6 3 4" xfId="1765"/>
    <cellStyle name="Total 2 4 2 5" xfId="1766"/>
    <cellStyle name="60% - Accent2 2 2 2 3" xfId="1767"/>
    <cellStyle name="60% - Accent2 2 2 2 4" xfId="1768"/>
    <cellStyle name="60% - Accent2 2 2 2 5" xfId="1769"/>
    <cellStyle name="60% - Accent2 2 2 2 7" xfId="1770"/>
    <cellStyle name="Input 2 3 9 2 3" xfId="1771"/>
    <cellStyle name="60% - Accent2 2 2 3" xfId="1772"/>
    <cellStyle name="Input 2 3 9 2 4" xfId="1773"/>
    <cellStyle name="60% - Accent2 2 2 4" xfId="1774"/>
    <cellStyle name="Input 2 6 6 5 3" xfId="1775"/>
    <cellStyle name="Total 2 4 4 4" xfId="1776"/>
    <cellStyle name="60% - Accent2 2 2 4 2" xfId="1777"/>
    <cellStyle name="Note 2 11 3 6 5" xfId="1778"/>
    <cellStyle name="60% - Accent2 2 2 4 2 2" xfId="1779"/>
    <cellStyle name="Note 2 11 3 6 5 2" xfId="1780"/>
    <cellStyle name="60% - Accent2 2 2 4 2 2 2" xfId="1781"/>
    <cellStyle name="60% - Accent2 2 2 4 3" xfId="1782"/>
    <cellStyle name="60% - Accent2 2 2 5" xfId="1783"/>
    <cellStyle name="60% - Accent2 2 2 6" xfId="1784"/>
    <cellStyle name="60% - Accent2 2 2 7" xfId="1785"/>
    <cellStyle name="60% - Accent2 2 2 8" xfId="1786"/>
    <cellStyle name="60% - Accent2 2 2 9" xfId="1787"/>
    <cellStyle name="Note 2 4 2 10 2" xfId="1788"/>
    <cellStyle name="Input 2 3 9 3" xfId="1789"/>
    <cellStyle name="60% - Accent2 2 3" xfId="1790"/>
    <cellStyle name="Note 2 4 2 10 3" xfId="1791"/>
    <cellStyle name="Input 2 3 9 4" xfId="1792"/>
    <cellStyle name="60% - Accent2 2 4" xfId="1793"/>
    <cellStyle name="Note 2 4 2 10 4" xfId="1794"/>
    <cellStyle name="Input 2 3 9 5" xfId="1795"/>
    <cellStyle name="60% - Accent2 2 5" xfId="1796"/>
    <cellStyle name="Note 2 4 2 10 5" xfId="1797"/>
    <cellStyle name="Input 2 3 9 6" xfId="1798"/>
    <cellStyle name="60% - Accent2 2 6" xfId="1799"/>
    <cellStyle name="Note 2 4 2 10 5 2" xfId="1800"/>
    <cellStyle name="Input 2 3 9 6 2" xfId="1801"/>
    <cellStyle name="60% - Accent2 2 6 2" xfId="1802"/>
    <cellStyle name="Note 2 13 5 2 3" xfId="1803"/>
    <cellStyle name="Calculation 2 5 8 5 3" xfId="1804"/>
    <cellStyle name="Calculation 2 13 2 13 3" xfId="1805"/>
    <cellStyle name="Note 2 2 2 9 4 3" xfId="1806"/>
    <cellStyle name="Input 2 3 9 6 2 2" xfId="1807"/>
    <cellStyle name="60% - Accent2 2 6 2 2" xfId="1808"/>
    <cellStyle name="Output 2 5 2 3 7" xfId="1809"/>
    <cellStyle name="Note 2 10 8 7" xfId="1810"/>
    <cellStyle name="Calculation 2 8 9 2 4" xfId="1811"/>
    <cellStyle name="Input 2 7 3 10 4 3" xfId="1812"/>
    <cellStyle name="Calculation 2 11 2 3" xfId="1813"/>
    <cellStyle name="Total 2 11 3 16" xfId="1814"/>
    <cellStyle name="Note 2 5 3 6 5 3" xfId="1815"/>
    <cellStyle name="60% - Accent2 2 6 2 2 2" xfId="1816"/>
    <cellStyle name="Calculation 2 11 2 3 2" xfId="1817"/>
    <cellStyle name="Calculation 2 14 3 10 5 3" xfId="1818"/>
    <cellStyle name="Note 2 9 3 3 3 4" xfId="1819"/>
    <cellStyle name="Input 2 12 5 4" xfId="1820"/>
    <cellStyle name="Calculation 2 14 3 9" xfId="1821"/>
    <cellStyle name="Heading 3 2 3 2" xfId="1822"/>
    <cellStyle name="Note 2 4 2 10 5 3" xfId="1823"/>
    <cellStyle name="60% - Accent2 2 6 3" xfId="1824"/>
    <cellStyle name="Note 2 4 2 10 6" xfId="1825"/>
    <cellStyle name="Input 2 3 9 7" xfId="1826"/>
    <cellStyle name="60% - Accent2 2 7" xfId="1827"/>
    <cellStyle name="Note 2 4 2 10 7" xfId="1828"/>
    <cellStyle name="Input 2 3 9 8" xfId="1829"/>
    <cellStyle name="60% - Accent2 2 8" xfId="1830"/>
    <cellStyle name="Note 2 4 2 10 8" xfId="1831"/>
    <cellStyle name="60% - Accent2 2 9" xfId="1832"/>
    <cellStyle name="Note 2 6 3 4 2 4" xfId="1833"/>
    <cellStyle name="60% - Accent2 3" xfId="1834"/>
    <cellStyle name="60% - Accent2 3 2" xfId="1835"/>
    <cellStyle name="Note 2 4 2 11 2" xfId="1836"/>
    <cellStyle name="60% - Accent2 3 3" xfId="1837"/>
    <cellStyle name="Note 2 4 2 11 3" xfId="1838"/>
    <cellStyle name="60% - Accent2 3 4" xfId="1839"/>
    <cellStyle name="60% - Accent2 4" xfId="1840"/>
    <cellStyle name="Note 2 4 2 12 2" xfId="1841"/>
    <cellStyle name="60% - Accent2 4 3" xfId="1842"/>
    <cellStyle name="Note 2 4 2 12 3" xfId="1843"/>
    <cellStyle name="60% - Accent2 4 4" xfId="1844"/>
    <cellStyle name="60% - Accent2 5" xfId="1845"/>
    <cellStyle name="60% - Accent2 5 2" xfId="1846"/>
    <cellStyle name="Note 2 4 2 13 2" xfId="1847"/>
    <cellStyle name="60% - Accent2 5 3" xfId="1848"/>
    <cellStyle name="Note 2 4 2 13 3" xfId="1849"/>
    <cellStyle name="60% - Accent2 5 4" xfId="1850"/>
    <cellStyle name="Note 2 4 2 14 2" xfId="1851"/>
    <cellStyle name="60% - Accent2 6 3" xfId="1852"/>
    <cellStyle name="Calculation 2 11 19" xfId="1853"/>
    <cellStyle name="Note 2 4 2 14 3" xfId="1854"/>
    <cellStyle name="60% - Accent2 6 4" xfId="1855"/>
    <cellStyle name="Note 2 6 3 2 5 2" xfId="1856"/>
    <cellStyle name="Calculation 2 11 7 2 2" xfId="1857"/>
    <cellStyle name="Note 2 6 3 4 3 3" xfId="1858"/>
    <cellStyle name="Input 2 4 9" xfId="1859"/>
    <cellStyle name="60% - Accent3 2" xfId="1860"/>
    <cellStyle name="Input 2 4 9 2" xfId="1861"/>
    <cellStyle name="60% - Accent3 2 2" xfId="1862"/>
    <cellStyle name="Input 2 4 9 2 2" xfId="1863"/>
    <cellStyle name="60% - Accent3 2 2 2" xfId="1864"/>
    <cellStyle name="Note 2 3 2 5 4 3" xfId="1865"/>
    <cellStyle name="60% - Accent3 2 2 2 2" xfId="1866"/>
    <cellStyle name="Calculation 2 12 3 6 5 3" xfId="1867"/>
    <cellStyle name="60% - Accent3 2 2 2 2 2" xfId="1868"/>
    <cellStyle name="60% - Accent3 2 2 2 2 2 2" xfId="1869"/>
    <cellStyle name="Output 2 8 2 11" xfId="1870"/>
    <cellStyle name="60% - Accent3 2 2 2 2 2 2 2" xfId="1871"/>
    <cellStyle name="Total 2 16 12 3" xfId="1872"/>
    <cellStyle name="Calculation 2 7 3 10 7" xfId="1873"/>
    <cellStyle name="60% - Accent3 2 2 2 2 3" xfId="1874"/>
    <cellStyle name="60% - Accent3 2 2 2 3" xfId="1875"/>
    <cellStyle name="Input 2 4 9 2 3" xfId="1876"/>
    <cellStyle name="60% - Accent3 2 2 3" xfId="1877"/>
    <cellStyle name="Input 2 4 9 2 4" xfId="1878"/>
    <cellStyle name="60% - Accent3 2 2 4" xfId="1879"/>
    <cellStyle name="60% - Accent3 2 2 5" xfId="1880"/>
    <cellStyle name="Calculation 2 2 2 16 2" xfId="1881"/>
    <cellStyle name="60% - Accent3 2 2 6" xfId="1882"/>
    <cellStyle name="60% - Accent3 2 2 7" xfId="1883"/>
    <cellStyle name="60% - Accent3 2 2 8" xfId="1884"/>
    <cellStyle name="Calculation 2 14 2 3 4 2" xfId="1885"/>
    <cellStyle name="Input 2 4 9 3" xfId="1886"/>
    <cellStyle name="60% - Accent3 2 3" xfId="1887"/>
    <cellStyle name="Bad 2 5 2 2" xfId="1888"/>
    <cellStyle name="Input 2 4 9 4" xfId="1889"/>
    <cellStyle name="60% - Accent3 2 4" xfId="1890"/>
    <cellStyle name="Input 2 4 9 4 2" xfId="1891"/>
    <cellStyle name="60% - Accent3 2 4 2" xfId="1892"/>
    <cellStyle name="Note 2 3 2 7 4 3" xfId="1893"/>
    <cellStyle name="60% - Accent3 2 4 2 2" xfId="1894"/>
    <cellStyle name="Calculation 2 12 3 8 5 3" xfId="1895"/>
    <cellStyle name="Calculation 2 14 3 3 3" xfId="1896"/>
    <cellStyle name="60% - Accent3 2 4 2 2 2" xfId="1897"/>
    <cellStyle name="Input 2 2 5 8" xfId="1898"/>
    <cellStyle name="Calculation 2 14 3 3 3 2" xfId="1899"/>
    <cellStyle name="Calculation 2 6 2 2 3 3" xfId="1900"/>
    <cellStyle name="Input 2 4 9 4 3" xfId="1901"/>
    <cellStyle name="60% - Accent3 2 4 3" xfId="1902"/>
    <cellStyle name="Input 2 4 9 7" xfId="1903"/>
    <cellStyle name="60% - Accent3 2 7" xfId="1904"/>
    <cellStyle name="Note 2 6 3 4 3 4" xfId="1905"/>
    <cellStyle name="60% - Accent3 3" xfId="1906"/>
    <cellStyle name="60% - Accent3 4" xfId="1907"/>
    <cellStyle name="60% - Accent3 4 2" xfId="1908"/>
    <cellStyle name="60% - Accent3 5" xfId="1909"/>
    <cellStyle name="60% - Accent3 6" xfId="1910"/>
    <cellStyle name="Note 2 6 3 4 4 3" xfId="1911"/>
    <cellStyle name="Input 2 5 9" xfId="1912"/>
    <cellStyle name="60% - Accent4 2" xfId="1913"/>
    <cellStyle name="Input 2 5 9 2" xfId="1914"/>
    <cellStyle name="Input 2 4 11 6" xfId="1915"/>
    <cellStyle name="60% - Accent4 2 2" xfId="1916"/>
    <cellStyle name="Calculation 2 11 2 9 4" xfId="1917"/>
    <cellStyle name="Output 2 14 5 7" xfId="1918"/>
    <cellStyle name="60% - Accent4 2 2 2 2 2" xfId="1919"/>
    <cellStyle name="Accent1 5" xfId="1920"/>
    <cellStyle name="60% - Accent4 2 2 2 2 2 2" xfId="1921"/>
    <cellStyle name="60% - Accent4 2 2 2 2 2 2 2" xfId="1922"/>
    <cellStyle name="Calculation 2 12 3 2 3" xfId="1923"/>
    <cellStyle name="60% - Accent4 2 2 2 2 3" xfId="1924"/>
    <cellStyle name="Accent1 6" xfId="1925"/>
    <cellStyle name="Note 2 11 2 7 2 4" xfId="1926"/>
    <cellStyle name="Calculation 2 10 8 5 2" xfId="1927"/>
    <cellStyle name="Input 2 5 9 2 4" xfId="1928"/>
    <cellStyle name="Calculation 2 9 11 4 2" xfId="1929"/>
    <cellStyle name="60% - Accent4 2 2 4" xfId="1930"/>
    <cellStyle name="Calculation 2 9 11 4 3" xfId="1931"/>
    <cellStyle name="60% - Accent4 2 2 5" xfId="1932"/>
    <cellStyle name="60% - Accent4 2 2 6" xfId="1933"/>
    <cellStyle name="60% - Accent4 2 2 7" xfId="1934"/>
    <cellStyle name="Total 2 13 5 2" xfId="1935"/>
    <cellStyle name="60% - Accent4 2 2 8" xfId="1936"/>
    <cellStyle name="Total 2 13 5 3" xfId="1937"/>
    <cellStyle name="Input 2 2 6 8" xfId="1938"/>
    <cellStyle name="Calculation 2 14 3 3 4 2" xfId="1939"/>
    <cellStyle name="Calculation 2 6 2 2 4 3" xfId="1940"/>
    <cellStyle name="Calculation 2 11 2 9 5" xfId="1941"/>
    <cellStyle name="Input 2 5 9 3" xfId="1942"/>
    <cellStyle name="Input 2 4 11 7" xfId="1943"/>
    <cellStyle name="60% - Accent4 2 3" xfId="1944"/>
    <cellStyle name="Calculation 2 13 13 2" xfId="1945"/>
    <cellStyle name="Calculation 2 11 2 9 6" xfId="1946"/>
    <cellStyle name="Input 2 5 9 4" xfId="1947"/>
    <cellStyle name="Input 2 4 11 8" xfId="1948"/>
    <cellStyle name="60% - Accent4 2 4" xfId="1949"/>
    <cellStyle name="Calculation 2 13 13 3" xfId="1950"/>
    <cellStyle name="Note 2 4 2 7 4 3" xfId="1951"/>
    <cellStyle name="Input 2 11 10 3" xfId="1952"/>
    <cellStyle name="60% - Accent4 2 4 2 2" xfId="1953"/>
    <cellStyle name="Calculation 2 13 3 8 5 3" xfId="1954"/>
    <cellStyle name="Calculation 2 10 2 6 5 3" xfId="1955"/>
    <cellStyle name="Input 2 11 10 3 2" xfId="1956"/>
    <cellStyle name="60% - Accent4 2 4 2 2 2" xfId="1957"/>
    <cellStyle name="Calculation 2 14 2 3 3 4" xfId="1958"/>
    <cellStyle name="60% - Accent4 3" xfId="1959"/>
    <cellStyle name="60% - Accent4 4" xfId="1960"/>
    <cellStyle name="Input 2 5 3 10 5" xfId="1961"/>
    <cellStyle name="60% - Accent4 4 2" xfId="1962"/>
    <cellStyle name="Input 2 5 3 10 6" xfId="1963"/>
    <cellStyle name="Calculation 2 13 15 2" xfId="1964"/>
    <cellStyle name="60% - Accent4 4 3" xfId="1965"/>
    <cellStyle name="Input 2 5 3 10 7" xfId="1966"/>
    <cellStyle name="Calculation 2 13 15 3" xfId="1967"/>
    <cellStyle name="60% - Accent4 4 4" xfId="1968"/>
    <cellStyle name="60% - Accent4 5" xfId="1969"/>
    <cellStyle name="60% - Accent4 6" xfId="1970"/>
    <cellStyle name="Accent6 2 2 2 3" xfId="1971"/>
    <cellStyle name="Note 2 6 3 4 5 3" xfId="1972"/>
    <cellStyle name="Input 2 6 9" xfId="1973"/>
    <cellStyle name="60% - Accent5 2" xfId="1974"/>
    <cellStyle name="Calculation 2 11 9 2 3" xfId="1975"/>
    <cellStyle name="Note 2 2 2 8 3" xfId="1976"/>
    <cellStyle name="Input 2 6 9 2" xfId="1977"/>
    <cellStyle name="60% - Accent5 2 2" xfId="1978"/>
    <cellStyle name="Calculation 2 11 3 9 4" xfId="1979"/>
    <cellStyle name="Note 2 2 2 8 3 2" xfId="1980"/>
    <cellStyle name="Note 2 14 13 4" xfId="1981"/>
    <cellStyle name="Input 2 6 9 2 2" xfId="1982"/>
    <cellStyle name="60% - Accent5 2 2 2" xfId="1983"/>
    <cellStyle name="Output 2 6 12 5" xfId="1984"/>
    <cellStyle name="Note 2 9 3 5" xfId="1985"/>
    <cellStyle name="Calculation 2 10 3 9 7" xfId="1986"/>
    <cellStyle name="Calculation 2 3 2 8 4 3" xfId="1987"/>
    <cellStyle name="Calculation 2 11 3 9 4 2" xfId="1988"/>
    <cellStyle name="Note 2 5 2 5 4 3" xfId="1989"/>
    <cellStyle name="Calculation 2 6 3 8 5" xfId="1990"/>
    <cellStyle name="60% - Accent5 2 2 2 2" xfId="1991"/>
    <cellStyle name="Calculation 2 14 3 6 5 3" xfId="1992"/>
    <cellStyle name="Output 2 12 3 5 3 4" xfId="1993"/>
    <cellStyle name="Calculation 2 6 3 8 5 2" xfId="1994"/>
    <cellStyle name="60% - Accent5 2 2 2 2 2" xfId="1995"/>
    <cellStyle name="Note 2 9 3 5 2 2" xfId="1996"/>
    <cellStyle name="Input 2 14 4 2" xfId="1997"/>
    <cellStyle name="Calculation 2 16 2 7" xfId="1998"/>
    <cellStyle name="Note 2 10 2 9 7" xfId="1999"/>
    <cellStyle name="60% - Accent5 2 2 2 2 2 2" xfId="2000"/>
    <cellStyle name="Note 2 11 12 4" xfId="2001"/>
    <cellStyle name="60% - Accent5 2 2 2 2 2 2 2" xfId="2002"/>
    <cellStyle name="Calculation 2 2 2 2 2 4" xfId="2003"/>
    <cellStyle name="Calculation 2 10 3 3 2 3" xfId="2004"/>
    <cellStyle name="Calculation 2 6 3 8 5 3" xfId="2005"/>
    <cellStyle name="60% - Accent5 2 2 2 2 3" xfId="2006"/>
    <cellStyle name="Calculation 2 6 3 8 6" xfId="2007"/>
    <cellStyle name="60% - Accent5 2 2 2 3" xfId="2008"/>
    <cellStyle name="Note 2 2 2 8 3 3" xfId="2009"/>
    <cellStyle name="Input 2 6 9 2 3" xfId="2010"/>
    <cellStyle name="60% - Accent5 2 2 3" xfId="2011"/>
    <cellStyle name="Calculation 2 11 3 9 4 3" xfId="2012"/>
    <cellStyle name="Total 2 6 3 10 2" xfId="2013"/>
    <cellStyle name="Note 2 2 2 8 3 4" xfId="2014"/>
    <cellStyle name="Input 2 6 9 2 4" xfId="2015"/>
    <cellStyle name="60% - Accent5 2 2 4" xfId="2016"/>
    <cellStyle name="Note 2 6 10 3" xfId="2017"/>
    <cellStyle name="60% - Accent5 2 2 7" xfId="2018"/>
    <cellStyle name="Note 2 6 10 4" xfId="2019"/>
    <cellStyle name="60% - Accent5 2 2 8" xfId="2020"/>
    <cellStyle name="Note 2 2 2 8 4" xfId="2021"/>
    <cellStyle name="Input 2 6 9 3" xfId="2022"/>
    <cellStyle name="60% - Accent5 2 3" xfId="2023"/>
    <cellStyle name="Calculation 2 10 2" xfId="2024"/>
    <cellStyle name="Calculation 2 11 3 9 5" xfId="2025"/>
    <cellStyle name="Note 2 2 2 8 5" xfId="2026"/>
    <cellStyle name="Input 2 6 9 4" xfId="2027"/>
    <cellStyle name="60% - Accent5 2 4" xfId="2028"/>
    <cellStyle name="Calculation 2 3 3 8 4 2" xfId="2029"/>
    <cellStyle name="Calculation 2 10 3" xfId="2030"/>
    <cellStyle name="Calculation 2 11 3 9 6" xfId="2031"/>
    <cellStyle name="Note 2 2 2 8 5 2" xfId="2032"/>
    <cellStyle name="Input 2 5 3 6 3 4" xfId="2033"/>
    <cellStyle name="Input 2 6 9 4 2" xfId="2034"/>
    <cellStyle name="Total 2 7 3 3" xfId="2035"/>
    <cellStyle name="60% - Accent5 2 4 2" xfId="2036"/>
    <cellStyle name="Calculation 2 8 8 3 3" xfId="2037"/>
    <cellStyle name="Calculation 2 10 3 2" xfId="2038"/>
    <cellStyle name="Note 2 5 2 7 4 3" xfId="2039"/>
    <cellStyle name="Note 2 14 2 5 5" xfId="2040"/>
    <cellStyle name="60% - Accent5 2 4 2 2" xfId="2041"/>
    <cellStyle name="Calculation 2 10 3 2 2" xfId="2042"/>
    <cellStyle name="Calculation 2 14 3 8 5 3" xfId="2043"/>
    <cellStyle name="Note 2 14 2 5 5 2" xfId="2044"/>
    <cellStyle name="60% - Accent5 2 4 2 2 2" xfId="2045"/>
    <cellStyle name="Total 2 2 12 8" xfId="2046"/>
    <cellStyle name="Accent2 - 20% 3" xfId="2047"/>
    <cellStyle name="Calculation 2 10 3 2 2 2" xfId="2048"/>
    <cellStyle name="Calculation 2 11 8 5 3" xfId="2049"/>
    <cellStyle name="Note 2 2 2 8 5 3" xfId="2050"/>
    <cellStyle name="Input 2 6 9 4 3" xfId="2051"/>
    <cellStyle name="Total 2 7 3 4" xfId="2052"/>
    <cellStyle name="60% - Accent5 2 4 3" xfId="2053"/>
    <cellStyle name="Calculation 2 8 8 3 4" xfId="2054"/>
    <cellStyle name="Calculation 2 10 3 3" xfId="2055"/>
    <cellStyle name="Output 2 6 2 2 3 3" xfId="2056"/>
    <cellStyle name="Output 2 12 2 3 5 3" xfId="2057"/>
    <cellStyle name="Note 2 2 2 8 7" xfId="2058"/>
    <cellStyle name="Input 2 6 9 6" xfId="2059"/>
    <cellStyle name="60% - Accent5 2 6" xfId="2060"/>
    <cellStyle name="Note 2 2 3 8 3 3" xfId="2061"/>
    <cellStyle name="Input 2 7 9 2 3" xfId="2062"/>
    <cellStyle name="Heading 2 5" xfId="2063"/>
    <cellStyle name="60% - Accent6 2 2 3" xfId="2064"/>
    <cellStyle name="Calculation 2 10 5" xfId="2065"/>
    <cellStyle name="Output 2 6 2 2 3 4" xfId="2066"/>
    <cellStyle name="Note 2 2 2 8 8" xfId="2067"/>
    <cellStyle name="Input 2 6 9 7" xfId="2068"/>
    <cellStyle name="60% - Accent5 2 7" xfId="2069"/>
    <cellStyle name="Note 2 2 3 8 3 4" xfId="2070"/>
    <cellStyle name="Input 2 7 9 2 4" xfId="2071"/>
    <cellStyle name="Heading 2 6" xfId="2072"/>
    <cellStyle name="60% - Accent6 2 2 4" xfId="2073"/>
    <cellStyle name="Calculation 2 10 6" xfId="2074"/>
    <cellStyle name="60% - Accent5 2 8" xfId="2075"/>
    <cellStyle name="Heading 2 7" xfId="2076"/>
    <cellStyle name="60% - Accent6 2 2 5" xfId="2077"/>
    <cellStyle name="Calculation 2 10 7" xfId="2078"/>
    <cellStyle name="60% - Accent5 3" xfId="2079"/>
    <cellStyle name="Calculation 2 11 9 2 4" xfId="2080"/>
    <cellStyle name="60% - Accent5 4" xfId="2081"/>
    <cellStyle name="60% - Accent5 5" xfId="2082"/>
    <cellStyle name="60% - Accent5 6" xfId="2083"/>
    <cellStyle name="60% - Accent6 2 10" xfId="2084"/>
    <cellStyle name="Note 2 9 2 5 2 4" xfId="2085"/>
    <cellStyle name="Note 2 3 7 4" xfId="2086"/>
    <cellStyle name="60% - Accent6 2 2 2 2 2" xfId="2087"/>
    <cellStyle name="Calculation 2 10 4 2 2" xfId="2088"/>
    <cellStyle name="Calculation 2 14 3 9 5 3" xfId="2089"/>
    <cellStyle name="Note 2 3 7 4 2" xfId="2090"/>
    <cellStyle name="60% - Accent6 2 2 2 2 2 2" xfId="2091"/>
    <cellStyle name="Calculation 2 10 12 3" xfId="2092"/>
    <cellStyle name="Calculation 2 12 8 5 3" xfId="2093"/>
    <cellStyle name="Note 2 2 3 4 2 2 2 3" xfId="2094"/>
    <cellStyle name="Calculation 2 5 3 6 7" xfId="2095"/>
    <cellStyle name="60% - Accent6 2 2 2 2 2 2 2" xfId="2096"/>
    <cellStyle name="Input 2 12 2 8 3" xfId="2097"/>
    <cellStyle name="Calculation 2 10 12 3 2" xfId="2098"/>
    <cellStyle name="Output 2 5 3 2 3 4" xfId="2099"/>
    <cellStyle name="Note 2 11 7 3 4" xfId="2100"/>
    <cellStyle name="60% - Accent6 2 2 2 2 2 2 2 2" xfId="2101"/>
    <cellStyle name="Note 2 3 7 5" xfId="2102"/>
    <cellStyle name="60% - Accent6 2 2 2 2 3" xfId="2103"/>
    <cellStyle name="Calculation 2 10 4 2 3" xfId="2104"/>
    <cellStyle name="60% - Accent6 2 2 2 4" xfId="2105"/>
    <cellStyle name="Calculation 2 10 4 4" xfId="2106"/>
    <cellStyle name="Output 2 2 4 3 2" xfId="2107"/>
    <cellStyle name="Calculation 2 2 2 10 2 2" xfId="2108"/>
    <cellStyle name="60% - Accent6 2 2 2 5" xfId="2109"/>
    <cellStyle name="Calculation 2 10 4 5" xfId="2110"/>
    <cellStyle name="Output 2 2 4 3 3" xfId="2111"/>
    <cellStyle name="Calculation 2 2 2 10 2 3" xfId="2112"/>
    <cellStyle name="60% - Accent6 2 2 2 6" xfId="2113"/>
    <cellStyle name="Calculation 2 10 4 6" xfId="2114"/>
    <cellStyle name="Output 2 2 4 3 4" xfId="2115"/>
    <cellStyle name="Calculation 2 2 2 10 2 4" xfId="2116"/>
    <cellStyle name="60% - Accent6 2 2 2 7" xfId="2117"/>
    <cellStyle name="Output 2 8 2 5 5 2" xfId="2118"/>
    <cellStyle name="Calculation 2 10 4 7" xfId="2119"/>
    <cellStyle name="60% - Accent6 2 2 4 2" xfId="2120"/>
    <cellStyle name="Note 2 16 5 3 3" xfId="2121"/>
    <cellStyle name="Calculation 2 10 6 2" xfId="2122"/>
    <cellStyle name="Note 2 9 2 7 2 4" xfId="2123"/>
    <cellStyle name="Note 2 8 3 10 4" xfId="2124"/>
    <cellStyle name="Note 2 5 7 4" xfId="2125"/>
    <cellStyle name="60% - Accent6 2 2 4 2 2" xfId="2126"/>
    <cellStyle name="Calculation 2 10 6 2 2" xfId="2127"/>
    <cellStyle name="Note 2 8 3 10 4 2" xfId="2128"/>
    <cellStyle name="Note 2 5 7 4 2" xfId="2129"/>
    <cellStyle name="60% - Accent6 2 2 4 2 2 2" xfId="2130"/>
    <cellStyle name="Calculation 2 14 8 5 3" xfId="2131"/>
    <cellStyle name="60% - Accent6 2 2 4 3" xfId="2132"/>
    <cellStyle name="Note 2 16 5 3 4" xfId="2133"/>
    <cellStyle name="Calculation 2 10 6 3" xfId="2134"/>
    <cellStyle name="60% - Accent6 2 2 6" xfId="2135"/>
    <cellStyle name="Calculation 2 10 2 4 2" xfId="2136"/>
    <cellStyle name="Calculation 2 10 8" xfId="2137"/>
    <cellStyle name="60% - Accent6 2 2 7" xfId="2138"/>
    <cellStyle name="Calculation 2 10 2 4 3" xfId="2139"/>
    <cellStyle name="Calculation 2 10 9" xfId="2140"/>
    <cellStyle name="60% - Accent6 2 2 8" xfId="2141"/>
    <cellStyle name="Calculation 2 10 2 4 4" xfId="2142"/>
    <cellStyle name="60% - Accent6 2 2 9" xfId="2143"/>
    <cellStyle name="Calculation 2 10 2 4 5" xfId="2144"/>
    <cellStyle name="Note 2 2 3 8 5" xfId="2145"/>
    <cellStyle name="Input 2 7 9 4" xfId="2146"/>
    <cellStyle name="60% - Accent6 2 4" xfId="2147"/>
    <cellStyle name="Output 2 6 2 3 3 2" xfId="2148"/>
    <cellStyle name="Output 2 12 2 4 5 2" xfId="2149"/>
    <cellStyle name="Note 2 2 3 8 6" xfId="2150"/>
    <cellStyle name="Input 2 7 9 5" xfId="2151"/>
    <cellStyle name="60% - Accent6 2 5" xfId="2152"/>
    <cellStyle name="Output 2 6 2 3 3 3" xfId="2153"/>
    <cellStyle name="Output 2 12 2 4 5 3" xfId="2154"/>
    <cellStyle name="Note 2 2 3 8 7" xfId="2155"/>
    <cellStyle name="Input 2 7 9 6" xfId="2156"/>
    <cellStyle name="60% - Accent6 2 6" xfId="2157"/>
    <cellStyle name="60% - Accent6 2 6 2" xfId="2158"/>
    <cellStyle name="Calculation 2 14 4" xfId="2159"/>
    <cellStyle name="Output 2 4 2 7" xfId="2160"/>
    <cellStyle name="Note 2 6 2 9 4 3" xfId="2161"/>
    <cellStyle name="60% - Accent6 2 6 2 2" xfId="2162"/>
    <cellStyle name="Calculation 2 12 3 9 4" xfId="2163"/>
    <cellStyle name="Calculation 2 14 4 2" xfId="2164"/>
    <cellStyle name="Output 2 4 2 7 2" xfId="2165"/>
    <cellStyle name="Input 2 2 3 9 3 3" xfId="2166"/>
    <cellStyle name="Output 2 10 2 8 4" xfId="2167"/>
    <cellStyle name="60% - Accent6 2 6 2 2 2" xfId="2168"/>
    <cellStyle name="Calculation 2 10 12 5" xfId="2169"/>
    <cellStyle name="Calculation 2 4 2 8 4 3" xfId="2170"/>
    <cellStyle name="Calculation 2 12 3 9 4 2" xfId="2171"/>
    <cellStyle name="Calculation 2 14 4 2 2" xfId="2172"/>
    <cellStyle name="60% - Accent6 2 6 3" xfId="2173"/>
    <cellStyle name="Calculation 2 14 5" xfId="2174"/>
    <cellStyle name="Output 2 6 2 3 3 4" xfId="2175"/>
    <cellStyle name="Note 2 2 3 8 8" xfId="2176"/>
    <cellStyle name="Input 2 7 9 7" xfId="2177"/>
    <cellStyle name="60% - Accent6 2 7" xfId="2178"/>
    <cellStyle name="60% - Accent6 2 8" xfId="2179"/>
    <cellStyle name="60% - Accent6 2 9" xfId="2180"/>
    <cellStyle name="Calculation 2 10 3 4 2" xfId="2181"/>
    <cellStyle name="Note 2 2 3 9 3" xfId="2182"/>
    <cellStyle name="60% - Accent6 3 2" xfId="2183"/>
    <cellStyle name="Calculation 2 16 10 5 3" xfId="2184"/>
    <cellStyle name="Note 2 2 3 9 4" xfId="2185"/>
    <cellStyle name="Input 2 11 2 2 2" xfId="2186"/>
    <cellStyle name="60% - Accent6 3 3" xfId="2187"/>
    <cellStyle name="Note 2 2 3 9 5" xfId="2188"/>
    <cellStyle name="Input 2 11 2 2 3" xfId="2189"/>
    <cellStyle name="60% - Accent6 3 4" xfId="2190"/>
    <cellStyle name="Calculation 2 3 3 9 5 2" xfId="2191"/>
    <cellStyle name="Accent2 2 7 2" xfId="2192"/>
    <cellStyle name="Total 2 12 3 5 4 2" xfId="2193"/>
    <cellStyle name="60% - Accent6 4 2" xfId="2194"/>
    <cellStyle name="Input 2 11 2 3 2" xfId="2195"/>
    <cellStyle name="60% - Accent6 4 3" xfId="2196"/>
    <cellStyle name="Input 2 11 2 3 3" xfId="2197"/>
    <cellStyle name="60% - Accent6 4 4" xfId="2198"/>
    <cellStyle name="60% - Accent6 5 2" xfId="2199"/>
    <cellStyle name="Input 2 11 2 4 2" xfId="2200"/>
    <cellStyle name="60% - Accent6 5 3" xfId="2201"/>
    <cellStyle name="Input 2 11 2 4 3" xfId="2202"/>
    <cellStyle name="60% - Accent6 5 4" xfId="2203"/>
    <cellStyle name="60% - Accent6 6 2" xfId="2204"/>
    <cellStyle name="Input 2 11 2 5 2" xfId="2205"/>
    <cellStyle name="60% - Accent6 6 3" xfId="2206"/>
    <cellStyle name="Input 2 11 2 5 3" xfId="2207"/>
    <cellStyle name="60% - Accent6 6 4" xfId="2208"/>
    <cellStyle name="Total 2 10 13" xfId="2209"/>
    <cellStyle name="Accent1 - 40% 2" xfId="2210"/>
    <cellStyle name="Note 2 11 3 2 3 3" xfId="2211"/>
    <cellStyle name="Accent1 - 60% 2" xfId="2212"/>
    <cellStyle name="Accent1 - 60% 2 2" xfId="2213"/>
    <cellStyle name="Accent1 - 60% 2 3" xfId="2214"/>
    <cellStyle name="Note 2 11 3 2 3 4" xfId="2215"/>
    <cellStyle name="Accent1 - 60% 3" xfId="2216"/>
    <cellStyle name="Calculation 2 11 3 6 2" xfId="2217"/>
    <cellStyle name="Accent1 - 60% 4" xfId="2218"/>
    <cellStyle name="Calculation 2 11 3 6 3" xfId="2219"/>
    <cellStyle name="Output 2 14 5 4" xfId="2220"/>
    <cellStyle name="Accent1 2" xfId="2221"/>
    <cellStyle name="Output 2 14 5 4 2" xfId="2222"/>
    <cellStyle name="Accent1 2 2" xfId="2223"/>
    <cellStyle name="Accent1 2 2 2" xfId="2224"/>
    <cellStyle name="Accent1 2 2 3" xfId="2225"/>
    <cellStyle name="Accent1 2 2 4" xfId="2226"/>
    <cellStyle name="Output 2 14 5 4 3" xfId="2227"/>
    <cellStyle name="Accent1 2 3" xfId="2228"/>
    <cellStyle name="Output 2 8 5 3 2" xfId="2229"/>
    <cellStyle name="Calculation 2 3 2 9 2" xfId="2230"/>
    <cellStyle name="Accent1 2 4" xfId="2231"/>
    <cellStyle name="Output 2 8 5 3 3" xfId="2232"/>
    <cellStyle name="Calculation 2 3 2 9 3" xfId="2233"/>
    <cellStyle name="Accent1 2 5" xfId="2234"/>
    <cellStyle name="Total 2 12 2 5 2" xfId="2235"/>
    <cellStyle name="Calculation 2 3 2 9 3 2" xfId="2236"/>
    <cellStyle name="Accent1 2 5 2" xfId="2237"/>
    <cellStyle name="Total 2 12 2 5 2 2" xfId="2238"/>
    <cellStyle name="Accent1 2 5 2 2" xfId="2239"/>
    <cellStyle name="Accent1 2 5 2 2 2" xfId="2240"/>
    <cellStyle name="Calculation 2 3 2 9 3 3" xfId="2241"/>
    <cellStyle name="Accent1 2 5 3" xfId="2242"/>
    <cellStyle name="Total 2 12 2 5 2 3" xfId="2243"/>
    <cellStyle name="Output 2 8 5 3 4" xfId="2244"/>
    <cellStyle name="Calculation 2 3 2 9 4" xfId="2245"/>
    <cellStyle name="Accent1 2 6" xfId="2246"/>
    <cellStyle name="Total 2 12 2 5 3" xfId="2247"/>
    <cellStyle name="Calculation 2 3 2 9 5" xfId="2248"/>
    <cellStyle name="Accent1 2 7" xfId="2249"/>
    <cellStyle name="Total 2 12 2 5 4" xfId="2250"/>
    <cellStyle name="Calculation 2 3 2 9 6" xfId="2251"/>
    <cellStyle name="Accent1 2 8" xfId="2252"/>
    <cellStyle name="Total 2 12 2 5 5" xfId="2253"/>
    <cellStyle name="Calculation 2 3 2 9 7" xfId="2254"/>
    <cellStyle name="Accent1 2 9" xfId="2255"/>
    <cellStyle name="Total 2 12 2 5 6" xfId="2256"/>
    <cellStyle name="Output 2 14 5 5" xfId="2257"/>
    <cellStyle name="Note 2 3 3 5 5 2" xfId="2258"/>
    <cellStyle name="Total 2 2 2 4 4" xfId="2259"/>
    <cellStyle name="Accent1 3" xfId="2260"/>
    <cellStyle name="Output 2 14 5 6" xfId="2261"/>
    <cellStyle name="Note 2 3 3 5 5 3" xfId="2262"/>
    <cellStyle name="Total 2 2 2 4 5" xfId="2263"/>
    <cellStyle name="Accent1 4" xfId="2264"/>
    <cellStyle name="Accent1 4 2" xfId="2265"/>
    <cellStyle name="Calculation 2 11 2 13" xfId="2266"/>
    <cellStyle name="Accent1 7" xfId="2267"/>
    <cellStyle name="Calculation 2 10 2 2 2 2" xfId="2268"/>
    <cellStyle name="Calculation 2 10 8 5 3" xfId="2269"/>
    <cellStyle name="Calculation 2 10 2 10 4 3" xfId="2270"/>
    <cellStyle name="Calculation 2 11 3 13 2" xfId="2271"/>
    <cellStyle name="Note 2 14 3 4 2 2" xfId="2272"/>
    <cellStyle name="Input 2 14 3 4 2 4" xfId="2273"/>
    <cellStyle name="Calculation 2 11 8 5" xfId="2274"/>
    <cellStyle name="Accent2 - 20%" xfId="2275"/>
    <cellStyle name="Calculation 2 12 7 2 3" xfId="2276"/>
    <cellStyle name="Accent2 - 20% 2" xfId="2277"/>
    <cellStyle name="Total 2 3 2 4 7" xfId="2278"/>
    <cellStyle name="Note 2 11 3 7 2 4" xfId="2279"/>
    <cellStyle name="Calculation 2 11 8 5 2" xfId="2280"/>
    <cellStyle name="Accent2 - 20% 2 2" xfId="2281"/>
    <cellStyle name="Accent2 - 20% 2 3" xfId="2282"/>
    <cellStyle name="Calculation 2 12 2 5 2" xfId="2283"/>
    <cellStyle name="Input 2 2 2 9 3 2" xfId="2284"/>
    <cellStyle name="Accent2 - 20% 4" xfId="2285"/>
    <cellStyle name="Calculation 2 10 3 2 2 3" xfId="2286"/>
    <cellStyle name="Accent2 - 40%" xfId="2287"/>
    <cellStyle name="Calculation 2 12 7 4 3" xfId="2288"/>
    <cellStyle name="Accent2 - 40% 2" xfId="2289"/>
    <cellStyle name="Calculation 2 22 3" xfId="2290"/>
    <cellStyle name="Calculation 2 17 3" xfId="2291"/>
    <cellStyle name="Accent2 - 40% 2 2" xfId="2292"/>
    <cellStyle name="Note 2 16 9 6" xfId="2293"/>
    <cellStyle name="Input 2 6 3 4 4 3" xfId="2294"/>
    <cellStyle name="Calculation 2 22 3 2" xfId="2295"/>
    <cellStyle name="Calculation 2 17 3 2" xfId="2296"/>
    <cellStyle name="Accent2 - 40% 2 3" xfId="2297"/>
    <cellStyle name="Calculation 2 14 2 5 2" xfId="2298"/>
    <cellStyle name="Note 2 16 9 7" xfId="2299"/>
    <cellStyle name="Calculation 2 22 3 3" xfId="2300"/>
    <cellStyle name="Calculation 2 17 3 3" xfId="2301"/>
    <cellStyle name="Accent2 - 40% 3" xfId="2302"/>
    <cellStyle name="Calculation 2 2 2 3 2 3" xfId="2303"/>
    <cellStyle name="Calculation 2 10 3 4 2 2" xfId="2304"/>
    <cellStyle name="Calculation 2 22 4" xfId="2305"/>
    <cellStyle name="Calculation 2 17 4" xfId="2306"/>
    <cellStyle name="Accent2 - 40% 4" xfId="2307"/>
    <cellStyle name="Calculation 2 2 2 3 2 4" xfId="2308"/>
    <cellStyle name="Calculation 2 10 3 4 2 3" xfId="2309"/>
    <cellStyle name="Calculation 2 22 5" xfId="2310"/>
    <cellStyle name="Calculation 2 17 5" xfId="2311"/>
    <cellStyle name="Accent2 - 60%" xfId="2312"/>
    <cellStyle name="Note 2 12 3 2 3 3" xfId="2313"/>
    <cellStyle name="Input 2 11 3 8 3" xfId="2314"/>
    <cellStyle name="Accent2 - 60% 2" xfId="2315"/>
    <cellStyle name="Accent2 2 10" xfId="2316"/>
    <cellStyle name="Output 2 2 4 6" xfId="2317"/>
    <cellStyle name="Calculation 2 2 2 10 5" xfId="2318"/>
    <cellStyle name="Accent2 2 11" xfId="2319"/>
    <cellStyle name="Output 2 5 3 7 6" xfId="2320"/>
    <cellStyle name="Note 2 16 7 3 3" xfId="2321"/>
    <cellStyle name="Calculation 2 12 6 2" xfId="2322"/>
    <cellStyle name="Output 2 2 4 7" xfId="2323"/>
    <cellStyle name="Heading 4 6 2" xfId="2324"/>
    <cellStyle name="Calculation 2 2 2 10 6" xfId="2325"/>
    <cellStyle name="Output 2 14 6 4 2" xfId="2326"/>
    <cellStyle name="Calculation 2 9 16 3" xfId="2327"/>
    <cellStyle name="Accent2 2 2" xfId="2328"/>
    <cellStyle name="Note 2 10 12 6" xfId="2329"/>
    <cellStyle name="Accent2 2 2 2" xfId="2330"/>
    <cellStyle name="Calculation 2 12 2 5 4 3" xfId="2331"/>
    <cellStyle name="Note 2 10 12 7" xfId="2332"/>
    <cellStyle name="Accent2 2 2 3" xfId="2333"/>
    <cellStyle name="Accent2 2 2 4" xfId="2334"/>
    <cellStyle name="Accent2 2 2 5" xfId="2335"/>
    <cellStyle name="Total 2 18 4 2" xfId="2336"/>
    <cellStyle name="Total 2 23 4 2" xfId="2337"/>
    <cellStyle name="Accent2 2 2 6" xfId="2338"/>
    <cellStyle name="Total 2 18 4 3" xfId="2339"/>
    <cellStyle name="Total 2 23 4 3" xfId="2340"/>
    <cellStyle name="Calculation 2 12 3 10 4 2" xfId="2341"/>
    <cellStyle name="Calculation 2 6 2 7 3 3" xfId="2342"/>
    <cellStyle name="Calculation 2 14 3 8 3 2" xfId="2343"/>
    <cellStyle name="Accent2 2 3 2" xfId="2344"/>
    <cellStyle name="Calculation 2 12 2 5 5 3" xfId="2345"/>
    <cellStyle name="Accent2 2 3 3" xfId="2346"/>
    <cellStyle name="Output 2 8 6 3 2" xfId="2347"/>
    <cellStyle name="Calculation 2 3 3 9 2" xfId="2348"/>
    <cellStyle name="Accent2 2 4" xfId="2349"/>
    <cellStyle name="Output 2 8 6 3 3" xfId="2350"/>
    <cellStyle name="Calculation 2 3 3 9 3" xfId="2351"/>
    <cellStyle name="Accent2 2 5" xfId="2352"/>
    <cellStyle name="Total 2 12 3 5 2" xfId="2353"/>
    <cellStyle name="Output 2 8 6 3 4" xfId="2354"/>
    <cellStyle name="Calculation 2 3 3 9 4" xfId="2355"/>
    <cellStyle name="Accent2 2 6" xfId="2356"/>
    <cellStyle name="Total 2 12 3 5 3" xfId="2357"/>
    <cellStyle name="Calculation 2 3 3 9 5" xfId="2358"/>
    <cellStyle name="Accent2 2 7" xfId="2359"/>
    <cellStyle name="Total 2 12 3 5 4" xfId="2360"/>
    <cellStyle name="Output 2 6 2 4 6" xfId="2361"/>
    <cellStyle name="Calculation 2 9 9 3 3" xfId="2362"/>
    <cellStyle name="Accent2 2 7 2 2" xfId="2363"/>
    <cellStyle name="Input 2 11 3 4 4" xfId="2364"/>
    <cellStyle name="Accent2 2 7 2 2 2" xfId="2365"/>
    <cellStyle name="Calculation 2 3 3 9 5 3" xfId="2366"/>
    <cellStyle name="Accent2 2 7 3" xfId="2367"/>
    <cellStyle name="Total 2 12 3 5 4 3" xfId="2368"/>
    <cellStyle name="Calculation 2 3 3 9 6" xfId="2369"/>
    <cellStyle name="Accent2 2 8" xfId="2370"/>
    <cellStyle name="Total 2 12 3 5 5" xfId="2371"/>
    <cellStyle name="Calculation 2 3 3 9 7" xfId="2372"/>
    <cellStyle name="Accent2 2 9" xfId="2373"/>
    <cellStyle name="Calculation 2 14 2 2 3 2" xfId="2374"/>
    <cellStyle name="Total 2 12 3 5 6" xfId="2375"/>
    <cellStyle name="Output 2 14 6 6" xfId="2376"/>
    <cellStyle name="Accent2 4" xfId="2377"/>
    <cellStyle name="Output 2 14 6 7" xfId="2378"/>
    <cellStyle name="Accent2 5" xfId="2379"/>
    <cellStyle name="Accent2 6" xfId="2380"/>
    <cellStyle name="Accent2 7" xfId="2381"/>
    <cellStyle name="Calculation 2 10 2 2 3 2" xfId="2382"/>
    <cellStyle name="Accent2 7 2" xfId="2383"/>
    <cellStyle name="Accent2 7 3" xfId="2384"/>
    <cellStyle name="Calculation 2 13 2 3 5 2" xfId="2385"/>
    <cellStyle name="Accent3 - 20%" xfId="2386"/>
    <cellStyle name="Calculation 2 13 7 2 3" xfId="2387"/>
    <cellStyle name="Accent3 - 20% 2" xfId="2388"/>
    <cellStyle name="Accent3 - 20% 2 2" xfId="2389"/>
    <cellStyle name="Calculation 2 11 2 5 3" xfId="2390"/>
    <cellStyle name="Accent3 - 20% 2 3" xfId="2391"/>
    <cellStyle name="Calculation 2 11 2 5 4" xfId="2392"/>
    <cellStyle name="Accent3 - 20% 3" xfId="2393"/>
    <cellStyle name="Calculation 2 11 3 2 2 2" xfId="2394"/>
    <cellStyle name="Input 2 3 2 9 3 2" xfId="2395"/>
    <cellStyle name="Accent3 - 20% 4" xfId="2396"/>
    <cellStyle name="Calculation 2 11 3 2 2 3" xfId="2397"/>
    <cellStyle name="Accent3 - 40%" xfId="2398"/>
    <cellStyle name="Calculation 2 13 7 4 3" xfId="2399"/>
    <cellStyle name="Accent3 - 40% 2" xfId="2400"/>
    <cellStyle name="Accent3 - 40% 3" xfId="2401"/>
    <cellStyle name="Calculation 2 3 2 3 2 3" xfId="2402"/>
    <cellStyle name="Calculation 2 11 3 4 2 2" xfId="2403"/>
    <cellStyle name="Note 2 6 3 8 2" xfId="2404"/>
    <cellStyle name="Accent3 - 40% 4" xfId="2405"/>
    <cellStyle name="Calculation 2 3 2 3 2 4" xfId="2406"/>
    <cellStyle name="Calculation 2 11 3 4 2 3" xfId="2407"/>
    <cellStyle name="Accent3 - 60%" xfId="2408"/>
    <cellStyle name="Note 2 13 3 2 3 3" xfId="2409"/>
    <cellStyle name="Input 2 14 13" xfId="2410"/>
    <cellStyle name="Accent3 - 60% 2" xfId="2411"/>
    <cellStyle name="Input 2 14 13 2" xfId="2412"/>
    <cellStyle name="Accent3 - 60% 2 2" xfId="2413"/>
    <cellStyle name="Calculation 2 7 7 2" xfId="2414"/>
    <cellStyle name="Calculation 2 15 2 5 3" xfId="2415"/>
    <cellStyle name="Input 2 14 13 3" xfId="2416"/>
    <cellStyle name="Accent3 - 60% 2 3" xfId="2417"/>
    <cellStyle name="Note 2 4 19 2" xfId="2418"/>
    <cellStyle name="Note 2 13 3 2 3 4" xfId="2419"/>
    <cellStyle name="Input 2 14 14" xfId="2420"/>
    <cellStyle name="Accent3 - 60% 3" xfId="2421"/>
    <cellStyle name="Calculation 2 3 2 5 2 3" xfId="2422"/>
    <cellStyle name="Calculation 2 11 3 6 2 2" xfId="2423"/>
    <cellStyle name="Input 2 14 15" xfId="2424"/>
    <cellStyle name="Accent3 - 60% 4" xfId="2425"/>
    <cellStyle name="Calculation 2 3 2 5 2 4" xfId="2426"/>
    <cellStyle name="Calculation 2 11 3 6 2 3" xfId="2427"/>
    <cellStyle name="Output 2 14 7 4" xfId="2428"/>
    <cellStyle name="Accent3 2" xfId="2429"/>
    <cellStyle name="Output 2 14 7 4 2" xfId="2430"/>
    <cellStyle name="Accent3 2 2" xfId="2431"/>
    <cellStyle name="Accent3 2 2 2" xfId="2432"/>
    <cellStyle name="Calculation 2 12 3 5 4 3" xfId="2433"/>
    <cellStyle name="Accent3 2 2 3" xfId="2434"/>
    <cellStyle name="Input 2 12 12 5 3" xfId="2435"/>
    <cellStyle name="Calculation 2 11 11 5 2" xfId="2436"/>
    <cellStyle name="Accent3 2 2 4" xfId="2437"/>
    <cellStyle name="Calculation 2 11 11 5 3" xfId="2438"/>
    <cellStyle name="Output 2 14 7 4 3" xfId="2439"/>
    <cellStyle name="Accent3 2 3" xfId="2440"/>
    <cellStyle name="Output 2 8 7 3 2" xfId="2441"/>
    <cellStyle name="Accent3 2 4" xfId="2442"/>
    <cellStyle name="Output 2 8 7 3 3" xfId="2443"/>
    <cellStyle name="Accent3 2 5" xfId="2444"/>
    <cellStyle name="Total 2 12 4 5 2" xfId="2445"/>
    <cellStyle name="Accent3 2 5 2 2" xfId="2446"/>
    <cellStyle name="Calculation 2 15 3 4 2" xfId="2447"/>
    <cellStyle name="Accent3 2 5 2 2 2" xfId="2448"/>
    <cellStyle name="Calculation 2 8 2 14" xfId="2449"/>
    <cellStyle name="Calculation 2 10 2 14 3" xfId="2450"/>
    <cellStyle name="Accent3 2 9" xfId="2451"/>
    <cellStyle name="Calculation 2 14 2 3 3 2" xfId="2452"/>
    <cellStyle name="Output 2 14 7 5" xfId="2453"/>
    <cellStyle name="Accent3 3" xfId="2454"/>
    <cellStyle name="Output 2 14 7 7" xfId="2455"/>
    <cellStyle name="Accent3 5" xfId="2456"/>
    <cellStyle name="Accent3 6" xfId="2457"/>
    <cellStyle name="Accent3 7" xfId="2458"/>
    <cellStyle name="Calculation 2 10 2 2 4 2" xfId="2459"/>
    <cellStyle name="Calculation 2 5 2 2 5 3" xfId="2460"/>
    <cellStyle name="Calculation 2 13 3 3 5 2" xfId="2461"/>
    <cellStyle name="Calculation 2 14 10 5 2" xfId="2462"/>
    <cellStyle name="Accent4 - 20%" xfId="2463"/>
    <cellStyle name="Calculation 2 14 7 2 3" xfId="2464"/>
    <cellStyle name="Calculation 2 8 3 9 7" xfId="2465"/>
    <cellStyle name="Accent4 - 20% 2" xfId="2466"/>
    <cellStyle name="Output 2 8 3 5 3 4" xfId="2467"/>
    <cellStyle name="Accent4 - 20% 2 2" xfId="2468"/>
    <cellStyle name="Accent6 2 4" xfId="2469"/>
    <cellStyle name="Note 2 8 10 2 3" xfId="2470"/>
    <cellStyle name="Calculation 2 10 2 5 5" xfId="2471"/>
    <cellStyle name="Accent4 - 20% 3" xfId="2472"/>
    <cellStyle name="Input 2 10 10 2 3" xfId="2473"/>
    <cellStyle name="Calculation 2 12 3 2 2 2" xfId="2474"/>
    <cellStyle name="Input 2 4 2 9 3 2" xfId="2475"/>
    <cellStyle name="Accent4 - 20% 4" xfId="2476"/>
    <cellStyle name="Input 2 10 10 2 4" xfId="2477"/>
    <cellStyle name="Calculation 2 12 3 2 2 3" xfId="2478"/>
    <cellStyle name="Accent4 - 40%" xfId="2479"/>
    <cellStyle name="Calculation 2 14 7 4 3" xfId="2480"/>
    <cellStyle name="Accent4 - 40% 2" xfId="2481"/>
    <cellStyle name="Calculation 2 12 3 3 4" xfId="2482"/>
    <cellStyle name="Input 2 2 3 3 3 3" xfId="2483"/>
    <cellStyle name="Accent4 - 40% 2 2" xfId="2484"/>
    <cellStyle name="Calculation 2 12 2 5 5" xfId="2485"/>
    <cellStyle name="Input 2 10 11 4 3" xfId="2486"/>
    <cellStyle name="Calculation 2 4 2 2 4 3" xfId="2487"/>
    <cellStyle name="Calculation 2 12 3 3 4 2" xfId="2488"/>
    <cellStyle name="Input 2 2 3 3 3 4" xfId="2489"/>
    <cellStyle name="Accent4 - 40% 2 3" xfId="2490"/>
    <cellStyle name="Calculation 2 12 2 5 6" xfId="2491"/>
    <cellStyle name="Calculation 2 12 3 3 4 3" xfId="2492"/>
    <cellStyle name="Accent4 - 40% 3" xfId="2493"/>
    <cellStyle name="Calculation 2 12 3 3 5" xfId="2494"/>
    <cellStyle name="Input 2 10 12 2 3" xfId="2495"/>
    <cellStyle name="Calculation 2 4 2 3 2 3" xfId="2496"/>
    <cellStyle name="Calculation 2 12 3 4 2 2" xfId="2497"/>
    <cellStyle name="Input 2 12 11 3 2" xfId="2498"/>
    <cellStyle name="Accent4 - 40% 4" xfId="2499"/>
    <cellStyle name="Calculation 2 12 3 3 6" xfId="2500"/>
    <cellStyle name="Input 2 10 12 2 4" xfId="2501"/>
    <cellStyle name="Calculation 2 4 2 3 2 4" xfId="2502"/>
    <cellStyle name="Calculation 2 12 3 4 2 3" xfId="2503"/>
    <cellStyle name="Accent4 - 60%" xfId="2504"/>
    <cellStyle name="Note 2 14 3 2 3 3" xfId="2505"/>
    <cellStyle name="Accent4 - 60% 2" xfId="2506"/>
    <cellStyle name="Calculation 2 12 5 3 4" xfId="2507"/>
    <cellStyle name="Output 2 14 8 4" xfId="2508"/>
    <cellStyle name="Note 2 5 11 2 3" xfId="2509"/>
    <cellStyle name="Accent4 2" xfId="2510"/>
    <cellStyle name="Output 2 14 8 4 2" xfId="2511"/>
    <cellStyle name="Accent4 2 2" xfId="2512"/>
    <cellStyle name="Output 2 7 11 5 3" xfId="2513"/>
    <cellStyle name="Accent4 2 2 2" xfId="2514"/>
    <cellStyle name="Accent4 2 2 3" xfId="2515"/>
    <cellStyle name="Accent4 2 2 4" xfId="2516"/>
    <cellStyle name="Calculation 2 10 7 3 2" xfId="2517"/>
    <cellStyle name="Output 2 14 8 4 3" xfId="2518"/>
    <cellStyle name="Accent4 2 3" xfId="2519"/>
    <cellStyle name="Output 2 8 8 3 2" xfId="2520"/>
    <cellStyle name="Note 2 11 2 6 2" xfId="2521"/>
    <cellStyle name="Accent4 2 4" xfId="2522"/>
    <cellStyle name="Output 2 8 8 3 3" xfId="2523"/>
    <cellStyle name="Note 2 11 2 6 3" xfId="2524"/>
    <cellStyle name="Accent4 2 5" xfId="2525"/>
    <cellStyle name="Total 2 12 5 5 2" xfId="2526"/>
    <cellStyle name="Note 2 11 2 6 3 2" xfId="2527"/>
    <cellStyle name="Input 2 11 2 6 3 4" xfId="2528"/>
    <cellStyle name="Accent4 2 5 2" xfId="2529"/>
    <cellStyle name="Calculation 2 3 2 10 6" xfId="2530"/>
    <cellStyle name="Accent4 2 5 2 2" xfId="2531"/>
    <cellStyle name="Output 2 9 5 4" xfId="2532"/>
    <cellStyle name="Note 2 12 2 13" xfId="2533"/>
    <cellStyle name="Input 2 10 19" xfId="2534"/>
    <cellStyle name="Calculation 2 12 10" xfId="2535"/>
    <cellStyle name="Accent4 2 5 2 2 2" xfId="2536"/>
    <cellStyle name="Calculation 2 11 2 7 4 3" xfId="2537"/>
    <cellStyle name="Output 2 9 5 4 2" xfId="2538"/>
    <cellStyle name="Calculation 2 7 10 3 3" xfId="2539"/>
    <cellStyle name="Note 2 12 2 13 2" xfId="2540"/>
    <cellStyle name="Calculation 2 12 10 2" xfId="2541"/>
    <cellStyle name="Note 2 11 2 6 3 3" xfId="2542"/>
    <cellStyle name="Accent4 2 5 3" xfId="2543"/>
    <cellStyle name="Output 2 8 8 3 4" xfId="2544"/>
    <cellStyle name="Note 2 11 2 6 4" xfId="2545"/>
    <cellStyle name="Accent4 2 6" xfId="2546"/>
    <cellStyle name="Total 2 12 5 5 3" xfId="2547"/>
    <cellStyle name="Note 2 11 2 6 5" xfId="2548"/>
    <cellStyle name="Accent4 2 7" xfId="2549"/>
    <cellStyle name="Note 2 11 2 6 6" xfId="2550"/>
    <cellStyle name="Accent4 2 8" xfId="2551"/>
    <cellStyle name="Note 2 11 2 6 7" xfId="2552"/>
    <cellStyle name="Accent4 2 9" xfId="2553"/>
    <cellStyle name="Calculation 2 14 2 4 3 2" xfId="2554"/>
    <cellStyle name="Output 2 14 8 5" xfId="2555"/>
    <cellStyle name="Note 2 5 11 2 4" xfId="2556"/>
    <cellStyle name="Accent4 3" xfId="2557"/>
    <cellStyle name="Output 2 14 8 6" xfId="2558"/>
    <cellStyle name="Accent4 4" xfId="2559"/>
    <cellStyle name="Input 2 9 3 2 4" xfId="2560"/>
    <cellStyle name="Accent4 4 2" xfId="2561"/>
    <cellStyle name="Output 2 14 8 7" xfId="2562"/>
    <cellStyle name="Accent4 5" xfId="2563"/>
    <cellStyle name="Calculation 2 13 2 8 2 2" xfId="2564"/>
    <cellStyle name="Accent4 6" xfId="2565"/>
    <cellStyle name="Calculation 2 13 2 8 2 3" xfId="2566"/>
    <cellStyle name="Accent4 7" xfId="2567"/>
    <cellStyle name="Calculation 2 10 2 2 5 2" xfId="2568"/>
    <cellStyle name="Calculation 2 3 7 6 2 2" xfId="2569"/>
    <cellStyle name="Calculation 2 13 2 8 2 4" xfId="2570"/>
    <cellStyle name="Accent5 - 20%" xfId="2571"/>
    <cellStyle name="Calculation 2 15 7 2 3" xfId="2572"/>
    <cellStyle name="Accent5 - 20% 2" xfId="2573"/>
    <cellStyle name="Note 2 14 3 7 2 4" xfId="2574"/>
    <cellStyle name="Input 2 4 10 2" xfId="2575"/>
    <cellStyle name="Calculation 2 14 8 7" xfId="2576"/>
    <cellStyle name="Input 2 15 10 2 2" xfId="2577"/>
    <cellStyle name="Accent5 - 20% 2 2" xfId="2578"/>
    <cellStyle name="Output 2 4 2 10 2" xfId="2579"/>
    <cellStyle name="Total 2 12 12 2 2" xfId="2580"/>
    <cellStyle name="Accent5 - 20% 2 3" xfId="2581"/>
    <cellStyle name="Input 2 5 2 9 3 2" xfId="2582"/>
    <cellStyle name="Accent5 - 20% 4" xfId="2583"/>
    <cellStyle name="Calculation 2 11 2 8 2" xfId="2584"/>
    <cellStyle name="Input 2 4 10 4" xfId="2585"/>
    <cellStyle name="Input 2 15 10 2 4" xfId="2586"/>
    <cellStyle name="Heading 3 2 8 2" xfId="2587"/>
    <cellStyle name="Calculation 2 11 17 2 2" xfId="2588"/>
    <cellStyle name="Calculation 2 13 3 2 2 3" xfId="2589"/>
    <cellStyle name="Accent5 - 40%" xfId="2590"/>
    <cellStyle name="Calculation 2 15 7 4 3" xfId="2591"/>
    <cellStyle name="Accent5 - 40% 2" xfId="2592"/>
    <cellStyle name="Output 2 3 2 14 2" xfId="2593"/>
    <cellStyle name="Note 2 14 3 9 2 4" xfId="2594"/>
    <cellStyle name="Calculation 2 5 2 3 2 2" xfId="2595"/>
    <cellStyle name="Calculation 2 16 8 7" xfId="2596"/>
    <cellStyle name="Accent5 - 40% 2 2" xfId="2597"/>
    <cellStyle name="Calculation 2 11 2 5 7" xfId="2598"/>
    <cellStyle name="Accent5 - 40% 2 3" xfId="2599"/>
    <cellStyle name="Accent5 - 60%" xfId="2600"/>
    <cellStyle name="Accent5 - 60% 2" xfId="2601"/>
    <cellStyle name="Accent5 - 60% 2 2" xfId="2602"/>
    <cellStyle name="Calculation 2 13 2 5 7" xfId="2603"/>
    <cellStyle name="Accent5 - 60% 2 3" xfId="2604"/>
    <cellStyle name="Calculation 2 10 5 3 2" xfId="2605"/>
    <cellStyle name="Accent5 - 60% 3" xfId="2606"/>
    <cellStyle name="Calculation 2 5 2 5 2 3" xfId="2607"/>
    <cellStyle name="Calculation 2 13 3 6 2 2" xfId="2608"/>
    <cellStyle name="Accent5 2 2 2" xfId="2609"/>
    <cellStyle name="Output 2 14 9 4 3" xfId="2610"/>
    <cellStyle name="Accent5 2 3" xfId="2611"/>
    <cellStyle name="Output 2 14 9 5" xfId="2612"/>
    <cellStyle name="Note 2 5 11 3 4" xfId="2613"/>
    <cellStyle name="Accent5 3" xfId="2614"/>
    <cellStyle name="Output 2 14 9 7" xfId="2615"/>
    <cellStyle name="Accent5 5" xfId="2616"/>
    <cellStyle name="Calculation 2 13 2 8 3 2" xfId="2617"/>
    <cellStyle name="Accent5 6" xfId="2618"/>
    <cellStyle name="Calculation 2 13 2 8 3 3" xfId="2619"/>
    <cellStyle name="Accent5 7" xfId="2620"/>
    <cellStyle name="Calculation 2 13 2 8 3 4" xfId="2621"/>
    <cellStyle name="Note 2 14 2 12 4" xfId="2622"/>
    <cellStyle name="Accent6 - 20% 2" xfId="2623"/>
    <cellStyle name="Note 2 5 3 10 7" xfId="2624"/>
    <cellStyle name="Calculation 2 3 3 6 3" xfId="2625"/>
    <cellStyle name="Accent6 - 20% 2 2" xfId="2626"/>
    <cellStyle name="Calculation 2 3 3 6 4" xfId="2627"/>
    <cellStyle name="Accent6 - 20% 2 3" xfId="2628"/>
    <cellStyle name="Note 2 5" xfId="2629"/>
    <cellStyle name="Calculation 2 15 4 4 2" xfId="2630"/>
    <cellStyle name="Accent6 - 20% 3" xfId="2631"/>
    <cellStyle name="Calculation 2 4 3 8 7" xfId="2632"/>
    <cellStyle name="Calculation 2 14 3 2 2 2" xfId="2633"/>
    <cellStyle name="Total 2 13 3 4 6" xfId="2634"/>
    <cellStyle name="Input 2 6 2 9 3 2" xfId="2635"/>
    <cellStyle name="Accent6 - 20% 4" xfId="2636"/>
    <cellStyle name="Calculation 2 2 2 4 4 3" xfId="2637"/>
    <cellStyle name="Calculation 2 10 3 5 4 2" xfId="2638"/>
    <cellStyle name="Calculation 2 14 3 2 2 3" xfId="2639"/>
    <cellStyle name="Total 2 13 3 4 7" xfId="2640"/>
    <cellStyle name="Accent6 - 40%" xfId="2641"/>
    <cellStyle name="Calculation 2 16 7 4 3" xfId="2642"/>
    <cellStyle name="Accent6 - 40% 2" xfId="2643"/>
    <cellStyle name="Accent6 - 60%" xfId="2644"/>
    <cellStyle name="Accent6 - 60% 2" xfId="2645"/>
    <cellStyle name="Note 2 5 11 4 3" xfId="2646"/>
    <cellStyle name="Accent6 2" xfId="2647"/>
    <cellStyle name="Heading 2 2 5 3" xfId="2648"/>
    <cellStyle name="Accent6 2 2" xfId="2649"/>
    <cellStyle name="Calculation 2 10 2 5 3" xfId="2650"/>
    <cellStyle name="Calculation 2 11 9" xfId="2651"/>
    <cellStyle name="Accent6 2 2 2" xfId="2652"/>
    <cellStyle name="Calculation 2 10 2 5 3 2" xfId="2653"/>
    <cellStyle name="Note 2 6 3 4 5" xfId="2654"/>
    <cellStyle name="Calculation 2 11 9 2" xfId="2655"/>
    <cellStyle name="Accent6 2 2 2 2" xfId="2656"/>
    <cellStyle name="Note 2 6 3 4 5 2" xfId="2657"/>
    <cellStyle name="Input 2 6 8" xfId="2658"/>
    <cellStyle name="Calculation 2 11 9 2 2" xfId="2659"/>
    <cellStyle name="Accent6 2 2 3" xfId="2660"/>
    <cellStyle name="Calculation 2 10 2 5 3 3" xfId="2661"/>
    <cellStyle name="Note 2 6 3 4 6" xfId="2662"/>
    <cellStyle name="Input 2 14 3 4 3 2" xfId="2663"/>
    <cellStyle name="Calculation 2 11 9 3" xfId="2664"/>
    <cellStyle name="Note 2 13 3 10" xfId="2665"/>
    <cellStyle name="Calculation 2 9 7 7" xfId="2666"/>
    <cellStyle name="Calculation 2 10 2 10 5 2" xfId="2667"/>
    <cellStyle name="Calculation 2 10 2 5 3 4" xfId="2668"/>
    <cellStyle name="Note 2 6 3 4 7" xfId="2669"/>
    <cellStyle name="Input 2 14 3 4 3 3" xfId="2670"/>
    <cellStyle name="Calculation 2 11 9 4" xfId="2671"/>
    <cellStyle name="Accent6 2 2 4" xfId="2672"/>
    <cellStyle name="Calculation 2 12 7 3 2" xfId="2673"/>
    <cellStyle name="Note 2 13 3 11" xfId="2674"/>
    <cellStyle name="Calculation 2 10 2 10 5 3" xfId="2675"/>
    <cellStyle name="Calculation 2 11 3 14 2" xfId="2676"/>
    <cellStyle name="Accent6 2 2 5" xfId="2677"/>
    <cellStyle name="Calculation 2 12 7 3 3" xfId="2678"/>
    <cellStyle name="Note 2 14 3 4 3 2" xfId="2679"/>
    <cellStyle name="Input 2 14 3 4 3 4" xfId="2680"/>
    <cellStyle name="Calculation 2 11 9 5" xfId="2681"/>
    <cellStyle name="Calculation 2 2 2 2 2" xfId="2682"/>
    <cellStyle name="Accent6 2 3" xfId="2683"/>
    <cellStyle name="Note 2 8 10 2 2" xfId="2684"/>
    <cellStyle name="Calculation 2 10 2 5 4" xfId="2685"/>
    <cellStyle name="Accent6 2 3 2" xfId="2686"/>
    <cellStyle name="Calculation 2 10 2 5 4 2" xfId="2687"/>
    <cellStyle name="Calculation 2 14 2 2 2 3" xfId="2688"/>
    <cellStyle name="Total 2 12 3 4 7" xfId="2689"/>
    <cellStyle name="Accent6 2 3 3" xfId="2690"/>
    <cellStyle name="Calculation 2 10 2 5 4 3" xfId="2691"/>
    <cellStyle name="Calculation 2 14 2 2 2 4" xfId="2692"/>
    <cellStyle name="Accent6 2 6" xfId="2693"/>
    <cellStyle name="Total 2 12 7 5 3" xfId="2694"/>
    <cellStyle name="Calculation 2 10 2 5 7" xfId="2695"/>
    <cellStyle name="Accent6 2 7" xfId="2696"/>
    <cellStyle name="Accent6 2 7 2" xfId="2697"/>
    <cellStyle name="Input 2 11 5 5 3" xfId="2698"/>
    <cellStyle name="Accent6 2 7 2 2" xfId="2699"/>
    <cellStyle name="Calculation 2 5 2 9 3 3" xfId="2700"/>
    <cellStyle name="Accent6 2 7 2 2 2" xfId="2701"/>
    <cellStyle name="Calculation 2 12 10 6" xfId="2702"/>
    <cellStyle name="Accent6 2 7 3" xfId="2703"/>
    <cellStyle name="Accent6 2 8" xfId="2704"/>
    <cellStyle name="Linked Cell 2 2 2 2 2 2" xfId="2705"/>
    <cellStyle name="Accent6 2 9" xfId="2706"/>
    <cellStyle name="Calculation 2 14 2 6 3 2" xfId="2707"/>
    <cellStyle name="Accent6 3" xfId="2708"/>
    <cellStyle name="Accent6 3 2" xfId="2709"/>
    <cellStyle name="Calculation 2 10 2 6 3" xfId="2710"/>
    <cellStyle name="Calculation 2 12 9" xfId="2711"/>
    <cellStyle name="Accent6 3 3" xfId="2712"/>
    <cellStyle name="Note 2 8 10 3 2" xfId="2713"/>
    <cellStyle name="Calculation 2 10 2 6 4" xfId="2714"/>
    <cellStyle name="Accent6 3 4" xfId="2715"/>
    <cellStyle name="Note 2 8 10 3 3" xfId="2716"/>
    <cellStyle name="Calculation 2 10 2 6 5" xfId="2717"/>
    <cellStyle name="Accent6 4" xfId="2718"/>
    <cellStyle name="Calculation 2 2 10" xfId="2719"/>
    <cellStyle name="Input 2 9 5 2 4" xfId="2720"/>
    <cellStyle name="Accent6 4 2" xfId="2721"/>
    <cellStyle name="Calculation 2 10 2 7 3" xfId="2722"/>
    <cellStyle name="Note 2 6 11 3 3" xfId="2723"/>
    <cellStyle name="Note 2 24 4" xfId="2724"/>
    <cellStyle name="Note 2 19 4" xfId="2725"/>
    <cellStyle name="Calculation 2 12 2 13" xfId="2726"/>
    <cellStyle name="Calculation 2 13 9" xfId="2727"/>
    <cellStyle name="Calculation 2 2 10 2" xfId="2728"/>
    <cellStyle name="Accent6 4 3" xfId="2729"/>
    <cellStyle name="Note 2 8 10 4 2" xfId="2730"/>
    <cellStyle name="Calculation 2 10 2 7 4" xfId="2731"/>
    <cellStyle name="Note 2 6 11 3 4" xfId="2732"/>
    <cellStyle name="Note 2 24 5" xfId="2733"/>
    <cellStyle name="Note 2 19 5" xfId="2734"/>
    <cellStyle name="Calculation 2 12 2 14" xfId="2735"/>
    <cellStyle name="Calculation 2 2 10 3" xfId="2736"/>
    <cellStyle name="Accent6 4 4" xfId="2737"/>
    <cellStyle name="Note 2 8 10 4 3" xfId="2738"/>
    <cellStyle name="Calculation 2 10 2 7 5" xfId="2739"/>
    <cellStyle name="Note 2 24 6" xfId="2740"/>
    <cellStyle name="Note 2 19 6" xfId="2741"/>
    <cellStyle name="Calculation 2 12 2 15" xfId="2742"/>
    <cellStyle name="Calculation 2 2 10 4" xfId="2743"/>
    <cellStyle name="Accent6 5" xfId="2744"/>
    <cellStyle name="Calculation 2 13 2 8 4 2" xfId="2745"/>
    <cellStyle name="Calculation 2 2 11" xfId="2746"/>
    <cellStyle name="Calculation 2 10 2 8 3" xfId="2747"/>
    <cellStyle name="Input 2 9 5 3 4" xfId="2748"/>
    <cellStyle name="Accent6 5 2" xfId="2749"/>
    <cellStyle name="Calculation 2 13 2 2 2 4" xfId="2750"/>
    <cellStyle name="Calculation 2 14 9" xfId="2751"/>
    <cellStyle name="Calculation 2 2 11 2" xfId="2752"/>
    <cellStyle name="Accent6 5 3" xfId="2753"/>
    <cellStyle name="Note 2 8 2 2" xfId="2754"/>
    <cellStyle name="Note 2 8 10 5 2" xfId="2755"/>
    <cellStyle name="Calculation 2 10 2 8 4" xfId="2756"/>
    <cellStyle name="Calculation 2 2 11 3" xfId="2757"/>
    <cellStyle name="Accent6 5 4" xfId="2758"/>
    <cellStyle name="Note 2 8 2 3" xfId="2759"/>
    <cellStyle name="Note 2 8 10 5 3" xfId="2760"/>
    <cellStyle name="Calculation 2 10 2 8 5" xfId="2761"/>
    <cellStyle name="Calculation 2 2 11 4" xfId="2762"/>
    <cellStyle name="Accent6 6" xfId="2763"/>
    <cellStyle name="Calculation 2 13 2 8 4 3" xfId="2764"/>
    <cellStyle name="Calculation 2 2 12" xfId="2765"/>
    <cellStyle name="Calculation 2 10 2 9 3" xfId="2766"/>
    <cellStyle name="Accent6 6 2" xfId="2767"/>
    <cellStyle name="Calculation 2 13 2 2 3 4" xfId="2768"/>
    <cellStyle name="Calculation 2 15 9" xfId="2769"/>
    <cellStyle name="Calculation 2 2 12 2" xfId="2770"/>
    <cellStyle name="Accent6 6 3" xfId="2771"/>
    <cellStyle name="Note 2 8 3 2" xfId="2772"/>
    <cellStyle name="Calculation 2 10 2 9 4" xfId="2773"/>
    <cellStyle name="Calculation 2 2 12 3" xfId="2774"/>
    <cellStyle name="Accent6 6 4" xfId="2775"/>
    <cellStyle name="Note 2 8 3 3" xfId="2776"/>
    <cellStyle name="Calculation 2 10 2 9 5" xfId="2777"/>
    <cellStyle name="Calculation 2 2 12 4" xfId="2778"/>
    <cellStyle name="Accent6 7" xfId="2779"/>
    <cellStyle name="Calculation 2 2 13" xfId="2780"/>
    <cellStyle name="Accent6 7 2" xfId="2781"/>
    <cellStyle name="Calculation 2 16 9" xfId="2782"/>
    <cellStyle name="Calculation 2 2 13 2" xfId="2783"/>
    <cellStyle name="Accent6 7 3" xfId="2784"/>
    <cellStyle name="Calculation 2 2 13 3" xfId="2785"/>
    <cellStyle name="Bad 2" xfId="2786"/>
    <cellStyle name="Calculation 2 24 8" xfId="2787"/>
    <cellStyle name="Calculation 2 19 8" xfId="2788"/>
    <cellStyle name="Bad 2 2" xfId="2789"/>
    <cellStyle name="Output 2 6" xfId="2790"/>
    <cellStyle name="Bad 2 2 2" xfId="2791"/>
    <cellStyle name="Note 2 12 2 9 3 4" xfId="2792"/>
    <cellStyle name="Calculation 2 11 2 10 7" xfId="2793"/>
    <cellStyle name="Output 2 7" xfId="2794"/>
    <cellStyle name="Bad 2 2 3" xfId="2795"/>
    <cellStyle name="Calculation 2 11 2 4 3 2" xfId="2796"/>
    <cellStyle name="Output 2 8" xfId="2797"/>
    <cellStyle name="Bad 2 2 4" xfId="2798"/>
    <cellStyle name="Calculation 2 11 2 4 3 3" xfId="2799"/>
    <cellStyle name="Calculation 2 14 3 13 2" xfId="2800"/>
    <cellStyle name="Total 2 11 3 8 4" xfId="2801"/>
    <cellStyle name="Bad 2 3" xfId="2802"/>
    <cellStyle name="Calculation 2 2 16 2" xfId="2803"/>
    <cellStyle name="Input 2 9 3 2 3 2" xfId="2804"/>
    <cellStyle name="Bad 2 4" xfId="2805"/>
    <cellStyle name="Calculation 2 2 16 3" xfId="2806"/>
    <cellStyle name="Input 2 9 3 2 3 3" xfId="2807"/>
    <cellStyle name="Bad 2 5" xfId="2808"/>
    <cellStyle name="Calculation 2 2 16 4" xfId="2809"/>
    <cellStyle name="Bad 2 5 2" xfId="2810"/>
    <cellStyle name="Output 2 9 2 10 5" xfId="2811"/>
    <cellStyle name="Bad 2 5 2 2 2" xfId="2812"/>
    <cellStyle name="Output 2 8 3 2 5 3" xfId="2813"/>
    <cellStyle name="Bad 2 5 3" xfId="2814"/>
    <cellStyle name="Note 2 6 2 4 5 2" xfId="2815"/>
    <cellStyle name="Input 2 9 3 2 3 4" xfId="2816"/>
    <cellStyle name="Bad 2 6" xfId="2817"/>
    <cellStyle name="Calculation 2 10 9 2 2" xfId="2818"/>
    <cellStyle name="Note 2 6 2 4 5 3" xfId="2819"/>
    <cellStyle name="Bad 2 7" xfId="2820"/>
    <cellStyle name="Calculation 2 10 9 2 3" xfId="2821"/>
    <cellStyle name="Bad 2 8" xfId="2822"/>
    <cellStyle name="Calculation 2 10 9 2 4" xfId="2823"/>
    <cellStyle name="Bad 2 9" xfId="2824"/>
    <cellStyle name="Bad 3" xfId="2825"/>
    <cellStyle name="Calculation 2 16 4 4 2" xfId="2826"/>
    <cellStyle name="Bad 4" xfId="2827"/>
    <cellStyle name="Calculation 2 16 4 4 3" xfId="2828"/>
    <cellStyle name="Note 2 14 3 2 4 3" xfId="2829"/>
    <cellStyle name="Calculation 2" xfId="2830"/>
    <cellStyle name="Calculation 2 10 2 6 2 3" xfId="2831"/>
    <cellStyle name="Output 2 5 3 9 7" xfId="2832"/>
    <cellStyle name="Calculation 2 10 10" xfId="2833"/>
    <cellStyle name="Input 2 14 3 5 2 2" xfId="2834"/>
    <cellStyle name="Calculation 2 12 8 3" xfId="2835"/>
    <cellStyle name="Input 2 11 11 2 3" xfId="2836"/>
    <cellStyle name="Calculation 2 10 10 2 2" xfId="2837"/>
    <cellStyle name="Calculation 2 12 9 4 2" xfId="2838"/>
    <cellStyle name="Input 2 14 3 6 4 3" xfId="2839"/>
    <cellStyle name="Calculation 2 2 10 3 4" xfId="2840"/>
    <cellStyle name="Output 2 10 3 7 2" xfId="2841"/>
    <cellStyle name="Input 2 11 11 2 4" xfId="2842"/>
    <cellStyle name="Calculation 2 10 10 2 3" xfId="2843"/>
    <cellStyle name="Calculation 2 12 9 4 3" xfId="2844"/>
    <cellStyle name="Output 2 10 3 7 3" xfId="2845"/>
    <cellStyle name="Calculation 2 10 10 2 4" xfId="2846"/>
    <cellStyle name="Calculation 2 10 10 3" xfId="2847"/>
    <cellStyle name="Calculation 2 12 8 3 3" xfId="2848"/>
    <cellStyle name="Note 2 14 3 5 3 2" xfId="2849"/>
    <cellStyle name="Input 2 14 3 5 3 4" xfId="2850"/>
    <cellStyle name="Calculation 2 2 3 2 2" xfId="2851"/>
    <cellStyle name="Calculation 2 12 9 5" xfId="2852"/>
    <cellStyle name="Input 2 11 11 3 3" xfId="2853"/>
    <cellStyle name="Calculation 2 10 10 3 2" xfId="2854"/>
    <cellStyle name="Calculation 2 2 3 2 2 2" xfId="2855"/>
    <cellStyle name="Calculation 2 12 9 5 2" xfId="2856"/>
    <cellStyle name="Output 2 10 3 8 2" xfId="2857"/>
    <cellStyle name="Input 2 11 11 3 4" xfId="2858"/>
    <cellStyle name="Calculation 2 10 10 3 3" xfId="2859"/>
    <cellStyle name="Calculation 2 2 3 2 2 3" xfId="2860"/>
    <cellStyle name="Calculation 2 12 9 5 3" xfId="2861"/>
    <cellStyle name="Output 2 10 3 8 3" xfId="2862"/>
    <cellStyle name="Calculation 2 10 10 3 4" xfId="2863"/>
    <cellStyle name="Calculation 2 10 10 4" xfId="2864"/>
    <cellStyle name="Calculation 2 12 8 3 4" xfId="2865"/>
    <cellStyle name="Note 2 14 3 5 3 3" xfId="2866"/>
    <cellStyle name="Calculation 2 2 3 2 3" xfId="2867"/>
    <cellStyle name="Calculation 2 12 9 6" xfId="2868"/>
    <cellStyle name="Input 2 11 11 4 3" xfId="2869"/>
    <cellStyle name="Calculation 2 10 10 4 2" xfId="2870"/>
    <cellStyle name="Output 2 10 3 9 2" xfId="2871"/>
    <cellStyle name="Calculation 2 10 10 4 3" xfId="2872"/>
    <cellStyle name="Calculation 2 10 10 5" xfId="2873"/>
    <cellStyle name="Calculation 2 4 2 8 2 3" xfId="2874"/>
    <cellStyle name="Calculation 2 12 3 9 2 2" xfId="2875"/>
    <cellStyle name="Note 2 14 3 5 3 4" xfId="2876"/>
    <cellStyle name="Calculation 2 2 3 2 4" xfId="2877"/>
    <cellStyle name="Calculation 2 12 9 7" xfId="2878"/>
    <cellStyle name="Input 2 11 11 5 3" xfId="2879"/>
    <cellStyle name="Calculation 2 10 10 5 2" xfId="2880"/>
    <cellStyle name="Total 2 10 3 7 2 3" xfId="2881"/>
    <cellStyle name="Calculation 2 16 11" xfId="2882"/>
    <cellStyle name="Calculation 2 10 10 6" xfId="2883"/>
    <cellStyle name="Calculation 2 4 2 8 2 4" xfId="2884"/>
    <cellStyle name="Calculation 2 12 3 9 2 3" xfId="2885"/>
    <cellStyle name="Total 2 10 3 10 5 2" xfId="2886"/>
    <cellStyle name="Input 2 5 2 7 4 2" xfId="2887"/>
    <cellStyle name="Calculation 2 10 10 7" xfId="2888"/>
    <cellStyle name="Calculation 2 12 3 9 2 4" xfId="2889"/>
    <cellStyle name="Calculation 2 10 2 6 2 4" xfId="2890"/>
    <cellStyle name="Calculation 2 12 8 2 2" xfId="2891"/>
    <cellStyle name="Input 2 14 3 5 2 3" xfId="2892"/>
    <cellStyle name="Calculation 2 10 11" xfId="2893"/>
    <cellStyle name="Calculation 2 12 8 4" xfId="2894"/>
    <cellStyle name="Calculation 2 10 11 2" xfId="2895"/>
    <cellStyle name="Calculation 2 12 8 4 2" xfId="2896"/>
    <cellStyle name="Calculation 2 14 2 15" xfId="2897"/>
    <cellStyle name="Input 2 11 12 2 3" xfId="2898"/>
    <cellStyle name="Calculation 2 10 11 2 2" xfId="2899"/>
    <cellStyle name="Input 2 14 3 7 4 3" xfId="2900"/>
    <cellStyle name="Calculation 2 2 11 3 4" xfId="2901"/>
    <cellStyle name="Input 2 11 12 2 4" xfId="2902"/>
    <cellStyle name="Calculation 2 10 11 2 3" xfId="2903"/>
    <cellStyle name="Calculation 2 10 11 2 4" xfId="2904"/>
    <cellStyle name="Input 2 13 11 3 3" xfId="2905"/>
    <cellStyle name="Calculation 2 12 10 3 2" xfId="2906"/>
    <cellStyle name="Calculation 2 10 11 3" xfId="2907"/>
    <cellStyle name="Calculation 2 12 8 4 3" xfId="2908"/>
    <cellStyle name="Calculation 2 14 2 16" xfId="2909"/>
    <cellStyle name="Calculation 2 10 11 3 4" xfId="2910"/>
    <cellStyle name="Output 2 10 2 7 2 4" xfId="2911"/>
    <cellStyle name="Input 2 13 11 4 3" xfId="2912"/>
    <cellStyle name="Calculation 2 12 10 4 2" xfId="2913"/>
    <cellStyle name="Calculation 2 10 11 4" xfId="2914"/>
    <cellStyle name="Input 2 11 12 4 3" xfId="2915"/>
    <cellStyle name="Calculation 2 10 11 4 2" xfId="2916"/>
    <cellStyle name="Calculation 2 10 11 4 3" xfId="2917"/>
    <cellStyle name="Calculation 2 10 11 5" xfId="2918"/>
    <cellStyle name="Calculation 2 4 2 8 3 3" xfId="2919"/>
    <cellStyle name="Calculation 2 12 3 9 3 2" xfId="2920"/>
    <cellStyle name="Input 2 11 12 5 3" xfId="2921"/>
    <cellStyle name="Calculation 2 10 11 5 2" xfId="2922"/>
    <cellStyle name="Calculation 2 10 11 5 3" xfId="2923"/>
    <cellStyle name="Calculation 2 10 11 6" xfId="2924"/>
    <cellStyle name="Calculation 2 4 2 8 3 4" xfId="2925"/>
    <cellStyle name="Calculation 2 12 3 9 3 3" xfId="2926"/>
    <cellStyle name="Input 2 5 2 7 5 2" xfId="2927"/>
    <cellStyle name="Calculation 2 10 11 7" xfId="2928"/>
    <cellStyle name="Calculation 2 12 3 9 3 4" xfId="2929"/>
    <cellStyle name="Calculation 2 12 8 2 3" xfId="2930"/>
    <cellStyle name="Note 2 14 3 5 2 2" xfId="2931"/>
    <cellStyle name="Input 2 14 3 5 2 4" xfId="2932"/>
    <cellStyle name="Calculation 2 10 12" xfId="2933"/>
    <cellStyle name="Calculation 2 12 8 5" xfId="2934"/>
    <cellStyle name="Calculation 2 10 12 2" xfId="2935"/>
    <cellStyle name="Calculation 2 12 8 5 2" xfId="2936"/>
    <cellStyle name="Input 2 12 2 7 3" xfId="2937"/>
    <cellStyle name="Calculation 2 10 12 2 2" xfId="2938"/>
    <cellStyle name="Input 2 14 3 8 4 3" xfId="2939"/>
    <cellStyle name="Calculation 2 2 12 3 4" xfId="2940"/>
    <cellStyle name="Input 2 12 2 7 4" xfId="2941"/>
    <cellStyle name="Calculation 2 10 12 2 3" xfId="2942"/>
    <cellStyle name="Input 2 12 2 7 5" xfId="2943"/>
    <cellStyle name="Calculation 2 6 10 5 2" xfId="2944"/>
    <cellStyle name="Calculation 2 10 12 2 4" xfId="2945"/>
    <cellStyle name="Input 2 13 12 3 3" xfId="2946"/>
    <cellStyle name="Calculation 2 12 11 3 2" xfId="2947"/>
    <cellStyle name="Input 2 12 2 8 4" xfId="2948"/>
    <cellStyle name="Calculation 2 10 12 3 3" xfId="2949"/>
    <cellStyle name="Input 2 12 2 8 5" xfId="2950"/>
    <cellStyle name="Calculation 2 10 12 3 4" xfId="2951"/>
    <cellStyle name="Output 2 10 2 8 2 4" xfId="2952"/>
    <cellStyle name="Input 2 13 12 4 3" xfId="2953"/>
    <cellStyle name="Calculation 2 12 11 4 2" xfId="2954"/>
    <cellStyle name="Input 2 12 2 9 3" xfId="2955"/>
    <cellStyle name="Calculation 2 10 12 4 2" xfId="2956"/>
    <cellStyle name="Input 2 12 2 9 4" xfId="2957"/>
    <cellStyle name="Calculation 2 10 12 4 3" xfId="2958"/>
    <cellStyle name="Input 2 4 2 10 3" xfId="2959"/>
    <cellStyle name="Calculation 2 10 12 5 2" xfId="2960"/>
    <cellStyle name="Input 2 4 2 10 4" xfId="2961"/>
    <cellStyle name="Calculation 2 10 12 5 3" xfId="2962"/>
    <cellStyle name="Calculation 2 10 12 6" xfId="2963"/>
    <cellStyle name="Calculation 2 12 3 9 4 3" xfId="2964"/>
    <cellStyle name="Calculation 2 14 4 2 3" xfId="2965"/>
    <cellStyle name="Output 2 13 10 2 2" xfId="2966"/>
    <cellStyle name="Explanatory Text 2 4 2 2 2" xfId="2967"/>
    <cellStyle name="Calculation 2 10 12 7" xfId="2968"/>
    <cellStyle name="Calculation 2 14 4 2 4" xfId="2969"/>
    <cellStyle name="Calculation 2 12 8 2 4" xfId="2970"/>
    <cellStyle name="Note 2 14 3 5 2 3" xfId="2971"/>
    <cellStyle name="Calculation 2 10 13" xfId="2972"/>
    <cellStyle name="Calculation 2 12 8 6" xfId="2973"/>
    <cellStyle name="Calculation 2 10 13 2" xfId="2974"/>
    <cellStyle name="Calculation 2 10 13 3" xfId="2975"/>
    <cellStyle name="Note 2 7 2 5 2 2" xfId="2976"/>
    <cellStyle name="Normal 2 2 10" xfId="2977"/>
    <cellStyle name="Calculation 2 10 13 4" xfId="2978"/>
    <cellStyle name="Note 2 14 3 5 2 4" xfId="2979"/>
    <cellStyle name="Calculation 2 10 14" xfId="2980"/>
    <cellStyle name="Calculation 2 12 8 7" xfId="2981"/>
    <cellStyle name="Calculation 2 13 3 14 2" xfId="2982"/>
    <cellStyle name="Calculation 2 10 14 2" xfId="2983"/>
    <cellStyle name="Total 2 10 3 6 2 3" xfId="2984"/>
    <cellStyle name="Calculation 2 4 13 4" xfId="2985"/>
    <cellStyle name="Calculation 2 11 11" xfId="2986"/>
    <cellStyle name="Calculation 2 10 14 3" xfId="2987"/>
    <cellStyle name="Total 2 10 3 6 2 4" xfId="2988"/>
    <cellStyle name="Calculation 2 4 13 5" xfId="2989"/>
    <cellStyle name="Calculation 2 2 3 6 2" xfId="2990"/>
    <cellStyle name="Calculation 2 11 12" xfId="2991"/>
    <cellStyle name="Note 2 7 2 5 3 2" xfId="2992"/>
    <cellStyle name="Calculation 2 10 14 4" xfId="2993"/>
    <cellStyle name="Total 2 11 3 2 2" xfId="2994"/>
    <cellStyle name="Calculation 2 2 3 6 3" xfId="2995"/>
    <cellStyle name="Calculation 2 11 13" xfId="2996"/>
    <cellStyle name="Input 2 6 3 6 3 3" xfId="2997"/>
    <cellStyle name="Calculation 2 24 2 2" xfId="2998"/>
    <cellStyle name="Calculation 2 19 2 2" xfId="2999"/>
    <cellStyle name="Calculation 2 10 15 3" xfId="3000"/>
    <cellStyle name="Calculation 2 10 16 2" xfId="3001"/>
    <cellStyle name="Calculation 2 14 3 15" xfId="3002"/>
    <cellStyle name="Calculation 2 10 16 3" xfId="3003"/>
    <cellStyle name="Input 2 6 3 6 5 2" xfId="3004"/>
    <cellStyle name="Calculation 2 14 3 16" xfId="3005"/>
    <cellStyle name="Calculation 2 10 17" xfId="3006"/>
    <cellStyle name="Calculation 2 10 17 2" xfId="3007"/>
    <cellStyle name="Input 2 5 5 3 3" xfId="3008"/>
    <cellStyle name="Input 2 14 10 2 4" xfId="3009"/>
    <cellStyle name="Calculation 2 10 17 2 2" xfId="3010"/>
    <cellStyle name="Calculation 2 11 2 5 5 3" xfId="3011"/>
    <cellStyle name="Input 2 3 8 2" xfId="3012"/>
    <cellStyle name="Calculation 2 10 18" xfId="3013"/>
    <cellStyle name="Note 2 12 2 9 2" xfId="3014"/>
    <cellStyle name="Input 2 3 8 3" xfId="3015"/>
    <cellStyle name="Calculation 2 10 19" xfId="3016"/>
    <cellStyle name="Calculation 2 10 2 10" xfId="3017"/>
    <cellStyle name="Calculation 2 10 2 10 2" xfId="3018"/>
    <cellStyle name="Calculation 2 15 5 3 4" xfId="3019"/>
    <cellStyle name="Output 2 2 5 5" xfId="3020"/>
    <cellStyle name="Input 2 9 3 5 5 3" xfId="3021"/>
    <cellStyle name="Calculation 2 2 2 11 4" xfId="3022"/>
    <cellStyle name="Calculation 2 9 4 7" xfId="3023"/>
    <cellStyle name="Calculation 2 10 2 10 2 2" xfId="3024"/>
    <cellStyle name="Calculation 2 11 6 4" xfId="3025"/>
    <cellStyle name="Input 2 8 6 4 2" xfId="3026"/>
    <cellStyle name="Calculation 2 10 2 10 2 3" xfId="3027"/>
    <cellStyle name="Calculation 2 11 3 11 2" xfId="3028"/>
    <cellStyle name="Calculation 2 11 6 5" xfId="3029"/>
    <cellStyle name="Input 2 8 6 4 3" xfId="3030"/>
    <cellStyle name="Calculation 2 10 2 10 2 4" xfId="3031"/>
    <cellStyle name="Calculation 2 11 3 11 3" xfId="3032"/>
    <cellStyle name="Calculation 2 11 6 6" xfId="3033"/>
    <cellStyle name="Calculation 2 10 2 10 3" xfId="3034"/>
    <cellStyle name="Output 2 2 5 6" xfId="3035"/>
    <cellStyle name="Calculation 2 2 2 11 5" xfId="3036"/>
    <cellStyle name="Note 2 22 2 4" xfId="3037"/>
    <cellStyle name="Note 2 17 2 4" xfId="3038"/>
    <cellStyle name="Calculation 2 9 5 7" xfId="3039"/>
    <cellStyle name="Calculation 2 10 2 10 3 2" xfId="3040"/>
    <cellStyle name="Note 2 6 3 2 7" xfId="3041"/>
    <cellStyle name="Calculation 2 11 7 4" xfId="3042"/>
    <cellStyle name="Input 2 8 6 5 2" xfId="3043"/>
    <cellStyle name="Calculation 2 10 2 10 3 3" xfId="3044"/>
    <cellStyle name="Calculation 2 11 3 12 2" xfId="3045"/>
    <cellStyle name="Calculation 2 11 7 5" xfId="3046"/>
    <cellStyle name="Input 2 8 6 5 3" xfId="3047"/>
    <cellStyle name="Calculation 2 10 2 10 3 4" xfId="3048"/>
    <cellStyle name="Calculation 2 11 3 12 3" xfId="3049"/>
    <cellStyle name="Output 2 2 2 10 2 2" xfId="3050"/>
    <cellStyle name="Calculation 2 11 7 6" xfId="3051"/>
    <cellStyle name="Calculation 2 10 2 10 4" xfId="3052"/>
    <cellStyle name="Output 2 5 3 8 6" xfId="3053"/>
    <cellStyle name="Note 2 16 7 4 3" xfId="3054"/>
    <cellStyle name="Calculation 2 12 7 2" xfId="3055"/>
    <cellStyle name="Note 2 22 3 4" xfId="3056"/>
    <cellStyle name="Note 2 17 3 4" xfId="3057"/>
    <cellStyle name="Calculation 2 9 6 7" xfId="3058"/>
    <cellStyle name="Calculation 2 10 2 10 4 2" xfId="3059"/>
    <cellStyle name="Calculation 2 10 2 5 2 4" xfId="3060"/>
    <cellStyle name="Note 2 6 3 3 7" xfId="3061"/>
    <cellStyle name="Input 2 14 3 4 2 3" xfId="3062"/>
    <cellStyle name="Calculation 2 11 8 4" xfId="3063"/>
    <cellStyle name="Calculation 2 12 7 2 2" xfId="3064"/>
    <cellStyle name="Output 2 9 3 6 3 2" xfId="3065"/>
    <cellStyle name="Calculation 2 10 2 10 5" xfId="3066"/>
    <cellStyle name="Output 2 5 3 8 7" xfId="3067"/>
    <cellStyle name="Calculation 2 12 7 3" xfId="3068"/>
    <cellStyle name="Output 2 9 3 6 3 3" xfId="3069"/>
    <cellStyle name="Calculation 2 10 2 10 6" xfId="3070"/>
    <cellStyle name="Input 2 10 3 8 3 2" xfId="3071"/>
    <cellStyle name="Calculation 2 12 7 4" xfId="3072"/>
    <cellStyle name="Output 2 9 3 6 3 4" xfId="3073"/>
    <cellStyle name="Calculation 2 10 2 10 7" xfId="3074"/>
    <cellStyle name="Input 2 10 3 8 3 3" xfId="3075"/>
    <cellStyle name="Calculation 2 12 7 5" xfId="3076"/>
    <cellStyle name="Calculation 2 10 2 11" xfId="3077"/>
    <cellStyle name="Calculation 2 10 2 11 2" xfId="3078"/>
    <cellStyle name="Output 2 2 6 5" xfId="3079"/>
    <cellStyle name="Input 2 2 6 6 2 2" xfId="3080"/>
    <cellStyle name="Calculation 2 3 4 2 2 2 2 2 2" xfId="3081"/>
    <cellStyle name="Calculation 2 2 2 12 4" xfId="3082"/>
    <cellStyle name="Calculation 2 10 2 11 3" xfId="3083"/>
    <cellStyle name="Output 2 2 6 6" xfId="3084"/>
    <cellStyle name="Calculation 2 2 2 12 5" xfId="3085"/>
    <cellStyle name="Calculation 2 10 2 11 4" xfId="3086"/>
    <cellStyle name="Output 2 2 6 7" xfId="3087"/>
    <cellStyle name="Calculation 2 10 2 6 2 2" xfId="3088"/>
    <cellStyle name="Output 2 5 3 9 6" xfId="3089"/>
    <cellStyle name="Note 2 16 7 5 3" xfId="3090"/>
    <cellStyle name="Heading 1 2 5 2 2 2" xfId="3091"/>
    <cellStyle name="Calculation 2 12 8 2" xfId="3092"/>
    <cellStyle name="Calculation 2 10 2 12" xfId="3093"/>
    <cellStyle name="Calculation 2 16 6 3 2" xfId="3094"/>
    <cellStyle name="Calculation 2 10 2 13" xfId="3095"/>
    <cellStyle name="Calculation 2 16 6 3 3" xfId="3096"/>
    <cellStyle name="Calculation 2 10 2 13 2" xfId="3097"/>
    <cellStyle name="Calculation 2 14 2 11" xfId="3098"/>
    <cellStyle name="Output 2 2 8 5" xfId="3099"/>
    <cellStyle name="Calculation 2 2 2 14 4" xfId="3100"/>
    <cellStyle name="Calculation 2 10 2 13 3" xfId="3101"/>
    <cellStyle name="Input 2 13 2 14 2" xfId="3102"/>
    <cellStyle name="Calculation 2 14 2 12" xfId="3103"/>
    <cellStyle name="Calculation 2 14 2 3 2 2" xfId="3104"/>
    <cellStyle name="Calculation 2 10 2 14" xfId="3105"/>
    <cellStyle name="Calculation 2 16 6 3 4" xfId="3106"/>
    <cellStyle name="Normal 3 2" xfId="3107"/>
    <cellStyle name="Normal 2 3 6 2" xfId="3108"/>
    <cellStyle name="Calculation 2 10 2 15" xfId="3109"/>
    <cellStyle name="Normal 3 3" xfId="3110"/>
    <cellStyle name="Normal 2 3 6 3" xfId="3111"/>
    <cellStyle name="Calculation 2 10 2 16" xfId="3112"/>
    <cellStyle name="Calculation 2 8 8 2 3" xfId="3113"/>
    <cellStyle name="Calculation 2 7 2 5 3 4" xfId="3114"/>
    <cellStyle name="Calculation 2 10 2 2" xfId="3115"/>
    <cellStyle name="Note 2 2 2 5 2 2 2 3" xfId="3116"/>
    <cellStyle name="Calculation 2 3 2 8 5 3" xfId="3117"/>
    <cellStyle name="Calculation 2 11 3 9 5 2" xfId="3118"/>
    <cellStyle name="Calculation 2 10 2 2 2" xfId="3119"/>
    <cellStyle name="Calculation 2 14 3 7 5 3" xfId="3120"/>
    <cellStyle name="Calculation 2 10 2 2 2 3" xfId="3121"/>
    <cellStyle name="Calculation 2 10 2 2 2 4" xfId="3122"/>
    <cellStyle name="Calculation 2 12 4 2 2" xfId="3123"/>
    <cellStyle name="Calculation 2 10 2 2 3" xfId="3124"/>
    <cellStyle name="Calculation 2 10 2 2 3 3" xfId="3125"/>
    <cellStyle name="Calculation 2 10 2 2 3 4" xfId="3126"/>
    <cellStyle name="Calculation 2 12 4 3 2" xfId="3127"/>
    <cellStyle name="Calculation 2 10 2 2 4" xfId="3128"/>
    <cellStyle name="Output 2 7 10 2" xfId="3129"/>
    <cellStyle name="Calculation 2 10 2 2 4 3" xfId="3130"/>
    <cellStyle name="Calculation 2 10 2 2 5" xfId="3131"/>
    <cellStyle name="Output 2 7 11 2" xfId="3132"/>
    <cellStyle name="Calculation 2 10 2 2 5 3" xfId="3133"/>
    <cellStyle name="Calculation 2 10 2 2 6" xfId="3134"/>
    <cellStyle name="Input 2 12 2 5 3 2" xfId="3135"/>
    <cellStyle name="Calculation 2 10 2 2 7" xfId="3136"/>
    <cellStyle name="Calculation 2 15 8 4 2" xfId="3137"/>
    <cellStyle name="Calculation 2 8 8 2 4" xfId="3138"/>
    <cellStyle name="Calculation 2 10 2 3" xfId="3139"/>
    <cellStyle name="Calculation 2 11 3 9 5 3" xfId="3140"/>
    <cellStyle name="Total 2 6 3 11 2" xfId="3141"/>
    <cellStyle name="Calculation 2 10 2 3 2" xfId="3142"/>
    <cellStyle name="Calculation 2 6 13" xfId="3143"/>
    <cellStyle name="Calculation 2 10 2 3 2 2" xfId="3144"/>
    <cellStyle name="Calculation 2 10 9 5 3" xfId="3145"/>
    <cellStyle name="Calculation 2 6 14" xfId="3146"/>
    <cellStyle name="Calculation 2 10 2 3 2 3" xfId="3147"/>
    <cellStyle name="Calculation 2 6 20" xfId="3148"/>
    <cellStyle name="Calculation 2 6 15" xfId="3149"/>
    <cellStyle name="Calculation 2 10 2 3 2 4" xfId="3150"/>
    <cellStyle name="Calculation 2 12 5 2 2" xfId="3151"/>
    <cellStyle name="Calculation 2 10 2 3 3" xfId="3152"/>
    <cellStyle name="Calculation 2 10 2 3 3 2" xfId="3153"/>
    <cellStyle name="Calculation 2 10 2 3 3 3" xfId="3154"/>
    <cellStyle name="Calculation 2 10 2 3 3 4" xfId="3155"/>
    <cellStyle name="Output 2 14 3 16" xfId="3156"/>
    <cellStyle name="Calculation 2 12 5 3 2" xfId="3157"/>
    <cellStyle name="Calculation 2 10 2 3 4" xfId="3158"/>
    <cellStyle name="Note 2 2 2 10" xfId="3159"/>
    <cellStyle name="Calculation 2 10 2 3 4 2" xfId="3160"/>
    <cellStyle name="Note 2 2 2 11" xfId="3161"/>
    <cellStyle name="Calculation 2 10 2 3 4 3" xfId="3162"/>
    <cellStyle name="Calculation 2 10 2 3 5" xfId="3163"/>
    <cellStyle name="Calculation 2 10 2 3 5 2" xfId="3164"/>
    <cellStyle name="Calculation 2 13 2 9 2 4" xfId="3165"/>
    <cellStyle name="Calculation 2 10 2 3 6" xfId="3166"/>
    <cellStyle name="Input 2 12 2 5 4 2" xfId="3167"/>
    <cellStyle name="Calculation 2 10 2 3 7" xfId="3168"/>
    <cellStyle name="Calculation 2 15 8 5 2" xfId="3169"/>
    <cellStyle name="Calculation 2 10 2 4" xfId="3170"/>
    <cellStyle name="Calculation 2 10 2 4 2 2" xfId="3171"/>
    <cellStyle name="Note 2 6 2 3 5" xfId="3172"/>
    <cellStyle name="Note 2 16 5 5 3" xfId="3173"/>
    <cellStyle name="Calculation 2 10 8 2" xfId="3174"/>
    <cellStyle name="Calculation 2 10 2 4 2 3" xfId="3175"/>
    <cellStyle name="Note 2 6 2 3 6" xfId="3176"/>
    <cellStyle name="Input 2 14 3 3 2 2" xfId="3177"/>
    <cellStyle name="Calculation 2 10 8 3" xfId="3178"/>
    <cellStyle name="Input 2 13 2 10 3 2" xfId="3179"/>
    <cellStyle name="Input 2 12 3 13 2" xfId="3180"/>
    <cellStyle name="Calculation 2 10 2 4 2 4" xfId="3181"/>
    <cellStyle name="Note 2 6 2 3 7" xfId="3182"/>
    <cellStyle name="Input 2 14 3 3 2 3" xfId="3183"/>
    <cellStyle name="Calculation 2 10 8 4" xfId="3184"/>
    <cellStyle name="Calculation 2 12 6 2 2" xfId="3185"/>
    <cellStyle name="Calculation 2 10 2 4 3 2" xfId="3186"/>
    <cellStyle name="Note 2 6 2 4 5" xfId="3187"/>
    <cellStyle name="Calculation 2 10 9 2" xfId="3188"/>
    <cellStyle name="Output 2 11 2 10 2" xfId="3189"/>
    <cellStyle name="Calculation 2 10 2 4 3 3" xfId="3190"/>
    <cellStyle name="Note 2 6 2 4 6" xfId="3191"/>
    <cellStyle name="Input 2 14 3 3 3 2" xfId="3192"/>
    <cellStyle name="Calculation 2 10 9 3" xfId="3193"/>
    <cellStyle name="Output 2 11 2 10 3" xfId="3194"/>
    <cellStyle name="Input 2 12 3 14 2" xfId="3195"/>
    <cellStyle name="Input 2 13 2 10 4 2" xfId="3196"/>
    <cellStyle name="Calculation 2 10 2 4 3 4" xfId="3197"/>
    <cellStyle name="Note 2 6 2 4 7" xfId="3198"/>
    <cellStyle name="Input 2 14 3 3 3 3" xfId="3199"/>
    <cellStyle name="Calculation 2 10 9 4" xfId="3200"/>
    <cellStyle name="Calculation 2 12 6 3 2" xfId="3201"/>
    <cellStyle name="Calculation 2 10 2 4 4 2" xfId="3202"/>
    <cellStyle name="Output 2 11 2 11 2" xfId="3203"/>
    <cellStyle name="Calculation 2 10 2 4 4 3" xfId="3204"/>
    <cellStyle name="Calculation 2 10 2 4 5 2" xfId="3205"/>
    <cellStyle name="Output 2 11 2 12 2" xfId="3206"/>
    <cellStyle name="Calculation 2 10 2 4 5 3" xfId="3207"/>
    <cellStyle name="Calculation 2 10 2 4 6" xfId="3208"/>
    <cellStyle name="Input 2 12 2 5 5 2" xfId="3209"/>
    <cellStyle name="Calculation 2 10 2 4 7" xfId="3210"/>
    <cellStyle name="Calculation 2 10 2 5" xfId="3211"/>
    <cellStyle name="Calculation 2 10 2 5 2" xfId="3212"/>
    <cellStyle name="Calculation 2 11 8" xfId="3213"/>
    <cellStyle name="Calculation 2 10 2 5 2 2" xfId="3214"/>
    <cellStyle name="Output 2 5 2 9 6" xfId="3215"/>
    <cellStyle name="Note 2 16 6 5 3" xfId="3216"/>
    <cellStyle name="Note 2 6 3 3 5" xfId="3217"/>
    <cellStyle name="Calculation 2 11 8 2" xfId="3218"/>
    <cellStyle name="Calculation 2 10 2 5 2 3" xfId="3219"/>
    <cellStyle name="Output 2 5 2 9 7" xfId="3220"/>
    <cellStyle name="Note 2 6 3 3 6" xfId="3221"/>
    <cellStyle name="Input 2 14 3 4 2 2" xfId="3222"/>
    <cellStyle name="Calculation 2 11 8 3" xfId="3223"/>
    <cellStyle name="Calculation 2 10 2 5 5 2" xfId="3224"/>
    <cellStyle name="Calculation 2 14 2 2 3 3" xfId="3225"/>
    <cellStyle name="Total 2 12 3 5 7" xfId="3226"/>
    <cellStyle name="Calculation 2 10 2 5 5 3" xfId="3227"/>
    <cellStyle name="Calculation 2 14 2 2 3 4" xfId="3228"/>
    <cellStyle name="Calculation 2 10 2 6" xfId="3229"/>
    <cellStyle name="Calculation 2 10 2 6 2" xfId="3230"/>
    <cellStyle name="Heading 1 2 5 2 2" xfId="3231"/>
    <cellStyle name="Calculation 2 12 8" xfId="3232"/>
    <cellStyle name="Output 2 2 8 7" xfId="3233"/>
    <cellStyle name="Calculation 2 10 2 6 4 2" xfId="3234"/>
    <cellStyle name="Note 2 23 5 2" xfId="3235"/>
    <cellStyle name="Note 2 18 5 2" xfId="3236"/>
    <cellStyle name="Input 2 13 2 14 3" xfId="3237"/>
    <cellStyle name="Calculation 2 14 2 13" xfId="3238"/>
    <cellStyle name="Total 2 7 2 7 4 2" xfId="3239"/>
    <cellStyle name="Calculation 2 14 2 3 2 3" xfId="3240"/>
    <cellStyle name="Calculation 2 10 2 6 4 3" xfId="3241"/>
    <cellStyle name="Note 2 23 5 3" xfId="3242"/>
    <cellStyle name="Note 2 18 5 3" xfId="3243"/>
    <cellStyle name="Calculation 2 14 2 14" xfId="3244"/>
    <cellStyle name="Total 2 7 2 7 4 3" xfId="3245"/>
    <cellStyle name="Input 2 11 10 2 2" xfId="3246"/>
    <cellStyle name="Calculation 2 14 2 3 2 4" xfId="3247"/>
    <cellStyle name="Output 2 2 9 7" xfId="3248"/>
    <cellStyle name="Calculation 2 10 2 6 5 2" xfId="3249"/>
    <cellStyle name="Calculation 2 14 2 3 3 3" xfId="3250"/>
    <cellStyle name="Note 2 8 10 3 4" xfId="3251"/>
    <cellStyle name="Calculation 2 10 2 6 6" xfId="3252"/>
    <cellStyle name="Calculation 2 10 2 6 7" xfId="3253"/>
    <cellStyle name="Output 2 8 2 5 3 2" xfId="3254"/>
    <cellStyle name="Output 2 14 2 6 5 2" xfId="3255"/>
    <cellStyle name="Calculation 2 10 2 7" xfId="3256"/>
    <cellStyle name="Calculation 2 10 2 7 2" xfId="3257"/>
    <cellStyle name="Note 2 6 11 3 2" xfId="3258"/>
    <cellStyle name="Note 2 24 3" xfId="3259"/>
    <cellStyle name="Note 2 19 3" xfId="3260"/>
    <cellStyle name="Calculation 2 12 2 12" xfId="3261"/>
    <cellStyle name="Calculation 2 13 8" xfId="3262"/>
    <cellStyle name="Output 2 3 6 7" xfId="3263"/>
    <cellStyle name="Calculation 2 10 2 7 2 2" xfId="3264"/>
    <cellStyle name="Note 2 24 3 2" xfId="3265"/>
    <cellStyle name="Note 2 19 3 2" xfId="3266"/>
    <cellStyle name="Calculation 2 12 2 12 2" xfId="3267"/>
    <cellStyle name="Note 2 16 8 5 3" xfId="3268"/>
    <cellStyle name="Input 2 13 18" xfId="3269"/>
    <cellStyle name="Calculation 2 13 8 2" xfId="3270"/>
    <cellStyle name="Calculation 2 10 2 7 2 3" xfId="3271"/>
    <cellStyle name="Note 2 24 3 3" xfId="3272"/>
    <cellStyle name="Note 2 19 3 3" xfId="3273"/>
    <cellStyle name="Calculation 2 12 2 12 3" xfId="3274"/>
    <cellStyle name="Input 2 14 3 6 2 2" xfId="3275"/>
    <cellStyle name="Input 2 13 19" xfId="3276"/>
    <cellStyle name="Calculation 2 15 10" xfId="3277"/>
    <cellStyle name="Calculation 2 13 8 3" xfId="3278"/>
    <cellStyle name="Calculation 2 10 2 7 2 4" xfId="3279"/>
    <cellStyle name="Note 2 24 3 4" xfId="3280"/>
    <cellStyle name="Note 2 19 3 4" xfId="3281"/>
    <cellStyle name="Calculation 2 12 2 12 4" xfId="3282"/>
    <cellStyle name="Calculation 2 12 9 2 2" xfId="3283"/>
    <cellStyle name="Input 2 14 3 6 2 3" xfId="3284"/>
    <cellStyle name="Calculation 2 13 8 4" xfId="3285"/>
    <cellStyle name="Calculation 2 15 11" xfId="3286"/>
    <cellStyle name="Output 2 3 7 7" xfId="3287"/>
    <cellStyle name="Calculation 2 10 2 7 3 2" xfId="3288"/>
    <cellStyle name="Note 2 24 4 2" xfId="3289"/>
    <cellStyle name="Note 2 19 4 2" xfId="3290"/>
    <cellStyle name="Calculation 2 12 2 13 2" xfId="3291"/>
    <cellStyle name="Calculation 2 13 9 2" xfId="3292"/>
    <cellStyle name="Calculation 2 2 10 2 2" xfId="3293"/>
    <cellStyle name="Calculation 2 10 2 7 3 3" xfId="3294"/>
    <cellStyle name="Note 2 24 4 3" xfId="3295"/>
    <cellStyle name="Note 2 19 4 3" xfId="3296"/>
    <cellStyle name="Calculation 2 12 2 13 3" xfId="3297"/>
    <cellStyle name="Input 2 14 3 6 3 2" xfId="3298"/>
    <cellStyle name="Calculation 2 13 9 3" xfId="3299"/>
    <cellStyle name="Calculation 2 2 10 2 3" xfId="3300"/>
    <cellStyle name="Calculation 2 10 2 7 3 4" xfId="3301"/>
    <cellStyle name="Calculation 2 12 9 3 2" xfId="3302"/>
    <cellStyle name="Input 2 14 3 6 3 3" xfId="3303"/>
    <cellStyle name="Calculation 2 13 9 4" xfId="3304"/>
    <cellStyle name="Calculation 2 2 10 2 4" xfId="3305"/>
    <cellStyle name="Output 2 3 8 7" xfId="3306"/>
    <cellStyle name="Calculation 2 10 2 7 4 2" xfId="3307"/>
    <cellStyle name="Note 2 24 5 2" xfId="3308"/>
    <cellStyle name="Note 2 19 5 2" xfId="3309"/>
    <cellStyle name="Calculation 2 12 2 14 2" xfId="3310"/>
    <cellStyle name="Calculation 2 14 2 4 2 3" xfId="3311"/>
    <cellStyle name="Calculation 2 2 10 3 2" xfId="3312"/>
    <cellStyle name="Output 2 8 10 2" xfId="3313"/>
    <cellStyle name="Calculation 2 10 2 7 4 3" xfId="3314"/>
    <cellStyle name="Note 2 24 5 3" xfId="3315"/>
    <cellStyle name="Note 2 19 5 3" xfId="3316"/>
    <cellStyle name="Calculation 2 12 2 14 3" xfId="3317"/>
    <cellStyle name="Input 2 11 11 2 2" xfId="3318"/>
    <cellStyle name="Calculation 2 14 2 4 2 4" xfId="3319"/>
    <cellStyle name="Input 2 14 3 6 4 2" xfId="3320"/>
    <cellStyle name="Calculation 2 2 10 3 3" xfId="3321"/>
    <cellStyle name="Output 2 3 9 7" xfId="3322"/>
    <cellStyle name="Calculation 2 10 2 7 5 2" xfId="3323"/>
    <cellStyle name="Calculation 2 14 2 4 3 3" xfId="3324"/>
    <cellStyle name="Calculation 2 2 10 4 2" xfId="3325"/>
    <cellStyle name="Output 2 8 11 2" xfId="3326"/>
    <cellStyle name="Calculation 2 10 2 7 5 3" xfId="3327"/>
    <cellStyle name="Input 2 11 11 3 2" xfId="3328"/>
    <cellStyle name="Calculation 2 14 2 4 3 4" xfId="3329"/>
    <cellStyle name="Input 2 14 3 6 5 2" xfId="3330"/>
    <cellStyle name="Calculation 2 2 10 4 3" xfId="3331"/>
    <cellStyle name="Calculation 2 10 2 7 6" xfId="3332"/>
    <cellStyle name="Note 2 24 7" xfId="3333"/>
    <cellStyle name="Note 2 19 7" xfId="3334"/>
    <cellStyle name="Calculation 2 12 2 16" xfId="3335"/>
    <cellStyle name="Calculation 2 2 10 5" xfId="3336"/>
    <cellStyle name="Calculation 2 10 2 7 7" xfId="3337"/>
    <cellStyle name="Calculation 2 3 2 7 2 3" xfId="3338"/>
    <cellStyle name="Calculation 2 11 3 8 2 2" xfId="3339"/>
    <cellStyle name="Linked Cell 2 5 2 2" xfId="3340"/>
    <cellStyle name="Calculation 2 2 10 6" xfId="3341"/>
    <cellStyle name="Output 2 8 2 5 3 3" xfId="3342"/>
    <cellStyle name="Output 2 14 2 6 5 3" xfId="3343"/>
    <cellStyle name="Calculation 2 10 2 8" xfId="3344"/>
    <cellStyle name="Calculation 2 10 2 8 2" xfId="3345"/>
    <cellStyle name="Input 2 9 5 3 3" xfId="3346"/>
    <cellStyle name="Calculation 2 13 2 2 2 3" xfId="3347"/>
    <cellStyle name="Calculation 2 14 8" xfId="3348"/>
    <cellStyle name="Output 2 4 6 7" xfId="3349"/>
    <cellStyle name="Calculation 2 10 2 8 2 2" xfId="3350"/>
    <cellStyle name="Note 2 16 9 5 3" xfId="3351"/>
    <cellStyle name="Calculation 2 14 8 2" xfId="3352"/>
    <cellStyle name="Calculation 2 10 2 8 2 3" xfId="3353"/>
    <cellStyle name="Input 2 14 3 7 2 2" xfId="3354"/>
    <cellStyle name="Calculation 2 14 8 3" xfId="3355"/>
    <cellStyle name="Calculation 2 10 2 8 2 4" xfId="3356"/>
    <cellStyle name="Calculation 2 14 2 13 2" xfId="3357"/>
    <cellStyle name="Input 2 14 3 7 2 3" xfId="3358"/>
    <cellStyle name="Calculation 2 14 8 4" xfId="3359"/>
    <cellStyle name="Output 2 4 7 7" xfId="3360"/>
    <cellStyle name="Calculation 2 10 2 8 3 2" xfId="3361"/>
    <cellStyle name="Calculation 2 14 9 2" xfId="3362"/>
    <cellStyle name="Calculation 2 2 11 2 2" xfId="3363"/>
    <cellStyle name="Calculation 2 10 2 8 3 3" xfId="3364"/>
    <cellStyle name="Input 2 14 3 7 3 2" xfId="3365"/>
    <cellStyle name="Calculation 2 14 9 3" xfId="3366"/>
    <cellStyle name="Calculation 2 2 11 2 3" xfId="3367"/>
    <cellStyle name="Calculation 2 10 2 8 3 4" xfId="3368"/>
    <cellStyle name="Calculation 2 14 2 14 2" xfId="3369"/>
    <cellStyle name="Input 2 14 3 7 3 3" xfId="3370"/>
    <cellStyle name="Calculation 2 14 9 4" xfId="3371"/>
    <cellStyle name="Calculation 2 2 11 2 4" xfId="3372"/>
    <cellStyle name="Output 2 4 8 7" xfId="3373"/>
    <cellStyle name="Note 2 8 2 2 2" xfId="3374"/>
    <cellStyle name="Note 2 3 2 10" xfId="3375"/>
    <cellStyle name="Calculation 2 10 2 8 4 2" xfId="3376"/>
    <cellStyle name="Calculation 2 14 2 5 2 3" xfId="3377"/>
    <cellStyle name="Calculation 2 2 11 3 2" xfId="3378"/>
    <cellStyle name="Note 2 8 2 2 3" xfId="3379"/>
    <cellStyle name="Note 2 3 2 11" xfId="3380"/>
    <cellStyle name="Calculation 2 10 2 8 4 3" xfId="3381"/>
    <cellStyle name="Input 2 11 12 2 2" xfId="3382"/>
    <cellStyle name="Calculation 2 14 2 5 2 4" xfId="3383"/>
    <cellStyle name="Input 2 14 3 7 4 2" xfId="3384"/>
    <cellStyle name="Calculation 2 2 11 3 3" xfId="3385"/>
    <cellStyle name="Note 2 8 2 4" xfId="3386"/>
    <cellStyle name="Calculation 2 10 2 8 6" xfId="3387"/>
    <cellStyle name="Calculation 2 2 11 5" xfId="3388"/>
    <cellStyle name="Note 2 8 2 5" xfId="3389"/>
    <cellStyle name="Calculation 2 10 2 8 7" xfId="3390"/>
    <cellStyle name="Calculation 2 3 2 7 3 3" xfId="3391"/>
    <cellStyle name="Calculation 2 11 3 8 3 2" xfId="3392"/>
    <cellStyle name="Calculation 2 2 11 6" xfId="3393"/>
    <cellStyle name="Output 2 8 2 5 3 4" xfId="3394"/>
    <cellStyle name="Calculation 2 10 2 9" xfId="3395"/>
    <cellStyle name="Output 2 7 2 6 3" xfId="3396"/>
    <cellStyle name="Output 2 5 6 7" xfId="3397"/>
    <cellStyle name="Output 2 13 2 7 5" xfId="3398"/>
    <cellStyle name="Calculation 2 10 2 9 2 2" xfId="3399"/>
    <cellStyle name="Calculation 2 15 8 2" xfId="3400"/>
    <cellStyle name="Output 2 7 2 6 4" xfId="3401"/>
    <cellStyle name="Output 2 13 2 7 6" xfId="3402"/>
    <cellStyle name="Calculation 2 10 2 9 2 3" xfId="3403"/>
    <cellStyle name="Input 2 14 3 8 2 2" xfId="3404"/>
    <cellStyle name="Calculation 2 15 8 3" xfId="3405"/>
    <cellStyle name="Output 2 7 2 6 5" xfId="3406"/>
    <cellStyle name="Output 2 13 2 7 7" xfId="3407"/>
    <cellStyle name="Calculation 2 10 2 9 2 4" xfId="3408"/>
    <cellStyle name="Input 2 14 3 8 2 3" xfId="3409"/>
    <cellStyle name="Calculation 2 15 8 4" xfId="3410"/>
    <cellStyle name="Output 2 7 2 7 3" xfId="3411"/>
    <cellStyle name="Output 2 5 7 7" xfId="3412"/>
    <cellStyle name="Output 2 13 2 8 5" xfId="3413"/>
    <cellStyle name="Calculation 2 10 2 9 3 2" xfId="3414"/>
    <cellStyle name="Calculation 2 15 9 2" xfId="3415"/>
    <cellStyle name="Calculation 2 2 12 2 2" xfId="3416"/>
    <cellStyle name="Output 2 7 2 7 4" xfId="3417"/>
    <cellStyle name="Output 2 13 2 8 6" xfId="3418"/>
    <cellStyle name="Output 2 11 3 10 2" xfId="3419"/>
    <cellStyle name="Calculation 2 10 2 9 3 3" xfId="3420"/>
    <cellStyle name="Input 2 14 3 8 3 2" xfId="3421"/>
    <cellStyle name="Calculation 2 15 9 3" xfId="3422"/>
    <cellStyle name="Calculation 2 2 12 2 3" xfId="3423"/>
    <cellStyle name="Output 2 7 2 7 5" xfId="3424"/>
    <cellStyle name="Output 2 13 2 8 7" xfId="3425"/>
    <cellStyle name="Output 2 11 3 10 3" xfId="3426"/>
    <cellStyle name="Calculation 2 10 2 9 3 4" xfId="3427"/>
    <cellStyle name="Input 2 14 3 8 3 3" xfId="3428"/>
    <cellStyle name="Calculation 2 15 9 4" xfId="3429"/>
    <cellStyle name="Calculation 2 2 12 2 4" xfId="3430"/>
    <cellStyle name="Output 2 7 2 8 3" xfId="3431"/>
    <cellStyle name="Output 2 5 8 7" xfId="3432"/>
    <cellStyle name="Output 2 13 2 9 5" xfId="3433"/>
    <cellStyle name="Note 2 8 3 2 2" xfId="3434"/>
    <cellStyle name="Calculation 2 10 2 9 4 2" xfId="3435"/>
    <cellStyle name="Calculation 2 14 2 6 2 3" xfId="3436"/>
    <cellStyle name="Calculation 2 2 12 3 2" xfId="3437"/>
    <cellStyle name="Output 2 7 2 8 4" xfId="3438"/>
    <cellStyle name="Output 2 13 2 9 6" xfId="3439"/>
    <cellStyle name="Output 2 11 3 11 2" xfId="3440"/>
    <cellStyle name="Note 2 8 3 2 3" xfId="3441"/>
    <cellStyle name="Calculation 2 10 2 9 4 3" xfId="3442"/>
    <cellStyle name="Input 2 12 2 7 2" xfId="3443"/>
    <cellStyle name="Calculation 2 14 2 6 2 4" xfId="3444"/>
    <cellStyle name="Input 2 14 3 8 4 2" xfId="3445"/>
    <cellStyle name="Calculation 2 2 12 3 3" xfId="3446"/>
    <cellStyle name="Output 2 7 2 9 3" xfId="3447"/>
    <cellStyle name="Output 2 5 9 7" xfId="3448"/>
    <cellStyle name="Note 2 5 12" xfId="3449"/>
    <cellStyle name="Note 2 8 3 3 2" xfId="3450"/>
    <cellStyle name="Calculation 2 10 2 9 5 2" xfId="3451"/>
    <cellStyle name="Calculation 2 14 2 6 3 3" xfId="3452"/>
    <cellStyle name="Calculation 2 2 12 4 2" xfId="3453"/>
    <cellStyle name="Output 2 7 2 9 4" xfId="3454"/>
    <cellStyle name="Output 2 11 3 12 2" xfId="3455"/>
    <cellStyle name="Note 2 8 3 3 3" xfId="3456"/>
    <cellStyle name="Note 2 5 13" xfId="3457"/>
    <cellStyle name="Calculation 2 10 2 9 5 3" xfId="3458"/>
    <cellStyle name="Input 2 12 2 8 2" xfId="3459"/>
    <cellStyle name="Calculation 2 14 2 6 3 4" xfId="3460"/>
    <cellStyle name="Input 2 14 3 8 5 2" xfId="3461"/>
    <cellStyle name="Calculation 2 2 12 4 3" xfId="3462"/>
    <cellStyle name="Note 2 8 3 4" xfId="3463"/>
    <cellStyle name="Calculation 2 10 2 9 6" xfId="3464"/>
    <cellStyle name="Calculation 2 2 12 5" xfId="3465"/>
    <cellStyle name="Note 2 8 3 5" xfId="3466"/>
    <cellStyle name="Calculation 2 10 2 9 7" xfId="3467"/>
    <cellStyle name="Calculation 2 3 2 7 4 3" xfId="3468"/>
    <cellStyle name="Calculation 2 11 3 8 4 2" xfId="3469"/>
    <cellStyle name="Calculation 2 2 12 6" xfId="3470"/>
    <cellStyle name="Calculation 2 10 3 10" xfId="3471"/>
    <cellStyle name="Calculation 2 5 6 2 4" xfId="3472"/>
    <cellStyle name="Calculation 2 10 3 10 2 2" xfId="3473"/>
    <cellStyle name="Calculation 2 10 3 10 2 3" xfId="3474"/>
    <cellStyle name="Calculation 2 12 3 11 2" xfId="3475"/>
    <cellStyle name="Calculation 2 10 3 10 2 4" xfId="3476"/>
    <cellStyle name="Calculation 2 11 2 3 2 2" xfId="3477"/>
    <cellStyle name="Calculation 2 12 3 11 3" xfId="3478"/>
    <cellStyle name="Input 2 12 5 4 2" xfId="3479"/>
    <cellStyle name="Calculation 2 14 3 9 2" xfId="3480"/>
    <cellStyle name="Heading 3 2 3 2 2" xfId="3481"/>
    <cellStyle name="Calculation 2 5 5 2 4" xfId="3482"/>
    <cellStyle name="Calculation 2 10 3 10 3" xfId="3483"/>
    <cellStyle name="Calculation 2 5 6 3 4" xfId="3484"/>
    <cellStyle name="Calculation 2 10 3 10 3 2" xfId="3485"/>
    <cellStyle name="Calculation 2 10 3 10 3 3" xfId="3486"/>
    <cellStyle name="Calculation 2 12 3 12 2" xfId="3487"/>
    <cellStyle name="Calculation 2 10 3 10 3 4" xfId="3488"/>
    <cellStyle name="Calculation 2 11 2 3 3 2" xfId="3489"/>
    <cellStyle name="Calculation 2 12 3 12 3" xfId="3490"/>
    <cellStyle name="Calculation 2 10 3 10 4" xfId="3491"/>
    <cellStyle name="Calculation 2 10 3 10 4 2" xfId="3492"/>
    <cellStyle name="Calculation 2 10 3 10 4 3" xfId="3493"/>
    <cellStyle name="Calculation 2 12 3 13 2" xfId="3494"/>
    <cellStyle name="Calculation 2 10 3 10 5" xfId="3495"/>
    <cellStyle name="Calculation 2 11 2 2 2 2" xfId="3496"/>
    <cellStyle name="Input 2 12 4 4 2" xfId="3497"/>
    <cellStyle name="Calculation 2 14 2 9 2" xfId="3498"/>
    <cellStyle name="Note 2 13 3 2 4" xfId="3499"/>
    <cellStyle name="Calculation 2 10 3 10 5 2" xfId="3500"/>
    <cellStyle name="Calculation 2 14 2 9 2 2" xfId="3501"/>
    <cellStyle name="Note 2 13 3 2 5" xfId="3502"/>
    <cellStyle name="Calculation 2 10 3 10 5 3" xfId="3503"/>
    <cellStyle name="Calculation 2 12 3 14 2" xfId="3504"/>
    <cellStyle name="Calculation 2 14 2 9 2 3" xfId="3505"/>
    <cellStyle name="Calculation 2 10 3 10 6" xfId="3506"/>
    <cellStyle name="Calculation 2 11 2 2 2 3" xfId="3507"/>
    <cellStyle name="Input 2 12 4 4 3" xfId="3508"/>
    <cellStyle name="Calculation 2 14 2 9 3" xfId="3509"/>
    <cellStyle name="Calculation 2 10 3 10 7" xfId="3510"/>
    <cellStyle name="Calculation 2 11 2 2 2 4" xfId="3511"/>
    <cellStyle name="Output 2 10 7 4 2" xfId="3512"/>
    <cellStyle name="Calculation 2 14 2 9 4" xfId="3513"/>
    <cellStyle name="Calculation 2 9 12 4 2" xfId="3514"/>
    <cellStyle name="Calculation 2 10 3 11" xfId="3515"/>
    <cellStyle name="Calculation 2 5 5 3 3" xfId="3516"/>
    <cellStyle name="Calculation 2 10 3 11 2" xfId="3517"/>
    <cellStyle name="Calculation 2 5 5 3 4" xfId="3518"/>
    <cellStyle name="Calculation 2 10 3 11 3" xfId="3519"/>
    <cellStyle name="Calculation 2 10 3 11 4" xfId="3520"/>
    <cellStyle name="Calculation 2 9 12 4 3" xfId="3521"/>
    <cellStyle name="Calculation 2 10 3 12" xfId="3522"/>
    <cellStyle name="Calculation 2 5 5 4 3" xfId="3523"/>
    <cellStyle name="Calculation 2 10 3 12 2" xfId="3524"/>
    <cellStyle name="Calculation 2 10 3 12 3" xfId="3525"/>
    <cellStyle name="Calculation 2 10 3 12 4" xfId="3526"/>
    <cellStyle name="Calculation 2 10 3 13" xfId="3527"/>
    <cellStyle name="Note 2 13 2 2 3" xfId="3528"/>
    <cellStyle name="Calculation 2 5 5 5 3" xfId="3529"/>
    <cellStyle name="Calculation 2 10 3 13 2" xfId="3530"/>
    <cellStyle name="Note 2 13 2 2 4" xfId="3531"/>
    <cellStyle name="Calculation 2 10 3 13 3" xfId="3532"/>
    <cellStyle name="Calculation 2 14 2 8 2 2" xfId="3533"/>
    <cellStyle name="Calculation 2 10 3 14" xfId="3534"/>
    <cellStyle name="Note 2 13 2 3 3" xfId="3535"/>
    <cellStyle name="Calculation 2 9 2 13" xfId="3536"/>
    <cellStyle name="Calculation 2 10 3 14 2" xfId="3537"/>
    <cellStyle name="Note 2 13 2 3 4" xfId="3538"/>
    <cellStyle name="Calculation 2 9 2 14" xfId="3539"/>
    <cellStyle name="Calculation 2 10 3 14 3" xfId="3540"/>
    <cellStyle name="Calculation 2 14 2 8 3 2" xfId="3541"/>
    <cellStyle name="Normal 8 2" xfId="3542"/>
    <cellStyle name="Calculation 2 10 3 15" xfId="3543"/>
    <cellStyle name="Note 2 12 2 7 7" xfId="3544"/>
    <cellStyle name="Input 2 3 6 8" xfId="3545"/>
    <cellStyle name="Calculation 2 14 3 4 4 2" xfId="3546"/>
    <cellStyle name="Calculation 2 6 2 3 4 3" xfId="3547"/>
    <cellStyle name="Calculation 2 10 3 16" xfId="3548"/>
    <cellStyle name="Calculation 2 14 3 4 4 3" xfId="3549"/>
    <cellStyle name="Calculation 2 10 3 2 2 4" xfId="3550"/>
    <cellStyle name="Calculation 2 12 2 9 4 2" xfId="3551"/>
    <cellStyle name="Calculation 2 13 4 2 2" xfId="3552"/>
    <cellStyle name="Calculation 2 10 3 2 3" xfId="3553"/>
    <cellStyle name="Calculation 2 10 3 2 3 2" xfId="3554"/>
    <cellStyle name="Calculation 2 10 3 2 3 3" xfId="3555"/>
    <cellStyle name="Calculation 2 10 3 2 3 4" xfId="3556"/>
    <cellStyle name="Calculation 2 12 2 9 5 2" xfId="3557"/>
    <cellStyle name="Calculation 2 13 4 3 2" xfId="3558"/>
    <cellStyle name="Calculation 2 10 3 2 4" xfId="3559"/>
    <cellStyle name="Input 2 7 12 7" xfId="3560"/>
    <cellStyle name="Calculation 2 16 14 2" xfId="3561"/>
    <cellStyle name="Calculation 2 10 3 2 4 2" xfId="3562"/>
    <cellStyle name="Calculation 2 10 3 2 4 3" xfId="3563"/>
    <cellStyle name="Calculation 2 10 3 2 5" xfId="3564"/>
    <cellStyle name="Normal 2 3 3 9 2" xfId="3565"/>
    <cellStyle name="Calculation 2 16 14 3" xfId="3566"/>
    <cellStyle name="Calculation 2 10 3 2 6" xfId="3567"/>
    <cellStyle name="Input 2 12 2 6 3 2" xfId="3568"/>
    <cellStyle name="Calculation 2 10 3 2 7" xfId="3569"/>
    <cellStyle name="Calculation 2 15 9 4 2" xfId="3570"/>
    <cellStyle name="Calculation 2 10 3 3 2" xfId="3571"/>
    <cellStyle name="Calculation 2 10 3 3 2 4" xfId="3572"/>
    <cellStyle name="Calculation 2 13 5 2 2" xfId="3573"/>
    <cellStyle name="Calculation 2 10 3 3 3" xfId="3574"/>
    <cellStyle name="Calculation 2 2 2 2 3 3" xfId="3575"/>
    <cellStyle name="Calculation 2 10 3 3 3 2" xfId="3576"/>
    <cellStyle name="Calculation 2 2 2 2 3 4" xfId="3577"/>
    <cellStyle name="Calculation 2 10 3 3 3 3" xfId="3578"/>
    <cellStyle name="Calculation 2 10 3 3 3 4" xfId="3579"/>
    <cellStyle name="Calculation 2 13 5 3 2" xfId="3580"/>
    <cellStyle name="Calculation 2 10 3 3 4" xfId="3581"/>
    <cellStyle name="Note 2 7 2 10" xfId="3582"/>
    <cellStyle name="Calculation 2 10 3 3 4 2" xfId="3583"/>
    <cellStyle name="Calculation 2 2 2 2 4 3" xfId="3584"/>
    <cellStyle name="Note 2 7 2 11" xfId="3585"/>
    <cellStyle name="Calculation 2 10 3 3 4 3" xfId="3586"/>
    <cellStyle name="Calculation 2 10 3 3 5" xfId="3587"/>
    <cellStyle name="Calculation 2 10 3 3 6" xfId="3588"/>
    <cellStyle name="Input 2 12 2 6 4 2" xfId="3589"/>
    <cellStyle name="Calculation 2 10 3 3 7" xfId="3590"/>
    <cellStyle name="Calculation 2 15 9 5 2" xfId="3591"/>
    <cellStyle name="Calculation 2 10 3 4" xfId="3592"/>
    <cellStyle name="Calculation 2 10 3 4 2 4" xfId="3593"/>
    <cellStyle name="Calculation 2 12 2 10 2 2" xfId="3594"/>
    <cellStyle name="Calculation 2 13 6 2 2" xfId="3595"/>
    <cellStyle name="Input 2 3 2 2 4 2" xfId="3596"/>
    <cellStyle name="Calculation 2 22 6" xfId="3597"/>
    <cellStyle name="Calculation 2 17 6" xfId="3598"/>
    <cellStyle name="Calculation 2 10 3 4 3" xfId="3599"/>
    <cellStyle name="Calculation 2 2 2 3 3 3" xfId="3600"/>
    <cellStyle name="Calculation 2 10 3 4 3 2" xfId="3601"/>
    <cellStyle name="Calculation 2 23 4" xfId="3602"/>
    <cellStyle name="Calculation 2 18 4" xfId="3603"/>
    <cellStyle name="Calculation 2 2 2 3 3 4" xfId="3604"/>
    <cellStyle name="Calculation 2 10 3 4 3 3" xfId="3605"/>
    <cellStyle name="Calculation 2 23 5" xfId="3606"/>
    <cellStyle name="Calculation 2 18 5" xfId="3607"/>
    <cellStyle name="Calculation 2 10 3 4 3 4" xfId="3608"/>
    <cellStyle name="Calculation 2 12 2 10 3 2" xfId="3609"/>
    <cellStyle name="Calculation 2 12 3 10" xfId="3610"/>
    <cellStyle name="Calculation 2 13 6 3 2" xfId="3611"/>
    <cellStyle name="Input 2 3 2 2 5 2" xfId="3612"/>
    <cellStyle name="Calculation 2 23 6" xfId="3613"/>
    <cellStyle name="Calculation 2 18 6" xfId="3614"/>
    <cellStyle name="Calculation 2 10 3 4 4" xfId="3615"/>
    <cellStyle name="Calculation 2 2 2 3 4 3" xfId="3616"/>
    <cellStyle name="Calculation 2 10 3 4 4 2" xfId="3617"/>
    <cellStyle name="Calculation 2 24 4" xfId="3618"/>
    <cellStyle name="Calculation 2 19 4" xfId="3619"/>
    <cellStyle name="Calculation 2 10 3 4 4 3" xfId="3620"/>
    <cellStyle name="Calculation 2 24 5" xfId="3621"/>
    <cellStyle name="Calculation 2 19 5" xfId="3622"/>
    <cellStyle name="Calculation 2 10 3 4 5" xfId="3623"/>
    <cellStyle name="Calculation 2 10 3 4 6" xfId="3624"/>
    <cellStyle name="Input 2 12 2 6 5 2" xfId="3625"/>
    <cellStyle name="Calculation 2 10 3 4 7" xfId="3626"/>
    <cellStyle name="Calculation 2 10 3 5" xfId="3627"/>
    <cellStyle name="Note 2 11 2 2 2 4" xfId="3628"/>
    <cellStyle name="Calculation 2 10 3 5 2" xfId="3629"/>
    <cellStyle name="Calculation 2 2 2 4 2 4" xfId="3630"/>
    <cellStyle name="Calculation 2 10 3 5 2 3" xfId="3631"/>
    <cellStyle name="Calculation 2 10 3 5 2 4" xfId="3632"/>
    <cellStyle name="Calculation 2 13 7 2 2" xfId="3633"/>
    <cellStyle name="Calculation 2 10 3 5 3" xfId="3634"/>
    <cellStyle name="Calculation 2 2 2 4 3 3" xfId="3635"/>
    <cellStyle name="Calculation 2 10 3 5 3 2" xfId="3636"/>
    <cellStyle name="Calculation 2 2 2 4 3 4" xfId="3637"/>
    <cellStyle name="Calculation 2 10 3 5 3 3" xfId="3638"/>
    <cellStyle name="Calculation 2 10 3 5 3 4" xfId="3639"/>
    <cellStyle name="Calculation 2 13 7 3 2" xfId="3640"/>
    <cellStyle name="Note 2 8 11 2 2" xfId="3641"/>
    <cellStyle name="Calculation 2 10 3 5 4" xfId="3642"/>
    <cellStyle name="Output 2 3 16 2 2" xfId="3643"/>
    <cellStyle name="Calculation 2 10 3 5 4 3" xfId="3644"/>
    <cellStyle name="Calculation 2 14 3 2 2 4" xfId="3645"/>
    <cellStyle name="Note 2 8 11 2 3" xfId="3646"/>
    <cellStyle name="Calculation 2 10 3 5 5" xfId="3647"/>
    <cellStyle name="Note 2 8 11 2 4" xfId="3648"/>
    <cellStyle name="Calculation 2 10 3 5 6" xfId="3649"/>
    <cellStyle name="Calculation 2 10 3 5 7" xfId="3650"/>
    <cellStyle name="Calculation 2 10 3 6" xfId="3651"/>
    <cellStyle name="Note 2 11 2 2 3 4" xfId="3652"/>
    <cellStyle name="Calculation 2 10 3 6 2" xfId="3653"/>
    <cellStyle name="Calculation 2 2 2 5 2 3" xfId="3654"/>
    <cellStyle name="Calculation 2 10 3 6 2 2" xfId="3655"/>
    <cellStyle name="Calculation 2 2 2 5 2 4" xfId="3656"/>
    <cellStyle name="Calculation 2 10 3 6 2 3" xfId="3657"/>
    <cellStyle name="Calculation 2 10 3 6 2 4" xfId="3658"/>
    <cellStyle name="Note 2 2 2 2 12" xfId="3659"/>
    <cellStyle name="Calculation 2 13 8 2 2" xfId="3660"/>
    <cellStyle name="Calculation 2 10 3 6 3" xfId="3661"/>
    <cellStyle name="Calculation 2 2 2 5 3 3" xfId="3662"/>
    <cellStyle name="Calculation 2 10 3 6 3 2" xfId="3663"/>
    <cellStyle name="Calculation 2 2 2 5 3 4" xfId="3664"/>
    <cellStyle name="Calculation 2 10 3 6 3 3" xfId="3665"/>
    <cellStyle name="Calculation 2 10 3 6 3 4" xfId="3666"/>
    <cellStyle name="Calculation 2 13 8 3 2" xfId="3667"/>
    <cellStyle name="Calculation 2 15 10 2" xfId="3668"/>
    <cellStyle name="Note 2 8 11 3 2" xfId="3669"/>
    <cellStyle name="Calculation 2 10 3 6 4" xfId="3670"/>
    <cellStyle name="Total 2 11 3 10 2 3" xfId="3671"/>
    <cellStyle name="Calculation 2 2 2 5 4 3" xfId="3672"/>
    <cellStyle name="Calculation 2 10 3 6 4 2" xfId="3673"/>
    <cellStyle name="Input 2 2 4 9" xfId="3674"/>
    <cellStyle name="Calculation 2 14 3 3 2 3" xfId="3675"/>
    <cellStyle name="Calculation 2 6 2 2 2 4" xfId="3676"/>
    <cellStyle name="Total 2 11 3 10 2 4" xfId="3677"/>
    <cellStyle name="Calculation 2 10 3 6 4 3" xfId="3678"/>
    <cellStyle name="Calculation 2 14 3 3 2 4" xfId="3679"/>
    <cellStyle name="Note 2 8 11 3 3" xfId="3680"/>
    <cellStyle name="Calculation 2 10 3 6 5" xfId="3681"/>
    <cellStyle name="Total 2 11 3 10 3 3" xfId="3682"/>
    <cellStyle name="Calculation 2 2 2 5 5 3" xfId="3683"/>
    <cellStyle name="Calculation 2 10 3 6 5 2" xfId="3684"/>
    <cellStyle name="Calculation 2 6 2 2 3 4" xfId="3685"/>
    <cellStyle name="Calculation 2 14 3 3 3 3" xfId="3686"/>
    <cellStyle name="Note 2 8 11 3 4" xfId="3687"/>
    <cellStyle name="Calculation 2 10 3 6 6" xfId="3688"/>
    <cellStyle name="Calculation 2 10 3 6 7" xfId="3689"/>
    <cellStyle name="Output 2 8 2 5 4 2" xfId="3690"/>
    <cellStyle name="Calculation 2 10 3 7" xfId="3691"/>
    <cellStyle name="Calculation 2 10 3 7 2" xfId="3692"/>
    <cellStyle name="Input 2 6 3 10 3 2" xfId="3693"/>
    <cellStyle name="Calculation 2 10 3 7 2 3" xfId="3694"/>
    <cellStyle name="Calculation 2 2 2 6 2 4" xfId="3695"/>
    <cellStyle name="Input 2 6 3 10 3 3" xfId="3696"/>
    <cellStyle name="Calculation 2 10 3 7 2 4" xfId="3697"/>
    <cellStyle name="Calculation 2 13 9 2 2" xfId="3698"/>
    <cellStyle name="Calculation 2 10 3 7 3" xfId="3699"/>
    <cellStyle name="Total 2 11 2 2 2 3" xfId="3700"/>
    <cellStyle name="Calculation 2 2 2 6 3 3" xfId="3701"/>
    <cellStyle name="Calculation 2 10 3 7 3 2" xfId="3702"/>
    <cellStyle name="Total 2 11 2 2 2 4" xfId="3703"/>
    <cellStyle name="Input 2 6 3 10 4 2" xfId="3704"/>
    <cellStyle name="Calculation 2 10 3 7 3 3" xfId="3705"/>
    <cellStyle name="Calculation 2 2 2 6 3 4" xfId="3706"/>
    <cellStyle name="Input 2 6 3 10 4 3" xfId="3707"/>
    <cellStyle name="Calculation 2 10 3 7 3 4" xfId="3708"/>
    <cellStyle name="Calculation 2 13 9 3 2" xfId="3709"/>
    <cellStyle name="Output 2 6 10 2" xfId="3710"/>
    <cellStyle name="Note 2 8 11 4 2" xfId="3711"/>
    <cellStyle name="Calculation 2 10 3 7 4" xfId="3712"/>
    <cellStyle name="Total 2 11 2 2 3 3" xfId="3713"/>
    <cellStyle name="Output 2 6 10 2 2" xfId="3714"/>
    <cellStyle name="Calculation 2 2 2 6 4 3" xfId="3715"/>
    <cellStyle name="Calculation 2 10 3 7 4 2" xfId="3716"/>
    <cellStyle name="Calculation 2 6 2 3 2 4" xfId="3717"/>
    <cellStyle name="Calculation 2 14 3 4 2 3" xfId="3718"/>
    <cellStyle name="Total 2 11 2 2 3 4" xfId="3719"/>
    <cellStyle name="Output 2 6 10 2 3" xfId="3720"/>
    <cellStyle name="Input 2 6 3 10 5 2" xfId="3721"/>
    <cellStyle name="Calculation 2 10 3 7 4 3" xfId="3722"/>
    <cellStyle name="Calculation 2 14 3 4 2 4" xfId="3723"/>
    <cellStyle name="Output 2 6 10 3" xfId="3724"/>
    <cellStyle name="Note 2 8 11 4 3" xfId="3725"/>
    <cellStyle name="Calculation 2 10 3 7 5" xfId="3726"/>
    <cellStyle name="Total 2 11 2 2 4 3" xfId="3727"/>
    <cellStyle name="Output 2 6 10 3 2" xfId="3728"/>
    <cellStyle name="Calculation 2 2 2 6 5 3" xfId="3729"/>
    <cellStyle name="Calculation 2 10 3 7 5 2" xfId="3730"/>
    <cellStyle name="Calculation 2 6 2 3 3 4" xfId="3731"/>
    <cellStyle name="Calculation 2 14 3 4 3 3" xfId="3732"/>
    <cellStyle name="Output 2 6 10 3 3" xfId="3733"/>
    <cellStyle name="Calculation 2 10 3 7 5 3" xfId="3734"/>
    <cellStyle name="Calculation 2 14 3 4 3 4" xfId="3735"/>
    <cellStyle name="Output 2 6 10 4" xfId="3736"/>
    <cellStyle name="Calculation 2 10 3 7 6" xfId="3737"/>
    <cellStyle name="Output 2 6 10 5" xfId="3738"/>
    <cellStyle name="Calculation 2 10 3 7 7" xfId="3739"/>
    <cellStyle name="Calculation 2 3 2 8 2 3" xfId="3740"/>
    <cellStyle name="Calculation 2 11 3 9 2 2" xfId="3741"/>
    <cellStyle name="Output 2 8 2 5 4 3" xfId="3742"/>
    <cellStyle name="Calculation 2 10 3 8" xfId="3743"/>
    <cellStyle name="Output 2 7 3 10 5" xfId="3744"/>
    <cellStyle name="Calculation 2 10 3 8 2" xfId="3745"/>
    <cellStyle name="Input 2 9 6 3 3" xfId="3746"/>
    <cellStyle name="Calculation 2 13 2 3 2 3" xfId="3747"/>
    <cellStyle name="Output 2 7 3 10 5 2" xfId="3748"/>
    <cellStyle name="Calculation 2 10 3 8 2 2" xfId="3749"/>
    <cellStyle name="Calculation 2 2 2 7 2 3" xfId="3750"/>
    <cellStyle name="Output 2 7 3 10 5 3" xfId="3751"/>
    <cellStyle name="Calculation 2 10 3 8 2 3" xfId="3752"/>
    <cellStyle name="Calculation 2 2 2 7 2 4" xfId="3753"/>
    <cellStyle name="Calculation 2 10 3 8 2 4" xfId="3754"/>
    <cellStyle name="Output 2 7 3 10 6" xfId="3755"/>
    <cellStyle name="Calculation 2 10 3 8 3" xfId="3756"/>
    <cellStyle name="Input 2 9 6 3 4" xfId="3757"/>
    <cellStyle name="Calculation 2 13 2 3 2 4" xfId="3758"/>
    <cellStyle name="Total 2 11 2 3 2 3" xfId="3759"/>
    <cellStyle name="Output 2 4 16" xfId="3760"/>
    <cellStyle name="Calculation 2 2 2 7 3 3" xfId="3761"/>
    <cellStyle name="Calculation 2 10 3 8 3 2" xfId="3762"/>
    <cellStyle name="Total 2 11 2 3 2 4" xfId="3763"/>
    <cellStyle name="Output 2 4 17" xfId="3764"/>
    <cellStyle name="Calculation 2 2 2 7 3 4" xfId="3765"/>
    <cellStyle name="Calculation 2 10 3 8 3 3" xfId="3766"/>
    <cellStyle name="Output 2 4 18" xfId="3767"/>
    <cellStyle name="Calculation 2 10 3 8 3 4" xfId="3768"/>
    <cellStyle name="Output 2 7 3 10 7" xfId="3769"/>
    <cellStyle name="Calculation 2 10 3 8 4" xfId="3770"/>
    <cellStyle name="Output 2 6 11 2" xfId="3771"/>
    <cellStyle name="Note 2 9 2 2" xfId="3772"/>
    <cellStyle name="Note 2 8 11 5 2" xfId="3773"/>
    <cellStyle name="Total 2 11 2 3 3 3" xfId="3774"/>
    <cellStyle name="Output 2 6 11 2 2" xfId="3775"/>
    <cellStyle name="Note 2 9 2 2 2" xfId="3776"/>
    <cellStyle name="Note 2 8 2 10" xfId="3777"/>
    <cellStyle name="Calculation 2 10 3 8 4 2" xfId="3778"/>
    <cellStyle name="Calculation 2 2 2 7 4 3" xfId="3779"/>
    <cellStyle name="Note 2 12 14 3" xfId="3780"/>
    <cellStyle name="Calculation 2 6 2 4 2 4" xfId="3781"/>
    <cellStyle name="Calculation 2 14 3 5 2 3" xfId="3782"/>
    <cellStyle name="Total 2 11 2 3 3 4" xfId="3783"/>
    <cellStyle name="Output 2 6 11 2 3" xfId="3784"/>
    <cellStyle name="Note 2 9 2 2 3" xfId="3785"/>
    <cellStyle name="Note 2 8 2 11" xfId="3786"/>
    <cellStyle name="Calculation 2 10 3 8 4 3" xfId="3787"/>
    <cellStyle name="Note 2 12 14 4" xfId="3788"/>
    <cellStyle name="Calculation 2 14 3 5 2 4" xfId="3789"/>
    <cellStyle name="Output 2 6 11 3" xfId="3790"/>
    <cellStyle name="Note 2 9 2 3" xfId="3791"/>
    <cellStyle name="Note 2 8 11 5 3" xfId="3792"/>
    <cellStyle name="Calculation 2 10 3 8 5" xfId="3793"/>
    <cellStyle name="Total 2 11 2 3 4 3" xfId="3794"/>
    <cellStyle name="Output 2 6 11 3 2" xfId="3795"/>
    <cellStyle name="Note 2 9 2 3 2" xfId="3796"/>
    <cellStyle name="Calculation 2 2 2 7 5 3" xfId="3797"/>
    <cellStyle name="Calculation 2 10 3 8 5 2" xfId="3798"/>
    <cellStyle name="Note 2 12 15 3" xfId="3799"/>
    <cellStyle name="Calculation 2 6 2 4 3 4" xfId="3800"/>
    <cellStyle name="Calculation 2 14 3 5 3 3" xfId="3801"/>
    <cellStyle name="Output 2 6 11 4" xfId="3802"/>
    <cellStyle name="Note 2 9 2 4" xfId="3803"/>
    <cellStyle name="Calculation 2 10 3 8 6" xfId="3804"/>
    <cellStyle name="Output 2 6 11 5" xfId="3805"/>
    <cellStyle name="Note 2 9 2 5" xfId="3806"/>
    <cellStyle name="Calculation 2 10 3 8 7" xfId="3807"/>
    <cellStyle name="Calculation 2 3 2 8 3 3" xfId="3808"/>
    <cellStyle name="Calculation 2 11 3 9 3 2" xfId="3809"/>
    <cellStyle name="Input 2 2 11 2 2" xfId="3810"/>
    <cellStyle name="Calculation 2 10 3 9" xfId="3811"/>
    <cellStyle name="Output 2 8 2 6 3" xfId="3812"/>
    <cellStyle name="Output 2 14 2 7 5" xfId="3813"/>
    <cellStyle name="Calculation 2 2 2 8 2 3" xfId="3814"/>
    <cellStyle name="Calculation 2 10 3 9 2 2" xfId="3815"/>
    <cellStyle name="Output 2 8 2 6 4" xfId="3816"/>
    <cellStyle name="Output 2 14 2 7 6" xfId="3817"/>
    <cellStyle name="Calculation 2 2 2 8 2 4" xfId="3818"/>
    <cellStyle name="Calculation 2 10 3 9 2 3" xfId="3819"/>
    <cellStyle name="Output 2 8 2 6 5" xfId="3820"/>
    <cellStyle name="Output 2 14 2 7 7" xfId="3821"/>
    <cellStyle name="Calculation 2 10 3 9 2 4" xfId="3822"/>
    <cellStyle name="Calculation 2 10 3 9 3" xfId="3823"/>
    <cellStyle name="Calculation 2 13 2 3 3 4" xfId="3824"/>
    <cellStyle name="Total 2 11 2 4 2 3" xfId="3825"/>
    <cellStyle name="Output 2 9 16" xfId="3826"/>
    <cellStyle name="Output 2 8 2 7 3" xfId="3827"/>
    <cellStyle name="Output 2 14 2 8 5" xfId="3828"/>
    <cellStyle name="Input 2 10 4" xfId="3829"/>
    <cellStyle name="Calculation 2 2 2 8 3 3" xfId="3830"/>
    <cellStyle name="Calculation 2 10 3 9 3 2" xfId="3831"/>
    <cellStyle name="Total 2 11 2 4 2 4" xfId="3832"/>
    <cellStyle name="Output 2 9 17" xfId="3833"/>
    <cellStyle name="Output 2 8 2 7 4" xfId="3834"/>
    <cellStyle name="Output 2 14 2 8 6" xfId="3835"/>
    <cellStyle name="Input 2 10 5" xfId="3836"/>
    <cellStyle name="Calculation 2 2 2 8 3 4" xfId="3837"/>
    <cellStyle name="Calculation 2 10 3 9 3 3" xfId="3838"/>
    <cellStyle name="Output 2 9 18" xfId="3839"/>
    <cellStyle name="Output 2 8 2 7 5" xfId="3840"/>
    <cellStyle name="Output 2 14 2 8 7" xfId="3841"/>
    <cellStyle name="Input 2 10 6" xfId="3842"/>
    <cellStyle name="Calculation 2 10 3 9 3 4" xfId="3843"/>
    <cellStyle name="Input 2 13 2 6 3" xfId="3844"/>
    <cellStyle name="Calculation 2 13 3 10" xfId="3845"/>
    <cellStyle name="Output 2 6 12 2" xfId="3846"/>
    <cellStyle name="Note 2 9 3 2" xfId="3847"/>
    <cellStyle name="Calculation 2 10 3 9 4" xfId="3848"/>
    <cellStyle name="Total 2 11 2 4 3 3" xfId="3849"/>
    <cellStyle name="Output 2 8 2 8 3" xfId="3850"/>
    <cellStyle name="Output 2 6 12 2 2" xfId="3851"/>
    <cellStyle name="Note 2 9 3 2 2" xfId="3852"/>
    <cellStyle name="Output 2 14 2 9 5" xfId="3853"/>
    <cellStyle name="Input 2 11 4" xfId="3854"/>
    <cellStyle name="Calculation 2 2 2 8 4 3" xfId="3855"/>
    <cellStyle name="Calculation 2 10 3 9 4 2" xfId="3856"/>
    <cellStyle name="Calculation 2 6 2 5 2 4" xfId="3857"/>
    <cellStyle name="Calculation 2 14 3 6 2 3" xfId="3858"/>
    <cellStyle name="Total 2 11 2 4 3 4" xfId="3859"/>
    <cellStyle name="Output 2 8 2 8 4" xfId="3860"/>
    <cellStyle name="Output 2 6 12 2 3" xfId="3861"/>
    <cellStyle name="Note 2 9 3 2 3" xfId="3862"/>
    <cellStyle name="Output 2 14 2 9 6" xfId="3863"/>
    <cellStyle name="Input 2 11 5" xfId="3864"/>
    <cellStyle name="Calculation 2 10 3 9 4 3" xfId="3865"/>
    <cellStyle name="Input 2 13 2 7 2" xfId="3866"/>
    <cellStyle name="Calculation 2 14 3 6 2 4" xfId="3867"/>
    <cellStyle name="Output 2 6 12 3" xfId="3868"/>
    <cellStyle name="Note 2 9 3 3" xfId="3869"/>
    <cellStyle name="Calculation 2 10 3 9 5" xfId="3870"/>
    <cellStyle name="Total 2 11 2 4 4 3" xfId="3871"/>
    <cellStyle name="Output 2 8 2 9 3" xfId="3872"/>
    <cellStyle name="Note 2 2 2 4 2 2 2 3" xfId="3873"/>
    <cellStyle name="Output 2 6 12 3 2" xfId="3874"/>
    <cellStyle name="Note 2 9 3 3 2" xfId="3875"/>
    <cellStyle name="Input 2 12 4" xfId="3876"/>
    <cellStyle name="Calculation 2 2 2 8 5 3" xfId="3877"/>
    <cellStyle name="Calculation 2 10 3 9 5 2" xfId="3878"/>
    <cellStyle name="Input 2 4 3 13" xfId="3879"/>
    <cellStyle name="Calculation 2 6 2 5 3 4" xfId="3880"/>
    <cellStyle name="Calculation 2 14 3 6 3 3" xfId="3881"/>
    <cellStyle name="Output 2 8 2 9 4" xfId="3882"/>
    <cellStyle name="Output 2 6 12 3 3" xfId="3883"/>
    <cellStyle name="Note 2 9 3 3 3" xfId="3884"/>
    <cellStyle name="Input 2 12 5" xfId="3885"/>
    <cellStyle name="Calculation 2 10 3 9 5 3" xfId="3886"/>
    <cellStyle name="Input 2 4 3 14" xfId="3887"/>
    <cellStyle name="Input 2 13 2 8 2" xfId="3888"/>
    <cellStyle name="Calculation 2 14 3 6 3 4" xfId="3889"/>
    <cellStyle name="Output 2 6 12 4" xfId="3890"/>
    <cellStyle name="Note 2 9 3 4" xfId="3891"/>
    <cellStyle name="Calculation 2 10 3 9 6" xfId="3892"/>
    <cellStyle name="Calculation 2 10 4 2 4" xfId="3893"/>
    <cellStyle name="Calculation 2 10 4 3 3" xfId="3894"/>
    <cellStyle name="Calculation 2 10 4 4 2" xfId="3895"/>
    <cellStyle name="Calculation 2 10 4 4 3" xfId="3896"/>
    <cellStyle name="Note 2 11 2 3 2 4" xfId="3897"/>
    <cellStyle name="Calculation 2 10 4 5 2" xfId="3898"/>
    <cellStyle name="Calculation 2 10 4 5 3" xfId="3899"/>
    <cellStyle name="Note 2 16 5 2 3" xfId="3900"/>
    <cellStyle name="Calculation 2 8 8 5 3" xfId="3901"/>
    <cellStyle name="Calculation 2 10 5 2" xfId="3902"/>
    <cellStyle name="Calculation 2 10 5 2 2" xfId="3903"/>
    <cellStyle name="Calculation 2 10 5 2 3" xfId="3904"/>
    <cellStyle name="Calculation 2 10 5 2 4" xfId="3905"/>
    <cellStyle name="Note 2 16 5 2 4" xfId="3906"/>
    <cellStyle name="Calculation 2 10 5 3" xfId="3907"/>
    <cellStyle name="Calculation 2 10 5 3 3" xfId="3908"/>
    <cellStyle name="Calculation 2 10 5 3 4" xfId="3909"/>
    <cellStyle name="Calculation 2 10 5 4" xfId="3910"/>
    <cellStyle name="Output 2 2 4 4 2" xfId="3911"/>
    <cellStyle name="Calculation 2 2 2 10 3 2" xfId="3912"/>
    <cellStyle name="Calculation 2 10 5 4 2" xfId="3913"/>
    <cellStyle name="Calculation 2 10 5 4 3" xfId="3914"/>
    <cellStyle name="Calculation 2 10 5 5" xfId="3915"/>
    <cellStyle name="Output 2 2 4 4 3" xfId="3916"/>
    <cellStyle name="Calculation 2 2 2 10 3 3" xfId="3917"/>
    <cellStyle name="Calculation 2 10 5 7" xfId="3918"/>
    <cellStyle name="Calculation 2 10 6 2 4" xfId="3919"/>
    <cellStyle name="Calculation 2 10 6 3 2" xfId="3920"/>
    <cellStyle name="Calculation 2 10 6 3 3" xfId="3921"/>
    <cellStyle name="Calculation 2 10 6 3 4" xfId="3922"/>
    <cellStyle name="Calculation 2 10 6 4" xfId="3923"/>
    <cellStyle name="Output 2 2 4 5 2" xfId="3924"/>
    <cellStyle name="Calculation 2 2 2 10 4 2" xfId="3925"/>
    <cellStyle name="Calculation 2 10 6 4 2" xfId="3926"/>
    <cellStyle name="Calculation 2 10 6 4 3" xfId="3927"/>
    <cellStyle name="Calculation 2 10 6 5" xfId="3928"/>
    <cellStyle name="Output 2 2 4 5 3" xfId="3929"/>
    <cellStyle name="Calculation 2 2 2 10 4 3" xfId="3930"/>
    <cellStyle name="Note 2 11 2 5 2 4" xfId="3931"/>
    <cellStyle name="Calculation 2 10 6 5 2" xfId="3932"/>
    <cellStyle name="Calculation 2 10 6 5 3" xfId="3933"/>
    <cellStyle name="Calculation 2 10 6 6" xfId="3934"/>
    <cellStyle name="Calculation 2 10 6 7" xfId="3935"/>
    <cellStyle name="Note 2 6 2 2 5" xfId="3936"/>
    <cellStyle name="Note 2 16 5 4 3" xfId="3937"/>
    <cellStyle name="Calculation 2 10 7 2" xfId="3938"/>
    <cellStyle name="Note 2 6 2 2 5 2" xfId="3939"/>
    <cellStyle name="Calculation 2 10 7 2 2" xfId="3940"/>
    <cellStyle name="Note 2 6 2 2 5 3" xfId="3941"/>
    <cellStyle name="Calculation 2 10 7 2 3" xfId="3942"/>
    <cellStyle name="Calculation 2 10 7 2 4" xfId="3943"/>
    <cellStyle name="Note 2 6 2 2 6" xfId="3944"/>
    <cellStyle name="Calculation 2 10 7 3" xfId="3945"/>
    <cellStyle name="Calculation 2 10 7 3 3" xfId="3946"/>
    <cellStyle name="Calculation 2 10 7 3 4" xfId="3947"/>
    <cellStyle name="Note 2 6 2 2 7" xfId="3948"/>
    <cellStyle name="Calculation 2 10 7 4" xfId="3949"/>
    <cellStyle name="Output 2 2 4 6 2" xfId="3950"/>
    <cellStyle name="Calculation 2 2 2 10 5 2" xfId="3951"/>
    <cellStyle name="Calculation 2 10 7 4 2" xfId="3952"/>
    <cellStyle name="Calculation 2 10 7 4 3" xfId="3953"/>
    <cellStyle name="Calculation 2 10 7 5" xfId="3954"/>
    <cellStyle name="Calculation 2 2 2 10 5 3" xfId="3955"/>
    <cellStyle name="Calculation 2 10 7 6" xfId="3956"/>
    <cellStyle name="Calculation 2 10 7 7" xfId="3957"/>
    <cellStyle name="Note 2 6 2 3 5 2" xfId="3958"/>
    <cellStyle name="Total 2 2 3 12 4" xfId="3959"/>
    <cellStyle name="Calculation 2 10 8 2 2" xfId="3960"/>
    <cellStyle name="Note 2 6 2 3 5 3" xfId="3961"/>
    <cellStyle name="Calculation 2 10 8 2 3" xfId="3962"/>
    <cellStyle name="Calculation 2 10 8 2 4" xfId="3963"/>
    <cellStyle name="Calculation 2 10 8 3 2" xfId="3964"/>
    <cellStyle name="Calculation 2 10 8 3 3" xfId="3965"/>
    <cellStyle name="Calculation 2 10 8 3 4" xfId="3966"/>
    <cellStyle name="Grey 2 3" xfId="3967"/>
    <cellStyle name="Calculation 2 10 8 4 2" xfId="3968"/>
    <cellStyle name="Calculation 2 10 8 4 3" xfId="3969"/>
    <cellStyle name="Note 2 14 3 3 2 2" xfId="3970"/>
    <cellStyle name="Input 2 14 3 3 2 4" xfId="3971"/>
    <cellStyle name="Calculation 2 10 8 5" xfId="3972"/>
    <cellStyle name="Calculation 2 12 6 2 3" xfId="3973"/>
    <cellStyle name="Note 2 14 3 3 2 3" xfId="3974"/>
    <cellStyle name="Calculation 2 10 8 6" xfId="3975"/>
    <cellStyle name="Calculation 2 12 6 2 4" xfId="3976"/>
    <cellStyle name="Note 2 14 3 3 2 4" xfId="3977"/>
    <cellStyle name="Calculation 2 10 8 7" xfId="3978"/>
    <cellStyle name="Calculation 2 10 9 3 2" xfId="3979"/>
    <cellStyle name="Calculation 2 10 9 3 3" xfId="3980"/>
    <cellStyle name="Calculation 2 10 9 3 4" xfId="3981"/>
    <cellStyle name="Note 2 10 2 15" xfId="3982"/>
    <cellStyle name="Calculation 2 10 9 4 2" xfId="3983"/>
    <cellStyle name="Note 2 10 2 16" xfId="3984"/>
    <cellStyle name="Calculation 2 10 9 4 3" xfId="3985"/>
    <cellStyle name="Note 2 14 3 3 3 2" xfId="3986"/>
    <cellStyle name="Input 2 14 3 3 3 4" xfId="3987"/>
    <cellStyle name="Calculation 2 10 9 5" xfId="3988"/>
    <cellStyle name="Calculation 2 12 6 3 3" xfId="3989"/>
    <cellStyle name="Note 2 11 2 8 2 4" xfId="3990"/>
    <cellStyle name="Calculation 2 6 12" xfId="3991"/>
    <cellStyle name="Calculation 2 10 9 5 2" xfId="3992"/>
    <cellStyle name="Note 2 14 3 3 3 3" xfId="3993"/>
    <cellStyle name="Calculation 2 10 9 6" xfId="3994"/>
    <cellStyle name="Calculation 2 12 6 3 4" xfId="3995"/>
    <cellStyle name="Note 2 14 3 3 3 4" xfId="3996"/>
    <cellStyle name="Calculation 2 10 9 7" xfId="3997"/>
    <cellStyle name="Calculation 2 4 2 6 2 3" xfId="3998"/>
    <cellStyle name="Calculation 2 12 3 7 2 2" xfId="3999"/>
    <cellStyle name="Total 2 10 3 6 2 2" xfId="4000"/>
    <cellStyle name="Calculation 2 4 13 3" xfId="4001"/>
    <cellStyle name="Calculation 2 11 10" xfId="4002"/>
    <cellStyle name="Calculation 2 11 10 2" xfId="4003"/>
    <cellStyle name="Calculation 2 11 2 2 4 3" xfId="4004"/>
    <cellStyle name="Input 2 12 11 2 3" xfId="4005"/>
    <cellStyle name="Calculation 2 11 10 2 2" xfId="4006"/>
    <cellStyle name="Input 2 5 2 2 3 2" xfId="4007"/>
    <cellStyle name="Calculation 2 12 3 2 7" xfId="4008"/>
    <cellStyle name="Input 2 12 11 2 4" xfId="4009"/>
    <cellStyle name="Calculation 2 11 10 2 3" xfId="4010"/>
    <cellStyle name="Calculation 2 11 10 2 4" xfId="4011"/>
    <cellStyle name="Normal 2 2 3 5 2" xfId="4012"/>
    <cellStyle name="Calculation 2 11 10 3" xfId="4013"/>
    <cellStyle name="Normal 2 2 3 5 2 2" xfId="4014"/>
    <cellStyle name="Input 2 12 11 3 3" xfId="4015"/>
    <cellStyle name="Calculation 2 11 10 3 2" xfId="4016"/>
    <cellStyle name="Input 2 5 2 2 4 2" xfId="4017"/>
    <cellStyle name="Calculation 2 12 3 3 7" xfId="4018"/>
    <cellStyle name="Calculation 2 12 3 4 2 4" xfId="4019"/>
    <cellStyle name="Input 2 12 11 3 4" xfId="4020"/>
    <cellStyle name="Calculation 2 11 10 3 3" xfId="4021"/>
    <cellStyle name="Calculation 2 11 10 3 4" xfId="4022"/>
    <cellStyle name="Normal 2 2 3 5 3" xfId="4023"/>
    <cellStyle name="Calculation 2 11 10 4" xfId="4024"/>
    <cellStyle name="Output 2 11 10" xfId="4025"/>
    <cellStyle name="Input 2 12 11 4 3" xfId="4026"/>
    <cellStyle name="Calculation 2 11 10 4 2" xfId="4027"/>
    <cellStyle name="Normal 30 2 2 2" xfId="4028"/>
    <cellStyle name="Calculation 2 12 3 4 3 4" xfId="4029"/>
    <cellStyle name="Input 2 5 2 2 5 2" xfId="4030"/>
    <cellStyle name="Calculation 2 12 3 4 7" xfId="4031"/>
    <cellStyle name="Output 2 11 11" xfId="4032"/>
    <cellStyle name="Calculation 2 11 10 4 3" xfId="4033"/>
    <cellStyle name="Calculation 2 11 10 5" xfId="4034"/>
    <cellStyle name="Input 2 12 11 5 3" xfId="4035"/>
    <cellStyle name="Calculation 2 11 10 5 2" xfId="4036"/>
    <cellStyle name="Calculation 2 12 3 5 7" xfId="4037"/>
    <cellStyle name="Calculation 2 11 10 5 3" xfId="4038"/>
    <cellStyle name="Calculation 2 11 10 6" xfId="4039"/>
    <cellStyle name="Calculation 2 5 2 4 3 3" xfId="4040"/>
    <cellStyle name="Calculation 2 13 3 5 3 2" xfId="4041"/>
    <cellStyle name="Calculation 2 14 12 3 2" xfId="4042"/>
    <cellStyle name="Calculation 2 11 10 7" xfId="4043"/>
    <cellStyle name="Calculation 2 5 2 4 3 4" xfId="4044"/>
    <cellStyle name="Calculation 2 13 3 5 3 3" xfId="4045"/>
    <cellStyle name="Calculation 2 14 12 3 3" xfId="4046"/>
    <cellStyle name="Calculation 2 11 11 2" xfId="4047"/>
    <cellStyle name="Calculation 2 11 2 2 5 3" xfId="4048"/>
    <cellStyle name="Calculation 2 11 11 2 2" xfId="4049"/>
    <cellStyle name="Input 2 12 12 2 3" xfId="4050"/>
    <cellStyle name="Calculation 2 11 11 2 3" xfId="4051"/>
    <cellStyle name="Input 2 12 12 2 4" xfId="4052"/>
    <cellStyle name="Calculation 2 13 10 3 2" xfId="4053"/>
    <cellStyle name="Input 2 14 11 3 3" xfId="4054"/>
    <cellStyle name="Input 2 5 2 3 3 4" xfId="4055"/>
    <cellStyle name="Input 2 5 6 4 2" xfId="4056"/>
    <cellStyle name="Calculation 2 11 11 2 4" xfId="4057"/>
    <cellStyle name="Calculation 2 11 11 3" xfId="4058"/>
    <cellStyle name="Normal 2 2 3 6 2" xfId="4059"/>
    <cellStyle name="Calculation 2 12 3 5 2 4" xfId="4060"/>
    <cellStyle name="Calculation 2 5 10 5 2" xfId="4061"/>
    <cellStyle name="Calculation 2 11 11 3 2" xfId="4062"/>
    <cellStyle name="Input 2 12 12 3 3" xfId="4063"/>
    <cellStyle name="Normal 2 2 3 6 2 2" xfId="4064"/>
    <cellStyle name="Calculation 2 11 11 3 3" xfId="4065"/>
    <cellStyle name="Input 2 12 12 3 4" xfId="4066"/>
    <cellStyle name="Calculation 2 11 11 4" xfId="4067"/>
    <cellStyle name="Normal 2 2 3 6 3" xfId="4068"/>
    <cellStyle name="Calculation 2 12 3 5 3 4" xfId="4069"/>
    <cellStyle name="Calculation 2 11 11 4 2" xfId="4070"/>
    <cellStyle name="Input 2 12 12 4 3" xfId="4071"/>
    <cellStyle name="Output 2 16 10" xfId="4072"/>
    <cellStyle name="Calculation 2 11 11 4 3" xfId="4073"/>
    <cellStyle name="Output 2 16 11" xfId="4074"/>
    <cellStyle name="Calculation 2 11 11 5" xfId="4075"/>
    <cellStyle name="Calculation 2 14 12 4 2" xfId="4076"/>
    <cellStyle name="Calculation 2 13 3 5 4 2" xfId="4077"/>
    <cellStyle name="Calculation 2 5 10 8" xfId="4078"/>
    <cellStyle name="Calculation 2 5 2 4 4 3" xfId="4079"/>
    <cellStyle name="Calculation 2 11 11 6" xfId="4080"/>
    <cellStyle name="Calculation 2 14 12 4 3" xfId="4081"/>
    <cellStyle name="Calculation 2 13 3 5 4 3" xfId="4082"/>
    <cellStyle name="Calculation 2 11 11 7" xfId="4083"/>
    <cellStyle name="Calculation 2 11 12 2" xfId="4084"/>
    <cellStyle name="Calculation 2 2 3 6 2 2" xfId="4085"/>
    <cellStyle name="Input 2 2 10 7" xfId="4086"/>
    <cellStyle name="Calculation 2 11 12 2 2" xfId="4087"/>
    <cellStyle name="Input 2 3 10 4" xfId="4088"/>
    <cellStyle name="Calculation 2 11 12 2 3" xfId="4089"/>
    <cellStyle name="Input 2 3 10 5" xfId="4090"/>
    <cellStyle name="Calculation 2 13 11 3 2" xfId="4091"/>
    <cellStyle name="Input 2 14 12 3 3" xfId="4092"/>
    <cellStyle name="Input 2 5 2 4 3 4" xfId="4093"/>
    <cellStyle name="Input 2 5 7 4 2" xfId="4094"/>
    <cellStyle name="Calculation 2 11 12 2 4" xfId="4095"/>
    <cellStyle name="Calculation 2 7 10 5 2" xfId="4096"/>
    <cellStyle name="Input 2 3 10 6" xfId="4097"/>
    <cellStyle name="Calculation 2 11 12 3" xfId="4098"/>
    <cellStyle name="Calculation 2 2 3 6 2 3" xfId="4099"/>
    <cellStyle name="Input 2 2 10 8" xfId="4100"/>
    <cellStyle name="Normal 2 2 3 7 2" xfId="4101"/>
    <cellStyle name="Calculation 2 12 3 6 2 4" xfId="4102"/>
    <cellStyle name="Calculation 2 5 11 5 2" xfId="4103"/>
    <cellStyle name="Calculation 2 11 12 3 2" xfId="4104"/>
    <cellStyle name="Input 2 3 11 4" xfId="4105"/>
    <cellStyle name="Normal 2 2 3 7 2 2" xfId="4106"/>
    <cellStyle name="Calculation 2 11 12 3 3" xfId="4107"/>
    <cellStyle name="Input 2 3 11 5" xfId="4108"/>
    <cellStyle name="Calculation 2 13 11 4 2" xfId="4109"/>
    <cellStyle name="Input 2 14 12 4 3" xfId="4110"/>
    <cellStyle name="Input 2 5 7 5 2" xfId="4111"/>
    <cellStyle name="Calculation 2 11 12 3 4" xfId="4112"/>
    <cellStyle name="Input 2 3 11 6" xfId="4113"/>
    <cellStyle name="Calculation 2 11 12 4" xfId="4114"/>
    <cellStyle name="Calculation 2 2 3 6 2 4" xfId="4115"/>
    <cellStyle name="Normal 2 2 3 7 3" xfId="4116"/>
    <cellStyle name="Calculation 2 12 3 6 3 4" xfId="4117"/>
    <cellStyle name="Calculation 2 11 12 4 2" xfId="4118"/>
    <cellStyle name="Calculation 5" xfId="4119"/>
    <cellStyle name="Input 2 3 12 4" xfId="4120"/>
    <cellStyle name="Calculation 2 11 12 4 3" xfId="4121"/>
    <cellStyle name="Calculation 6" xfId="4122"/>
    <cellStyle name="Input 2 3 12 5" xfId="4123"/>
    <cellStyle name="Calculation 2 14 9 2 2" xfId="4124"/>
    <cellStyle name="Calculation 2 11 12 5" xfId="4125"/>
    <cellStyle name="Calculation 2 11 12 5 3" xfId="4126"/>
    <cellStyle name="Input 2 3 13 5" xfId="4127"/>
    <cellStyle name="Input 2 5 2 10 4" xfId="4128"/>
    <cellStyle name="Calculation 2 14 9 2 3" xfId="4129"/>
    <cellStyle name="Calculation 2 14 12 5 2" xfId="4130"/>
    <cellStyle name="Calculation 2 13 3 5 5 2" xfId="4131"/>
    <cellStyle name="Calculation 2 5 2 4 5 3" xfId="4132"/>
    <cellStyle name="Calculation 2 5 11 8" xfId="4133"/>
    <cellStyle name="Input 2 8 2 10 3" xfId="4134"/>
    <cellStyle name="Calculation 2 11 12 6" xfId="4135"/>
    <cellStyle name="Calculation 2 14 9 2 4" xfId="4136"/>
    <cellStyle name="Calculation 2 14 12 5 3" xfId="4137"/>
    <cellStyle name="Calculation 2 13 3 5 5 3" xfId="4138"/>
    <cellStyle name="Input 2 8 2 10 4" xfId="4139"/>
    <cellStyle name="Calculation 2 11 12 7" xfId="4140"/>
    <cellStyle name="Calculation 2 11 13 2" xfId="4141"/>
    <cellStyle name="Calculation 2 2 3 6 3 2" xfId="4142"/>
    <cellStyle name="Input 2 2 11 7" xfId="4143"/>
    <cellStyle name="Total 2 11 3 2 2 2" xfId="4144"/>
    <cellStyle name="Calculation 2 11 13 3" xfId="4145"/>
    <cellStyle name="Calculation 2 2 3 6 3 3" xfId="4146"/>
    <cellStyle name="Input 2 2 11 8" xfId="4147"/>
    <cellStyle name="Normal 2 2 3 8 2" xfId="4148"/>
    <cellStyle name="Total 2 11 3 2 2 3" xfId="4149"/>
    <cellStyle name="Calculation 2 11 13 4" xfId="4150"/>
    <cellStyle name="Calculation 2 2 3 6 3 4" xfId="4151"/>
    <cellStyle name="Normal 2 2 3 8 3" xfId="4152"/>
    <cellStyle name="Total 2 11 3 2 2 4" xfId="4153"/>
    <cellStyle name="Calculation 2 19 2 3" xfId="4154"/>
    <cellStyle name="Calculation 2 24 2 3" xfId="4155"/>
    <cellStyle name="Input 2 6 3 6 3 4" xfId="4156"/>
    <cellStyle name="Note 2 3 2 8 5 2" xfId="4157"/>
    <cellStyle name="Calculation 2 14 4 4 2" xfId="4158"/>
    <cellStyle name="Calculation 2 11 14" xfId="4159"/>
    <cellStyle name="Calculation 2 2 3 6 4" xfId="4160"/>
    <cellStyle name="Calculation 2 6 2 10 4 2" xfId="4161"/>
    <cellStyle name="Output 2 11 11 3 2" xfId="4162"/>
    <cellStyle name="Total 2 11 3 2 3" xfId="4163"/>
    <cellStyle name="Calculation 2 11 14 2" xfId="4164"/>
    <cellStyle name="Calculation 2 2 3 6 4 2" xfId="4165"/>
    <cellStyle name="Input 2 2 12 7" xfId="4166"/>
    <cellStyle name="Total 2 11 3 2 3 2" xfId="4167"/>
    <cellStyle name="Calculation 2 19 2 4" xfId="4168"/>
    <cellStyle name="Calculation 2 24 2 4" xfId="4169"/>
    <cellStyle name="Note 2 3 2 8 5 3" xfId="4170"/>
    <cellStyle name="Calculation 2 14 4 4 3" xfId="4171"/>
    <cellStyle name="Calculation 2 11 20" xfId="4172"/>
    <cellStyle name="Calculation 2 11 15" xfId="4173"/>
    <cellStyle name="Calculation 2 2 3 6 5" xfId="4174"/>
    <cellStyle name="Calculation 2 6 2 10 4 3" xfId="4175"/>
    <cellStyle name="Output 2 11 11 3 3" xfId="4176"/>
    <cellStyle name="Total 2 11 3 2 4" xfId="4177"/>
    <cellStyle name="Calculation 2 11 15 2" xfId="4178"/>
    <cellStyle name="Calculation 2 2 3 6 5 2" xfId="4179"/>
    <cellStyle name="Total 2 11 3 2 4 2" xfId="4180"/>
    <cellStyle name="Calculation 2 11 15 3" xfId="4181"/>
    <cellStyle name="Calculation 2 2 3 6 5 3" xfId="4182"/>
    <cellStyle name="Total 2 11 3 2 4 3" xfId="4183"/>
    <cellStyle name="Calculation 2 11 16" xfId="4184"/>
    <cellStyle name="Calculation 2 2 3 6 6" xfId="4185"/>
    <cellStyle name="Output 2 11 11 3 4" xfId="4186"/>
    <cellStyle name="Total 2 11 3 2 5" xfId="4187"/>
    <cellStyle name="Calculation 2 11 16 2" xfId="4188"/>
    <cellStyle name="Calculation 2 2 3 6 6 2" xfId="4189"/>
    <cellStyle name="Output 2 2 3 2 2 4" xfId="4190"/>
    <cellStyle name="Total 2 11 3 2 5 2" xfId="4191"/>
    <cellStyle name="Calculation 2 11 16 3" xfId="4192"/>
    <cellStyle name="Total 2 11 3 2 5 3" xfId="4193"/>
    <cellStyle name="Calculation 2 11 17" xfId="4194"/>
    <cellStyle name="Calculation 2 2 3 6 7" xfId="4195"/>
    <cellStyle name="Total 2 11 3 2 6" xfId="4196"/>
    <cellStyle name="Calculation 2 11 2 8" xfId="4197"/>
    <cellStyle name="Output 2 14 2 7 5 3" xfId="4198"/>
    <cellStyle name="Output 2 8 2 6 3 3" xfId="4199"/>
    <cellStyle name="Calculation 2 11 17 2" xfId="4200"/>
    <cellStyle name="Heading 3 2 8" xfId="4201"/>
    <cellStyle name="Output 2 2 3 2 3 4" xfId="4202"/>
    <cellStyle name="Calculation 2 11 2" xfId="4203"/>
    <cellStyle name="Input 2 7 3 10 4" xfId="4204"/>
    <cellStyle name="Calculation 2 11 2 10" xfId="4205"/>
    <cellStyle name="Note 2 10 2 5 3 3" xfId="4206"/>
    <cellStyle name="Calculation 2 11 2 10 2" xfId="4207"/>
    <cellStyle name="Calculation 2 11 2 8 2 3" xfId="4208"/>
    <cellStyle name="Calculation 2 11 2 10 2 2" xfId="4209"/>
    <cellStyle name="Input 2 4 10 4 3" xfId="4210"/>
    <cellStyle name="Calculation 2 11 2 8 2 4" xfId="4211"/>
    <cellStyle name="Calculation 2 11 2 10 2 3" xfId="4212"/>
    <cellStyle name="Calculation 2 9 10 2 2" xfId="4213"/>
    <cellStyle name="Calculation 2 9 10 2 3" xfId="4214"/>
    <cellStyle name="Calculation 2 11 2 10 2 4" xfId="4215"/>
    <cellStyle name="Note 2 14 2 12 2" xfId="4216"/>
    <cellStyle name="Calculation 2 11 2 10 3" xfId="4217"/>
    <cellStyle name="Input 2 12 2 9 3 2" xfId="4218"/>
    <cellStyle name="Calculation 2 11 2 8 3 3" xfId="4219"/>
    <cellStyle name="Calculation 2 11 2 10 3 2" xfId="4220"/>
    <cellStyle name="Input 2 4 10 5 3" xfId="4221"/>
    <cellStyle name="Calculation 2 11 2 8 3 4" xfId="4222"/>
    <cellStyle name="Calculation 2 11 2 10 3 3" xfId="4223"/>
    <cellStyle name="Calculation 2 9 10 3 2" xfId="4224"/>
    <cellStyle name="Calculation 2 9 10 3 3" xfId="4225"/>
    <cellStyle name="Calculation 2 11 2 10 3 4" xfId="4226"/>
    <cellStyle name="Note 2 14 2 13 2" xfId="4227"/>
    <cellStyle name="Calculation 2 11 2 10 4" xfId="4228"/>
    <cellStyle name="Input 2 12 2 9 3 3" xfId="4229"/>
    <cellStyle name="Calculation 2 11 2 8 4 3" xfId="4230"/>
    <cellStyle name="Calculation 2 11 2 10 4 2" xfId="4231"/>
    <cellStyle name="Input 2 5 8 2 3" xfId="4232"/>
    <cellStyle name="Calculation 2 11 2 10 4 3" xfId="4233"/>
    <cellStyle name="Calculation 2 9 10 4 2" xfId="4234"/>
    <cellStyle name="Input 2 5 8 2 4" xfId="4235"/>
    <cellStyle name="Calculation 2 11 2 10 5" xfId="4236"/>
    <cellStyle name="Input 2 12 2 9 3 4" xfId="4237"/>
    <cellStyle name="Input 2 3 8 4 2" xfId="4238"/>
    <cellStyle name="Note 2 12 2 9 3 2" xfId="4239"/>
    <cellStyle name="Calculation 2 13 12 2 3" xfId="4240"/>
    <cellStyle name="Calculation 2 11 2 10 5 2" xfId="4241"/>
    <cellStyle name="Input 2 5 8 3 3" xfId="4242"/>
    <cellStyle name="Calculation 2 11 2 8 5 3" xfId="4243"/>
    <cellStyle name="Calculation 2 13 12 2 4" xfId="4244"/>
    <cellStyle name="Calculation 2 11 2 10 5 3" xfId="4245"/>
    <cellStyle name="Calculation 2 3 3 3 2 2" xfId="4246"/>
    <cellStyle name="Calculation 2 9 10 5 2" xfId="4247"/>
    <cellStyle name="Input 2 5 8 3 4" xfId="4248"/>
    <cellStyle name="Calculation 2 11 2 10 6" xfId="4249"/>
    <cellStyle name="Input 2 3 8 4 3" xfId="4250"/>
    <cellStyle name="Note 2 12 2 9 3 3" xfId="4251"/>
    <cellStyle name="Calculation 2 11 2 11" xfId="4252"/>
    <cellStyle name="Note 2 10 2 5 3 4" xfId="4253"/>
    <cellStyle name="Calculation 2 11 2 11 2" xfId="4254"/>
    <cellStyle name="Calculation 2 11 2 11 3" xfId="4255"/>
    <cellStyle name="Input 2 12 2 9 4 2" xfId="4256"/>
    <cellStyle name="Calculation 2 11 2 11 4" xfId="4257"/>
    <cellStyle name="Input 2 12 2 9 4 3" xfId="4258"/>
    <cellStyle name="Calculation 2 11 2 12" xfId="4259"/>
    <cellStyle name="Calculation 2 11 2 12 2" xfId="4260"/>
    <cellStyle name="Calculation 2 11 2 12 3" xfId="4261"/>
    <cellStyle name="Input 2 12 2 9 5 2" xfId="4262"/>
    <cellStyle name="Calculation 2 11 2 12 4" xfId="4263"/>
    <cellStyle name="Input 2 12 2 9 5 3" xfId="4264"/>
    <cellStyle name="Calculation 2 12 2 2 3" xfId="4265"/>
    <cellStyle name="Calculation 2 11 2 13 2" xfId="4266"/>
    <cellStyle name="Calculation 2 12 2 2 4" xfId="4267"/>
    <cellStyle name="Calculation 2 11 2 13 3" xfId="4268"/>
    <cellStyle name="Calculation 2 11 2 14" xfId="4269"/>
    <cellStyle name="Calculation 2 12 2 3 3" xfId="4270"/>
    <cellStyle name="Calculation 2 11 2 14 2" xfId="4271"/>
    <cellStyle name="Calculation 2 11 2 15" xfId="4272"/>
    <cellStyle name="Calculation 2 11 2 16" xfId="4273"/>
    <cellStyle name="Calculation 2 11 2 2" xfId="4274"/>
    <cellStyle name="Calculation 2 7 2 6 3 4" xfId="4275"/>
    <cellStyle name="Input 2 7 3 10 4 2" xfId="4276"/>
    <cellStyle name="Calculation 2 8 9 2 3" xfId="4277"/>
    <cellStyle name="Note 2 10 8 6" xfId="4278"/>
    <cellStyle name="Output 2 5 2 3 6" xfId="4279"/>
    <cellStyle name="Calculation 2 14 3 10 4 3" xfId="4280"/>
    <cellStyle name="Calculation 2 14 2 9" xfId="4281"/>
    <cellStyle name="Input 2 12 4 4" xfId="4282"/>
    <cellStyle name="Note 2 9 3 3 2 4" xfId="4283"/>
    <cellStyle name="Output 2 8 2 9 3 4" xfId="4284"/>
    <cellStyle name="Calculation 2 11 2 2 2" xfId="4285"/>
    <cellStyle name="Calculation 2 11 2 2 3" xfId="4286"/>
    <cellStyle name="Calculation 2 11 2 2 3 2" xfId="4287"/>
    <cellStyle name="Calculation 2 11 2 2 3 3" xfId="4288"/>
    <cellStyle name="Calculation 2 11 2 2 3 4" xfId="4289"/>
    <cellStyle name="Calculation 2 11 2 2 4" xfId="4290"/>
    <cellStyle name="Calculation 2 11 2 2 4 2" xfId="4291"/>
    <cellStyle name="Calculation 2 11 2 2 5" xfId="4292"/>
    <cellStyle name="Calculation 2 14 2 8 2 4" xfId="4293"/>
    <cellStyle name="Input 2 5 2 3 2" xfId="4294"/>
    <cellStyle name="Calculation 2 11 2 2 5 2" xfId="4295"/>
    <cellStyle name="Calculation 2 11 2 2 6" xfId="4296"/>
    <cellStyle name="Calculation 2 16 8 4 2" xfId="4297"/>
    <cellStyle name="Calculation 2 11 2 2 7" xfId="4298"/>
    <cellStyle name="Input 2 12 3 5 3 2" xfId="4299"/>
    <cellStyle name="Heading 3 2 3 2 3" xfId="4300"/>
    <cellStyle name="Calculation 2 14 3 9 3" xfId="4301"/>
    <cellStyle name="Input 2 12 5 4 3" xfId="4302"/>
    <cellStyle name="Calculation 2 12 3 11 4" xfId="4303"/>
    <cellStyle name="Calculation 2 11 2 3 2 3" xfId="4304"/>
    <cellStyle name="Calculation 2 14 3 9 4" xfId="4305"/>
    <cellStyle name="Output 2 10 8 4 2" xfId="4306"/>
    <cellStyle name="Calculation 2 11 2 3 2 4" xfId="4307"/>
    <cellStyle name="Calculation 2 11 2 3 3" xfId="4308"/>
    <cellStyle name="Calculation 2 12 3 12 4" xfId="4309"/>
    <cellStyle name="Calculation 2 11 2 3 3 3" xfId="4310"/>
    <cellStyle name="Calculation 2 11 2 3 3 4" xfId="4311"/>
    <cellStyle name="Calculation 2 11 2 3 4" xfId="4312"/>
    <cellStyle name="Calculation 2 12 3 13 3" xfId="4313"/>
    <cellStyle name="Calculation 2 11 2 3 4 2" xfId="4314"/>
    <cellStyle name="Calculation 2 11 2 3 4 3" xfId="4315"/>
    <cellStyle name="Calculation 2 12 2 3 2 2" xfId="4316"/>
    <cellStyle name="Calculation 2 11 2 3 5" xfId="4317"/>
    <cellStyle name="Calculation 2 14 2 9 2 4" xfId="4318"/>
    <cellStyle name="Input 2 5 3 3 2" xfId="4319"/>
    <cellStyle name="Note 2 12 3 10 2 2" xfId="4320"/>
    <cellStyle name="Calculation 2 12 3 14 3" xfId="4321"/>
    <cellStyle name="Calculation 2 11 2 3 5 2" xfId="4322"/>
    <cellStyle name="Calculation 2 12 2 3 2 3" xfId="4323"/>
    <cellStyle name="Calculation 2 11 2 3 6" xfId="4324"/>
    <cellStyle name="Calculation 2 16 8 5 2" xfId="4325"/>
    <cellStyle name="Calculation 2 12 2 3 2 4" xfId="4326"/>
    <cellStyle name="Calculation 2 11 2 3 7" xfId="4327"/>
    <cellStyle name="Input 2 12 3 5 4 2" xfId="4328"/>
    <cellStyle name="Calculation 2 11 2 4" xfId="4329"/>
    <cellStyle name="Note 2 7 3 10 4 2" xfId="4330"/>
    <cellStyle name="Calculation 2 11 2 4 2" xfId="4331"/>
    <cellStyle name="Calculation 2 12 14" xfId="4332"/>
    <cellStyle name="Total 2 11 3 7 3" xfId="4333"/>
    <cellStyle name="Calculation 2 11 2 4 2 2" xfId="4334"/>
    <cellStyle name="Calculation 2 12 20" xfId="4335"/>
    <cellStyle name="Calculation 2 12 15" xfId="4336"/>
    <cellStyle name="Calculation 2 14 3 12 2" xfId="4337"/>
    <cellStyle name="Total 2 11 3 7 4" xfId="4338"/>
    <cellStyle name="Calculation 2 11 2 4 2 3" xfId="4339"/>
    <cellStyle name="Normal 32" xfId="4340"/>
    <cellStyle name="Calculation 2 12 16" xfId="4341"/>
    <cellStyle name="Calculation 2 14 3 12 3" xfId="4342"/>
    <cellStyle name="Total 2 11 3 7 5" xfId="4343"/>
    <cellStyle name="Calculation 2 11 2 4 2 4" xfId="4344"/>
    <cellStyle name="Calculation 2 11 2 4 3" xfId="4345"/>
    <cellStyle name="Total 2 11 3 8 5" xfId="4346"/>
    <cellStyle name="Calculation 2 14 3 13 3" xfId="4347"/>
    <cellStyle name="Calculation 2 11 2 4 3 4" xfId="4348"/>
    <cellStyle name="Calculation 2 11 2 4 4" xfId="4349"/>
    <cellStyle name="Calculation 2 11 2 4 4 2" xfId="4350"/>
    <cellStyle name="Total 2 11 3 9 4" xfId="4351"/>
    <cellStyle name="Calculation 2 14 3 14 2" xfId="4352"/>
    <cellStyle name="Calculation 2 11 2 4 4 3" xfId="4353"/>
    <cellStyle name="Calculation 2 12 2 3 3 2" xfId="4354"/>
    <cellStyle name="Calculation 2 11 2 4 5" xfId="4355"/>
    <cellStyle name="Calculation 2 11 2 4 5 2" xfId="4356"/>
    <cellStyle name="Calculation 2 11 2 4 5 3" xfId="4357"/>
    <cellStyle name="Calculation 2 12 2 3 3 3" xfId="4358"/>
    <cellStyle name="Calculation 2 11 2 4 6" xfId="4359"/>
    <cellStyle name="Calculation 2 12 2 3 3 4" xfId="4360"/>
    <cellStyle name="Calculation 2 11 2 4 7" xfId="4361"/>
    <cellStyle name="Input 2 12 3 5 5 2" xfId="4362"/>
    <cellStyle name="Calculation 2 11 2 5" xfId="4363"/>
    <cellStyle name="Note 2 7 3 10 4 3" xfId="4364"/>
    <cellStyle name="Calculation 2 14 2 10 7" xfId="4365"/>
    <cellStyle name="Calculation 2 11 2 5 2" xfId="4366"/>
    <cellStyle name="Calculation 2 13 2 10 7" xfId="4367"/>
    <cellStyle name="Calculation 2 11 2 5 2 3" xfId="4368"/>
    <cellStyle name="Calculation 2 11 2 5 2 4" xfId="4369"/>
    <cellStyle name="Calculation 2 11 2 5 3 2" xfId="4370"/>
    <cellStyle name="Calculation 2 11 2 5 3 3" xfId="4371"/>
    <cellStyle name="Calculation 2 11 2 5 3 4" xfId="4372"/>
    <cellStyle name="Calculation 2 11 2 5 4 3" xfId="4373"/>
    <cellStyle name="Calculation 2 11 2 5 5 2" xfId="4374"/>
    <cellStyle name="Calculation 2 12 2 3 4 3" xfId="4375"/>
    <cellStyle name="Calculation 2 11 2 5 6" xfId="4376"/>
    <cellStyle name="Calculation 2 11 2 6" xfId="4377"/>
    <cellStyle name="Calculation 2 11 2 6 2" xfId="4378"/>
    <cellStyle name="Calculation 2 11 2 6 2 2" xfId="4379"/>
    <cellStyle name="Calculation 2 11 2 6 2 3" xfId="4380"/>
    <cellStyle name="Calculation 2 11 2 6 2 4" xfId="4381"/>
    <cellStyle name="Calculation 2 11 2 6 3" xfId="4382"/>
    <cellStyle name="Calculation 2 11 2 6 3 2" xfId="4383"/>
    <cellStyle name="Calculation 2 11 2 6 3 3" xfId="4384"/>
    <cellStyle name="Calculation 2 11 2 6 3 4" xfId="4385"/>
    <cellStyle name="Calculation 2 11 2 6 4" xfId="4386"/>
    <cellStyle name="Calculation 2 11 2 6 4 2" xfId="4387"/>
    <cellStyle name="Calculation 2 11 2 6 4 3" xfId="4388"/>
    <cellStyle name="Calculation 2 13 10 2" xfId="4389"/>
    <cellStyle name="Input 2 12 8 7" xfId="4390"/>
    <cellStyle name="Input 2 5 6 3" xfId="4391"/>
    <cellStyle name="Note 2 12 3 13 2" xfId="4392"/>
    <cellStyle name="Calculation 2 12 2 3 5 2" xfId="4393"/>
    <cellStyle name="Calculation 2 11 2 6 5" xfId="4394"/>
    <cellStyle name="Calculation 2 13 10 2 2" xfId="4395"/>
    <cellStyle name="Input 2 14 11 2 3" xfId="4396"/>
    <cellStyle name="Input 2 5 2 3 2 4" xfId="4397"/>
    <cellStyle name="Input 2 5 6 3 2" xfId="4398"/>
    <cellStyle name="Calculation 2 11 2 6 5 2" xfId="4399"/>
    <cellStyle name="Output 2 7 3 10" xfId="4400"/>
    <cellStyle name="Calculation 2 13 10 2 3" xfId="4401"/>
    <cellStyle name="Input 2 14 11 2 4" xfId="4402"/>
    <cellStyle name="Input 2 5 6 3 3" xfId="4403"/>
    <cellStyle name="Calculation 2 11 2 6 5 3" xfId="4404"/>
    <cellStyle name="Output 2 7 3 11" xfId="4405"/>
    <cellStyle name="Calculation 2 13 10 3" xfId="4406"/>
    <cellStyle name="Input 2 5 6 4" xfId="4407"/>
    <cellStyle name="Note 2 12 3 13 3" xfId="4408"/>
    <cellStyle name="Calculation 2 12 2 3 5 3" xfId="4409"/>
    <cellStyle name="Calculation 2 11 2 6 6" xfId="4410"/>
    <cellStyle name="Calculation 2 11 2 7" xfId="4411"/>
    <cellStyle name="Output 2 14 2 7 5 2" xfId="4412"/>
    <cellStyle name="Output 2 8 2 6 3 2" xfId="4413"/>
    <cellStyle name="Calculation 2 11 2 7 2" xfId="4414"/>
    <cellStyle name="Calculation 2 11 2 7 2 2" xfId="4415"/>
    <cellStyle name="Calculation 2 11 2 7 2 3" xfId="4416"/>
    <cellStyle name="Calculation 2 11 2 7 2 4" xfId="4417"/>
    <cellStyle name="Calculation 2 11 2 7 3" xfId="4418"/>
    <cellStyle name="Calculation 2 11 2 7 3 2" xfId="4419"/>
    <cellStyle name="Calculation 2 11 2 7 3 3" xfId="4420"/>
    <cellStyle name="Calculation 2 11 2 7 3 4" xfId="4421"/>
    <cellStyle name="Calculation 2 11 2 7 4" xfId="4422"/>
    <cellStyle name="Calculation 2 11 2 7 4 2" xfId="4423"/>
    <cellStyle name="Calculation 2 13 11 2" xfId="4424"/>
    <cellStyle name="Input 2 12 9 7" xfId="4425"/>
    <cellStyle name="Input 2 5 7 3" xfId="4426"/>
    <cellStyle name="Note 2 12 3 14 2" xfId="4427"/>
    <cellStyle name="Calculation 2 11 2 7 5" xfId="4428"/>
    <cellStyle name="Calculation 2 13 11 2 2" xfId="4429"/>
    <cellStyle name="Input 2 14 12 2 3" xfId="4430"/>
    <cellStyle name="Input 2 5 2 4 2 4" xfId="4431"/>
    <cellStyle name="Input 2 5 7 3 2" xfId="4432"/>
    <cellStyle name="Output 2 2 2 14 3" xfId="4433"/>
    <cellStyle name="Calculation 2 11 2 7 5 2" xfId="4434"/>
    <cellStyle name="Calculation 2 13 11 2 3" xfId="4435"/>
    <cellStyle name="Input 2 14 12 2 4" xfId="4436"/>
    <cellStyle name="Input 2 5 7 3 3" xfId="4437"/>
    <cellStyle name="Calculation 2 12 11 2" xfId="4438"/>
    <cellStyle name="Note 2 12 2 14 2" xfId="4439"/>
    <cellStyle name="Note 2 7 18" xfId="4440"/>
    <cellStyle name="Calculation 2 7 10 4 3" xfId="4441"/>
    <cellStyle name="Output 2 9 5 5 2" xfId="4442"/>
    <cellStyle name="Calculation 2 11 2 7 5 3" xfId="4443"/>
    <cellStyle name="Calculation 2 13 11 3" xfId="4444"/>
    <cellStyle name="Input 2 5 7 4" xfId="4445"/>
    <cellStyle name="Note 2 12 3 14 3" xfId="4446"/>
    <cellStyle name="Calculation 2 11 2 7 6" xfId="4447"/>
    <cellStyle name="Calculation 2 13 11 4" xfId="4448"/>
    <cellStyle name="Input 2 5 7 5" xfId="4449"/>
    <cellStyle name="Output 2 12 2 2 3 2" xfId="4450"/>
    <cellStyle name="Calculation 2 11 2 7 7" xfId="4451"/>
    <cellStyle name="Calculation 2 11 2 8 2 2" xfId="4452"/>
    <cellStyle name="Calculation 2 13 3 2 2 4" xfId="4453"/>
    <cellStyle name="Input 2 4 10 5" xfId="4454"/>
    <cellStyle name="Calculation 2 11 2 8 3" xfId="4455"/>
    <cellStyle name="Calculation 2 11 2 8 3 2" xfId="4456"/>
    <cellStyle name="Calculation 2 11 2 8 4" xfId="4457"/>
    <cellStyle name="Calculation 2 11 2 8 4 2" xfId="4458"/>
    <cellStyle name="Calculation 2 13 12 2" xfId="4459"/>
    <cellStyle name="Input 2 4 10 7" xfId="4460"/>
    <cellStyle name="Input 2 5 8 3" xfId="4461"/>
    <cellStyle name="Calculation 2 11 2 8 5" xfId="4462"/>
    <cellStyle name="Calculation 2 13 12 2 2" xfId="4463"/>
    <cellStyle name="Input 2 5 2 5 2 4" xfId="4464"/>
    <cellStyle name="Input 2 5 8 3 2" xfId="4465"/>
    <cellStyle name="Calculation 2 11 2 8 5 2" xfId="4466"/>
    <cellStyle name="Calculation 2 13 12 3" xfId="4467"/>
    <cellStyle name="Input 2 4 10 8" xfId="4468"/>
    <cellStyle name="Input 2 5 8 4" xfId="4469"/>
    <cellStyle name="Calculation 2 11 2 8 6" xfId="4470"/>
    <cellStyle name="Calculation 2 13 12 4" xfId="4471"/>
    <cellStyle name="Input 2 5 8 5" xfId="4472"/>
    <cellStyle name="Output 2 12 2 2 4 2" xfId="4473"/>
    <cellStyle name="Calculation 2 11 2 8 7" xfId="4474"/>
    <cellStyle name="Calculation 2 11 2 9" xfId="4475"/>
    <cellStyle name="Output 2 8 2 6 3 4" xfId="4476"/>
    <cellStyle name="Calculation 2 13 3 2 3 3" xfId="4477"/>
    <cellStyle name="Heading 3 2 9 2" xfId="4478"/>
    <cellStyle name="Input 2 15 10 3 4" xfId="4479"/>
    <cellStyle name="Input 2 4 11 4" xfId="4480"/>
    <cellStyle name="Calculation 2 11 2 9 2" xfId="4481"/>
    <cellStyle name="Calculation 2 11 2 9 2 2" xfId="4482"/>
    <cellStyle name="Calculation 2 11 2 9 2 3" xfId="4483"/>
    <cellStyle name="Calculation 2 11 2 9 2 4" xfId="4484"/>
    <cellStyle name="Calculation 2 13 3 2 3 4" xfId="4485"/>
    <cellStyle name="Input 2 4 11 5" xfId="4486"/>
    <cellStyle name="Calculation 2 11 2 9 3" xfId="4487"/>
    <cellStyle name="Calculation 2 11 2 9 3 2" xfId="4488"/>
    <cellStyle name="Calculation 2 11 2 9 3 3" xfId="4489"/>
    <cellStyle name="Calculation 2 11 3" xfId="4490"/>
    <cellStyle name="Calculation 2 3 3 8 5 2" xfId="4491"/>
    <cellStyle name="Input 2 7 3 10 5" xfId="4492"/>
    <cellStyle name="Note 2 2 2 5 3 2 2 2" xfId="4493"/>
    <cellStyle name="Calculation 2 12 2 6 5 2" xfId="4494"/>
    <cellStyle name="Calculation 2 11 3 10" xfId="4495"/>
    <cellStyle name="Calculation 2 11 5 5" xfId="4496"/>
    <cellStyle name="Calculation 2 11 3 10 2" xfId="4497"/>
    <cellStyle name="Calculation 2 11 5 6" xfId="4498"/>
    <cellStyle name="Calculation 2 11 3 10 3" xfId="4499"/>
    <cellStyle name="Output 2 2 3 2 6 2" xfId="4500"/>
    <cellStyle name="Calculation 2 11 3 10 3 2" xfId="4501"/>
    <cellStyle name="Input 2 15 8 4" xfId="4502"/>
    <cellStyle name="Input 2 5 10 5 3" xfId="4503"/>
    <cellStyle name="Calculation 2 11 3 10 3 3" xfId="4504"/>
    <cellStyle name="Input 2 15 8 5" xfId="4505"/>
    <cellStyle name="Note 2 2 4 5 2" xfId="4506"/>
    <cellStyle name="Calculation 2 11 3 10 3 4" xfId="4507"/>
    <cellStyle name="Input 2 15 8 6" xfId="4508"/>
    <cellStyle name="Input 2 8 6 2" xfId="4509"/>
    <cellStyle name="Note 2 2 4 5 3" xfId="4510"/>
    <cellStyle name="Calculation 2 11 5 7" xfId="4511"/>
    <cellStyle name="Calculation 2 11 3 10 4" xfId="4512"/>
    <cellStyle name="Calculation 2 11 3 10 4 3" xfId="4513"/>
    <cellStyle name="Calculation 2 5 3 10" xfId="4514"/>
    <cellStyle name="Input 2 15 9 5" xfId="4515"/>
    <cellStyle name="Note 2 2 4 6 2" xfId="4516"/>
    <cellStyle name="Calculation 2 11 3 10 5" xfId="4517"/>
    <cellStyle name="Calculation 2 14 12 2 3" xfId="4518"/>
    <cellStyle name="Calculation 2 13 3 5 2 3" xfId="4519"/>
    <cellStyle name="Calculation 2 11 3 10 5 2" xfId="4520"/>
    <cellStyle name="Calculation 2 5 2 4 2 4" xfId="4521"/>
    <cellStyle name="Calculation 2 2 2 2 2 2 2 2 2 2" xfId="4522"/>
    <cellStyle name="Calculation 2 14 12 2 4" xfId="4523"/>
    <cellStyle name="Calculation 2 11 3 10 5 3" xfId="4524"/>
    <cellStyle name="Calculation 2 13 3 5 2 4" xfId="4525"/>
    <cellStyle name="Note 2 2 4 7 2" xfId="4526"/>
    <cellStyle name="Calculation 2 11 3 10 6" xfId="4527"/>
    <cellStyle name="Calculation 2 11 3 10 7" xfId="4528"/>
    <cellStyle name="Calculation 2 12 2 6 5 3" xfId="4529"/>
    <cellStyle name="Calculation 2 11 3 11" xfId="4530"/>
    <cellStyle name="Calculation 2 11 6 7" xfId="4531"/>
    <cellStyle name="Calculation 2 11 3 11 4" xfId="4532"/>
    <cellStyle name="Calculation 2 11 3 12" xfId="4533"/>
    <cellStyle name="Calculation 2 11 7 7" xfId="4534"/>
    <cellStyle name="Output 2 2 2 10 2 3" xfId="4535"/>
    <cellStyle name="Calculation 2 11 3 12 4" xfId="4536"/>
    <cellStyle name="Calculation 2 11 3 13" xfId="4537"/>
    <cellStyle name="Calculation 2 12 7 2 4" xfId="4538"/>
    <cellStyle name="Calculation 2 11 8 6" xfId="4539"/>
    <cellStyle name="Note 2 14 3 4 2 3" xfId="4540"/>
    <cellStyle name="Output 2 2 2 10 3 2" xfId="4541"/>
    <cellStyle name="Calculation 2 11 3 13 3" xfId="4542"/>
    <cellStyle name="Calculation 2 2 2 2" xfId="4543"/>
    <cellStyle name="Note 2 14 3 4 3" xfId="4544"/>
    <cellStyle name="Calculation 2 11 3 14" xfId="4545"/>
    <cellStyle name="Calculation 2 14 3 9 4 2" xfId="4546"/>
    <cellStyle name="Calculation 2 6 2 8 4 3" xfId="4547"/>
    <cellStyle name="Calculation 2 11 3 15" xfId="4548"/>
    <cellStyle name="Calculation 2 14 3 9 4 3" xfId="4549"/>
    <cellStyle name="Calculation 2 11 3 16" xfId="4550"/>
    <cellStyle name="Calculation 2 8 2 4 2" xfId="4551"/>
    <cellStyle name="Calculation 2 11 3 2" xfId="4552"/>
    <cellStyle name="Input 2 7 3 10 5 2" xfId="4553"/>
    <cellStyle name="Calculation 2 8 9 3 3" xfId="4554"/>
    <cellStyle name="Note 2 10 9 6" xfId="4555"/>
    <cellStyle name="Output 2 5 2 4 6" xfId="4556"/>
    <cellStyle name="Calculation 2 11 3 2 2" xfId="4557"/>
    <cellStyle name="Calculation 2 13 2 9 4 2" xfId="4558"/>
    <cellStyle name="Calculation 2 11 3 2 2 4" xfId="4559"/>
    <cellStyle name="Calculation 2 11 3 2 3" xfId="4560"/>
    <cellStyle name="Calculation 2 11 3 2 3 2" xfId="4561"/>
    <cellStyle name="Calculation 2 11 3 2 3 3" xfId="4562"/>
    <cellStyle name="Calculation 2 13 2 9 5 2" xfId="4563"/>
    <cellStyle name="Calculation 2 11 3 2 3 4" xfId="4564"/>
    <cellStyle name="Calculation 2 11 3 2 4" xfId="4565"/>
    <cellStyle name="Calculation 2 12 3 10 2 4" xfId="4566"/>
    <cellStyle name="Calculation 2 11 3 2 4 2" xfId="4567"/>
    <cellStyle name="Calculation 2 16 10 2" xfId="4568"/>
    <cellStyle name="Calculation 2 11 3 2 4 3" xfId="4569"/>
    <cellStyle name="Calculation 2 11 3 2 5" xfId="4570"/>
    <cellStyle name="Calculation 2 16 11 2" xfId="4571"/>
    <cellStyle name="Calculation 2 11 3 2 5 3" xfId="4572"/>
    <cellStyle name="Calculation 2 11 3 2 6" xfId="4573"/>
    <cellStyle name="Calculation 2 16 9 4 2" xfId="4574"/>
    <cellStyle name="Calculation 2 11 3 2 7" xfId="4575"/>
    <cellStyle name="Input 2 12 3 6 3 2" xfId="4576"/>
    <cellStyle name="Calculation 2 11 3 3" xfId="4577"/>
    <cellStyle name="Input 2 7 3 10 5 3" xfId="4578"/>
    <cellStyle name="Calculation 2 8 9 3 4" xfId="4579"/>
    <cellStyle name="Note 2 10 9 7" xfId="4580"/>
    <cellStyle name="Output 2 5 2 4 7" xfId="4581"/>
    <cellStyle name="Calculation 2 11 3 3 2" xfId="4582"/>
    <cellStyle name="Calculation 2 8 2 10 7" xfId="4583"/>
    <cellStyle name="Calculation 2 11 3 3 2 2" xfId="4584"/>
    <cellStyle name="Calculation 2 3 2 2 2 3" xfId="4585"/>
    <cellStyle name="Heading 3 2 17" xfId="4586"/>
    <cellStyle name="Heading 3 2 22" xfId="4587"/>
    <cellStyle name="Calculation 2 11 3 3 2 3" xfId="4588"/>
    <cellStyle name="Calculation 2 3 2 2 2 4" xfId="4589"/>
    <cellStyle name="Heading 3 2 18" xfId="4590"/>
    <cellStyle name="Heading 3 2 23" xfId="4591"/>
    <cellStyle name="Calculation 2 11 3 3 2 4" xfId="4592"/>
    <cellStyle name="Heading 3 2 19" xfId="4593"/>
    <cellStyle name="Heading 3 2 24" xfId="4594"/>
    <cellStyle name="Calculation 2 11 3 3 3" xfId="4595"/>
    <cellStyle name="Calculation 2 11 3 3 3 2" xfId="4596"/>
    <cellStyle name="Calculation 2 3 2 2 3 3" xfId="4597"/>
    <cellStyle name="Calculation 2 11 3 3 3 3" xfId="4598"/>
    <cellStyle name="Calculation 2 3 2 2 3 4" xfId="4599"/>
    <cellStyle name="Calculation 2 11 3 3 3 4" xfId="4600"/>
    <cellStyle name="Calculation 2 11 3 3 4" xfId="4601"/>
    <cellStyle name="Calculation 2 11 3 3 4 3" xfId="4602"/>
    <cellStyle name="Calculation 2 12 2 4 2 2" xfId="4603"/>
    <cellStyle name="Calculation 2 11 3 3 5" xfId="4604"/>
    <cellStyle name="Calculation 2 14 3 9 2 4" xfId="4605"/>
    <cellStyle name="Input 2 6 3 3 2" xfId="4606"/>
    <cellStyle name="Note 2 2 2 2 4 2" xfId="4607"/>
    <cellStyle name="Calculation 2 11 3 3 5 2" xfId="4608"/>
    <cellStyle name="Calculation 2 3 2 2 5 3" xfId="4609"/>
    <cellStyle name="Calculation 2 11 3 3 5 3" xfId="4610"/>
    <cellStyle name="Calculation 2 12 2 4 2 3" xfId="4611"/>
    <cellStyle name="Calculation 2 11 3 3 6" xfId="4612"/>
    <cellStyle name="Calculation 2 16 9 5 2" xfId="4613"/>
    <cellStyle name="Calculation 2 12 2 4 2 4" xfId="4614"/>
    <cellStyle name="Calculation 2 11 3 3 7" xfId="4615"/>
    <cellStyle name="Input 2 12 3 6 4 2" xfId="4616"/>
    <cellStyle name="Calculation 2 11 3 4" xfId="4617"/>
    <cellStyle name="Note 2 7 3 10 5 2" xfId="4618"/>
    <cellStyle name="Calculation 2 11 3 4 2" xfId="4619"/>
    <cellStyle name="Calculation 2 11 3 4 2 4" xfId="4620"/>
    <cellStyle name="Calculation 2 11 3 4 3" xfId="4621"/>
    <cellStyle name="Calculation 2 11 3 4 3 2" xfId="4622"/>
    <cellStyle name="Calculation 2 3 2 3 3 3" xfId="4623"/>
    <cellStyle name="Calculation 2 11 3 4 3 3" xfId="4624"/>
    <cellStyle name="Calculation 2 3 2 3 3 4" xfId="4625"/>
    <cellStyle name="Calculation 2 11 3 4 3 4" xfId="4626"/>
    <cellStyle name="Calculation 2 11 3 4 4" xfId="4627"/>
    <cellStyle name="Calculation 2 11 3 4 4 2" xfId="4628"/>
    <cellStyle name="Calculation 2 3 2 3 4 3" xfId="4629"/>
    <cellStyle name="Total 2 6 2 10 2" xfId="4630"/>
    <cellStyle name="Calculation 2 11 3 4 4 3" xfId="4631"/>
    <cellStyle name="Calculation 2 12 2 4 3 2" xfId="4632"/>
    <cellStyle name="Calculation 2 11 3 4 5" xfId="4633"/>
    <cellStyle name="Calculation 2 11 3 4 5 2" xfId="4634"/>
    <cellStyle name="Calculation 2 3 2 3 5 3" xfId="4635"/>
    <cellStyle name="Total 2 6 2 11 2" xfId="4636"/>
    <cellStyle name="Calculation 2 11 3 4 5 3" xfId="4637"/>
    <cellStyle name="Calculation 2 12 2 4 3 3" xfId="4638"/>
    <cellStyle name="Calculation 2 11 3 4 6" xfId="4639"/>
    <cellStyle name="Calculation 2 12 2 4 3 4" xfId="4640"/>
    <cellStyle name="Calculation 2 11 3 4 7" xfId="4641"/>
    <cellStyle name="Input 2 12 3 6 5 2" xfId="4642"/>
    <cellStyle name="Calculation 2 11 3 5" xfId="4643"/>
    <cellStyle name="Note 2 7 3 10 5 3" xfId="4644"/>
    <cellStyle name="Total 2 13 10 4 2" xfId="4645"/>
    <cellStyle name="Calculation 2 2 2 17" xfId="4646"/>
    <cellStyle name="Calculation 2 2 2 22" xfId="4647"/>
    <cellStyle name="Calculation 2 11 3 5 2" xfId="4648"/>
    <cellStyle name="Note 2 11 3 2 2 4" xfId="4649"/>
    <cellStyle name="Calculation 2 11 3 5 2 3" xfId="4650"/>
    <cellStyle name="Calculation 2 3 2 4 2 4" xfId="4651"/>
    <cellStyle name="Calculation 2 11 3 5 2 4" xfId="4652"/>
    <cellStyle name="Total 2 13 10 4 3" xfId="4653"/>
    <cellStyle name="Calculation 2 2 2 18" xfId="4654"/>
    <cellStyle name="Calculation 2 2 2 23" xfId="4655"/>
    <cellStyle name="Calculation 2 11 3 5 3" xfId="4656"/>
    <cellStyle name="Calculation 2 11 3 5 3 2" xfId="4657"/>
    <cellStyle name="Calculation 2 3 2 4 3 3" xfId="4658"/>
    <cellStyle name="Calculation 2 11 3 5 3 3" xfId="4659"/>
    <cellStyle name="Calculation 2 3 2 4 3 4" xfId="4660"/>
    <cellStyle name="Calculation 2 11 3 5 3 4" xfId="4661"/>
    <cellStyle name="Calculation 2 2 2 19" xfId="4662"/>
    <cellStyle name="Calculation 2 2 2 24" xfId="4663"/>
    <cellStyle name="Calculation 2 11 3 5 4" xfId="4664"/>
    <cellStyle name="Calculation 2 11 3 5 4 2" xfId="4665"/>
    <cellStyle name="Calculation 2 3 2 4 4 3" xfId="4666"/>
    <cellStyle name="Calculation 2 12 2 4 4 2" xfId="4667"/>
    <cellStyle name="Linked Cell 2 2 5" xfId="4668"/>
    <cellStyle name="Calculation 2 11 3 5 5" xfId="4669"/>
    <cellStyle name="Calculation 2 11 3 5 5 2" xfId="4670"/>
    <cellStyle name="Calculation 2 3 2 4 5 3" xfId="4671"/>
    <cellStyle name="Calculation 2 11 3 5 5 3" xfId="4672"/>
    <cellStyle name="Calculation 2 12 2 4 4 3" xfId="4673"/>
    <cellStyle name="Linked Cell 2 2 6" xfId="4674"/>
    <cellStyle name="Calculation 2 11 3 5 6" xfId="4675"/>
    <cellStyle name="Calculation 2 11 3 5 7" xfId="4676"/>
    <cellStyle name="Calculation 2 11 3 6" xfId="4677"/>
    <cellStyle name="Calculation 2 11 3 6 2 4" xfId="4678"/>
    <cellStyle name="Calculation 2 11 3 6 3 2" xfId="4679"/>
    <cellStyle name="Calculation 2 3 2 5 3 3" xfId="4680"/>
    <cellStyle name="Calculation 2 11 3 6 3 3" xfId="4681"/>
    <cellStyle name="Calculation 2 3 2 5 3 4" xfId="4682"/>
    <cellStyle name="Calculation 2 11 3 6 3 4" xfId="4683"/>
    <cellStyle name="Calculation 2 11 3 6 4" xfId="4684"/>
    <cellStyle name="Calculation 2 11 3 6 4 2" xfId="4685"/>
    <cellStyle name="Calculation 2 3 2 5 4 3" xfId="4686"/>
    <cellStyle name="Calculation 2 11 3 6 4 3" xfId="4687"/>
    <cellStyle name="Output 2 8 17 2 2" xfId="4688"/>
    <cellStyle name="Calculation 2 12 2 4 5 2" xfId="4689"/>
    <cellStyle name="Calculation 2 11 3 6 5" xfId="4690"/>
    <cellStyle name="Calculation 2 11 3 6 5 2" xfId="4691"/>
    <cellStyle name="Calculation 2 3 2 5 5 3" xfId="4692"/>
    <cellStyle name="Calculation 2 12 2 4 5 3" xfId="4693"/>
    <cellStyle name="Calculation 2 11 3 6 6" xfId="4694"/>
    <cellStyle name="Calculation 2 11 3 6 7" xfId="4695"/>
    <cellStyle name="Calculation 2 11 3 7" xfId="4696"/>
    <cellStyle name="Output 2 8 2 6 4 2" xfId="4697"/>
    <cellStyle name="Calculation 2 11 3 7 2" xfId="4698"/>
    <cellStyle name="Calculation 2 11 3 7 2 2" xfId="4699"/>
    <cellStyle name="Calculation 2 3 2 6 2 3" xfId="4700"/>
    <cellStyle name="Calculation 2 11 3 7 2 3" xfId="4701"/>
    <cellStyle name="Calculation 2 3 2 6 2 4" xfId="4702"/>
    <cellStyle name="Calculation 2 11 3 7 2 4" xfId="4703"/>
    <cellStyle name="Calculation 2 11 3 7 3" xfId="4704"/>
    <cellStyle name="Calculation 2 11 3 7 3 2" xfId="4705"/>
    <cellStyle name="Calculation 2 3 2 6 3 3" xfId="4706"/>
    <cellStyle name="Calculation 2 11 3 7 3 3" xfId="4707"/>
    <cellStyle name="Calculation 2 3 2 6 3 4" xfId="4708"/>
    <cellStyle name="Calculation 2 11 3 7 3 4" xfId="4709"/>
    <cellStyle name="Calculation 2 11 3 7 4" xfId="4710"/>
    <cellStyle name="Calculation 2 11 3 7 4 2" xfId="4711"/>
    <cellStyle name="Calculation 2 3 2 6 4 3" xfId="4712"/>
    <cellStyle name="Calculation 2 13 2 10 2 2" xfId="4713"/>
    <cellStyle name="Calculation 2 11 3 7 4 3" xfId="4714"/>
    <cellStyle name="Calculation 2 11 3 7 5" xfId="4715"/>
    <cellStyle name="Calculation 2 11 3 7 5 2" xfId="4716"/>
    <cellStyle name="Calculation 2 3 2 6 5 3" xfId="4717"/>
    <cellStyle name="Calculation 2 13 2 10 3 2" xfId="4718"/>
    <cellStyle name="Calculation 2 8 6 2 4" xfId="4719"/>
    <cellStyle name="Calculation 2 11 3 7 5 3" xfId="4720"/>
    <cellStyle name="Calculation 2 11 3 7 6" xfId="4721"/>
    <cellStyle name="Calculation 2 11 3 7 7" xfId="4722"/>
    <cellStyle name="Calculation 2 14 10 2 3" xfId="4723"/>
    <cellStyle name="Calculation 2 13 3 3 2 3" xfId="4724"/>
    <cellStyle name="Calculation 2 5 2 2 2 4" xfId="4725"/>
    <cellStyle name="Calculation 2 11 3 8 2" xfId="4726"/>
    <cellStyle name="Calculation 2 2 10 7" xfId="4727"/>
    <cellStyle name="Calculation 2 11 3 8 2 3" xfId="4728"/>
    <cellStyle name="Calculation 2 3 2 7 2 4" xfId="4729"/>
    <cellStyle name="Calculation 2 2 10 8" xfId="4730"/>
    <cellStyle name="Input 2 4 2 6 4 2" xfId="4731"/>
    <cellStyle name="Calculation 2 11 3 8 2 4" xfId="4732"/>
    <cellStyle name="Calculation 2 14 10 2 4" xfId="4733"/>
    <cellStyle name="Calculation 2 13 3 3 2 4" xfId="4734"/>
    <cellStyle name="Note 2 2 2 7 2" xfId="4735"/>
    <cellStyle name="Calculation 2 11 3 8 3" xfId="4736"/>
    <cellStyle name="Calculation 2 2 11 7" xfId="4737"/>
    <cellStyle name="Calculation 2 11 3 8 3 3" xfId="4738"/>
    <cellStyle name="Calculation 2 3 2 7 3 4" xfId="4739"/>
    <cellStyle name="Calculation 2 2 11 8" xfId="4740"/>
    <cellStyle name="Input 2 4 2 6 5 2" xfId="4741"/>
    <cellStyle name="Calculation 2 11 3 8 3 4" xfId="4742"/>
    <cellStyle name="Calculation 2 11 3 8 4" xfId="4743"/>
    <cellStyle name="Calculation 2 2 12 7" xfId="4744"/>
    <cellStyle name="Calculation 2 11 3 8 4 3" xfId="4745"/>
    <cellStyle name="Calculation 2 11 3 8 5" xfId="4746"/>
    <cellStyle name="Calculation 2 11 3 8 5 2" xfId="4747"/>
    <cellStyle name="Calculation 2 3 2 7 5 3" xfId="4748"/>
    <cellStyle name="Calculation 2 11 3 8 5 3" xfId="4749"/>
    <cellStyle name="Calculation 2 11 3 8 6" xfId="4750"/>
    <cellStyle name="Calculation 2 11 3 8 7" xfId="4751"/>
    <cellStyle name="Calculation 2 11 3 9" xfId="4752"/>
    <cellStyle name="Calculation 2 2 3 5 2 2 2 2 2 2" xfId="4753"/>
    <cellStyle name="Input 2 2 12 2 2" xfId="4754"/>
    <cellStyle name="Calculation 2 14 10 3 3" xfId="4755"/>
    <cellStyle name="Calculation 2 13 3 3 3 3" xfId="4756"/>
    <cellStyle name="Calculation 2 5 2 2 3 4" xfId="4757"/>
    <cellStyle name="Calculation 2 11 3 9 2" xfId="4758"/>
    <cellStyle name="Calculation 2 11 3 9 2 3" xfId="4759"/>
    <cellStyle name="Calculation 2 3 2 8 2 4" xfId="4760"/>
    <cellStyle name="Calculation 2 11 3 9 2 4" xfId="4761"/>
    <cellStyle name="Calculation 2 14 10 3 4" xfId="4762"/>
    <cellStyle name="Calculation 2 13 3 3 3 4" xfId="4763"/>
    <cellStyle name="Note 2 2 2 8 2" xfId="4764"/>
    <cellStyle name="Calculation 2 11 3 9 3" xfId="4765"/>
    <cellStyle name="Calculation 2 11 3 9 3 3" xfId="4766"/>
    <cellStyle name="Calculation 2 3 2 8 3 4" xfId="4767"/>
    <cellStyle name="Calculation 2 11 3 9 3 4" xfId="4768"/>
    <cellStyle name="Calculation 2 11 4" xfId="4769"/>
    <cellStyle name="Calculation 2 3 3 8 5 3" xfId="4770"/>
    <cellStyle name="Input 2 7 3 10 6" xfId="4771"/>
    <cellStyle name="Calculation 2 11 4 2" xfId="4772"/>
    <cellStyle name="Calculation 2 8 9 4 3" xfId="4773"/>
    <cellStyle name="Output 2 5 2 5 6" xfId="4774"/>
    <cellStyle name="Calculation 2 11 4 2 2" xfId="4775"/>
    <cellStyle name="Calculation 2 11 4 2 3" xfId="4776"/>
    <cellStyle name="Calculation 2 11 4 2 4" xfId="4777"/>
    <cellStyle name="Calculation 2 11 4 3" xfId="4778"/>
    <cellStyle name="Output 2 5 2 5 7" xfId="4779"/>
    <cellStyle name="Calculation 2 11 4 3 2" xfId="4780"/>
    <cellStyle name="Calculation 2 11 4 3 3" xfId="4781"/>
    <cellStyle name="Calculation 2 11 4 3 4" xfId="4782"/>
    <cellStyle name="Calculation 2 11 4 4" xfId="4783"/>
    <cellStyle name="Calculation 2 11 4 4 2" xfId="4784"/>
    <cellStyle name="Note 2 14 2 15" xfId="4785"/>
    <cellStyle name="Calculation 2 11 4 4 3" xfId="4786"/>
    <cellStyle name="Note 2 14 2 16" xfId="4787"/>
    <cellStyle name="Calculation 2 11 4 5" xfId="4788"/>
    <cellStyle name="Calculation 2 11 4 5 2" xfId="4789"/>
    <cellStyle name="Note 2 11 3 3 2 4" xfId="4790"/>
    <cellStyle name="Calculation 2 11 4 5 3" xfId="4791"/>
    <cellStyle name="Calculation 2 11 4 6" xfId="4792"/>
    <cellStyle name="Calculation 2 11 4 7" xfId="4793"/>
    <cellStyle name="Output 2 8 2 6 5 2" xfId="4794"/>
    <cellStyle name="Calculation 2 11 5" xfId="4795"/>
    <cellStyle name="Input 2 7 3 10 7" xfId="4796"/>
    <cellStyle name="Calculation 2 11 5 2" xfId="4797"/>
    <cellStyle name="Calculation 2 8 9 5 3" xfId="4798"/>
    <cellStyle name="Note 2 16 6 2 3" xfId="4799"/>
    <cellStyle name="Output 2 5 2 6 6" xfId="4800"/>
    <cellStyle name="Calculation 2 11 5 2 2" xfId="4801"/>
    <cellStyle name="Calculation 2 11 5 2 3" xfId="4802"/>
    <cellStyle name="Calculation 2 11 5 2 4" xfId="4803"/>
    <cellStyle name="Calculation 2 11 5 3" xfId="4804"/>
    <cellStyle name="Note 2 16 6 2 4" xfId="4805"/>
    <cellStyle name="Output 2 5 2 6 7" xfId="4806"/>
    <cellStyle name="Calculation 2 11 5 3 2" xfId="4807"/>
    <cellStyle name="Calculation 2 11 5 3 3" xfId="4808"/>
    <cellStyle name="Calculation 2 11 5 3 4" xfId="4809"/>
    <cellStyle name="Calculation 2 11 5 4" xfId="4810"/>
    <cellStyle name="Calculation 2 11 5 4 2" xfId="4811"/>
    <cellStyle name="Calculation 2 11 5 4 3" xfId="4812"/>
    <cellStyle name="Calculation 2 11 6" xfId="4813"/>
    <cellStyle name="Calculation 2 11 6 2" xfId="4814"/>
    <cellStyle name="Note 2 16 6 3 3" xfId="4815"/>
    <cellStyle name="Output 2 5 2 7 6" xfId="4816"/>
    <cellStyle name="Calculation 2 11 6 2 2" xfId="4817"/>
    <cellStyle name="Calculation 2 11 6 2 3" xfId="4818"/>
    <cellStyle name="Calculation 2 11 6 2 4" xfId="4819"/>
    <cellStyle name="Calculation 2 11 6 3" xfId="4820"/>
    <cellStyle name="Note 2 16 6 3 4" xfId="4821"/>
    <cellStyle name="Output 2 5 2 7 7" xfId="4822"/>
    <cellStyle name="Calculation 2 11 6 4 2" xfId="4823"/>
    <cellStyle name="Calculation 2 11 6 4 3" xfId="4824"/>
    <cellStyle name="Calculation 2 11 7" xfId="4825"/>
    <cellStyle name="Calculation 2 11 7 2" xfId="4826"/>
    <cellStyle name="Note 2 6 3 2 5" xfId="4827"/>
    <cellStyle name="Note 2 16 6 4 3" xfId="4828"/>
    <cellStyle name="Output 2 5 2 8 6" xfId="4829"/>
    <cellStyle name="Calculation 2 11 7 3" xfId="4830"/>
    <cellStyle name="Note 2 6 3 2 6" xfId="4831"/>
    <cellStyle name="Output 2 5 2 8 7" xfId="4832"/>
    <cellStyle name="Calculation 2 11 8 2 2" xfId="4833"/>
    <cellStyle name="Note 2 6 3 3 5 2" xfId="4834"/>
    <cellStyle name="Calculation 2 11 8 2 3" xfId="4835"/>
    <cellStyle name="Note 2 6 3 3 5 3" xfId="4836"/>
    <cellStyle name="Calculation 2 11 8 2 4" xfId="4837"/>
    <cellStyle name="Calculation 2 11 8 4 2" xfId="4838"/>
    <cellStyle name="Calculation 2 11 8 4 3" xfId="4839"/>
    <cellStyle name="Calculation 2 11 8 7" xfId="4840"/>
    <cellStyle name="Note 2 14 3 4 2 4" xfId="4841"/>
    <cellStyle name="Output 2 2 2 10 3 3" xfId="4842"/>
    <cellStyle name="Calculation 2 11 9 4 2" xfId="4843"/>
    <cellStyle name="Input 2 8 8" xfId="4844"/>
    <cellStyle name="Calculation 2 11 9 4 3" xfId="4845"/>
    <cellStyle name="Input 2 8 9" xfId="4846"/>
    <cellStyle name="Calculation 2 12 3 8 2 2" xfId="4847"/>
    <cellStyle name="Calculation 2 4 2 7 2 3" xfId="4848"/>
    <cellStyle name="Note 2 12 2 10 2 3" xfId="4849"/>
    <cellStyle name="Calculation 2 11 9 7" xfId="4850"/>
    <cellStyle name="Calculation 2 2 2 2 4" xfId="4851"/>
    <cellStyle name="Note 2 14 3 4 3 4" xfId="4852"/>
    <cellStyle name="Output 2 2 2 10 4 3" xfId="4853"/>
    <cellStyle name="Calculation 2 14 9 6" xfId="4854"/>
    <cellStyle name="Calculation 2 2 5 2 3" xfId="4855"/>
    <cellStyle name="Note 2 14 3 7 3 3" xfId="4856"/>
    <cellStyle name="Calculation 2 12 10 2 2" xfId="4857"/>
    <cellStyle name="Input 2 13 11 2 3" xfId="4858"/>
    <cellStyle name="Input 2 15 10 3 2" xfId="4859"/>
    <cellStyle name="Calculation 2 14 9 7" xfId="4860"/>
    <cellStyle name="Calculation 2 2 5 2 4" xfId="4861"/>
    <cellStyle name="Input 2 4 11 2" xfId="4862"/>
    <cellStyle name="Note 2 14 3 7 3 4" xfId="4863"/>
    <cellStyle name="Calculation 2 12 10 2 3" xfId="4864"/>
    <cellStyle name="Input 2 13 11 2 4" xfId="4865"/>
    <cellStyle name="Input 2 2 2" xfId="4866"/>
    <cellStyle name="Input 2 3 3 2 2 2" xfId="4867"/>
    <cellStyle name="Calculation 2 13 3 2 3 2" xfId="4868"/>
    <cellStyle name="Input 2 15 10 3 3" xfId="4869"/>
    <cellStyle name="Input 2 4 11 3" xfId="4870"/>
    <cellStyle name="Calculation 2 12 10 2 4" xfId="4871"/>
    <cellStyle name="Input 2 2 3" xfId="4872"/>
    <cellStyle name="Input 2 3 3 2 2 3" xfId="4873"/>
    <cellStyle name="Calculation 2 15 10 2 2" xfId="4874"/>
    <cellStyle name="Input 2 14 2 10 3 3" xfId="4875"/>
    <cellStyle name="Calculation 2 12 10 3" xfId="4876"/>
    <cellStyle name="Note 2 12 2 13 3" xfId="4877"/>
    <cellStyle name="Calculation 2 7 10 3 4" xfId="4878"/>
    <cellStyle name="Output 2 9 5 4 3" xfId="4879"/>
    <cellStyle name="Calculation 2 12 10 3 3" xfId="4880"/>
    <cellStyle name="Input 2 13 11 3 4" xfId="4881"/>
    <cellStyle name="Input 2 3 2" xfId="4882"/>
    <cellStyle name="Input 2 3 3 2 3 2" xfId="4883"/>
    <cellStyle name="Calculation 2 15 10 2 3" xfId="4884"/>
    <cellStyle name="Input 2 14 2 10 3 4" xfId="4885"/>
    <cellStyle name="Calculation 2 12 10 4" xfId="4886"/>
    <cellStyle name="Calculation 2 14 6 2 2" xfId="4887"/>
    <cellStyle name="Calculation 2 12 10 4 3" xfId="4888"/>
    <cellStyle name="Input 2 3 3 2 4 2" xfId="4889"/>
    <cellStyle name="Input 2 4 2" xfId="4890"/>
    <cellStyle name="Calculation 2 15 10 2 4" xfId="4891"/>
    <cellStyle name="Note 2 7 2 7 2" xfId="4892"/>
    <cellStyle name="Calculation 2 12 10 5" xfId="4893"/>
    <cellStyle name="Calculation 2 12 10 5 2" xfId="4894"/>
    <cellStyle name="Input 2 13 11 5 3" xfId="4895"/>
    <cellStyle name="Output 2 10 2 7 3 4" xfId="4896"/>
    <cellStyle name="Calculation 2 14 6 3 2" xfId="4897"/>
    <cellStyle name="Calculation 2 12 10 5 3" xfId="4898"/>
    <cellStyle name="Input 2 3 3 2 5 2" xfId="4899"/>
    <cellStyle name="Input 2 5 2" xfId="4900"/>
    <cellStyle name="Calculation 2 12 11" xfId="4901"/>
    <cellStyle name="Note 2 12 2 14" xfId="4902"/>
    <cellStyle name="Output 2 9 5 5" xfId="4903"/>
    <cellStyle name="Calculation 2 15 9 6" xfId="4904"/>
    <cellStyle name="Calculation 2 2 6 2 3" xfId="4905"/>
    <cellStyle name="Note 2 14 3 8 3 3" xfId="4906"/>
    <cellStyle name="Calculation 2 12 11 2 2" xfId="4907"/>
    <cellStyle name="Input 2 13 12 2 3" xfId="4908"/>
    <cellStyle name="Calculation 2 15 9 7" xfId="4909"/>
    <cellStyle name="Calculation 2 2 6 2 4" xfId="4910"/>
    <cellStyle name="Calculation 2 5 2 2 3 2" xfId="4911"/>
    <cellStyle name="Note 2 14 3 8 3 4" xfId="4912"/>
    <cellStyle name="Calculation 2 12 11 2 3" xfId="4913"/>
    <cellStyle name="Input 2 13 12 2 4" xfId="4914"/>
    <cellStyle name="Input 2 3 3 3 2 2" xfId="4915"/>
    <cellStyle name="Output 2 10 2 10" xfId="4916"/>
    <cellStyle name="Calculation 2 14 10 3 2" xfId="4917"/>
    <cellStyle name="Calculation 2 13 3 3 3 2" xfId="4918"/>
    <cellStyle name="Calculation 2 5 2 2 3 3" xfId="4919"/>
    <cellStyle name="Calculation 2 12 11 2 4" xfId="4920"/>
    <cellStyle name="Input 2 3 3 3 2 3" xfId="4921"/>
    <cellStyle name="Output 2 10 2 11" xfId="4922"/>
    <cellStyle name="Calculation 2 15 10 3 2" xfId="4923"/>
    <cellStyle name="Input 2 14 2 10 4 3" xfId="4924"/>
    <cellStyle name="Calculation 2 13 11 2 4" xfId="4925"/>
    <cellStyle name="Calculation 2 3 3 2 2 2" xfId="4926"/>
    <cellStyle name="Input 2 5 7 3 4" xfId="4927"/>
    <cellStyle name="Calculation 2 12 11 3" xfId="4928"/>
    <cellStyle name="Note 2 12 2 14 3" xfId="4929"/>
    <cellStyle name="Note 2 7 19" xfId="4930"/>
    <cellStyle name="Output 2 9 5 5 3" xfId="4931"/>
    <cellStyle name="Calculation 2 12 11 3 3" xfId="4932"/>
    <cellStyle name="Input 2 13 12 3 4" xfId="4933"/>
    <cellStyle name="Input 2 3 3 3 3 2" xfId="4934"/>
    <cellStyle name="Note 2 2 6 2 2 2 2 2 2" xfId="4935"/>
    <cellStyle name="Calculation 2 14 10 4 2" xfId="4936"/>
    <cellStyle name="Calculation 2 13 3 3 4 2" xfId="4937"/>
    <cellStyle name="Calculation 2 5 2 2 4 3" xfId="4938"/>
    <cellStyle name="Calculation 2 12 11 3 4" xfId="4939"/>
    <cellStyle name="Input 2 3 3 3 3 3" xfId="4940"/>
    <cellStyle name="Calculation 2 15 10 3 3" xfId="4941"/>
    <cellStyle name="Calculation 2 12 11 4" xfId="4942"/>
    <cellStyle name="Calculation 2 14 7 2 2" xfId="4943"/>
    <cellStyle name="Calculation 2 12 11 4 3" xfId="4944"/>
    <cellStyle name="Input 2 3 3 3 4 2" xfId="4945"/>
    <cellStyle name="Calculation 2 15 10 3 4" xfId="4946"/>
    <cellStyle name="Note 2 7 2 8 2" xfId="4947"/>
    <cellStyle name="Calculation 2 12 11 5" xfId="4948"/>
    <cellStyle name="Calculation 2 12 11 5 2" xfId="4949"/>
    <cellStyle name="Input 2 13 12 5 3" xfId="4950"/>
    <cellStyle name="Input 2 14 2 13" xfId="4951"/>
    <cellStyle name="Output 2 10 2 8 3 4" xfId="4952"/>
    <cellStyle name="Total 2 10 2 17" xfId="4953"/>
    <cellStyle name="Calculation 2 14 7 3 2" xfId="4954"/>
    <cellStyle name="Calculation 2 12 11 5 3" xfId="4955"/>
    <cellStyle name="Input 2 14 2 14" xfId="4956"/>
    <cellStyle name="Input 2 3 3 3 5 2" xfId="4957"/>
    <cellStyle name="Calculation 2 12 11 6" xfId="4958"/>
    <cellStyle name="Calculation 2 12 12" xfId="4959"/>
    <cellStyle name="Note 2 12 2 15" xfId="4960"/>
    <cellStyle name="Output 2 7 6 5 2" xfId="4961"/>
    <cellStyle name="Output 2 9 5 6" xfId="4962"/>
    <cellStyle name="Calculation 2 13 11 3 3" xfId="4963"/>
    <cellStyle name="Input 2 14 12 3 4" xfId="4964"/>
    <cellStyle name="Input 2 5 7 4 3" xfId="4965"/>
    <cellStyle name="Calculation 2 12 12 2" xfId="4966"/>
    <cellStyle name="Calculation 2 7 10 5 3" xfId="4967"/>
    <cellStyle name="Input 2 3 10 7" xfId="4968"/>
    <cellStyle name="Calculation 2 16 9 6" xfId="4969"/>
    <cellStyle name="Calculation 2 2 7 2 3" xfId="4970"/>
    <cellStyle name="Note 2 14 3 9 3 3" xfId="4971"/>
    <cellStyle name="Calculation 2 12 12 2 2" xfId="4972"/>
    <cellStyle name="Calculation 2 16 9 7" xfId="4973"/>
    <cellStyle name="Calculation 2 2 7 2 4" xfId="4974"/>
    <cellStyle name="Calculation 2 5 2 3 3 2" xfId="4975"/>
    <cellStyle name="Note 2 14 3 9 3 4" xfId="4976"/>
    <cellStyle name="Calculation 2 12 12 2 3" xfId="4977"/>
    <cellStyle name="Input 2 3 3 4 2 2" xfId="4978"/>
    <cellStyle name="Calculation 2 14 11 3 2" xfId="4979"/>
    <cellStyle name="Calculation 2 13 3 4 3 2" xfId="4980"/>
    <cellStyle name="Calculation 2 5 2 3 3 3" xfId="4981"/>
    <cellStyle name="Calculation 2 12 12 2 4" xfId="4982"/>
    <cellStyle name="Calculation 2 8 10 5 2" xfId="4983"/>
    <cellStyle name="Input 2 3 3 4 2 3" xfId="4984"/>
    <cellStyle name="Output 2 2 15 2" xfId="4985"/>
    <cellStyle name="Calculation 2 15 10 4 2" xfId="4986"/>
    <cellStyle name="Input 2 14 2 10 5 3" xfId="4987"/>
    <cellStyle name="Calculation 2 13 11 3 4" xfId="4988"/>
    <cellStyle name="Calculation 2 3 3 2 3 2" xfId="4989"/>
    <cellStyle name="Calculation 2 12 12 3" xfId="4990"/>
    <cellStyle name="Input 2 3 10 8" xfId="4991"/>
    <cellStyle name="Calculation 2 12 12 3 2" xfId="4992"/>
    <cellStyle name="Calculation 2 12 12 3 3" xfId="4993"/>
    <cellStyle name="Input 2 3 3 4 3 2" xfId="4994"/>
    <cellStyle name="Calculation 2 14 11 4 2" xfId="4995"/>
    <cellStyle name="Calculation 2 13 3 4 4 2" xfId="4996"/>
    <cellStyle name="Calculation 2 5 2 3 4 3" xfId="4997"/>
    <cellStyle name="Calculation 2 12 12 3 4" xfId="4998"/>
    <cellStyle name="Input 2 3 3 4 3 3" xfId="4999"/>
    <cellStyle name="Calculation 2 15 10 4 3" xfId="5000"/>
    <cellStyle name="Calculation 2 12 12 4" xfId="5001"/>
    <cellStyle name="Calculation 2 12 12 4 2" xfId="5002"/>
    <cellStyle name="Output 2 10 2 9 2 4" xfId="5003"/>
    <cellStyle name="Calculation 2 14 8 2 2" xfId="5004"/>
    <cellStyle name="Calculation 2 12 12 4 3" xfId="5005"/>
    <cellStyle name="Input 2 3 3 4 4 2" xfId="5006"/>
    <cellStyle name="Calculation 2 12 12 5" xfId="5007"/>
    <cellStyle name="Calculation 2 12 12 5 2" xfId="5008"/>
    <cellStyle name="Input 2 6 2 10 3" xfId="5009"/>
    <cellStyle name="Output 2 10 2 9 3 4" xfId="5010"/>
    <cellStyle name="Calculation 2 12 12 6" xfId="5011"/>
    <cellStyle name="Calculation 2 12 13" xfId="5012"/>
    <cellStyle name="Note 2 12 2 16" xfId="5013"/>
    <cellStyle name="Output 2 7 6 5 3" xfId="5014"/>
    <cellStyle name="Output 2 9 5 7" xfId="5015"/>
    <cellStyle name="Total 2 11 3 7 2" xfId="5016"/>
    <cellStyle name="Calculation 2 13 11 4 3" xfId="5017"/>
    <cellStyle name="Input 2 5 7 5 3" xfId="5018"/>
    <cellStyle name="Normal 30 2" xfId="5019"/>
    <cellStyle name="Calculation 2 12 13 2" xfId="5020"/>
    <cellStyle name="Input 2 3 11 7" xfId="5021"/>
    <cellStyle name="Total 2 11 3 7 2 2" xfId="5022"/>
    <cellStyle name="Calculation 2 15 10 5 2" xfId="5023"/>
    <cellStyle name="Calculation 2 12 13 3" xfId="5024"/>
    <cellStyle name="Input 2 3 11 8" xfId="5025"/>
    <cellStyle name="Total 2 11 3 7 2 3" xfId="5026"/>
    <cellStyle name="Calculation 2 15 10 5 3" xfId="5027"/>
    <cellStyle name="Calculation 2 12 13 4" xfId="5028"/>
    <cellStyle name="Total 2 11 3 7 2 4" xfId="5029"/>
    <cellStyle name="Calculation 2 13 11 5 3" xfId="5030"/>
    <cellStyle name="Calculation 2 12 14 2" xfId="5031"/>
    <cellStyle name="Input 2 3 12 7" xfId="5032"/>
    <cellStyle name="Total 2 11 3 7 3 2" xfId="5033"/>
    <cellStyle name="Calculation 2 12 14 3" xfId="5034"/>
    <cellStyle name="Input 2 3 12 8" xfId="5035"/>
    <cellStyle name="Total 2 11 3 7 3 3" xfId="5036"/>
    <cellStyle name="Calculation 2 12 14 4" xfId="5037"/>
    <cellStyle name="Total 2 11 3 7 3 4" xfId="5038"/>
    <cellStyle name="Calculation 2 12 15 2" xfId="5039"/>
    <cellStyle name="Input 2 5 2 10 6" xfId="5040"/>
    <cellStyle name="Total 2 11 3 7 4 2" xfId="5041"/>
    <cellStyle name="Calculation 2 12 15 3" xfId="5042"/>
    <cellStyle name="Input 2 5 2 10 7" xfId="5043"/>
    <cellStyle name="Total 2 11 3 7 4 3" xfId="5044"/>
    <cellStyle name="Calculation 2 12 16 2" xfId="5045"/>
    <cellStyle name="Note 2 8 18" xfId="5046"/>
    <cellStyle name="Output 2 2 3 7 2 4" xfId="5047"/>
    <cellStyle name="Total 2 11 3 7 5 2" xfId="5048"/>
    <cellStyle name="Calculation 2 12 16 3" xfId="5049"/>
    <cellStyle name="Note 2 8 19" xfId="5050"/>
    <cellStyle name="Total 2 11 3 7 5 3" xfId="5051"/>
    <cellStyle name="Calculation 2 12 17" xfId="5052"/>
    <cellStyle name="Calculation 2 14 3 12 4" xfId="5053"/>
    <cellStyle name="Total 2 11 3 7 6" xfId="5054"/>
    <cellStyle name="Calculation 2 12 18" xfId="5055"/>
    <cellStyle name="Calculation 2 12 2" xfId="5056"/>
    <cellStyle name="Input 2 7 3 11 4" xfId="5057"/>
    <cellStyle name="Output 2 3 3 4 2 3" xfId="5058"/>
    <cellStyle name="Calculation 2 13 6" xfId="5059"/>
    <cellStyle name="Calculation 2 12 2 10" xfId="5060"/>
    <cellStyle name="Calculation 2 13 6 2" xfId="5061"/>
    <cellStyle name="Note 2 16 8 3 3" xfId="5062"/>
    <cellStyle name="Note 2 4 12 6" xfId="5063"/>
    <cellStyle name="Calculation 2 12 2 10 2" xfId="5064"/>
    <cellStyle name="Calculation 2 17 7" xfId="5065"/>
    <cellStyle name="Calculation 2 22 7" xfId="5066"/>
    <cellStyle name="Input 2 3 2 2 4 3" xfId="5067"/>
    <cellStyle name="Calculation 2 13 6 2 3" xfId="5068"/>
    <cellStyle name="Calculation 2 13 2 2 5 2" xfId="5069"/>
    <cellStyle name="Calculation 2 12 2 10 2 3" xfId="5070"/>
    <cellStyle name="Calculation 2 17 8" xfId="5071"/>
    <cellStyle name="Calculation 2 22 8" xfId="5072"/>
    <cellStyle name="Calculation 2 13 6 2 4" xfId="5073"/>
    <cellStyle name="Calculation 2 13 2 2 5 3" xfId="5074"/>
    <cellStyle name="Calculation 2 12 2 10 2 4" xfId="5075"/>
    <cellStyle name="Calculation 2 13 6 3" xfId="5076"/>
    <cellStyle name="Note 2 16 8 3 4" xfId="5077"/>
    <cellStyle name="Note 2 4 12 7" xfId="5078"/>
    <cellStyle name="Calculation 2 12 2 10 3" xfId="5079"/>
    <cellStyle name="Calculation 2 18 7" xfId="5080"/>
    <cellStyle name="Calculation 2 23 7" xfId="5081"/>
    <cellStyle name="Input 2 3 2 2 5 3" xfId="5082"/>
    <cellStyle name="Calculation 2 13 6 3 3" xfId="5083"/>
    <cellStyle name="Calculation 2 12 3 11" xfId="5084"/>
    <cellStyle name="Note 2 29 2" xfId="5085"/>
    <cellStyle name="Calculation 2 12 2 10 3 3" xfId="5086"/>
    <cellStyle name="Calculation 2 18 8" xfId="5087"/>
    <cellStyle name="Calculation 2 23 8" xfId="5088"/>
    <cellStyle name="Calculation 2 13 6 3 4" xfId="5089"/>
    <cellStyle name="Output 2 4 2 10 2 2" xfId="5090"/>
    <cellStyle name="Calculation 2 12 3 12" xfId="5091"/>
    <cellStyle name="Note 2 29 3" xfId="5092"/>
    <cellStyle name="Calculation 2 12 2 10 3 4" xfId="5093"/>
    <cellStyle name="Calculation 2 13 6 4" xfId="5094"/>
    <cellStyle name="Note 2 4 12 8" xfId="5095"/>
    <cellStyle name="Calculation 2 12 2 10 4" xfId="5096"/>
    <cellStyle name="Calculation 2 19 6" xfId="5097"/>
    <cellStyle name="Calculation 2 24 6" xfId="5098"/>
    <cellStyle name="Calculation 2 13 6 4 2" xfId="5099"/>
    <cellStyle name="Calculation 2 6 3 12" xfId="5100"/>
    <cellStyle name="Calculation 2 12 2 10 4 2" xfId="5101"/>
    <cellStyle name="Calculation 2 19 7" xfId="5102"/>
    <cellStyle name="Calculation 2 24 7" xfId="5103"/>
    <cellStyle name="Calculation 2 13 6 4 3" xfId="5104"/>
    <cellStyle name="Calculation 2 6 3 13" xfId="5105"/>
    <cellStyle name="Calculation 2 12 2 10 4 3" xfId="5106"/>
    <cellStyle name="Calculation 2 13 6 5" xfId="5107"/>
    <cellStyle name="Calculation 2 12 2 10 5" xfId="5108"/>
    <cellStyle name="Input 2 8 8 4 2" xfId="5109"/>
    <cellStyle name="Total 2 10 10" xfId="5110"/>
    <cellStyle name="Calculation 2 13 6 6" xfId="5111"/>
    <cellStyle name="Calculation 2 12 2 10 6" xfId="5112"/>
    <cellStyle name="Input 2 8 8 4 3" xfId="5113"/>
    <cellStyle name="Total 2 10 11" xfId="5114"/>
    <cellStyle name="Calculation 2 13 6 7" xfId="5115"/>
    <cellStyle name="Input 2 11 8 2" xfId="5116"/>
    <cellStyle name="Calculation 2 12 2 10 7" xfId="5117"/>
    <cellStyle name="Total 2 10 12" xfId="5118"/>
    <cellStyle name="Calculation 2 13 7" xfId="5119"/>
    <cellStyle name="Calculation 2 12 2 11" xfId="5120"/>
    <cellStyle name="Note 2 19 2" xfId="5121"/>
    <cellStyle name="Note 2 24 2" xfId="5122"/>
    <cellStyle name="Calculation 2 13 7 2" xfId="5123"/>
    <cellStyle name="Note 2 16 8 4 3" xfId="5124"/>
    <cellStyle name="Calculation 2 12 2 11 2" xfId="5125"/>
    <cellStyle name="Note 2 19 2 2" xfId="5126"/>
    <cellStyle name="Note 2 24 2 2" xfId="5127"/>
    <cellStyle name="Calculation 2 13 7 3" xfId="5128"/>
    <cellStyle name="Calculation 2 12 2 11 3" xfId="5129"/>
    <cellStyle name="Note 2 19 2 3" xfId="5130"/>
    <cellStyle name="Note 2 24 2 3" xfId="5131"/>
    <cellStyle name="Calculation 2 13 7 4" xfId="5132"/>
    <cellStyle name="Calculation 2 12 2 11 4" xfId="5133"/>
    <cellStyle name="Note 2 19 2 4" xfId="5134"/>
    <cellStyle name="Note 2 24 2 4" xfId="5135"/>
    <cellStyle name="Calculation 2 12 2 2" xfId="5136"/>
    <cellStyle name="Calculation 2 7 2 7 3 4" xfId="5137"/>
    <cellStyle name="Note 2 11 8 6" xfId="5138"/>
    <cellStyle name="Output 2 5 3 3 6" xfId="5139"/>
    <cellStyle name="Calculation 2 12 2 2 2" xfId="5140"/>
    <cellStyle name="Input 2 11 5 7" xfId="5141"/>
    <cellStyle name="Calculation 2 14 19" xfId="5142"/>
    <cellStyle name="Input 2 4 3 3" xfId="5143"/>
    <cellStyle name="Note 2 12 3 4 2" xfId="5144"/>
    <cellStyle name="Output 2 15 9 2 4" xfId="5145"/>
    <cellStyle name="Calculation 2 12 2 2 2 2" xfId="5146"/>
    <cellStyle name="Calculation 2 12 2 2 2 3" xfId="5147"/>
    <cellStyle name="Calculation 2 16 7 5 2" xfId="5148"/>
    <cellStyle name="Calculation 2 12 2 2 2 4" xfId="5149"/>
    <cellStyle name="Calculation 2 12 2 2 3 2" xfId="5150"/>
    <cellStyle name="Calculation 2 12 2 2 3 3" xfId="5151"/>
    <cellStyle name="Calculation 2 12 2 2 3 4" xfId="5152"/>
    <cellStyle name="Calculation 2 12 2 2 4 2" xfId="5153"/>
    <cellStyle name="Calculation 2 12 2 2 4 3" xfId="5154"/>
    <cellStyle name="Calculation 2 12 2 2 5" xfId="5155"/>
    <cellStyle name="Calculation 2 12 2 2 5 2" xfId="5156"/>
    <cellStyle name="Calculation 2 12 2 2 5 3" xfId="5157"/>
    <cellStyle name="Calculation 2 12 2 2 6" xfId="5158"/>
    <cellStyle name="Calculation 2 12 2 2 7" xfId="5159"/>
    <cellStyle name="Calculation 2 12 2 3" xfId="5160"/>
    <cellStyle name="Note 2 11 8 7" xfId="5161"/>
    <cellStyle name="Output 2 5 3 3 7" xfId="5162"/>
    <cellStyle name="Calculation 2 12 2 3 2" xfId="5163"/>
    <cellStyle name="Note 2 12 3 13" xfId="5164"/>
    <cellStyle name="Calculation 2 13 10" xfId="5165"/>
    <cellStyle name="Input 2 11 19" xfId="5166"/>
    <cellStyle name="Note 2 12 4 7" xfId="5167"/>
    <cellStyle name="Calculation 2 12 3 3 2 2" xfId="5168"/>
    <cellStyle name="Calculation 2 4 2 2 2 3" xfId="5169"/>
    <cellStyle name="Input 2 10 11 2 3" xfId="5170"/>
    <cellStyle name="Output 6 3" xfId="5171"/>
    <cellStyle name="Calculation 2 12 2 3 5" xfId="5172"/>
    <cellStyle name="Calculation 2 13 11" xfId="5173"/>
    <cellStyle name="Note 2 12 3 14" xfId="5174"/>
    <cellStyle name="Calculation 2 12 3 3 2 3" xfId="5175"/>
    <cellStyle name="Calculation 2 4 2 2 2 4" xfId="5176"/>
    <cellStyle name="Input 2 10 11 2 4" xfId="5177"/>
    <cellStyle name="Output 6 4" xfId="5178"/>
    <cellStyle name="Calculation 2 12 2 3 6" xfId="5179"/>
    <cellStyle name="Calculation 2 13 12" xfId="5180"/>
    <cellStyle name="Note 2 12 3 15" xfId="5181"/>
    <cellStyle name="Calculation 2 12 3 3 2 4" xfId="5182"/>
    <cellStyle name="Calculation 2 12 2 3 7" xfId="5183"/>
    <cellStyle name="Calculation 2 12 2 4" xfId="5184"/>
    <cellStyle name="Calculation 2 12 2 4 2" xfId="5185"/>
    <cellStyle name="Calculation 2 12 2 4 3" xfId="5186"/>
    <cellStyle name="Calculation 2 12 2 4 4" xfId="5187"/>
    <cellStyle name="Calculation 2 12 3 3 3 2" xfId="5188"/>
    <cellStyle name="Calculation 2 4 2 2 3 3" xfId="5189"/>
    <cellStyle name="Input 2 10 11 3 3" xfId="5190"/>
    <cellStyle name="Calculation 2 12 2 4 5" xfId="5191"/>
    <cellStyle name="Calculation 2 12 3 3 3 3" xfId="5192"/>
    <cellStyle name="Calculation 2 4 2 2 3 4" xfId="5193"/>
    <cellStyle name="Input 2 10 11 3 4" xfId="5194"/>
    <cellStyle name="Calculation 2 12 2 4 6" xfId="5195"/>
    <cellStyle name="Calculation 2 12 2 5" xfId="5196"/>
    <cellStyle name="Calculation 2 12 2 5 2 2" xfId="5197"/>
    <cellStyle name="Output 2 14 13 3" xfId="5198"/>
    <cellStyle name="Calculation 2 12 2 5 2 3" xfId="5199"/>
    <cellStyle name="Output 2 14 13 4" xfId="5200"/>
    <cellStyle name="Calculation 2 12 2 5 2 4" xfId="5201"/>
    <cellStyle name="Calculation 2 12 2 5 3" xfId="5202"/>
    <cellStyle name="Calculation 2 12 2 5 3 2" xfId="5203"/>
    <cellStyle name="Output 2 14 14 3" xfId="5204"/>
    <cellStyle name="Calculation 2 12 2 5 3 3" xfId="5205"/>
    <cellStyle name="Output 2 14 14 4" xfId="5206"/>
    <cellStyle name="Calculation 2 12 2 5 3 4" xfId="5207"/>
    <cellStyle name="Calculation 2 12 2 5 4" xfId="5208"/>
    <cellStyle name="Calculation 2 12 2 5 4 2" xfId="5209"/>
    <cellStyle name="Output 2 14 15 3" xfId="5210"/>
    <cellStyle name="Calculation 2 12 2 5 5 2" xfId="5211"/>
    <cellStyle name="Output 2 14 16 3" xfId="5212"/>
    <cellStyle name="Calculation 2 12 2 5 7" xfId="5213"/>
    <cellStyle name="Calculation 2 12 2 6" xfId="5214"/>
    <cellStyle name="Calculation 2 12 2 6 2" xfId="5215"/>
    <cellStyle name="Calculation 2 12 2 6 2 2" xfId="5216"/>
    <cellStyle name="Calculation 2 12 2 6 2 3" xfId="5217"/>
    <cellStyle name="Calculation 2 12 2 6 2 4" xfId="5218"/>
    <cellStyle name="Calculation 2 12 2 6 3" xfId="5219"/>
    <cellStyle name="Calculation 2 12 2 6 3 2" xfId="5220"/>
    <cellStyle name="Calculation 2 12 2 6 3 3" xfId="5221"/>
    <cellStyle name="Calculation 2 12 2 6 3 4" xfId="5222"/>
    <cellStyle name="Calculation 2 12 2 6 4" xfId="5223"/>
    <cellStyle name="Input [yellow]" xfId="5224"/>
    <cellStyle name="Calculation 2 12 3 3 5 2" xfId="5225"/>
    <cellStyle name="Calculation 2 4 2 2 5 3" xfId="5226"/>
    <cellStyle name="Input 2 10 11 5 3" xfId="5227"/>
    <cellStyle name="Calculation 2 12 2 6 5" xfId="5228"/>
    <cellStyle name="Calculation 2 12 3 3 5 3" xfId="5229"/>
    <cellStyle name="Calculation 2 12 2 6 6" xfId="5230"/>
    <cellStyle name="Calculation 2 12 2 6 7" xfId="5231"/>
    <cellStyle name="Calculation 2 12 2 7" xfId="5232"/>
    <cellStyle name="Input 2 10 4 2" xfId="5233"/>
    <cellStyle name="Output 2 14 2 8 5 2" xfId="5234"/>
    <cellStyle name="Output 2 8 2 7 3 2" xfId="5235"/>
    <cellStyle name="Output 2 9 16 2" xfId="5236"/>
    <cellStyle name="Calculation 2 12 2 7 2" xfId="5237"/>
    <cellStyle name="Input 2 10 4 2 2" xfId="5238"/>
    <cellStyle name="Calculation 2 12 2 7 3" xfId="5239"/>
    <cellStyle name="Input 2 10 4 2 3" xfId="5240"/>
    <cellStyle name="Calculation 2 12 2 7 3 2" xfId="5241"/>
    <cellStyle name="Calculation 2 12 2 7 3 3" xfId="5242"/>
    <cellStyle name="Calculation 2 12 2 7 3 4" xfId="5243"/>
    <cellStyle name="Calculation 2 13 2 2" xfId="5244"/>
    <cellStyle name="Calculation 2 7 2 8 3 4" xfId="5245"/>
    <cellStyle name="Note 2 12 8 6" xfId="5246"/>
    <cellStyle name="Calculation 2 12 2 7 4" xfId="5247"/>
    <cellStyle name="Input 2 10 4 2 4" xfId="5248"/>
    <cellStyle name="Calculation 2 13 2 2 2" xfId="5249"/>
    <cellStyle name="Input 2 16 7 7" xfId="5250"/>
    <cellStyle name="Input 2 9 5 3" xfId="5251"/>
    <cellStyle name="Note 2 2 5 4 4" xfId="5252"/>
    <cellStyle name="Calculation 2 12 2 7 4 2" xfId="5253"/>
    <cellStyle name="Calculation 2 13 2 2 3" xfId="5254"/>
    <cellStyle name="Input 2 9 5 4" xfId="5255"/>
    <cellStyle name="Calculation 2 12 2 7 4 3" xfId="5256"/>
    <cellStyle name="Calculation 2 13 2 3" xfId="5257"/>
    <cellStyle name="Note 2 12 8 7" xfId="5258"/>
    <cellStyle name="Note 2 3 2 2 5 2" xfId="5259"/>
    <cellStyle name="Calculation 2 12 2 7 5" xfId="5260"/>
    <cellStyle name="Calculation 2 13 2 3 2" xfId="5261"/>
    <cellStyle name="Input 2 16 8 7" xfId="5262"/>
    <cellStyle name="Input 2 9 6 3" xfId="5263"/>
    <cellStyle name="Note 2 2 5 5 4" xfId="5264"/>
    <cellStyle name="Calculation 2 12 2 7 5 2" xfId="5265"/>
    <cellStyle name="Calculation 2 13 2 3 3" xfId="5266"/>
    <cellStyle name="Input 2 9 6 4" xfId="5267"/>
    <cellStyle name="Calculation 2 12 2 7 5 3" xfId="5268"/>
    <cellStyle name="Calculation 2 13 2 4" xfId="5269"/>
    <cellStyle name="Note 2 3 2 2 5 3" xfId="5270"/>
    <cellStyle name="Calculation 2 12 2 7 6" xfId="5271"/>
    <cellStyle name="Calculation 2 13 2 5" xfId="5272"/>
    <cellStyle name="Calculation 2 12 2 7 7" xfId="5273"/>
    <cellStyle name="Calculation 2 12 2 8" xfId="5274"/>
    <cellStyle name="Input 2 10 4 3" xfId="5275"/>
    <cellStyle name="Output 2 14 2 8 5 3" xfId="5276"/>
    <cellStyle name="Output 2 8 2 7 3 3" xfId="5277"/>
    <cellStyle name="Output 2 9 16 3" xfId="5278"/>
    <cellStyle name="Calculation 2 12 2 8 2" xfId="5279"/>
    <cellStyle name="Input 2 10 4 3 2" xfId="5280"/>
    <cellStyle name="Calculation 2 12 2 8 3" xfId="5281"/>
    <cellStyle name="Input 2 10 4 3 3" xfId="5282"/>
    <cellStyle name="Calculation 2 12 2 8 3 2" xfId="5283"/>
    <cellStyle name="Calculation 2 12 2 8 3 3" xfId="5284"/>
    <cellStyle name="Calculation 2 12 2 8 3 4" xfId="5285"/>
    <cellStyle name="Calculation 2 13 3 2" xfId="5286"/>
    <cellStyle name="Input 2 12 18" xfId="5287"/>
    <cellStyle name="Note 2 12 9 6" xfId="5288"/>
    <cellStyle name="Calculation 2 12 2 8 4" xfId="5289"/>
    <cellStyle name="Input 2 10 4 3 4" xfId="5290"/>
    <cellStyle name="Calculation 2 13 3 2 2" xfId="5291"/>
    <cellStyle name="Calculation 2 12 2 8 4 2" xfId="5292"/>
    <cellStyle name="Calculation 2 13 3 2 3" xfId="5293"/>
    <cellStyle name="Calculation 2 12 2 8 4 3" xfId="5294"/>
    <cellStyle name="Calculation 2 13 3 3" xfId="5295"/>
    <cellStyle name="Calculation 2 14 10" xfId="5296"/>
    <cellStyle name="Input 2 12 19" xfId="5297"/>
    <cellStyle name="Note 2 12 9 7" xfId="5298"/>
    <cellStyle name="Calculation 2 12 2 8 5" xfId="5299"/>
    <cellStyle name="Calculation 2 14 10 2" xfId="5300"/>
    <cellStyle name="Calculation 2 13 3 3 2" xfId="5301"/>
    <cellStyle name="Calculation 2 12 2 8 5 2" xfId="5302"/>
    <cellStyle name="Calculation 2 14 10 3" xfId="5303"/>
    <cellStyle name="Calculation 2 13 3 3 3" xfId="5304"/>
    <cellStyle name="Calculation 2 12 2 8 5 3" xfId="5305"/>
    <cellStyle name="Calculation 2 12 2 9" xfId="5306"/>
    <cellStyle name="Input 2 10 4 4" xfId="5307"/>
    <cellStyle name="Output 2 8 2 7 3 4" xfId="5308"/>
    <cellStyle name="Calculation 2 12 2 9 2" xfId="5309"/>
    <cellStyle name="Input 2 10 4 4 2" xfId="5310"/>
    <cellStyle name="Calculation 2 12 2 9 3" xfId="5311"/>
    <cellStyle name="Input 2 10 4 4 3" xfId="5312"/>
    <cellStyle name="Calculation 2 12 2 9 3 2" xfId="5313"/>
    <cellStyle name="Calculation 2 12 2 9 3 3" xfId="5314"/>
    <cellStyle name="Calculation 2 12 2 9 3 4" xfId="5315"/>
    <cellStyle name="Calculation 2 13 4 2" xfId="5316"/>
    <cellStyle name="Note 2 4 10 6" xfId="5317"/>
    <cellStyle name="Calculation 2 12 2 9 4" xfId="5318"/>
    <cellStyle name="Calculation 2 13 4 2 3" xfId="5319"/>
    <cellStyle name="Calculation 2 12 2 9 4 3" xfId="5320"/>
    <cellStyle name="Calculation 2 13 4 3" xfId="5321"/>
    <cellStyle name="Note 2 4 10 7" xfId="5322"/>
    <cellStyle name="Calculation 2 12 2 9 5" xfId="5323"/>
    <cellStyle name="Calculation 2 13 4 3 3" xfId="5324"/>
    <cellStyle name="Calculation 2 12 2 9 5 3" xfId="5325"/>
    <cellStyle name="Calculation 2 13 4 4" xfId="5326"/>
    <cellStyle name="Note 2 4 10 8" xfId="5327"/>
    <cellStyle name="Calculation 2 12 2 9 6" xfId="5328"/>
    <cellStyle name="Output 2 2 7 3 2" xfId="5329"/>
    <cellStyle name="Calculation 2 13 4 5" xfId="5330"/>
    <cellStyle name="Input 2 2 2 6 6 2 2" xfId="5331"/>
    <cellStyle name="Calculation 2 12 2 9 7" xfId="5332"/>
    <cellStyle name="Output 2 2 7 3 3" xfId="5333"/>
    <cellStyle name="Calculation 2 12 3" xfId="5334"/>
    <cellStyle name="Output 2 3 3 4 2 4" xfId="5335"/>
    <cellStyle name="Calculation 2 12 3 10 2" xfId="5336"/>
    <cellStyle name="Calculation 2 12 3 10 2 2" xfId="5337"/>
    <cellStyle name="Calculation 2 14 3 8 2" xfId="5338"/>
    <cellStyle name="Input 2 12 5 3 2" xfId="5339"/>
    <cellStyle name="Calculation 2 12 3 10 3" xfId="5340"/>
    <cellStyle name="Calculation 2 14 3 8 2 2" xfId="5341"/>
    <cellStyle name="Calculation 2 6 2 7 2 3" xfId="5342"/>
    <cellStyle name="Note 2 2 3 3 9" xfId="5343"/>
    <cellStyle name="Calculation 2 12 3 10 3 2" xfId="5344"/>
    <cellStyle name="Calculation 2 14 3 8 2 3" xfId="5345"/>
    <cellStyle name="Calculation 2 6 2 7 2 4" xfId="5346"/>
    <cellStyle name="Calculation 2 12 3 10 3 3" xfId="5347"/>
    <cellStyle name="Calculation 2 14 3 8 3" xfId="5348"/>
    <cellStyle name="Input 2 12 5 3 3" xfId="5349"/>
    <cellStyle name="Calculation 2 12 3 10 4" xfId="5350"/>
    <cellStyle name="Calculation 2 14 3 8 3 3" xfId="5351"/>
    <cellStyle name="Calculation 2 6 2 7 3 4" xfId="5352"/>
    <cellStyle name="Calculation 2 12 3 10 4 3" xfId="5353"/>
    <cellStyle name="Calculation 2 14 3 8 4" xfId="5354"/>
    <cellStyle name="Input 2 12 5 3 4" xfId="5355"/>
    <cellStyle name="Output 2 10 8 3 2" xfId="5356"/>
    <cellStyle name="Output 2 6 3 6 5 2" xfId="5357"/>
    <cellStyle name="Calculation 2 12 3 10 5" xfId="5358"/>
    <cellStyle name="Input 2 11 3 5 3 2" xfId="5359"/>
    <cellStyle name="Calculation 2 14 3 8 4 2" xfId="5360"/>
    <cellStyle name="Calculation 2 6 2 7 4 3" xfId="5361"/>
    <cellStyle name="Calculation 2 12 3 10 5 2" xfId="5362"/>
    <cellStyle name="Calculation 2 14 3 8 4 3" xfId="5363"/>
    <cellStyle name="Calculation 2 12 3 10 5 3" xfId="5364"/>
    <cellStyle name="Calculation 2 14 3 8 5" xfId="5365"/>
    <cellStyle name="Output 2 10 8 3 3" xfId="5366"/>
    <cellStyle name="Output 2 6 3 6 5 3" xfId="5367"/>
    <cellStyle name="Calculation 2 12 3 10 6" xfId="5368"/>
    <cellStyle name="Input 2 11 3 5 3 3" xfId="5369"/>
    <cellStyle name="Note 2 2 2 17 2" xfId="5370"/>
    <cellStyle name="Calculation 2 14 3 8 6" xfId="5371"/>
    <cellStyle name="Output 2 10 8 3 4" xfId="5372"/>
    <cellStyle name="Output 2 4 8 2 2" xfId="5373"/>
    <cellStyle name="Calculation 2 12 3 10 7" xfId="5374"/>
    <cellStyle name="Input 2 11 3 5 3 4" xfId="5375"/>
    <cellStyle name="Note 2 11 3 5 3 2" xfId="5376"/>
    <cellStyle name="Calculation 2 2 15 2" xfId="5377"/>
    <cellStyle name="Calculation 2 12 3 13" xfId="5378"/>
    <cellStyle name="Note 2 29 4" xfId="5379"/>
    <cellStyle name="Calculation 2 2 15 3" xfId="5380"/>
    <cellStyle name="Input 2 9 3 2 2 2" xfId="5381"/>
    <cellStyle name="Calculation 2 12 3 14" xfId="5382"/>
    <cellStyle name="Calculation 2 2 15 4" xfId="5383"/>
    <cellStyle name="Input 2 9 3 2 2 3" xfId="5384"/>
    <cellStyle name="Calculation 2 12 3 15" xfId="5385"/>
    <cellStyle name="Calculation 2 7 2 4 5 2" xfId="5386"/>
    <cellStyle name="Calculation 2 12 3 16" xfId="5387"/>
    <cellStyle name="Calculation 2 7 2 4 5 3" xfId="5388"/>
    <cellStyle name="Calculation 2 8 7 4 2" xfId="5389"/>
    <cellStyle name="Calculation 2 12 3 2" xfId="5390"/>
    <cellStyle name="Note 2 11 9 6" xfId="5391"/>
    <cellStyle name="Output 2 5 3 4 6" xfId="5392"/>
    <cellStyle name="Calculation 2 12 3 2 2" xfId="5393"/>
    <cellStyle name="Calculation 2 14 2 9 4 2" xfId="5394"/>
    <cellStyle name="Calculation 2 12 3 2 2 4" xfId="5395"/>
    <cellStyle name="Calculation 2 12 3 2 3 2" xfId="5396"/>
    <cellStyle name="Input 2 10 10 3 3" xfId="5397"/>
    <cellStyle name="Calculation 2 12 3 2 3 3" xfId="5398"/>
    <cellStyle name="Input 2 10 10 3 4" xfId="5399"/>
    <cellStyle name="Calculation 2 14 2 9 5 2" xfId="5400"/>
    <cellStyle name="Note 2 14 12" xfId="5401"/>
    <cellStyle name="Calculation 2 12 3 2 3 4" xfId="5402"/>
    <cellStyle name="Calculation 2 12 3 2 4" xfId="5403"/>
    <cellStyle name="Calculation 2 12 3 2 4 2" xfId="5404"/>
    <cellStyle name="Input 2 10 10 4 3" xfId="5405"/>
    <cellStyle name="Calculation 2 12 3 2 4 3" xfId="5406"/>
    <cellStyle name="Calculation 2 13 2 14 2" xfId="5407"/>
    <cellStyle name="Note 2 13 5 3 2" xfId="5408"/>
    <cellStyle name="Calculation 2 12 3 2 5" xfId="5409"/>
    <cellStyle name="Calculation 2 12 3 2 5 2" xfId="5410"/>
    <cellStyle name="Input 2 10 10 5 3" xfId="5411"/>
    <cellStyle name="Input 2 12 2 14" xfId="5412"/>
    <cellStyle name="Calculation 2 12 3 2 5 3" xfId="5413"/>
    <cellStyle name="Input 2 12 2 15" xfId="5414"/>
    <cellStyle name="Calculation 2 13 2 14 3" xfId="5415"/>
    <cellStyle name="Note 2 13 5 3 3" xfId="5416"/>
    <cellStyle name="Calculation 2 12 3 2 6" xfId="5417"/>
    <cellStyle name="Calculation 2 12 3 3" xfId="5418"/>
    <cellStyle name="Note 2 11 9 7" xfId="5419"/>
    <cellStyle name="Output 2 5 3 4 7" xfId="5420"/>
    <cellStyle name="Calculation 2 12 3 3 2" xfId="5421"/>
    <cellStyle name="Calculation 2 12 3 3 3" xfId="5422"/>
    <cellStyle name="Calculation 2 12 3 4" xfId="5423"/>
    <cellStyle name="Calculation 2 13 2 15" xfId="5424"/>
    <cellStyle name="Calculation 2 5 8 7" xfId="5425"/>
    <cellStyle name="Note 2 13 5 4" xfId="5426"/>
    <cellStyle name="Calculation 2 12 3 4 2" xfId="5427"/>
    <cellStyle name="Calculation 2 13 2 16" xfId="5428"/>
    <cellStyle name="Calculation 2 5 8 8" xfId="5429"/>
    <cellStyle name="Input 2 8 2 8 2" xfId="5430"/>
    <cellStyle name="Note 2 13 5 5" xfId="5431"/>
    <cellStyle name="Calculation 2 12 3 4 3" xfId="5432"/>
    <cellStyle name="Calculation 2 12 3 4 5" xfId="5433"/>
    <cellStyle name="Calculation 2 12 3 4 3 2" xfId="5434"/>
    <cellStyle name="Calculation 2 4 2 3 3 3" xfId="5435"/>
    <cellStyle name="Input 2 10 12 3 3" xfId="5436"/>
    <cellStyle name="Calculation 2 12 3 4 6" xfId="5437"/>
    <cellStyle name="Calculation 2 12 3 4 3 3" xfId="5438"/>
    <cellStyle name="Calculation 2 4 2 3 3 4" xfId="5439"/>
    <cellStyle name="Input 2 10 12 3 4" xfId="5440"/>
    <cellStyle name="Calculation 2 12 3 4 4" xfId="5441"/>
    <cellStyle name="Calculation 2 12 3 5 5" xfId="5442"/>
    <cellStyle name="Calculation 2 12 3 4 4 2" xfId="5443"/>
    <cellStyle name="Calculation 2 4 2 3 4 3" xfId="5444"/>
    <cellStyle name="Input 2 10 12 4 3" xfId="5445"/>
    <cellStyle name="Calculation 2 12 3 5 6" xfId="5446"/>
    <cellStyle name="Calculation 2 12 3 4 4 3" xfId="5447"/>
    <cellStyle name="Calculation 2 12 3 6 5" xfId="5448"/>
    <cellStyle name="Calculation 2 12 3 4 5 2" xfId="5449"/>
    <cellStyle name="Calculation 2 4 2 3 5 3" xfId="5450"/>
    <cellStyle name="Input 2 10 12 5 3" xfId="5451"/>
    <cellStyle name="Calculation 2 12 3 6 6" xfId="5452"/>
    <cellStyle name="Calculation 2 12 3 4 5 3" xfId="5453"/>
    <cellStyle name="Calculation 2 12 3 5" xfId="5454"/>
    <cellStyle name="Calculation 2 12 3 5 2" xfId="5455"/>
    <cellStyle name="Calculation 2 12 3 5 2 2" xfId="5456"/>
    <cellStyle name="Calculation 2 4 2 4 2 3" xfId="5457"/>
    <cellStyle name="Calculation 2 12 3 5 2 3" xfId="5458"/>
    <cellStyle name="Calculation 2 4 2 4 2 4" xfId="5459"/>
    <cellStyle name="Calculation 2 12 3 5 3" xfId="5460"/>
    <cellStyle name="Calculation 2 12 3 5 3 2" xfId="5461"/>
    <cellStyle name="Calculation 2 4 2 4 3 3" xfId="5462"/>
    <cellStyle name="Calculation 2 12 3 5 3 3" xfId="5463"/>
    <cellStyle name="Calculation 2 4 2 4 3 4" xfId="5464"/>
    <cellStyle name="Calculation 2 12 3 5 4" xfId="5465"/>
    <cellStyle name="Calculation 2 12 3 5 4 2" xfId="5466"/>
    <cellStyle name="Calculation 2 4 2 4 4 3" xfId="5467"/>
    <cellStyle name="Calculation 2 12 3 5 5 2" xfId="5468"/>
    <cellStyle name="Calculation 2 4 2 4 5 3" xfId="5469"/>
    <cellStyle name="Input 2 3 2 10 3" xfId="5470"/>
    <cellStyle name="Calculation 2 12 3 5 5 3" xfId="5471"/>
    <cellStyle name="Input 2 3 2 10 4" xfId="5472"/>
    <cellStyle name="Calculation 2 12 3 6" xfId="5473"/>
    <cellStyle name="Calculation 2 12 3 6 2" xfId="5474"/>
    <cellStyle name="Calculation 2 12 3 6 2 2" xfId="5475"/>
    <cellStyle name="Calculation 2 4 2 5 2 3" xfId="5476"/>
    <cellStyle name="Calculation 2 12 3 6 2 3" xfId="5477"/>
    <cellStyle name="Calculation 2 4 2 5 2 4" xfId="5478"/>
    <cellStyle name="Calculation 2 12 3 6 3" xfId="5479"/>
    <cellStyle name="Calculation 2 12 3 6 3 2" xfId="5480"/>
    <cellStyle name="Calculation 2 4 2 5 3 3" xfId="5481"/>
    <cellStyle name="Calculation 2 12 3 6 3 3" xfId="5482"/>
    <cellStyle name="Calculation 2 4 2 5 3 4" xfId="5483"/>
    <cellStyle name="Calculation 2 12 3 6 4" xfId="5484"/>
    <cellStyle name="Calculation 2 12 3 6 5 2" xfId="5485"/>
    <cellStyle name="Calculation 2 4 2 5 5 3" xfId="5486"/>
    <cellStyle name="Calculation 2 12 3 6 7" xfId="5487"/>
    <cellStyle name="Title 2 4 2 2" xfId="5488"/>
    <cellStyle name="Calculation 2 12 3 7" xfId="5489"/>
    <cellStyle name="Input 2 10 5 2" xfId="5490"/>
    <cellStyle name="Output 2 8 2 7 4 2" xfId="5491"/>
    <cellStyle name="Output 2 9 17 2" xfId="5492"/>
    <cellStyle name="Calculation 2 12 3 7 2" xfId="5493"/>
    <cellStyle name="Input 2 10 5 2 2" xfId="5494"/>
    <cellStyle name="Output 2 9 17 2 2" xfId="5495"/>
    <cellStyle name="Calculation 2 12 3 7 2 3" xfId="5496"/>
    <cellStyle name="Calculation 2 4 2 6 2 4" xfId="5497"/>
    <cellStyle name="Output 2 9 2 10 2 2" xfId="5498"/>
    <cellStyle name="Calculation 2 12 3 7 2 4" xfId="5499"/>
    <cellStyle name="Calculation 2 5 12 5 2" xfId="5500"/>
    <cellStyle name="Output 2 9 2 10 2 3" xfId="5501"/>
    <cellStyle name="Calculation 2 12 3 7 3" xfId="5502"/>
    <cellStyle name="Input 2 10 5 2 3" xfId="5503"/>
    <cellStyle name="Calculation 2 12 3 7 3 2" xfId="5504"/>
    <cellStyle name="Calculation 2 4 2 6 3 3" xfId="5505"/>
    <cellStyle name="Calculation 2 12 3 7 3 3" xfId="5506"/>
    <cellStyle name="Calculation 2 4 2 6 3 4" xfId="5507"/>
    <cellStyle name="Output 2 9 2 10 3 2" xfId="5508"/>
    <cellStyle name="Calculation 2 12 3 7 3 4" xfId="5509"/>
    <cellStyle name="Output 2 9 2 10 3 3" xfId="5510"/>
    <cellStyle name="Calculation 2 14 2 2" xfId="5511"/>
    <cellStyle name="Calculation 2 7 2 9 3 4" xfId="5512"/>
    <cellStyle name="Note 2 13 8 6" xfId="5513"/>
    <cellStyle name="Calculation 2 12 3 7 4" xfId="5514"/>
    <cellStyle name="Input 2 10 5 2 4" xfId="5515"/>
    <cellStyle name="Calculation 2 14 2 2 2" xfId="5516"/>
    <cellStyle name="Calculation 2 12 3 7 4 2" xfId="5517"/>
    <cellStyle name="Calculation 2 4 2 6 4 3" xfId="5518"/>
    <cellStyle name="Calculation 2 14 2 2 3" xfId="5519"/>
    <cellStyle name="Calculation 2 12 3 7 4 3" xfId="5520"/>
    <cellStyle name="Output 2 9 2 10 4 2" xfId="5521"/>
    <cellStyle name="Calculation 2 14 2 3" xfId="5522"/>
    <cellStyle name="Note 2 13 8 7" xfId="5523"/>
    <cellStyle name="Note 2 3 2 3 5 2" xfId="5524"/>
    <cellStyle name="Calculation 2 12 3 7 5" xfId="5525"/>
    <cellStyle name="Calculation 2 14 2 3 2" xfId="5526"/>
    <cellStyle name="Calculation 2 12 3 7 5 2" xfId="5527"/>
    <cellStyle name="Calculation 2 4 2 6 5 3" xfId="5528"/>
    <cellStyle name="Input 2 13 2 14" xfId="5529"/>
    <cellStyle name="Calculation 2 14 2 3 3" xfId="5530"/>
    <cellStyle name="Calculation 2 12 3 7 5 3" xfId="5531"/>
    <cellStyle name="Input 2 13 2 15" xfId="5532"/>
    <cellStyle name="Output 2 9 2 10 5 2" xfId="5533"/>
    <cellStyle name="Calculation 2 14 2 4" xfId="5534"/>
    <cellStyle name="Note 2 3 2 3 5 3" xfId="5535"/>
    <cellStyle name="Calculation 2 12 3 7 6" xfId="5536"/>
    <cellStyle name="Calculation 2 14 2 5" xfId="5537"/>
    <cellStyle name="Calculation 2 12 3 7 7" xfId="5538"/>
    <cellStyle name="Calculation 2 12 3 8" xfId="5539"/>
    <cellStyle name="Input 2 10 5 3" xfId="5540"/>
    <cellStyle name="Output 2 8 2 7 4 3" xfId="5541"/>
    <cellStyle name="Calculation 2 12 3 8 2" xfId="5542"/>
    <cellStyle name="Input 2 10 5 3 2" xfId="5543"/>
    <cellStyle name="Calculation 2 12 3 8 3" xfId="5544"/>
    <cellStyle name="Input 2 10 5 3 3" xfId="5545"/>
    <cellStyle name="Calculation 2 12 3 8 3 2" xfId="5546"/>
    <cellStyle name="Calculation 2 4 2 7 3 3" xfId="5547"/>
    <cellStyle name="Note 2 12 2 10 3 3" xfId="5548"/>
    <cellStyle name="Calculation 2 14 3 2" xfId="5549"/>
    <cellStyle name="Note 2 13 9 6" xfId="5550"/>
    <cellStyle name="Calculation 2 12 3 8 4" xfId="5551"/>
    <cellStyle name="Input 2 10 5 3 4" xfId="5552"/>
    <cellStyle name="Calculation 2 14 3 2 2" xfId="5553"/>
    <cellStyle name="Calculation 2 12 3 8 4 2" xfId="5554"/>
    <cellStyle name="Calculation 2 4 2 7 4 3" xfId="5555"/>
    <cellStyle name="Note 2 12 2 10 4 3" xfId="5556"/>
    <cellStyle name="Calculation 2 14 3 3" xfId="5557"/>
    <cellStyle name="Note 2 13 9 7" xfId="5558"/>
    <cellStyle name="Calculation 2 12 3 8 5" xfId="5559"/>
    <cellStyle name="Calculation 2 14 3 3 2" xfId="5560"/>
    <cellStyle name="Calculation 2 12 3 8 5 2" xfId="5561"/>
    <cellStyle name="Calculation 2 4 2 7 5 3" xfId="5562"/>
    <cellStyle name="Note 2 12 2 10 5 3" xfId="5563"/>
    <cellStyle name="Calculation 2 14 3 4" xfId="5564"/>
    <cellStyle name="Calculation 2 12 3 8 6" xfId="5565"/>
    <cellStyle name="Output 2 2 8 2 2" xfId="5566"/>
    <cellStyle name="Calculation 2 14 3 5" xfId="5567"/>
    <cellStyle name="Calculation 2 12 3 8 7" xfId="5568"/>
    <cellStyle name="Output 2 2 8 2 3" xfId="5569"/>
    <cellStyle name="Calculation 2 12 3 9" xfId="5570"/>
    <cellStyle name="Input 2 10 5 4" xfId="5571"/>
    <cellStyle name="Calculation 2 13 3 15" xfId="5572"/>
    <cellStyle name="Calculation 2 7 2 9 5 2" xfId="5573"/>
    <cellStyle name="Output 2 13 2 6 3 4" xfId="5574"/>
    <cellStyle name="Calculation 2 12 3 9 2" xfId="5575"/>
    <cellStyle name="Input 2 10 5 4 2" xfId="5576"/>
    <cellStyle name="Calculation 2 13 3 16" xfId="5577"/>
    <cellStyle name="Calculation 2 7 2 9 5 3" xfId="5578"/>
    <cellStyle name="Calculation 2 12 3 9 3" xfId="5579"/>
    <cellStyle name="Input 2 10 5 4 3" xfId="5580"/>
    <cellStyle name="Calculation 2 14 4 3" xfId="5581"/>
    <cellStyle name="Calculation 2 12 3 9 5" xfId="5582"/>
    <cellStyle name="Calculation 2 14 4 3 2" xfId="5583"/>
    <cellStyle name="Calculation 2 12 3 9 5 2" xfId="5584"/>
    <cellStyle name="Calculation 2 4 2 8 5 3" xfId="5585"/>
    <cellStyle name="Calculation 2 14 4 4" xfId="5586"/>
    <cellStyle name="Calculation 2 12 3 9 6" xfId="5587"/>
    <cellStyle name="Output 2 2 8 3 2" xfId="5588"/>
    <cellStyle name="Calculation 2 14 4 5" xfId="5589"/>
    <cellStyle name="Calculation 2 12 3 9 7" xfId="5590"/>
    <cellStyle name="Output 2 2 8 3 3" xfId="5591"/>
    <cellStyle name="Calculation 2 12 4" xfId="5592"/>
    <cellStyle name="Calculation 2 12 4 2" xfId="5593"/>
    <cellStyle name="Output 2 5 3 5 6" xfId="5594"/>
    <cellStyle name="Calculation 2 12 4 2 3" xfId="5595"/>
    <cellStyle name="Calculation 2 12 4 2 4" xfId="5596"/>
    <cellStyle name="Calculation 2 12 4 3" xfId="5597"/>
    <cellStyle name="Output 2 5 3 5 7" xfId="5598"/>
    <cellStyle name="Calculation 2 12 4 3 3" xfId="5599"/>
    <cellStyle name="Calculation 2 12 4 3 4" xfId="5600"/>
    <cellStyle name="Calculation 2 12 4 4 2" xfId="5601"/>
    <cellStyle name="Calculation 2 12 4 4 3" xfId="5602"/>
    <cellStyle name="Calculation 2 12 4 5" xfId="5603"/>
    <cellStyle name="Calculation 2 12 4 5 2" xfId="5604"/>
    <cellStyle name="Calculation 2 12 4 6" xfId="5605"/>
    <cellStyle name="Calculation 2 13 3 10 2" xfId="5606"/>
    <cellStyle name="Input 2 13 2 6 3 2" xfId="5607"/>
    <cellStyle name="Note 2 15 14" xfId="5608"/>
    <cellStyle name="Calculation 2 12 4 7" xfId="5609"/>
    <cellStyle name="Input 2 10 6 2" xfId="5610"/>
    <cellStyle name="Output 2 8 2 7 5 2" xfId="5611"/>
    <cellStyle name="Calculation 2 12 5" xfId="5612"/>
    <cellStyle name="Calculation 2 12 5 2" xfId="5613"/>
    <cellStyle name="Note 2 16 7 2 3" xfId="5614"/>
    <cellStyle name="Output 2 5 3 6 6" xfId="5615"/>
    <cellStyle name="Calculation 2 12 5 2 3" xfId="5616"/>
    <cellStyle name="Calculation 2 12 5 2 4" xfId="5617"/>
    <cellStyle name="Calculation 2 12 5 3" xfId="5618"/>
    <cellStyle name="Note 2 16 7 2 4" xfId="5619"/>
    <cellStyle name="Output 2 5 3 6 7" xfId="5620"/>
    <cellStyle name="Calculation 2 12 5 3 3" xfId="5621"/>
    <cellStyle name="Calculation 2 12 5 4" xfId="5622"/>
    <cellStyle name="Calculation 2 12 5 4 2" xfId="5623"/>
    <cellStyle name="Calculation 2 12 5 4 3" xfId="5624"/>
    <cellStyle name="Calculation 2 12 5 5" xfId="5625"/>
    <cellStyle name="Calculation 2 13 3 11 2" xfId="5626"/>
    <cellStyle name="Input 2 13 2 6 4 2" xfId="5627"/>
    <cellStyle name="Calculation 2 12 5 7" xfId="5628"/>
    <cellStyle name="Input 2 10 7 2" xfId="5629"/>
    <cellStyle name="Calculation 2 12 6" xfId="5630"/>
    <cellStyle name="Calculation 2 2 2 10 7" xfId="5631"/>
    <cellStyle name="Calculation 2 12 6 3" xfId="5632"/>
    <cellStyle name="Note 2 16 7 3 4" xfId="5633"/>
    <cellStyle name="Output 2 5 3 7 7" xfId="5634"/>
    <cellStyle name="Calculation 2 2 2 10 8" xfId="5635"/>
    <cellStyle name="Calculation 2 12 6 4" xfId="5636"/>
    <cellStyle name="Calculation 2 12 6 4 2" xfId="5637"/>
    <cellStyle name="Calculation 2 12 6 4 3" xfId="5638"/>
    <cellStyle name="Calculation 2 12 6 5" xfId="5639"/>
    <cellStyle name="Calculation 2 12 6 5 2" xfId="5640"/>
    <cellStyle name="Calculation 2 12 6 5 3" xfId="5641"/>
    <cellStyle name="Calculation 2 12 6 6" xfId="5642"/>
    <cellStyle name="Calculation 2 13 3 12 2" xfId="5643"/>
    <cellStyle name="Input 2 13 2 6 5 2" xfId="5644"/>
    <cellStyle name="Calculation 2 12 6 7" xfId="5645"/>
    <cellStyle name="Input 2 10 8 2" xfId="5646"/>
    <cellStyle name="Calculation 2 12 7" xfId="5647"/>
    <cellStyle name="Calculation 2 12 7 4 2" xfId="5648"/>
    <cellStyle name="Calculation 2 12 7 5 2" xfId="5649"/>
    <cellStyle name="Calculation 2 12 7 5 3" xfId="5650"/>
    <cellStyle name="Calculation 2 13 3 13 2" xfId="5651"/>
    <cellStyle name="Calculation 2 12 7 7" xfId="5652"/>
    <cellStyle name="Input 2 10 9 2" xfId="5653"/>
    <cellStyle name="Calculation 2 15 12" xfId="5654"/>
    <cellStyle name="Calculation 2 13 8 5" xfId="5655"/>
    <cellStyle name="Input 2 14 3 6 2 4" xfId="5656"/>
    <cellStyle name="Note 2 14 3 6 2 2" xfId="5657"/>
    <cellStyle name="Calculation 2 12 9 2 3" xfId="5658"/>
    <cellStyle name="Explanatory Text 2 2 2 2 2 2 2" xfId="5659"/>
    <cellStyle name="Calculation 2 15 13" xfId="5660"/>
    <cellStyle name="Calculation 2 13 8 6" xfId="5661"/>
    <cellStyle name="Note 2 14 3 6 2 3" xfId="5662"/>
    <cellStyle name="Calculation 2 12 9 2 4" xfId="5663"/>
    <cellStyle name="Calculation 2 13 9 5" xfId="5664"/>
    <cellStyle name="Calculation 2 2 4 2 2" xfId="5665"/>
    <cellStyle name="Input 2 14 3 6 3 4" xfId="5666"/>
    <cellStyle name="Note 2 14 3 6 3 2" xfId="5667"/>
    <cellStyle name="Calculation 2 12 9 3 3" xfId="5668"/>
    <cellStyle name="Calculation 2 13 9 6" xfId="5669"/>
    <cellStyle name="Calculation 2 2 4 2 3" xfId="5670"/>
    <cellStyle name="Normal 21 2 2" xfId="5671"/>
    <cellStyle name="Note 2 14 3 6 3 3" xfId="5672"/>
    <cellStyle name="Calculation 2 12 9 3 4" xfId="5673"/>
    <cellStyle name="Calculation 2 13 10 2 4" xfId="5674"/>
    <cellStyle name="Input 2 5 6 3 4" xfId="5675"/>
    <cellStyle name="Calculation 2 13 10 3 3" xfId="5676"/>
    <cellStyle name="Input 2 14 11 3 4" xfId="5677"/>
    <cellStyle name="Input 2 5 6 4 3" xfId="5678"/>
    <cellStyle name="Calculation 2 13 10 3 4" xfId="5679"/>
    <cellStyle name="Calculation 2 13 10 4 3" xfId="5680"/>
    <cellStyle name="Input 2 5 6 5 3" xfId="5681"/>
    <cellStyle name="Normal 2 3 10 2" xfId="5682"/>
    <cellStyle name="Calculation 2 13 10 5" xfId="5683"/>
    <cellStyle name="Input 2 5 6 6" xfId="5684"/>
    <cellStyle name="Output 2 12 2 2 2 3" xfId="5685"/>
    <cellStyle name="Calculation 2 13 10 5 2" xfId="5686"/>
    <cellStyle name="Input 2 14 11 5 3" xfId="5687"/>
    <cellStyle name="Calculation 2 13 10 5 3" xfId="5688"/>
    <cellStyle name="Normal 2 3 11 2" xfId="5689"/>
    <cellStyle name="Calculation 2 13 10 6" xfId="5690"/>
    <cellStyle name="Calculation 2 6 2 5 4 2" xfId="5691"/>
    <cellStyle name="Input 2 5 6 7" xfId="5692"/>
    <cellStyle name="Output 2 12 2 2 2 4" xfId="5693"/>
    <cellStyle name="Calculation 2 13 10 7" xfId="5694"/>
    <cellStyle name="Calculation 2 6 2 5 4 3" xfId="5695"/>
    <cellStyle name="Calculation 2 14 3 6 4 2" xfId="5696"/>
    <cellStyle name="Input 2 5 6 8" xfId="5697"/>
    <cellStyle name="Calculation 2 13 11 5" xfId="5698"/>
    <cellStyle name="Input 2 5 7 6" xfId="5699"/>
    <cellStyle name="Output 2 12 2 2 3 3" xfId="5700"/>
    <cellStyle name="Calculation 2 13 11 5 2" xfId="5701"/>
    <cellStyle name="Input 2 14 12 5 3" xfId="5702"/>
    <cellStyle name="Calculation 2 13 11 6" xfId="5703"/>
    <cellStyle name="Calculation 2 6 2 5 5 2" xfId="5704"/>
    <cellStyle name="Input 2 5 7 7" xfId="5705"/>
    <cellStyle name="Output 2 12 2 2 3 4" xfId="5706"/>
    <cellStyle name="Calculation 2 13 11 7" xfId="5707"/>
    <cellStyle name="Calculation 2 6 2 5 5 3" xfId="5708"/>
    <cellStyle name="Calculation 2 14 3 6 5 2" xfId="5709"/>
    <cellStyle name="Input 2 5 7 8" xfId="5710"/>
    <cellStyle name="Calculation 2 13 12 3 2" xfId="5711"/>
    <cellStyle name="Input 2 5 2 5 3 4" xfId="5712"/>
    <cellStyle name="Input 2 5 8 4 2" xfId="5713"/>
    <cellStyle name="Calculation 2 13 12 3 3" xfId="5714"/>
    <cellStyle name="Input 2 5 8 4 3" xfId="5715"/>
    <cellStyle name="Calculation 2 13 12 3 4" xfId="5716"/>
    <cellStyle name="Calculation 2 3 3 3 3 2" xfId="5717"/>
    <cellStyle name="Calculation 2 13 12 4 2" xfId="5718"/>
    <cellStyle name="Input 2 5 8 5 2" xfId="5719"/>
    <cellStyle name="Calculation 2 13 12 4 3" xfId="5720"/>
    <cellStyle name="Input 2 5 8 5 3" xfId="5721"/>
    <cellStyle name="Calculation 2 13 12 5" xfId="5722"/>
    <cellStyle name="Input 2 5 8 6" xfId="5723"/>
    <cellStyle name="Output 2 12 2 2 4 3" xfId="5724"/>
    <cellStyle name="Calculation 2 13 12 5 2" xfId="5725"/>
    <cellStyle name="Input 2 7 2 10 3" xfId="5726"/>
    <cellStyle name="Calculation 2 13 12 5 3" xfId="5727"/>
    <cellStyle name="Input 2 7 2 10 4" xfId="5728"/>
    <cellStyle name="Calculation 2 13 12 6" xfId="5729"/>
    <cellStyle name="Input 2 5 8 7" xfId="5730"/>
    <cellStyle name="Calculation 2 13 12 7" xfId="5731"/>
    <cellStyle name="Input 2 5 8 8" xfId="5732"/>
    <cellStyle name="Calculation 2 13 13" xfId="5733"/>
    <cellStyle name="Note 2 12 3 16" xfId="5734"/>
    <cellStyle name="Note 2 8 7 4 2" xfId="5735"/>
    <cellStyle name="Calculation 2 13 14" xfId="5736"/>
    <cellStyle name="Note 2 8 7 4 3" xfId="5737"/>
    <cellStyle name="Calculation 2 13 14 2" xfId="5738"/>
    <cellStyle name="Input 2 4 12 7" xfId="5739"/>
    <cellStyle name="Calculation 2 13 14 3" xfId="5740"/>
    <cellStyle name="Input 2 4 12 8" xfId="5741"/>
    <cellStyle name="Calculation 2 13 15" xfId="5742"/>
    <cellStyle name="Calculation 2 13 16" xfId="5743"/>
    <cellStyle name="Calculation 2 13 16 2" xfId="5744"/>
    <cellStyle name="Calculation 2 13 16 3" xfId="5745"/>
    <cellStyle name="Calculation 2 13 17" xfId="5746"/>
    <cellStyle name="Input 2 7 3 4 3 2" xfId="5747"/>
    <cellStyle name="Calculation 2 13 2 10" xfId="5748"/>
    <cellStyle name="Calculation 2 5 8 2" xfId="5749"/>
    <cellStyle name="Note 2 4 3 8 5" xfId="5750"/>
    <cellStyle name="Calculation 2 13 2 10 2" xfId="5751"/>
    <cellStyle name="Calculation 2 5 8 2 2" xfId="5752"/>
    <cellStyle name="Note 2 4 3 8 5 2" xfId="5753"/>
    <cellStyle name="Calculation 2 13 2 10 2 3" xfId="5754"/>
    <cellStyle name="Calculation 2 13 2 10 2 4" xfId="5755"/>
    <cellStyle name="Calculation 2 13 2 10 3" xfId="5756"/>
    <cellStyle name="Calculation 2 5 8 2 3" xfId="5757"/>
    <cellStyle name="Note 2 4 3 8 5 3" xfId="5758"/>
    <cellStyle name="Calculation 2 13 2 10 3 3" xfId="5759"/>
    <cellStyle name="Calculation 2 13 2 10 3 4" xfId="5760"/>
    <cellStyle name="Calculation 2 13 2 10 4" xfId="5761"/>
    <cellStyle name="Calculation 2 5 8 2 4" xfId="5762"/>
    <cellStyle name="Calculation 2 13 2 10 4 2" xfId="5763"/>
    <cellStyle name="Calculation 2 8 6 3 4" xfId="5764"/>
    <cellStyle name="Calculation 2 13 2 10 4 3" xfId="5765"/>
    <cellStyle name="Calculation 2 13 2 11" xfId="5766"/>
    <cellStyle name="Calculation 2 5 8 3" xfId="5767"/>
    <cellStyle name="Note 2 4 3 8 6" xfId="5768"/>
    <cellStyle name="Calculation 2 13 2 11 2" xfId="5769"/>
    <cellStyle name="Calculation 2 5 8 3 2" xfId="5770"/>
    <cellStyle name="Calculation 2 13 2 11 3" xfId="5771"/>
    <cellStyle name="Calculation 2 5 8 3 3" xfId="5772"/>
    <cellStyle name="Calculation 2 13 2 11 4" xfId="5773"/>
    <cellStyle name="Calculation 2 5 8 3 4" xfId="5774"/>
    <cellStyle name="Calculation 2 13 2 12" xfId="5775"/>
    <cellStyle name="Calculation 2 5 8 4" xfId="5776"/>
    <cellStyle name="Note 2 4 3 8 7" xfId="5777"/>
    <cellStyle name="Calculation 2 13 2 12 2" xfId="5778"/>
    <cellStyle name="Calculation 2 5 8 4 2" xfId="5779"/>
    <cellStyle name="Calculation 2 13 2 12 3" xfId="5780"/>
    <cellStyle name="Calculation 2 5 8 4 3" xfId="5781"/>
    <cellStyle name="Calculation 2 13 2 12 4" xfId="5782"/>
    <cellStyle name="Total 2 7 2 2 4 2" xfId="5783"/>
    <cellStyle name="Calculation 2 13 2 13" xfId="5784"/>
    <cellStyle name="Calculation 2 5 8 5" xfId="5785"/>
    <cellStyle name="Note 2 13 5 2" xfId="5786"/>
    <cellStyle name="Calculation 2 13 2 13 2" xfId="5787"/>
    <cellStyle name="Calculation 2 5 8 5 2" xfId="5788"/>
    <cellStyle name="Note 2 13 5 2 2" xfId="5789"/>
    <cellStyle name="Total 2 7 2 2 4 3" xfId="5790"/>
    <cellStyle name="Calculation 2 13 2 14" xfId="5791"/>
    <cellStyle name="Calculation 2 5 8 6" xfId="5792"/>
    <cellStyle name="Note 2 13 5 3" xfId="5793"/>
    <cellStyle name="Calculation 2 14 7" xfId="5794"/>
    <cellStyle name="Calculation 2 13 2 2 2 2" xfId="5795"/>
    <cellStyle name="Input 2 9 5 3 2" xfId="5796"/>
    <cellStyle name="Calculation 2 13 2 2 4" xfId="5797"/>
    <cellStyle name="Input 2 9 5 5" xfId="5798"/>
    <cellStyle name="Calculation 2 16 7" xfId="5799"/>
    <cellStyle name="Calculation 2 21 7" xfId="5800"/>
    <cellStyle name="Input 2 3 2 2 3 3" xfId="5801"/>
    <cellStyle name="Calculation 2 13 2 2 4 2" xfId="5802"/>
    <cellStyle name="Input 2 9 5 5 2" xfId="5803"/>
    <cellStyle name="Calculation 2 16 8" xfId="5804"/>
    <cellStyle name="Calculation 2 21 8" xfId="5805"/>
    <cellStyle name="Input 2 3 2 2 3 4" xfId="5806"/>
    <cellStyle name="Calculation 2 13 2 2 4 3" xfId="5807"/>
    <cellStyle name="Input 2 9 5 5 3" xfId="5808"/>
    <cellStyle name="Calculation 2 13 2 2 5" xfId="5809"/>
    <cellStyle name="Input 2 9 5 6" xfId="5810"/>
    <cellStyle name="Calculation 2 13 2 2 6" xfId="5811"/>
    <cellStyle name="Calculation 2 6 2 9 3 2" xfId="5812"/>
    <cellStyle name="Input 2 9 5 7" xfId="5813"/>
    <cellStyle name="Calculation 2 13 2 2 7" xfId="5814"/>
    <cellStyle name="Calculation 2 6 2 9 3 3" xfId="5815"/>
    <cellStyle name="Note 2 13 15 2" xfId="5816"/>
    <cellStyle name="Calculation 2 13 2 3 2 2" xfId="5817"/>
    <cellStyle name="Input 2 9 6 3 2" xfId="5818"/>
    <cellStyle name="Input 2 9 6 5" xfId="5819"/>
    <cellStyle name="Calculation 2 13 2 3 4" xfId="5820"/>
    <cellStyle name="Output 2 12 2 6 2 2" xfId="5821"/>
    <cellStyle name="Calculation 2 13 2 3 4 3" xfId="5822"/>
    <cellStyle name="Input 2 9 6 5 3" xfId="5823"/>
    <cellStyle name="Input 2 9 6 6" xfId="5824"/>
    <cellStyle name="Calculation 2 13 2 3 5" xfId="5825"/>
    <cellStyle name="Output 2 12 2 6 2 3" xfId="5826"/>
    <cellStyle name="Calculation 2 13 7 2 4" xfId="5827"/>
    <cellStyle name="Calculation 2 13 2 3 5 3" xfId="5828"/>
    <cellStyle name="Calculation 2 6 2 9 4 2" xfId="5829"/>
    <cellStyle name="Input 2 9 6 7" xfId="5830"/>
    <cellStyle name="Calculation 2 13 2 3 6" xfId="5831"/>
    <cellStyle name="Output 2 12 2 6 2 4" xfId="5832"/>
    <cellStyle name="Calculation 2 13 2 3 7" xfId="5833"/>
    <cellStyle name="Calculation 2 6 2 9 4 3" xfId="5834"/>
    <cellStyle name="Note 2 13 16 2" xfId="5835"/>
    <cellStyle name="Calculation 2 13 2 4 2" xfId="5836"/>
    <cellStyle name="Input 2 16 9 7" xfId="5837"/>
    <cellStyle name="Input 2 9 7 3" xfId="5838"/>
    <cellStyle name="Calculation 2 13 2 4 2 2" xfId="5839"/>
    <cellStyle name="Input 2 9 7 3 2" xfId="5840"/>
    <cellStyle name="Calculation 2 13 2 4 2 3" xfId="5841"/>
    <cellStyle name="Input 2 9 7 3 3" xfId="5842"/>
    <cellStyle name="Calculation 2 13 2 4 2 4" xfId="5843"/>
    <cellStyle name="Input 2 9 7 3 4" xfId="5844"/>
    <cellStyle name="Calculation 2 13 2 4 3" xfId="5845"/>
    <cellStyle name="Input 2 9 7 4" xfId="5846"/>
    <cellStyle name="Calculation 2 13 2 4 3 2" xfId="5847"/>
    <cellStyle name="Input 2 9 7 4 2" xfId="5848"/>
    <cellStyle name="Calculation 2 13 2 4 3 3" xfId="5849"/>
    <cellStyle name="Input 2 9 7 4 3" xfId="5850"/>
    <cellStyle name="Calculation 2 13 2 4 3 4" xfId="5851"/>
    <cellStyle name="Input 2 9 7 5" xfId="5852"/>
    <cellStyle name="Calculation 2 13 2 4 4" xfId="5853"/>
    <cellStyle name="Output 2 12 2 6 3 2" xfId="5854"/>
    <cellStyle name="Calculation 2 13 2 4 4 2" xfId="5855"/>
    <cellStyle name="Input 2 9 7 5 2" xfId="5856"/>
    <cellStyle name="Calculation 2 13 2 4 4 3" xfId="5857"/>
    <cellStyle name="Input 2 9 7 5 3" xfId="5858"/>
    <cellStyle name="Input 2 9 7 6" xfId="5859"/>
    <cellStyle name="Calculation 2 13 2 4 5" xfId="5860"/>
    <cellStyle name="Output 2 12 2 6 3 3" xfId="5861"/>
    <cellStyle name="Calculation 2 13 8 2 3" xfId="5862"/>
    <cellStyle name="Note 2 2 2 2 13" xfId="5863"/>
    <cellStyle name="Calculation 2 13 2 4 5 2" xfId="5864"/>
    <cellStyle name="Calculation 2 13 8 2 4" xfId="5865"/>
    <cellStyle name="Note 2 2 2 2 14" xfId="5866"/>
    <cellStyle name="Calculation 2 13 2 4 5 3" xfId="5867"/>
    <cellStyle name="Calculation 2 6 2 9 5 2" xfId="5868"/>
    <cellStyle name="Input 2 9 7 7" xfId="5869"/>
    <cellStyle name="Calculation 2 13 2 4 6" xfId="5870"/>
    <cellStyle name="Output 2 12 2 6 3 4" xfId="5871"/>
    <cellStyle name="Calculation 2 13 2 4 7" xfId="5872"/>
    <cellStyle name="Calculation 2 6 2 9 5 3" xfId="5873"/>
    <cellStyle name="Calculation 2 13 2 5 2 2" xfId="5874"/>
    <cellStyle name="Input 2 9 8 3 2" xfId="5875"/>
    <cellStyle name="Calculation 2 13 2 5 2 3" xfId="5876"/>
    <cellStyle name="Input 2 9 8 3 3" xfId="5877"/>
    <cellStyle name="Calculation 2 13 2 5 2 4" xfId="5878"/>
    <cellStyle name="Input 2 9 8 3 4" xfId="5879"/>
    <cellStyle name="Calculation 2 13 2 5 3 4" xfId="5880"/>
    <cellStyle name="Calculation 2 13 2 5 4 2" xfId="5881"/>
    <cellStyle name="Input 2 9 8 5 2" xfId="5882"/>
    <cellStyle name="Calculation 2 13 2 5 4 3" xfId="5883"/>
    <cellStyle name="Input 2 9 8 5 3" xfId="5884"/>
    <cellStyle name="Calculation 2 13 9 2 3" xfId="5885"/>
    <cellStyle name="Calculation 2 13 2 5 5 2" xfId="5886"/>
    <cellStyle name="Calculation 2 13 9 2 4" xfId="5887"/>
    <cellStyle name="Calculation 2 13 2 5 5 3" xfId="5888"/>
    <cellStyle name="Calculation 2 13 2 6" xfId="5889"/>
    <cellStyle name="Calculation 2 13 2 6 2" xfId="5890"/>
    <cellStyle name="Input 2 9 9 3" xfId="5891"/>
    <cellStyle name="Total 2 11 9" xfId="5892"/>
    <cellStyle name="Calculation 2 13 2 6 2 2" xfId="5893"/>
    <cellStyle name="Input 2 9 9 3 2" xfId="5894"/>
    <cellStyle name="Calculation 2 13 2 6 2 3" xfId="5895"/>
    <cellStyle name="Input 2 9 9 3 3" xfId="5896"/>
    <cellStyle name="Calculation 2 13 2 6 2 4" xfId="5897"/>
    <cellStyle name="Input 2 9 9 3 4" xfId="5898"/>
    <cellStyle name="Calculation 2 13 2 6 3" xfId="5899"/>
    <cellStyle name="Input 2 9 9 4" xfId="5900"/>
    <cellStyle name="Total 2 12 9" xfId="5901"/>
    <cellStyle name="Calculation 2 13 2 6 3 2" xfId="5902"/>
    <cellStyle name="Input 2 9 9 4 2" xfId="5903"/>
    <cellStyle name="Total 2 4 10" xfId="5904"/>
    <cellStyle name="Calculation 2 13 2 6 3 3" xfId="5905"/>
    <cellStyle name="Input 2 9 9 4 3" xfId="5906"/>
    <cellStyle name="Total 2 4 11" xfId="5907"/>
    <cellStyle name="Calculation 2 13 2 6 3 4" xfId="5908"/>
    <cellStyle name="Input 2 9 9 5" xfId="5909"/>
    <cellStyle name="Calculation 2 13 2 6 4" xfId="5910"/>
    <cellStyle name="Output 2 12 2 6 5 2" xfId="5911"/>
    <cellStyle name="Output 2 6 2 5 3 2" xfId="5912"/>
    <cellStyle name="Total 2 13 9" xfId="5913"/>
    <cellStyle name="Calculation 2 13 2 6 4 2" xfId="5914"/>
    <cellStyle name="Input 2 9 9 5 2" xfId="5915"/>
    <cellStyle name="Calculation 2 13 2 6 4 3" xfId="5916"/>
    <cellStyle name="Input 2 9 9 5 3" xfId="5917"/>
    <cellStyle name="Input 2 9 9 6" xfId="5918"/>
    <cellStyle name="Calculation 2 13 2 6 5" xfId="5919"/>
    <cellStyle name="Output 2 12 2 6 5 3" xfId="5920"/>
    <cellStyle name="Output 2 6 2 5 3 3" xfId="5921"/>
    <cellStyle name="Total 2 14 9" xfId="5922"/>
    <cellStyle name="Calculation 2 13 2 6 5 2" xfId="5923"/>
    <cellStyle name="Calculation 2 13 2 6 5 3" xfId="5924"/>
    <cellStyle name="Calculation 2 13 2 6 6" xfId="5925"/>
    <cellStyle name="Input 2 9 9 7" xfId="5926"/>
    <cellStyle name="Output 2 6 2 5 3 4" xfId="5927"/>
    <cellStyle name="Calculation 2 13 2 6 7" xfId="5928"/>
    <cellStyle name="Calculation 2 13 2 7" xfId="5929"/>
    <cellStyle name="Input 2 11 4 2" xfId="5930"/>
    <cellStyle name="Note 2 9 3 2 2 2" xfId="5931"/>
    <cellStyle name="Output 2 14 2 9 5 2" xfId="5932"/>
    <cellStyle name="Output 2 8 2 8 3 2" xfId="5933"/>
    <cellStyle name="Calculation 2 13 2 7 2" xfId="5934"/>
    <cellStyle name="Input 2 11 4 2 2" xfId="5935"/>
    <cellStyle name="Calculation 2 13 2 7 2 3" xfId="5936"/>
    <cellStyle name="Calculation 2 13 2 7 2 4" xfId="5937"/>
    <cellStyle name="Calculation 2 13 2 7 3" xfId="5938"/>
    <cellStyle name="Input 2 11 4 2 3" xfId="5939"/>
    <cellStyle name="Calculation 2 13 2 7 3 2" xfId="5940"/>
    <cellStyle name="Total 2 9 10" xfId="5941"/>
    <cellStyle name="Calculation 2 13 2 7 3 3" xfId="5942"/>
    <cellStyle name="Total 2 9 11" xfId="5943"/>
    <cellStyle name="Calculation 2 13 2 7 3 4" xfId="5944"/>
    <cellStyle name="Calculation 2 13 2 7 4" xfId="5945"/>
    <cellStyle name="Input 2 11 4 2 4" xfId="5946"/>
    <cellStyle name="Output 2 6 2 5 4 2" xfId="5947"/>
    <cellStyle name="Calculation 2 13 2 7 4 2" xfId="5948"/>
    <cellStyle name="Calculation 2 13 2 7 4 3" xfId="5949"/>
    <cellStyle name="Calculation 2 13 2 7 5" xfId="5950"/>
    <cellStyle name="Output 2 6 2 5 4 3" xfId="5951"/>
    <cellStyle name="Calculation 2 13 2 7 5 2" xfId="5952"/>
    <cellStyle name="Calculation 2 13 2 7 5 3" xfId="5953"/>
    <cellStyle name="Calculation 2 13 2 7 6" xfId="5954"/>
    <cellStyle name="Calculation 2 13 2 8" xfId="5955"/>
    <cellStyle name="Input 2 11 4 3" xfId="5956"/>
    <cellStyle name="Note 2 9 3 2 2 3" xfId="5957"/>
    <cellStyle name="Output 2 14 2 9 5 3" xfId="5958"/>
    <cellStyle name="Output 2 8 2 8 3 3" xfId="5959"/>
    <cellStyle name="Calculation 2 13 2 8 2" xfId="5960"/>
    <cellStyle name="Input 2 11 4 3 2" xfId="5961"/>
    <cellStyle name="Calculation 2 13 2 8 3" xfId="5962"/>
    <cellStyle name="Input 2 11 4 3 3" xfId="5963"/>
    <cellStyle name="Calculation 2 13 2 8 4" xfId="5964"/>
    <cellStyle name="Input 2 11 4 3 4" xfId="5965"/>
    <cellStyle name="Output 2 6 2 5 5 2" xfId="5966"/>
    <cellStyle name="Calculation 2 13 2 8 5" xfId="5967"/>
    <cellStyle name="Output 2 6 2 5 5 3" xfId="5968"/>
    <cellStyle name="Calculation 2 13 2 8 5 2" xfId="5969"/>
    <cellStyle name="Calculation 2 13 2 8 5 3" xfId="5970"/>
    <cellStyle name="Calculation 2 13 2 8 6" xfId="5971"/>
    <cellStyle name="Output 2 3 7 2 2" xfId="5972"/>
    <cellStyle name="Calculation 2 13 2 8 7" xfId="5973"/>
    <cellStyle name="Output 2 3 7 2 3" xfId="5974"/>
    <cellStyle name="Calculation 2 13 2 9" xfId="5975"/>
    <cellStyle name="Input 2 11 4 4" xfId="5976"/>
    <cellStyle name="Note 2 9 3 2 2 4" xfId="5977"/>
    <cellStyle name="Output 2 8 2 8 3 4" xfId="5978"/>
    <cellStyle name="Calculation 2 13 2 9 2" xfId="5979"/>
    <cellStyle name="Input 2 11 4 4 2" xfId="5980"/>
    <cellStyle name="Calculation 2 13 2 9 2 2" xfId="5981"/>
    <cellStyle name="Calculation 2 13 2 9 2 3" xfId="5982"/>
    <cellStyle name="Calculation 2 13 2 9 3" xfId="5983"/>
    <cellStyle name="Input 2 11 4 4 3" xfId="5984"/>
    <cellStyle name="Calculation 2 13 2 9 3 2" xfId="5985"/>
    <cellStyle name="Calculation 2 13 2 9 3 4" xfId="5986"/>
    <cellStyle name="Calculation 2 13 2 9 4" xfId="5987"/>
    <cellStyle name="Calculation 2 13 2 9 4 3" xfId="5988"/>
    <cellStyle name="Calculation 2 13 2 9 5" xfId="5989"/>
    <cellStyle name="Calculation 2 13 2 9 5 3" xfId="5990"/>
    <cellStyle name="Calculation 2 13 2 9 6" xfId="5991"/>
    <cellStyle name="Output 2 3 7 3 2" xfId="5992"/>
    <cellStyle name="Calculation 2 2 2 2 2 2 2 2" xfId="5993"/>
    <cellStyle name="Input 2 9 8 2 2" xfId="5994"/>
    <cellStyle name="Calculation 2 13 2 9 7" xfId="5995"/>
    <cellStyle name="Output 2 3 7 3 3" xfId="5996"/>
    <cellStyle name="Calculation 2 13 3" xfId="5997"/>
    <cellStyle name="Output 2 3 3 4 3 4" xfId="5998"/>
    <cellStyle name="Calculation 2 2 15" xfId="5999"/>
    <cellStyle name="Calculation 2 2 20" xfId="6000"/>
    <cellStyle name="Output 2 7 13 3" xfId="6001"/>
    <cellStyle name="Calculation 2 13 3 10 2 2" xfId="6002"/>
    <cellStyle name="Note 2 15 14 2" xfId="6003"/>
    <cellStyle name="Calculation 2 2 16" xfId="6004"/>
    <cellStyle name="Calculation 2 2 21" xfId="6005"/>
    <cellStyle name="Output 2 7 13 4" xfId="6006"/>
    <cellStyle name="Calculation 2 13 3 10 2 3" xfId="6007"/>
    <cellStyle name="Note 2 15 14 3" xfId="6008"/>
    <cellStyle name="Calculation 2 13 3 10 4 2" xfId="6009"/>
    <cellStyle name="Calculation 2 13 3 10 4 3" xfId="6010"/>
    <cellStyle name="Calculation 2 13 3 11" xfId="6011"/>
    <cellStyle name="Input 2 13 2 6 4" xfId="6012"/>
    <cellStyle name="Calculation 2 13 3 11 3" xfId="6013"/>
    <cellStyle name="Input 2 13 2 6 4 3" xfId="6014"/>
    <cellStyle name="Calculation 2 13 3 11 4" xfId="6015"/>
    <cellStyle name="Note 2 13 2 6 4 2" xfId="6016"/>
    <cellStyle name="Calculation 2 13 3 12" xfId="6017"/>
    <cellStyle name="Input 2 13 2 6 5" xfId="6018"/>
    <cellStyle name="Calculation 2 13 3 12 3" xfId="6019"/>
    <cellStyle name="Input 2 13 2 6 5 3" xfId="6020"/>
    <cellStyle name="Calculation 2 13 3 12 4" xfId="6021"/>
    <cellStyle name="Note 2 13 2 6 5 2" xfId="6022"/>
    <cellStyle name="Calculation 2 13 3 13" xfId="6023"/>
    <cellStyle name="Input 2 13 2 6 6" xfId="6024"/>
    <cellStyle name="Output 2 13 2 6 3 2" xfId="6025"/>
    <cellStyle name="Output 2 5 5 5 2" xfId="6026"/>
    <cellStyle name="Calculation 2 13 3 13 3" xfId="6027"/>
    <cellStyle name="Calculation 2 13 3 14" xfId="6028"/>
    <cellStyle name="Input 2 13 2 6 7" xfId="6029"/>
    <cellStyle name="Output 2 13 2 6 3 3" xfId="6030"/>
    <cellStyle name="Output 2 5 5 5 3" xfId="6031"/>
    <cellStyle name="Calculation 2 13 3 2 4" xfId="6032"/>
    <cellStyle name="Calculation 2 13 3 2 4 3" xfId="6033"/>
    <cellStyle name="Input 2 4 12 4" xfId="6034"/>
    <cellStyle name="Calculation 2 13 3 2 5" xfId="6035"/>
    <cellStyle name="Input 2 5 3 10" xfId="6036"/>
    <cellStyle name="Calculation 2 14 6 2 3" xfId="6037"/>
    <cellStyle name="Calculation 2 13 3 2 5 2" xfId="6038"/>
    <cellStyle name="Input 2 4 13 3" xfId="6039"/>
    <cellStyle name="Input 2 15 10 5 3" xfId="6040"/>
    <cellStyle name="Input 2 5 3 10 2" xfId="6041"/>
    <cellStyle name="Calculation 2 14 6 2 4" xfId="6042"/>
    <cellStyle name="Calculation 2 13 3 2 5 3" xfId="6043"/>
    <cellStyle name="Input 2 4 13 4" xfId="6044"/>
    <cellStyle name="Input 2 5 3 10 3" xfId="6045"/>
    <cellStyle name="Calculation 2 13 3 2 6" xfId="6046"/>
    <cellStyle name="Input 2 5 3 11" xfId="6047"/>
    <cellStyle name="Input 2 5 3 12" xfId="6048"/>
    <cellStyle name="Calculation 2 13 3 2 7" xfId="6049"/>
    <cellStyle name="Input 2 5 3 2 3 2" xfId="6050"/>
    <cellStyle name="Calculation 2 14 10 2 2" xfId="6051"/>
    <cellStyle name="Calculation 2 13 3 3 2 2" xfId="6052"/>
    <cellStyle name="Calculation 2 5 2 2 2 3" xfId="6053"/>
    <cellStyle name="Calculation 2 14 10 4" xfId="6054"/>
    <cellStyle name="Calculation 2 13 3 3 4" xfId="6055"/>
    <cellStyle name="Output 2 12 2 7 2 2" xfId="6056"/>
    <cellStyle name="Calculation 2 14 10 4 3" xfId="6057"/>
    <cellStyle name="Calculation 2 13 3 3 4 3" xfId="6058"/>
    <cellStyle name="Calculation 2 14 10 5" xfId="6059"/>
    <cellStyle name="Calculation 2 13 3 3 5" xfId="6060"/>
    <cellStyle name="Output 2 12 2 7 2 3" xfId="6061"/>
    <cellStyle name="Calculation 2 14 7 2 4" xfId="6062"/>
    <cellStyle name="Calculation 2 14 10 5 3" xfId="6063"/>
    <cellStyle name="Calculation 2 13 3 3 5 3" xfId="6064"/>
    <cellStyle name="Calculation 2 16 10 3 2" xfId="6065"/>
    <cellStyle name="Input 2 14 3 10 4 3" xfId="6066"/>
    <cellStyle name="Normal 2 3 3 5 2 2" xfId="6067"/>
    <cellStyle name="Note 2 10 15 3" xfId="6068"/>
    <cellStyle name="Calculation 2 14 11 2 4" xfId="6069"/>
    <cellStyle name="Calculation 2 13 3 4 2 4" xfId="6070"/>
    <cellStyle name="Note 2 2 3 7 2" xfId="6071"/>
    <cellStyle name="Calculation 2 14 11 3 3" xfId="6072"/>
    <cellStyle name="Calculation 2 13 3 4 3 3" xfId="6073"/>
    <cellStyle name="Calculation 2 5 2 3 3 4" xfId="6074"/>
    <cellStyle name="Calculation 2 16 10 4 2" xfId="6075"/>
    <cellStyle name="Note 2 10 16 3" xfId="6076"/>
    <cellStyle name="Input 2 14 3 10 5 3" xfId="6077"/>
    <cellStyle name="Note 2 2 4 27" xfId="6078"/>
    <cellStyle name="Calculation 2 14 11 3 4" xfId="6079"/>
    <cellStyle name="Calculation 2 13 3 4 3 4" xfId="6080"/>
    <cellStyle name="Note 2 2 3 8 2" xfId="6081"/>
    <cellStyle name="Calculation 2 14 11 4" xfId="6082"/>
    <cellStyle name="Calculation 2 13 3 4 4" xfId="6083"/>
    <cellStyle name="Output 2 12 2 7 3 2" xfId="6084"/>
    <cellStyle name="Calculation 2 14 11 4 3" xfId="6085"/>
    <cellStyle name="Calculation 2 13 3 4 4 3" xfId="6086"/>
    <cellStyle name="Calculation 2 14 11 5" xfId="6087"/>
    <cellStyle name="Calculation 2 13 3 4 5" xfId="6088"/>
    <cellStyle name="Output 2 12 2 7 3 3" xfId="6089"/>
    <cellStyle name="Calculation 2 14 8 2 3" xfId="6090"/>
    <cellStyle name="Calculation 2 14 11 5 2" xfId="6091"/>
    <cellStyle name="Calculation 2 13 3 4 5 2" xfId="6092"/>
    <cellStyle name="Calculation 2 5 2 3 5 3" xfId="6093"/>
    <cellStyle name="Calculation 2 14 8 2 4" xfId="6094"/>
    <cellStyle name="Calculation 2 14 11 5 3" xfId="6095"/>
    <cellStyle name="Calculation 2 13 3 4 5 3" xfId="6096"/>
    <cellStyle name="Calculation 2 14 11 6" xfId="6097"/>
    <cellStyle name="Calculation 2 13 3 4 6" xfId="6098"/>
    <cellStyle name="Output 2 12 2 7 3 4" xfId="6099"/>
    <cellStyle name="Calculation 2 14 11 7" xfId="6100"/>
    <cellStyle name="Calculation 2 13 3 4 7" xfId="6101"/>
    <cellStyle name="Input 2 5 3 2 5 2" xfId="6102"/>
    <cellStyle name="Calculation 2 14 12 2 2" xfId="6103"/>
    <cellStyle name="Calculation 2 13 3 5 2 2" xfId="6104"/>
    <cellStyle name="Calculation 2 5 2 4 2 3" xfId="6105"/>
    <cellStyle name="Calculation 2 14 12 3 4" xfId="6106"/>
    <cellStyle name="Calculation 2 13 3 5 3 4" xfId="6107"/>
    <cellStyle name="Note 2 2 4 8 2" xfId="6108"/>
    <cellStyle name="Calculation 2 14 12 6" xfId="6109"/>
    <cellStyle name="Calculation 2 13 3 5 6" xfId="6110"/>
    <cellStyle name="Output 2 6 2 6 2 4" xfId="6111"/>
    <cellStyle name="Calculation 2 14 12 7" xfId="6112"/>
    <cellStyle name="Calculation 2 13 3 5 7" xfId="6113"/>
    <cellStyle name="Calculation 2 14 13 2" xfId="6114"/>
    <cellStyle name="Calculation 2 13 3 6 2" xfId="6115"/>
    <cellStyle name="Input 2 5 11 7" xfId="6116"/>
    <cellStyle name="Calculation 2 14 13 3" xfId="6117"/>
    <cellStyle name="Calculation 2 13 3 6 3" xfId="6118"/>
    <cellStyle name="Input 2 5 11 8" xfId="6119"/>
    <cellStyle name="Calculation 2 13 3 6 3 2" xfId="6120"/>
    <cellStyle name="Calculation 2 5 2 5 3 3" xfId="6121"/>
    <cellStyle name="Calculation 2 14 13 4" xfId="6122"/>
    <cellStyle name="Calculation 2 13 3 6 4" xfId="6123"/>
    <cellStyle name="Output 2 12 2 7 5 2" xfId="6124"/>
    <cellStyle name="Output 2 6 2 6 3 2" xfId="6125"/>
    <cellStyle name="Calculation 2 13 3 6 4 2" xfId="6126"/>
    <cellStyle name="Calculation 2 5 2 5 4 3" xfId="6127"/>
    <cellStyle name="Calculation 2 13 3 6 5" xfId="6128"/>
    <cellStyle name="Output 2 12 2 7 5 3" xfId="6129"/>
    <cellStyle name="Output 2 6 2 6 3 3" xfId="6130"/>
    <cellStyle name="Calculation 2 13 3 6 5 2" xfId="6131"/>
    <cellStyle name="Calculation 2 5 2 5 5 3" xfId="6132"/>
    <cellStyle name="Calculation 2 13 3 6 6" xfId="6133"/>
    <cellStyle name="Output 2 6 2 6 3 4" xfId="6134"/>
    <cellStyle name="Calculation 2 13 3 6 7" xfId="6135"/>
    <cellStyle name="Calculation 2 14 14 2" xfId="6136"/>
    <cellStyle name="Calculation 2 13 3 7 2" xfId="6137"/>
    <cellStyle name="Input 2 11 5 2 2" xfId="6138"/>
    <cellStyle name="Input 2 5 12 7" xfId="6139"/>
    <cellStyle name="Calculation 2 14 14 3" xfId="6140"/>
    <cellStyle name="Calculation 2 13 3 7 3" xfId="6141"/>
    <cellStyle name="Input 2 11 5 2 3" xfId="6142"/>
    <cellStyle name="Input 2 5 12 8" xfId="6143"/>
    <cellStyle name="Calculation 2 14 14 4" xfId="6144"/>
    <cellStyle name="Calculation 2 13 3 7 4" xfId="6145"/>
    <cellStyle name="Input 2 11 5 2 4" xfId="6146"/>
    <cellStyle name="Output 2 6 2 6 4 2" xfId="6147"/>
    <cellStyle name="Calculation 2 13 3 7 5" xfId="6148"/>
    <cellStyle name="Output 2 6 2 6 4 3" xfId="6149"/>
    <cellStyle name="Calculation 2 13 3 7 6" xfId="6150"/>
    <cellStyle name="Calculation 2 13 3 7 7" xfId="6151"/>
    <cellStyle name="Calculation 2 14 15 2" xfId="6152"/>
    <cellStyle name="Calculation 2 13 3 8 2" xfId="6153"/>
    <cellStyle name="Input 2 11 5 3 2" xfId="6154"/>
    <cellStyle name="Calculation 2 13 3 8 2 2" xfId="6155"/>
    <cellStyle name="Calculation 2 5 2 7 2 3" xfId="6156"/>
    <cellStyle name="Calculation 2 14 15 3" xfId="6157"/>
    <cellStyle name="Calculation 2 13 3 8 3" xfId="6158"/>
    <cellStyle name="Input 2 11 5 3 3" xfId="6159"/>
    <cellStyle name="Calculation 2 13 3 8 3 2" xfId="6160"/>
    <cellStyle name="Calculation 2 5 2 7 3 3" xfId="6161"/>
    <cellStyle name="Normal 5 2 2 3" xfId="6162"/>
    <cellStyle name="Calculation 2 13 3 8 3 3" xfId="6163"/>
    <cellStyle name="Calculation 2 5 2 7 3 4" xfId="6164"/>
    <cellStyle name="Normal 5 2 2 4" xfId="6165"/>
    <cellStyle name="Calculation 2 13 3 8 3 4" xfId="6166"/>
    <cellStyle name="Calculation 2 13 3 8 4" xfId="6167"/>
    <cellStyle name="Input 2 11 5 3 4" xfId="6168"/>
    <cellStyle name="Output 2 6 2 6 5 2" xfId="6169"/>
    <cellStyle name="Calculation 2 13 3 8 4 2" xfId="6170"/>
    <cellStyle name="Calculation 2 5 2 7 4 3" xfId="6171"/>
    <cellStyle name="Calculation 2 13 3 8 5" xfId="6172"/>
    <cellStyle name="Output 2 6 2 6 5 3" xfId="6173"/>
    <cellStyle name="Calculation 2 13 3 8 5 2" xfId="6174"/>
    <cellStyle name="Calculation 2 5 2 7 5 3" xfId="6175"/>
    <cellStyle name="Calculation 2 13 3 8 6" xfId="6176"/>
    <cellStyle name="Output 2 3 8 2 2" xfId="6177"/>
    <cellStyle name="Calculation 2 13 3 8 7" xfId="6178"/>
    <cellStyle name="Output 2 3 8 2 3" xfId="6179"/>
    <cellStyle name="Calculation 2 14 16 2" xfId="6180"/>
    <cellStyle name="Calculation 2 13 3 9 2" xfId="6181"/>
    <cellStyle name="Input 2 11 5 4 2" xfId="6182"/>
    <cellStyle name="Calculation 2 13 3 9 2 2" xfId="6183"/>
    <cellStyle name="Calculation 2 5 2 8 2 3" xfId="6184"/>
    <cellStyle name="Output 2 3 3 14 3" xfId="6185"/>
    <cellStyle name="Calculation 2 14 16 3" xfId="6186"/>
    <cellStyle name="Calculation 2 13 3 9 3" xfId="6187"/>
    <cellStyle name="Input 2 11 5 4 3" xfId="6188"/>
    <cellStyle name="Calculation 2 13 3 9 3 2" xfId="6189"/>
    <cellStyle name="Calculation 2 5 2 8 3 3" xfId="6190"/>
    <cellStyle name="Calculation 2 13 3 9 3 4" xfId="6191"/>
    <cellStyle name="Calculation 2 13 3 9 4" xfId="6192"/>
    <cellStyle name="Calculation 2 13 3 9 4 2" xfId="6193"/>
    <cellStyle name="Calculation 2 5 2 8 4 3" xfId="6194"/>
    <cellStyle name="Calculation 2 13 3 9 5" xfId="6195"/>
    <cellStyle name="Calculation 2 13 3 9 5 2" xfId="6196"/>
    <cellStyle name="Calculation 2 5 2 8 5 3" xfId="6197"/>
    <cellStyle name="Calculation 2 13 3 9 6" xfId="6198"/>
    <cellStyle name="Output 2 3 8 3 2" xfId="6199"/>
    <cellStyle name="Calculation 2 2 2 2 2 3 2 2" xfId="6200"/>
    <cellStyle name="Input 2 9 9 2 2" xfId="6201"/>
    <cellStyle name="Total 2 10 9" xfId="6202"/>
    <cellStyle name="Calculation 2 13 3 9 7" xfId="6203"/>
    <cellStyle name="Output 2 3 8 3 3" xfId="6204"/>
    <cellStyle name="Calculation 2 13 4" xfId="6205"/>
    <cellStyle name="Calculation 2 13 4 2 4" xfId="6206"/>
    <cellStyle name="Calculation 2 13 4 3 4" xfId="6207"/>
    <cellStyle name="Output 2 12 2 8 2 2" xfId="6208"/>
    <cellStyle name="Calculation 2 13 4 4 2" xfId="6209"/>
    <cellStyle name="Calculation 2 13 4 4 3" xfId="6210"/>
    <cellStyle name="Calculation 2 13 4 6" xfId="6211"/>
    <cellStyle name="Calculation 2 13 4 7" xfId="6212"/>
    <cellStyle name="Input 2 11 6 2" xfId="6213"/>
    <cellStyle name="Note 2 9 3 2 4 2" xfId="6214"/>
    <cellStyle name="Output 2 8 2 8 5 2" xfId="6215"/>
    <cellStyle name="Calculation 2 13 5" xfId="6216"/>
    <cellStyle name="Calculation 2 13 5 2" xfId="6217"/>
    <cellStyle name="Note 2 16 8 2 3" xfId="6218"/>
    <cellStyle name="Note 2 4 11 6" xfId="6219"/>
    <cellStyle name="Calculation 2 13 5 2 3" xfId="6220"/>
    <cellStyle name="Calculation 2 13 5 2 4" xfId="6221"/>
    <cellStyle name="Calculation 2 13 5 3" xfId="6222"/>
    <cellStyle name="Note 2 16 8 2 4" xfId="6223"/>
    <cellStyle name="Note 2 4 11 7" xfId="6224"/>
    <cellStyle name="Calculation 2 13 5 3 3" xfId="6225"/>
    <cellStyle name="Calculation 2 13 5 3 4" xfId="6226"/>
    <cellStyle name="Output 2 12 2 9 2 2" xfId="6227"/>
    <cellStyle name="Calculation 2 13 5 4 3" xfId="6228"/>
    <cellStyle name="Calculation 2 13 5 6" xfId="6229"/>
    <cellStyle name="Calculation 2 13 7 3 3" xfId="6230"/>
    <cellStyle name="Calculation 2 13 7 3 4" xfId="6231"/>
    <cellStyle name="Calculation 2 13 7 4 2" xfId="6232"/>
    <cellStyle name="Calculation 2 13 7 5" xfId="6233"/>
    <cellStyle name="Calculation 2 13 7 6" xfId="6234"/>
    <cellStyle name="Calculation 2 13 7 7" xfId="6235"/>
    <cellStyle name="Input 2 11 9 2" xfId="6236"/>
    <cellStyle name="Calculation 2 15 10 3" xfId="6237"/>
    <cellStyle name="Calculation 2 13 8 3 3" xfId="6238"/>
    <cellStyle name="Calculation 2 15 10 4" xfId="6239"/>
    <cellStyle name="Calculation 2 13 8 3 4" xfId="6240"/>
    <cellStyle name="Calculation 2 15 11 2" xfId="6241"/>
    <cellStyle name="Calculation 2 13 8 4 2" xfId="6242"/>
    <cellStyle name="Calculation 2 15 11 3" xfId="6243"/>
    <cellStyle name="Calculation 2 13 8 4 3" xfId="6244"/>
    <cellStyle name="Calculation 2 15 12 3" xfId="6245"/>
    <cellStyle name="Calculation 2 13 8 5 3" xfId="6246"/>
    <cellStyle name="Calculation 2 15 14" xfId="6247"/>
    <cellStyle name="Calculation 2 13 8 7" xfId="6248"/>
    <cellStyle name="Note 2 14 3 6 2 4" xfId="6249"/>
    <cellStyle name="Calculation 2 13 9 3 3" xfId="6250"/>
    <cellStyle name="Calculation 2 13 9 3 4" xfId="6251"/>
    <cellStyle name="Calculation 2 13 9 4 2" xfId="6252"/>
    <cellStyle name="Calculation 2 13 9 4 3" xfId="6253"/>
    <cellStyle name="Calculation 2 13 9 5 2" xfId="6254"/>
    <cellStyle name="Calculation 2 2 4 2 2 2" xfId="6255"/>
    <cellStyle name="Calculation 2 13 9 5 3" xfId="6256"/>
    <cellStyle name="Calculation 2 2 4 2 2 3" xfId="6257"/>
    <cellStyle name="Calculation 2 13 9 7" xfId="6258"/>
    <cellStyle name="Calculation 2 2 4 2 4" xfId="6259"/>
    <cellStyle name="Normal 21 2 3" xfId="6260"/>
    <cellStyle name="Note 2 14 3 6 3 4" xfId="6261"/>
    <cellStyle name="Calculation 2 14" xfId="6262"/>
    <cellStyle name="Calculation 2 9 2 3 5 2" xfId="6263"/>
    <cellStyle name="Calculation 2 14 17" xfId="6264"/>
    <cellStyle name="Input 2 11 5 5" xfId="6265"/>
    <cellStyle name="Output 2 15 9 2 2" xfId="6266"/>
    <cellStyle name="Input 2 11 5 6" xfId="6267"/>
    <cellStyle name="Calculation 2 14 18" xfId="6268"/>
    <cellStyle name="Input 2 4 3 2" xfId="6269"/>
    <cellStyle name="Output 2 15 9 2 3" xfId="6270"/>
    <cellStyle name="Calculation 2 14 2" xfId="6271"/>
    <cellStyle name="Output 2 3 3 4 4 3" xfId="6272"/>
    <cellStyle name="Calculation 2 2 2 14 3" xfId="6273"/>
    <cellStyle name="Output 2 2 8 4" xfId="6274"/>
    <cellStyle name="Calculation 2 14 2 10" xfId="6275"/>
    <cellStyle name="Calculation 2 14 5 4" xfId="6276"/>
    <cellStyle name="Calculation 2 14 2 10 2" xfId="6277"/>
    <cellStyle name="Output 2 4 3 9" xfId="6278"/>
    <cellStyle name="Calculation 2 16 14" xfId="6279"/>
    <cellStyle name="Total 2 11 4 2 3" xfId="6280"/>
    <cellStyle name="Input 2 10 2 10 3 4" xfId="6281"/>
    <cellStyle name="Output 2 11 12 3 2" xfId="6282"/>
    <cellStyle name="Calculation 2 14 5 4 2" xfId="6283"/>
    <cellStyle name="Calculation 2 14 2 10 2 2" xfId="6284"/>
    <cellStyle name="Output 2 4 3 9 2" xfId="6285"/>
    <cellStyle name="Calculation 2 16 15" xfId="6286"/>
    <cellStyle name="Total 2 11 4 2 4" xfId="6287"/>
    <cellStyle name="Output 2 11 12 3 3" xfId="6288"/>
    <cellStyle name="Calculation 2 14 5 4 3" xfId="6289"/>
    <cellStyle name="Calculation 2 14 2 10 2 3" xfId="6290"/>
    <cellStyle name="Note 2 5 4 3 2" xfId="6291"/>
    <cellStyle name="Output 2 4 3 9 3" xfId="6292"/>
    <cellStyle name="Calculation 2 16 16" xfId="6293"/>
    <cellStyle name="Output 2 11 12 3 4" xfId="6294"/>
    <cellStyle name="Calculation 2 14 2 10 2 4" xfId="6295"/>
    <cellStyle name="Note 2 5 4 3 3" xfId="6296"/>
    <cellStyle name="Output 2 4 3 9 4" xfId="6297"/>
    <cellStyle name="Calculation 2 14 5 5" xfId="6298"/>
    <cellStyle name="Calculation 2 14 2 10 3" xfId="6299"/>
    <cellStyle name="Calculation 2 14 5 6" xfId="6300"/>
    <cellStyle name="Calculation 2 14 2 10 4" xfId="6301"/>
    <cellStyle name="Calculation 2 14 2 10 4 2" xfId="6302"/>
    <cellStyle name="Calculation 2 14 2 10 4 3" xfId="6303"/>
    <cellStyle name="Note 2 5 4 5 2" xfId="6304"/>
    <cellStyle name="Calculation 2 14 5 7" xfId="6305"/>
    <cellStyle name="Input 2 12 7 2" xfId="6306"/>
    <cellStyle name="Note 2 9 3 3 5 2" xfId="6307"/>
    <cellStyle name="Total 2 11 10 3 2" xfId="6308"/>
    <cellStyle name="Calculation 2 14 2 10 5" xfId="6309"/>
    <cellStyle name="Calculation 2 14 2 10 5 2" xfId="6310"/>
    <cellStyle name="Calculation 2 14 2 10 5 3" xfId="6311"/>
    <cellStyle name="Calculation 2 14 2 10 6" xfId="6312"/>
    <cellStyle name="Calculation 2 14 6 4" xfId="6313"/>
    <cellStyle name="Calculation 2 14 2 11 2" xfId="6314"/>
    <cellStyle name="Calculation 2 14 6 5" xfId="6315"/>
    <cellStyle name="Calculation 2 14 2 11 3" xfId="6316"/>
    <cellStyle name="Calculation 2 14 6 6" xfId="6317"/>
    <cellStyle name="Calculation 2 14 2 11 4" xfId="6318"/>
    <cellStyle name="Calculation 2 14 7 4" xfId="6319"/>
    <cellStyle name="Calculation 2 14 2 12 2" xfId="6320"/>
    <cellStyle name="Calculation 2 14 7 5" xfId="6321"/>
    <cellStyle name="Calculation 2 14 2 12 3" xfId="6322"/>
    <cellStyle name="Explanatory Text 2 2 2" xfId="6323"/>
    <cellStyle name="Calculation 2 14 7 6" xfId="6324"/>
    <cellStyle name="Calculation 2 14 2 12 4" xfId="6325"/>
    <cellStyle name="Explanatory Text 2 2 3" xfId="6326"/>
    <cellStyle name="Calculation 2 14 8 5" xfId="6327"/>
    <cellStyle name="Input 2 14 3 7 2 4" xfId="6328"/>
    <cellStyle name="Note 2 14 3 7 2 2" xfId="6329"/>
    <cellStyle name="Calculation 2 14 2 13 3" xfId="6330"/>
    <cellStyle name="Calculation 2 14 9 5" xfId="6331"/>
    <cellStyle name="Calculation 2 2 5 2 2" xfId="6332"/>
    <cellStyle name="Input 2 14 3 7 3 4" xfId="6333"/>
    <cellStyle name="Note 2 14 3 7 3 2" xfId="6334"/>
    <cellStyle name="Calculation 2 14 2 14 3" xfId="6335"/>
    <cellStyle name="Explanatory Text 2 4 2" xfId="6336"/>
    <cellStyle name="Output 2 13 10" xfId="6337"/>
    <cellStyle name="Total 2 12 3 4 6" xfId="6338"/>
    <cellStyle name="Calculation 2 14 2 2 2 2" xfId="6339"/>
    <cellStyle name="Calculation 2 3 3 8 7" xfId="6340"/>
    <cellStyle name="Calculation 2 14 2 2 4" xfId="6341"/>
    <cellStyle name="Total 2 12 3 6 6" xfId="6342"/>
    <cellStyle name="Calculation 2 14 2 2 4 2" xfId="6343"/>
    <cellStyle name="Total 2 12 3 6 7" xfId="6344"/>
    <cellStyle name="Calculation 2 14 2 2 4 3" xfId="6345"/>
    <cellStyle name="Calculation 2 14 2 2 5" xfId="6346"/>
    <cellStyle name="Total 2 12 3 7 6" xfId="6347"/>
    <cellStyle name="Calculation 2 14 2 2 5 2" xfId="6348"/>
    <cellStyle name="Total 2 12 3 7 7" xfId="6349"/>
    <cellStyle name="Calculation 2 14 2 2 5 3" xfId="6350"/>
    <cellStyle name="Calculation 2 14 2 2 6" xfId="6351"/>
    <cellStyle name="Calculation 2 6 3 9 3 2" xfId="6352"/>
    <cellStyle name="Calculation 2 14 2 2 7" xfId="6353"/>
    <cellStyle name="Calculation 2 6 3 9 3 3" xfId="6354"/>
    <cellStyle name="Calculation 2 14 2 3 4" xfId="6355"/>
    <cellStyle name="Output 2 12 3 6 2 2" xfId="6356"/>
    <cellStyle name="Calculation 2 14 2 3 4 3" xfId="6357"/>
    <cellStyle name="Calculation 2 14 2 3 5" xfId="6358"/>
    <cellStyle name="Output 2 12 3 6 2 3" xfId="6359"/>
    <cellStyle name="Calculation 2 14 2 3 5 2" xfId="6360"/>
    <cellStyle name="Calculation 2 14 2 3 5 3" xfId="6361"/>
    <cellStyle name="Calculation 2 6 3 9 4 2" xfId="6362"/>
    <cellStyle name="Calculation 2 14 2 3 6" xfId="6363"/>
    <cellStyle name="Output 2 12 3 6 2 4" xfId="6364"/>
    <cellStyle name="Calculation 2 14 2 3 7" xfId="6365"/>
    <cellStyle name="Calculation 2 6 3 9 4 3" xfId="6366"/>
    <cellStyle name="Calculation 2 17 2 3" xfId="6367"/>
    <cellStyle name="Calculation 2 22 2 3" xfId="6368"/>
    <cellStyle name="Note 2 16 8 7" xfId="6369"/>
    <cellStyle name="Input 2 6 3 4 3 4" xfId="6370"/>
    <cellStyle name="Note 2 3 2 6 5 2" xfId="6371"/>
    <cellStyle name="Calculation 2 14 2 4 2" xfId="6372"/>
    <cellStyle name="Calculation 2 14 2 4 2 2" xfId="6373"/>
    <cellStyle name="Note 2 11 2 5 7" xfId="6374"/>
    <cellStyle name="Calculation 2 17 2 4" xfId="6375"/>
    <cellStyle name="Calculation 2 22 2 4" xfId="6376"/>
    <cellStyle name="Note 2 3 2 6 5 3" xfId="6377"/>
    <cellStyle name="Calculation 2 14 2 4 3" xfId="6378"/>
    <cellStyle name="Calculation 2 14 2 4 4" xfId="6379"/>
    <cellStyle name="Output 2 12 3 6 3 2" xfId="6380"/>
    <cellStyle name="Calculation 2 14 2 4 4 2" xfId="6381"/>
    <cellStyle name="Note 2 11 2 7 7" xfId="6382"/>
    <cellStyle name="Calculation 2 2 10 5 2" xfId="6383"/>
    <cellStyle name="Calculation 2 14 2 4 4 3" xfId="6384"/>
    <cellStyle name="Calculation 2 14 2 4 5" xfId="6385"/>
    <cellStyle name="Output 2 12 3 6 3 3" xfId="6386"/>
    <cellStyle name="Calculation 2 14 2 4 5 2" xfId="6387"/>
    <cellStyle name="Note 2 11 2 8 7" xfId="6388"/>
    <cellStyle name="Calculation 2 14 2 4 5 3" xfId="6389"/>
    <cellStyle name="Calculation 2 6 3 9 5 2" xfId="6390"/>
    <cellStyle name="Calculation 2 14 2 4 6" xfId="6391"/>
    <cellStyle name="Output 2 12 3 6 3 4" xfId="6392"/>
    <cellStyle name="Calculation 2 14 2 4 7" xfId="6393"/>
    <cellStyle name="Calculation 2 6 3 9 5 3" xfId="6394"/>
    <cellStyle name="Calculation 2 14 2 5 2 2" xfId="6395"/>
    <cellStyle name="Note 2 11 3 5 7" xfId="6396"/>
    <cellStyle name="Calculation 2 14 2 5 4" xfId="6397"/>
    <cellStyle name="Output 2 12 3 6 4 2" xfId="6398"/>
    <cellStyle name="Output 2 6 3 5 2 2" xfId="6399"/>
    <cellStyle name="Calculation 2 14 2 5 4 2" xfId="6400"/>
    <cellStyle name="Note 2 11 3 7 7" xfId="6401"/>
    <cellStyle name="Calculation 2 2 11 5 2" xfId="6402"/>
    <cellStyle name="Calculation 2 14 2 5 4 3" xfId="6403"/>
    <cellStyle name="Calculation 2 14 2 5 5" xfId="6404"/>
    <cellStyle name="Output 2 12 3 6 4 3" xfId="6405"/>
    <cellStyle name="Output 2 6 3 5 2 3" xfId="6406"/>
    <cellStyle name="Calculation 2 14 2 5 5 2" xfId="6407"/>
    <cellStyle name="Note 2 11 3 8 7" xfId="6408"/>
    <cellStyle name="Calculation 2 14 2 5 5 3" xfId="6409"/>
    <cellStyle name="Calculation 2 14 2 5 6" xfId="6410"/>
    <cellStyle name="Output 2 6 3 5 2 4" xfId="6411"/>
    <cellStyle name="Calculation 2 14 2 5 7" xfId="6412"/>
    <cellStyle name="Calculation 2 14 2 6" xfId="6413"/>
    <cellStyle name="Calculation 2 17 4 3" xfId="6414"/>
    <cellStyle name="Calculation 2 22 4 3" xfId="6415"/>
    <cellStyle name="Calculation 2 14 2 6 2" xfId="6416"/>
    <cellStyle name="Calculation 2 14 2 6 2 2" xfId="6417"/>
    <cellStyle name="Calculation 2 14 2 6 3" xfId="6418"/>
    <cellStyle name="Linked Cell 2 2 2 2 2" xfId="6419"/>
    <cellStyle name="Calculation 2 14 2 6 4" xfId="6420"/>
    <cellStyle name="Linked Cell 2 2 2 2 3" xfId="6421"/>
    <cellStyle name="Output 2 12 3 6 5 2" xfId="6422"/>
    <cellStyle name="Output 2 6 3 5 3 2" xfId="6423"/>
    <cellStyle name="Calculation 2 14 2 6 4 2" xfId="6424"/>
    <cellStyle name="Calculation 2 2 12 5 2" xfId="6425"/>
    <cellStyle name="Calculation 2 14 2 6 4 3" xfId="6426"/>
    <cellStyle name="Calculation 2 14 2 6 5" xfId="6427"/>
    <cellStyle name="Output 2 12 3 6 5 3" xfId="6428"/>
    <cellStyle name="Output 2 6 3 5 3 3" xfId="6429"/>
    <cellStyle name="Calculation 2 14 2 6 5 2" xfId="6430"/>
    <cellStyle name="Calculation 2 14 2 6 5 3" xfId="6431"/>
    <cellStyle name="Calculation 2 14 2 6 6" xfId="6432"/>
    <cellStyle name="Output 2 6 3 5 3 4" xfId="6433"/>
    <cellStyle name="Calculation 2 14 2 6 7" xfId="6434"/>
    <cellStyle name="Calculation 2 14 2 7" xfId="6435"/>
    <cellStyle name="Input 2 12 4 2" xfId="6436"/>
    <cellStyle name="Note 2 9 3 3 2 2" xfId="6437"/>
    <cellStyle name="Output 2 8 2 9 3 2" xfId="6438"/>
    <cellStyle name="Calculation 2 17 5 3" xfId="6439"/>
    <cellStyle name="Calculation 2 22 5 3" xfId="6440"/>
    <cellStyle name="Calculation 2 14 2 7 2" xfId="6441"/>
    <cellStyle name="Input 2 12 4 2 2" xfId="6442"/>
    <cellStyle name="Calculation 2 14 2 7 2 2" xfId="6443"/>
    <cellStyle name="Calculation 2 14 2 7 2 3" xfId="6444"/>
    <cellStyle name="Calculation 2 14 2 7 2 4" xfId="6445"/>
    <cellStyle name="Input 2 12 3 7 2" xfId="6446"/>
    <cellStyle name="Calculation 2 14 2 7 3" xfId="6447"/>
    <cellStyle name="Input 2 12 4 2 3" xfId="6448"/>
    <cellStyle name="Calculation 2 14 2 7 3 2" xfId="6449"/>
    <cellStyle name="Calculation 2 14 2 7 3 3" xfId="6450"/>
    <cellStyle name="Calculation 2 14 2 7 3 4" xfId="6451"/>
    <cellStyle name="Input 2 12 3 8 2" xfId="6452"/>
    <cellStyle name="Calculation 2 14 2 7 4" xfId="6453"/>
    <cellStyle name="Input 2 12 4 2 4" xfId="6454"/>
    <cellStyle name="Output 2 10 7 2 2" xfId="6455"/>
    <cellStyle name="Output 2 6 3 5 4 2" xfId="6456"/>
    <cellStyle name="Calculation 2 14 2 7 4 2" xfId="6457"/>
    <cellStyle name="Calculation 2 14 2 7 4 3" xfId="6458"/>
    <cellStyle name="Calculation 2 14 2 7 5" xfId="6459"/>
    <cellStyle name="Output 2 10 7 2 3" xfId="6460"/>
    <cellStyle name="Output 2 6 3 5 4 3" xfId="6461"/>
    <cellStyle name="Calculation 2 14 2 7 5 2" xfId="6462"/>
    <cellStyle name="Calculation 2 14 2 7 5 3" xfId="6463"/>
    <cellStyle name="Calculation 2 14 2 7 6" xfId="6464"/>
    <cellStyle name="Output 2 10 7 2 4" xfId="6465"/>
    <cellStyle name="Calculation 2 14 3 10 4 2" xfId="6466"/>
    <cellStyle name="Output 2 2 3 5 3 4" xfId="6467"/>
    <cellStyle name="Calculation 2 14 2 8" xfId="6468"/>
    <cellStyle name="Input 2 12 4 3" xfId="6469"/>
    <cellStyle name="Note 2 9 3 3 2 3" xfId="6470"/>
    <cellStyle name="Output 2 8 2 9 3 3" xfId="6471"/>
    <cellStyle name="Calculation 2 14 2 8 2" xfId="6472"/>
    <cellStyle name="Input 2 12 4 3 2" xfId="6473"/>
    <cellStyle name="Calculation 2 14 2 8 2 3" xfId="6474"/>
    <cellStyle name="Calculation 2 14 2 8 3" xfId="6475"/>
    <cellStyle name="Input 2 12 4 3 3" xfId="6476"/>
    <cellStyle name="Calculation 2 14 2 8 3 3" xfId="6477"/>
    <cellStyle name="Calculation 2 14 2 8 3 4" xfId="6478"/>
    <cellStyle name="Input 2 5 2 4 2" xfId="6479"/>
    <cellStyle name="Calculation 2 14 2 8 4" xfId="6480"/>
    <cellStyle name="Input 2 12 4 3 4" xfId="6481"/>
    <cellStyle name="Output 2 10 7 3 2" xfId="6482"/>
    <cellStyle name="Output 2 6 3 5 5 2" xfId="6483"/>
    <cellStyle name="Calculation 2 14 2 8 4 2" xfId="6484"/>
    <cellStyle name="Calculation 2 14 2 8 4 3" xfId="6485"/>
    <cellStyle name="Calculation 2 14 2 8 5" xfId="6486"/>
    <cellStyle name="Output 2 10 7 3 3" xfId="6487"/>
    <cellStyle name="Output 2 6 3 5 5 3" xfId="6488"/>
    <cellStyle name="Calculation 2 14 2 8 5 3" xfId="6489"/>
    <cellStyle name="Calculation 2 14 2 8 6" xfId="6490"/>
    <cellStyle name="Output 2 10 7 3 4" xfId="6491"/>
    <cellStyle name="Output 2 4 7 2 2" xfId="6492"/>
    <cellStyle name="Calculation 2 14 2 8 7" xfId="6493"/>
    <cellStyle name="Output 2 4 7 2 3" xfId="6494"/>
    <cellStyle name="Calculation 2 14 2 9 3 2" xfId="6495"/>
    <cellStyle name="Calculation 2 14 2 9 3 3" xfId="6496"/>
    <cellStyle name="Calculation 2 14 2 9 3 4" xfId="6497"/>
    <cellStyle name="Input 2 5 3 4 2" xfId="6498"/>
    <cellStyle name="Note 2 12 3 10 3 2" xfId="6499"/>
    <cellStyle name="Calculation 2 14 2 9 4 3" xfId="6500"/>
    <cellStyle name="Calculation 2 14 2 9 5" xfId="6501"/>
    <cellStyle name="Calculation 2 6 12 2 2" xfId="6502"/>
    <cellStyle name="Output 2 10 7 4 3" xfId="6503"/>
    <cellStyle name="Calculation 2 14 2 9 5 3" xfId="6504"/>
    <cellStyle name="Note 2 14 13" xfId="6505"/>
    <cellStyle name="Calculation 2 14 2 9 6" xfId="6506"/>
    <cellStyle name="Calculation 2 6 12 2 3" xfId="6507"/>
    <cellStyle name="Output 2 4 7 3 2" xfId="6508"/>
    <cellStyle name="Calculation 2 14 3" xfId="6509"/>
    <cellStyle name="Calculation 2 2 3 9 5" xfId="6510"/>
    <cellStyle name="Output 2 9 3 9" xfId="6511"/>
    <cellStyle name="Calculation 2 14 3 10 2" xfId="6512"/>
    <cellStyle name="Total 2 11 3 5 4" xfId="6513"/>
    <cellStyle name="Calculation 2 2 3 9 5 2" xfId="6514"/>
    <cellStyle name="Output 2 9 3 9 2" xfId="6515"/>
    <cellStyle name="Calculation 2 14 3 10 2 2" xfId="6516"/>
    <cellStyle name="Total 2 11 3 5 4 2" xfId="6517"/>
    <cellStyle name="Calculation 2 2 3 9 5 3" xfId="6518"/>
    <cellStyle name="Output 2 9 3 9 3" xfId="6519"/>
    <cellStyle name="Calculation 2 14 3 10 2 3" xfId="6520"/>
    <cellStyle name="Total 2 11 3 5 4 3" xfId="6521"/>
    <cellStyle name="Calculation 2 14 3 10 2 4" xfId="6522"/>
    <cellStyle name="Output 2 9 3 9 4" xfId="6523"/>
    <cellStyle name="Calculation 2 2 3 9 6" xfId="6524"/>
    <cellStyle name="Calculation 2 14 3 10 3" xfId="6525"/>
    <cellStyle name="Total 2 11 3 5 5" xfId="6526"/>
    <cellStyle name="Calculation 2 2 3 9 6 2" xfId="6527"/>
    <cellStyle name="Output 2 2 3 5 2 4" xfId="6528"/>
    <cellStyle name="Calculation 2 14 3 10 3 2" xfId="6529"/>
    <cellStyle name="Total 2 11 3 5 5 2" xfId="6530"/>
    <cellStyle name="Calculation 2 14 3 10 3 3" xfId="6531"/>
    <cellStyle name="Total 2 11 3 5 5 3" xfId="6532"/>
    <cellStyle name="Calculation 2 14 3 10 3 4" xfId="6533"/>
    <cellStyle name="Calculation 2 2 3 9 7" xfId="6534"/>
    <cellStyle name="Calculation 2 14 3 10 4" xfId="6535"/>
    <cellStyle name="Total 2 11 3 5 6" xfId="6536"/>
    <cellStyle name="Calculation 2 14 3 10 5" xfId="6537"/>
    <cellStyle name="Total 2 11 3 5 7" xfId="6538"/>
    <cellStyle name="Calculation 2 14 3 8" xfId="6539"/>
    <cellStyle name="Input 2 12 5 3" xfId="6540"/>
    <cellStyle name="Note 2 9 3 3 3 3" xfId="6541"/>
    <cellStyle name="Output 2 8 2 9 4 3" xfId="6542"/>
    <cellStyle name="Calculation 2 14 3 10 5 2" xfId="6543"/>
    <cellStyle name="Calculation 2 14 3 11" xfId="6544"/>
    <cellStyle name="Input 2 6 5 2 4" xfId="6545"/>
    <cellStyle name="Note 2 2 2 4 3 4" xfId="6546"/>
    <cellStyle name="Calculation 2 14 3 11 2" xfId="6547"/>
    <cellStyle name="Total 2 11 3 6 4" xfId="6548"/>
    <cellStyle name="Calculation 2 14 3 11 3" xfId="6549"/>
    <cellStyle name="Total 2 11 3 6 5" xfId="6550"/>
    <cellStyle name="Calculation 2 14 3 11 4" xfId="6551"/>
    <cellStyle name="Total 2 11 3 6 6" xfId="6552"/>
    <cellStyle name="Calculation 2 14 3 12" xfId="6553"/>
    <cellStyle name="Calculation 2 14 3 13" xfId="6554"/>
    <cellStyle name="Calculation 2 14 3 14" xfId="6555"/>
    <cellStyle name="Total 2 11 3 9 5" xfId="6556"/>
    <cellStyle name="Calculation 2 14 3 14 3" xfId="6557"/>
    <cellStyle name="Calculation 2 6 2 2 2 3" xfId="6558"/>
    <cellStyle name="Calculation 2 14 3 3 2 2" xfId="6559"/>
    <cellStyle name="Input 2 2 4 8" xfId="6560"/>
    <cellStyle name="Calculation 2 14 3 3 4" xfId="6561"/>
    <cellStyle name="Output 2 12 3 7 2 2" xfId="6562"/>
    <cellStyle name="Calculation 2 14 3 3 4 3" xfId="6563"/>
    <cellStyle name="Calculation 2 14 3 3 5" xfId="6564"/>
    <cellStyle name="Output 2 12 3 7 2 3" xfId="6565"/>
    <cellStyle name="Calculation 2 6 2 2 5 3" xfId="6566"/>
    <cellStyle name="Calculation 2 14 3 3 5 2" xfId="6567"/>
    <cellStyle name="Input 2 2 7 8" xfId="6568"/>
    <cellStyle name="Calculation 2 14 3 3 5 3" xfId="6569"/>
    <cellStyle name="Calculation 2 14 3 3 6" xfId="6570"/>
    <cellStyle name="Output 2 12 3 7 2 4" xfId="6571"/>
    <cellStyle name="Calculation 2 14 3 3 7" xfId="6572"/>
    <cellStyle name="Calculation 2 18 2 3" xfId="6573"/>
    <cellStyle name="Calculation 2 23 2 3" xfId="6574"/>
    <cellStyle name="Input 2 6 3 5 3 4" xfId="6575"/>
    <cellStyle name="Note 2 3 2 7 5 2" xfId="6576"/>
    <cellStyle name="Calculation 2 14 3 4 2" xfId="6577"/>
    <cellStyle name="Calculation 2 6 2 3 2 3" xfId="6578"/>
    <cellStyle name="Calculation 2 14 3 4 2 2" xfId="6579"/>
    <cellStyle name="Input 2 3 4 8" xfId="6580"/>
    <cellStyle name="Note 2 12 2 5 7" xfId="6581"/>
    <cellStyle name="Output 2 8 2 14 3" xfId="6582"/>
    <cellStyle name="Calculation 2 18 2 4" xfId="6583"/>
    <cellStyle name="Calculation 2 23 2 4" xfId="6584"/>
    <cellStyle name="Note 2 3 2 7 5 3" xfId="6585"/>
    <cellStyle name="Calculation 2 14 3 4 3" xfId="6586"/>
    <cellStyle name="Calculation 2 14 3 4 5" xfId="6587"/>
    <cellStyle name="Output 2 12 3 7 3 3" xfId="6588"/>
    <cellStyle name="Calculation 2 4 3 17" xfId="6589"/>
    <cellStyle name="Calculation 2 6 2 3 5 3" xfId="6590"/>
    <cellStyle name="Calculation 2 14 3 4 5 2" xfId="6591"/>
    <cellStyle name="Input 2 3 7 8" xfId="6592"/>
    <cellStyle name="Note 2 12 2 8 7" xfId="6593"/>
    <cellStyle name="Calculation 2 14 3 4 5 3" xfId="6594"/>
    <cellStyle name="Calculation 2 4 3 18" xfId="6595"/>
    <cellStyle name="Calculation 2 14 3 4 6" xfId="6596"/>
    <cellStyle name="Output 2 12 3 7 3 4" xfId="6597"/>
    <cellStyle name="Calculation 2 14 3 4 7" xfId="6598"/>
    <cellStyle name="Calculation 2 18 3 3" xfId="6599"/>
    <cellStyle name="Calculation 2 23 3 3" xfId="6600"/>
    <cellStyle name="Calculation 2 14 3 5 2" xfId="6601"/>
    <cellStyle name="Note 2 12 14" xfId="6602"/>
    <cellStyle name="Calculation 2 6 2 4 2 3" xfId="6603"/>
    <cellStyle name="Calculation 2 14 3 5 2 2" xfId="6604"/>
    <cellStyle name="Input 2 4 4 8" xfId="6605"/>
    <cellStyle name="Note 2 12 14 2" xfId="6606"/>
    <cellStyle name="Note 2 12 3 5 7" xfId="6607"/>
    <cellStyle name="Calculation 2 18 3 4" xfId="6608"/>
    <cellStyle name="Calculation 2 23 3 4" xfId="6609"/>
    <cellStyle name="Calculation 2 14 3 5 3" xfId="6610"/>
    <cellStyle name="Note 2 12 15" xfId="6611"/>
    <cellStyle name="Note 2 12 20" xfId="6612"/>
    <cellStyle name="Calculation 2 6 2 4 3 3" xfId="6613"/>
    <cellStyle name="Calculation 2 14 3 5 3 2" xfId="6614"/>
    <cellStyle name="Input 2 4 5 8" xfId="6615"/>
    <cellStyle name="Note 2 12 15 2" xfId="6616"/>
    <cellStyle name="Note 2 12 3 6 7" xfId="6617"/>
    <cellStyle name="Note 2 12 16" xfId="6618"/>
    <cellStyle name="Calculation 2 14 3 5 4" xfId="6619"/>
    <cellStyle name="Output 2 12 3 7 4 2" xfId="6620"/>
    <cellStyle name="Output 2 6 3 6 2 2" xfId="6621"/>
    <cellStyle name="Calculation 2 6 2 4 4 3" xfId="6622"/>
    <cellStyle name="Calculation 2 14 3 5 4 2" xfId="6623"/>
    <cellStyle name="Input 2 4 6 8" xfId="6624"/>
    <cellStyle name="Note 2 12 16 2" xfId="6625"/>
    <cellStyle name="Note 2 12 3 7 7" xfId="6626"/>
    <cellStyle name="Calculation 2 14 3 5 4 3" xfId="6627"/>
    <cellStyle name="Note 2 12 16 3" xfId="6628"/>
    <cellStyle name="Calculation 2 2" xfId="6629"/>
    <cellStyle name="Note 2 12 17" xfId="6630"/>
    <cellStyle name="Calculation 2 14 3 5 5" xfId="6631"/>
    <cellStyle name="Output 2 12 3 7 4 3" xfId="6632"/>
    <cellStyle name="Output 2 6 3 6 2 3" xfId="6633"/>
    <cellStyle name="Calculation 2 2 2" xfId="6634"/>
    <cellStyle name="Calculation 2 6 2 4 5 3" xfId="6635"/>
    <cellStyle name="Calculation 2 14 3 5 5 2" xfId="6636"/>
    <cellStyle name="Input 2 4 7 8" xfId="6637"/>
    <cellStyle name="Note 2 12 3 8 7" xfId="6638"/>
    <cellStyle name="Calculation 2 14 3 5 5 3" xfId="6639"/>
    <cellStyle name="Calculation 2 14 3 6" xfId="6640"/>
    <cellStyle name="Calculation 2 18 4 3" xfId="6641"/>
    <cellStyle name="Calculation 2 23 4 3" xfId="6642"/>
    <cellStyle name="Note 2 5 10 7" xfId="6643"/>
    <cellStyle name="Calculation 2 14 3 6 2" xfId="6644"/>
    <cellStyle name="Calculation 2 6 2 5 2 3" xfId="6645"/>
    <cellStyle name="Calculation 2 14 3 6 2 2" xfId="6646"/>
    <cellStyle name="Input 2 5 4 8" xfId="6647"/>
    <cellStyle name="Calculation 2 14 3 6 3" xfId="6648"/>
    <cellStyle name="Calculation 2 6 2 5 3 3" xfId="6649"/>
    <cellStyle name="Input 2 4 3 12" xfId="6650"/>
    <cellStyle name="Calculation 2 14 3 6 3 2" xfId="6651"/>
    <cellStyle name="Input 2 5 5 8" xfId="6652"/>
    <cellStyle name="Calculation 2 14 3 6 4" xfId="6653"/>
    <cellStyle name="Output 2 12 3 7 5 2" xfId="6654"/>
    <cellStyle name="Output 2 6 3 6 3 2" xfId="6655"/>
    <cellStyle name="Calculation 2 14 3 6 4 3" xfId="6656"/>
    <cellStyle name="Calculation 2 14 3 6 5" xfId="6657"/>
    <cellStyle name="Output 2 12 3 7 5 3" xfId="6658"/>
    <cellStyle name="Output 2 6 3 6 3 3" xfId="6659"/>
    <cellStyle name="Calculation 2 14 3 6 6" xfId="6660"/>
    <cellStyle name="Output 2 6 3 6 3 4" xfId="6661"/>
    <cellStyle name="Calculation 2 14 3 6 7" xfId="6662"/>
    <cellStyle name="Calculation 2 14 3 7" xfId="6663"/>
    <cellStyle name="Input 2 12 5 2" xfId="6664"/>
    <cellStyle name="Note 2 9 3 3 3 2" xfId="6665"/>
    <cellStyle name="Output 2 8 2 9 4 2" xfId="6666"/>
    <cellStyle name="Calculation 2 18 5 3" xfId="6667"/>
    <cellStyle name="Calculation 2 23 5 3" xfId="6668"/>
    <cellStyle name="Note 2 5 11 7" xfId="6669"/>
    <cellStyle name="Calculation 2 14 3 7 2" xfId="6670"/>
    <cellStyle name="Input 2 12 5 2 2" xfId="6671"/>
    <cellStyle name="Calculation 2 14 3 7 2 2" xfId="6672"/>
    <cellStyle name="Calculation 2 6 2 6 2 3" xfId="6673"/>
    <cellStyle name="Note 2 2 2 3 9" xfId="6674"/>
    <cellStyle name="Calculation 2 14 3 7 2 3" xfId="6675"/>
    <cellStyle name="Calculation 2 6 2 6 2 4" xfId="6676"/>
    <cellStyle name="Calculation 2 14 3 7 2 4" xfId="6677"/>
    <cellStyle name="Input 2 13 3 7 2" xfId="6678"/>
    <cellStyle name="Calculation 2 14 3 7 3" xfId="6679"/>
    <cellStyle name="Input 2 12 5 2 3" xfId="6680"/>
    <cellStyle name="Calculation 2 14 3 7 3 2" xfId="6681"/>
    <cellStyle name="Calculation 2 6 2 6 3 3" xfId="6682"/>
    <cellStyle name="Note 2 2 2 4 9" xfId="6683"/>
    <cellStyle name="Calculation 2 14 3 7 3 3" xfId="6684"/>
    <cellStyle name="Calculation 2 6 2 6 3 4" xfId="6685"/>
    <cellStyle name="Calculation 2 14 3 7 3 4" xfId="6686"/>
    <cellStyle name="Input 2 13 3 8 2" xfId="6687"/>
    <cellStyle name="Calculation 2 14 3 7 4" xfId="6688"/>
    <cellStyle name="Input 2 12 5 2 4" xfId="6689"/>
    <cellStyle name="Output 2 10 8 2 2" xfId="6690"/>
    <cellStyle name="Output 2 6 3 6 4 2" xfId="6691"/>
    <cellStyle name="Calculation 2 14 3 7 4 2" xfId="6692"/>
    <cellStyle name="Calculation 2 6 2 6 4 3" xfId="6693"/>
    <cellStyle name="Calculation 2 14 3 7 4 3" xfId="6694"/>
    <cellStyle name="Note 2 2 2 5 2 2 2 2 2" xfId="6695"/>
    <cellStyle name="Calculation 2 14 3 7 5" xfId="6696"/>
    <cellStyle name="Output 2 10 8 2 3" xfId="6697"/>
    <cellStyle name="Output 2 6 3 6 4 3" xfId="6698"/>
    <cellStyle name="Calculation 2 14 3 7 5 2" xfId="6699"/>
    <cellStyle name="Calculation 2 6 2 6 5 3" xfId="6700"/>
    <cellStyle name="Calculation 2 14 3 7 6" xfId="6701"/>
    <cellStyle name="Output 2 10 8 2 4" xfId="6702"/>
    <cellStyle name="Calculation 2 14 3 8 3 4" xfId="6703"/>
    <cellStyle name="Input 2 6 2 4 2" xfId="6704"/>
    <cellStyle name="Calculation 2 14 3 8 7" xfId="6705"/>
    <cellStyle name="Output 2 4 8 2 3" xfId="6706"/>
    <cellStyle name="Calculation 2 14 3 9 2 2" xfId="6707"/>
    <cellStyle name="Calculation 2 6 2 8 2 3" xfId="6708"/>
    <cellStyle name="Heading 3 2 3 2 2 2" xfId="6709"/>
    <cellStyle name="Output 2 8 3 14 3" xfId="6710"/>
    <cellStyle name="Calculation 2 14 3 9 2 3" xfId="6711"/>
    <cellStyle name="Calculation 2 6 2 8 2 4" xfId="6712"/>
    <cellStyle name="Heading 3 2 3 2 2 3" xfId="6713"/>
    <cellStyle name="Calculation 2 14 3 9 3 2" xfId="6714"/>
    <cellStyle name="Calculation 2 6 2 8 3 3" xfId="6715"/>
    <cellStyle name="Calculation 2 14 3 9 3 3" xfId="6716"/>
    <cellStyle name="Calculation 2 6 2 8 3 4" xfId="6717"/>
    <cellStyle name="Calculation 2 14 3 9 3 4" xfId="6718"/>
    <cellStyle name="Input 2 6 3 4 2" xfId="6719"/>
    <cellStyle name="Note 2 2 2 2 5 2" xfId="6720"/>
    <cellStyle name="Calculation 2 14 3 9 5" xfId="6721"/>
    <cellStyle name="Output 2 10 8 4 3" xfId="6722"/>
    <cellStyle name="Calculation 2 14 3 9 5 2" xfId="6723"/>
    <cellStyle name="Calculation 2 5 3 17" xfId="6724"/>
    <cellStyle name="Calculation 2 6 2 8 5 3" xfId="6725"/>
    <cellStyle name="Calculation 2 14 3 9 6" xfId="6726"/>
    <cellStyle name="Output 2 4 8 3 2" xfId="6727"/>
    <cellStyle name="Calculation 2 14 3 9 7" xfId="6728"/>
    <cellStyle name="Output 2 4 8 3 3" xfId="6729"/>
    <cellStyle name="Calculation 2 14 4 3 4" xfId="6730"/>
    <cellStyle name="Output 2 12 3 8 2 2" xfId="6731"/>
    <cellStyle name="Calculation 2 19 3 3" xfId="6732"/>
    <cellStyle name="Calculation 2 24 3 3" xfId="6733"/>
    <cellStyle name="Calculation 2 14 4 5 2" xfId="6734"/>
    <cellStyle name="Calculation 2 19 3 4" xfId="6735"/>
    <cellStyle name="Calculation 2 24 3 4" xfId="6736"/>
    <cellStyle name="Calculation 2 14 4 5 3" xfId="6737"/>
    <cellStyle name="Calculation 2 14 4 6" xfId="6738"/>
    <cellStyle name="Calculation 2 14 4 7" xfId="6739"/>
    <cellStyle name="Input 2 12 6 2" xfId="6740"/>
    <cellStyle name="Note 2 9 3 3 4 2" xfId="6741"/>
    <cellStyle name="Output 2 8 2 9 5 2" xfId="6742"/>
    <cellStyle name="Total 2 11 10 2 2" xfId="6743"/>
    <cellStyle name="Calculation 2 14 5 2" xfId="6744"/>
    <cellStyle name="Note 2 16 9 2 3" xfId="6745"/>
    <cellStyle name="Calculation 2 14 5 2 2" xfId="6746"/>
    <cellStyle name="Calculation 2 14 5 2 3" xfId="6747"/>
    <cellStyle name="Calculation 2 14 5 2 4" xfId="6748"/>
    <cellStyle name="Calculation 2 14 5 3" xfId="6749"/>
    <cellStyle name="Note 2 16 9 2 4" xfId="6750"/>
    <cellStyle name="Calculation 2 14 5 3 2" xfId="6751"/>
    <cellStyle name="Calculation 2 14 5 3 3" xfId="6752"/>
    <cellStyle name="Calculation 2 14 5 3 4" xfId="6753"/>
    <cellStyle name="Output 2 12 3 9 2 2" xfId="6754"/>
    <cellStyle name="Calculation 2 14 6" xfId="6755"/>
    <cellStyle name="Calculation 2 14 6 2" xfId="6756"/>
    <cellStyle name="Note 2 16 9 3 3" xfId="6757"/>
    <cellStyle name="Calculation 2 14 6 3" xfId="6758"/>
    <cellStyle name="Note 2 16 9 3 4" xfId="6759"/>
    <cellStyle name="Calculation 2 14 6 3 3" xfId="6760"/>
    <cellStyle name="Calculation 2 14 6 3 4" xfId="6761"/>
    <cellStyle name="Calculation 2 14 6 4 2" xfId="6762"/>
    <cellStyle name="Calculation 2 14 6 4 3" xfId="6763"/>
    <cellStyle name="Calculation 2 14 6 5 2" xfId="6764"/>
    <cellStyle name="Calculation 2 14 6 5 3" xfId="6765"/>
    <cellStyle name="Calculation 2 14 6 7" xfId="6766"/>
    <cellStyle name="Input 2 12 8 2" xfId="6767"/>
    <cellStyle name="Total 2 11 10 4 2" xfId="6768"/>
    <cellStyle name="Calculation 2 14 7 2" xfId="6769"/>
    <cellStyle name="Note 2 16 9 4 3" xfId="6770"/>
    <cellStyle name="Calculation 2 14 7 3" xfId="6771"/>
    <cellStyle name="Calculation 2 14 7 4 2" xfId="6772"/>
    <cellStyle name="Calculation 2 14 7 5 2" xfId="6773"/>
    <cellStyle name="Calculation 2 14 7 5 3" xfId="6774"/>
    <cellStyle name="Calculation 2 14 7 7" xfId="6775"/>
    <cellStyle name="Input 2 12 9 2" xfId="6776"/>
    <cellStyle name="Total 2 11 10 5 2" xfId="6777"/>
    <cellStyle name="Calculation 2 14 8 3 3" xfId="6778"/>
    <cellStyle name="Calculation 2 14 8 3 4" xfId="6779"/>
    <cellStyle name="Calculation 2 14 8 4 2" xfId="6780"/>
    <cellStyle name="Calculation 2 14 8 4 3" xfId="6781"/>
    <cellStyle name="Calculation 2 14 8 5 2" xfId="6782"/>
    <cellStyle name="Calculation 2 14 8 6" xfId="6783"/>
    <cellStyle name="Note 2 14 3 7 2 3" xfId="6784"/>
    <cellStyle name="Calculation 2 14 9 3 2" xfId="6785"/>
    <cellStyle name="Calculation 2 14 9 3 3" xfId="6786"/>
    <cellStyle name="Calculation 2 14 9 3 4" xfId="6787"/>
    <cellStyle name="Calculation 2 14 9 4 2" xfId="6788"/>
    <cellStyle name="Calculation 2 14 9 4 3" xfId="6789"/>
    <cellStyle name="Calculation 2 14 9 5 2" xfId="6790"/>
    <cellStyle name="Calculation 2 2 5 2 2 2" xfId="6791"/>
    <cellStyle name="Calculation 2 14 9 5 3" xfId="6792"/>
    <cellStyle name="Calculation 2 15 10 5" xfId="6793"/>
    <cellStyle name="Calculation 2 15 10 6" xfId="6794"/>
    <cellStyle name="Calculation 2 15 11 4" xfId="6795"/>
    <cellStyle name="Calculation 2 15 12 4" xfId="6796"/>
    <cellStyle name="Calculation 2 15 13 2" xfId="6797"/>
    <cellStyle name="Input 2 6 11 7" xfId="6798"/>
    <cellStyle name="Calculation 2 15 13 3" xfId="6799"/>
    <cellStyle name="Calculation 2 15 14 2" xfId="6800"/>
    <cellStyle name="Input 2 6 12 7" xfId="6801"/>
    <cellStyle name="Calculation 2 15 14 3" xfId="6802"/>
    <cellStyle name="Calculation 2 15 15" xfId="6803"/>
    <cellStyle name="Calculation 2 15 16" xfId="6804"/>
    <cellStyle name="Calculation 2 2 3 6 6 2 2" xfId="6805"/>
    <cellStyle name="Calculation 2 15 17" xfId="6806"/>
    <cellStyle name="Calculation 2 15 2 2 4" xfId="6807"/>
    <cellStyle name="Calculation 2 7 4 3" xfId="6808"/>
    <cellStyle name="Calculation 2 2 18 2" xfId="6809"/>
    <cellStyle name="Note 2 10 2 12" xfId="6810"/>
    <cellStyle name="Calculation 2 15 2 3 2" xfId="6811"/>
    <cellStyle name="Calculation 2 15 2 3 3" xfId="6812"/>
    <cellStyle name="Calculation 2 7 5 2" xfId="6813"/>
    <cellStyle name="Calculation 2 15 2 3 4" xfId="6814"/>
    <cellStyle name="Calculation 2 7 5 3" xfId="6815"/>
    <cellStyle name="Calculation 2 2 19 2" xfId="6816"/>
    <cellStyle name="Input 2 11 2 8 2 3" xfId="6817"/>
    <cellStyle name="Calculation 2 15 2 4 2" xfId="6818"/>
    <cellStyle name="Calculation 2 15 2 4 3" xfId="6819"/>
    <cellStyle name="Calculation 2 7 6 2" xfId="6820"/>
    <cellStyle name="Calculation 2 15 2 5 2" xfId="6821"/>
    <cellStyle name="Calculation 2 15 3 2 4" xfId="6822"/>
    <cellStyle name="Calculation 2 8 4 3" xfId="6823"/>
    <cellStyle name="Calculation 2 15 3 3 2" xfId="6824"/>
    <cellStyle name="Calculation 2 15 3 3 3" xfId="6825"/>
    <cellStyle name="Calculation 2 8 5 2" xfId="6826"/>
    <cellStyle name="Calculation 2 15 3 3 4" xfId="6827"/>
    <cellStyle name="Calculation 2 8 5 3" xfId="6828"/>
    <cellStyle name="Calculation 2 15 3 4 3" xfId="6829"/>
    <cellStyle name="Calculation 2 8 6 2" xfId="6830"/>
    <cellStyle name="Calculation 2 15 3 5 2" xfId="6831"/>
    <cellStyle name="Calculation 2 15 3 5 3" xfId="6832"/>
    <cellStyle name="Calculation 2 8 7 2" xfId="6833"/>
    <cellStyle name="Calculation 2 15 3 6" xfId="6834"/>
    <cellStyle name="Calculation 2 15 3 7" xfId="6835"/>
    <cellStyle name="Input 2 13 5 2" xfId="6836"/>
    <cellStyle name="Note 2 9 3 4 3 2" xfId="6837"/>
    <cellStyle name="Calculation 2 15 4 2 3" xfId="6838"/>
    <cellStyle name="Calculation 2 9 4 2" xfId="6839"/>
    <cellStyle name="Calculation 2 15 4 2 4" xfId="6840"/>
    <cellStyle name="Calculation 2 9 4 3" xfId="6841"/>
    <cellStyle name="Calculation 2 15 4 3 2" xfId="6842"/>
    <cellStyle name="Calculation 2 15 4 3 3" xfId="6843"/>
    <cellStyle name="Calculation 2 9 5 2" xfId="6844"/>
    <cellStyle name="Calculation 2 15 4 3 4" xfId="6845"/>
    <cellStyle name="Calculation 2 9 5 3" xfId="6846"/>
    <cellStyle name="Calculation 2 15 4 4" xfId="6847"/>
    <cellStyle name="Calculation 2 15 4 4 3" xfId="6848"/>
    <cellStyle name="Calculation 2 9 6 2" xfId="6849"/>
    <cellStyle name="Note 2 6" xfId="6850"/>
    <cellStyle name="Calculation 2 15 4 5" xfId="6851"/>
    <cellStyle name="Calculation 2 15 4 5 2" xfId="6852"/>
    <cellStyle name="Calculation 2 15 4 5 3" xfId="6853"/>
    <cellStyle name="Calculation 2 9 7 2" xfId="6854"/>
    <cellStyle name="Calculation 2 15 4 6" xfId="6855"/>
    <cellStyle name="Calculation 2 15 4 7" xfId="6856"/>
    <cellStyle name="Input 2 13 6 2" xfId="6857"/>
    <cellStyle name="Note 2 9 3 4 4 2" xfId="6858"/>
    <cellStyle name="Total 2 11 11 2 2" xfId="6859"/>
    <cellStyle name="Calculation 2 2 2 10" xfId="6860"/>
    <cellStyle name="Calculation 2 15 5 2" xfId="6861"/>
    <cellStyle name="Calculation 2 20 5 2" xfId="6862"/>
    <cellStyle name="Calculation 2 2 2 10 2" xfId="6863"/>
    <cellStyle name="Output 2 2 4 3" xfId="6864"/>
    <cellStyle name="Calculation 2 15 5 2 2" xfId="6865"/>
    <cellStyle name="Calculation 2 2 2 10 3" xfId="6866"/>
    <cellStyle name="Input 2 9 3 5 4 2" xfId="6867"/>
    <cellStyle name="Output 2 2 4 4" xfId="6868"/>
    <cellStyle name="Calculation 2 15 5 2 3" xfId="6869"/>
    <cellStyle name="Input 2 12 3 10" xfId="6870"/>
    <cellStyle name="Calculation 2 2 2 10 4" xfId="6871"/>
    <cellStyle name="Input 2 9 3 5 4 3" xfId="6872"/>
    <cellStyle name="Output 2 2 4 5" xfId="6873"/>
    <cellStyle name="Calculation 2 15 5 2 4" xfId="6874"/>
    <cellStyle name="Input 2 12 3 11" xfId="6875"/>
    <cellStyle name="Calculation 2 2 2 11" xfId="6876"/>
    <cellStyle name="Calculation 2 15 5 3" xfId="6877"/>
    <cellStyle name="Calculation 2 20 5 3" xfId="6878"/>
    <cellStyle name="Calculation 2 2 2 11 2" xfId="6879"/>
    <cellStyle name="Output 2 2 5 3" xfId="6880"/>
    <cellStyle name="Calculation 2 15 5 3 2" xfId="6881"/>
    <cellStyle name="Calculation 2 2 2 11 3" xfId="6882"/>
    <cellStyle name="Input 2 9 3 5 5 2" xfId="6883"/>
    <cellStyle name="Output 2 2 5 4" xfId="6884"/>
    <cellStyle name="Calculation 2 15 5 3 3" xfId="6885"/>
    <cellStyle name="Calculation 2 2 2 12 3" xfId="6886"/>
    <cellStyle name="Output 2 2 6 4" xfId="6887"/>
    <cellStyle name="Calculation 2 15 5 4 3" xfId="6888"/>
    <cellStyle name="Calculation 2 2 2 14" xfId="6889"/>
    <cellStyle name="Calculation 2 15 5 6" xfId="6890"/>
    <cellStyle name="Calculation 2 15 6 2" xfId="6891"/>
    <cellStyle name="Calculation 2 15 6 2 2" xfId="6892"/>
    <cellStyle name="Calculation 2 15 6 2 3" xfId="6893"/>
    <cellStyle name="Calculation 2 15 6 2 4" xfId="6894"/>
    <cellStyle name="Calculation 2 15 6 3" xfId="6895"/>
    <cellStyle name="Calculation 2 15 6 3 2" xfId="6896"/>
    <cellStyle name="Calculation 2 15 6 3 3" xfId="6897"/>
    <cellStyle name="Calculation 2 15 6 3 4" xfId="6898"/>
    <cellStyle name="Calculation 2 15 6 4" xfId="6899"/>
    <cellStyle name="Calculation 2 15 6 4 2" xfId="6900"/>
    <cellStyle name="Calculation 2 15 6 4 3" xfId="6901"/>
    <cellStyle name="Calculation 2 15 6 5" xfId="6902"/>
    <cellStyle name="Calculation 2 15 6 5 2" xfId="6903"/>
    <cellStyle name="Calculation 2 15 6 5 3" xfId="6904"/>
    <cellStyle name="Calculation 2 15 6 6" xfId="6905"/>
    <cellStyle name="Calculation 2 15 6 7" xfId="6906"/>
    <cellStyle name="Input 2 13 8 2" xfId="6907"/>
    <cellStyle name="Total 2 11 11 4 2" xfId="6908"/>
    <cellStyle name="Calculation 2 15 7 2" xfId="6909"/>
    <cellStyle name="Calculation 2 15 7 2 2" xfId="6910"/>
    <cellStyle name="Calculation 2 15 7 2 4" xfId="6911"/>
    <cellStyle name="Calculation 2 15 7 3" xfId="6912"/>
    <cellStyle name="Calculation 2 15 7 3 2" xfId="6913"/>
    <cellStyle name="Calculation 2 15 7 3 3" xfId="6914"/>
    <cellStyle name="Calculation 2 15 7 3 4" xfId="6915"/>
    <cellStyle name="Calculation 2 15 7 4" xfId="6916"/>
    <cellStyle name="Calculation 2 15 7 4 2" xfId="6917"/>
    <cellStyle name="Calculation 2 15 7 5" xfId="6918"/>
    <cellStyle name="Calculation 2 15 7 5 2" xfId="6919"/>
    <cellStyle name="Calculation 2 15 7 5 3" xfId="6920"/>
    <cellStyle name="Calculation 2 15 7 6" xfId="6921"/>
    <cellStyle name="Calculation 2 15 7 7" xfId="6922"/>
    <cellStyle name="Input 2 13 9 2" xfId="6923"/>
    <cellStyle name="Total 2 11 11 5 2" xfId="6924"/>
    <cellStyle name="Calculation 2 15 8 2 2" xfId="6925"/>
    <cellStyle name="Calculation 2 15 8 2 3" xfId="6926"/>
    <cellStyle name="Calculation 2 15 8 2 4" xfId="6927"/>
    <cellStyle name="Calculation 2 15 8 3 2" xfId="6928"/>
    <cellStyle name="Calculation 2 15 8 3 3" xfId="6929"/>
    <cellStyle name="Calculation 2 15 8 3 4" xfId="6930"/>
    <cellStyle name="Calculation 2 15 8 4 3" xfId="6931"/>
    <cellStyle name="Calculation 2 15 8 5" xfId="6932"/>
    <cellStyle name="Input 2 14 3 8 2 4" xfId="6933"/>
    <cellStyle name="Note 2 14 3 8 2 2" xfId="6934"/>
    <cellStyle name="Calculation 2 15 8 5 3" xfId="6935"/>
    <cellStyle name="Calculation 2 15 8 6" xfId="6936"/>
    <cellStyle name="Note 2 14 3 8 2 3" xfId="6937"/>
    <cellStyle name="Calculation 2 15 8 7" xfId="6938"/>
    <cellStyle name="Calculation 2 5 2 2 2 2" xfId="6939"/>
    <cellStyle name="Note 2 14 3 8 2 4" xfId="6940"/>
    <cellStyle name="Calculation 2 15 9 2 2" xfId="6941"/>
    <cellStyle name="Calculation 2 15 9 2 3" xfId="6942"/>
    <cellStyle name="Calculation 2 15 9 2 4" xfId="6943"/>
    <cellStyle name="Calculation 2 15 9 3 2" xfId="6944"/>
    <cellStyle name="Calculation 2 15 9 3 3" xfId="6945"/>
    <cellStyle name="Calculation 2 15 9 3 4" xfId="6946"/>
    <cellStyle name="Calculation 2 15 9 4 3" xfId="6947"/>
    <cellStyle name="Calculation 2 15 9 5" xfId="6948"/>
    <cellStyle name="Calculation 2 2 6 2 2" xfId="6949"/>
    <cellStyle name="Input 2 14 3 8 3 4" xfId="6950"/>
    <cellStyle name="Note 2 14 3 8 3 2" xfId="6951"/>
    <cellStyle name="Calculation 2 15 9 5 3" xfId="6952"/>
    <cellStyle name="Calculation 2 16 10" xfId="6953"/>
    <cellStyle name="Input 2 14 19" xfId="6954"/>
    <cellStyle name="Total 2 10 3 7 2 2" xfId="6955"/>
    <cellStyle name="Calculation 2 16 10 2 2" xfId="6956"/>
    <cellStyle name="Input 2 14 3 10 3 3" xfId="6957"/>
    <cellStyle name="Note 2 10 14 3" xfId="6958"/>
    <cellStyle name="Calculation 2 16 10 3" xfId="6959"/>
    <cellStyle name="Normal 2 3 3 5 2" xfId="6960"/>
    <cellStyle name="Calculation 2 16 10 4" xfId="6961"/>
    <cellStyle name="Normal 2 3 3 5 3" xfId="6962"/>
    <cellStyle name="Calculation 2 16 10 5" xfId="6963"/>
    <cellStyle name="Calculation 2 16 10 5 2" xfId="6964"/>
    <cellStyle name="Calculation 2 16 10 6" xfId="6965"/>
    <cellStyle name="Calculation 2 16 10 7" xfId="6966"/>
    <cellStyle name="Calculation 2 2 2 2 2 2 2 2 2" xfId="6967"/>
    <cellStyle name="Calculation 2 16 11 3" xfId="6968"/>
    <cellStyle name="Normal 2 3 3 6 2" xfId="6969"/>
    <cellStyle name="Calculation 2 2 2 2 2 2 2 2 3" xfId="6970"/>
    <cellStyle name="Calculation 2 16 11 4" xfId="6971"/>
    <cellStyle name="Normal 2 3 3 6 3" xfId="6972"/>
    <cellStyle name="Calculation 2 16 12 3" xfId="6973"/>
    <cellStyle name="Normal 2 3 3 7 2" xfId="6974"/>
    <cellStyle name="Calculation 2 16 12 4" xfId="6975"/>
    <cellStyle name="Input 2 2 2 5 2 2 2 2" xfId="6976"/>
    <cellStyle name="Normal 2 3 3 7 3" xfId="6977"/>
    <cellStyle name="Calculation 2 16 13" xfId="6978"/>
    <cellStyle name="Calculation 2 2 4 6 3" xfId="6979"/>
    <cellStyle name="Total 2 11 4 2 2" xfId="6980"/>
    <cellStyle name="Input 2 10 2 10 3 3" xfId="6981"/>
    <cellStyle name="Calculation 2 16 13 2" xfId="6982"/>
    <cellStyle name="Input 2 7 11 7" xfId="6983"/>
    <cellStyle name="Calculation 2 16 13 3" xfId="6984"/>
    <cellStyle name="Normal 2 3 3 8 2" xfId="6985"/>
    <cellStyle name="Calculation 2 16 17" xfId="6986"/>
    <cellStyle name="Calculation 2 16 3 3 4" xfId="6987"/>
    <cellStyle name="Input 2 14 2 7 4 2" xfId="6988"/>
    <cellStyle name="Calculation 2 16 2" xfId="6989"/>
    <cellStyle name="Calculation 2 21 2" xfId="6990"/>
    <cellStyle name="Calculation 2 16 2 2" xfId="6991"/>
    <cellStyle name="Calculation 2 21 2 2" xfId="6992"/>
    <cellStyle name="Input 2 6 3 3 3 3" xfId="6993"/>
    <cellStyle name="Note 2 15 8 6" xfId="6994"/>
    <cellStyle name="Calculation 2 16 2 2 2" xfId="6995"/>
    <cellStyle name="Calculation 2 16 2 2 3" xfId="6996"/>
    <cellStyle name="Calculation 2 16 2 3" xfId="6997"/>
    <cellStyle name="Calculation 2 21 2 3" xfId="6998"/>
    <cellStyle name="Note 2 15 8 7" xfId="6999"/>
    <cellStyle name="Input 2 6 3 3 3 4" xfId="7000"/>
    <cellStyle name="Note 2 3 2 5 5 2" xfId="7001"/>
    <cellStyle name="Calculation 2 16 2 3 2" xfId="7002"/>
    <cellStyle name="Calculation 2 16 2 3 3" xfId="7003"/>
    <cellStyle name="Calculation 2 16 2 3 4" xfId="7004"/>
    <cellStyle name="Input 2 14 2 6 4 2" xfId="7005"/>
    <cellStyle name="Calculation 2 16 2 4" xfId="7006"/>
    <cellStyle name="Calculation 2 21 2 4" xfId="7007"/>
    <cellStyle name="Note 2 3 2 5 5 3" xfId="7008"/>
    <cellStyle name="Calculation 2 16 2 4 2" xfId="7009"/>
    <cellStyle name="Calculation 2 16 2 4 3" xfId="7010"/>
    <cellStyle name="Calculation 2 16 2 5" xfId="7011"/>
    <cellStyle name="Calculation 2 16 2 5 2" xfId="7012"/>
    <cellStyle name="Calculation 2 16 2 5 3" xfId="7013"/>
    <cellStyle name="Calculation 2 16 2 6" xfId="7014"/>
    <cellStyle name="Calculation 2 16 3" xfId="7015"/>
    <cellStyle name="Calculation 2 21 3" xfId="7016"/>
    <cellStyle name="Calculation 2 16 3 2" xfId="7017"/>
    <cellStyle name="Calculation 2 21 3 2" xfId="7018"/>
    <cellStyle name="Input 2 6 3 3 4 3" xfId="7019"/>
    <cellStyle name="Note 2 15 9 6" xfId="7020"/>
    <cellStyle name="Calculation 2 16 3 2 2" xfId="7021"/>
    <cellStyle name="Calculation 2 16 3 2 3" xfId="7022"/>
    <cellStyle name="Calculation 2 16 3 3" xfId="7023"/>
    <cellStyle name="Calculation 2 21 3 3" xfId="7024"/>
    <cellStyle name="Note 2 15 9 7" xfId="7025"/>
    <cellStyle name="Calculation 2 16 3 3 2" xfId="7026"/>
    <cellStyle name="Calculation 2 9 2 10 7" xfId="7027"/>
    <cellStyle name="Calculation 2 16 3 3 3" xfId="7028"/>
    <cellStyle name="Calculation 2 16 3 4" xfId="7029"/>
    <cellStyle name="Calculation 2 21 3 4" xfId="7030"/>
    <cellStyle name="Calculation 2 16 3 4 2" xfId="7031"/>
    <cellStyle name="Calculation 2 16 3 4 3" xfId="7032"/>
    <cellStyle name="Calculation 2 16 3 5" xfId="7033"/>
    <cellStyle name="Calculation 2 16 3 5 2" xfId="7034"/>
    <cellStyle name="Calculation 2 16 3 5 3" xfId="7035"/>
    <cellStyle name="Calculation 2 16 3 6" xfId="7036"/>
    <cellStyle name="Calculation 2 16 3 7" xfId="7037"/>
    <cellStyle name="Input 2 14 5 2" xfId="7038"/>
    <cellStyle name="Note 2 9 3 5 3 2" xfId="7039"/>
    <cellStyle name="Calculation 2 16 4" xfId="7040"/>
    <cellStyle name="Calculation 2 21 4" xfId="7041"/>
    <cellStyle name="Calculation 2 16 4 2" xfId="7042"/>
    <cellStyle name="Calculation 2 21 4 2" xfId="7043"/>
    <cellStyle name="Input 2 6 3 3 5 3" xfId="7044"/>
    <cellStyle name="Calculation 2 16 4 2 2" xfId="7045"/>
    <cellStyle name="Calculation 2 16 4 2 3" xfId="7046"/>
    <cellStyle name="Calculation 2 16 4 3" xfId="7047"/>
    <cellStyle name="Calculation 2 21 4 3" xfId="7048"/>
    <cellStyle name="Calculation 2 16 4 3 2" xfId="7049"/>
    <cellStyle name="Calculation 2 16 4 3 3" xfId="7050"/>
    <cellStyle name="Calculation 2 16 4 4" xfId="7051"/>
    <cellStyle name="Calculation 2 16 4 5" xfId="7052"/>
    <cellStyle name="Calculation 2 16 4 5 2" xfId="7053"/>
    <cellStyle name="Calculation 2 16 4 5 3" xfId="7054"/>
    <cellStyle name="Calculation 2 16 4 6" xfId="7055"/>
    <cellStyle name="Calculation 2 16 4 7" xfId="7056"/>
    <cellStyle name="Input 2 14 6 2" xfId="7057"/>
    <cellStyle name="Note 2 9 3 5 4 2" xfId="7058"/>
    <cellStyle name="Output 2 3 2 10 2" xfId="7059"/>
    <cellStyle name="Total 2 11 12 2 2" xfId="7060"/>
    <cellStyle name="Calculation 2 16 5" xfId="7061"/>
    <cellStyle name="Calculation 2 21 5" xfId="7062"/>
    <cellStyle name="Calculation 2 16 5 2" xfId="7063"/>
    <cellStyle name="Calculation 2 21 5 2" xfId="7064"/>
    <cellStyle name="Calculation 2 16 5 2 2" xfId="7065"/>
    <cellStyle name="Output 2 13 10 5" xfId="7066"/>
    <cellStyle name="Calculation 2 16 5 2 3" xfId="7067"/>
    <cellStyle name="Output 2 13 10 6" xfId="7068"/>
    <cellStyle name="Calculation 2 16 5 2 4" xfId="7069"/>
    <cellStyle name="Input 2 14 2 9 3 2" xfId="7070"/>
    <cellStyle name="Output 2 13 10 7" xfId="7071"/>
    <cellStyle name="Calculation 2 16 5 3" xfId="7072"/>
    <cellStyle name="Calculation 2 21 5 3" xfId="7073"/>
    <cellStyle name="Calculation 2 16 5 3 2" xfId="7074"/>
    <cellStyle name="Output 2 13 11 5" xfId="7075"/>
    <cellStyle name="Calculation 2 16 5 3 3" xfId="7076"/>
    <cellStyle name="Output 2 13 11 6" xfId="7077"/>
    <cellStyle name="Calculation 2 16 5 3 4" xfId="7078"/>
    <cellStyle name="Input 2 14 2 9 4 2" xfId="7079"/>
    <cellStyle name="Output 2 13 11 7" xfId="7080"/>
    <cellStyle name="Calculation 2 16 5 4" xfId="7081"/>
    <cellStyle name="Calculation 2 16 5 4 2" xfId="7082"/>
    <cellStyle name="Output 2 13 12 5" xfId="7083"/>
    <cellStyle name="Calculation 2 16 5 4 3" xfId="7084"/>
    <cellStyle name="Output 2 13 12 6" xfId="7085"/>
    <cellStyle name="Calculation 2 16 5 5" xfId="7086"/>
    <cellStyle name="Calculation 2 16 5 5 2" xfId="7087"/>
    <cellStyle name="Calculation 2 16 5 5 3" xfId="7088"/>
    <cellStyle name="Calculation 2 16 5 6" xfId="7089"/>
    <cellStyle name="Calculation 2 16 5 7" xfId="7090"/>
    <cellStyle name="Input 2 14 7 2" xfId="7091"/>
    <cellStyle name="Note 2 9 3 5 5 2" xfId="7092"/>
    <cellStyle name="Output 2 3 2 11 2" xfId="7093"/>
    <cellStyle name="Total 2 11 12 3 2" xfId="7094"/>
    <cellStyle name="Calculation 2 16 6" xfId="7095"/>
    <cellStyle name="Calculation 2 21 6" xfId="7096"/>
    <cellStyle name="Input 2 3 2 2 3 2" xfId="7097"/>
    <cellStyle name="Calculation 2 16 6 2" xfId="7098"/>
    <cellStyle name="Calculation 2 16 6 2 2" xfId="7099"/>
    <cellStyle name="Calculation 2 16 6 2 4" xfId="7100"/>
    <cellStyle name="Calculation 2 16 6 3" xfId="7101"/>
    <cellStyle name="Calculation 2 16 6 4" xfId="7102"/>
    <cellStyle name="Calculation 2 16 6 4 2" xfId="7103"/>
    <cellStyle name="Calculation 2 16 6 4 3" xfId="7104"/>
    <cellStyle name="Calculation 2 16 6 5" xfId="7105"/>
    <cellStyle name="Calculation 2 16 6 5 2" xfId="7106"/>
    <cellStyle name="Calculation 2 16 6 5 3" xfId="7107"/>
    <cellStyle name="Calculation 2 16 6 6" xfId="7108"/>
    <cellStyle name="Calculation 2 16 6 7" xfId="7109"/>
    <cellStyle name="Input 2 14 8 2" xfId="7110"/>
    <cellStyle name="Output 2 3 2 12 2" xfId="7111"/>
    <cellStyle name="Total 2 11 12 4 2" xfId="7112"/>
    <cellStyle name="Calculation 2 16 7 2" xfId="7113"/>
    <cellStyle name="Calculation 2 16 7 2 4" xfId="7114"/>
    <cellStyle name="Calculation 2 16 7 3" xfId="7115"/>
    <cellStyle name="Calculation 2 16 7 3 2" xfId="7116"/>
    <cellStyle name="Calculation 2 16 7 3 4" xfId="7117"/>
    <cellStyle name="Heading 4 2 2 2 2 2" xfId="7118"/>
    <cellStyle name="Calculation 2 16 7 4" xfId="7119"/>
    <cellStyle name="Calculation 2 16 7 4 2" xfId="7120"/>
    <cellStyle name="Calculation 2 16 7 5" xfId="7121"/>
    <cellStyle name="Calculation 2 16 7 5 3" xfId="7122"/>
    <cellStyle name="Calculation 2 16 7 6" xfId="7123"/>
    <cellStyle name="Total 2 21" xfId="7124"/>
    <cellStyle name="Total 2 16" xfId="7125"/>
    <cellStyle name="Output 2 2 2 15 2 2" xfId="7126"/>
    <cellStyle name="Calculation 2 16 7 7" xfId="7127"/>
    <cellStyle name="Input 2 14 9 2" xfId="7128"/>
    <cellStyle name="Output 2 3 2 13 2" xfId="7129"/>
    <cellStyle name="Total 2 11 12 5 2" xfId="7130"/>
    <cellStyle name="Calculation 2 16 8 2" xfId="7131"/>
    <cellStyle name="Calculation 2 16 8 2 2" xfId="7132"/>
    <cellStyle name="Calculation 2 16 8 2 3" xfId="7133"/>
    <cellStyle name="Calculation 2 16 8 2 4" xfId="7134"/>
    <cellStyle name="Calculation 2 16 8 3" xfId="7135"/>
    <cellStyle name="Input 2 14 3 9 2 2" xfId="7136"/>
    <cellStyle name="Calculation 2 16 8 3 2" xfId="7137"/>
    <cellStyle name="Calculation 2 9 3 10 7" xfId="7138"/>
    <cellStyle name="Calculation 2 16 8 3 3" xfId="7139"/>
    <cellStyle name="Calculation 2 16 8 3 4" xfId="7140"/>
    <cellStyle name="Calculation 2 16 8 4" xfId="7141"/>
    <cellStyle name="Input 2 14 3 9 2 3" xfId="7142"/>
    <cellStyle name="Calculation 2 16 8 4 3" xfId="7143"/>
    <cellStyle name="Calculation 2 16 8 5" xfId="7144"/>
    <cellStyle name="Input 2 14 3 9 2 4" xfId="7145"/>
    <cellStyle name="Note 2 14 3 9 2 2" xfId="7146"/>
    <cellStyle name="Calculation 2 16 8 5 3" xfId="7147"/>
    <cellStyle name="Calculation 2 16 8 6" xfId="7148"/>
    <cellStyle name="Note 2 14 3 9 2 3" xfId="7149"/>
    <cellStyle name="Calculation 2 16 9 2" xfId="7150"/>
    <cellStyle name="Calculation 2 16 9 2 2" xfId="7151"/>
    <cellStyle name="Calculation 2 16 9 2 3" xfId="7152"/>
    <cellStyle name="Calculation 2 16 9 2 4" xfId="7153"/>
    <cellStyle name="Calculation 2 16 9 3" xfId="7154"/>
    <cellStyle name="Input 2 14 3 9 3 2" xfId="7155"/>
    <cellStyle name="Calculation 2 16 9 3 2" xfId="7156"/>
    <cellStyle name="Calculation 2 16 9 3 3" xfId="7157"/>
    <cellStyle name="Calculation 2 16 9 3 4" xfId="7158"/>
    <cellStyle name="Calculation 2 16 9 4" xfId="7159"/>
    <cellStyle name="Input 2 14 3 9 3 3" xfId="7160"/>
    <cellStyle name="Calculation 2 16 9 4 3" xfId="7161"/>
    <cellStyle name="Calculation 2 16 9 5" xfId="7162"/>
    <cellStyle name="Calculation 2 2 7 2 2" xfId="7163"/>
    <cellStyle name="Input 2 14 3 9 3 4" xfId="7164"/>
    <cellStyle name="Note 2 14 3 9 3 2" xfId="7165"/>
    <cellStyle name="Calculation 2 16 9 5 3" xfId="7166"/>
    <cellStyle name="Calculation 2 17 2" xfId="7167"/>
    <cellStyle name="Calculation 2 22 2" xfId="7168"/>
    <cellStyle name="Calculation 2 17 2 2" xfId="7169"/>
    <cellStyle name="Calculation 2 22 2 2" xfId="7170"/>
    <cellStyle name="Input 2 6 3 4 3 3" xfId="7171"/>
    <cellStyle name="Note 2 16 8 6" xfId="7172"/>
    <cellStyle name="Calculation 2 17 4 2" xfId="7173"/>
    <cellStyle name="Calculation 2 22 4 2" xfId="7174"/>
    <cellStyle name="Input 2 6 3 4 5 3" xfId="7175"/>
    <cellStyle name="Calculation 2 17 5 2" xfId="7176"/>
    <cellStyle name="Calculation 2 22 5 2" xfId="7177"/>
    <cellStyle name="Calculation 2 18 2" xfId="7178"/>
    <cellStyle name="Calculation 2 23 2" xfId="7179"/>
    <cellStyle name="Calculation 2 18 3" xfId="7180"/>
    <cellStyle name="Calculation 2 23 3" xfId="7181"/>
    <cellStyle name="Calculation 2 18 3 2" xfId="7182"/>
    <cellStyle name="Calculation 2 23 3 2" xfId="7183"/>
    <cellStyle name="Input 2 6 3 5 4 3" xfId="7184"/>
    <cellStyle name="Calculation 2 18 4 2" xfId="7185"/>
    <cellStyle name="Calculation 2 23 4 2" xfId="7186"/>
    <cellStyle name="Input 2 6 3 5 5 3" xfId="7187"/>
    <cellStyle name="Note 2 5 10 6" xfId="7188"/>
    <cellStyle name="Calculation 2 18 5 2" xfId="7189"/>
    <cellStyle name="Calculation 2 23 5 2" xfId="7190"/>
    <cellStyle name="Note 2 5 11 6" xfId="7191"/>
    <cellStyle name="Calculation 2 19 2" xfId="7192"/>
    <cellStyle name="Calculation 2 24 2" xfId="7193"/>
    <cellStyle name="Calculation 2 19 3" xfId="7194"/>
    <cellStyle name="Calculation 2 24 3" xfId="7195"/>
    <cellStyle name="Calculation 2 19 3 2" xfId="7196"/>
    <cellStyle name="Calculation 2 24 3 2" xfId="7197"/>
    <cellStyle name="Input 2 6 3 6 4 3" xfId="7198"/>
    <cellStyle name="Calculation 2 19 4 2" xfId="7199"/>
    <cellStyle name="Calculation 2 24 4 2" xfId="7200"/>
    <cellStyle name="Input 2 6 3 6 5 3" xfId="7201"/>
    <cellStyle name="Calculation 2 19 4 3" xfId="7202"/>
    <cellStyle name="Calculation 2 24 4 3" xfId="7203"/>
    <cellStyle name="Calculation 2 19 5 2" xfId="7204"/>
    <cellStyle name="Calculation 2 24 5 2" xfId="7205"/>
    <cellStyle name="Calculation 2 19 5 3" xfId="7206"/>
    <cellStyle name="Calculation 2 24 5 3" xfId="7207"/>
    <cellStyle name="Calculation 2 2 10 5 3" xfId="7208"/>
    <cellStyle name="Calculation 2 2 11 5 3" xfId="7209"/>
    <cellStyle name="Calculation 2 2 12 5 3" xfId="7210"/>
    <cellStyle name="Calculation 2 2 12 8" xfId="7211"/>
    <cellStyle name="Calculation 2 2 13 4" xfId="7212"/>
    <cellStyle name="Calculation 2 2 13 5" xfId="7213"/>
    <cellStyle name="Note 2 6 2 4 2 2" xfId="7214"/>
    <cellStyle name="Calculation 2 2 14" xfId="7215"/>
    <cellStyle name="Output 2 7 13 2" xfId="7216"/>
    <cellStyle name="Calculation 2 2 14 2" xfId="7217"/>
    <cellStyle name="Calculation 2 2 14 3" xfId="7218"/>
    <cellStyle name="Calculation 2 5 10" xfId="7219"/>
    <cellStyle name="Calculation 2 2 14 4" xfId="7220"/>
    <cellStyle name="Calculation 2 5 11" xfId="7221"/>
    <cellStyle name="Calculation 2 2 14 5" xfId="7222"/>
    <cellStyle name="Calculation 2 5 12" xfId="7223"/>
    <cellStyle name="Note 2 6 2 4 3 2" xfId="7224"/>
    <cellStyle name="Calculation 2 2 2 14 2" xfId="7225"/>
    <cellStyle name="Output 2 2 8 3" xfId="7226"/>
    <cellStyle name="Calculation 2 2 2 16" xfId="7227"/>
    <cellStyle name="Calculation 2 2 2 21" xfId="7228"/>
    <cellStyle name="Calculation 2 2 2 2 2 2 2 2 2 3" xfId="7229"/>
    <cellStyle name="Note 2 11 11 2 2" xfId="7230"/>
    <cellStyle name="Calculation 2 2 2 2 2 2 2 3" xfId="7231"/>
    <cellStyle name="Input 2 12 3 10 5 2" xfId="7232"/>
    <cellStyle name="Input 2 9 8 2 3" xfId="7233"/>
    <cellStyle name="Calculation 2 2 2 2 3 2" xfId="7234"/>
    <cellStyle name="Note 2 11 3 8 3 4" xfId="7235"/>
    <cellStyle name="Calculation 2 2 2 2 3 2 2" xfId="7236"/>
    <cellStyle name="Input 2 5 10 6" xfId="7237"/>
    <cellStyle name="Calculation 2 2 2 2 4 2" xfId="7238"/>
    <cellStyle name="Calculation 2 2 2 2 4 2 2" xfId="7239"/>
    <cellStyle name="Calculation 2 2 2 2 5" xfId="7240"/>
    <cellStyle name="Calculation 2 2 2 2 5 2" xfId="7241"/>
    <cellStyle name="Calculation 2 2 2 2 5 2 2" xfId="7242"/>
    <cellStyle name="Calculation 2 2 2 2 6" xfId="7243"/>
    <cellStyle name="Calculation 2 2 2 2 6 2" xfId="7244"/>
    <cellStyle name="Calculation 2 2 2 2 6 2 2" xfId="7245"/>
    <cellStyle name="Calculation 2 2 2 2 6 2 2 2" xfId="7246"/>
    <cellStyle name="Calculation 2 2 2 2 6 3" xfId="7247"/>
    <cellStyle name="Calculation 2 2 2 2 7" xfId="7248"/>
    <cellStyle name="Calculation 2 2 2 25" xfId="7249"/>
    <cellStyle name="Calculation 2 2 2 30" xfId="7250"/>
    <cellStyle name="Calculation 2 2 2 26" xfId="7251"/>
    <cellStyle name="Calculation 2 2 2 27" xfId="7252"/>
    <cellStyle name="Note 2 14 3 13 2" xfId="7253"/>
    <cellStyle name="Calculation 2 2 2 28" xfId="7254"/>
    <cellStyle name="Note 2 14 3 13 3" xfId="7255"/>
    <cellStyle name="Calculation 2 2 2 29" xfId="7256"/>
    <cellStyle name="Calculation 2 2 2 3" xfId="7257"/>
    <cellStyle name="Note 2 14 3 4 4" xfId="7258"/>
    <cellStyle name="Note 2 5 2 8 3 2" xfId="7259"/>
    <cellStyle name="Calculation 2 2 2 3 2" xfId="7260"/>
    <cellStyle name="Note 2 14 3 4 4 2" xfId="7261"/>
    <cellStyle name="Calculation 2 2 2 3 2 2" xfId="7262"/>
    <cellStyle name="Note 2 11 3 9 2 4" xfId="7263"/>
    <cellStyle name="Calculation 2 2 2 3 3" xfId="7264"/>
    <cellStyle name="Note 2 14 3 4 4 3" xfId="7265"/>
    <cellStyle name="Output 2 2 2 10 5 2" xfId="7266"/>
    <cellStyle name="Calculation 2 2 2 3 3 2" xfId="7267"/>
    <cellStyle name="Note 2 11 3 9 3 4" xfId="7268"/>
    <cellStyle name="Calculation 2 2 2 3 4" xfId="7269"/>
    <cellStyle name="Output 2 2 2 10 5 3" xfId="7270"/>
    <cellStyle name="Calculation 2 2 2 3 4 2" xfId="7271"/>
    <cellStyle name="Calculation 2 2 2 3 5" xfId="7272"/>
    <cellStyle name="Calculation 2 2 2 3 5 2" xfId="7273"/>
    <cellStyle name="Calculation 2 2 2 3 6" xfId="7274"/>
    <cellStyle name="Calculation 2 2 2 3 6 2" xfId="7275"/>
    <cellStyle name="Calculation 2 2 2 3 7" xfId="7276"/>
    <cellStyle name="Calculation 2 2 2 3 8" xfId="7277"/>
    <cellStyle name="Calculation 2 2 2 4" xfId="7278"/>
    <cellStyle name="Note 2 14 3 4 5" xfId="7279"/>
    <cellStyle name="Note 2 5 2 8 3 3" xfId="7280"/>
    <cellStyle name="Calculation 2 2 2 4 2" xfId="7281"/>
    <cellStyle name="Note 2 14 3 4 5 2" xfId="7282"/>
    <cellStyle name="Calculation 2 2 2 4 3" xfId="7283"/>
    <cellStyle name="Note 2 14 3 4 5 3" xfId="7284"/>
    <cellStyle name="Calculation 2 2 2 4 3 2" xfId="7285"/>
    <cellStyle name="Calculation 2 2 2 4 4" xfId="7286"/>
    <cellStyle name="Calculation 2 2 2 4 4 2" xfId="7287"/>
    <cellStyle name="Calculation 2 2 2 4 5" xfId="7288"/>
    <cellStyle name="Calculation 2 2 2 4 5 2" xfId="7289"/>
    <cellStyle name="Calculation 2 2 2 4 6" xfId="7290"/>
    <cellStyle name="Calculation 2 2 2 4 6 2" xfId="7291"/>
    <cellStyle name="Calculation 2 2 2 4 7" xfId="7292"/>
    <cellStyle name="Calculation 2 2 2 5" xfId="7293"/>
    <cellStyle name="Note 2 14 3 4 6" xfId="7294"/>
    <cellStyle name="Note 2 5 2 8 3 4" xfId="7295"/>
    <cellStyle name="Calculation 2 2 2 5 2" xfId="7296"/>
    <cellStyle name="Calculation 2 2 2 5 2 2" xfId="7297"/>
    <cellStyle name="Calculation 2 2 2 5 2 2 2" xfId="7298"/>
    <cellStyle name="Calculation 2 2 2 5 2 2 2 2" xfId="7299"/>
    <cellStyle name="Note 2 2 10 4 3" xfId="7300"/>
    <cellStyle name="Calculation 2 2 2 5 2 2 2 2 2" xfId="7301"/>
    <cellStyle name="Calculation 2 2 2 5 2 2 2 2 2 2" xfId="7302"/>
    <cellStyle name="Note 2 7 3 9 7" xfId="7303"/>
    <cellStyle name="Output 2 14 5 2 3" xfId="7304"/>
    <cellStyle name="Calculation 2 2 2 5 2 2 2 3" xfId="7305"/>
    <cellStyle name="Calculation 2 2 2 5 3" xfId="7306"/>
    <cellStyle name="Calculation 2 2 2 5 3 2" xfId="7307"/>
    <cellStyle name="Calculation 2 2 2 5 3 2 2" xfId="7308"/>
    <cellStyle name="Calculation 2 2 2 5 4" xfId="7309"/>
    <cellStyle name="Output 2 11 10 2 2" xfId="7310"/>
    <cellStyle name="Total 2 11 3 10 2" xfId="7311"/>
    <cellStyle name="Calculation 2 2 2 5 4 2" xfId="7312"/>
    <cellStyle name="Total 2 11 3 10 2 2" xfId="7313"/>
    <cellStyle name="Calculation 2 2 2 5 5" xfId="7314"/>
    <cellStyle name="Output 2 11 10 2 3" xfId="7315"/>
    <cellStyle name="Total 2 11 3 10 3" xfId="7316"/>
    <cellStyle name="Calculation 2 2 2 5 5 2" xfId="7317"/>
    <cellStyle name="Total 2 11 3 10 3 2" xfId="7318"/>
    <cellStyle name="Calculation 2 2 2 5 6" xfId="7319"/>
    <cellStyle name="Output 2 11 10 2 4" xfId="7320"/>
    <cellStyle name="Total 2 11 3 10 4" xfId="7321"/>
    <cellStyle name="Calculation 2 2 2 5 6 2" xfId="7322"/>
    <cellStyle name="Total 2 11 3 10 4 2" xfId="7323"/>
    <cellStyle name="Total 2 3 13 3" xfId="7324"/>
    <cellStyle name="Calculation 2 2 2 5 6 2 2" xfId="7325"/>
    <cellStyle name="Calculation 2 2 2 5 7" xfId="7326"/>
    <cellStyle name="Output 2 2 3 9 2 2" xfId="7327"/>
    <cellStyle name="Total 2 11 3 10 5" xfId="7328"/>
    <cellStyle name="Calculation 2 2 2 5 8" xfId="7329"/>
    <cellStyle name="Output 2 2 3 9 2 3" xfId="7330"/>
    <cellStyle name="Total 2 11 3 10 6" xfId="7331"/>
    <cellStyle name="Calculation 2 2 2 6" xfId="7332"/>
    <cellStyle name="Note 2 14 3 4 7" xfId="7333"/>
    <cellStyle name="Calculation 2 2 2 6 2" xfId="7334"/>
    <cellStyle name="Total 2 10 3 5 2 4" xfId="7335"/>
    <cellStyle name="Calculation 2 2 2 6 2 2" xfId="7336"/>
    <cellStyle name="Calculation 2 2 2 6 3" xfId="7337"/>
    <cellStyle name="Total 2 11 2 2 2" xfId="7338"/>
    <cellStyle name="Calculation 2 2 2 6 3 2" xfId="7339"/>
    <cellStyle name="Total 2 11 2 2 2 2" xfId="7340"/>
    <cellStyle name="Calculation 2 2 2 6 4" xfId="7341"/>
    <cellStyle name="Output 2 11 10 3 2" xfId="7342"/>
    <cellStyle name="Total 2 11 2 2 3" xfId="7343"/>
    <cellStyle name="Total 2 11 3 11 2" xfId="7344"/>
    <cellStyle name="Calculation 2 2 2 6 4 2" xfId="7345"/>
    <cellStyle name="Total 2 11 2 2 3 2" xfId="7346"/>
    <cellStyle name="Calculation 2 2 2 6 5" xfId="7347"/>
    <cellStyle name="Output 2 11 10 3 3" xfId="7348"/>
    <cellStyle name="Total 2 11 2 2 4" xfId="7349"/>
    <cellStyle name="Total 2 11 3 11 3" xfId="7350"/>
    <cellStyle name="Calculation 2 2 2 6 5 2" xfId="7351"/>
    <cellStyle name="Total 2 11 2 2 4 2" xfId="7352"/>
    <cellStyle name="Calculation 2 2 2 6 6" xfId="7353"/>
    <cellStyle name="Output 2 11 10 3 4" xfId="7354"/>
    <cellStyle name="Total 2 11 2 2 5" xfId="7355"/>
    <cellStyle name="Total 2 11 3 11 4" xfId="7356"/>
    <cellStyle name="Calculation 2 2 2 6 6 2" xfId="7357"/>
    <cellStyle name="Output 2 2 2 2 2 4" xfId="7358"/>
    <cellStyle name="Total 2 11 2 2 5 2" xfId="7359"/>
    <cellStyle name="Total 2 8 13 3" xfId="7360"/>
    <cellStyle name="Calculation 2 2 2 6 6 2 2" xfId="7361"/>
    <cellStyle name="Calculation 2 2 2 6 7" xfId="7362"/>
    <cellStyle name="Output 2 2 3 9 3 2" xfId="7363"/>
    <cellStyle name="Total 2 11 2 2 6" xfId="7364"/>
    <cellStyle name="Calculation 2 2 2 6 8" xfId="7365"/>
    <cellStyle name="Output 2 2 3 9 3 3" xfId="7366"/>
    <cellStyle name="Total 2 11 2 2 7" xfId="7367"/>
    <cellStyle name="Calculation 2 2 2 7" xfId="7368"/>
    <cellStyle name="Calculation 2 2 2 7 2" xfId="7369"/>
    <cellStyle name="Output 2 13 5 2 4" xfId="7370"/>
    <cellStyle name="Total 2 10 3 5 3 4" xfId="7371"/>
    <cellStyle name="Calculation 2 2 2 7 2 2" xfId="7372"/>
    <cellStyle name="Calculation 2 2 2 7 3" xfId="7373"/>
    <cellStyle name="Total 2 11 2 3 2" xfId="7374"/>
    <cellStyle name="Calculation 2 2 2 7 3 2" xfId="7375"/>
    <cellStyle name="Output 2 4 15" xfId="7376"/>
    <cellStyle name="Total 2 11 2 3 2 2" xfId="7377"/>
    <cellStyle name="Calculation 2 2 2 7 4" xfId="7378"/>
    <cellStyle name="Output 2 11 10 4 2" xfId="7379"/>
    <cellStyle name="Total 2 11 2 3 3" xfId="7380"/>
    <cellStyle name="Total 2 11 3 12 2" xfId="7381"/>
    <cellStyle name="Calculation 2 2 2 7 4 2" xfId="7382"/>
    <cellStyle name="Total 2 11 2 3 3 2" xfId="7383"/>
    <cellStyle name="Calculation 2 2 2 7 5" xfId="7384"/>
    <cellStyle name="Output 2 11 10 4 3" xfId="7385"/>
    <cellStyle name="Total 2 11 2 3 4" xfId="7386"/>
    <cellStyle name="Total 2 11 3 12 3" xfId="7387"/>
    <cellStyle name="Calculation 2 2 2 7 5 2" xfId="7388"/>
    <cellStyle name="Total 2 11 2 3 4 2" xfId="7389"/>
    <cellStyle name="Calculation 2 2 2 7 6" xfId="7390"/>
    <cellStyle name="Total 2 11 2 3 5" xfId="7391"/>
    <cellStyle name="Total 2 11 3 12 4" xfId="7392"/>
    <cellStyle name="Calculation 2 2 2 7 6 2" xfId="7393"/>
    <cellStyle name="Note 2 2 6" xfId="7394"/>
    <cellStyle name="Output 2 2 2 3 2 4" xfId="7395"/>
    <cellStyle name="Total 2 11 2 3 5 2" xfId="7396"/>
    <cellStyle name="Calculation 2 2 2 7 6 2 2" xfId="7397"/>
    <cellStyle name="Note 2 2 6 2" xfId="7398"/>
    <cellStyle name="Calculation 2 2 2 7 7" xfId="7399"/>
    <cellStyle name="Output 2 2 3 9 4 2" xfId="7400"/>
    <cellStyle name="Total 2 11 2 3 6" xfId="7401"/>
    <cellStyle name="Calculation 2 2 2 7 8" xfId="7402"/>
    <cellStyle name="Output 2 2 3 9 4 3" xfId="7403"/>
    <cellStyle name="Total 2 11 2 3 7" xfId="7404"/>
    <cellStyle name="Calculation 2 2 2 8" xfId="7405"/>
    <cellStyle name="Output 2 7 5 2" xfId="7406"/>
    <cellStyle name="Calculation 2 2 2 8 2" xfId="7407"/>
    <cellStyle name="Output 2 13 5 3 4" xfId="7408"/>
    <cellStyle name="Output 2 7 5 2 2" xfId="7409"/>
    <cellStyle name="Output 2 8 2 6" xfId="7410"/>
    <cellStyle name="Calculation 2 2 2 8 2 2" xfId="7411"/>
    <cellStyle name="Note 2 10 3 10 5 3" xfId="7412"/>
    <cellStyle name="Output 2 14 2 7 4" xfId="7413"/>
    <cellStyle name="Output 2 8 2 6 2" xfId="7414"/>
    <cellStyle name="Calculation 2 2 2 8 3" xfId="7415"/>
    <cellStyle name="Output 2 7 5 2 3" xfId="7416"/>
    <cellStyle name="Output 2 8 2 7" xfId="7417"/>
    <cellStyle name="Total 2 11 2 4 2" xfId="7418"/>
    <cellStyle name="Calculation 2 2 2 8 3 2" xfId="7419"/>
    <cellStyle name="Input 2 10 3" xfId="7420"/>
    <cellStyle name="Output 2 14 2 8 4" xfId="7421"/>
    <cellStyle name="Output 2 8 2 7 2" xfId="7422"/>
    <cellStyle name="Output 2 9 15" xfId="7423"/>
    <cellStyle name="Output 2 9 20" xfId="7424"/>
    <cellStyle name="Total 2 11 2 4 2 2" xfId="7425"/>
    <cellStyle name="Calculation 2 2 2 8 4" xfId="7426"/>
    <cellStyle name="Output 2 7 5 2 4" xfId="7427"/>
    <cellStyle name="Output 2 8 2 8" xfId="7428"/>
    <cellStyle name="Output 2 11 10 5 2" xfId="7429"/>
    <cellStyle name="Total 2 11 2 4 3" xfId="7430"/>
    <cellStyle name="Total 2 11 3 13 2" xfId="7431"/>
    <cellStyle name="Calculation 2 2 2 8 4 2" xfId="7432"/>
    <cellStyle name="Input 2 11 3" xfId="7433"/>
    <cellStyle name="Output 2 14 2 9 4" xfId="7434"/>
    <cellStyle name="Output 2 8 2 8 2" xfId="7435"/>
    <cellStyle name="Total 2 11 2 4 3 2" xfId="7436"/>
    <cellStyle name="Calculation 2 2 2 8 5" xfId="7437"/>
    <cellStyle name="Note 2 2 2 4 2 2 2" xfId="7438"/>
    <cellStyle name="Output 2 8 2 9" xfId="7439"/>
    <cellStyle name="Output 2 11 10 5 3" xfId="7440"/>
    <cellStyle name="Total 2 11 2 4 4" xfId="7441"/>
    <cellStyle name="Total 2 11 3 13 3" xfId="7442"/>
    <cellStyle name="Calculation 2 2 2 8 5 2" xfId="7443"/>
    <cellStyle name="Input 2 12 3" xfId="7444"/>
    <cellStyle name="Note 2 2 2 4 2 2 2 2" xfId="7445"/>
    <cellStyle name="Output 2 8 2 9 2" xfId="7446"/>
    <cellStyle name="Total 2 11 2 4 4 2" xfId="7447"/>
    <cellStyle name="Calculation 2 2 2 8 6" xfId="7448"/>
    <cellStyle name="Note 2 2 2 4 2 2 3" xfId="7449"/>
    <cellStyle name="Total 2 11 2 4 5" xfId="7450"/>
    <cellStyle name="Calculation 2 2 2 8 6 2" xfId="7451"/>
    <cellStyle name="Input 2 13 3" xfId="7452"/>
    <cellStyle name="Output 2 2 2 4 2 4" xfId="7453"/>
    <cellStyle name="Total 2 11 2 4 5 2" xfId="7454"/>
    <cellStyle name="Calculation 2 2 2 8 6 2 2" xfId="7455"/>
    <cellStyle name="Input 2 13 3 2" xfId="7456"/>
    <cellStyle name="Calculation 2 2 2 8 7" xfId="7457"/>
    <cellStyle name="Note 2 2 2 2 2 2 2 2 2" xfId="7458"/>
    <cellStyle name="Note 2 2 2 4 2 2 4" xfId="7459"/>
    <cellStyle name="Output 2 2 3 9 5 2" xfId="7460"/>
    <cellStyle name="Total 2 11 2 4 6" xfId="7461"/>
    <cellStyle name="Calculation 2 2 2 8 8" xfId="7462"/>
    <cellStyle name="Note 2 2 2 2 2 2 2 2 3" xfId="7463"/>
    <cellStyle name="Output 2 2 3 9 5 3" xfId="7464"/>
    <cellStyle name="Total 2 11 2 4 7" xfId="7465"/>
    <cellStyle name="Calculation 2 2 2 9" xfId="7466"/>
    <cellStyle name="Calculation 2 2 3 11 2" xfId="7467"/>
    <cellStyle name="Output 2 7 5 3" xfId="7468"/>
    <cellStyle name="Calculation 2 2 2 9 2" xfId="7469"/>
    <cellStyle name="Output 2 7 5 3 2" xfId="7470"/>
    <cellStyle name="Output 2 8 3 6" xfId="7471"/>
    <cellStyle name="Calculation 2 2 2 9 2 2" xfId="7472"/>
    <cellStyle name="Output 2 14 3 7 4" xfId="7473"/>
    <cellStyle name="Output 2 8 3 6 2" xfId="7474"/>
    <cellStyle name="Calculation 2 2 2 9 2 3" xfId="7475"/>
    <cellStyle name="Output 2 14 3 7 5" xfId="7476"/>
    <cellStyle name="Output 2 8 3 6 3" xfId="7477"/>
    <cellStyle name="Total 2 8 3 2 3 2" xfId="7478"/>
    <cellStyle name="Calculation 2 2 2 9 2 4" xfId="7479"/>
    <cellStyle name="Output 2 14 3 7 6" xfId="7480"/>
    <cellStyle name="Output 2 8 3 6 4" xfId="7481"/>
    <cellStyle name="Calculation 2 2 2 9 3" xfId="7482"/>
    <cellStyle name="Output 2 7 5 3 3" xfId="7483"/>
    <cellStyle name="Output 2 8 3 7" xfId="7484"/>
    <cellStyle name="Total 2 11 2 5 2" xfId="7485"/>
    <cellStyle name="Calculation 2 2 2 9 3 2" xfId="7486"/>
    <cellStyle name="Output 2 14 3 8 4" xfId="7487"/>
    <cellStyle name="Output 2 8 3 7 2" xfId="7488"/>
    <cellStyle name="Total 2 11 2 5 2 2" xfId="7489"/>
    <cellStyle name="Calculation 2 2 2 9 3 3" xfId="7490"/>
    <cellStyle name="Output 2 14 3 8 5" xfId="7491"/>
    <cellStyle name="Output 2 8 3 7 3" xfId="7492"/>
    <cellStyle name="Total 2 11 2 5 2 3" xfId="7493"/>
    <cellStyle name="Total 2 8 3 2 4 2" xfId="7494"/>
    <cellStyle name="Calculation 2 2 2 9 3 4" xfId="7495"/>
    <cellStyle name="Output 2 14 3 8 6" xfId="7496"/>
    <cellStyle name="Output 2 8 3 7 4" xfId="7497"/>
    <cellStyle name="Total 2 11 2 5 2 4" xfId="7498"/>
    <cellStyle name="Calculation 2 2 2 9 4" xfId="7499"/>
    <cellStyle name="Output 2 7 5 3 4" xfId="7500"/>
    <cellStyle name="Output 2 8 3 8" xfId="7501"/>
    <cellStyle name="Total 2 11 2 5 3" xfId="7502"/>
    <cellStyle name="Total 2 11 3 14 2" xfId="7503"/>
    <cellStyle name="Calculation 2 2 2 9 4 2" xfId="7504"/>
    <cellStyle name="Output 2 14 3 9 4" xfId="7505"/>
    <cellStyle name="Output 2 8 3 8 2" xfId="7506"/>
    <cellStyle name="Total 2 11 2 5 3 2" xfId="7507"/>
    <cellStyle name="Calculation 2 2 2 9 4 3" xfId="7508"/>
    <cellStyle name="Note 2 9 4 2 2" xfId="7509"/>
    <cellStyle name="Output 2 14 3 9 5" xfId="7510"/>
    <cellStyle name="Output 2 8 3 8 3" xfId="7511"/>
    <cellStyle name="Total 2 11 2 5 3 3" xfId="7512"/>
    <cellStyle name="Calculation 2 2 2 9 5" xfId="7513"/>
    <cellStyle name="Note 2 2 2 4 2 3 2" xfId="7514"/>
    <cellStyle name="Output 2 8 3 9" xfId="7515"/>
    <cellStyle name="Total 2 11 2 5 4" xfId="7516"/>
    <cellStyle name="Total 2 11 3 14 3" xfId="7517"/>
    <cellStyle name="Calculation 2 2 2 9 5 2" xfId="7518"/>
    <cellStyle name="Output 2 8 3 9 2" xfId="7519"/>
    <cellStyle name="Total 2 11 2 5 4 2" xfId="7520"/>
    <cellStyle name="Calculation 2 2 2 9 5 3" xfId="7521"/>
    <cellStyle name="Note 2 9 4 3 2" xfId="7522"/>
    <cellStyle name="Output 2 8 3 9 3" xfId="7523"/>
    <cellStyle name="Total 2 11 2 5 4 3" xfId="7524"/>
    <cellStyle name="Calculation 2 2 2 9 6" xfId="7525"/>
    <cellStyle name="Total 2 11 2 5 5" xfId="7526"/>
    <cellStyle name="Calculation 2 2 2 9 6 2" xfId="7527"/>
    <cellStyle name="Output 2 2 2 5 2 4" xfId="7528"/>
    <cellStyle name="Total 2 11 2 5 5 2" xfId="7529"/>
    <cellStyle name="Calculation 2 2 2 9 6 2 2" xfId="7530"/>
    <cellStyle name="Calculation 2 2 2 9 7" xfId="7531"/>
    <cellStyle name="Heading 1 2 2 2 2 2 2" xfId="7532"/>
    <cellStyle name="Total 2 11 2 5 6" xfId="7533"/>
    <cellStyle name="Calculation 2 2 2 9 8" xfId="7534"/>
    <cellStyle name="Total 2 11 2 5 7" xfId="7535"/>
    <cellStyle name="Calculation 2 2 25" xfId="7536"/>
    <cellStyle name="Calculation 2 2 30" xfId="7537"/>
    <cellStyle name="Calculation 2 2 26" xfId="7538"/>
    <cellStyle name="Calculation 2 2 31" xfId="7539"/>
    <cellStyle name="Calculation 2 2 27" xfId="7540"/>
    <cellStyle name="Calculation 2 2 32" xfId="7541"/>
    <cellStyle name="Calculation 2 2 28" xfId="7542"/>
    <cellStyle name="Calculation 2 2 29" xfId="7543"/>
    <cellStyle name="Input 2 10 2 3 4 2" xfId="7544"/>
    <cellStyle name="Calculation 2 2 3" xfId="7545"/>
    <cellStyle name="Calculation 2 2 3 10" xfId="7546"/>
    <cellStyle name="Calculation 2 2 3 10 2" xfId="7547"/>
    <cellStyle name="Output 2 7 4 3" xfId="7548"/>
    <cellStyle name="Calculation 2 2 3 10 2 2" xfId="7549"/>
    <cellStyle name="Output 2 7 3 6" xfId="7550"/>
    <cellStyle name="Output 2 7 4 3 2" xfId="7551"/>
    <cellStyle name="Calculation 2 2 3 10 2 3" xfId="7552"/>
    <cellStyle name="Output 2 7 3 7" xfId="7553"/>
    <cellStyle name="Output 2 7 4 3 3" xfId="7554"/>
    <cellStyle name="Calculation 2 2 3 10 2 4" xfId="7555"/>
    <cellStyle name="Output 2 7 3 8" xfId="7556"/>
    <cellStyle name="Output 2 7 4 3 4" xfId="7557"/>
    <cellStyle name="Calculation 2 2 3 10 3" xfId="7558"/>
    <cellStyle name="Output 2 13 4 5 2" xfId="7559"/>
    <cellStyle name="Output 2 7 4 4" xfId="7560"/>
    <cellStyle name="Calculation 2 2 3 10 3 2" xfId="7561"/>
    <cellStyle name="Calculation 2 2 3 10 5" xfId="7562"/>
    <cellStyle name="Output 2 7 4 4 2" xfId="7563"/>
    <cellStyle name="Output 2 7 4 6" xfId="7564"/>
    <cellStyle name="Calculation 2 2 3 10 3 3" xfId="7565"/>
    <cellStyle name="Calculation 2 2 3 10 6" xfId="7566"/>
    <cellStyle name="Output 2 7 4 4 3" xfId="7567"/>
    <cellStyle name="Output 2 7 4 7" xfId="7568"/>
    <cellStyle name="Calculation 2 2 3 10 3 4" xfId="7569"/>
    <cellStyle name="Calculation 2 2 3 10 7" xfId="7570"/>
    <cellStyle name="Calculation 2 2 3 10 4" xfId="7571"/>
    <cellStyle name="Output 2 13 4 5 3" xfId="7572"/>
    <cellStyle name="Output 2 7 4 5" xfId="7573"/>
    <cellStyle name="Calculation 2 2 3 10 4 2" xfId="7574"/>
    <cellStyle name="Output 2 7 4 5 2" xfId="7575"/>
    <cellStyle name="Output 2 7 5 6" xfId="7576"/>
    <cellStyle name="Calculation 2 2 3 10 4 3" xfId="7577"/>
    <cellStyle name="Output 2 7 4 5 3" xfId="7578"/>
    <cellStyle name="Output 2 7 5 7" xfId="7579"/>
    <cellStyle name="Calculation 2 2 3 10 5 2" xfId="7580"/>
    <cellStyle name="Output 2 7 6 6" xfId="7581"/>
    <cellStyle name="Calculation 2 2 3 10 5 3" xfId="7582"/>
    <cellStyle name="Output 2 7 6 7" xfId="7583"/>
    <cellStyle name="Calculation 2 2 3 11" xfId="7584"/>
    <cellStyle name="Calculation 2 2 3 11 3" xfId="7585"/>
    <cellStyle name="Output 2 7 5 4" xfId="7586"/>
    <cellStyle name="Calculation 2 2 3 11 4" xfId="7587"/>
    <cellStyle name="Output 2 7 5 5" xfId="7588"/>
    <cellStyle name="Calculation 2 2 3 12" xfId="7589"/>
    <cellStyle name="Calculation 2 4 11 4 2" xfId="7590"/>
    <cellStyle name="Calculation 2 2 3 12 2" xfId="7591"/>
    <cellStyle name="Calculation 2 2 3 9" xfId="7592"/>
    <cellStyle name="Output 2 7 6 3" xfId="7593"/>
    <cellStyle name="Calculation 2 2 3 12 3" xfId="7594"/>
    <cellStyle name="Output 2 7 6 4" xfId="7595"/>
    <cellStyle name="Calculation 2 2 3 12 4" xfId="7596"/>
    <cellStyle name="Output 2 7 6 5" xfId="7597"/>
    <cellStyle name="Calculation 2 2 3 13" xfId="7598"/>
    <cellStyle name="Calculation 2 4 11 4 3" xfId="7599"/>
    <cellStyle name="Calculation 2 2 3 13 2" xfId="7600"/>
    <cellStyle name="Calculation 2 2 4 9" xfId="7601"/>
    <cellStyle name="Input 2 10 2 10 6" xfId="7602"/>
    <cellStyle name="Output 2 7 7 3" xfId="7603"/>
    <cellStyle name="Calculation 2 2 3 13 3" xfId="7604"/>
    <cellStyle name="Input 2 10 2 10 7" xfId="7605"/>
    <cellStyle name="Output 2 7 7 4" xfId="7606"/>
    <cellStyle name="Calculation 2 2 3 14" xfId="7607"/>
    <cellStyle name="Calculation 2 2 3 14 2" xfId="7608"/>
    <cellStyle name="Note 2 10 2 6" xfId="7609"/>
    <cellStyle name="Output 2 7 8 3" xfId="7610"/>
    <cellStyle name="Calculation 2 2 3 14 3" xfId="7611"/>
    <cellStyle name="Note 2 10 2 7" xfId="7612"/>
    <cellStyle name="Output 2 7 8 4" xfId="7613"/>
    <cellStyle name="Calculation 2 2 3 15" xfId="7614"/>
    <cellStyle name="Calculation 2 2 3 16" xfId="7615"/>
    <cellStyle name="Calculation 2 2 3 17" xfId="7616"/>
    <cellStyle name="Calculation 2 2 3 18" xfId="7617"/>
    <cellStyle name="Input 2 7 3 10 2" xfId="7618"/>
    <cellStyle name="Calculation 2 2 3 2" xfId="7619"/>
    <cellStyle name="Input 2 8 3 6 2 3" xfId="7620"/>
    <cellStyle name="Note 2 14 3 5 3" xfId="7621"/>
    <cellStyle name="Calculation 2 2 3 2 2 2 2" xfId="7622"/>
    <cellStyle name="Input 2 13 2 7 3" xfId="7623"/>
    <cellStyle name="Calculation 2 2 3 2 2 2 2 2" xfId="7624"/>
    <cellStyle name="Input 2 13 2 7 3 2" xfId="7625"/>
    <cellStyle name="Calculation 2 2 3 2 2 2 2 2 2" xfId="7626"/>
    <cellStyle name="Calculation 2 2 3 2 2 2 2 2 2 2" xfId="7627"/>
    <cellStyle name="Calculation 2 2 3 2 2 2 2 2 2 2 2" xfId="7628"/>
    <cellStyle name="Calculation 2 2 3 2 2 2 2 2 2 2 2 2" xfId="7629"/>
    <cellStyle name="Calculation 2 2 3 2 2 2 2 2 2 3" xfId="7630"/>
    <cellStyle name="Output 2 10 2 4 5 2" xfId="7631"/>
    <cellStyle name="Output 2 4 2 3 3 2" xfId="7632"/>
    <cellStyle name="Calculation 2 2 3 2 2 2 2 2 3" xfId="7633"/>
    <cellStyle name="Calculation 2 2 3 2 2 2 2 3" xfId="7634"/>
    <cellStyle name="Input 2 13 2 7 3 3" xfId="7635"/>
    <cellStyle name="Calculation 2 2 3 2 2 2 3" xfId="7636"/>
    <cellStyle name="Input 2 13 2 7 4" xfId="7637"/>
    <cellStyle name="Calculation 2 2 3 2 2 3 2" xfId="7638"/>
    <cellStyle name="Input 2 13 2 8 3" xfId="7639"/>
    <cellStyle name="Input 2 4 3 15" xfId="7640"/>
    <cellStyle name="Calculation 2 2 3 2 2 3 2 2" xfId="7641"/>
    <cellStyle name="Input 2 13 2 8 3 2" xfId="7642"/>
    <cellStyle name="Calculation 2 2 3 2 2 4" xfId="7643"/>
    <cellStyle name="Calculation 2 2 3 2 3 2" xfId="7644"/>
    <cellStyle name="Calculation 2 2 3 2 3 2 2" xfId="7645"/>
    <cellStyle name="Input 2 13 3 7 3" xfId="7646"/>
    <cellStyle name="Calculation 2 2 3 2 3 3" xfId="7647"/>
    <cellStyle name="Calculation 2 2 3 2 3 4" xfId="7648"/>
    <cellStyle name="Note 2 7 2 6 2 2" xfId="7649"/>
    <cellStyle name="Calculation 2 2 3 2 4 2" xfId="7650"/>
    <cellStyle name="Calculation 2 2 3 2 4 2 2" xfId="7651"/>
    <cellStyle name="Input 2 6 2 3 3" xfId="7652"/>
    <cellStyle name="Calculation 2 2 3 2 4 3" xfId="7653"/>
    <cellStyle name="Calculation 2 2 3 2 5" xfId="7654"/>
    <cellStyle name="Calculation 2 2 3 2 5 2" xfId="7655"/>
    <cellStyle name="Input 2 6 3 3 3" xfId="7656"/>
    <cellStyle name="Calculation 2 2 3 2 5 2 2" xfId="7657"/>
    <cellStyle name="Note 2 2 2 2 4 3" xfId="7658"/>
    <cellStyle name="Calculation 2 2 3 2 5 3" xfId="7659"/>
    <cellStyle name="Calculation 2 2 3 2 6" xfId="7660"/>
    <cellStyle name="Calculation 2 2 3 2 6 2" xfId="7661"/>
    <cellStyle name="Total 2 2 2 4" xfId="7662"/>
    <cellStyle name="Input 2 6 4 3 3" xfId="7663"/>
    <cellStyle name="Calculation 2 2 3 2 6 2 2" xfId="7664"/>
    <cellStyle name="Note 2 2 2 3 4 3" xfId="7665"/>
    <cellStyle name="Calculation 2 2 3 2 6 2 2 2" xfId="7666"/>
    <cellStyle name="Output 2 14 5 3" xfId="7667"/>
    <cellStyle name="Calculation 2 2 3 2 6 3" xfId="7668"/>
    <cellStyle name="Calculation 2 2 3 2 7" xfId="7669"/>
    <cellStyle name="Calculation 2 2 3 3" xfId="7670"/>
    <cellStyle name="Input 2 8 3 6 2 4" xfId="7671"/>
    <cellStyle name="Note 2 14 3 5 4" xfId="7672"/>
    <cellStyle name="Note 2 5 2 8 4 2" xfId="7673"/>
    <cellStyle name="Calculation 2 2 3 3 2" xfId="7674"/>
    <cellStyle name="Calculation 2 4 10 5" xfId="7675"/>
    <cellStyle name="Note 2 14 3 5 4 2" xfId="7676"/>
    <cellStyle name="Calculation 2 2 3 3 2 2" xfId="7677"/>
    <cellStyle name="Calculation 2 4 10 5 2" xfId="7678"/>
    <cellStyle name="Calculation 2 2 3 3 2 3" xfId="7679"/>
    <cellStyle name="Calculation 2 4 10 5 3" xfId="7680"/>
    <cellStyle name="Calculation 2 2 3 3 2 4" xfId="7681"/>
    <cellStyle name="Calculation 2 2 3 3 3" xfId="7682"/>
    <cellStyle name="Calculation 2 4 10 6" xfId="7683"/>
    <cellStyle name="Note 2 14 3 5 4 3" xfId="7684"/>
    <cellStyle name="Calculation 2 2 3 3 3 2" xfId="7685"/>
    <cellStyle name="Calculation 2 2 3 3 3 3" xfId="7686"/>
    <cellStyle name="Calculation 2 2 3 3 3 4" xfId="7687"/>
    <cellStyle name="Note 2 7 2 7 2 2" xfId="7688"/>
    <cellStyle name="Calculation 2 2 3 3 4" xfId="7689"/>
    <cellStyle name="Calculation 2 4 10 7" xfId="7690"/>
    <cellStyle name="Calculation 2 2 3 3 4 2" xfId="7691"/>
    <cellStyle name="Calculation 2 2 3 3 4 3" xfId="7692"/>
    <cellStyle name="Calculation 2 2 3 3 5" xfId="7693"/>
    <cellStyle name="Calculation 2 4 10 8" xfId="7694"/>
    <cellStyle name="Calculation 2 2 3 3 5 2" xfId="7695"/>
    <cellStyle name="Input 2 2 2 10 5" xfId="7696"/>
    <cellStyle name="Calculation 2 2 3 3 5 3" xfId="7697"/>
    <cellStyle name="Input 2 2 2 10 6" xfId="7698"/>
    <cellStyle name="Calculation 2 2 3 3 6" xfId="7699"/>
    <cellStyle name="Calculation 2 2 3 3 6 2" xfId="7700"/>
    <cellStyle name="Input 2 2 2 11 5" xfId="7701"/>
    <cellStyle name="Calculation 2 2 3 3 7" xfId="7702"/>
    <cellStyle name="Calculation 2 2 3 4" xfId="7703"/>
    <cellStyle name="Note 2 14 3 5 5" xfId="7704"/>
    <cellStyle name="Note 2 5 2 8 4 3" xfId="7705"/>
    <cellStyle name="Calculation 2 2 3 4 2" xfId="7706"/>
    <cellStyle name="Calculation 2 4 11 5" xfId="7707"/>
    <cellStyle name="Note 2 14 3 5 5 2" xfId="7708"/>
    <cellStyle name="Calculation 2 2 3 4 2 2" xfId="7709"/>
    <cellStyle name="Calculation 2 4 11 5 2" xfId="7710"/>
    <cellStyle name="Calculation 2 2 3 4 2 3" xfId="7711"/>
    <cellStyle name="Calculation 2 4 11 5 3" xfId="7712"/>
    <cellStyle name="Calculation 2 2 3 4 2 4" xfId="7713"/>
    <cellStyle name="Calculation 2 2 3 4 3" xfId="7714"/>
    <cellStyle name="Calculation 2 4 11 6" xfId="7715"/>
    <cellStyle name="Note 2 14 3 5 5 3" xfId="7716"/>
    <cellStyle name="Calculation 2 2 3 4 3 2" xfId="7717"/>
    <cellStyle name="Calculation 2 4 19" xfId="7718"/>
    <cellStyle name="Calculation 2 4 24" xfId="7719"/>
    <cellStyle name="Calculation 2 2 3 4 3 3" xfId="7720"/>
    <cellStyle name="Calculation 2 4 25" xfId="7721"/>
    <cellStyle name="Calculation 2 4 30" xfId="7722"/>
    <cellStyle name="Calculation 2 2 3 4 3 4" xfId="7723"/>
    <cellStyle name="Calculation 2 4 26" xfId="7724"/>
    <cellStyle name="Note 2 7 2 8 2 2" xfId="7725"/>
    <cellStyle name="Calculation 2 2 3 4 4" xfId="7726"/>
    <cellStyle name="Calculation 2 4 11 7" xfId="7727"/>
    <cellStyle name="Calculation 2 6 2 10 2 2" xfId="7728"/>
    <cellStyle name="Calculation 2 2 3 4 4 2" xfId="7729"/>
    <cellStyle name="Calculation 2 2 3 4 4 3" xfId="7730"/>
    <cellStyle name="Calculation 2 2 3 4 5" xfId="7731"/>
    <cellStyle name="Calculation 2 4 11 8" xfId="7732"/>
    <cellStyle name="Calculation 2 6 2 10 2 3" xfId="7733"/>
    <cellStyle name="Calculation 2 2 3 4 5 2" xfId="7734"/>
    <cellStyle name="Calculation 2 2 3 4 5 3" xfId="7735"/>
    <cellStyle name="Calculation 2 2 3 4 6" xfId="7736"/>
    <cellStyle name="Calculation 2 6 2 10 2 4" xfId="7737"/>
    <cellStyle name="Calculation 2 2 3 4 6 2" xfId="7738"/>
    <cellStyle name="Calculation 2 2 3 4 7" xfId="7739"/>
    <cellStyle name="Calculation 2 2 3 5" xfId="7740"/>
    <cellStyle name="Note 2 14 3 5 6" xfId="7741"/>
    <cellStyle name="Calculation 2 2 3 5 2" xfId="7742"/>
    <cellStyle name="Calculation 2 4 12 5" xfId="7743"/>
    <cellStyle name="Calculation 2 2 3 5 2 2" xfId="7744"/>
    <cellStyle name="Calculation 2 4 12 5 2" xfId="7745"/>
    <cellStyle name="Calculation 2 2 3 5 2 2 2" xfId="7746"/>
    <cellStyle name="Calculation 2 2 3 5 2 2 2 2" xfId="7747"/>
    <cellStyle name="Input 2 2 12" xfId="7748"/>
    <cellStyle name="Calculation 2 2 3 5 2 2 2 2 2" xfId="7749"/>
    <cellStyle name="Input 2 2 12 2" xfId="7750"/>
    <cellStyle name="Calculation 2 2 3 5 2 2 2 3" xfId="7751"/>
    <cellStyle name="Input 2 2 13" xfId="7752"/>
    <cellStyle name="Calculation 2 2 3 5 2 3" xfId="7753"/>
    <cellStyle name="Calculation 2 4 12 5 3" xfId="7754"/>
    <cellStyle name="Normal 2 2 2 7 2" xfId="7755"/>
    <cellStyle name="Calculation 2 2 3 5 2 4" xfId="7756"/>
    <cellStyle name="Normal 2 2 2 7 3" xfId="7757"/>
    <cellStyle name="Calculation 2 2 3 5 3" xfId="7758"/>
    <cellStyle name="Calculation 2 4 12 6" xfId="7759"/>
    <cellStyle name="Total 2 4 3 10 2 4" xfId="7760"/>
    <cellStyle name="Calculation 2 2 3 5 3 2" xfId="7761"/>
    <cellStyle name="Calculation 2 9 19" xfId="7762"/>
    <cellStyle name="Calculation 2 2 3 5 3 2 2" xfId="7763"/>
    <cellStyle name="Calculation 2 2 3 5 3 3" xfId="7764"/>
    <cellStyle name="Normal 2 2 2 8 2" xfId="7765"/>
    <cellStyle name="Calculation 2 2 3 5 3 4" xfId="7766"/>
    <cellStyle name="Normal 2 2 2 8 3" xfId="7767"/>
    <cellStyle name="Note 2 7 2 9 2 2" xfId="7768"/>
    <cellStyle name="Calculation 2 2 3 5 4" xfId="7769"/>
    <cellStyle name="Calculation 2 4 12 7" xfId="7770"/>
    <cellStyle name="Calculation 2 6 2 10 3 2" xfId="7771"/>
    <cellStyle name="Output 2 11 11 2 2" xfId="7772"/>
    <cellStyle name="Total 2 4 3 10 3 4" xfId="7773"/>
    <cellStyle name="Calculation 2 2 3 5 4 2" xfId="7774"/>
    <cellStyle name="Calculation 2 2 3 5 4 3" xfId="7775"/>
    <cellStyle name="Normal 2 2 2 9 2" xfId="7776"/>
    <cellStyle name="Calculation 2 2 3 5 5" xfId="7777"/>
    <cellStyle name="Calculation 2 4 12 8" xfId="7778"/>
    <cellStyle name="Calculation 2 6 2 10 3 3" xfId="7779"/>
    <cellStyle name="Output 2 11 11 2 3" xfId="7780"/>
    <cellStyle name="Calculation 2 2 3 5 5 2" xfId="7781"/>
    <cellStyle name="Note 2 2 5 16" xfId="7782"/>
    <cellStyle name="Note 2 2 5 21" xfId="7783"/>
    <cellStyle name="Calculation 2 2 3 5 5 3" xfId="7784"/>
    <cellStyle name="Note 2 2 5 17" xfId="7785"/>
    <cellStyle name="Note 2 2 5 22" xfId="7786"/>
    <cellStyle name="Calculation 2 2 3 5 6" xfId="7787"/>
    <cellStyle name="Calculation 2 6 2 10 3 4" xfId="7788"/>
    <cellStyle name="Output 2 11 11 2 4" xfId="7789"/>
    <cellStyle name="Calculation 2 2 3 5 6 2" xfId="7790"/>
    <cellStyle name="Calculation 2 2 3 5 6 2 2" xfId="7791"/>
    <cellStyle name="Input 2 9 4 3 3" xfId="7792"/>
    <cellStyle name="Calculation 2 2 3 5 7" xfId="7793"/>
    <cellStyle name="Calculation 2 2 3 6" xfId="7794"/>
    <cellStyle name="Note 2 14 3 5 7" xfId="7795"/>
    <cellStyle name="Calculation 2 2 3 7" xfId="7796"/>
    <cellStyle name="Calculation 2 2 3 7 2" xfId="7797"/>
    <cellStyle name="Calculation 2 4 14 5" xfId="7798"/>
    <cellStyle name="Output 2 13 6 2 4" xfId="7799"/>
    <cellStyle name="Total 2 8 2 10 6" xfId="7800"/>
    <cellStyle name="Total 2 10 3 6 3 4" xfId="7801"/>
    <cellStyle name="Calculation 2 2 3 7 2 2" xfId="7802"/>
    <cellStyle name="Calculation 2 2 3 7 2 3" xfId="7803"/>
    <cellStyle name="Calculation 2 2 3 7 2 4" xfId="7804"/>
    <cellStyle name="Calculation 2 2 3 7 3" xfId="7805"/>
    <cellStyle name="Total 2 11 3 3 2" xfId="7806"/>
    <cellStyle name="Calculation 2 2 3 7 3 2" xfId="7807"/>
    <cellStyle name="Total 2 11 3 3 2 2" xfId="7808"/>
    <cellStyle name="Calculation 2 2 3 7 3 3" xfId="7809"/>
    <cellStyle name="Total 2 11 3 3 2 3" xfId="7810"/>
    <cellStyle name="Calculation 2 2 3 7 3 4" xfId="7811"/>
    <cellStyle name="Total 2 11 3 3 2 4" xfId="7812"/>
    <cellStyle name="Calculation 2 2 3 7 4" xfId="7813"/>
    <cellStyle name="Calculation 2 6 2 10 5 2" xfId="7814"/>
    <cellStyle name="Output 2 11 11 4 2" xfId="7815"/>
    <cellStyle name="Total 2 11 3 3 3" xfId="7816"/>
    <cellStyle name="Calculation 2 2 3 7 4 2" xfId="7817"/>
    <cellStyle name="Total 2 11 3 3 3 2" xfId="7818"/>
    <cellStyle name="Calculation 2 2 3 7 4 3" xfId="7819"/>
    <cellStyle name="Total 2 11 3 3 3 3" xfId="7820"/>
    <cellStyle name="Calculation 2 2 3 7 5" xfId="7821"/>
    <cellStyle name="Calculation 2 6 2 10 5 3" xfId="7822"/>
    <cellStyle name="Output 2 11 11 4 3" xfId="7823"/>
    <cellStyle name="Total 2 11 3 3 4" xfId="7824"/>
    <cellStyle name="Calculation 2 2 3 7 5 2" xfId="7825"/>
    <cellStyle name="Total 2 11 3 3 4 2" xfId="7826"/>
    <cellStyle name="Calculation 2 2 3 7 5 3" xfId="7827"/>
    <cellStyle name="Total 2 11 3 3 4 3" xfId="7828"/>
    <cellStyle name="Calculation 2 2 3 7 6" xfId="7829"/>
    <cellStyle name="Total 2 11 3 3 5" xfId="7830"/>
    <cellStyle name="Calculation 2 2 3 7 6 2" xfId="7831"/>
    <cellStyle name="Output 2 2 3 3 2 4" xfId="7832"/>
    <cellStyle name="Total 2 11 3 3 5 2" xfId="7833"/>
    <cellStyle name="Calculation 2 2 3 7 6 2 2" xfId="7834"/>
    <cellStyle name="Calculation 2 2 3 7 7" xfId="7835"/>
    <cellStyle name="Total 2 11 3 3 6" xfId="7836"/>
    <cellStyle name="Calculation 2 2 3 8" xfId="7837"/>
    <cellStyle name="Output 2 7 6 2" xfId="7838"/>
    <cellStyle name="Calculation 2 2 3 8 2" xfId="7839"/>
    <cellStyle name="Output 2 13 6 3 4" xfId="7840"/>
    <cellStyle name="Output 2 7 6 2 2" xfId="7841"/>
    <cellStyle name="Output 2 9 2 6" xfId="7842"/>
    <cellStyle name="Calculation 2 2 3 8 2 2" xfId="7843"/>
    <cellStyle name="Output 2 9 2 6 2" xfId="7844"/>
    <cellStyle name="Calculation 2 2 3 8 2 3" xfId="7845"/>
    <cellStyle name="Output 2 9 2 6 3" xfId="7846"/>
    <cellStyle name="Calculation 2 2 3 8 2 4" xfId="7847"/>
    <cellStyle name="Output 2 9 2 6 4" xfId="7848"/>
    <cellStyle name="Calculation 2 2 3 8 3" xfId="7849"/>
    <cellStyle name="Output 2 7 6 2 3" xfId="7850"/>
    <cellStyle name="Output 2 9 2 7" xfId="7851"/>
    <cellStyle name="Total 2 11 3 4 2" xfId="7852"/>
    <cellStyle name="Calculation 2 2 3 8 3 2" xfId="7853"/>
    <cellStyle name="Output 2 9 2 7 2" xfId="7854"/>
    <cellStyle name="Total 2 11 3 4 2 2" xfId="7855"/>
    <cellStyle name="Calculation 2 2 3 8 3 3" xfId="7856"/>
    <cellStyle name="Output 2 9 2 7 3" xfId="7857"/>
    <cellStyle name="Total 2 11 3 4 2 3" xfId="7858"/>
    <cellStyle name="Calculation 2 2 3 8 3 4" xfId="7859"/>
    <cellStyle name="Output 2 9 2 7 4" xfId="7860"/>
    <cellStyle name="Total 2 11 3 4 2 4" xfId="7861"/>
    <cellStyle name="Calculation 2 2 3 8 4" xfId="7862"/>
    <cellStyle name="Output 2 7 6 2 4" xfId="7863"/>
    <cellStyle name="Output 2 9 2 8" xfId="7864"/>
    <cellStyle name="Output 2 11 11 5 2" xfId="7865"/>
    <cellStyle name="Total 2 11 3 4 3" xfId="7866"/>
    <cellStyle name="Calculation 2 2 3 8 4 2" xfId="7867"/>
    <cellStyle name="Output 2 9 2 8 2" xfId="7868"/>
    <cellStyle name="Total 2 11 3 4 3 2" xfId="7869"/>
    <cellStyle name="Calculation 2 2 3 8 4 3" xfId="7870"/>
    <cellStyle name="Output 2 9 2 8 3" xfId="7871"/>
    <cellStyle name="Total 2 11 3 4 3 3" xfId="7872"/>
    <cellStyle name="Calculation 2 2 3 8 5" xfId="7873"/>
    <cellStyle name="Note 2 2 2 4 3 2 2" xfId="7874"/>
    <cellStyle name="Output 2 9 2 9" xfId="7875"/>
    <cellStyle name="Output 2 11 11 5 3" xfId="7876"/>
    <cellStyle name="Total 2 11 3 4 4" xfId="7877"/>
    <cellStyle name="Calculation 2 2 3 8 5 2" xfId="7878"/>
    <cellStyle name="Input 2 2 3 10 5" xfId="7879"/>
    <cellStyle name="Note 2 2 2 4 3 2 2 2" xfId="7880"/>
    <cellStyle name="Output 2 9 2 9 2" xfId="7881"/>
    <cellStyle name="Total 2 11 3 4 4 2" xfId="7882"/>
    <cellStyle name="Calculation 2 2 3 8 5 3" xfId="7883"/>
    <cellStyle name="Input 2 2 3 10 6" xfId="7884"/>
    <cellStyle name="Output 2 9 2 9 3" xfId="7885"/>
    <cellStyle name="Total 2 11 3 4 4 3" xfId="7886"/>
    <cellStyle name="Calculation 2 2 3 8 6" xfId="7887"/>
    <cellStyle name="Total 2 11 3 4 5" xfId="7888"/>
    <cellStyle name="Calculation 2 2 3 8 6 2" xfId="7889"/>
    <cellStyle name="Output 2 2 3 4 2 4" xfId="7890"/>
    <cellStyle name="Total 2 11 2 10 7" xfId="7891"/>
    <cellStyle name="Total 2 11 3 4 5 2" xfId="7892"/>
    <cellStyle name="Calculation 2 2 3 8 6 2 2" xfId="7893"/>
    <cellStyle name="Calculation 2 2 3 8 7" xfId="7894"/>
    <cellStyle name="Total 2 11 3 4 6" xfId="7895"/>
    <cellStyle name="Calculation 2 2 3 9 2" xfId="7896"/>
    <cellStyle name="Output 2 7 6 3 2" xfId="7897"/>
    <cellStyle name="Output 2 9 3 6" xfId="7898"/>
    <cellStyle name="Calculation 2 2 3 9 2 2" xfId="7899"/>
    <cellStyle name="Output 2 9 3 6 2" xfId="7900"/>
    <cellStyle name="Calculation 2 2 3 9 2 3" xfId="7901"/>
    <cellStyle name="Output 2 9 3 6 3" xfId="7902"/>
    <cellStyle name="Calculation 2 2 3 9 2 4" xfId="7903"/>
    <cellStyle name="Output 2 9 3 6 4" xfId="7904"/>
    <cellStyle name="Calculation 2 2 3 9 3" xfId="7905"/>
    <cellStyle name="Output 2 7 6 3 3" xfId="7906"/>
    <cellStyle name="Output 2 9 3 7" xfId="7907"/>
    <cellStyle name="Total 2 11 3 5 2" xfId="7908"/>
    <cellStyle name="Calculation 2 2 3 9 3 2" xfId="7909"/>
    <cellStyle name="Output 2 9 3 7 2" xfId="7910"/>
    <cellStyle name="Total 2 11 3 5 2 2" xfId="7911"/>
    <cellStyle name="Calculation 2 2 3 9 3 3" xfId="7912"/>
    <cellStyle name="Output 2 9 3 7 3" xfId="7913"/>
    <cellStyle name="Total 2 11 3 5 2 3" xfId="7914"/>
    <cellStyle name="Calculation 2 2 3 9 3 4" xfId="7915"/>
    <cellStyle name="Output 2 9 3 7 4" xfId="7916"/>
    <cellStyle name="Total 2 11 3 5 2 4" xfId="7917"/>
    <cellStyle name="Calculation 2 2 3 9 4" xfId="7918"/>
    <cellStyle name="Output 2 7 6 3 4" xfId="7919"/>
    <cellStyle name="Output 2 9 3 8" xfId="7920"/>
    <cellStyle name="Total 2 11 3 5 3" xfId="7921"/>
    <cellStyle name="Calculation 2 2 3 9 4 2" xfId="7922"/>
    <cellStyle name="Output 2 11 13" xfId="7923"/>
    <cellStyle name="Output 2 9 3 8 2" xfId="7924"/>
    <cellStyle name="Total 2 11 3 5 3 2" xfId="7925"/>
    <cellStyle name="Calculation 2 2 3 9 4 3" xfId="7926"/>
    <cellStyle name="Output 2 11 14" xfId="7927"/>
    <cellStyle name="Output 2 9 3 8 3" xfId="7928"/>
    <cellStyle name="Total 2 11 3 5 3 3" xfId="7929"/>
    <cellStyle name="Calculation 2 2 3 9 6 2 2" xfId="7930"/>
    <cellStyle name="Calculation 2 2 4" xfId="7931"/>
    <cellStyle name="Calculation 2 2 4 10" xfId="7932"/>
    <cellStyle name="Calculation 2 2 4 2" xfId="7933"/>
    <cellStyle name="Input 2 8 3 6 3 3" xfId="7934"/>
    <cellStyle name="Note 2 14 3 6 3" xfId="7935"/>
    <cellStyle name="Calculation 2 2 4 2 2 2 2" xfId="7936"/>
    <cellStyle name="Calculation 2 2 4 2 2 2 2 2" xfId="7937"/>
    <cellStyle name="Calculation 2 2 4 2 2 2 2 2 2" xfId="7938"/>
    <cellStyle name="Calculation 2 2 4 2 2 2 2 2 2 2" xfId="7939"/>
    <cellStyle name="Note 2 8 2 9 2 4" xfId="7940"/>
    <cellStyle name="Calculation 2 2 4 2 2 2 2 2 2 2 2" xfId="7941"/>
    <cellStyle name="Note 2 13 4 4 3" xfId="7942"/>
    <cellStyle name="Calculation 2 2 4 2 2 2 2 2 3" xfId="7943"/>
    <cellStyle name="Calculation 2 2 4 2 2 2 2 3" xfId="7944"/>
    <cellStyle name="Calculation 2 2 4 2 2 2 3" xfId="7945"/>
    <cellStyle name="Calculation 2 2 4 2 3 2" xfId="7946"/>
    <cellStyle name="Normal 21 2 2 2" xfId="7947"/>
    <cellStyle name="Note 2 7 3 10 3" xfId="7948"/>
    <cellStyle name="Calculation 2 2 4 2 3 2 2" xfId="7949"/>
    <cellStyle name="Input 2 7 3 10 3 4" xfId="7950"/>
    <cellStyle name="Note 2 7 3 10 3 2" xfId="7951"/>
    <cellStyle name="Calculation 2 2 4 3" xfId="7952"/>
    <cellStyle name="Input 2 8 3 6 3 4" xfId="7953"/>
    <cellStyle name="Note 2 14 3 6 4" xfId="7954"/>
    <cellStyle name="Note 2 5 2 8 5 2" xfId="7955"/>
    <cellStyle name="Calculation 2 2 4 3 2" xfId="7956"/>
    <cellStyle name="Note 2 14 3 6 4 2" xfId="7957"/>
    <cellStyle name="Calculation 2 2 4 3 2 2" xfId="7958"/>
    <cellStyle name="Calculation 2 2 4 3 3" xfId="7959"/>
    <cellStyle name="Note 2 14 3 6 4 3" xfId="7960"/>
    <cellStyle name="Calculation 2 2 4 3 4" xfId="7961"/>
    <cellStyle name="Calculation 2 2 4 4" xfId="7962"/>
    <cellStyle name="Note 2 14 3 6 5" xfId="7963"/>
    <cellStyle name="Note 2 5 2 8 5 3" xfId="7964"/>
    <cellStyle name="Calculation 2 2 4 4 2" xfId="7965"/>
    <cellStyle name="Note 2 14 3 6 5 2" xfId="7966"/>
    <cellStyle name="Calculation 2 2 4 4 2 2" xfId="7967"/>
    <cellStyle name="Calculation 2 2 4 4 3" xfId="7968"/>
    <cellStyle name="Note 2 14 3 6 5 3" xfId="7969"/>
    <cellStyle name="Calculation 2 2 4 5" xfId="7970"/>
    <cellStyle name="Total 2 7 4 4 3" xfId="7971"/>
    <cellStyle name="Input 2 10 2 10 2" xfId="7972"/>
    <cellStyle name="Note 2 14 3 6 6" xfId="7973"/>
    <cellStyle name="Calculation 2 2 4 5 2" xfId="7974"/>
    <cellStyle name="Input 2 10 2 10 2 2" xfId="7975"/>
    <cellStyle name="Calculation 2 2 4 5 3" xfId="7976"/>
    <cellStyle name="Input 2 10 2 10 2 3" xfId="7977"/>
    <cellStyle name="Calculation 2 2 4 6" xfId="7978"/>
    <cellStyle name="Input 2 10 2 10 3" xfId="7979"/>
    <cellStyle name="Note 2 14 3 6 7" xfId="7980"/>
    <cellStyle name="Calculation 2 2 4 6 2 2 2" xfId="7981"/>
    <cellStyle name="Calculation 2 2 4 7" xfId="7982"/>
    <cellStyle name="Input 2 10 2 10 4" xfId="7983"/>
    <cellStyle name="Calculation 2 2 4 8" xfId="7984"/>
    <cellStyle name="Input 2 10 2 10 5" xfId="7985"/>
    <cellStyle name="Output 2 7 7 2" xfId="7986"/>
    <cellStyle name="Calculation 2 2 5" xfId="7987"/>
    <cellStyle name="Output 2 10 3 7 4 2" xfId="7988"/>
    <cellStyle name="Output 2 4 3 6 2 2" xfId="7989"/>
    <cellStyle name="Calculation 2 2 5 2" xfId="7990"/>
    <cellStyle name="Input 2 8 3 6 4 3" xfId="7991"/>
    <cellStyle name="Note 2 14 3 7 3" xfId="7992"/>
    <cellStyle name="Calculation 2 2 5 2 2 2 2" xfId="7993"/>
    <cellStyle name="Calculation 2 2 5 2 2 2 2 2" xfId="7994"/>
    <cellStyle name="Calculation 2 2 5 2 2 2 2 2 2" xfId="7995"/>
    <cellStyle name="Calculation 2 2 5 2 2 2 3" xfId="7996"/>
    <cellStyle name="Calculation 2 2 5 3" xfId="7997"/>
    <cellStyle name="Note 2 14 3 7 4" xfId="7998"/>
    <cellStyle name="Calculation 2 2 5 3 2" xfId="7999"/>
    <cellStyle name="Note 2 14 3 7 4 2" xfId="8000"/>
    <cellStyle name="Calculation 2 2 5 3 2 2" xfId="8001"/>
    <cellStyle name="Calculation 2 2 5 3 3" xfId="8002"/>
    <cellStyle name="Note 2 14 3 7 4 3" xfId="8003"/>
    <cellStyle name="Input 2 15 10 4 2" xfId="8004"/>
    <cellStyle name="Calculation 2 2 5 3 4" xfId="8005"/>
    <cellStyle name="Input 2 4 12 2" xfId="8006"/>
    <cellStyle name="Calculation 2 2 5 4" xfId="8007"/>
    <cellStyle name="Note 2 14 3 7 5" xfId="8008"/>
    <cellStyle name="Calculation 2 2 5 4 2" xfId="8009"/>
    <cellStyle name="Note 2 14 3 7 5 2" xfId="8010"/>
    <cellStyle name="Calculation 2 2 5 4 3" xfId="8011"/>
    <cellStyle name="Note 2 14 3 7 5 3" xfId="8012"/>
    <cellStyle name="Total 2 7 4 5 3" xfId="8013"/>
    <cellStyle name="Input 2 10 2 11 2" xfId="8014"/>
    <cellStyle name="Calculation 2 2 5 5" xfId="8015"/>
    <cellStyle name="Note 2 10 2 2" xfId="8016"/>
    <cellStyle name="Note 2 14 3 7 6" xfId="8017"/>
    <cellStyle name="Calculation 2 2 5 5 2" xfId="8018"/>
    <cellStyle name="Note 2 10 2 2 2" xfId="8019"/>
    <cellStyle name="Calculation 2 2 5 5 3" xfId="8020"/>
    <cellStyle name="Note 2 10 2 2 3" xfId="8021"/>
    <cellStyle name="Input 2 10 2 11 3" xfId="8022"/>
    <cellStyle name="Calculation 2 2 5 6" xfId="8023"/>
    <cellStyle name="Note 2 10 2 3" xfId="8024"/>
    <cellStyle name="Note 2 14 3 7 7" xfId="8025"/>
    <cellStyle name="Calculation 2 2 5 6 2" xfId="8026"/>
    <cellStyle name="Note 2 10 2 3 2" xfId="8027"/>
    <cellStyle name="Total 2 10 3 8 2 4" xfId="8028"/>
    <cellStyle name="Input 2 10 2 3 2 4" xfId="8029"/>
    <cellStyle name="Calculation 2 2 5 6 2 2" xfId="8030"/>
    <cellStyle name="Note 2 10 2 3 2 2" xfId="8031"/>
    <cellStyle name="Input 2 10 2 11 4" xfId="8032"/>
    <cellStyle name="Calculation 2 2 5 7" xfId="8033"/>
    <cellStyle name="Note 2 10 2 4" xfId="8034"/>
    <cellStyle name="Calculation 2 2 5 8" xfId="8035"/>
    <cellStyle name="Note 2 10 2 5" xfId="8036"/>
    <cellStyle name="Output 2 7 8 2" xfId="8037"/>
    <cellStyle name="Calculation 2 2 6" xfId="8038"/>
    <cellStyle name="Output 2 10 3 7 4 3" xfId="8039"/>
    <cellStyle name="Output 2 4 3 6 2 3" xfId="8040"/>
    <cellStyle name="Calculation 2 2 6 2" xfId="8041"/>
    <cellStyle name="Input 2 8 3 6 5 3" xfId="8042"/>
    <cellStyle name="Note 2 14 3 8 3" xfId="8043"/>
    <cellStyle name="Calculation 2 2 6 3" xfId="8044"/>
    <cellStyle name="Note 2 14 3 8 4" xfId="8045"/>
    <cellStyle name="Calculation 2 2 6 3 2" xfId="8046"/>
    <cellStyle name="Note 2 14 3 8 4 2" xfId="8047"/>
    <cellStyle name="Calculation 2 2 6 3 3" xfId="8048"/>
    <cellStyle name="Note 2 14 3 8 4 3" xfId="8049"/>
    <cellStyle name="Calculation 2 2 6 3 4" xfId="8050"/>
    <cellStyle name="Calculation 2 5 2 2 4 2" xfId="8051"/>
    <cellStyle name="Calculation 2 2 6 4" xfId="8052"/>
    <cellStyle name="Note 2 14 3 8 5" xfId="8053"/>
    <cellStyle name="Calculation 2 2 6 4 2" xfId="8054"/>
    <cellStyle name="Note 2 14 3 8 5 2" xfId="8055"/>
    <cellStyle name="Calculation 2 2 6 4 3" xfId="8056"/>
    <cellStyle name="Note 2 14 3 8 5 3" xfId="8057"/>
    <cellStyle name="Input 2 10 2 12 2" xfId="8058"/>
    <cellStyle name="Calculation 2 2 6 5" xfId="8059"/>
    <cellStyle name="Note 2 10 3 2" xfId="8060"/>
    <cellStyle name="Note 2 14 3 8 6" xfId="8061"/>
    <cellStyle name="Calculation 2 2 6 5 2" xfId="8062"/>
    <cellStyle name="Note 2 10 3 2 2" xfId="8063"/>
    <cellStyle name="Calculation 2 2 6 5 3" xfId="8064"/>
    <cellStyle name="Note 2 10 3 2 3" xfId="8065"/>
    <cellStyle name="Input 2 10 2 12 3" xfId="8066"/>
    <cellStyle name="Calculation 2 2 6 6" xfId="8067"/>
    <cellStyle name="Note 2 10 3 3" xfId="8068"/>
    <cellStyle name="Note 2 14 3 8 7" xfId="8069"/>
    <cellStyle name="Calculation 2 2 6 6 2" xfId="8070"/>
    <cellStyle name="Note 2 10 3 3 2" xfId="8071"/>
    <cellStyle name="Total 2 10 3 9 2 4" xfId="8072"/>
    <cellStyle name="Input 2 10 3 3 2 4" xfId="8073"/>
    <cellStyle name="Calculation 2 2 6 6 2 2" xfId="8074"/>
    <cellStyle name="Note 2 10 3 3 2 2" xfId="8075"/>
    <cellStyle name="Input 2 10 2 12 4" xfId="8076"/>
    <cellStyle name="Input 2 2 3 2 3 2 2" xfId="8077"/>
    <cellStyle name="Calculation 2 2 6 7" xfId="8078"/>
    <cellStyle name="Note 2 10 3 4" xfId="8079"/>
    <cellStyle name="Calculation 2 2 6 8" xfId="8080"/>
    <cellStyle name="Note 2 10 3 5" xfId="8081"/>
    <cellStyle name="Output 2 7 9 2" xfId="8082"/>
    <cellStyle name="Calculation 2 2 7" xfId="8083"/>
    <cellStyle name="Output 2 4 3 6 2 4" xfId="8084"/>
    <cellStyle name="Calculation 2 2 7 2" xfId="8085"/>
    <cellStyle name="Note 2 14 3 9 3" xfId="8086"/>
    <cellStyle name="Calculation 2 2 7 3" xfId="8087"/>
    <cellStyle name="Note 2 14 3 9 4" xfId="8088"/>
    <cellStyle name="Calculation 2 2 7 3 2" xfId="8089"/>
    <cellStyle name="Note 2 14 3 9 4 2" xfId="8090"/>
    <cellStyle name="Calculation 2 2 7 3 3" xfId="8091"/>
    <cellStyle name="Note 2 14 3 9 4 3" xfId="8092"/>
    <cellStyle name="Calculation 2 2 7 3 4" xfId="8093"/>
    <cellStyle name="Calculation 2 5 2 3 4 2" xfId="8094"/>
    <cellStyle name="Calculation 2 2 7 4" xfId="8095"/>
    <cellStyle name="Note 2 14 3 9 5" xfId="8096"/>
    <cellStyle name="Calculation 2 2 7 4 2" xfId="8097"/>
    <cellStyle name="Note 2 14 3 9 5 2" xfId="8098"/>
    <cellStyle name="Calculation 2 2 7 4 3" xfId="8099"/>
    <cellStyle name="Note 2 14 3 9 5 3" xfId="8100"/>
    <cellStyle name="Input 2 10 2 13 2" xfId="8101"/>
    <cellStyle name="Calculation 2 2 7 5" xfId="8102"/>
    <cellStyle name="Note 2 10 4 2" xfId="8103"/>
    <cellStyle name="Note 2 14 3 9 6" xfId="8104"/>
    <cellStyle name="Calculation 2 2 7 5 2" xfId="8105"/>
    <cellStyle name="Note 2 10 4 2 2" xfId="8106"/>
    <cellStyle name="Calculation 2 2 7 5 3" xfId="8107"/>
    <cellStyle name="Note 2 10 4 2 3" xfId="8108"/>
    <cellStyle name="Input 2 10 2 13 3" xfId="8109"/>
    <cellStyle name="Calculation 2 2 7 6" xfId="8110"/>
    <cellStyle name="Note 2 10 4 3" xfId="8111"/>
    <cellStyle name="Note 2 14 3 9 7" xfId="8112"/>
    <cellStyle name="Heading 1 2 2 5" xfId="8113"/>
    <cellStyle name="Calculation 2 2 7 6 2" xfId="8114"/>
    <cellStyle name="Note 2 10 4 3 2" xfId="8115"/>
    <cellStyle name="Calculation 2 2 7 7" xfId="8116"/>
    <cellStyle name="Note 2 10 4 4" xfId="8117"/>
    <cellStyle name="Calculation 2 2 7 8" xfId="8118"/>
    <cellStyle name="Note 2 10 4 5" xfId="8119"/>
    <cellStyle name="Calculation 2 2 8" xfId="8120"/>
    <cellStyle name="Calculation 2 2 8 2" xfId="8121"/>
    <cellStyle name="Calculation 2 2 8 2 2" xfId="8122"/>
    <cellStyle name="Calculation 2 2 8 2 3" xfId="8123"/>
    <cellStyle name="Normal 30 2 2" xfId="8124"/>
    <cellStyle name="Calculation 2 2 8 2 4" xfId="8125"/>
    <cellStyle name="Calculation 2 5 2 4 3 2" xfId="8126"/>
    <cellStyle name="Normal 30 2 3" xfId="8127"/>
    <cellStyle name="Calculation 2 2 8 3" xfId="8128"/>
    <cellStyle name="Calculation 2 2 8 3 2" xfId="8129"/>
    <cellStyle name="Calculation 2 5 10 5" xfId="8130"/>
    <cellStyle name="Calculation 2 2 8 3 3" xfId="8131"/>
    <cellStyle name="Calculation 2 5 10 6" xfId="8132"/>
    <cellStyle name="Calculation 2 2 8 3 4" xfId="8133"/>
    <cellStyle name="Calculation 2 5 10 7" xfId="8134"/>
    <cellStyle name="Calculation 2 5 2 4 4 2" xfId="8135"/>
    <cellStyle name="Calculation 2 2 8 4" xfId="8136"/>
    <cellStyle name="Calculation 2 2 8 4 2" xfId="8137"/>
    <cellStyle name="Calculation 2 5 11 5" xfId="8138"/>
    <cellStyle name="Calculation 2 2 8 4 3" xfId="8139"/>
    <cellStyle name="Calculation 2 5 11 6" xfId="8140"/>
    <cellStyle name="Input 2 10 2 14 2" xfId="8141"/>
    <cellStyle name="Calculation 2 2 8 5" xfId="8142"/>
    <cellStyle name="Note 2 10 5 2" xfId="8143"/>
    <cellStyle name="Calculation 2 2 8 5 2" xfId="8144"/>
    <cellStyle name="Calculation 2 5 12 5" xfId="8145"/>
    <cellStyle name="Note 2 10 5 2 2" xfId="8146"/>
    <cellStyle name="Calculation 2 2 8 5 3" xfId="8147"/>
    <cellStyle name="Calculation 2 5 12 6" xfId="8148"/>
    <cellStyle name="Note 2 10 5 2 3" xfId="8149"/>
    <cellStyle name="Input 2 10 2 14 3" xfId="8150"/>
    <cellStyle name="Calculation 2 2 8 6" xfId="8151"/>
    <cellStyle name="Note 2 10 5 3" xfId="8152"/>
    <cellStyle name="Calculation 2 2 8 6 2" xfId="8153"/>
    <cellStyle name="Calculation 2 5 13 5" xfId="8154"/>
    <cellStyle name="Note 2 10 5 3 2" xfId="8155"/>
    <cellStyle name="Calculation 2 2 8 7" xfId="8156"/>
    <cellStyle name="Note 2 10 5 4" xfId="8157"/>
    <cellStyle name="Calculation 2 2 8 8" xfId="8158"/>
    <cellStyle name="Note 2 10 5 5" xfId="8159"/>
    <cellStyle name="Note 2 2 3 4 2 2 2 2 2 2 2" xfId="8160"/>
    <cellStyle name="Calculation 2 2 9" xfId="8161"/>
    <cellStyle name="Calculation 2 2 9 2" xfId="8162"/>
    <cellStyle name="Calculation 2 2 9 2 2" xfId="8163"/>
    <cellStyle name="Calculation 2 2 9 2 3" xfId="8164"/>
    <cellStyle name="Calculation 2 2 9 2 4" xfId="8165"/>
    <cellStyle name="Calculation 2 5 2 5 3 2" xfId="8166"/>
    <cellStyle name="Calculation 2 2 9 3" xfId="8167"/>
    <cellStyle name="Output 2 11 2 2 2" xfId="8168"/>
    <cellStyle name="Calculation 2 2 9 3 2" xfId="8169"/>
    <cellStyle name="Output 2 11 2 2 2 2" xfId="8170"/>
    <cellStyle name="Calculation 2 2 9 3 3" xfId="8171"/>
    <cellStyle name="Output 2 11 2 2 2 3" xfId="8172"/>
    <cellStyle name="Calculation 2 2 9 3 4" xfId="8173"/>
    <cellStyle name="Calculation 2 5 2 5 4 2" xfId="8174"/>
    <cellStyle name="Output 2 11 2 2 2 4" xfId="8175"/>
    <cellStyle name="Calculation 2 2 9 4" xfId="8176"/>
    <cellStyle name="Output 2 11 2 2 3" xfId="8177"/>
    <cellStyle name="Calculation 2 2 9 4 2" xfId="8178"/>
    <cellStyle name="Output 2 11 2 2 3 2" xfId="8179"/>
    <cellStyle name="Calculation 2 2 9 4 3" xfId="8180"/>
    <cellStyle name="Output 2 11 2 2 3 3" xfId="8181"/>
    <cellStyle name="Calculation 2 2 9 5" xfId="8182"/>
    <cellStyle name="Note 2 10 6 2" xfId="8183"/>
    <cellStyle name="Output 2 11 2 2 4" xfId="8184"/>
    <cellStyle name="Calculation 2 2 9 5 2" xfId="8185"/>
    <cellStyle name="Note 2 10 6 2 2" xfId="8186"/>
    <cellStyle name="Output 2 11 2 2 4 2" xfId="8187"/>
    <cellStyle name="Calculation 2 2 9 5 3" xfId="8188"/>
    <cellStyle name="Note 2 10 6 2 3" xfId="8189"/>
    <cellStyle name="Output 2 11 2 2 4 3" xfId="8190"/>
    <cellStyle name="Calculation 2 2 9 6" xfId="8191"/>
    <cellStyle name="Note 2 10 6 3" xfId="8192"/>
    <cellStyle name="Output 2 11 2 2 5" xfId="8193"/>
    <cellStyle name="Calculation 2 2 9 6 2" xfId="8194"/>
    <cellStyle name="Note 2 10 6 3 2" xfId="8195"/>
    <cellStyle name="Output 2 11 2 2 5 2" xfId="8196"/>
    <cellStyle name="Calculation 2 2 9 6 2 2" xfId="8197"/>
    <cellStyle name="Total 2 4 2 11" xfId="8198"/>
    <cellStyle name="Note 2 9 6 3" xfId="8199"/>
    <cellStyle name="Output 2 6 15 3" xfId="8200"/>
    <cellStyle name="Calculation 2 2 9 7" xfId="8201"/>
    <cellStyle name="Note 2 10 6 4" xfId="8202"/>
    <cellStyle name="Output 2 11 2 2 6" xfId="8203"/>
    <cellStyle name="Calculation 2 2 9 8" xfId="8204"/>
    <cellStyle name="Note 2 10 6 5" xfId="8205"/>
    <cellStyle name="Output 2 11 2 2 7" xfId="8206"/>
    <cellStyle name="Calculation 2 25" xfId="8207"/>
    <cellStyle name="Calculation 2 30" xfId="8208"/>
    <cellStyle name="Good 2 2 3" xfId="8209"/>
    <cellStyle name="Calculation 2 25 2" xfId="8210"/>
    <cellStyle name="Calculation 2 30 2" xfId="8211"/>
    <cellStyle name="Calculation 2 25 2 2" xfId="8212"/>
    <cellStyle name="Input 2 6 3 7 3 3" xfId="8213"/>
    <cellStyle name="Calculation 2 25 2 3" xfId="8214"/>
    <cellStyle name="Input 2 6 3 7 3 4" xfId="8215"/>
    <cellStyle name="Note 2 3 2 9 5 2" xfId="8216"/>
    <cellStyle name="Calculation 2 25 2 4" xfId="8217"/>
    <cellStyle name="Note 2 3 2 9 5 3" xfId="8218"/>
    <cellStyle name="Calculation 2 25 3" xfId="8219"/>
    <cellStyle name="Calculation 2 30 3" xfId="8220"/>
    <cellStyle name="Calculation 2 25 3 2" xfId="8221"/>
    <cellStyle name="Input 2 6 3 7 4 3" xfId="8222"/>
    <cellStyle name="Calculation 2 25 3 3" xfId="8223"/>
    <cellStyle name="Calculation 2 25 3 4" xfId="8224"/>
    <cellStyle name="Calculation 2 25 4" xfId="8225"/>
    <cellStyle name="Calculation 2 25 4 2" xfId="8226"/>
    <cellStyle name="Input 2 6 3 7 5 3" xfId="8227"/>
    <cellStyle name="Calculation 2 25 4 3" xfId="8228"/>
    <cellStyle name="Calculation 2 25 5" xfId="8229"/>
    <cellStyle name="Calculation 2 25 5 2" xfId="8230"/>
    <cellStyle name="Calculation 2 25 5 3" xfId="8231"/>
    <cellStyle name="Calculation 2 25 6" xfId="8232"/>
    <cellStyle name="Calculation 2 25 7" xfId="8233"/>
    <cellStyle name="Calculation 2 25 8" xfId="8234"/>
    <cellStyle name="Calculation 2 26" xfId="8235"/>
    <cellStyle name="Calculation 2 31" xfId="8236"/>
    <cellStyle name="Normal 2 4 4 2" xfId="8237"/>
    <cellStyle name="Calculation 2 26 2" xfId="8238"/>
    <cellStyle name="Calculation 2 31 2" xfId="8239"/>
    <cellStyle name="Normal 2 4 4 2 2" xfId="8240"/>
    <cellStyle name="Calculation 2 26 3" xfId="8241"/>
    <cellStyle name="Calculation 2 26 4" xfId="8242"/>
    <cellStyle name="Calculation 2 26 5" xfId="8243"/>
    <cellStyle name="Calculation 2 27" xfId="8244"/>
    <cellStyle name="Calculation 2 32" xfId="8245"/>
    <cellStyle name="Input 2 11 2 5 5 2" xfId="8246"/>
    <cellStyle name="Normal 2 4 4 3" xfId="8247"/>
    <cellStyle name="Calculation 2 27 2" xfId="8248"/>
    <cellStyle name="Calculation 2 32 2" xfId="8249"/>
    <cellStyle name="Calculation 2 9 2 6 2 4" xfId="8250"/>
    <cellStyle name="Calculation 2 27 3" xfId="8251"/>
    <cellStyle name="Calculation 2 27 4" xfId="8252"/>
    <cellStyle name="Calculation 2 27 5" xfId="8253"/>
    <cellStyle name="Calculation 2 28" xfId="8254"/>
    <cellStyle name="Calculation 2 33" xfId="8255"/>
    <cellStyle name="Input 2 11 2 5 5 3" xfId="8256"/>
    <cellStyle name="Calculation 2 28 2" xfId="8257"/>
    <cellStyle name="Calculation 2 9 2 6 3 4" xfId="8258"/>
    <cellStyle name="Calculation 2 28 3" xfId="8259"/>
    <cellStyle name="Calculation 2 28 4" xfId="8260"/>
    <cellStyle name="Calculation 2 29" xfId="8261"/>
    <cellStyle name="Calculation 2 34" xfId="8262"/>
    <cellStyle name="Note 2 11 2 5 5 2" xfId="8263"/>
    <cellStyle name="Calculation 2 29 2" xfId="8264"/>
    <cellStyle name="Calculation 2 29 3" xfId="8265"/>
    <cellStyle name="Calculation 2 29 4" xfId="8266"/>
    <cellStyle name="Calculation 2 3" xfId="8267"/>
    <cellStyle name="Calculation 2 3 10" xfId="8268"/>
    <cellStyle name="Output 2 10 3 9 3 2" xfId="8269"/>
    <cellStyle name="Calculation 2 3 10 2" xfId="8270"/>
    <cellStyle name="Calculation 2 3 10 2 2" xfId="8271"/>
    <cellStyle name="Input 2 2 14" xfId="8272"/>
    <cellStyle name="Calculation 2 3 10 2 3" xfId="8273"/>
    <cellStyle name="Input 2 2 15" xfId="8274"/>
    <cellStyle name="Input 2 2 20" xfId="8275"/>
    <cellStyle name="Calculation 2 3 10 2 4" xfId="8276"/>
    <cellStyle name="Input 2 2 16" xfId="8277"/>
    <cellStyle name="Input 2 2 21" xfId="8278"/>
    <cellStyle name="Calculation 2 3 10 3" xfId="8279"/>
    <cellStyle name="Calculation 2 3 10 3 2" xfId="8280"/>
    <cellStyle name="Calculation 2 3 10 3 3" xfId="8281"/>
    <cellStyle name="Calculation 2 3 10 3 4" xfId="8282"/>
    <cellStyle name="Calculation 2 3 10 4" xfId="8283"/>
    <cellStyle name="Calculation 2 3 10 4 2" xfId="8284"/>
    <cellStyle name="Total 2 11 2 10" xfId="8285"/>
    <cellStyle name="Calculation 2 3 10 4 3" xfId="8286"/>
    <cellStyle name="Total 2 11 2 11" xfId="8287"/>
    <cellStyle name="Calculation 2 3 10 5" xfId="8288"/>
    <cellStyle name="Calculation 2 3 10 5 2" xfId="8289"/>
    <cellStyle name="Input 2 2 3 4 2 3" xfId="8290"/>
    <cellStyle name="Calculation 2 3 10 5 3" xfId="8291"/>
    <cellStyle name="Input 2 2 3 4 2 4" xfId="8292"/>
    <cellStyle name="Calculation 2 3 10 6" xfId="8293"/>
    <cellStyle name="Calculation 2 3 10 7" xfId="8294"/>
    <cellStyle name="Calculation 2 3 10 8" xfId="8295"/>
    <cellStyle name="Input 2 12 11 4 2" xfId="8296"/>
    <cellStyle name="Calculation 2 3 11" xfId="8297"/>
    <cellStyle name="Output 2 10 3 9 3 3" xfId="8298"/>
    <cellStyle name="Calculation 2 3 11 2" xfId="8299"/>
    <cellStyle name="Calculation 2 3 11 2 2" xfId="8300"/>
    <cellStyle name="Input 2 7 14" xfId="8301"/>
    <cellStyle name="Calculation 2 3 11 2 3" xfId="8302"/>
    <cellStyle name="Input 2 7 15" xfId="8303"/>
    <cellStyle name="Input 2 7 20" xfId="8304"/>
    <cellStyle name="Calculation 2 3 11 2 4" xfId="8305"/>
    <cellStyle name="Input 2 7 16" xfId="8306"/>
    <cellStyle name="Calculation 2 3 11 3" xfId="8307"/>
    <cellStyle name="Calculation 2 3 11 3 2" xfId="8308"/>
    <cellStyle name="Calculation 2 3 11 3 3" xfId="8309"/>
    <cellStyle name="Calculation 2 3 11 3 4" xfId="8310"/>
    <cellStyle name="Calculation 2 3 11 4" xfId="8311"/>
    <cellStyle name="Calculation 2 3 11 4 2" xfId="8312"/>
    <cellStyle name="Calculation 2 3 11 4 3" xfId="8313"/>
    <cellStyle name="Calculation 2 3 11 5" xfId="8314"/>
    <cellStyle name="Calculation 2 3 11 5 2" xfId="8315"/>
    <cellStyle name="Input 2 2 3 5 2 3" xfId="8316"/>
    <cellStyle name="Calculation 2 3 11 5 3" xfId="8317"/>
    <cellStyle name="Input 2 2 3 5 2 4" xfId="8318"/>
    <cellStyle name="Calculation 2 3 11 6" xfId="8319"/>
    <cellStyle name="Calculation 2 3 11 7" xfId="8320"/>
    <cellStyle name="Calculation 2 3 11 8" xfId="8321"/>
    <cellStyle name="Input 2 12 11 5 2" xfId="8322"/>
    <cellStyle name="Calculation 2 3 12" xfId="8323"/>
    <cellStyle name="Output 2 10 3 9 3 4" xfId="8324"/>
    <cellStyle name="Calculation 2 3 12 2" xfId="8325"/>
    <cellStyle name="Calculation 2 3 12 2 2" xfId="8326"/>
    <cellStyle name="Calculation 2 3 12 2 3" xfId="8327"/>
    <cellStyle name="Calculation 2 3 12 2 4" xfId="8328"/>
    <cellStyle name="Calculation 2 3 12 3" xfId="8329"/>
    <cellStyle name="Calculation 2 3 12 3 2" xfId="8330"/>
    <cellStyle name="Calculation 2 3 12 3 3" xfId="8331"/>
    <cellStyle name="Calculation 2 3 12 3 4" xfId="8332"/>
    <cellStyle name="Calculation 2 3 12 4" xfId="8333"/>
    <cellStyle name="Calculation 2 3 12 4 2" xfId="8334"/>
    <cellStyle name="Calculation 2 3 12 4 3" xfId="8335"/>
    <cellStyle name="Calculation 2 3 12 5" xfId="8336"/>
    <cellStyle name="Calculation 2 3 12 5 2" xfId="8337"/>
    <cellStyle name="Input 2 2 3 6 2 3" xfId="8338"/>
    <cellStyle name="Calculation 2 3 12 5 3" xfId="8339"/>
    <cellStyle name="Input 2 2 3 6 2 4" xfId="8340"/>
    <cellStyle name="Calculation 2 3 12 6" xfId="8341"/>
    <cellStyle name="Calculation 2 3 12 7" xfId="8342"/>
    <cellStyle name="Calculation 2 3 12 8" xfId="8343"/>
    <cellStyle name="Calculation 2 3 13" xfId="8344"/>
    <cellStyle name="Calculation 2 3 13 2" xfId="8345"/>
    <cellStyle name="Calculation 2 3 13 3" xfId="8346"/>
    <cellStyle name="Calculation 2 3 13 4" xfId="8347"/>
    <cellStyle name="Calculation 2 3 13 5" xfId="8348"/>
    <cellStyle name="Total 2 9 3 8 3" xfId="8349"/>
    <cellStyle name="Note 2 6 2 9 2 2" xfId="8350"/>
    <cellStyle name="Calculation 2 3 14" xfId="8351"/>
    <cellStyle name="Calculation 2 3 14 2" xfId="8352"/>
    <cellStyle name="Calculation 2 3 14 3" xfId="8353"/>
    <cellStyle name="Calculation 2 3 14 4" xfId="8354"/>
    <cellStyle name="Calculation 2 3 14 5" xfId="8355"/>
    <cellStyle name="Total 2 9 3 9 3" xfId="8356"/>
    <cellStyle name="Note 2 6 2 9 3 2" xfId="8357"/>
    <cellStyle name="Calculation 2 3 15" xfId="8358"/>
    <cellStyle name="Calculation 2 3 20" xfId="8359"/>
    <cellStyle name="Calculation 2 3 15 2" xfId="8360"/>
    <cellStyle name="Output 2 4 2 3" xfId="8361"/>
    <cellStyle name="Calculation 2 3 15 3" xfId="8362"/>
    <cellStyle name="Input 2 9 3 7 2 2" xfId="8363"/>
    <cellStyle name="Output 2 4 2 4" xfId="8364"/>
    <cellStyle name="Calculation 2 3 15 4" xfId="8365"/>
    <cellStyle name="Input 2 9 3 7 2 3" xfId="8366"/>
    <cellStyle name="Output 2 4 2 5" xfId="8367"/>
    <cellStyle name="Calculation 2 3 16" xfId="8368"/>
    <cellStyle name="Calculation 2 3 21" xfId="8369"/>
    <cellStyle name="Calculation 2 3 16 2" xfId="8370"/>
    <cellStyle name="Output 2 4 3 3" xfId="8371"/>
    <cellStyle name="Calculation 2 3 16 3" xfId="8372"/>
    <cellStyle name="Input 2 9 3 7 3 2" xfId="8373"/>
    <cellStyle name="Output 2 4 3 4" xfId="8374"/>
    <cellStyle name="Calculation 2 3 16 4" xfId="8375"/>
    <cellStyle name="Input 2 9 3 7 3 3" xfId="8376"/>
    <cellStyle name="Output 2 4 3 5" xfId="8377"/>
    <cellStyle name="Calculation 2 3 17" xfId="8378"/>
    <cellStyle name="Calculation 2 3 22" xfId="8379"/>
    <cellStyle name="Calculation 2 3 17 2" xfId="8380"/>
    <cellStyle name="Output 2 4 4 3" xfId="8381"/>
    <cellStyle name="Calculation 2 3 18" xfId="8382"/>
    <cellStyle name="Calculation 2 3 23" xfId="8383"/>
    <cellStyle name="Calculation 2 3 18 2" xfId="8384"/>
    <cellStyle name="Note 2 11 2 12" xfId="8385"/>
    <cellStyle name="Output 2 4 5 3" xfId="8386"/>
    <cellStyle name="Calculation 2 3 19" xfId="8387"/>
    <cellStyle name="Calculation 2 3 24" xfId="8388"/>
    <cellStyle name="Calculation 2 3 19 2" xfId="8389"/>
    <cellStyle name="Output 2 4 6 3" xfId="8390"/>
    <cellStyle name="Calculation 2 3 2" xfId="8391"/>
    <cellStyle name="Note 2 6 2 10 5" xfId="8392"/>
    <cellStyle name="Calculation 2 3 2 10" xfId="8393"/>
    <cellStyle name="Calculation 2 3 2 10 2" xfId="8394"/>
    <cellStyle name="Calculation 2 3 2 10 2 2" xfId="8395"/>
    <cellStyle name="Calculation 2 3 2 10 2 3" xfId="8396"/>
    <cellStyle name="Input 2 2 3 7 2" xfId="8397"/>
    <cellStyle name="Calculation 2 3 2 10 2 4" xfId="8398"/>
    <cellStyle name="Input 2 2 3 7 3" xfId="8399"/>
    <cellStyle name="Calculation 2 3 2 10 3" xfId="8400"/>
    <cellStyle name="Calculation 2 3 2 10 3 2" xfId="8401"/>
    <cellStyle name="Calculation 2 3 2 10 3 3" xfId="8402"/>
    <cellStyle name="Input 2 2 3 8 2" xfId="8403"/>
    <cellStyle name="Calculation 2 3 2 10 3 4" xfId="8404"/>
    <cellStyle name="Input 2 2 3 8 3" xfId="8405"/>
    <cellStyle name="Calculation 2 3 2 10 4" xfId="8406"/>
    <cellStyle name="Calculation 2 9 3 4 4 2" xfId="8407"/>
    <cellStyle name="Calculation 2 3 2 10 4 2" xfId="8408"/>
    <cellStyle name="Calculation 2 3 2 10 4 3" xfId="8409"/>
    <cellStyle name="Input 2 2 3 9 2" xfId="8410"/>
    <cellStyle name="Calculation 2 3 2 10 5" xfId="8411"/>
    <cellStyle name="Calculation 2 9 3 4 4 3" xfId="8412"/>
    <cellStyle name="Calculation 2 3 2 10 5 2" xfId="8413"/>
    <cellStyle name="Calculation 2 3 2 10 5 3" xfId="8414"/>
    <cellStyle name="Calculation 2 3 2 10 7" xfId="8415"/>
    <cellStyle name="Calculation 2 3 2 10 8" xfId="8416"/>
    <cellStyle name="Calculation 2 3 2 11" xfId="8417"/>
    <cellStyle name="Calculation 2 3 2 11 2" xfId="8418"/>
    <cellStyle name="Calculation 2 3 2 11 3" xfId="8419"/>
    <cellStyle name="Calculation 2 3 2 11 4" xfId="8420"/>
    <cellStyle name="Calculation 2 9 3 4 5 2" xfId="8421"/>
    <cellStyle name="Calculation 2 3 2 11 5" xfId="8422"/>
    <cellStyle name="Calculation 2 9 3 4 5 3" xfId="8423"/>
    <cellStyle name="Calculation 2 3 2 12" xfId="8424"/>
    <cellStyle name="Calculation 2 3 2 12 2" xfId="8425"/>
    <cellStyle name="Calculation 2 3 2 12 3" xfId="8426"/>
    <cellStyle name="Input 2 10 3 2 2 2" xfId="8427"/>
    <cellStyle name="Calculation 2 3 2 12 4" xfId="8428"/>
    <cellStyle name="Input 2 10 3 2 2 3" xfId="8429"/>
    <cellStyle name="Calculation 2 3 2 12 5" xfId="8430"/>
    <cellStyle name="Input 2 10 3 2 2 4" xfId="8431"/>
    <cellStyle name="Note 2 10 3 2 2 2" xfId="8432"/>
    <cellStyle name="Calculation 2 3 2 13" xfId="8433"/>
    <cellStyle name="Calculation 2 3 2 13 2" xfId="8434"/>
    <cellStyle name="Calculation 2 3 2 13 3" xfId="8435"/>
    <cellStyle name="Input 2 10 3 2 3 2" xfId="8436"/>
    <cellStyle name="Calculation 2 3 2 13 4" xfId="8437"/>
    <cellStyle name="Input 2 10 3 2 3 3" xfId="8438"/>
    <cellStyle name="Calculation 2 3 2 14" xfId="8439"/>
    <cellStyle name="Calculation 2 3 2 14 2" xfId="8440"/>
    <cellStyle name="Calculation 2 3 2 14 3" xfId="8441"/>
    <cellStyle name="Input 2 10 3 2 4 2" xfId="8442"/>
    <cellStyle name="Calculation 2 3 2 14 4" xfId="8443"/>
    <cellStyle name="Input 2 10 3 2 4 3" xfId="8444"/>
    <cellStyle name="Calculation 2 3 2 15" xfId="8445"/>
    <cellStyle name="Calculation 2 3 2 20" xfId="8446"/>
    <cellStyle name="Calculation 2 3 2 15 2" xfId="8447"/>
    <cellStyle name="Calculation 2 3 2 16" xfId="8448"/>
    <cellStyle name="Calculation 2 3 2 21" xfId="8449"/>
    <cellStyle name="Calculation 2 3 2 16 2" xfId="8450"/>
    <cellStyle name="Calculation 2 3 2 17" xfId="8451"/>
    <cellStyle name="Calculation 2 3 2 22" xfId="8452"/>
    <cellStyle name="Output 2 13 2 10 2 2" xfId="8453"/>
    <cellStyle name="Calculation 2 3 2 17 2" xfId="8454"/>
    <cellStyle name="Calculation 2 3 2 18" xfId="8455"/>
    <cellStyle name="Calculation 2 3 2 23" xfId="8456"/>
    <cellStyle name="Input 2 7 12 5 2" xfId="8457"/>
    <cellStyle name="Output 2 13 2 10 2 3" xfId="8458"/>
    <cellStyle name="Calculation 2 3 2 19" xfId="8459"/>
    <cellStyle name="Calculation 2 3 2 24" xfId="8460"/>
    <cellStyle name="Input 2 7 12 5 3" xfId="8461"/>
    <cellStyle name="Output 2 13 2 10 2 4" xfId="8462"/>
    <cellStyle name="Calculation 2 3 2 2" xfId="8463"/>
    <cellStyle name="Note 2 14 4 4 3" xfId="8464"/>
    <cellStyle name="Note 2 6 2 10 5 2" xfId="8465"/>
    <cellStyle name="Calculation 2 3 2 2 2" xfId="8466"/>
    <cellStyle name="Heading 3 2 16" xfId="8467"/>
    <cellStyle name="Heading 3 2 21" xfId="8468"/>
    <cellStyle name="Calculation 2 3 2 2 2 2" xfId="8469"/>
    <cellStyle name="Input 2 4 7 3 4" xfId="8470"/>
    <cellStyle name="Note 2 12 3 8 2 4" xfId="8471"/>
    <cellStyle name="Calculation 2 3 2 2 3" xfId="8472"/>
    <cellStyle name="Calculation 2 3 2 2 3 2" xfId="8473"/>
    <cellStyle name="Note 2 12 3 8 3 4" xfId="8474"/>
    <cellStyle name="Calculation 2 3 2 2 4" xfId="8475"/>
    <cellStyle name="Calculation 2 3 2 2 4 2" xfId="8476"/>
    <cellStyle name="Calculation 2 3 2 2 5" xfId="8477"/>
    <cellStyle name="Calculation 2 3 2 2 5 2" xfId="8478"/>
    <cellStyle name="Calculation 2 3 2 2 6" xfId="8479"/>
    <cellStyle name="Calculation 2 3 2 2 7" xfId="8480"/>
    <cellStyle name="Calculation 2 3 2 2 8" xfId="8481"/>
    <cellStyle name="Calculation 2 3 2 25" xfId="8482"/>
    <cellStyle name="Calculation 2 3 2 30" xfId="8483"/>
    <cellStyle name="Calculation 2 3 2 26" xfId="8484"/>
    <cellStyle name="Calculation 2 3 2 27" xfId="8485"/>
    <cellStyle name="Calculation 2 3 2 28" xfId="8486"/>
    <cellStyle name="Calculation 2 3 2 29" xfId="8487"/>
    <cellStyle name="Calculation 2 3 2 3" xfId="8488"/>
    <cellStyle name="Note 2 5 2 9 3 2" xfId="8489"/>
    <cellStyle name="Note 2 6 2 10 5 3" xfId="8490"/>
    <cellStyle name="Calculation 2 3 2 3 2" xfId="8491"/>
    <cellStyle name="Calculation 2 3 2 3 2 2" xfId="8492"/>
    <cellStyle name="Input 2 4 8 3 4" xfId="8493"/>
    <cellStyle name="Note 2 12 3 9 2 4" xfId="8494"/>
    <cellStyle name="Calculation 2 3 2 3 3" xfId="8495"/>
    <cellStyle name="Calculation 2 3 2 3 3 2" xfId="8496"/>
    <cellStyle name="Note 2 12 3 9 3 4" xfId="8497"/>
    <cellStyle name="Calculation 2 3 2 3 4" xfId="8498"/>
    <cellStyle name="Calculation 2 3 2 3 4 2" xfId="8499"/>
    <cellStyle name="Calculation 2 3 2 3 5" xfId="8500"/>
    <cellStyle name="Calculation 2 3 2 3 5 2" xfId="8501"/>
    <cellStyle name="Calculation 2 3 2 3 6" xfId="8502"/>
    <cellStyle name="Calculation 2 3 2 3 7" xfId="8503"/>
    <cellStyle name="Calculation 2 3 2 3 8" xfId="8504"/>
    <cellStyle name="Calculation 2 3 2 4" xfId="8505"/>
    <cellStyle name="Note 2 5 2 9 3 3" xfId="8506"/>
    <cellStyle name="Calculation 2 3 2 4 2" xfId="8507"/>
    <cellStyle name="Calculation 2 3 2 4 2 2" xfId="8508"/>
    <cellStyle name="Input 2 4 9 3 4" xfId="8509"/>
    <cellStyle name="Calculation 2 3 2 4 3" xfId="8510"/>
    <cellStyle name="Calculation 2 3 2 4 3 2" xfId="8511"/>
    <cellStyle name="Calculation 2 3 2 4 4" xfId="8512"/>
    <cellStyle name="Input 2 2 3 5 6 2 2" xfId="8513"/>
    <cellStyle name="Calculation 2 3 2 4 4 2" xfId="8514"/>
    <cellStyle name="Calculation 2 3 2 4 5" xfId="8515"/>
    <cellStyle name="Calculation 2 3 2 4 5 2" xfId="8516"/>
    <cellStyle name="Calculation 2 3 2 4 6" xfId="8517"/>
    <cellStyle name="Calculation 2 3 2 4 7" xfId="8518"/>
    <cellStyle name="Calculation 2 3 2 4 8" xfId="8519"/>
    <cellStyle name="Calculation 2 3 2 5" xfId="8520"/>
    <cellStyle name="Note 2 5 2 9 3 4" xfId="8521"/>
    <cellStyle name="Calculation 2 3 2 5 2" xfId="8522"/>
    <cellStyle name="Calculation 2 3 2 5 2 2" xfId="8523"/>
    <cellStyle name="Calculation 2 3 2 5 3" xfId="8524"/>
    <cellStyle name="Calculation 2 3 2 5 3 2" xfId="8525"/>
    <cellStyle name="Calculation 2 3 2 5 4" xfId="8526"/>
    <cellStyle name="Calculation 2 3 2 5 4 2" xfId="8527"/>
    <cellStyle name="Calculation 2 3 2 5 5" xfId="8528"/>
    <cellStyle name="Calculation 2 3 2 5 5 2" xfId="8529"/>
    <cellStyle name="Calculation 2 3 2 5 6" xfId="8530"/>
    <cellStyle name="Calculation 2 3 2 5 7" xfId="8531"/>
    <cellStyle name="Calculation 2 3 2 5 8" xfId="8532"/>
    <cellStyle name="Calculation 2 3 2 6" xfId="8533"/>
    <cellStyle name="Calculation 2 3 2 6 2" xfId="8534"/>
    <cellStyle name="Calculation 2 3 2 6 2 2" xfId="8535"/>
    <cellStyle name="Calculation 2 3 2 6 3" xfId="8536"/>
    <cellStyle name="Calculation 2 3 2 6 3 2" xfId="8537"/>
    <cellStyle name="Calculation 2 3 2 6 4" xfId="8538"/>
    <cellStyle name="Calculation 2 3 2 6 4 2" xfId="8539"/>
    <cellStyle name="Calculation 2 3 2 6 5" xfId="8540"/>
    <cellStyle name="Calculation 2 3 2 6 5 2" xfId="8541"/>
    <cellStyle name="Calculation 2 3 2 6 6" xfId="8542"/>
    <cellStyle name="Calculation 2 3 2 6 7" xfId="8543"/>
    <cellStyle name="Calculation 2 3 2 6 8" xfId="8544"/>
    <cellStyle name="Calculation 2 3 2 7" xfId="8545"/>
    <cellStyle name="Calculation 2 3 2 7 2" xfId="8546"/>
    <cellStyle name="Output 2 14 5 2 4" xfId="8547"/>
    <cellStyle name="Calculation 2 3 2 7 2 2" xfId="8548"/>
    <cellStyle name="Calculation 2 3 2 7 3" xfId="8549"/>
    <cellStyle name="Calculation 2 3 2 7 3 2" xfId="8550"/>
    <cellStyle name="Calculation 2 3 2 7 4" xfId="8551"/>
    <cellStyle name="Calculation 2 3 2 7 4 2" xfId="8552"/>
    <cellStyle name="Calculation 2 3 2 7 5" xfId="8553"/>
    <cellStyle name="Calculation 2 3 2 7 5 2" xfId="8554"/>
    <cellStyle name="Calculation 2 3 2 7 6" xfId="8555"/>
    <cellStyle name="Calculation 2 3 2 7 7" xfId="8556"/>
    <cellStyle name="Calculation 2 3 2 7 8" xfId="8557"/>
    <cellStyle name="Calculation 2 3 2 8" xfId="8558"/>
    <cellStyle name="Output 2 8 5 2" xfId="8559"/>
    <cellStyle name="Calculation 2 3 2 8 2" xfId="8560"/>
    <cellStyle name="Output 2 14 5 3 4" xfId="8561"/>
    <cellStyle name="Output 2 8 5 2 2" xfId="8562"/>
    <cellStyle name="Calculation 2 3 2 8 2 2" xfId="8563"/>
    <cellStyle name="Calculation 2 3 2 8 3" xfId="8564"/>
    <cellStyle name="Output 2 8 5 2 3" xfId="8565"/>
    <cellStyle name="Calculation 2 3 2 8 3 2" xfId="8566"/>
    <cellStyle name="Calculation 2 3 2 8 4" xfId="8567"/>
    <cellStyle name="Output 2 8 5 2 4" xfId="8568"/>
    <cellStyle name="Calculation 2 3 2 8 4 2" xfId="8569"/>
    <cellStyle name="Calculation 2 3 2 8 5" xfId="8570"/>
    <cellStyle name="Note 2 2 2 5 2 2 2" xfId="8571"/>
    <cellStyle name="Calculation 2 3 2 8 5 2" xfId="8572"/>
    <cellStyle name="Note 2 2 2 5 2 2 2 2" xfId="8573"/>
    <cellStyle name="Calculation 2 3 2 8 6" xfId="8574"/>
    <cellStyle name="Note 2 2 2 5 2 2 3" xfId="8575"/>
    <cellStyle name="Calculation 2 3 2 8 7" xfId="8576"/>
    <cellStyle name="Calculation 2 3 2 8 8" xfId="8577"/>
    <cellStyle name="Calculation 2 3 2 9" xfId="8578"/>
    <cellStyle name="Output 2 8 5 3" xfId="8579"/>
    <cellStyle name="Calculation 2 3 2 9 2 2" xfId="8580"/>
    <cellStyle name="Calculation 2 3 2 9 2 3" xfId="8581"/>
    <cellStyle name="Total 2 9 3 2 3 2" xfId="8582"/>
    <cellStyle name="Calculation 2 3 2 9 2 4" xfId="8583"/>
    <cellStyle name="Total 2 9 3 2 4 2" xfId="8584"/>
    <cellStyle name="Calculation 2 3 2 9 3 4" xfId="8585"/>
    <cellStyle name="Calculation 2 3 2 9 4 2" xfId="8586"/>
    <cellStyle name="Calculation 2 3 2 9 4 3" xfId="8587"/>
    <cellStyle name="Calculation 2 3 2 9 5 2" xfId="8588"/>
    <cellStyle name="Calculation 2 3 2 9 5 3" xfId="8589"/>
    <cellStyle name="Calculation 2 3 2 9 8" xfId="8590"/>
    <cellStyle name="Calculation 2 3 25" xfId="8591"/>
    <cellStyle name="Calculation 2 3 30" xfId="8592"/>
    <cellStyle name="Calculation 2 3 26" xfId="8593"/>
    <cellStyle name="Calculation 2 3 31" xfId="8594"/>
    <cellStyle name="Calculation 2 3 27" xfId="8595"/>
    <cellStyle name="Calculation 2 3 32" xfId="8596"/>
    <cellStyle name="Calculation 2 3 28" xfId="8597"/>
    <cellStyle name="Calculation 2 3 29" xfId="8598"/>
    <cellStyle name="Calculation 2 3 3" xfId="8599"/>
    <cellStyle name="Note 2 6 2 10 6" xfId="8600"/>
    <cellStyle name="Calculation 2 3 3 10" xfId="8601"/>
    <cellStyle name="Calculation 2 3 3 10 2" xfId="8602"/>
    <cellStyle name="Calculation 2 3 3 10 2 2" xfId="8603"/>
    <cellStyle name="Calculation 2 3 3 10 2 3" xfId="8604"/>
    <cellStyle name="Input 2 7 3 7 2" xfId="8605"/>
    <cellStyle name="Note 2 2 3 2 8 2" xfId="8606"/>
    <cellStyle name="Calculation 2 3 3 10 2 4" xfId="8607"/>
    <cellStyle name="Input 2 7 3 7 3" xfId="8608"/>
    <cellStyle name="Calculation 2 3 3 10 3" xfId="8609"/>
    <cellStyle name="Calculation 2 3 3 10 3 2" xfId="8610"/>
    <cellStyle name="Calculation 2 3 3 10 3 3" xfId="8611"/>
    <cellStyle name="Input 2 7 3 8 2" xfId="8612"/>
    <cellStyle name="Calculation 2 3 3 10 3 4" xfId="8613"/>
    <cellStyle name="Input 2 7 3 8 3" xfId="8614"/>
    <cellStyle name="Calculation 2 3 3 10 4" xfId="8615"/>
    <cellStyle name="Calculation 2 9 3 9 4 2" xfId="8616"/>
    <cellStyle name="Calculation 2 3 3 10 4 2" xfId="8617"/>
    <cellStyle name="Calculation 2 3 3 10 4 3" xfId="8618"/>
    <cellStyle name="Input 2 7 3 9 2" xfId="8619"/>
    <cellStyle name="Calculation 2 3 3 10 5" xfId="8620"/>
    <cellStyle name="Calculation 2 9 3 9 4 3" xfId="8621"/>
    <cellStyle name="Calculation 2 3 3 10 5 2" xfId="8622"/>
    <cellStyle name="Output 2 4 6 2 4" xfId="8623"/>
    <cellStyle name="Calculation 2 3 3 10 5 3" xfId="8624"/>
    <cellStyle name="Input 2 6 2 2 2 2" xfId="8625"/>
    <cellStyle name="Calculation 2 3 3 10 6" xfId="8626"/>
    <cellStyle name="Calculation 2 3 3 10 7" xfId="8627"/>
    <cellStyle name="Calculation 2 3 3 11" xfId="8628"/>
    <cellStyle name="Calculation 2 3 3 11 2" xfId="8629"/>
    <cellStyle name="Calculation 2 3 3 11 3" xfId="8630"/>
    <cellStyle name="Calculation 2 3 3 11 4" xfId="8631"/>
    <cellStyle name="Calculation 2 9 3 9 5 2" xfId="8632"/>
    <cellStyle name="Calculation 2 3 3 12" xfId="8633"/>
    <cellStyle name="Output 2 9 3 5 2" xfId="8634"/>
    <cellStyle name="Calculation 2 3 3 12 2" xfId="8635"/>
    <cellStyle name="Output 2 9 3 5 2 2" xfId="8636"/>
    <cellStyle name="Calculation 2 3 3 12 3" xfId="8637"/>
    <cellStyle name="Input 2 10 3 7 2 2" xfId="8638"/>
    <cellStyle name="Output 2 9 3 5 2 3" xfId="8639"/>
    <cellStyle name="Calculation 2 3 3 12 4" xfId="8640"/>
    <cellStyle name="Input 2 10 3 7 2 3" xfId="8641"/>
    <cellStyle name="Output 2 9 3 5 2 4" xfId="8642"/>
    <cellStyle name="Calculation 2 3 3 13" xfId="8643"/>
    <cellStyle name="Output 2 9 3 5 3" xfId="8644"/>
    <cellStyle name="Calculation 2 3 3 13 2" xfId="8645"/>
    <cellStyle name="Input 2 11 2 10 6" xfId="8646"/>
    <cellStyle name="Output 2 9 3 5 3 2" xfId="8647"/>
    <cellStyle name="Calculation 2 3 3 13 3" xfId="8648"/>
    <cellStyle name="Input 2 10 3 7 3 2" xfId="8649"/>
    <cellStyle name="Input 2 11 2 10 7" xfId="8650"/>
    <cellStyle name="Output 2 9 3 5 3 3" xfId="8651"/>
    <cellStyle name="Calculation 2 3 3 14" xfId="8652"/>
    <cellStyle name="Output 2 9 3 5 4" xfId="8653"/>
    <cellStyle name="Calculation 2 3 3 14 2" xfId="8654"/>
    <cellStyle name="Output 2 9 3 5 4 2" xfId="8655"/>
    <cellStyle name="Calculation 2 3 3 14 3" xfId="8656"/>
    <cellStyle name="Input 2 10 3 7 4 2" xfId="8657"/>
    <cellStyle name="Output 2 9 3 5 4 3" xfId="8658"/>
    <cellStyle name="Calculation 2 3 3 15" xfId="8659"/>
    <cellStyle name="Output 2 9 3 5 5" xfId="8660"/>
    <cellStyle name="Calculation 2 3 3 16" xfId="8661"/>
    <cellStyle name="Output 2 9 3 5 6" xfId="8662"/>
    <cellStyle name="Calculation 2 3 3 17" xfId="8663"/>
    <cellStyle name="Output 2 9 3 5 7" xfId="8664"/>
    <cellStyle name="Calculation 2 3 3 18" xfId="8665"/>
    <cellStyle name="Calculation 2 3 3 2" xfId="8666"/>
    <cellStyle name="Input 2 8 3 7 2 3" xfId="8667"/>
    <cellStyle name="Note 2 14 4 5 3" xfId="8668"/>
    <cellStyle name="Total 2 15 7 4 2" xfId="8669"/>
    <cellStyle name="Output 2 9 3 15" xfId="8670"/>
    <cellStyle name="Calculation 2 3 3 2 2" xfId="8671"/>
    <cellStyle name="Calculation 2 3 3 2 2 3" xfId="8672"/>
    <cellStyle name="Calculation 2 3 3 2 2 4" xfId="8673"/>
    <cellStyle name="Calculation 2 3 3 2 3" xfId="8674"/>
    <cellStyle name="Calculation 2 3 3 2 3 3" xfId="8675"/>
    <cellStyle name="Calculation 2 3 3 2 3 4" xfId="8676"/>
    <cellStyle name="Note 2 8 2 6 2 2" xfId="8677"/>
    <cellStyle name="Calculation 2 3 3 2 4" xfId="8678"/>
    <cellStyle name="Calculation 2 3 3 2 4 2" xfId="8679"/>
    <cellStyle name="Normal 30 3" xfId="8680"/>
    <cellStyle name="Calculation 2 3 3 2 4 3" xfId="8681"/>
    <cellStyle name="Normal 30 4" xfId="8682"/>
    <cellStyle name="Calculation 2 3 3 2 5" xfId="8683"/>
    <cellStyle name="Calculation 2 3 3 2 5 2" xfId="8684"/>
    <cellStyle name="Calculation 2 3 3 2 5 3" xfId="8685"/>
    <cellStyle name="Calculation 2 3 3 2 6" xfId="8686"/>
    <cellStyle name="Calculation 2 3 3 2 7" xfId="8687"/>
    <cellStyle name="Calculation 2 3 3 3" xfId="8688"/>
    <cellStyle name="Input 2 8 3 7 2 4" xfId="8689"/>
    <cellStyle name="Note 2 5 2 9 4 2" xfId="8690"/>
    <cellStyle name="Total 2 15 7 4 3" xfId="8691"/>
    <cellStyle name="Output 2 9 3 16" xfId="8692"/>
    <cellStyle name="Calculation 2 3 3 3 2" xfId="8693"/>
    <cellStyle name="Calculation 2 9 10 5" xfId="8694"/>
    <cellStyle name="Calculation 2 3 3 3 2 3" xfId="8695"/>
    <cellStyle name="Calculation 2 9 10 5 3" xfId="8696"/>
    <cellStyle name="Calculation 2 3 3 3 2 4" xfId="8697"/>
    <cellStyle name="Calculation 2 3 3 3 3" xfId="8698"/>
    <cellStyle name="Calculation 2 9 10 6" xfId="8699"/>
    <cellStyle name="Calculation 2 3 3 3 3 3" xfId="8700"/>
    <cellStyle name="Calculation 2 3 3 3 3 4" xfId="8701"/>
    <cellStyle name="Note 2 3 3 10 2" xfId="8702"/>
    <cellStyle name="Note 2 8 2 7 2 2" xfId="8703"/>
    <cellStyle name="Calculation 2 3 3 3 4" xfId="8704"/>
    <cellStyle name="Calculation 2 9 10 7" xfId="8705"/>
    <cellStyle name="Calculation 2 3 3 3 4 2" xfId="8706"/>
    <cellStyle name="Calculation 2 3 3 3 4 3" xfId="8707"/>
    <cellStyle name="Calculation 2 3 3 3 5" xfId="8708"/>
    <cellStyle name="Calculation 2 3 3 3 5 2" xfId="8709"/>
    <cellStyle name="Input 2 7 2 10 5" xfId="8710"/>
    <cellStyle name="Calculation 2 3 3 3 5 3" xfId="8711"/>
    <cellStyle name="Input 2 7 2 10 6" xfId="8712"/>
    <cellStyle name="Calculation 2 3 3 3 6" xfId="8713"/>
    <cellStyle name="Calculation 2 3 3 3 7" xfId="8714"/>
    <cellStyle name="Calculation 2 3 3 4" xfId="8715"/>
    <cellStyle name="Note 2 5 2 9 4 3" xfId="8716"/>
    <cellStyle name="Calculation 2 3 3 4 2" xfId="8717"/>
    <cellStyle name="Calculation 2 9 11 5" xfId="8718"/>
    <cellStyle name="Calculation 2 3 3 4 2 2" xfId="8719"/>
    <cellStyle name="Calculation 2 9 11 5 2" xfId="8720"/>
    <cellStyle name="Input 2 5 9 3 4" xfId="8721"/>
    <cellStyle name="Calculation 2 3 3 4 2 3" xfId="8722"/>
    <cellStyle name="Calculation 2 9 11 5 3" xfId="8723"/>
    <cellStyle name="Calculation 2 3 3 4 2 4" xfId="8724"/>
    <cellStyle name="Calculation 2 3 3 4 3" xfId="8725"/>
    <cellStyle name="Calculation 2 9 11 6" xfId="8726"/>
    <cellStyle name="Calculation 2 3 3 4 3 2" xfId="8727"/>
    <cellStyle name="Calculation 2 3 3 4 3 3" xfId="8728"/>
    <cellStyle name="Calculation 2 3 3 4 3 4" xfId="8729"/>
    <cellStyle name="Note 2 8 2 8 2 2" xfId="8730"/>
    <cellStyle name="Calculation 2 3 3 4 4" xfId="8731"/>
    <cellStyle name="Calculation 2 9 11 7" xfId="8732"/>
    <cellStyle name="Calculation 2 3 3 4 4 2" xfId="8733"/>
    <cellStyle name="Calculation 2 3 3 4 4 3" xfId="8734"/>
    <cellStyle name="Calculation 2 3 3 4 5" xfId="8735"/>
    <cellStyle name="Calculation 2 3 3 4 5 2" xfId="8736"/>
    <cellStyle name="Calculation 2 3 3 4 5 3" xfId="8737"/>
    <cellStyle name="Calculation 2 3 3 4 6" xfId="8738"/>
    <cellStyle name="Calculation 2 3 3 4 7" xfId="8739"/>
    <cellStyle name="Calculation 2 3 3 5" xfId="8740"/>
    <cellStyle name="Calculation 2 3 3 5 2" xfId="8741"/>
    <cellStyle name="Calculation 2 9 12 5" xfId="8742"/>
    <cellStyle name="Calculation 2 3 3 5 2 2" xfId="8743"/>
    <cellStyle name="Calculation 2 9 12 5 2" xfId="8744"/>
    <cellStyle name="Calculation 2 3 3 5 2 3" xfId="8745"/>
    <cellStyle name="Calculation 2 9 12 5 3" xfId="8746"/>
    <cellStyle name="Calculation 2 3 3 5 2 4" xfId="8747"/>
    <cellStyle name="Calculation 2 3 3 5 3" xfId="8748"/>
    <cellStyle name="Calculation 2 9 12 6" xfId="8749"/>
    <cellStyle name="Calculation 2 3 3 5 3 2" xfId="8750"/>
    <cellStyle name="Calculation 2 3 3 5 3 3" xfId="8751"/>
    <cellStyle name="Calculation 2 3 3 5 3 4" xfId="8752"/>
    <cellStyle name="Note 2 8 2 9 2 2" xfId="8753"/>
    <cellStyle name="Calculation 2 3 3 5 4" xfId="8754"/>
    <cellStyle name="Calculation 2 9 12 7" xfId="8755"/>
    <cellStyle name="Calculation 2 3 3 5 4 2" xfId="8756"/>
    <cellStyle name="Calculation 2 3 3 5 4 3" xfId="8757"/>
    <cellStyle name="Calculation 2 3 3 5 5" xfId="8758"/>
    <cellStyle name="Calculation 2 3 3 5 5 2" xfId="8759"/>
    <cellStyle name="Calculation 2 3 3 5 5 3" xfId="8760"/>
    <cellStyle name="Calculation 2 3 3 5 6" xfId="8761"/>
    <cellStyle name="Calculation 2 3 3 5 7" xfId="8762"/>
    <cellStyle name="Calculation 2 3 3 6" xfId="8763"/>
    <cellStyle name="Calculation 2 3 3 6 2" xfId="8764"/>
    <cellStyle name="Note 2 5 3 10 6" xfId="8765"/>
    <cellStyle name="Calculation 2 3 3 6 2 2" xfId="8766"/>
    <cellStyle name="Calculation 2 3 3 6 2 3" xfId="8767"/>
    <cellStyle name="Calculation 2 3 3 6 2 4" xfId="8768"/>
    <cellStyle name="Calculation 2 3 3 6 3 2" xfId="8769"/>
    <cellStyle name="Calculation 2 3 3 6 3 3" xfId="8770"/>
    <cellStyle name="Note 2 6 2 10 2" xfId="8771"/>
    <cellStyle name="Calculation 2 3 3 6 3 4" xfId="8772"/>
    <cellStyle name="Note 2 6 2 10 3" xfId="8773"/>
    <cellStyle name="Calculation 2 3 3 6 4 2" xfId="8774"/>
    <cellStyle name="Normal 2 4 10 3" xfId="8775"/>
    <cellStyle name="Calculation 2 3 3 6 4 3" xfId="8776"/>
    <cellStyle name="Note 2 6 2 11 2" xfId="8777"/>
    <cellStyle name="Calculation 2 3 3 6 5" xfId="8778"/>
    <cellStyle name="Calculation 2 3 3 6 5 2" xfId="8779"/>
    <cellStyle name="Calculation 2 3 3 6 5 3" xfId="8780"/>
    <cellStyle name="Note 2 6 2 12 2" xfId="8781"/>
    <cellStyle name="Calculation 2 3 3 6 6" xfId="8782"/>
    <cellStyle name="Calculation 2 3 3 6 7" xfId="8783"/>
    <cellStyle name="Calculation 2 3 3 7" xfId="8784"/>
    <cellStyle name="Calculation 2 3 3 7 2" xfId="8785"/>
    <cellStyle name="Output 2 14 6 2 4" xfId="8786"/>
    <cellStyle name="Calculation 2 3 3 7 2 2" xfId="8787"/>
    <cellStyle name="Calculation 2 3 3 7 2 3" xfId="8788"/>
    <cellStyle name="Calculation 2 3 3 7 2 4" xfId="8789"/>
    <cellStyle name="Calculation 2 3 3 7 3" xfId="8790"/>
    <cellStyle name="Calculation 2 3 3 7 3 2" xfId="8791"/>
    <cellStyle name="Calculation 2 3 3 7 3 3" xfId="8792"/>
    <cellStyle name="Calculation 2 3 3 7 3 4" xfId="8793"/>
    <cellStyle name="Calculation 2 3 3 7 4" xfId="8794"/>
    <cellStyle name="Calculation 2 3 3 7 4 2" xfId="8795"/>
    <cellStyle name="Calculation 2 3 3 7 4 3" xfId="8796"/>
    <cellStyle name="Calculation 2 3 3 7 5" xfId="8797"/>
    <cellStyle name="Calculation 2 3 3 7 5 2" xfId="8798"/>
    <cellStyle name="Calculation 2 3 3 7 5 3" xfId="8799"/>
    <cellStyle name="Calculation 2 3 3 7 6" xfId="8800"/>
    <cellStyle name="Calculation 2 3 3 7 7" xfId="8801"/>
    <cellStyle name="Calculation 2 3 3 8" xfId="8802"/>
    <cellStyle name="Output 2 8 6 2" xfId="8803"/>
    <cellStyle name="Calculation 2 3 3 8 2" xfId="8804"/>
    <cellStyle name="Output 2 14 6 3 4" xfId="8805"/>
    <cellStyle name="Output 2 8 6 2 2" xfId="8806"/>
    <cellStyle name="Calculation 2 3 3 8 2 2" xfId="8807"/>
    <cellStyle name="Calculation 2 3 3 8 2 3" xfId="8808"/>
    <cellStyle name="Calculation 2 3 3 8 2 4" xfId="8809"/>
    <cellStyle name="Calculation 2 3 3 8 3" xfId="8810"/>
    <cellStyle name="Output 2 8 6 2 3" xfId="8811"/>
    <cellStyle name="Calculation 2 3 3 8 3 2" xfId="8812"/>
    <cellStyle name="Calculation 2 3 3 8 3 3" xfId="8813"/>
    <cellStyle name="Calculation 2 3 3 8 3 4" xfId="8814"/>
    <cellStyle name="Calculation 2 3 3 8 4" xfId="8815"/>
    <cellStyle name="Output 2 8 6 2 4" xfId="8816"/>
    <cellStyle name="Calculation 2 3 3 8 5" xfId="8817"/>
    <cellStyle name="Note 2 2 2 5 3 2 2" xfId="8818"/>
    <cellStyle name="Calculation 2 3 3 8 6" xfId="8819"/>
    <cellStyle name="Calculation 2 3 3 9" xfId="8820"/>
    <cellStyle name="Output 2 8 6 3" xfId="8821"/>
    <cellStyle name="Calculation 2 3 3 9 2 2" xfId="8822"/>
    <cellStyle name="Calculation 2 3 3 9 2 3" xfId="8823"/>
    <cellStyle name="Calculation 2 3 3 9 2 4" xfId="8824"/>
    <cellStyle name="Note 2 2 11 2" xfId="8825"/>
    <cellStyle name="Calculation 2 3 3 9 3 2" xfId="8826"/>
    <cellStyle name="Calculation 2 3 3 9 3 3" xfId="8827"/>
    <cellStyle name="Calculation 2 3 3 9 3 4" xfId="8828"/>
    <cellStyle name="Note 2 2 12 2" xfId="8829"/>
    <cellStyle name="Calculation 2 3 3 9 4 2" xfId="8830"/>
    <cellStyle name="Calculation 2 3 3 9 4 3" xfId="8831"/>
    <cellStyle name="Calculation 2 3 4" xfId="8832"/>
    <cellStyle name="Note 2 6 2 10 7" xfId="8833"/>
    <cellStyle name="Calculation 2 3 4 2" xfId="8834"/>
    <cellStyle name="Input 2 8 3 7 3 3" xfId="8835"/>
    <cellStyle name="Calculation 2 3 4 2 2" xfId="8836"/>
    <cellStyle name="Input 2 7 2 2 3 4" xfId="8837"/>
    <cellStyle name="Total 2 5 2 5" xfId="8838"/>
    <cellStyle name="Calculation 2 3 4 2 2 2" xfId="8839"/>
    <cellStyle name="Input 2 6 7 3 4" xfId="8840"/>
    <cellStyle name="Total 2 5 2 5 2" xfId="8841"/>
    <cellStyle name="Calculation 2 3 4 2 2 2 2" xfId="8842"/>
    <cellStyle name="Input 2 2 6 6" xfId="8843"/>
    <cellStyle name="Total 2 5 2 5 2 2" xfId="8844"/>
    <cellStyle name="Calculation 2 3 4 2 2 2 2 2" xfId="8845"/>
    <cellStyle name="Input 2 2 6 6 2" xfId="8846"/>
    <cellStyle name="Calculation 2 3 4 2 2 2 2 2 2 2" xfId="8847"/>
    <cellStyle name="Input 2 10 3 6 6" xfId="8848"/>
    <cellStyle name="Output 2 2 6 5 2" xfId="8849"/>
    <cellStyle name="Total 2 5 2 5 2 3" xfId="8850"/>
    <cellStyle name="Calculation 2 3 4 2 2 2 2 3" xfId="8851"/>
    <cellStyle name="Total 2 5 2 5 3" xfId="8852"/>
    <cellStyle name="Calculation 2 3 4 2 2 2 3" xfId="8853"/>
    <cellStyle name="Calculation 2 6 2 2 4 2" xfId="8854"/>
    <cellStyle name="Input 2 2 6 7" xfId="8855"/>
    <cellStyle name="Calculation 2 3 4 2 3" xfId="8856"/>
    <cellStyle name="Total 2 5 3 5" xfId="8857"/>
    <cellStyle name="Calculation 2 3 4 2 3 2" xfId="8858"/>
    <cellStyle name="Total 2 5 3 5 2" xfId="8859"/>
    <cellStyle name="Calculation 2 3 4 2 3 2 2" xfId="8860"/>
    <cellStyle name="Input 2 3 6 6" xfId="8861"/>
    <cellStyle name="Note 2 12 2 7 5" xfId="8862"/>
    <cellStyle name="Calculation 2 3 4 2 4" xfId="8863"/>
    <cellStyle name="Calculation 2 3 4 3" xfId="8864"/>
    <cellStyle name="Input 2 8 3 7 3 4" xfId="8865"/>
    <cellStyle name="Note 2 5 2 9 5 2" xfId="8866"/>
    <cellStyle name="Calculation 2 3 4 3 2" xfId="8867"/>
    <cellStyle name="Total 2 6 2 5" xfId="8868"/>
    <cellStyle name="Calculation 2 3 4 3 2 2" xfId="8869"/>
    <cellStyle name="Input 2 6 8 3 4" xfId="8870"/>
    <cellStyle name="Calculation 2 3 4 3 3" xfId="8871"/>
    <cellStyle name="Calculation 2 3 4 3 4" xfId="8872"/>
    <cellStyle name="Calculation 2 3 4 4" xfId="8873"/>
    <cellStyle name="Note 2 5 2 9 5 3" xfId="8874"/>
    <cellStyle name="Calculation 2 3 4 4 2" xfId="8875"/>
    <cellStyle name="Calculation 2 3 4 4 3" xfId="8876"/>
    <cellStyle name="Calculation 2 3 4 5" xfId="8877"/>
    <cellStyle name="Calculation 2 3 4 5 2" xfId="8878"/>
    <cellStyle name="Output 2 12 2 16" xfId="8879"/>
    <cellStyle name="Calculation 2 3 4 5 3" xfId="8880"/>
    <cellStyle name="Calculation 2 3 4 6" xfId="8881"/>
    <cellStyle name="Calculation 2 3 4 6 2" xfId="8882"/>
    <cellStyle name="Total 2 9 2 5" xfId="8883"/>
    <cellStyle name="Calculation 2 3 4 6 2 2" xfId="8884"/>
    <cellStyle name="Calculation 2 3 4 7" xfId="8885"/>
    <cellStyle name="Calculation 2 3 4 8" xfId="8886"/>
    <cellStyle name="Output 2 8 7 2" xfId="8887"/>
    <cellStyle name="Calculation 2 3 5" xfId="8888"/>
    <cellStyle name="Output 2 10 3 7 5 2" xfId="8889"/>
    <cellStyle name="Output 2 4 3 6 3 2" xfId="8890"/>
    <cellStyle name="Calculation 2 3 5 2" xfId="8891"/>
    <cellStyle name="Input 2 8 3 7 4 3" xfId="8892"/>
    <cellStyle name="Calculation 2 3 5 2 2" xfId="8893"/>
    <cellStyle name="Input 2 7 2 3 3 4" xfId="8894"/>
    <cellStyle name="Calculation 2 3 5 2 3" xfId="8895"/>
    <cellStyle name="Calculation 2 3 5 2 4" xfId="8896"/>
    <cellStyle name="Input 2 9 11 2" xfId="8897"/>
    <cellStyle name="Calculation 2 3 5 3" xfId="8898"/>
    <cellStyle name="Calculation 2 3 5 3 2" xfId="8899"/>
    <cellStyle name="Calculation 2 3 5 3 3" xfId="8900"/>
    <cellStyle name="Percent [2]" xfId="8901"/>
    <cellStyle name="Calculation 2 3 5 3 4" xfId="8902"/>
    <cellStyle name="Input 2 9 12 2" xfId="8903"/>
    <cellStyle name="Calculation 2 3 5 4" xfId="8904"/>
    <cellStyle name="Calculation 2 3 5 4 2" xfId="8905"/>
    <cellStyle name="Calculation 2 3 5 4 3" xfId="8906"/>
    <cellStyle name="Calculation 2 3 5 5" xfId="8907"/>
    <cellStyle name="Note 2 11 2 2" xfId="8908"/>
    <cellStyle name="Calculation 2 3 5 5 2" xfId="8909"/>
    <cellStyle name="Note 2 11 2 2 2" xfId="8910"/>
    <cellStyle name="Calculation 2 3 5 5 3" xfId="8911"/>
    <cellStyle name="Note 2 11 2 2 3" xfId="8912"/>
    <cellStyle name="Calculation 2 3 5 6" xfId="8913"/>
    <cellStyle name="Note 2 11 2 3" xfId="8914"/>
    <cellStyle name="Calculation 2 3 5 6 2" xfId="8915"/>
    <cellStyle name="Note 2 11 2 3 2" xfId="8916"/>
    <cellStyle name="Input 2 11 2 3 2 4" xfId="8917"/>
    <cellStyle name="Calculation 2 3 5 6 2 2" xfId="8918"/>
    <cellStyle name="Note 2 11 2 3 2 2" xfId="8919"/>
    <cellStyle name="Calculation 2 3 5 7" xfId="8920"/>
    <cellStyle name="Note 2 11 2 4" xfId="8921"/>
    <cellStyle name="Calculation 2 3 5 8" xfId="8922"/>
    <cellStyle name="Note 2 11 2 5" xfId="8923"/>
    <cellStyle name="Output 2 8 8 2" xfId="8924"/>
    <cellStyle name="Calculation 2 3 6" xfId="8925"/>
    <cellStyle name="Output 2 10 3 7 5 3" xfId="8926"/>
    <cellStyle name="Output 2 4 3 6 3 3" xfId="8927"/>
    <cellStyle name="Calculation 2 3 6 2" xfId="8928"/>
    <cellStyle name="Input 2 8 3 7 5 3" xfId="8929"/>
    <cellStyle name="Calculation 2 3 6 2 2" xfId="8930"/>
    <cellStyle name="Input 2 7 2 4 3 4" xfId="8931"/>
    <cellStyle name="Calculation 2 3 6 2 3" xfId="8932"/>
    <cellStyle name="Calculation 2 3 6 2 4" xfId="8933"/>
    <cellStyle name="Calculation 2 5 3 2 3 2" xfId="8934"/>
    <cellStyle name="Calculation 2 3 6 4 2" xfId="8935"/>
    <cellStyle name="Calculation 2 3 6 4 3" xfId="8936"/>
    <cellStyle name="Calculation 2 3 6 6 2" xfId="8937"/>
    <cellStyle name="Note 2 11 3 3 2" xfId="8938"/>
    <cellStyle name="Note 2 8 2 10 7" xfId="8939"/>
    <cellStyle name="Input 2 11 3 3 2 4" xfId="8940"/>
    <cellStyle name="Calculation 2 3 6 6 2 2" xfId="8941"/>
    <cellStyle name="Note 2 11 3 3 2 2" xfId="8942"/>
    <cellStyle name="Calculation 2 3 7" xfId="8943"/>
    <cellStyle name="Emphasis 1" xfId="8944"/>
    <cellStyle name="Output 2 4 3 6 3 4" xfId="8945"/>
    <cellStyle name="Calculation 2 3 7 2" xfId="8946"/>
    <cellStyle name="Emphasis 1 2" xfId="8947"/>
    <cellStyle name="Calculation 2 3 7 2 2" xfId="8948"/>
    <cellStyle name="Input 2 7 2 5 3 4" xfId="8949"/>
    <cellStyle name="Calculation 2 3 7 2 3" xfId="8950"/>
    <cellStyle name="Calculation 2 3 7 2 4" xfId="8951"/>
    <cellStyle name="Calculation 2 5 3 3 3 2" xfId="8952"/>
    <cellStyle name="Calculation 2 3 7 3" xfId="8953"/>
    <cellStyle name="Emphasis 1 3" xfId="8954"/>
    <cellStyle name="Calculation 2 3 7 3 2" xfId="8955"/>
    <cellStyle name="Calculation 2 3 7 3 3" xfId="8956"/>
    <cellStyle name="Calculation 2 3 7 3 4" xfId="8957"/>
    <cellStyle name="Calculation 2 5 3 3 4 2" xfId="8958"/>
    <cellStyle name="Calculation 2 3 7 4" xfId="8959"/>
    <cellStyle name="Emphasis 1 4" xfId="8960"/>
    <cellStyle name="Calculation 2 3 7 4 2" xfId="8961"/>
    <cellStyle name="Calculation 2 3 7 4 3" xfId="8962"/>
    <cellStyle name="Calculation 2 3 7 5" xfId="8963"/>
    <cellStyle name="Note 2 11 4 2" xfId="8964"/>
    <cellStyle name="Calculation 2 3 7 5 2" xfId="8965"/>
    <cellStyle name="Input 2 3 3 10 2 3" xfId="8966"/>
    <cellStyle name="Note 2 11 4 2 2" xfId="8967"/>
    <cellStyle name="Calculation 2 3 7 5 3" xfId="8968"/>
    <cellStyle name="Input 2 3 3 10 2 4" xfId="8969"/>
    <cellStyle name="Note 2 11 4 2 3" xfId="8970"/>
    <cellStyle name="Note 2 3 3 10 2 2" xfId="8971"/>
    <cellStyle name="Calculation 2 3 7 6" xfId="8972"/>
    <cellStyle name="Note 2 11 4 3" xfId="8973"/>
    <cellStyle name="Heading 2 2 2 5" xfId="8974"/>
    <cellStyle name="Calculation 2 3 7 6 2" xfId="8975"/>
    <cellStyle name="Input 2 3 3 10 3 3" xfId="8976"/>
    <cellStyle name="Note 2 11 4 3 2" xfId="8977"/>
    <cellStyle name="Calculation 2 3 7 7" xfId="8978"/>
    <cellStyle name="Note 2 11 4 4" xfId="8979"/>
    <cellStyle name="Calculation 2 3 7 8" xfId="8980"/>
    <cellStyle name="Note 2 11 4 5" xfId="8981"/>
    <cellStyle name="Output 2 8 3 10 2 2" xfId="8982"/>
    <cellStyle name="Calculation 2 3 8" xfId="8983"/>
    <cellStyle name="Emphasis 2" xfId="8984"/>
    <cellStyle name="Calculation 2 3 8 2" xfId="8985"/>
    <cellStyle name="Emphasis 2 2" xfId="8986"/>
    <cellStyle name="Calculation 2 3 8 2 2" xfId="8987"/>
    <cellStyle name="Emphasis 2 2 2" xfId="8988"/>
    <cellStyle name="Input 2 7 2 6 3 4" xfId="8989"/>
    <cellStyle name="Note 2 2 3 7" xfId="8990"/>
    <cellStyle name="Calculation 2 3 8 2 3" xfId="8991"/>
    <cellStyle name="Emphasis 2 2 3" xfId="8992"/>
    <cellStyle name="Note 2 2 3 8" xfId="8993"/>
    <cellStyle name="Calculation 2 3 8 2 4" xfId="8994"/>
    <cellStyle name="Calculation 2 5 3 4 3 2" xfId="8995"/>
    <cellStyle name="Note 2 2 3 9" xfId="8996"/>
    <cellStyle name="Calculation 2 3 8 3" xfId="8997"/>
    <cellStyle name="Emphasis 2 3" xfId="8998"/>
    <cellStyle name="Note 2 2 4 7" xfId="8999"/>
    <cellStyle name="Calculation 2 3 8 3 2" xfId="9000"/>
    <cellStyle name="Output 2 4 3 10 2 4" xfId="9001"/>
    <cellStyle name="Calculation 2 3 8 3 3" xfId="9002"/>
    <cellStyle name="Note 2 2 4 8" xfId="9003"/>
    <cellStyle name="Calculation 2 3 8 3 4" xfId="9004"/>
    <cellStyle name="Calculation 2 5 3 4 4 2" xfId="9005"/>
    <cellStyle name="Note 2 2 4 9" xfId="9006"/>
    <cellStyle name="Calculation 2 3 8 4" xfId="9007"/>
    <cellStyle name="Emphasis 2 4" xfId="9008"/>
    <cellStyle name="Note 2 2 5 7" xfId="9009"/>
    <cellStyle name="Calculation 2 3 8 4 2" xfId="9010"/>
    <cellStyle name="Output 2 4 3 10 3 4" xfId="9011"/>
    <cellStyle name="Calculation 2 3 8 4 3" xfId="9012"/>
    <cellStyle name="Note 2 2 5 8" xfId="9013"/>
    <cellStyle name="Calculation 2 3 8 5" xfId="9014"/>
    <cellStyle name="Note 2 11 5 2" xfId="9015"/>
    <cellStyle name="Calculation 2 3 8 5 2" xfId="9016"/>
    <cellStyle name="Note 2 11 5 2 2" xfId="9017"/>
    <cellStyle name="Note 2 2 6 7" xfId="9018"/>
    <cellStyle name="Calculation 2 3 8 5 3" xfId="9019"/>
    <cellStyle name="Note 2 11 5 2 3" xfId="9020"/>
    <cellStyle name="Note 2 2 6 8" xfId="9021"/>
    <cellStyle name="Calculation 2 3 8 6" xfId="9022"/>
    <cellStyle name="Note 2 11 5 3" xfId="9023"/>
    <cellStyle name="Calculation 2 3 8 6 2" xfId="9024"/>
    <cellStyle name="Note 2 11 5 3 2" xfId="9025"/>
    <cellStyle name="Note 2 2 7 7" xfId="9026"/>
    <cellStyle name="Calculation 2 3 8 7" xfId="9027"/>
    <cellStyle name="Note 2 11 5 4" xfId="9028"/>
    <cellStyle name="Calculation 2 3 8 8" xfId="9029"/>
    <cellStyle name="Note 2 11 5 5" xfId="9030"/>
    <cellStyle name="Output 2 8 3 10 3 2" xfId="9031"/>
    <cellStyle name="Calculation 2 3 9" xfId="9032"/>
    <cellStyle name="Emphasis 3" xfId="9033"/>
    <cellStyle name="Note 2 2 2 3 2 2 2 2 2 2 2 2 2" xfId="9034"/>
    <cellStyle name="Calculation 2 3 9 2" xfId="9035"/>
    <cellStyle name="Emphasis 3 2" xfId="9036"/>
    <cellStyle name="Calculation 2 3 9 2 2" xfId="9037"/>
    <cellStyle name="Emphasis 3 2 2" xfId="9038"/>
    <cellStyle name="Input 2 7 2 7 3 4" xfId="9039"/>
    <cellStyle name="Note 2 3 3 7" xfId="9040"/>
    <cellStyle name="Calculation 2 3 9 2 3" xfId="9041"/>
    <cellStyle name="Emphasis 3 2 3" xfId="9042"/>
    <cellStyle name="Input 2 7 2 10 4 2" xfId="9043"/>
    <cellStyle name="Note 2 3 3 8" xfId="9044"/>
    <cellStyle name="Calculation 2 3 9 2 4" xfId="9045"/>
    <cellStyle name="Calculation 2 5 3 5 3 2" xfId="9046"/>
    <cellStyle name="Input 2 7 2 10 4 3" xfId="9047"/>
    <cellStyle name="Note 2 3 3 9" xfId="9048"/>
    <cellStyle name="Calculation 2 3 9 3" xfId="9049"/>
    <cellStyle name="Emphasis 3 3" xfId="9050"/>
    <cellStyle name="Output 2 11 3 2 2" xfId="9051"/>
    <cellStyle name="Calculation 2 3 9 3 2" xfId="9052"/>
    <cellStyle name="Note 2 3 4 7" xfId="9053"/>
    <cellStyle name="Output 2 11 3 2 2 2" xfId="9054"/>
    <cellStyle name="Calculation 2 3 9 3 3" xfId="9055"/>
    <cellStyle name="Input 2 7 2 10 5 2" xfId="9056"/>
    <cellStyle name="Note 2 3 4 8" xfId="9057"/>
    <cellStyle name="Output 2 11 3 2 2 3" xfId="9058"/>
    <cellStyle name="Calculation 2 3 9 3 4" xfId="9059"/>
    <cellStyle name="Calculation 2 5 3 5 4 2" xfId="9060"/>
    <cellStyle name="Input 2 7 2 10 5 3" xfId="9061"/>
    <cellStyle name="Output 2 11 3 2 2 4" xfId="9062"/>
    <cellStyle name="Calculation 2 3 9 4" xfId="9063"/>
    <cellStyle name="Emphasis 3 4" xfId="9064"/>
    <cellStyle name="Output 2 11 3 2 3" xfId="9065"/>
    <cellStyle name="Calculation 2 3 9 4 2" xfId="9066"/>
    <cellStyle name="Note 2 3 5 7" xfId="9067"/>
    <cellStyle name="Output 2 11 3 2 3 2" xfId="9068"/>
    <cellStyle name="Calculation 2 3 9 4 3" xfId="9069"/>
    <cellStyle name="Note 2 3 5 8" xfId="9070"/>
    <cellStyle name="Output 2 11 3 2 3 3" xfId="9071"/>
    <cellStyle name="Calculation 2 3 9 5" xfId="9072"/>
    <cellStyle name="Note 2 11 6 2" xfId="9073"/>
    <cellStyle name="Output 2 11 3 2 4" xfId="9074"/>
    <cellStyle name="Calculation 2 3 9 5 2" xfId="9075"/>
    <cellStyle name="Note 2 11 6 2 2" xfId="9076"/>
    <cellStyle name="Note 2 3 6 7" xfId="9077"/>
    <cellStyle name="Output 2 11 3 2 4 2" xfId="9078"/>
    <cellStyle name="Output 2 13 2 16" xfId="9079"/>
    <cellStyle name="Calculation 2 3 9 5 3" xfId="9080"/>
    <cellStyle name="Note 2 11 6 2 3" xfId="9081"/>
    <cellStyle name="Note 2 3 6 8" xfId="9082"/>
    <cellStyle name="Output 2 11 3 2 4 3" xfId="9083"/>
    <cellStyle name="Calculation 2 3 9 6" xfId="9084"/>
    <cellStyle name="Note 2 11 6 3" xfId="9085"/>
    <cellStyle name="Output 2 11 3 2 5" xfId="9086"/>
    <cellStyle name="Calculation 2 3 9 6 2" xfId="9087"/>
    <cellStyle name="Note 2 11 6 3 2" xfId="9088"/>
    <cellStyle name="Note 2 3 7 7" xfId="9089"/>
    <cellStyle name="Output 2 11 3 2 5 2" xfId="9090"/>
    <cellStyle name="Calculation 2 3 9 6 2 2" xfId="9091"/>
    <cellStyle name="Calculation 2 3 9 7" xfId="9092"/>
    <cellStyle name="Note 2 11 6 4" xfId="9093"/>
    <cellStyle name="Output 2 11 3 2 6" xfId="9094"/>
    <cellStyle name="Calculation 2 3 9 8" xfId="9095"/>
    <cellStyle name="Note 2 11 6 5" xfId="9096"/>
    <cellStyle name="Output 2 11 3 2 7" xfId="9097"/>
    <cellStyle name="Output 2 8 3 10 4 2" xfId="9098"/>
    <cellStyle name="Calculation 2 4" xfId="9099"/>
    <cellStyle name="Calculation 2 4 10" xfId="9100"/>
    <cellStyle name="Calculation 2 4 10 2" xfId="9101"/>
    <cellStyle name="Calculation 2 4 10 2 2" xfId="9102"/>
    <cellStyle name="Calculation 2 4 10 2 3" xfId="9103"/>
    <cellStyle name="Calculation 2 4 10 2 4" xfId="9104"/>
    <cellStyle name="Calculation 2 4 10 3" xfId="9105"/>
    <cellStyle name="Input 2 14 3 5 4 2" xfId="9106"/>
    <cellStyle name="Calculation 2 4 10 3 2" xfId="9107"/>
    <cellStyle name="Calculation 2 4 10 3 3" xfId="9108"/>
    <cellStyle name="Calculation 2 4 10 3 4" xfId="9109"/>
    <cellStyle name="Calculation 2 4 10 4" xfId="9110"/>
    <cellStyle name="Input 2 14 3 5 4 3" xfId="9111"/>
    <cellStyle name="Calculation 2 4 10 4 2" xfId="9112"/>
    <cellStyle name="Calculation 2 4 10 4 3" xfId="9113"/>
    <cellStyle name="Calculation 2 4 11" xfId="9114"/>
    <cellStyle name="Calculation 2 4 11 2" xfId="9115"/>
    <cellStyle name="Calculation 2 4 11 2 2" xfId="9116"/>
    <cellStyle name="Calculation 2 4 11 2 3" xfId="9117"/>
    <cellStyle name="Calculation 2 4 11 2 4" xfId="9118"/>
    <cellStyle name="Calculation 2 4 11 3" xfId="9119"/>
    <cellStyle name="Input 2 14 3 5 5 2" xfId="9120"/>
    <cellStyle name="Calculation 2 4 11 3 2" xfId="9121"/>
    <cellStyle name="Calculation 2 4 11 3 3" xfId="9122"/>
    <cellStyle name="Calculation 2 4 11 3 4" xfId="9123"/>
    <cellStyle name="Calculation 2 4 11 4" xfId="9124"/>
    <cellStyle name="Input 2 14 3 5 5 3" xfId="9125"/>
    <cellStyle name="Calculation 2 4 12" xfId="9126"/>
    <cellStyle name="Calculation 2 4 12 2" xfId="9127"/>
    <cellStyle name="Calculation 2 4 12 2 2" xfId="9128"/>
    <cellStyle name="Calculation 2 4 12 2 3" xfId="9129"/>
    <cellStyle name="Normal 2 2 2 4 2" xfId="9130"/>
    <cellStyle name="Calculation 2 4 12 2 4" xfId="9131"/>
    <cellStyle name="Normal 2 2 2 4 3" xfId="9132"/>
    <cellStyle name="Calculation 2 4 12 3" xfId="9133"/>
    <cellStyle name="Calculation 2 4 12 3 2" xfId="9134"/>
    <cellStyle name="Note 2 2 4 16" xfId="9135"/>
    <cellStyle name="Note 2 2 4 21" xfId="9136"/>
    <cellStyle name="Calculation 2 4 12 3 3" xfId="9137"/>
    <cellStyle name="Normal 2 2 2 5 2" xfId="9138"/>
    <cellStyle name="Note 2 2 4 17" xfId="9139"/>
    <cellStyle name="Note 2 2 4 22" xfId="9140"/>
    <cellStyle name="Calculation 2 4 12 3 4" xfId="9141"/>
    <cellStyle name="Normal 2 2 2 5 3" xfId="9142"/>
    <cellStyle name="Note 2 2 4 18" xfId="9143"/>
    <cellStyle name="Note 2 2 4 23" xfId="9144"/>
    <cellStyle name="Calculation 2 4 12 4" xfId="9145"/>
    <cellStyle name="Calculation 2 4 12 4 2" xfId="9146"/>
    <cellStyle name="Calculation 2 4 12 4 3" xfId="9147"/>
    <cellStyle name="Normal 2 2 2 6 2" xfId="9148"/>
    <cellStyle name="Calculation 2 4 13" xfId="9149"/>
    <cellStyle name="Calculation 2 4 13 2" xfId="9150"/>
    <cellStyle name="Calculation 2 4 14" xfId="9151"/>
    <cellStyle name="Calculation 2 4 14 2" xfId="9152"/>
    <cellStyle name="Input 2 15 3 2 3" xfId="9153"/>
    <cellStyle name="Calculation 2 4 14 3" xfId="9154"/>
    <cellStyle name="Input 2 15 3 2 4" xfId="9155"/>
    <cellStyle name="Output 2 13 6 2 2" xfId="9156"/>
    <cellStyle name="Total 2 8 2 10 4" xfId="9157"/>
    <cellStyle name="Total 2 10 3 6 3 2" xfId="9158"/>
    <cellStyle name="Calculation 2 4 14 4" xfId="9159"/>
    <cellStyle name="Output 2 13 6 2 3" xfId="9160"/>
    <cellStyle name="Total 2 8 2 10 5" xfId="9161"/>
    <cellStyle name="Total 2 10 3 6 3 3" xfId="9162"/>
    <cellStyle name="Calculation 2 4 15" xfId="9163"/>
    <cellStyle name="Calculation 2 4 20" xfId="9164"/>
    <cellStyle name="Input 2 4 2 6 3 2" xfId="9165"/>
    <cellStyle name="Calculation 2 4 15 2" xfId="9166"/>
    <cellStyle name="Input 2 15 3 3 3" xfId="9167"/>
    <cellStyle name="Output 2 9 2 3" xfId="9168"/>
    <cellStyle name="Calculation 2 4 15 3" xfId="9169"/>
    <cellStyle name="Input 2 15 3 3 4" xfId="9170"/>
    <cellStyle name="Output 2 13 6 3 2" xfId="9171"/>
    <cellStyle name="Output 2 9 2 4" xfId="9172"/>
    <cellStyle name="Total 2 8 2 11 4" xfId="9173"/>
    <cellStyle name="Total 2 10 3 6 4 2" xfId="9174"/>
    <cellStyle name="Calculation 2 4 15 4" xfId="9175"/>
    <cellStyle name="Output 2 13 6 3 3" xfId="9176"/>
    <cellStyle name="Output 2 9 2 5" xfId="9177"/>
    <cellStyle name="Total 2 10 3 6 4 3" xfId="9178"/>
    <cellStyle name="Calculation 2 4 16" xfId="9179"/>
    <cellStyle name="Calculation 2 4 21" xfId="9180"/>
    <cellStyle name="Input 2 4 2 6 3 3" xfId="9181"/>
    <cellStyle name="Calculation 2 4 16 2" xfId="9182"/>
    <cellStyle name="Input 2 15 3 4 3" xfId="9183"/>
    <cellStyle name="Output 2 9 3 3" xfId="9184"/>
    <cellStyle name="Calculation 2 4 16 3" xfId="9185"/>
    <cellStyle name="Output 2 13 6 4 2" xfId="9186"/>
    <cellStyle name="Output 2 9 3 4" xfId="9187"/>
    <cellStyle name="Total 2 8 2 12 4" xfId="9188"/>
    <cellStyle name="Total 2 10 3 6 5 2" xfId="9189"/>
    <cellStyle name="Calculation 2 4 16 4" xfId="9190"/>
    <cellStyle name="Output 2 13 6 4 3" xfId="9191"/>
    <cellStyle name="Output 2 9 3 5" xfId="9192"/>
    <cellStyle name="Total 2 10 3 6 5 3" xfId="9193"/>
    <cellStyle name="Calculation 2 4 17" xfId="9194"/>
    <cellStyle name="Calculation 2 4 22" xfId="9195"/>
    <cellStyle name="Input 2 4 2 6 3 4" xfId="9196"/>
    <cellStyle name="Calculation 2 4 17 2" xfId="9197"/>
    <cellStyle name="Input 2 15 3 5 3" xfId="9198"/>
    <cellStyle name="Output 2 9 4 3" xfId="9199"/>
    <cellStyle name="Calculation 2 4 18" xfId="9200"/>
    <cellStyle name="Calculation 2 4 23" xfId="9201"/>
    <cellStyle name="Calculation 2 4 2 9" xfId="9202"/>
    <cellStyle name="Input 2 10 18" xfId="9203"/>
    <cellStyle name="Calculation 2 4 18 2" xfId="9204"/>
    <cellStyle name="Note 2 12 2 12" xfId="9205"/>
    <cellStyle name="Output 2 9 5 3" xfId="9206"/>
    <cellStyle name="Calculation 2 4 19 2" xfId="9207"/>
    <cellStyle name="Calculation 2 4 3 9" xfId="9208"/>
    <cellStyle name="Output 2 9 6 3" xfId="9209"/>
    <cellStyle name="Calculation 2 4 2" xfId="9210"/>
    <cellStyle name="Calculation 2 4 2 10" xfId="9211"/>
    <cellStyle name="Input 2 10 4 5" xfId="9212"/>
    <cellStyle name="Calculation 2 4 2 10 2" xfId="9213"/>
    <cellStyle name="Input 2 10 4 5 2" xfId="9214"/>
    <cellStyle name="Calculation 2 4 2 10 2 2" xfId="9215"/>
    <cellStyle name="Output 2 15 13 3" xfId="9216"/>
    <cellStyle name="Calculation 2 4 2 10 2 3" xfId="9217"/>
    <cellStyle name="Calculation 2 4 2 10 2 4" xfId="9218"/>
    <cellStyle name="Calculation 2 4 2 10 3" xfId="9219"/>
    <cellStyle name="Input 2 10 4 5 3" xfId="9220"/>
    <cellStyle name="Calculation 2 4 2 10 3 2" xfId="9221"/>
    <cellStyle name="Output 2 15 14 3" xfId="9222"/>
    <cellStyle name="Calculation 2 4 2 10 3 3" xfId="9223"/>
    <cellStyle name="Calculation 2 4 2 10 3 4" xfId="9224"/>
    <cellStyle name="Calculation 2 4 2 10 4" xfId="9225"/>
    <cellStyle name="Calculation 2 4 2 10 4 2" xfId="9226"/>
    <cellStyle name="Calculation 2 4 2 10 4 3" xfId="9227"/>
    <cellStyle name="Calculation 2 4 2 10 5" xfId="9228"/>
    <cellStyle name="Calculation 2 4 2 10 5 2" xfId="9229"/>
    <cellStyle name="Title 5" xfId="9230"/>
    <cellStyle name="Calculation 2 4 2 10 5 3" xfId="9231"/>
    <cellStyle name="Title 6" xfId="9232"/>
    <cellStyle name="Calculation 2 4 2 10 6" xfId="9233"/>
    <cellStyle name="Output 2 2 7 4 2" xfId="9234"/>
    <cellStyle name="Calculation 2 4 2 10 7" xfId="9235"/>
    <cellStyle name="Output 2 2 7 4 3" xfId="9236"/>
    <cellStyle name="Calculation 2 4 2 11" xfId="9237"/>
    <cellStyle name="Input 2 10 4 6" xfId="9238"/>
    <cellStyle name="Input 2 3 2 2" xfId="9239"/>
    <cellStyle name="Calculation 2 4 2 11 2" xfId="9240"/>
    <cellStyle name="Input 2 3 2 2 2" xfId="9241"/>
    <cellStyle name="Calculation 2 4 2 11 3" xfId="9242"/>
    <cellStyle name="Input 2 3 2 2 3" xfId="9243"/>
    <cellStyle name="Calculation 2 4 2 11 4" xfId="9244"/>
    <cellStyle name="Input 2 3 2 2 4" xfId="9245"/>
    <cellStyle name="Calculation 2 4 2 12" xfId="9246"/>
    <cellStyle name="Input 2 10 4 7" xfId="9247"/>
    <cellStyle name="Input 2 3 2 3" xfId="9248"/>
    <cellStyle name="Note 2 12 2 3 2" xfId="9249"/>
    <cellStyle name="Calculation 2 4 2 12 2" xfId="9250"/>
    <cellStyle name="Input 2 12 2 3 2 4" xfId="9251"/>
    <cellStyle name="Input 2 3 2 3 2" xfId="9252"/>
    <cellStyle name="Note 2 12 2 3 2 2" xfId="9253"/>
    <cellStyle name="Calculation 2 4 2 12 3" xfId="9254"/>
    <cellStyle name="Total 2 7 3 10 2 2" xfId="9255"/>
    <cellStyle name="Input 2 3 2 3 3" xfId="9256"/>
    <cellStyle name="Note 2 12 2 3 2 3" xfId="9257"/>
    <cellStyle name="Calculation 2 4 2 12 4" xfId="9258"/>
    <cellStyle name="Total 2 7 3 10 2 3" xfId="9259"/>
    <cellStyle name="Input 2 3 2 3 4" xfId="9260"/>
    <cellStyle name="Note 2 12 2 3 2 4" xfId="9261"/>
    <cellStyle name="Calculation 2 4 2 13" xfId="9262"/>
    <cellStyle name="Total 2 13 5 2 2" xfId="9263"/>
    <cellStyle name="Input 2 3 2 4" xfId="9264"/>
    <cellStyle name="Note 2 12 2 3 3" xfId="9265"/>
    <cellStyle name="Calculation 2 4 2 13 2" xfId="9266"/>
    <cellStyle name="Input 2 12 2 3 3 4" xfId="9267"/>
    <cellStyle name="Input 2 3 2 4 2" xfId="9268"/>
    <cellStyle name="Note 2 12 2 3 3 2" xfId="9269"/>
    <cellStyle name="Calculation 2 4 2 13 3" xfId="9270"/>
    <cellStyle name="Total 2 7 3 10 3 2" xfId="9271"/>
    <cellStyle name="Input 2 3 2 4 3" xfId="9272"/>
    <cellStyle name="Note 2 12 2 3 3 3" xfId="9273"/>
    <cellStyle name="Calculation 2 4 2 14" xfId="9274"/>
    <cellStyle name="Total 2 13 5 2 3" xfId="9275"/>
    <cellStyle name="Input 2 3 2 5" xfId="9276"/>
    <cellStyle name="Note 2 12 2 3 4" xfId="9277"/>
    <cellStyle name="Calculation 2 4 2 14 2" xfId="9278"/>
    <cellStyle name="Input 2 3 2 5 2" xfId="9279"/>
    <cellStyle name="Note 2 12 2 3 4 2" xfId="9280"/>
    <cellStyle name="Calculation 2 4 2 14 3" xfId="9281"/>
    <cellStyle name="Total 2 7 3 10 4 2" xfId="9282"/>
    <cellStyle name="Input 2 3 2 5 3" xfId="9283"/>
    <cellStyle name="Note 2 12 2 3 4 3" xfId="9284"/>
    <cellStyle name="Calculation 2 4 2 15" xfId="9285"/>
    <cellStyle name="Total 2 13 5 2 4" xfId="9286"/>
    <cellStyle name="Input 2 3 2 6" xfId="9287"/>
    <cellStyle name="Note 2 12 2 3 5" xfId="9288"/>
    <cellStyle name="Calculation 2 4 2 16" xfId="9289"/>
    <cellStyle name="Input 2 3 2 7" xfId="9290"/>
    <cellStyle name="Note 2 12 2 3 6" xfId="9291"/>
    <cellStyle name="Output 2 8 2 12 2" xfId="9292"/>
    <cellStyle name="Calculation 2 4 2 17" xfId="9293"/>
    <cellStyle name="Input 2 3 2 8" xfId="9294"/>
    <cellStyle name="Note 2 12 2 3 7" xfId="9295"/>
    <cellStyle name="Output 2 8 2 12 3" xfId="9296"/>
    <cellStyle name="Calculation 2 4 2 18" xfId="9297"/>
    <cellStyle name="Input 2 3 2 9" xfId="9298"/>
    <cellStyle name="Output 2 8 2 12 4" xfId="9299"/>
    <cellStyle name="Calculation 2 4 2 2" xfId="9300"/>
    <cellStyle name="Input 2 10 11" xfId="9301"/>
    <cellStyle name="Note 2 14 5 4 3" xfId="9302"/>
    <cellStyle name="Note 2 4 2 2 5" xfId="9303"/>
    <cellStyle name="Calculation 2 4 2 2 2" xfId="9304"/>
    <cellStyle name="Input 2 10 11 2" xfId="9305"/>
    <cellStyle name="Note 2 4 2 2 5 2" xfId="9306"/>
    <cellStyle name="Output 6" xfId="9307"/>
    <cellStyle name="Calculation 2 4 2 2 2 2" xfId="9308"/>
    <cellStyle name="Input 2 10 11 2 2" xfId="9309"/>
    <cellStyle name="Note 2 13 3 8 2 4" xfId="9310"/>
    <cellStyle name="Output 6 2" xfId="9311"/>
    <cellStyle name="Calculation 2 4 2 2 3" xfId="9312"/>
    <cellStyle name="Input 2 10 11 3" xfId="9313"/>
    <cellStyle name="Note 2 4 2 2 5 3" xfId="9314"/>
    <cellStyle name="Output 7" xfId="9315"/>
    <cellStyle name="Calculation 2 4 2 2 3 2" xfId="9316"/>
    <cellStyle name="Input 2 10 11 3 2" xfId="9317"/>
    <cellStyle name="Note 2 13 3 8 3 4" xfId="9318"/>
    <cellStyle name="Calculation 2 4 2 2 4" xfId="9319"/>
    <cellStyle name="Input 2 10 11 4" xfId="9320"/>
    <cellStyle name="Calculation 2 4 2 2 4 2" xfId="9321"/>
    <cellStyle name="Input 2 10 11 4 2" xfId="9322"/>
    <cellStyle name="Calculation 2 4 2 2 5" xfId="9323"/>
    <cellStyle name="Input 2 10 11 5" xfId="9324"/>
    <cellStyle name="Calculation 2 4 2 2 5 2" xfId="9325"/>
    <cellStyle name="Input 2 10 11 5 2" xfId="9326"/>
    <cellStyle name="Calculation 2 4 2 2 6" xfId="9327"/>
    <cellStyle name="Input 2 10 11 6" xfId="9328"/>
    <cellStyle name="Output 2 9 2 8 3 2" xfId="9329"/>
    <cellStyle name="Calculation 2 4 2 2 7" xfId="9330"/>
    <cellStyle name="Input 2 10 11 7" xfId="9331"/>
    <cellStyle name="Output 2 9 2 8 3 3" xfId="9332"/>
    <cellStyle name="Calculation 2 4 2 3" xfId="9333"/>
    <cellStyle name="Input 2 10 12" xfId="9334"/>
    <cellStyle name="Note 2 4 2 2 6" xfId="9335"/>
    <cellStyle name="Calculation 2 4 2 3 2" xfId="9336"/>
    <cellStyle name="Input 2 10 12 2" xfId="9337"/>
    <cellStyle name="Calculation 2 4 2 3 2 2" xfId="9338"/>
    <cellStyle name="Input 2 10 12 2 2" xfId="9339"/>
    <cellStyle name="Note 2 13 3 9 2 4" xfId="9340"/>
    <cellStyle name="Calculation 2 4 2 3 3" xfId="9341"/>
    <cellStyle name="Input 2 10 12 3" xfId="9342"/>
    <cellStyle name="Calculation 2 4 2 3 3 2" xfId="9343"/>
    <cellStyle name="Input 2 10 12 3 2" xfId="9344"/>
    <cellStyle name="Note 2 13 3 9 3 4" xfId="9345"/>
    <cellStyle name="Calculation 2 4 2 3 4" xfId="9346"/>
    <cellStyle name="Input 2 10 12 4" xfId="9347"/>
    <cellStyle name="Calculation 2 4 2 3 4 2" xfId="9348"/>
    <cellStyle name="Input 2 10 12 4 2" xfId="9349"/>
    <cellStyle name="Calculation 2 4 2 3 5" xfId="9350"/>
    <cellStyle name="Input 2 10 12 5" xfId="9351"/>
    <cellStyle name="Calculation 2 4 2 3 5 2" xfId="9352"/>
    <cellStyle name="Input 2 10 12 5 2" xfId="9353"/>
    <cellStyle name="Calculation 2 4 2 3 6" xfId="9354"/>
    <cellStyle name="Input 2 10 12 6" xfId="9355"/>
    <cellStyle name="Output 2 9 2 8 4 2" xfId="9356"/>
    <cellStyle name="Calculation 2 4 2 3 7" xfId="9357"/>
    <cellStyle name="Input 2 10 12 7" xfId="9358"/>
    <cellStyle name="Output 2 9 2 8 4 3" xfId="9359"/>
    <cellStyle name="Calculation 2 4 2 4" xfId="9360"/>
    <cellStyle name="Input 2 10 13" xfId="9361"/>
    <cellStyle name="Note 2 4 2 2 7" xfId="9362"/>
    <cellStyle name="Calculation 2 4 2 4 2" xfId="9363"/>
    <cellStyle name="Input 2 10 13 2" xfId="9364"/>
    <cellStyle name="Calculation 2 4 2 4 2 2" xfId="9365"/>
    <cellStyle name="Calculation 2 4 2 4 3" xfId="9366"/>
    <cellStyle name="Input 2 10 13 3" xfId="9367"/>
    <cellStyle name="Calculation 2 4 2 4 3 2" xfId="9368"/>
    <cellStyle name="Calculation 2 4 2 4 4" xfId="9369"/>
    <cellStyle name="Input 2 10 13 4" xfId="9370"/>
    <cellStyle name="Input 2 2 3 6 6 2 2" xfId="9371"/>
    <cellStyle name="Calculation 2 4 2 4 4 2" xfId="9372"/>
    <cellStyle name="Calculation 2 4 2 4 5" xfId="9373"/>
    <cellStyle name="Input 2 3 2 10" xfId="9374"/>
    <cellStyle name="Calculation 2 4 2 4 5 2" xfId="9375"/>
    <cellStyle name="Input 2 3 2 10 2" xfId="9376"/>
    <cellStyle name="Calculation 2 4 2 4 6" xfId="9377"/>
    <cellStyle name="Input 2 3 2 11" xfId="9378"/>
    <cellStyle name="Output 2 9 2 8 5 2" xfId="9379"/>
    <cellStyle name="Calculation 2 4 2 4 7" xfId="9380"/>
    <cellStyle name="Input 2 3 2 12" xfId="9381"/>
    <cellStyle name="Output 2 5 3 10 2" xfId="9382"/>
    <cellStyle name="Output 2 9 2 8 5 3" xfId="9383"/>
    <cellStyle name="Calculation 2 4 2 5" xfId="9384"/>
    <cellStyle name="Input 2 10 14" xfId="9385"/>
    <cellStyle name="Note 2 4 2 2 8" xfId="9386"/>
    <cellStyle name="Calculation 2 4 2 5 2" xfId="9387"/>
    <cellStyle name="Input 2 10 14 2" xfId="9388"/>
    <cellStyle name="Calculation 2 4 2 5 2 2" xfId="9389"/>
    <cellStyle name="Calculation 2 4 2 5 3" xfId="9390"/>
    <cellStyle name="Input 2 10 14 3" xfId="9391"/>
    <cellStyle name="Calculation 2 4 2 5 3 2" xfId="9392"/>
    <cellStyle name="Calculation 2 4 2 5 4" xfId="9393"/>
    <cellStyle name="Input 2 10 14 4" xfId="9394"/>
    <cellStyle name="Calculation 2 4 2 5 4 2" xfId="9395"/>
    <cellStyle name="Output 2 10 2 2 2 4" xfId="9396"/>
    <cellStyle name="Calculation 2 4 2 5 5" xfId="9397"/>
    <cellStyle name="Calculation 2 4 2 5 5 2" xfId="9398"/>
    <cellStyle name="Output 2 10 2 2 3 4" xfId="9399"/>
    <cellStyle name="Calculation 2 4 2 5 6" xfId="9400"/>
    <cellStyle name="Calculation 2 4 2 5 7" xfId="9401"/>
    <cellStyle name="Output 2 5 3 11 2" xfId="9402"/>
    <cellStyle name="Calculation 2 4 2 6" xfId="9403"/>
    <cellStyle name="Input 2 10 15" xfId="9404"/>
    <cellStyle name="Input 2 10 20" xfId="9405"/>
    <cellStyle name="Calculation 2 4 2 6 2" xfId="9406"/>
    <cellStyle name="Input 2 10 15 2" xfId="9407"/>
    <cellStyle name="Note 2 6 18" xfId="9408"/>
    <cellStyle name="Note 2 6 23" xfId="9409"/>
    <cellStyle name="Calculation 2 4 2 6 2 2" xfId="9410"/>
    <cellStyle name="Note 2 6 18 2" xfId="9411"/>
    <cellStyle name="Calculation 2 4 2 6 3" xfId="9412"/>
    <cellStyle name="Input 2 10 15 3" xfId="9413"/>
    <cellStyle name="Note 2 6 19" xfId="9414"/>
    <cellStyle name="Note 2 6 24" xfId="9415"/>
    <cellStyle name="Calculation 2 4 2 6 3 2" xfId="9416"/>
    <cellStyle name="Note 2 6 19 2" xfId="9417"/>
    <cellStyle name="Calculation 2 4 2 6 4" xfId="9418"/>
    <cellStyle name="Note 2 6 25" xfId="9419"/>
    <cellStyle name="Note 2 6 30" xfId="9420"/>
    <cellStyle name="Calculation 2 4 2 6 4 2" xfId="9421"/>
    <cellStyle name="Output 2 10 2 3 2 4" xfId="9422"/>
    <cellStyle name="Calculation 2 4 2 6 5" xfId="9423"/>
    <cellStyle name="Note 2 6 26" xfId="9424"/>
    <cellStyle name="Calculation 2 4 2 6 5 2" xfId="9425"/>
    <cellStyle name="Input 2 13 2 13" xfId="9426"/>
    <cellStyle name="Output 2 10 2 3 3 4" xfId="9427"/>
    <cellStyle name="Calculation 2 4 2 6 6" xfId="9428"/>
    <cellStyle name="Note 2 6 27" xfId="9429"/>
    <cellStyle name="Calculation 2 4 2 6 7" xfId="9430"/>
    <cellStyle name="Note 2 6 28" xfId="9431"/>
    <cellStyle name="Output 2 5 3 12 2" xfId="9432"/>
    <cellStyle name="Calculation 2 4 2 7" xfId="9433"/>
    <cellStyle name="Input 2 10 16" xfId="9434"/>
    <cellStyle name="Note 2 12 2 10" xfId="9435"/>
    <cellStyle name="Calculation 2 4 2 7 2" xfId="9436"/>
    <cellStyle name="Input 2 10 16 2" xfId="9437"/>
    <cellStyle name="Note 2 12 2 10 2" xfId="9438"/>
    <cellStyle name="Output 2 15 5 2 4" xfId="9439"/>
    <cellStyle name="Calculation 2 4 2 7 2 2" xfId="9440"/>
    <cellStyle name="Total 2 8 9 7" xfId="9441"/>
    <cellStyle name="Note 2 12 2 10 2 2" xfId="9442"/>
    <cellStyle name="Calculation 2 4 2 7 3" xfId="9443"/>
    <cellStyle name="Input 2 10 16 3" xfId="9444"/>
    <cellStyle name="Normal 2 2 8 2 2" xfId="9445"/>
    <cellStyle name="Note 2 12 2 10 3" xfId="9446"/>
    <cellStyle name="Calculation 2 4 2 7 3 2" xfId="9447"/>
    <cellStyle name="Note 2 12 2 10 3 2" xfId="9448"/>
    <cellStyle name="Calculation 2 4 2 7 4" xfId="9449"/>
    <cellStyle name="Note 2 12 2 10 4" xfId="9450"/>
    <cellStyle name="Calculation 2 4 2 7 4 2" xfId="9451"/>
    <cellStyle name="Note 2 12 2 10 4 2" xfId="9452"/>
    <cellStyle name="Output 2 10 2 4 2 4" xfId="9453"/>
    <cellStyle name="Calculation 2 4 2 7 5" xfId="9454"/>
    <cellStyle name="Note 2 12 2 10 5" xfId="9455"/>
    <cellStyle name="Calculation 2 4 2 7 5 2" xfId="9456"/>
    <cellStyle name="Note 2 12 2 10 5 2" xfId="9457"/>
    <cellStyle name="Output 2 10 2 4 3 4" xfId="9458"/>
    <cellStyle name="Calculation 2 4 2 7 6" xfId="9459"/>
    <cellStyle name="Note 2 12 2 10 6" xfId="9460"/>
    <cellStyle name="Calculation 2 4 2 7 7" xfId="9461"/>
    <cellStyle name="Note 2 12 2 10 7" xfId="9462"/>
    <cellStyle name="Output 2 5 3 13 2" xfId="9463"/>
    <cellStyle name="Calculation 2 4 2 8" xfId="9464"/>
    <cellStyle name="Input 2 10 17" xfId="9465"/>
    <cellStyle name="Note 2 12 2 11" xfId="9466"/>
    <cellStyle name="Output 2 9 5 2" xfId="9467"/>
    <cellStyle name="Calculation 2 4 2 8 2" xfId="9468"/>
    <cellStyle name="Input 2 10 17 2" xfId="9469"/>
    <cellStyle name="Total 2 2 3 4 2 4" xfId="9470"/>
    <cellStyle name="Note 2 12 2 11 2" xfId="9471"/>
    <cellStyle name="Output 2 15 5 3 4" xfId="9472"/>
    <cellStyle name="Output 2 9 5 2 2" xfId="9473"/>
    <cellStyle name="Calculation 2 4 2 8 2 2" xfId="9474"/>
    <cellStyle name="Input 2 10 17 2 2" xfId="9475"/>
    <cellStyle name="Calculation 2 4 2 8 3" xfId="9476"/>
    <cellStyle name="Note 2 12 2 11 3" xfId="9477"/>
    <cellStyle name="Output 2 9 5 2 3" xfId="9478"/>
    <cellStyle name="Calculation 2 4 2 8 3 2" xfId="9479"/>
    <cellStyle name="Calculation 2 4 2 8 4" xfId="9480"/>
    <cellStyle name="Note 2 12 2 11 4" xfId="9481"/>
    <cellStyle name="Output 2 9 5 2 4" xfId="9482"/>
    <cellStyle name="Calculation 2 4 2 8 4 2" xfId="9483"/>
    <cellStyle name="Output 2 10 2 5 2 4" xfId="9484"/>
    <cellStyle name="Calculation 2 4 2 8 5" xfId="9485"/>
    <cellStyle name="Calculation 2 4 2 8 5 2" xfId="9486"/>
    <cellStyle name="Output 2 10 2 5 3 4" xfId="9487"/>
    <cellStyle name="Calculation 2 4 2 8 6" xfId="9488"/>
    <cellStyle name="Calculation 2 4 2 8 7" xfId="9489"/>
    <cellStyle name="Output 2 5 3 14 2" xfId="9490"/>
    <cellStyle name="Calculation 2 4 2 9 2" xfId="9491"/>
    <cellStyle name="Total 2 2 3 4 3 4" xfId="9492"/>
    <cellStyle name="Note 2 12 2 12 2" xfId="9493"/>
    <cellStyle name="Calculation 2 7 10 2 3" xfId="9494"/>
    <cellStyle name="Output 2 9 5 3 2" xfId="9495"/>
    <cellStyle name="Calculation 2 4 2 9 2 2" xfId="9496"/>
    <cellStyle name="Input 2 13 10 2 3" xfId="9497"/>
    <cellStyle name="Calculation 2 4 2 9 2 3" xfId="9498"/>
    <cellStyle name="Input 2 13 10 2 4" xfId="9499"/>
    <cellStyle name="Calculation 2 4 2 9 2 4" xfId="9500"/>
    <cellStyle name="Calculation 2 4 2 9 3" xfId="9501"/>
    <cellStyle name="Note 2 12 2 12 3" xfId="9502"/>
    <cellStyle name="Calculation 2 7 10 2 4" xfId="9503"/>
    <cellStyle name="Output 2 9 5 3 3" xfId="9504"/>
    <cellStyle name="Calculation 2 4 2 9 3 2" xfId="9505"/>
    <cellStyle name="Input 2 13 10 3 3" xfId="9506"/>
    <cellStyle name="Calculation 2 4 2 9 3 3" xfId="9507"/>
    <cellStyle name="Input 2 13 10 3 4" xfId="9508"/>
    <cellStyle name="Calculation 2 4 2 9 3 4" xfId="9509"/>
    <cellStyle name="Calculation 2 4 2 9 4" xfId="9510"/>
    <cellStyle name="Note 2 12 2 12 4" xfId="9511"/>
    <cellStyle name="Output 2 9 5 3 4" xfId="9512"/>
    <cellStyle name="Calculation 2 4 2 9 4 2" xfId="9513"/>
    <cellStyle name="Input 2 13 10 4 3" xfId="9514"/>
    <cellStyle name="Output 2 10 2 6 2 4" xfId="9515"/>
    <cellStyle name="Calculation 2 4 2 9 4 3" xfId="9516"/>
    <cellStyle name="Calculation 2 4 2 9 5" xfId="9517"/>
    <cellStyle name="Input 2 3 3 10" xfId="9518"/>
    <cellStyle name="Calculation 2 4 2 9 5 2" xfId="9519"/>
    <cellStyle name="Input 2 13 10 5 3" xfId="9520"/>
    <cellStyle name="Input 2 3 3 10 2" xfId="9521"/>
    <cellStyle name="Output 2 10 2 6 3 4" xfId="9522"/>
    <cellStyle name="Calculation 2 4 2 9 5 3" xfId="9523"/>
    <cellStyle name="Input 2 3 3 10 3" xfId="9524"/>
    <cellStyle name="Calculation 2 4 2 9 6" xfId="9525"/>
    <cellStyle name="Input 2 3 3 11" xfId="9526"/>
    <cellStyle name="Calculation 2 4 2 9 7" xfId="9527"/>
    <cellStyle name="Input 2 3 3 12" xfId="9528"/>
    <cellStyle name="Calculation 2 4 27" xfId="9529"/>
    <cellStyle name="Note 2 7 2 8 2 3" xfId="9530"/>
    <cellStyle name="Calculation 2 4 3" xfId="9531"/>
    <cellStyle name="Calculation 2 4 3 10" xfId="9532"/>
    <cellStyle name="Input 2 10 9 5" xfId="9533"/>
    <cellStyle name="Calculation 2 4 3 10 2" xfId="9534"/>
    <cellStyle name="Input 2 10 9 5 2" xfId="9535"/>
    <cellStyle name="Calculation 2 4 3 10 2 2" xfId="9536"/>
    <cellStyle name="Input 2 4 5 3 3" xfId="9537"/>
    <cellStyle name="Note 2 12 3 6 2 3" xfId="9538"/>
    <cellStyle name="Calculation 2 4 3 10 2 3" xfId="9539"/>
    <cellStyle name="Input 2 4 5 3 4" xfId="9540"/>
    <cellStyle name="Note 2 12 3 6 2 4" xfId="9541"/>
    <cellStyle name="Calculation 2 4 3 10 2 4" xfId="9542"/>
    <cellStyle name="Calculation 2 4 3 10 3" xfId="9543"/>
    <cellStyle name="Input 2 10 9 5 3" xfId="9544"/>
    <cellStyle name="Calculation 2 4 3 10 3 2" xfId="9545"/>
    <cellStyle name="Input 2 4 5 4 3" xfId="9546"/>
    <cellStyle name="Note 2 12 3 6 3 3" xfId="9547"/>
    <cellStyle name="Calculation 2 4 3 10 3 3" xfId="9548"/>
    <cellStyle name="Note 2 12 3 6 3 4" xfId="9549"/>
    <cellStyle name="Calculation 2 4 3 10 3 4" xfId="9550"/>
    <cellStyle name="Calculation 2 4 3 10 4" xfId="9551"/>
    <cellStyle name="Calculation 2 4 3 10 4 2" xfId="9552"/>
    <cellStyle name="Input 2 4 5 5 3" xfId="9553"/>
    <cellStyle name="Note 2 12 3 6 4 3" xfId="9554"/>
    <cellStyle name="Calculation 2 4 3 10 4 3" xfId="9555"/>
    <cellStyle name="Calculation 2 4 3 10 5" xfId="9556"/>
    <cellStyle name="Calculation 2 4 3 10 5 2" xfId="9557"/>
    <cellStyle name="Note 2 12 3 6 5 3" xfId="9558"/>
    <cellStyle name="Calculation 2 4 3 10 5 3" xfId="9559"/>
    <cellStyle name="Calculation 2 4 3 10 6" xfId="9560"/>
    <cellStyle name="Calculation 2 4 3 10 7" xfId="9561"/>
    <cellStyle name="Calculation 2 4 3 11" xfId="9562"/>
    <cellStyle name="Input 2 10 9 6" xfId="9563"/>
    <cellStyle name="Input 2 3 7 2" xfId="9564"/>
    <cellStyle name="Calculation 2 4 3 11 2" xfId="9565"/>
    <cellStyle name="Input 2 3 7 2 2" xfId="9566"/>
    <cellStyle name="Calculation 2 4 3 11 3" xfId="9567"/>
    <cellStyle name="Input 2 3 7 2 3" xfId="9568"/>
    <cellStyle name="Calculation 2 4 3 11 4" xfId="9569"/>
    <cellStyle name="Input 2 3 7 2 4" xfId="9570"/>
    <cellStyle name="Calculation 2 4 3 12" xfId="9571"/>
    <cellStyle name="Input 2 10 9 7" xfId="9572"/>
    <cellStyle name="Input 2 3 7 3" xfId="9573"/>
    <cellStyle name="Note 2 12 2 8 2" xfId="9574"/>
    <cellStyle name="Output 2 9 8 5 2" xfId="9575"/>
    <cellStyle name="Calculation 2 4 3 12 2" xfId="9576"/>
    <cellStyle name="Input 2 12 2 8 2 4" xfId="9577"/>
    <cellStyle name="Input 2 3 7 3 2" xfId="9578"/>
    <cellStyle name="Note 2 12 2 8 2 2" xfId="9579"/>
    <cellStyle name="Calculation 2 4 3 12 3" xfId="9580"/>
    <cellStyle name="Input 2 3 7 3 3" xfId="9581"/>
    <cellStyle name="Note 2 12 2 8 2 3" xfId="9582"/>
    <cellStyle name="Calculation 2 4 3 12 4" xfId="9583"/>
    <cellStyle name="Input 2 3 7 3 4" xfId="9584"/>
    <cellStyle name="Note 2 12 2 8 2 4" xfId="9585"/>
    <cellStyle name="Calculation 2 4 3 13" xfId="9586"/>
    <cellStyle name="Input 2 3 7 4" xfId="9587"/>
    <cellStyle name="Note 2 12 2 8 3" xfId="9588"/>
    <cellStyle name="Output 2 9 8 5 3" xfId="9589"/>
    <cellStyle name="Calculation 2 4 3 13 2" xfId="9590"/>
    <cellStyle name="Input 2 12 2 10 6" xfId="9591"/>
    <cellStyle name="Input 2 12 2 8 3 4" xfId="9592"/>
    <cellStyle name="Input 2 3 7 4 2" xfId="9593"/>
    <cellStyle name="Note 2 12 2 8 3 2" xfId="9594"/>
    <cellStyle name="Calculation 2 4 3 13 3" xfId="9595"/>
    <cellStyle name="Input 2 12 2 10 7" xfId="9596"/>
    <cellStyle name="Input 2 3 7 4 3" xfId="9597"/>
    <cellStyle name="Note 2 12 2 8 3 3" xfId="9598"/>
    <cellStyle name="Calculation 2 4 3 14" xfId="9599"/>
    <cellStyle name="Input 2 3 7 5" xfId="9600"/>
    <cellStyle name="Note 2 12 2 8 4" xfId="9601"/>
    <cellStyle name="Calculation 2 4 3 14 2" xfId="9602"/>
    <cellStyle name="Input 2 3 7 5 2" xfId="9603"/>
    <cellStyle name="Note 2 12 2 8 4 2" xfId="9604"/>
    <cellStyle name="Calculation 2 4 3 14 3" xfId="9605"/>
    <cellStyle name="Input 2 3 7 5 3" xfId="9606"/>
    <cellStyle name="Note 2 12 2 8 4 3" xfId="9607"/>
    <cellStyle name="Calculation 2 4 3 15" xfId="9608"/>
    <cellStyle name="Input 2 3 7 6" xfId="9609"/>
    <cellStyle name="Note 2 12 2 8 5" xfId="9610"/>
    <cellStyle name="Calculation 2 4 3 16" xfId="9611"/>
    <cellStyle name="Calculation 2 6 2 3 5 2" xfId="9612"/>
    <cellStyle name="Input 2 3 7 7" xfId="9613"/>
    <cellStyle name="Note 2 12 2 8 6" xfId="9614"/>
    <cellStyle name="Calculation 2 4 3 2" xfId="9615"/>
    <cellStyle name="Input 2 8 3 8 2 3" xfId="9616"/>
    <cellStyle name="Note 2 14 5 5 3" xfId="9617"/>
    <cellStyle name="Note 2 4 2 3 5" xfId="9618"/>
    <cellStyle name="Calculation 2 4 3 2 2" xfId="9619"/>
    <cellStyle name="Note 2 4 2 3 5 2" xfId="9620"/>
    <cellStyle name="Calculation 2 4 3 2 2 2" xfId="9621"/>
    <cellStyle name="Calculation 2 4 3 2 2 3" xfId="9622"/>
    <cellStyle name="Calculation 2 4 3 2 2 4" xfId="9623"/>
    <cellStyle name="Total 2 3 2 10" xfId="9624"/>
    <cellStyle name="Note 2 4 6 2" xfId="9625"/>
    <cellStyle name="Output 2 5 15 2" xfId="9626"/>
    <cellStyle name="Calculation 2 4 3 2 3" xfId="9627"/>
    <cellStyle name="Note 2 4 2 3 5 3" xfId="9628"/>
    <cellStyle name="Calculation 2 4 3 2 3 2" xfId="9629"/>
    <cellStyle name="Calculation 2 4 3 2 3 3" xfId="9630"/>
    <cellStyle name="Calculation 2 4 3 2 3 4" xfId="9631"/>
    <cellStyle name="Note 2 9 2 6 2 2" xfId="9632"/>
    <cellStyle name="Note 2 4 7 2" xfId="9633"/>
    <cellStyle name="Output 2 5 16 2" xfId="9634"/>
    <cellStyle name="Calculation 2 4 3 2 4" xfId="9635"/>
    <cellStyle name="Calculation 2 4 3 2 4 2" xfId="9636"/>
    <cellStyle name="Calculation 2 4 3 2 4 3" xfId="9637"/>
    <cellStyle name="Calculation 2 4 3 2 5" xfId="9638"/>
    <cellStyle name="Calculation 2 4 3 2 5 2" xfId="9639"/>
    <cellStyle name="Calculation 2 4 3 2 5 3" xfId="9640"/>
    <cellStyle name="Calculation 2 4 3 2 6" xfId="9641"/>
    <cellStyle name="Output 2 9 2 9 3 2" xfId="9642"/>
    <cellStyle name="Calculation 2 4 3 2 7" xfId="9643"/>
    <cellStyle name="Output 2 9 2 9 3 3" xfId="9644"/>
    <cellStyle name="Calculation 2 4 3 3" xfId="9645"/>
    <cellStyle name="Input 2 8 3 8 2 4" xfId="9646"/>
    <cellStyle name="Note 2 4 2 3 6" xfId="9647"/>
    <cellStyle name="Calculation 2 4 3 3 2" xfId="9648"/>
    <cellStyle name="Calculation 2 4 3 3 2 2" xfId="9649"/>
    <cellStyle name="Calculation 2 4 3 3 2 3" xfId="9650"/>
    <cellStyle name="Calculation 2 4 3 3 2 4" xfId="9651"/>
    <cellStyle name="Note 2 5 6 2" xfId="9652"/>
    <cellStyle name="Calculation 2 4 3 3 3" xfId="9653"/>
    <cellStyle name="Calculation 2 4 3 3 3 2" xfId="9654"/>
    <cellStyle name="Calculation 2 4 3 3 3 3" xfId="9655"/>
    <cellStyle name="Calculation 2 4 3 3 3 4" xfId="9656"/>
    <cellStyle name="Note 2 5 7 2" xfId="9657"/>
    <cellStyle name="Note 2 8 3 10 2" xfId="9658"/>
    <cellStyle name="Note 2 9 2 7 2 2" xfId="9659"/>
    <cellStyle name="Calculation 2 4 3 3 4" xfId="9660"/>
    <cellStyle name="Calculation 2 4 3 3 4 2" xfId="9661"/>
    <cellStyle name="Title 2 5" xfId="9662"/>
    <cellStyle name="Calculation 2 4 3 3 4 3" xfId="9663"/>
    <cellStyle name="Title 2 6" xfId="9664"/>
    <cellStyle name="Calculation 2 4 3 3 5" xfId="9665"/>
    <cellStyle name="Calculation 2 4 3 3 5 2" xfId="9666"/>
    <cellStyle name="Calculation 2 4 3 3 5 3" xfId="9667"/>
    <cellStyle name="Calculation 2 4 3 3 6" xfId="9668"/>
    <cellStyle name="Output 2 9 2 9 4 2" xfId="9669"/>
    <cellStyle name="Calculation 2 4 3 3 7" xfId="9670"/>
    <cellStyle name="Output 2 9 2 9 4 3" xfId="9671"/>
    <cellStyle name="Calculation 2 4 3 4" xfId="9672"/>
    <cellStyle name="Note 2 4 2 3 7" xfId="9673"/>
    <cellStyle name="Calculation 2 4 3 4 2" xfId="9674"/>
    <cellStyle name="Calculation 2 4 3 4 2 2" xfId="9675"/>
    <cellStyle name="Calculation 2 4 3 4 2 3" xfId="9676"/>
    <cellStyle name="Calculation 2 4 3 4 2 4" xfId="9677"/>
    <cellStyle name="Note 2 6 6 2" xfId="9678"/>
    <cellStyle name="Calculation 2 4 3 4 3" xfId="9679"/>
    <cellStyle name="Calculation 2 4 3 4 3 2" xfId="9680"/>
    <cellStyle name="Calculation 2 4 3 4 3 3" xfId="9681"/>
    <cellStyle name="Calculation 2 4 3 4 3 4" xfId="9682"/>
    <cellStyle name="Note 2 6 7 2" xfId="9683"/>
    <cellStyle name="Note 2 9 2 8 2 2" xfId="9684"/>
    <cellStyle name="Calculation 2 4 3 4 4" xfId="9685"/>
    <cellStyle name="Calculation 2 4 3 4 4 2" xfId="9686"/>
    <cellStyle name="Calculation 2 4 3 4 4 3" xfId="9687"/>
    <cellStyle name="Calculation 2 4 3 4 5" xfId="9688"/>
    <cellStyle name="Calculation 2 4 3 4 5 2" xfId="9689"/>
    <cellStyle name="Calculation 2 4 3 4 5 3" xfId="9690"/>
    <cellStyle name="Calculation 2 4 3 4 6" xfId="9691"/>
    <cellStyle name="Output 2 9 2 9 5 2" xfId="9692"/>
    <cellStyle name="Calculation 2 4 3 4 7" xfId="9693"/>
    <cellStyle name="Output 2 9 2 9 5 3" xfId="9694"/>
    <cellStyle name="Calculation 2 4 3 5" xfId="9695"/>
    <cellStyle name="Note 2 4 2 3 8" xfId="9696"/>
    <cellStyle name="Calculation 2 4 3 5 2" xfId="9697"/>
    <cellStyle name="Calculation 2 4 3 5 2 2" xfId="9698"/>
    <cellStyle name="Total 2 10 2 8" xfId="9699"/>
    <cellStyle name="Calculation 2 4 3 5 2 3" xfId="9700"/>
    <cellStyle name="Total 2 10 2 9" xfId="9701"/>
    <cellStyle name="Calculation 2 4 3 5 2 4" xfId="9702"/>
    <cellStyle name="Note 2 7 6 2" xfId="9703"/>
    <cellStyle name="Calculation 2 4 3 5 3" xfId="9704"/>
    <cellStyle name="Calculation 2 4 3 5 3 2" xfId="9705"/>
    <cellStyle name="Total 2 10 3 8" xfId="9706"/>
    <cellStyle name="Calculation 2 4 3 5 3 3" xfId="9707"/>
    <cellStyle name="Total 2 10 3 9" xfId="9708"/>
    <cellStyle name="Calculation 2 4 3 5 3 4" xfId="9709"/>
    <cellStyle name="Note 2 7 7 2" xfId="9710"/>
    <cellStyle name="Note 2 9 2 9 2 2" xfId="9711"/>
    <cellStyle name="Calculation 2 4 3 5 4" xfId="9712"/>
    <cellStyle name="Calculation 2 4 3 5 4 2" xfId="9713"/>
    <cellStyle name="Output 2 10 3 2 2 4" xfId="9714"/>
    <cellStyle name="Calculation 2 4 3 5 4 3" xfId="9715"/>
    <cellStyle name="Calculation 2 4 3 5 5" xfId="9716"/>
    <cellStyle name="Calculation 2 4 3 5 5 2" xfId="9717"/>
    <cellStyle name="Output 2 10 3 2 3 4" xfId="9718"/>
    <cellStyle name="Calculation 2 4 3 5 5 3" xfId="9719"/>
    <cellStyle name="Calculation 2 4 3 5 6" xfId="9720"/>
    <cellStyle name="Calculation 2 4 3 5 7" xfId="9721"/>
    <cellStyle name="Input 2 2 4 2 2 2 2 2 2" xfId="9722"/>
    <cellStyle name="Calculation 2 4 3 6" xfId="9723"/>
    <cellStyle name="Calculation 2 4 3 6 2" xfId="9724"/>
    <cellStyle name="Calculation 2 4 3 6 2 2" xfId="9725"/>
    <cellStyle name="Total 2 11 2 8" xfId="9726"/>
    <cellStyle name="Calculation 2 4 3 6 2 3" xfId="9727"/>
    <cellStyle name="Output 2 14 2 10" xfId="9728"/>
    <cellStyle name="Total 2 11 2 9" xfId="9729"/>
    <cellStyle name="Calculation 2 4 3 6 2 4" xfId="9730"/>
    <cellStyle name="Note 2 8 6 2" xfId="9731"/>
    <cellStyle name="Output 2 14 2 11" xfId="9732"/>
    <cellStyle name="Calculation 2 4 3 6 3" xfId="9733"/>
    <cellStyle name="Calculation 2 4 3 6 3 2" xfId="9734"/>
    <cellStyle name="Calculation 2 4 3 6 3 3" xfId="9735"/>
    <cellStyle name="Calculation 2 4 3 6 3 4" xfId="9736"/>
    <cellStyle name="Note 2 8 7 2" xfId="9737"/>
    <cellStyle name="Calculation 2 4 3 6 4" xfId="9738"/>
    <cellStyle name="Calculation 2 4 3 6 4 2" xfId="9739"/>
    <cellStyle name="Output 2 10 3 3 2 4" xfId="9740"/>
    <cellStyle name="Calculation 2 4 3 6 4 3" xfId="9741"/>
    <cellStyle name="Calculation 2 4 3 6 5" xfId="9742"/>
    <cellStyle name="Calculation 2 4 3 6 5 2" xfId="9743"/>
    <cellStyle name="Output 2 10 3 3 3 4" xfId="9744"/>
    <cellStyle name="Calculation 2 4 3 6 5 3" xfId="9745"/>
    <cellStyle name="Calculation 2 4 3 6 6" xfId="9746"/>
    <cellStyle name="Calculation 2 4 3 6 7" xfId="9747"/>
    <cellStyle name="Calculation 2 4 3 7" xfId="9748"/>
    <cellStyle name="Calculation 2 4 3 7 2" xfId="9749"/>
    <cellStyle name="Output 2 15 6 2 4" xfId="9750"/>
    <cellStyle name="Calculation 2 4 3 7 2 2" xfId="9751"/>
    <cellStyle name="Calculation 2 4 3 7 2 3" xfId="9752"/>
    <cellStyle name="Calculation 2 4 3 7 2 4" xfId="9753"/>
    <cellStyle name="Total 2 4 2 10" xfId="9754"/>
    <cellStyle name="Note 2 9 6 2" xfId="9755"/>
    <cellStyle name="Output 2 6 15 2" xfId="9756"/>
    <cellStyle name="Calculation 2 4 3 7 3" xfId="9757"/>
    <cellStyle name="Normal 2 2 9 2 2" xfId="9758"/>
    <cellStyle name="Calculation 2 4 3 7 3 2" xfId="9759"/>
    <cellStyle name="Calculation 2 4 3 7 3 3" xfId="9760"/>
    <cellStyle name="Calculation 2 4 3 7 3 4" xfId="9761"/>
    <cellStyle name="Note 2 9 7 2" xfId="9762"/>
    <cellStyle name="Output 2 6 16 2" xfId="9763"/>
    <cellStyle name="Calculation 2 4 3 7 4" xfId="9764"/>
    <cellStyle name="Calculation 2 4 3 7 4 2" xfId="9765"/>
    <cellStyle name="Output 2 10 3 4 2 4" xfId="9766"/>
    <cellStyle name="Calculation 2 4 3 7 4 3" xfId="9767"/>
    <cellStyle name="Calculation 2 4 3 7 5" xfId="9768"/>
    <cellStyle name="Calculation 2 4 3 7 5 2" xfId="9769"/>
    <cellStyle name="Output 2 10 3 4 3 4" xfId="9770"/>
    <cellStyle name="Calculation 2 4 3 7 5 3" xfId="9771"/>
    <cellStyle name="Calculation 2 4 3 7 6" xfId="9772"/>
    <cellStyle name="Calculation 2 4 3 7 7" xfId="9773"/>
    <cellStyle name="Calculation 2 4 3 8" xfId="9774"/>
    <cellStyle name="Output 2 9 6 2" xfId="9775"/>
    <cellStyle name="Calculation 2 4 3 8 2" xfId="9776"/>
    <cellStyle name="Output 2 15 6 3 4" xfId="9777"/>
    <cellStyle name="Output 2 9 6 2 2" xfId="9778"/>
    <cellStyle name="Calculation 2 4 3 8 2 2" xfId="9779"/>
    <cellStyle name="Calculation 2 4 3 8 2 3" xfId="9780"/>
    <cellStyle name="Calculation 2 4 3 8 2 4" xfId="9781"/>
    <cellStyle name="Calculation 2 4 3 8 3" xfId="9782"/>
    <cellStyle name="Output 2 9 6 2 3" xfId="9783"/>
    <cellStyle name="Calculation 2 4 3 8 3 2" xfId="9784"/>
    <cellStyle name="Calculation 2 4 3 8 3 3" xfId="9785"/>
    <cellStyle name="Calculation 2 4 3 8 3 4" xfId="9786"/>
    <cellStyle name="Calculation 2 4 3 8 4" xfId="9787"/>
    <cellStyle name="Output 2 9 6 2 4" xfId="9788"/>
    <cellStyle name="Calculation 2 4 3 8 4 2" xfId="9789"/>
    <cellStyle name="Output 2 10 3 5 2 4" xfId="9790"/>
    <cellStyle name="Calculation 2 4 3 8 4 3" xfId="9791"/>
    <cellStyle name="Calculation 2 4 3 8 5" xfId="9792"/>
    <cellStyle name="Calculation 2 4 3 8 5 2" xfId="9793"/>
    <cellStyle name="Output 2 10 3 5 3 4" xfId="9794"/>
    <cellStyle name="Calculation 2 4 3 8 5 3" xfId="9795"/>
    <cellStyle name="Calculation 2 4 3 8 6" xfId="9796"/>
    <cellStyle name="Calculation 2 4 3 9 2" xfId="9797"/>
    <cellStyle name="Calculation 2 7 11 2 3" xfId="9798"/>
    <cellStyle name="Output 2 9 6 3 2" xfId="9799"/>
    <cellStyle name="Calculation 2 4 3 9 2 2" xfId="9800"/>
    <cellStyle name="Normal 5 7" xfId="9801"/>
    <cellStyle name="Calculation 2 4 3 9 2 3" xfId="9802"/>
    <cellStyle name="Calculation 2 4 3 9 2 4" xfId="9803"/>
    <cellStyle name="Calculation 2 4 3 9 3" xfId="9804"/>
    <cellStyle name="Calculation 2 7 11 2 4" xfId="9805"/>
    <cellStyle name="Output 2 9 6 3 3" xfId="9806"/>
    <cellStyle name="Calculation 2 4 3 9 3 2" xfId="9807"/>
    <cellStyle name="Normal 6 7" xfId="9808"/>
    <cellStyle name="Calculation 2 4 3 9 3 3" xfId="9809"/>
    <cellStyle name="Calculation 2 4 3 9 3 4" xfId="9810"/>
    <cellStyle name="Calculation 2 4 3 9 4" xfId="9811"/>
    <cellStyle name="Output 2 9 6 3 4" xfId="9812"/>
    <cellStyle name="Calculation 2 4 3 9 4 2" xfId="9813"/>
    <cellStyle name="Output 2 10 3 6 2 4" xfId="9814"/>
    <cellStyle name="Calculation 2 4 3 9 4 3" xfId="9815"/>
    <cellStyle name="Calculation 2 4 3 9 5" xfId="9816"/>
    <cellStyle name="Calculation 2 4 3 9 5 2" xfId="9817"/>
    <cellStyle name="Output 2 10 3 6 3 4" xfId="9818"/>
    <cellStyle name="Calculation 2 4 3 9 5 3" xfId="9819"/>
    <cellStyle name="Calculation 2 4 3 9 6" xfId="9820"/>
    <cellStyle name="Calculation 2 4 4" xfId="9821"/>
    <cellStyle name="Calculation 2 4 4 2" xfId="9822"/>
    <cellStyle name="Input 2 8 3 8 3 3" xfId="9823"/>
    <cellStyle name="Note 2 4 2 4 5" xfId="9824"/>
    <cellStyle name="Calculation 2 4 4 2 2" xfId="9825"/>
    <cellStyle name="Input 2 7 3 2 3 4" xfId="9826"/>
    <cellStyle name="Note 2 4 2 4 5 2" xfId="9827"/>
    <cellStyle name="Calculation 2 4 4 2 3" xfId="9828"/>
    <cellStyle name="Note 2 4 2 4 5 3" xfId="9829"/>
    <cellStyle name="Calculation 2 4 4 2 4" xfId="9830"/>
    <cellStyle name="Calculation 2 4 4 3" xfId="9831"/>
    <cellStyle name="Input 2 8 3 8 3 4" xfId="9832"/>
    <cellStyle name="Note 2 4 2 4 6" xfId="9833"/>
    <cellStyle name="Calculation 2 4 4 3 2" xfId="9834"/>
    <cellStyle name="Calculation 2 4 4 3 3" xfId="9835"/>
    <cellStyle name="Calculation 2 4 4 3 4" xfId="9836"/>
    <cellStyle name="Calculation 2 4 4 4" xfId="9837"/>
    <cellStyle name="Note 2 4 2 4 7" xfId="9838"/>
    <cellStyle name="Calculation 2 4 4 4 2" xfId="9839"/>
    <cellStyle name="Calculation 2 4 4 4 3" xfId="9840"/>
    <cellStyle name="Calculation 2 4 4 5" xfId="9841"/>
    <cellStyle name="Note 2 4 2 4 8" xfId="9842"/>
    <cellStyle name="Calculation 2 4 4 5 2" xfId="9843"/>
    <cellStyle name="Calculation 2 4 4 5 3" xfId="9844"/>
    <cellStyle name="Calculation 2 4 4 6" xfId="9845"/>
    <cellStyle name="Calculation 2 4 4 7" xfId="9846"/>
    <cellStyle name="Calculation 2 4 4 8" xfId="9847"/>
    <cellStyle name="Output 2 9 7 2" xfId="9848"/>
    <cellStyle name="Calculation 2 4 5" xfId="9849"/>
    <cellStyle name="Output 2 4 3 6 4 2" xfId="9850"/>
    <cellStyle name="Calculation 2 4 5 2" xfId="9851"/>
    <cellStyle name="Input 2 8 3 8 4 3" xfId="9852"/>
    <cellStyle name="Note 2 4 2 5 5" xfId="9853"/>
    <cellStyle name="Calculation 2 4 5 2 2" xfId="9854"/>
    <cellStyle name="Input 2 7 3 3 3 4" xfId="9855"/>
    <cellStyle name="Note 2 4 2 5 5 2" xfId="9856"/>
    <cellStyle name="Output 2 9 12 7" xfId="9857"/>
    <cellStyle name="Calculation 2 4 5 2 3" xfId="9858"/>
    <cellStyle name="Note 2 4 2 5 5 3" xfId="9859"/>
    <cellStyle name="Calculation 2 4 5 2 4" xfId="9860"/>
    <cellStyle name="Calculation 2 4 5 3" xfId="9861"/>
    <cellStyle name="Note 2 2 2 3 2 2 2 2 2" xfId="9862"/>
    <cellStyle name="Note 2 4 2 5 6" xfId="9863"/>
    <cellStyle name="Calculation 2 4 5 3 2" xfId="9864"/>
    <cellStyle name="Note 2 2 2 3 2 2 2 2 2 2" xfId="9865"/>
    <cellStyle name="Calculation 2 4 5 3 3" xfId="9866"/>
    <cellStyle name="Note 2 2 2 3 2 2 2 2 2 3" xfId="9867"/>
    <cellStyle name="Calculation 2 4 5 3 4" xfId="9868"/>
    <cellStyle name="Calculation 2 4 5 4" xfId="9869"/>
    <cellStyle name="Note 2 2 2 3 2 2 2 2 3" xfId="9870"/>
    <cellStyle name="Note 2 4 2 5 7" xfId="9871"/>
    <cellStyle name="Calculation 2 4 5 4 2" xfId="9872"/>
    <cellStyle name="Input 2 10 2 7" xfId="9873"/>
    <cellStyle name="Calculation 2 4 5 4 3" xfId="9874"/>
    <cellStyle name="Input 2 10 2 8" xfId="9875"/>
    <cellStyle name="Calculation 2 4 5 5" xfId="9876"/>
    <cellStyle name="Note 2 12 2 2" xfId="9877"/>
    <cellStyle name="Note 2 4 2 5 8" xfId="9878"/>
    <cellStyle name="Input 2 10 3 7" xfId="9879"/>
    <cellStyle name="Calculation 2 4 5 5 2" xfId="9880"/>
    <cellStyle name="Note 2 12 2 2 2" xfId="9881"/>
    <cellStyle name="Input 2 10 3 8" xfId="9882"/>
    <cellStyle name="Calculation 2 4 5 5 3" xfId="9883"/>
    <cellStyle name="Note 2 12 2 2 3" xfId="9884"/>
    <cellStyle name="Calculation 2 4 5 6" xfId="9885"/>
    <cellStyle name="Note 2 12 2 3" xfId="9886"/>
    <cellStyle name="Calculation 2 4 5 7" xfId="9887"/>
    <cellStyle name="Note 2 12 2 4" xfId="9888"/>
    <cellStyle name="Calculation 2 4 5 8" xfId="9889"/>
    <cellStyle name="Note 2 12 2 5" xfId="9890"/>
    <cellStyle name="Output 2 9 8 2" xfId="9891"/>
    <cellStyle name="Calculation 2 4 6" xfId="9892"/>
    <cellStyle name="Output 2 4 3 6 4 3" xfId="9893"/>
    <cellStyle name="Input 2 8 3 8 5 3" xfId="9894"/>
    <cellStyle name="Calculation 2 4 6 2" xfId="9895"/>
    <cellStyle name="Note 2 4 2 29" xfId="9896"/>
    <cellStyle name="Note 2 4 2 6 5" xfId="9897"/>
    <cellStyle name="Calculation 2 4 6 2 3" xfId="9898"/>
    <cellStyle name="Note 2 4 2 6 5 3" xfId="9899"/>
    <cellStyle name="Calculation 2 4 6 2 4" xfId="9900"/>
    <cellStyle name="Input 2 11 3 10 3 2" xfId="9901"/>
    <cellStyle name="Calculation 2 4 6 3" xfId="9902"/>
    <cellStyle name="Note 2 4 2 6 6" xfId="9903"/>
    <cellStyle name="Calculation 2 4 6 3 2" xfId="9904"/>
    <cellStyle name="Calculation 2 4 6 3 3" xfId="9905"/>
    <cellStyle name="Calculation 2 4 6 3 4" xfId="9906"/>
    <cellStyle name="Input 2 11 3 10 4 2" xfId="9907"/>
    <cellStyle name="Calculation 2 4 6 4" xfId="9908"/>
    <cellStyle name="Note 2 4 2 6 7" xfId="9909"/>
    <cellStyle name="Calculation 2 4 6 4 2" xfId="9910"/>
    <cellStyle name="Input 2 11 2 7" xfId="9911"/>
    <cellStyle name="Calculation 2 4 6 4 3" xfId="9912"/>
    <cellStyle name="Input 2 11 2 8" xfId="9913"/>
    <cellStyle name="Calculation 2 4 6 5" xfId="9914"/>
    <cellStyle name="Note 2 12 3 2" xfId="9915"/>
    <cellStyle name="Note 2 4 2 6 8" xfId="9916"/>
    <cellStyle name="Input 2 11 3 7" xfId="9917"/>
    <cellStyle name="Calculation 2 4 6 5 2" xfId="9918"/>
    <cellStyle name="Note 2 12 3 2 2" xfId="9919"/>
    <cellStyle name="Note 2 4 3 16" xfId="9920"/>
    <cellStyle name="Input 2 11 3 8" xfId="9921"/>
    <cellStyle name="Calculation 2 4 6 5 3" xfId="9922"/>
    <cellStyle name="Note 2 12 3 2 3" xfId="9923"/>
    <cellStyle name="Note 2 4 3 17" xfId="9924"/>
    <cellStyle name="Calculation 2 4 6 6" xfId="9925"/>
    <cellStyle name="Note 2 12 3 3" xfId="9926"/>
    <cellStyle name="Input 2 2 3 2 5 2 2" xfId="9927"/>
    <cellStyle name="Calculation 2 4 6 7" xfId="9928"/>
    <cellStyle name="Note 2 12 3 4" xfId="9929"/>
    <cellStyle name="Calculation 2 4 6 8" xfId="9930"/>
    <cellStyle name="Note 2 12 3 5" xfId="9931"/>
    <cellStyle name="Output 2 9 9 2" xfId="9932"/>
    <cellStyle name="Calculation 2 4 7" xfId="9933"/>
    <cellStyle name="Calculation 2 4 7 2" xfId="9934"/>
    <cellStyle name="Input 2 11 11" xfId="9935"/>
    <cellStyle name="Note 2 4 2 7 5" xfId="9936"/>
    <cellStyle name="Calculation 2 4 7 2 2" xfId="9937"/>
    <cellStyle name="Input 2 11 11 2" xfId="9938"/>
    <cellStyle name="Input 2 7 3 5 3 4" xfId="9939"/>
    <cellStyle name="Note 2 4 2 7 5 2" xfId="9940"/>
    <cellStyle name="Calculation 2 4 7 2 3" xfId="9941"/>
    <cellStyle name="Input 2 11 11 3" xfId="9942"/>
    <cellStyle name="Note 2 4 2 7 5 3" xfId="9943"/>
    <cellStyle name="Calculation 2 4 7 2 4" xfId="9944"/>
    <cellStyle name="Input 2 11 11 4" xfId="9945"/>
    <cellStyle name="Calculation 2 4 7 3" xfId="9946"/>
    <cellStyle name="Input 2 11 12" xfId="9947"/>
    <cellStyle name="Note 2 4 2 7 6" xfId="9948"/>
    <cellStyle name="Calculation 2 4 7 3 2" xfId="9949"/>
    <cellStyle name="Input 2 11 12 2" xfId="9950"/>
    <cellStyle name="Calculation 2 4 7 3 3" xfId="9951"/>
    <cellStyle name="Input 2 11 12 3" xfId="9952"/>
    <cellStyle name="Calculation 2 4 7 3 4" xfId="9953"/>
    <cellStyle name="Input 2 11 12 4" xfId="9954"/>
    <cellStyle name="Calculation 2 4 7 4" xfId="9955"/>
    <cellStyle name="Input 2 11 13" xfId="9956"/>
    <cellStyle name="Note 2 4 2 7 7" xfId="9957"/>
    <cellStyle name="Calculation 2 4 7 4 2" xfId="9958"/>
    <cellStyle name="Input 2 11 13 2" xfId="9959"/>
    <cellStyle name="Input 2 12 2 7" xfId="9960"/>
    <cellStyle name="Calculation 2 4 7 4 3" xfId="9961"/>
    <cellStyle name="Input 2 11 13 3" xfId="9962"/>
    <cellStyle name="Input 2 12 2 8" xfId="9963"/>
    <cellStyle name="Calculation 2 4 7 5" xfId="9964"/>
    <cellStyle name="Input 2 11 14" xfId="9965"/>
    <cellStyle name="Note 2 12 4 2" xfId="9966"/>
    <cellStyle name="Note 2 4 2 7 8" xfId="9967"/>
    <cellStyle name="Input 2 12 3 7" xfId="9968"/>
    <cellStyle name="Calculation 2 4 7 5 2" xfId="9969"/>
    <cellStyle name="Input 2 11 14 2" xfId="9970"/>
    <cellStyle name="Note 2 12 4 2 2" xfId="9971"/>
    <cellStyle name="Input 2 12 3 8" xfId="9972"/>
    <cellStyle name="Calculation 2 4 7 5 3" xfId="9973"/>
    <cellStyle name="Input 2 11 14 3" xfId="9974"/>
    <cellStyle name="Note 2 12 4 2 3" xfId="9975"/>
    <cellStyle name="Note 2 11 3 10 2 2" xfId="9976"/>
    <cellStyle name="Calculation 2 4 7 6" xfId="9977"/>
    <cellStyle name="Input 2 11 15" xfId="9978"/>
    <cellStyle name="Input 2 11 20" xfId="9979"/>
    <cellStyle name="Note 2 12 4 3" xfId="9980"/>
    <cellStyle name="Note 2 11 3 10 2 3" xfId="9981"/>
    <cellStyle name="Note 2 12 3 10" xfId="9982"/>
    <cellStyle name="Calculation 2 4 7 7" xfId="9983"/>
    <cellStyle name="Input 2 11 16" xfId="9984"/>
    <cellStyle name="Note 2 12 4 4" xfId="9985"/>
    <cellStyle name="Note 2 11 3 10 2 4" xfId="9986"/>
    <cellStyle name="Note 2 12 3 11" xfId="9987"/>
    <cellStyle name="Calculation 2 4 7 8" xfId="9988"/>
    <cellStyle name="Input 2 11 17" xfId="9989"/>
    <cellStyle name="Note 2 12 4 5" xfId="9990"/>
    <cellStyle name="Calculation 2 4 8" xfId="9991"/>
    <cellStyle name="Calculation 2 4 8 2" xfId="9992"/>
    <cellStyle name="Note 2 4 2 8 5" xfId="9993"/>
    <cellStyle name="Calculation 2 4 8 2 2" xfId="9994"/>
    <cellStyle name="Input 2 7 3 6 3 4" xfId="9995"/>
    <cellStyle name="Note 2 4 2 8 5 2" xfId="9996"/>
    <cellStyle name="Calculation 2 4 8 2 3" xfId="9997"/>
    <cellStyle name="Note 2 4 2 8 5 3" xfId="9998"/>
    <cellStyle name="Calculation 2 4 8 2 4" xfId="9999"/>
    <cellStyle name="Calculation 2 4 8 3" xfId="10000"/>
    <cellStyle name="Note 2 4 2 8 6" xfId="10001"/>
    <cellStyle name="Calculation 2 4 8 3 2" xfId="10002"/>
    <cellStyle name="Calculation 2 4 8 3 3" xfId="10003"/>
    <cellStyle name="Calculation 2 4 8 3 4" xfId="10004"/>
    <cellStyle name="Calculation 2 4 8 4" xfId="10005"/>
    <cellStyle name="Note 2 4 2 8 7" xfId="10006"/>
    <cellStyle name="Calculation 2 4 8 4 2" xfId="10007"/>
    <cellStyle name="Input 2 13 2 7" xfId="10008"/>
    <cellStyle name="Calculation 2 4 8 4 3" xfId="10009"/>
    <cellStyle name="Input 2 13 2 8" xfId="10010"/>
    <cellStyle name="Calculation 2 4 8 5" xfId="10011"/>
    <cellStyle name="Note 2 12 5 2" xfId="10012"/>
    <cellStyle name="Note 2 4 2 8 8" xfId="10013"/>
    <cellStyle name="Input 2 13 3 7" xfId="10014"/>
    <cellStyle name="Calculation 2 4 8 5 2" xfId="10015"/>
    <cellStyle name="Note 2 12 5 2 2" xfId="10016"/>
    <cellStyle name="Input 2 13 3 8" xfId="10017"/>
    <cellStyle name="Calculation 2 4 8 5 3" xfId="10018"/>
    <cellStyle name="Note 2 12 5 2 3" xfId="10019"/>
    <cellStyle name="Note 2 11 3 10 3 2" xfId="10020"/>
    <cellStyle name="Calculation 2 4 8 6" xfId="10021"/>
    <cellStyle name="Note 2 12 5 3" xfId="10022"/>
    <cellStyle name="Note 2 11 3 10 3 3" xfId="10023"/>
    <cellStyle name="Calculation 2 4 8 7" xfId="10024"/>
    <cellStyle name="Note 2 12 5 4" xfId="10025"/>
    <cellStyle name="Note 2 11 3 10 3 4" xfId="10026"/>
    <cellStyle name="Calculation 2 4 8 8" xfId="10027"/>
    <cellStyle name="Note 2 12 5 5" xfId="10028"/>
    <cellStyle name="Calculation 2 4 9" xfId="10029"/>
    <cellStyle name="Note 2 4 2 9 5" xfId="10030"/>
    <cellStyle name="Calculation 2 4 9 2" xfId="10031"/>
    <cellStyle name="Output 2 2 2 4 2 2 2 3" xfId="10032"/>
    <cellStyle name="Calculation 2 4 9 2 2" xfId="10033"/>
    <cellStyle name="Input 2 7 3 7 3 4" xfId="10034"/>
    <cellStyle name="Note 2 4 2 9 5 2" xfId="10035"/>
    <cellStyle name="Calculation 2 4 9 2 3" xfId="10036"/>
    <cellStyle name="Note 2 4 2 9 5 3" xfId="10037"/>
    <cellStyle name="Calculation 2 4 9 2 4" xfId="10038"/>
    <cellStyle name="Calculation 2 4 9 3" xfId="10039"/>
    <cellStyle name="Note 2 4 2 9 6" xfId="10040"/>
    <cellStyle name="Output 2 11 4 2 2" xfId="10041"/>
    <cellStyle name="Calculation 2 4 9 3 2" xfId="10042"/>
    <cellStyle name="Calculation 2 4 9 3 3" xfId="10043"/>
    <cellStyle name="Calculation 2 4 9 3 4" xfId="10044"/>
    <cellStyle name="Calculation 2 4 9 4" xfId="10045"/>
    <cellStyle name="Note 2 4 2 9 7" xfId="10046"/>
    <cellStyle name="Output 2 11 4 2 3" xfId="10047"/>
    <cellStyle name="Calculation 2 4 9 4 2" xfId="10048"/>
    <cellStyle name="Input 2 14 2 7" xfId="10049"/>
    <cellStyle name="Calculation 2 4 9 4 3" xfId="10050"/>
    <cellStyle name="Input 2 14 2 8" xfId="10051"/>
    <cellStyle name="Calculation 2 4 9 5" xfId="10052"/>
    <cellStyle name="Note 2 12 6 2" xfId="10053"/>
    <cellStyle name="Note 2 4 2 9 8" xfId="10054"/>
    <cellStyle name="Output 2 11 4 2 4" xfId="10055"/>
    <cellStyle name="Input 2 14 3 7" xfId="10056"/>
    <cellStyle name="Calculation 2 4 9 5 2" xfId="10057"/>
    <cellStyle name="Note 2 12 6 2 2" xfId="10058"/>
    <cellStyle name="Input 2 14 3 8" xfId="10059"/>
    <cellStyle name="Calculation 2 4 9 5 3" xfId="10060"/>
    <cellStyle name="Note 2 12 6 2 3" xfId="10061"/>
    <cellStyle name="Note 2 11 3 10 4 2" xfId="10062"/>
    <cellStyle name="Calculation 2 4 9 6" xfId="10063"/>
    <cellStyle name="Note 2 12 6 3" xfId="10064"/>
    <cellStyle name="Note 2 11 3 10 4 3" xfId="10065"/>
    <cellStyle name="Calculation 2 4 9 7" xfId="10066"/>
    <cellStyle name="Note 2 12 6 4" xfId="10067"/>
    <cellStyle name="Calculation 2 4 9 8" xfId="10068"/>
    <cellStyle name="Note 2 12 6 5" xfId="10069"/>
    <cellStyle name="Calculation 2 5" xfId="10070"/>
    <cellStyle name="Calculation 2 5 10 2" xfId="10071"/>
    <cellStyle name="Calculation 2 5 10 2 2" xfId="10072"/>
    <cellStyle name="Calculation 2 5 10 2 3" xfId="10073"/>
    <cellStyle name="Note 2 10 2 12 2" xfId="10074"/>
    <cellStyle name="Calculation 2 5 10 2 4" xfId="10075"/>
    <cellStyle name="Note 2 10 2 12 3" xfId="10076"/>
    <cellStyle name="Calculation 2 5 10 3" xfId="10077"/>
    <cellStyle name="Calculation 2 5 10 3 2" xfId="10078"/>
    <cellStyle name="Calculation 2 5 10 3 3" xfId="10079"/>
    <cellStyle name="Note 2 10 2 13 2" xfId="10080"/>
    <cellStyle name="Calculation 2 5 10 3 4" xfId="10081"/>
    <cellStyle name="Note 2 10 2 13 3" xfId="10082"/>
    <cellStyle name="Calculation 2 5 10 4" xfId="10083"/>
    <cellStyle name="Calculation 2 5 10 4 2" xfId="10084"/>
    <cellStyle name="Calculation 2 5 10 4 3" xfId="10085"/>
    <cellStyle name="Note 2 10 2 14 2" xfId="10086"/>
    <cellStyle name="Calculation 2 5 10 5 3" xfId="10087"/>
    <cellStyle name="Calculation 2 5 11 2" xfId="10088"/>
    <cellStyle name="Calculation 2 5 11 2 2" xfId="10089"/>
    <cellStyle name="Calculation 2 5 11 2 3" xfId="10090"/>
    <cellStyle name="Calculation 2 5 11 2 4" xfId="10091"/>
    <cellStyle name="Calculation 2 5 11 3" xfId="10092"/>
    <cellStyle name="Calculation 2 5 11 3 2" xfId="10093"/>
    <cellStyle name="Calculation 2 5 11 3 3" xfId="10094"/>
    <cellStyle name="Calculation 2 6 10 2" xfId="10095"/>
    <cellStyle name="Calculation 2 5 11 3 4" xfId="10096"/>
    <cellStyle name="Calculation 2 6 10 3" xfId="10097"/>
    <cellStyle name="Calculation 2 5 11 4" xfId="10098"/>
    <cellStyle name="Calculation 2 5 11 4 2" xfId="10099"/>
    <cellStyle name="Calculation 2 5 11 4 3" xfId="10100"/>
    <cellStyle name="Calculation 2 6 11 2" xfId="10101"/>
    <cellStyle name="Calculation 2 5 11 5 3" xfId="10102"/>
    <cellStyle name="Calculation 2 6 12 2" xfId="10103"/>
    <cellStyle name="Calculation 2 5 2 4 5 2" xfId="10104"/>
    <cellStyle name="Calculation 2 5 11 7" xfId="10105"/>
    <cellStyle name="Input 2 8 2 10 2" xfId="10106"/>
    <cellStyle name="Calculation 2 5 12 2" xfId="10107"/>
    <cellStyle name="Calculation 2 5 12 2 2" xfId="10108"/>
    <cellStyle name="Calculation 2 5 12 2 3" xfId="10109"/>
    <cellStyle name="Calculation 2 5 12 2 4" xfId="10110"/>
    <cellStyle name="Calculation 2 5 12 3" xfId="10111"/>
    <cellStyle name="Calculation 2 5 12 3 2" xfId="10112"/>
    <cellStyle name="Calculation 2 5 12 3 3" xfId="10113"/>
    <cellStyle name="Calculation 2 5 12 3 4" xfId="10114"/>
    <cellStyle name="Calculation 2 5 12 4" xfId="10115"/>
    <cellStyle name="Calculation 2 5 12 4 2" xfId="10116"/>
    <cellStyle name="Calculation 2 5 12 4 3" xfId="10117"/>
    <cellStyle name="Calculation 2 5 12 5 3" xfId="10118"/>
    <cellStyle name="Output 2 9 2 10 2 4" xfId="10119"/>
    <cellStyle name="Calculation 2 5 12 7" xfId="10120"/>
    <cellStyle name="Input 2 8 2 11 2" xfId="10121"/>
    <cellStyle name="Note 2 10 5 2 4" xfId="10122"/>
    <cellStyle name="Calculation 2 5 12 8" xfId="10123"/>
    <cellStyle name="Input 2 8 2 11 3" xfId="10124"/>
    <cellStyle name="Calculation 2 5 13" xfId="10125"/>
    <cellStyle name="Note 2 6 2 4 3 3" xfId="10126"/>
    <cellStyle name="Calculation 2 5 13 2" xfId="10127"/>
    <cellStyle name="Calculation 2 5 13 3" xfId="10128"/>
    <cellStyle name="Calculation 2 5 13 4" xfId="10129"/>
    <cellStyle name="Calculation 2 5 14" xfId="10130"/>
    <cellStyle name="Note 2 6 2 4 3 4" xfId="10131"/>
    <cellStyle name="Calculation 2 5 14 2" xfId="10132"/>
    <cellStyle name="Input 2 15 8 2 3" xfId="10133"/>
    <cellStyle name="Calculation 2 5 14 3" xfId="10134"/>
    <cellStyle name="Input 2 15 8 2 4" xfId="10135"/>
    <cellStyle name="Calculation 2 5 14 4" xfId="10136"/>
    <cellStyle name="Calculation 2 5 14 5" xfId="10137"/>
    <cellStyle name="Note 2 10 5 4 2" xfId="10138"/>
    <cellStyle name="Calculation 2 5 15" xfId="10139"/>
    <cellStyle name="Calculation 2 5 20" xfId="10140"/>
    <cellStyle name="Calculation 2 5 15 2" xfId="10141"/>
    <cellStyle name="Input 2 15 8 3 3" xfId="10142"/>
    <cellStyle name="Calculation 2 5 15 3" xfId="10143"/>
    <cellStyle name="Input 2 15 8 3 4" xfId="10144"/>
    <cellStyle name="Calculation 2 5 15 4" xfId="10145"/>
    <cellStyle name="Calculation 2 5 16" xfId="10146"/>
    <cellStyle name="Calculation 2 5 21" xfId="10147"/>
    <cellStyle name="Calculation 2 5 16 2" xfId="10148"/>
    <cellStyle name="Input 2 15 8 4 3" xfId="10149"/>
    <cellStyle name="Calculation 2 5 16 3" xfId="10150"/>
    <cellStyle name="Calculation 2 5 16 4" xfId="10151"/>
    <cellStyle name="Calculation 2 5 17" xfId="10152"/>
    <cellStyle name="Calculation 2 5 22" xfId="10153"/>
    <cellStyle name="Calculation 2 5 17 2" xfId="10154"/>
    <cellStyle name="Input 2 15 8 5 3" xfId="10155"/>
    <cellStyle name="Calculation 2 5 18" xfId="10156"/>
    <cellStyle name="Calculation 2 5 23" xfId="10157"/>
    <cellStyle name="Calculation 2 9 2 9" xfId="10158"/>
    <cellStyle name="Input 2 8 6 2 3" xfId="10159"/>
    <cellStyle name="Calculation 2 5 18 2" xfId="10160"/>
    <cellStyle name="Note 2 13 2 12" xfId="10161"/>
    <cellStyle name="Calculation 2 5 19" xfId="10162"/>
    <cellStyle name="Calculation 2 5 24" xfId="10163"/>
    <cellStyle name="Calculation 2 5 19 2" xfId="10164"/>
    <cellStyle name="Calculation 2 9 3 9" xfId="10165"/>
    <cellStyle name="Input 2 8 6 3 3" xfId="10166"/>
    <cellStyle name="Calculation 2 5 2" xfId="10167"/>
    <cellStyle name="Calculation 2 5 2 10" xfId="10168"/>
    <cellStyle name="Input 2 15 4 5" xfId="10169"/>
    <cellStyle name="Calculation 2 5 2 10 2" xfId="10170"/>
    <cellStyle name="Input 2 15 4 5 2" xfId="10171"/>
    <cellStyle name="Calculation 2 5 2 10 2 2" xfId="10172"/>
    <cellStyle name="Output 2 16 4 3 4" xfId="10173"/>
    <cellStyle name="Calculation 2 5 2 10 2 3" xfId="10174"/>
    <cellStyle name="Normal 4 3 2" xfId="10175"/>
    <cellStyle name="Calculation 2 5 2 10 2 4" xfId="10176"/>
    <cellStyle name="Normal 4 3 3" xfId="10177"/>
    <cellStyle name="Calculation 2 5 2 10 3" xfId="10178"/>
    <cellStyle name="Input 2 15 4 5 3" xfId="10179"/>
    <cellStyle name="Calculation 2 5 2 10 3 2" xfId="10180"/>
    <cellStyle name="Calculation 2 5 2 10 3 3" xfId="10181"/>
    <cellStyle name="Calculation 2 5 2 10 3 4" xfId="10182"/>
    <cellStyle name="Calculation 2 5 2 10 4" xfId="10183"/>
    <cellStyle name="Output 2 13 7 5 2" xfId="10184"/>
    <cellStyle name="Calculation 2 5 2 10 4 2" xfId="10185"/>
    <cellStyle name="Calculation 2 5 2 10 4 3" xfId="10186"/>
    <cellStyle name="Calculation 2 5 2 10 5" xfId="10187"/>
    <cellStyle name="Output 2 13 7 5 3" xfId="10188"/>
    <cellStyle name="Calculation 2 5 2 10 5 2" xfId="10189"/>
    <cellStyle name="Calculation 2 5 2 10 5 3" xfId="10190"/>
    <cellStyle name="Calculation 2 5 2 10 6" xfId="10191"/>
    <cellStyle name="Output 2 7 7 4 2" xfId="10192"/>
    <cellStyle name="Calculation 2 5 2 10 7" xfId="10193"/>
    <cellStyle name="Output 2 7 7 4 3" xfId="10194"/>
    <cellStyle name="Calculation 2 5 2 11" xfId="10195"/>
    <cellStyle name="Input 2 15 4 6" xfId="10196"/>
    <cellStyle name="Input 2 8 2 2" xfId="10197"/>
    <cellStyle name="Calculation 2 5 2 11 2" xfId="10198"/>
    <cellStyle name="Calculation 2 5 2 8" xfId="10199"/>
    <cellStyle name="Input 2 15 17" xfId="10200"/>
    <cellStyle name="Input 2 8 2 2 2" xfId="10201"/>
    <cellStyle name="Calculation 2 5 2 11 3" xfId="10202"/>
    <cellStyle name="Calculation 2 5 2 9" xfId="10203"/>
    <cellStyle name="Input 2 8 2 2 3" xfId="10204"/>
    <cellStyle name="Calculation 2 5 2 11 4" xfId="10205"/>
    <cellStyle name="Input 2 8 2 2 4" xfId="10206"/>
    <cellStyle name="Calculation 2 5 2 12" xfId="10207"/>
    <cellStyle name="Input 2 15 4 7" xfId="10208"/>
    <cellStyle name="Input 2 8 2 3" xfId="10209"/>
    <cellStyle name="Note 2 12 7 3 2" xfId="10210"/>
    <cellStyle name="Calculation 2 5 2 12 2" xfId="10211"/>
    <cellStyle name="Calculation 2 5 3 8" xfId="10212"/>
    <cellStyle name="Input 2 8 2 3 2" xfId="10213"/>
    <cellStyle name="Calculation 2 5 2 12 3" xfId="10214"/>
    <cellStyle name="Calculation 2 5 3 9" xfId="10215"/>
    <cellStyle name="Input 2 8 2 3 3" xfId="10216"/>
    <cellStyle name="Calculation 2 5 2 12 4" xfId="10217"/>
    <cellStyle name="Input 2 8 2 3 4" xfId="10218"/>
    <cellStyle name="Calculation 2 5 2 13" xfId="10219"/>
    <cellStyle name="Input 2 8 2 4" xfId="10220"/>
    <cellStyle name="Note 2 12 7 3 3" xfId="10221"/>
    <cellStyle name="Calculation 2 5 2 13 2" xfId="10222"/>
    <cellStyle name="Input 2 11 3 16" xfId="10223"/>
    <cellStyle name="Calculation 2 5 4 8" xfId="10224"/>
    <cellStyle name="Input 2 8 2 4 2" xfId="10225"/>
    <cellStyle name="Calculation 2 5 2 13 3" xfId="10226"/>
    <cellStyle name="Input 2 8 2 4 3" xfId="10227"/>
    <cellStyle name="Calculation 2 5 2 14" xfId="10228"/>
    <cellStyle name="Input 2 8 2 5" xfId="10229"/>
    <cellStyle name="Note 2 12 7 3 4" xfId="10230"/>
    <cellStyle name="Calculation 2 5 2 14 2" xfId="10231"/>
    <cellStyle name="Calculation 2 5 5 8" xfId="10232"/>
    <cellStyle name="Input 2 8 2 5 2" xfId="10233"/>
    <cellStyle name="Note 2 13 2 5" xfId="10234"/>
    <cellStyle name="Calculation 2 5 2 14 3" xfId="10235"/>
    <cellStyle name="Input 2 8 2 5 3" xfId="10236"/>
    <cellStyle name="Note 2 13 2 6" xfId="10237"/>
    <cellStyle name="Calculation 2 5 2 15" xfId="10238"/>
    <cellStyle name="Input 2 8 2 6" xfId="10239"/>
    <cellStyle name="Calculation 2 5 2 16" xfId="10240"/>
    <cellStyle name="Input 2 8 2 7" xfId="10241"/>
    <cellStyle name="Output 2 8 3 12 2" xfId="10242"/>
    <cellStyle name="Calculation 2 5 2 17" xfId="10243"/>
    <cellStyle name="Input 2 8 2 8" xfId="10244"/>
    <cellStyle name="Output 2 8 3 12 3" xfId="10245"/>
    <cellStyle name="Calculation 2 5 2 2" xfId="10246"/>
    <cellStyle name="Input 2 15 11" xfId="10247"/>
    <cellStyle name="Note 2 4 3 2 5" xfId="10248"/>
    <cellStyle name="Note 2 14 6 4 3" xfId="10249"/>
    <cellStyle name="Output 2 3 2 8 6" xfId="10250"/>
    <cellStyle name="Calculation 2 5 2 2 2" xfId="10251"/>
    <cellStyle name="Input 2 15 11 2" xfId="10252"/>
    <cellStyle name="Note 2 4 3 2 5 2" xfId="10253"/>
    <cellStyle name="Total 2 11 11 6" xfId="10254"/>
    <cellStyle name="Calculation 2 5 2 2 3" xfId="10255"/>
    <cellStyle name="Input 2 15 11 3" xfId="10256"/>
    <cellStyle name="Note 2 4 3 2 5 3" xfId="10257"/>
    <cellStyle name="Total 2 11 11 7" xfId="10258"/>
    <cellStyle name="Calculation 2 5 2 2 4" xfId="10259"/>
    <cellStyle name="Input 2 15 11 4" xfId="10260"/>
    <cellStyle name="Calculation 2 5 2 2 5" xfId="10261"/>
    <cellStyle name="Calculation 2 6 2 13 2" xfId="10262"/>
    <cellStyle name="Calculation 2 5 2 2 5 2" xfId="10263"/>
    <cellStyle name="Calculation 2 5 2 2 6" xfId="10264"/>
    <cellStyle name="Calculation 2 6 2 13 3" xfId="10265"/>
    <cellStyle name="Output 2 11 14 2" xfId="10266"/>
    <cellStyle name="Output 2 9 3 8 3 2" xfId="10267"/>
    <cellStyle name="Calculation 2 5 2 2 7" xfId="10268"/>
    <cellStyle name="Output 2 11 14 3" xfId="10269"/>
    <cellStyle name="Output 2 9 3 8 3 3" xfId="10270"/>
    <cellStyle name="Calculation 2 5 2 3" xfId="10271"/>
    <cellStyle name="Input 2 15 12" xfId="10272"/>
    <cellStyle name="Note 2 4 3 2 6" xfId="10273"/>
    <cellStyle name="Output 2 3 2 8 7" xfId="10274"/>
    <cellStyle name="Calculation 2 5 2 3 2" xfId="10275"/>
    <cellStyle name="Input 2 15 12 2" xfId="10276"/>
    <cellStyle name="Output 2 3 2 14" xfId="10277"/>
    <cellStyle name="Total 2 11 12 6" xfId="10278"/>
    <cellStyle name="Calculation 2 5 2 3 3" xfId="10279"/>
    <cellStyle name="Input 2 15 12 3" xfId="10280"/>
    <cellStyle name="Output 2 3 2 15" xfId="10281"/>
    <cellStyle name="Total 2 11 12 7" xfId="10282"/>
    <cellStyle name="Calculation 2 5 2 3 4" xfId="10283"/>
    <cellStyle name="Input 2 15 12 4" xfId="10284"/>
    <cellStyle name="Output 2 3 2 16" xfId="10285"/>
    <cellStyle name="Calculation 2 5 2 3 5" xfId="10286"/>
    <cellStyle name="Calculation 2 6 2 14 2" xfId="10287"/>
    <cellStyle name="Output 2 3 2 17" xfId="10288"/>
    <cellStyle name="Calculation 2 5 2 3 5 2" xfId="10289"/>
    <cellStyle name="Calculation 2 5 2 3 6" xfId="10290"/>
    <cellStyle name="Calculation 2 6 2 14 3" xfId="10291"/>
    <cellStyle name="Output 2 11 15 2" xfId="10292"/>
    <cellStyle name="Output 2 9 3 8 4 2" xfId="10293"/>
    <cellStyle name="Calculation 2 5 2 3 7" xfId="10294"/>
    <cellStyle name="Output 2 11 15 3" xfId="10295"/>
    <cellStyle name="Output 2 9 3 8 4 3" xfId="10296"/>
    <cellStyle name="Calculation 2 5 2 4" xfId="10297"/>
    <cellStyle name="Input 2 15 13" xfId="10298"/>
    <cellStyle name="Note 2 4 3 2 7" xfId="10299"/>
    <cellStyle name="Calculation 2 5 2 4 2" xfId="10300"/>
    <cellStyle name="Input 2 15 13 2" xfId="10301"/>
    <cellStyle name="Calculation 2 5 2 4 2 2" xfId="10302"/>
    <cellStyle name="Calculation 2 5 2 4 3" xfId="10303"/>
    <cellStyle name="Input 2 15 13 3" xfId="10304"/>
    <cellStyle name="Calculation 2 5 2 4 4" xfId="10305"/>
    <cellStyle name="Input 2 2 3 7 6 2 2" xfId="10306"/>
    <cellStyle name="Calculation 2 5 2 4 5" xfId="10307"/>
    <cellStyle name="Input 2 8 2 10" xfId="10308"/>
    <cellStyle name="Calculation 2 5 2 4 6" xfId="10309"/>
    <cellStyle name="Output 2 11 16 2" xfId="10310"/>
    <cellStyle name="Input 2 8 2 11" xfId="10311"/>
    <cellStyle name="Output 2 9 3 8 5 2" xfId="10312"/>
    <cellStyle name="Calculation 2 5 2 4 7" xfId="10313"/>
    <cellStyle name="Output 2 11 16 3" xfId="10314"/>
    <cellStyle name="Input 2 8 2 12" xfId="10315"/>
    <cellStyle name="Output 2 9 3 8 5 3" xfId="10316"/>
    <cellStyle name="Calculation 2 5 2 5" xfId="10317"/>
    <cellStyle name="Input 2 15 14" xfId="10318"/>
    <cellStyle name="Calculation 2 5 2 5 2" xfId="10319"/>
    <cellStyle name="Input 2 15 14 2" xfId="10320"/>
    <cellStyle name="Calculation 2 5 2 5 2 2" xfId="10321"/>
    <cellStyle name="Calculation 2 5 2 5 3" xfId="10322"/>
    <cellStyle name="Input 2 15 14 3" xfId="10323"/>
    <cellStyle name="Calculation 2 5 2 5 4" xfId="10324"/>
    <cellStyle name="Calculation 2 5 2 5 5" xfId="10325"/>
    <cellStyle name="Calculation 2 5 2 5 5 2" xfId="10326"/>
    <cellStyle name="Output 2 11 2 2 3 4" xfId="10327"/>
    <cellStyle name="Calculation 2 5 2 5 6" xfId="10328"/>
    <cellStyle name="Calculation 2 5 2 5 7" xfId="10329"/>
    <cellStyle name="Calculation 2 5 2 6" xfId="10330"/>
    <cellStyle name="Input 2 15 15" xfId="10331"/>
    <cellStyle name="Calculation 2 5 2 6 2" xfId="10332"/>
    <cellStyle name="Input 2 5 10" xfId="10333"/>
    <cellStyle name="Calculation 2 5 2 6 2 2" xfId="10334"/>
    <cellStyle name="Input 2 5 10 2" xfId="10335"/>
    <cellStyle name="Calculation 2 5 2 6 3" xfId="10336"/>
    <cellStyle name="Input 2 5 11" xfId="10337"/>
    <cellStyle name="Calculation 2 5 2 6 3 2" xfId="10338"/>
    <cellStyle name="Input 2 5 11 2" xfId="10339"/>
    <cellStyle name="Calculation 2 5 2 6 4" xfId="10340"/>
    <cellStyle name="Input 2 5 12" xfId="10341"/>
    <cellStyle name="Calculation 2 5 2 6 4 2" xfId="10342"/>
    <cellStyle name="Input 2 5 12 2" xfId="10343"/>
    <cellStyle name="Output 2 11 2 3 2 4" xfId="10344"/>
    <cellStyle name="Calculation 2 5 2 6 5" xfId="10345"/>
    <cellStyle name="Input 2 5 13" xfId="10346"/>
    <cellStyle name="Calculation 2 5 2 6 5 2" xfId="10347"/>
    <cellStyle name="Input 2 5 13 2" xfId="10348"/>
    <cellStyle name="Output 2 11 2 3 3 4" xfId="10349"/>
    <cellStyle name="Calculation 2 5 2 6 6" xfId="10350"/>
    <cellStyle name="Input 2 5 14" xfId="10351"/>
    <cellStyle name="Calculation 2 5 2 6 7" xfId="10352"/>
    <cellStyle name="Input 2 5 15" xfId="10353"/>
    <cellStyle name="Input 2 5 20" xfId="10354"/>
    <cellStyle name="Calculation 2 5 2 7" xfId="10355"/>
    <cellStyle name="Input 2 15 16" xfId="10356"/>
    <cellStyle name="Calculation 2 5 2 7 2" xfId="10357"/>
    <cellStyle name="Output 2 16 5 2 4" xfId="10358"/>
    <cellStyle name="Calculation 2 5 2 7 2 2" xfId="10359"/>
    <cellStyle name="Calculation 2 5 2 7 3" xfId="10360"/>
    <cellStyle name="Normal 2 3 8 2 2" xfId="10361"/>
    <cellStyle name="Normal 5 2 2" xfId="10362"/>
    <cellStyle name="Calculation 2 5 2 7 3 2" xfId="10363"/>
    <cellStyle name="Normal 5 2 2 2" xfId="10364"/>
    <cellStyle name="Calculation 2 5 2 7 4" xfId="10365"/>
    <cellStyle name="Normal 5 2 3" xfId="10366"/>
    <cellStyle name="Calculation 2 5 2 7 4 2" xfId="10367"/>
    <cellStyle name="Total 2 13 16" xfId="10368"/>
    <cellStyle name="Output 2 11 2 4 2 4" xfId="10369"/>
    <cellStyle name="Calculation 2 5 2 7 5" xfId="10370"/>
    <cellStyle name="Normal 5 2 4" xfId="10371"/>
    <cellStyle name="Calculation 2 5 2 7 5 2" xfId="10372"/>
    <cellStyle name="Output 2 11 2 4 3 4" xfId="10373"/>
    <cellStyle name="Calculation 2 5 2 7 6" xfId="10374"/>
    <cellStyle name="Normal 5 2 5" xfId="10375"/>
    <cellStyle name="Calculation 2 5 2 7 7" xfId="10376"/>
    <cellStyle name="Normal 5 2 6" xfId="10377"/>
    <cellStyle name="Calculation 2 5 2 8 2" xfId="10378"/>
    <cellStyle name="Input 2 8 2 2 2 2" xfId="10379"/>
    <cellStyle name="Output 2 16 5 3 4" xfId="10380"/>
    <cellStyle name="Output 2 3 3 14" xfId="10381"/>
    <cellStyle name="Calculation 2 5 2 8 2 2" xfId="10382"/>
    <cellStyle name="Output 2 3 3 14 2" xfId="10383"/>
    <cellStyle name="Calculation 2 5 2 8 3" xfId="10384"/>
    <cellStyle name="Input 2 8 2 2 2 3" xfId="10385"/>
    <cellStyle name="Normal 5 3 2" xfId="10386"/>
    <cellStyle name="Total 2 14 2 4 2" xfId="10387"/>
    <cellStyle name="Output 2 3 3 15" xfId="10388"/>
    <cellStyle name="Calculation 2 5 2 8 3 2" xfId="10389"/>
    <cellStyle name="Normal 5 3 2 2" xfId="10390"/>
    <cellStyle name="Calculation 2 5 2 8 4" xfId="10391"/>
    <cellStyle name="Input 2 8 2 2 2 4" xfId="10392"/>
    <cellStyle name="Normal 5 3 3" xfId="10393"/>
    <cellStyle name="Total 2 14 2 4 3" xfId="10394"/>
    <cellStyle name="Output 2 3 3 16" xfId="10395"/>
    <cellStyle name="Calculation 2 5 2 8 4 2" xfId="10396"/>
    <cellStyle name="Output 2 11 2 5 2 4" xfId="10397"/>
    <cellStyle name="Calculation 2 5 2 8 5" xfId="10398"/>
    <cellStyle name="Calculation 2 5 2 8 5 2" xfId="10399"/>
    <cellStyle name="Output 2 11 2 5 3 4" xfId="10400"/>
    <cellStyle name="Calculation 2 5 2 8 6" xfId="10401"/>
    <cellStyle name="Calculation 2 5 2 8 7" xfId="10402"/>
    <cellStyle name="Calculation 2 5 2 9 2" xfId="10403"/>
    <cellStyle name="Input 2 8 2 2 3 2" xfId="10404"/>
    <cellStyle name="Calculation 2 5 2 9 2 2" xfId="10405"/>
    <cellStyle name="Calculation 2 5 2 9 2 3" xfId="10406"/>
    <cellStyle name="Calculation 2 5 2 9 2 4" xfId="10407"/>
    <cellStyle name="Calculation 2 5 2 9 3" xfId="10408"/>
    <cellStyle name="Input 2 8 2 2 3 3" xfId="10409"/>
    <cellStyle name="Calculation 2 5 2 9 3 2" xfId="10410"/>
    <cellStyle name="Calculation 2 5 2 9 3 4" xfId="10411"/>
    <cellStyle name="Calculation 2 5 2 9 4" xfId="10412"/>
    <cellStyle name="Input 2 8 2 2 3 4" xfId="10413"/>
    <cellStyle name="Calculation 2 5 2 9 4 2" xfId="10414"/>
    <cellStyle name="Calculation 2 6 10 7" xfId="10415"/>
    <cellStyle name="Output 2 11 2 6 2 4" xfId="10416"/>
    <cellStyle name="Calculation 2 5 2 9 4 3" xfId="10417"/>
    <cellStyle name="Calculation 2 5 2 9 5" xfId="10418"/>
    <cellStyle name="Input 2 8 3 10" xfId="10419"/>
    <cellStyle name="Calculation 2 5 2 9 5 2" xfId="10420"/>
    <cellStyle name="Calculation 2 6 11 7" xfId="10421"/>
    <cellStyle name="Input 2 8 3 10 2" xfId="10422"/>
    <cellStyle name="Output 2 11 2 6 3 4" xfId="10423"/>
    <cellStyle name="Calculation 2 5 2 9 5 3" xfId="10424"/>
    <cellStyle name="Input 2 8 3 10 3" xfId="10425"/>
    <cellStyle name="Calculation 2 5 2 9 6" xfId="10426"/>
    <cellStyle name="Input 2 8 3 11" xfId="10427"/>
    <cellStyle name="Calculation 2 5 2 9 7" xfId="10428"/>
    <cellStyle name="Input 2 8 3 12" xfId="10429"/>
    <cellStyle name="Calculation 2 5 25" xfId="10430"/>
    <cellStyle name="Calculation 2 5 30" xfId="10431"/>
    <cellStyle name="Calculation 2 5 26" xfId="10432"/>
    <cellStyle name="Calculation 2 5 27" xfId="10433"/>
    <cellStyle name="Calculation 2 5 28" xfId="10434"/>
    <cellStyle name="Calculation 2 5 29" xfId="10435"/>
    <cellStyle name="Calculation 2 5 3" xfId="10436"/>
    <cellStyle name="Calculation 2 5 3 10 2" xfId="10437"/>
    <cellStyle name="Input 2 15 9 5 2" xfId="10438"/>
    <cellStyle name="Note 2 2 4 6 2 2" xfId="10439"/>
    <cellStyle name="Calculation 2 5 3 10 2 2" xfId="10440"/>
    <cellStyle name="Calculation 2 5 3 10 2 3" xfId="10441"/>
    <cellStyle name="Calculation 2 5 3 10 2 4" xfId="10442"/>
    <cellStyle name="Calculation 2 5 3 10 3" xfId="10443"/>
    <cellStyle name="Input 2 15 9 5 3" xfId="10444"/>
    <cellStyle name="Calculation 2 5 3 10 3 2" xfId="10445"/>
    <cellStyle name="Calculation 2 5 3 10 3 3" xfId="10446"/>
    <cellStyle name="Calculation 2 5 3 10 3 4" xfId="10447"/>
    <cellStyle name="Calculation 2 5 3 10 4" xfId="10448"/>
    <cellStyle name="Calculation 2 5 3 10 4 2" xfId="10449"/>
    <cellStyle name="Calculation 2 5 3 10 4 3" xfId="10450"/>
    <cellStyle name="Calculation 2 5 3 10 5" xfId="10451"/>
    <cellStyle name="Calculation 2 5 3 10 5 2" xfId="10452"/>
    <cellStyle name="Calculation 2 5 3 10 5 3" xfId="10453"/>
    <cellStyle name="Calculation 2 5 3 10 6" xfId="10454"/>
    <cellStyle name="Calculation 2 5 3 10 7" xfId="10455"/>
    <cellStyle name="Calculation 2 5 3 11 2" xfId="10456"/>
    <cellStyle name="Input 2 8 7 2 2" xfId="10457"/>
    <cellStyle name="Calculation 2 5 3 11 3" xfId="10458"/>
    <cellStyle name="Input 2 8 7 2 3" xfId="10459"/>
    <cellStyle name="Calculation 2 5 3 11 4" xfId="10460"/>
    <cellStyle name="Input 2 8 7 2 4" xfId="10461"/>
    <cellStyle name="Calculation 2 5 3 12" xfId="10462"/>
    <cellStyle name="Input 2 15 9 7" xfId="10463"/>
    <cellStyle name="Input 2 8 7 3" xfId="10464"/>
    <cellStyle name="Calculation 2 5 3 12 2" xfId="10465"/>
    <cellStyle name="Input 2 8 7 3 2" xfId="10466"/>
    <cellStyle name="Calculation 2 5 3 12 3" xfId="10467"/>
    <cellStyle name="Input 2 8 7 3 3" xfId="10468"/>
    <cellStyle name="Calculation 2 5 3 12 4" xfId="10469"/>
    <cellStyle name="Input 2 8 7 3 4" xfId="10470"/>
    <cellStyle name="Calculation 2 5 3 13" xfId="10471"/>
    <cellStyle name="Input 2 8 7 4" xfId="10472"/>
    <cellStyle name="Calculation 2 5 3 13 2" xfId="10473"/>
    <cellStyle name="Input 2 12 3 16" xfId="10474"/>
    <cellStyle name="Input 2 13 2 10 6" xfId="10475"/>
    <cellStyle name="Input 2 8 7 4 2" xfId="10476"/>
    <cellStyle name="Calculation 2 5 3 13 3" xfId="10477"/>
    <cellStyle name="Input 2 13 2 10 7" xfId="10478"/>
    <cellStyle name="Input 2 8 7 4 3" xfId="10479"/>
    <cellStyle name="Calculation 2 5 3 14" xfId="10480"/>
    <cellStyle name="Input 2 8 7 5" xfId="10481"/>
    <cellStyle name="Output 2 12 2 5 3 2" xfId="10482"/>
    <cellStyle name="Calculation 2 5 3 14 2" xfId="10483"/>
    <cellStyle name="Input 2 8 7 5 2" xfId="10484"/>
    <cellStyle name="Calculation 2 5 3 14 3" xfId="10485"/>
    <cellStyle name="Input 2 8 7 5 3" xfId="10486"/>
    <cellStyle name="Calculation 2 5 3 15" xfId="10487"/>
    <cellStyle name="Input 2 8 7 6" xfId="10488"/>
    <cellStyle name="Output 2 12 2 5 3 3" xfId="10489"/>
    <cellStyle name="Calculation 2 5 3 16" xfId="10490"/>
    <cellStyle name="Calculation 2 6 2 8 5 2" xfId="10491"/>
    <cellStyle name="Input 2 8 7 7" xfId="10492"/>
    <cellStyle name="Output 2 12 2 5 3 4" xfId="10493"/>
    <cellStyle name="Calculation 2 5 3 2" xfId="10494"/>
    <cellStyle name="Note 2 4 3 3 5" xfId="10495"/>
    <cellStyle name="Input 2 8 3 9 2 3" xfId="10496"/>
    <cellStyle name="Note 2 14 6 5 3" xfId="10497"/>
    <cellStyle name="Output 2 3 2 9 6" xfId="10498"/>
    <cellStyle name="Calculation 2 5 3 2 2" xfId="10499"/>
    <cellStyle name="Note 2 4 3 3 5 2" xfId="10500"/>
    <cellStyle name="Calculation 2 5 3 2 2 2" xfId="10501"/>
    <cellStyle name="Calculation 2 5 3 2 2 3" xfId="10502"/>
    <cellStyle name="Calculation 2 5 3 2 2 4" xfId="10503"/>
    <cellStyle name="Calculation 2 5 3 2 3" xfId="10504"/>
    <cellStyle name="Note 2 4 3 3 5 3" xfId="10505"/>
    <cellStyle name="Calculation 2 5 3 2 3 3" xfId="10506"/>
    <cellStyle name="Calculation 2 5 3 2 3 4" xfId="10507"/>
    <cellStyle name="Calculation 2 5 3 2 4" xfId="10508"/>
    <cellStyle name="Calculation 2 5 3 2 5" xfId="10509"/>
    <cellStyle name="Calculation 2 5 3 2 5 2" xfId="10510"/>
    <cellStyle name="Calculation 2 5 3 2 5 3" xfId="10511"/>
    <cellStyle name="Calculation 2 5 3 2 6" xfId="10512"/>
    <cellStyle name="Output 2 9 3 9 3 2" xfId="10513"/>
    <cellStyle name="Calculation 2 5 3 2 7" xfId="10514"/>
    <cellStyle name="Output 2 9 3 9 3 3" xfId="10515"/>
    <cellStyle name="Calculation 2 5 3 3" xfId="10516"/>
    <cellStyle name="Note 2 4 3 3 6" xfId="10517"/>
    <cellStyle name="Input 2 8 3 9 2 4" xfId="10518"/>
    <cellStyle name="Output 2 3 2 9 7" xfId="10519"/>
    <cellStyle name="Calculation 2 5 3 3 2" xfId="10520"/>
    <cellStyle name="Calculation 2 5 3 3 2 2" xfId="10521"/>
    <cellStyle name="Calculation 2 5 3 3 2 3" xfId="10522"/>
    <cellStyle name="Calculation 2 5 3 3 2 4" xfId="10523"/>
    <cellStyle name="Calculation 2 5 3 3 3" xfId="10524"/>
    <cellStyle name="Calculation 2 5 3 3 3 3" xfId="10525"/>
    <cellStyle name="Calculation 2 5 3 3 3 4" xfId="10526"/>
    <cellStyle name="Calculation 2 5 3 3 4" xfId="10527"/>
    <cellStyle name="Calculation 2 5 3 3 4 3" xfId="10528"/>
    <cellStyle name="Calculation 2 5 3 3 5" xfId="10529"/>
    <cellStyle name="Calculation 2 5 3 3 5 2" xfId="10530"/>
    <cellStyle name="Calculation 2 5 3 3 5 3" xfId="10531"/>
    <cellStyle name="Calculation 2 5 3 3 6" xfId="10532"/>
    <cellStyle name="Output 2 9 3 9 4 2" xfId="10533"/>
    <cellStyle name="Calculation 2 5 3 3 7" xfId="10534"/>
    <cellStyle name="Output 2 9 3 9 4 3" xfId="10535"/>
    <cellStyle name="Calculation 2 5 3 4" xfId="10536"/>
    <cellStyle name="Note 2 4 3 3 7" xfId="10537"/>
    <cellStyle name="Calculation 2 5 3 4 2" xfId="10538"/>
    <cellStyle name="Calculation 2 5 3 4 2 2" xfId="10539"/>
    <cellStyle name="Note 2 2 2 9" xfId="10540"/>
    <cellStyle name="Calculation 2 5 3 4 2 3" xfId="10541"/>
    <cellStyle name="Calculation 2 5 3 4 2 4" xfId="10542"/>
    <cellStyle name="Calculation 2 5 3 4 3" xfId="10543"/>
    <cellStyle name="Calculation 2 5 3 4 3 3" xfId="10544"/>
    <cellStyle name="Calculation 2 5 3 4 3 4" xfId="10545"/>
    <cellStyle name="Calculation 2 5 3 4 4" xfId="10546"/>
    <cellStyle name="Calculation 2 5 3 4 4 3" xfId="10547"/>
    <cellStyle name="Calculation 2 5 3 4 5" xfId="10548"/>
    <cellStyle name="Calculation 2 5 3 4 5 2" xfId="10549"/>
    <cellStyle name="Note 2 2 5 9" xfId="10550"/>
    <cellStyle name="Calculation 2 5 3 4 5 3" xfId="10551"/>
    <cellStyle name="Calculation 2 5 3 4 6" xfId="10552"/>
    <cellStyle name="Output 2 9 3 9 5 2" xfId="10553"/>
    <cellStyle name="Calculation 2 5 3 4 7" xfId="10554"/>
    <cellStyle name="Output 2 9 3 9 5 3" xfId="10555"/>
    <cellStyle name="Calculation 2 5 3 5" xfId="10556"/>
    <cellStyle name="Calculation 2 5 3 5 2" xfId="10557"/>
    <cellStyle name="Calculation 2 5 3 5 2 2" xfId="10558"/>
    <cellStyle name="Input 2 7 2 10 3 3" xfId="10559"/>
    <cellStyle name="Note 2 3 2 9" xfId="10560"/>
    <cellStyle name="Input 2 7 2 10 3 4" xfId="10561"/>
    <cellStyle name="Calculation 2 5 3 5 2 3" xfId="10562"/>
    <cellStyle name="Note 2 7 2 10 3 2" xfId="10563"/>
    <cellStyle name="Calculation 2 5 3 5 2 4" xfId="10564"/>
    <cellStyle name="Note 2 7 2 10 3 3" xfId="10565"/>
    <cellStyle name="Calculation 2 5 3 5 3" xfId="10566"/>
    <cellStyle name="Calculation 2 5 3 5 3 3" xfId="10567"/>
    <cellStyle name="Note 2 7 2 10 4 2" xfId="10568"/>
    <cellStyle name="Calculation 2 5 3 5 3 4" xfId="10569"/>
    <cellStyle name="Note 2 7 2 10 4 3" xfId="10570"/>
    <cellStyle name="Calculation 2 5 3 5 4" xfId="10571"/>
    <cellStyle name="Calculation 2 5 3 5 4 3" xfId="10572"/>
    <cellStyle name="Note 2 7 2 10 5 2" xfId="10573"/>
    <cellStyle name="Calculation 2 5 3 5 5" xfId="10574"/>
    <cellStyle name="Calculation 2 5 3 5 5 2" xfId="10575"/>
    <cellStyle name="Output 2 11 3 2 3 4" xfId="10576"/>
    <cellStyle name="Calculation 2 5 3 5 5 3" xfId="10577"/>
    <cellStyle name="Calculation 2 5 3 5 6" xfId="10578"/>
    <cellStyle name="Calculation 2 5 3 5 7" xfId="10579"/>
    <cellStyle name="Calculation 2 5 3 6" xfId="10580"/>
    <cellStyle name="Calculation 2 5 3 6 2" xfId="10581"/>
    <cellStyle name="Calculation 2 5 3 6 2 2" xfId="10582"/>
    <cellStyle name="Note 2 4 2 9" xfId="10583"/>
    <cellStyle name="Calculation 2 5 3 6 2 3" xfId="10584"/>
    <cellStyle name="Note 2 12 10" xfId="10585"/>
    <cellStyle name="Calculation 2 5 3 6 2 4" xfId="10586"/>
    <cellStyle name="Note 2 12 11" xfId="10587"/>
    <cellStyle name="Calculation 2 5 3 6 3" xfId="10588"/>
    <cellStyle name="Calculation 2 5 3 6 3 2" xfId="10589"/>
    <cellStyle name="Total 2 14 3 2 2 2" xfId="10590"/>
    <cellStyle name="Note 2 4 3 9" xfId="10591"/>
    <cellStyle name="Calculation 2 5 3 6 3 3" xfId="10592"/>
    <cellStyle name="Calculation 2 5 3 6 3 4" xfId="10593"/>
    <cellStyle name="Calculation 2 5 3 6 4" xfId="10594"/>
    <cellStyle name="Calculation 2 5 3 6 4 2" xfId="10595"/>
    <cellStyle name="Output 2 11 3 3 2 4" xfId="10596"/>
    <cellStyle name="Calculation 2 5 3 6 4 3" xfId="10597"/>
    <cellStyle name="Calculation 2 5 3 6 5" xfId="10598"/>
    <cellStyle name="Calculation 2 5 3 6 5 2" xfId="10599"/>
    <cellStyle name="Output 2 11 3 3 3 4" xfId="10600"/>
    <cellStyle name="Calculation 2 5 3 6 5 3" xfId="10601"/>
    <cellStyle name="Calculation 2 5 3 6 6" xfId="10602"/>
    <cellStyle name="Note 2 2 3 4 2 2 2 2" xfId="10603"/>
    <cellStyle name="Calculation 2 5 3 7" xfId="10604"/>
    <cellStyle name="Calculation 2 5 3 7 2" xfId="10605"/>
    <cellStyle name="Output 2 16 6 2 4" xfId="10606"/>
    <cellStyle name="Calculation 2 5 3 7 2 2" xfId="10607"/>
    <cellStyle name="Note 2 5 2 9" xfId="10608"/>
    <cellStyle name="Calculation 2 5 3 7 2 3" xfId="10609"/>
    <cellStyle name="Calculation 2 5 3 7 2 4" xfId="10610"/>
    <cellStyle name="Calculation 2 5 3 7 3" xfId="10611"/>
    <cellStyle name="Normal 2 3 9 2 2" xfId="10612"/>
    <cellStyle name="Normal 6 2 2" xfId="10613"/>
    <cellStyle name="Calculation 2 5 3 7 3 2" xfId="10614"/>
    <cellStyle name="Normal 6 2 2 2" xfId="10615"/>
    <cellStyle name="Total 2 14 3 3 2 2" xfId="10616"/>
    <cellStyle name="Note 2 5 3 9" xfId="10617"/>
    <cellStyle name="Calculation 2 5 3 7 3 3" xfId="10618"/>
    <cellStyle name="Normal 6 2 2 3" xfId="10619"/>
    <cellStyle name="Calculation 2 5 3 7 3 4" xfId="10620"/>
    <cellStyle name="Normal 6 2 2 4" xfId="10621"/>
    <cellStyle name="Calculation 2 5 3 7 4" xfId="10622"/>
    <cellStyle name="Normal 6 2 3" xfId="10623"/>
    <cellStyle name="Calculation 2 5 3 7 4 2" xfId="10624"/>
    <cellStyle name="Output 2 11 3 4 2 4" xfId="10625"/>
    <cellStyle name="Calculation 2 5 3 7 4 3" xfId="10626"/>
    <cellStyle name="Calculation 2 5 3 7 5" xfId="10627"/>
    <cellStyle name="Normal 6 2 4" xfId="10628"/>
    <cellStyle name="Calculation 2 5 3 7 5 2" xfId="10629"/>
    <cellStyle name="Output 2 11 3 4 3 4" xfId="10630"/>
    <cellStyle name="Calculation 2 5 3 7 5 3" xfId="10631"/>
    <cellStyle name="Calculation 2 5 3 7 6" xfId="10632"/>
    <cellStyle name="Normal 6 2 5" xfId="10633"/>
    <cellStyle name="Calculation 2 5 3 7 7" xfId="10634"/>
    <cellStyle name="Normal 6 2 6" xfId="10635"/>
    <cellStyle name="Calculation 2 5 3 8 2" xfId="10636"/>
    <cellStyle name="Input 2 8 2 3 2 2" xfId="10637"/>
    <cellStyle name="Output 2 16 6 3 4" xfId="10638"/>
    <cellStyle name="Calculation 2 5 3 8 2 2" xfId="10639"/>
    <cellStyle name="Note 2 6 2 9" xfId="10640"/>
    <cellStyle name="Calculation 2 5 3 8 2 3" xfId="10641"/>
    <cellStyle name="Calculation 2 5 3 8 2 4" xfId="10642"/>
    <cellStyle name="Calculation 2 5 3 8 3" xfId="10643"/>
    <cellStyle name="Input 2 8 2 3 2 3" xfId="10644"/>
    <cellStyle name="Normal 6 3 2" xfId="10645"/>
    <cellStyle name="Calculation 2 5 3 8 3 2" xfId="10646"/>
    <cellStyle name="Normal 6 3 2 2" xfId="10647"/>
    <cellStyle name="Total 2 14 3 4 2 2" xfId="10648"/>
    <cellStyle name="Note 2 6 3 9" xfId="10649"/>
    <cellStyle name="Calculation 2 5 3 8 3 3" xfId="10650"/>
    <cellStyle name="Calculation 2 5 3 8 3 4" xfId="10651"/>
    <cellStyle name="Calculation 2 5 3 8 4" xfId="10652"/>
    <cellStyle name="Input 2 8 2 3 2 4" xfId="10653"/>
    <cellStyle name="Normal 6 3 3" xfId="10654"/>
    <cellStyle name="Calculation 2 5 3 8 4 2" xfId="10655"/>
    <cellStyle name="Output 2 11 3 5 2 4" xfId="10656"/>
    <cellStyle name="Calculation 2 5 3 8 4 3" xfId="10657"/>
    <cellStyle name="Calculation 2 5 3 8 5" xfId="10658"/>
    <cellStyle name="Calculation 2 5 3 8 5 2" xfId="10659"/>
    <cellStyle name="Output 2 11 3 5 3 4" xfId="10660"/>
    <cellStyle name="Calculation 2 5 3 8 5 3" xfId="10661"/>
    <cellStyle name="Calculation 2 5 3 8 6" xfId="10662"/>
    <cellStyle name="Note 2 2 2 2 3 2 2 2 2 2" xfId="10663"/>
    <cellStyle name="Calculation 2 5 3 8 7" xfId="10664"/>
    <cellStyle name="Calculation 2 5 3 9 2" xfId="10665"/>
    <cellStyle name="Input 2 8 2 3 3 2" xfId="10666"/>
    <cellStyle name="Calculation 2 5 3 9 2 2" xfId="10667"/>
    <cellStyle name="Note 2 7 2 9" xfId="10668"/>
    <cellStyle name="Calculation 2 5 3 9 2 3" xfId="10669"/>
    <cellStyle name="Calculation 2 5 3 9 2 4" xfId="10670"/>
    <cellStyle name="Calculation 2 5 3 9 3" xfId="10671"/>
    <cellStyle name="Input 2 8 2 3 3 3" xfId="10672"/>
    <cellStyle name="Calculation 2 5 3 9 3 2" xfId="10673"/>
    <cellStyle name="Total 2 14 3 5 2 2" xfId="10674"/>
    <cellStyle name="Note 2 7 3 9" xfId="10675"/>
    <cellStyle name="Calculation 2 5 3 9 3 3" xfId="10676"/>
    <cellStyle name="Calculation 2 5 3 9 3 4" xfId="10677"/>
    <cellStyle name="Calculation 2 5 3 9 4" xfId="10678"/>
    <cellStyle name="Input 2 8 2 3 3 4" xfId="10679"/>
    <cellStyle name="Calculation 2 5 3 9 4 2" xfId="10680"/>
    <cellStyle name="Output 2 11 3 6 2 4" xfId="10681"/>
    <cellStyle name="Calculation 2 5 3 9 4 3" xfId="10682"/>
    <cellStyle name="Calculation 2 5 3 9 5" xfId="10683"/>
    <cellStyle name="Calculation 2 5 3 9 5 2" xfId="10684"/>
    <cellStyle name="Output 2 11 3 6 3 4" xfId="10685"/>
    <cellStyle name="Calculation 2 5 3 9 5 3" xfId="10686"/>
    <cellStyle name="Calculation 2 5 3 9 6" xfId="10687"/>
    <cellStyle name="Calculation 2 5 3 9 7" xfId="10688"/>
    <cellStyle name="Calculation 2 5 4" xfId="10689"/>
    <cellStyle name="Calculation 2 5 4 2" xfId="10690"/>
    <cellStyle name="Input 2 11 3 10" xfId="10691"/>
    <cellStyle name="Input 2 8 3 9 3 3" xfId="10692"/>
    <cellStyle name="Note 2 4 3 4 5" xfId="10693"/>
    <cellStyle name="Calculation 2 5 4 2 2" xfId="10694"/>
    <cellStyle name="Input 2 11 3 10 2" xfId="10695"/>
    <cellStyle name="Note 2 4 3 4 5 2" xfId="10696"/>
    <cellStyle name="Calculation 2 5 4 2 3" xfId="10697"/>
    <cellStyle name="Input 2 11 3 10 3" xfId="10698"/>
    <cellStyle name="Note 2 4 3 4 5 3" xfId="10699"/>
    <cellStyle name="Calculation 2 5 4 2 4" xfId="10700"/>
    <cellStyle name="Input 2 11 3 10 4" xfId="10701"/>
    <cellStyle name="Calculation 2 5 4 3" xfId="10702"/>
    <cellStyle name="Input 2 11 3 11" xfId="10703"/>
    <cellStyle name="Input 2 8 3 9 3 4" xfId="10704"/>
    <cellStyle name="Note 2 4 3 4 6" xfId="10705"/>
    <cellStyle name="Calculation 2 5 4 3 2" xfId="10706"/>
    <cellStyle name="Input 2 11 3 11 2" xfId="10707"/>
    <cellStyle name="Calculation 2 5 4 3 3" xfId="10708"/>
    <cellStyle name="Input 2 11 3 11 3" xfId="10709"/>
    <cellStyle name="Calculation 2 5 4 3 4" xfId="10710"/>
    <cellStyle name="Input 2 11 3 11 4" xfId="10711"/>
    <cellStyle name="Calculation 2 5 4 4" xfId="10712"/>
    <cellStyle name="Input 2 11 3 12" xfId="10713"/>
    <cellStyle name="Note 2 4 3 4 7" xfId="10714"/>
    <cellStyle name="Calculation 2 5 4 4 2" xfId="10715"/>
    <cellStyle name="Input 2 11 3 12 2" xfId="10716"/>
    <cellStyle name="Calculation 2 5 4 4 3" xfId="10717"/>
    <cellStyle name="Input 2 11 3 12 3" xfId="10718"/>
    <cellStyle name="Calculation 2 5 4 5" xfId="10719"/>
    <cellStyle name="Input 2 11 3 13" xfId="10720"/>
    <cellStyle name="Calculation 2 5 4 5 2" xfId="10721"/>
    <cellStyle name="Input 2 11 3 13 2" xfId="10722"/>
    <cellStyle name="Calculation 2 5 4 5 3" xfId="10723"/>
    <cellStyle name="Input 2 11 3 13 3" xfId="10724"/>
    <cellStyle name="Calculation 2 5 4 6" xfId="10725"/>
    <cellStyle name="Input 2 11 3 14" xfId="10726"/>
    <cellStyle name="Calculation 2 5 4 7" xfId="10727"/>
    <cellStyle name="Input 2 11 3 15" xfId="10728"/>
    <cellStyle name="Calculation 2 5 5" xfId="10729"/>
    <cellStyle name="Output 2 4 3 6 5 2" xfId="10730"/>
    <cellStyle name="Calculation 2 5 5 2" xfId="10731"/>
    <cellStyle name="Input 2 8 3 9 4 3" xfId="10732"/>
    <cellStyle name="Note 2 4 3 5 5" xfId="10733"/>
    <cellStyle name="Calculation 2 5 5 2 2" xfId="10734"/>
    <cellStyle name="Note 2 4 3 5 5 2" xfId="10735"/>
    <cellStyle name="Calculation 2 5 5 3" xfId="10736"/>
    <cellStyle name="Note 2 4 3 5 6" xfId="10737"/>
    <cellStyle name="Calculation 2 5 5 3 2" xfId="10738"/>
    <cellStyle name="Calculation 2 5 5 4" xfId="10739"/>
    <cellStyle name="Note 2 4 3 5 7" xfId="10740"/>
    <cellStyle name="Calculation 2 5 5 4 2" xfId="10741"/>
    <cellStyle name="Calculation 2 5 5 5" xfId="10742"/>
    <cellStyle name="Note 2 13 2 2" xfId="10743"/>
    <cellStyle name="Calculation 2 5 5 5 2" xfId="10744"/>
    <cellStyle name="Note 2 13 2 2 2" xfId="10745"/>
    <cellStyle name="Calculation 2 5 5 6" xfId="10746"/>
    <cellStyle name="Note 2 13 2 3" xfId="10747"/>
    <cellStyle name="Calculation 2 5 5 7" xfId="10748"/>
    <cellStyle name="Note 2 13 2 4" xfId="10749"/>
    <cellStyle name="Calculation 2 5 6" xfId="10750"/>
    <cellStyle name="Output 2 4 3 6 5 3" xfId="10751"/>
    <cellStyle name="Calculation 2 5 6 2 2" xfId="10752"/>
    <cellStyle name="Note 2 4 3 6 5 2" xfId="10753"/>
    <cellStyle name="Calculation 2 5 6 2 3" xfId="10754"/>
    <cellStyle name="Note 2 4 3 6 5 3" xfId="10755"/>
    <cellStyle name="Calculation 2 5 6 3 2" xfId="10756"/>
    <cellStyle name="Calculation 2 5 6 3 3" xfId="10757"/>
    <cellStyle name="Calculation 2 5 6 4 2" xfId="10758"/>
    <cellStyle name="Calculation 2 5 6 4 3" xfId="10759"/>
    <cellStyle name="Calculation 2 5 6 5 2" xfId="10760"/>
    <cellStyle name="Note 2 13 3 2 2" xfId="10761"/>
    <cellStyle name="Note 2 9 3 16" xfId="10762"/>
    <cellStyle name="Calculation 2 5 6 5 3" xfId="10763"/>
    <cellStyle name="Note 2 13 3 2 3" xfId="10764"/>
    <cellStyle name="Total 2 7 2 2 2 4" xfId="10765"/>
    <cellStyle name="Input 2 2 3 2 6 2 2" xfId="10766"/>
    <cellStyle name="Calculation 2 5 6 7" xfId="10767"/>
    <cellStyle name="Note 2 13 3 4" xfId="10768"/>
    <cellStyle name="Calculation 2 5 6 8" xfId="10769"/>
    <cellStyle name="Input 2 8 2 6 2" xfId="10770"/>
    <cellStyle name="Note 2 13 3 5" xfId="10771"/>
    <cellStyle name="Calculation 2 5 7" xfId="10772"/>
    <cellStyle name="Calculation 2 5 7 2" xfId="10773"/>
    <cellStyle name="Input 2 16 11" xfId="10774"/>
    <cellStyle name="Note 2 4 3 7 5" xfId="10775"/>
    <cellStyle name="Calculation 2 5 7 2 2" xfId="10776"/>
    <cellStyle name="Input 2 16 11 2" xfId="10777"/>
    <cellStyle name="Input 2 14 2 10 3" xfId="10778"/>
    <cellStyle name="Note 2 4 3 7 5 2" xfId="10779"/>
    <cellStyle name="Total 2 10 2 14 3" xfId="10780"/>
    <cellStyle name="Calculation 2 5 7 2 3" xfId="10781"/>
    <cellStyle name="Input 2 16 11 3" xfId="10782"/>
    <cellStyle name="Input 2 14 2 10 4" xfId="10783"/>
    <cellStyle name="Note 2 4 3 7 5 3" xfId="10784"/>
    <cellStyle name="Input 2 14 2 10 5" xfId="10785"/>
    <cellStyle name="Calculation 2 5 7 2 4" xfId="10786"/>
    <cellStyle name="Input 2 16 11 4" xfId="10787"/>
    <cellStyle name="Calculation 2 5 7 3" xfId="10788"/>
    <cellStyle name="Input 2 16 12" xfId="10789"/>
    <cellStyle name="Note 2 4 3 7 6" xfId="10790"/>
    <cellStyle name="Input 2 14 2 11 3" xfId="10791"/>
    <cellStyle name="Calculation 2 5 7 3 2" xfId="10792"/>
    <cellStyle name="Input 2 16 12 2" xfId="10793"/>
    <cellStyle name="Total 2 12 12 6" xfId="10794"/>
    <cellStyle name="Output 2 4 2 14" xfId="10795"/>
    <cellStyle name="Input 2 14 2 11 4" xfId="10796"/>
    <cellStyle name="Calculation 2 5 7 3 3" xfId="10797"/>
    <cellStyle name="Input 2 16 12 3" xfId="10798"/>
    <cellStyle name="Total 2 12 12 7" xfId="10799"/>
    <cellStyle name="Output 2 4 2 15" xfId="10800"/>
    <cellStyle name="Calculation 2 5 7 3 4" xfId="10801"/>
    <cellStyle name="Input 2 16 12 4" xfId="10802"/>
    <cellStyle name="Output 2 4 2 16" xfId="10803"/>
    <cellStyle name="Calculation 2 5 7 4" xfId="10804"/>
    <cellStyle name="Input 2 16 13" xfId="10805"/>
    <cellStyle name="Note 2 4 3 7 7" xfId="10806"/>
    <cellStyle name="Input 2 14 2 12 3" xfId="10807"/>
    <cellStyle name="Calculation 2 5 7 4 2" xfId="10808"/>
    <cellStyle name="Input 2 16 13 2" xfId="10809"/>
    <cellStyle name="Input 2 14 2 12 4" xfId="10810"/>
    <cellStyle name="Calculation 2 5 7 4 3" xfId="10811"/>
    <cellStyle name="Input 2 16 13 3" xfId="10812"/>
    <cellStyle name="Calculation 2 5 7 5" xfId="10813"/>
    <cellStyle name="Input 2 16 14" xfId="10814"/>
    <cellStyle name="Note 2 13 4 2" xfId="10815"/>
    <cellStyle name="Input 2 14 2 13 3" xfId="10816"/>
    <cellStyle name="Calculation 2 5 7 5 2" xfId="10817"/>
    <cellStyle name="Input 2 16 14 2" xfId="10818"/>
    <cellStyle name="Note 2 13 4 2 2" xfId="10819"/>
    <cellStyle name="Calculation 2 5 7 5 3" xfId="10820"/>
    <cellStyle name="Input 2 16 14 3" xfId="10821"/>
    <cellStyle name="Note 2 13 4 2 3" xfId="10822"/>
    <cellStyle name="Calculation 2 5 7 6" xfId="10823"/>
    <cellStyle name="Input 2 16 15" xfId="10824"/>
    <cellStyle name="Note 2 13 4 3" xfId="10825"/>
    <cellStyle name="Calculation 2 5 7 7" xfId="10826"/>
    <cellStyle name="Input 2 16 16" xfId="10827"/>
    <cellStyle name="Note 2 13 4 4" xfId="10828"/>
    <cellStyle name="Calculation 2 5 7 8" xfId="10829"/>
    <cellStyle name="Input 2 16 17" xfId="10830"/>
    <cellStyle name="Input 2 8 2 7 2" xfId="10831"/>
    <cellStyle name="Note 2 13 4 5" xfId="10832"/>
    <cellStyle name="Calculation 2 5 8" xfId="10833"/>
    <cellStyle name="Calculation 2 5 9" xfId="10834"/>
    <cellStyle name="Calculation 2 5 9 2" xfId="10835"/>
    <cellStyle name="Input 2 13 2 2 3" xfId="10836"/>
    <cellStyle name="Note 2 4 3 9 5" xfId="10837"/>
    <cellStyle name="Input 2 13 2 2 3 2" xfId="10838"/>
    <cellStyle name="Note 2 4 3 9 5 2" xfId="10839"/>
    <cellStyle name="Calculation 2 5 9 2 2" xfId="10840"/>
    <cellStyle name="Output 2 2 2 3 5" xfId="10841"/>
    <cellStyle name="Input 2 13 2 2 3 3" xfId="10842"/>
    <cellStyle name="Note 2 4 3 9 5 3" xfId="10843"/>
    <cellStyle name="Calculation 2 5 9 2 3" xfId="10844"/>
    <cellStyle name="Output 2 2 2 3 6" xfId="10845"/>
    <cellStyle name="Input 2 13 2 2 3 4" xfId="10846"/>
    <cellStyle name="Note 2 13 2 2 3 2" xfId="10847"/>
    <cellStyle name="Calculation 2 5 9 2 4" xfId="10848"/>
    <cellStyle name="Output 2 2 2 3 7" xfId="10849"/>
    <cellStyle name="Calculation 2 5 9 3" xfId="10850"/>
    <cellStyle name="Input 2 13 2 2 4" xfId="10851"/>
    <cellStyle name="Note 2 4 3 9 6" xfId="10852"/>
    <cellStyle name="Output 2 11 5 2 2" xfId="10853"/>
    <cellStyle name="Input 2 13 2 2 4 2" xfId="10854"/>
    <cellStyle name="Calculation 2 5 9 3 2" xfId="10855"/>
    <cellStyle name="Output 2 2 2 4 5" xfId="10856"/>
    <cellStyle name="Input 2 13 2 2 4 3" xfId="10857"/>
    <cellStyle name="Calculation 2 5 9 3 3" xfId="10858"/>
    <cellStyle name="Output 2 2 2 4 6" xfId="10859"/>
    <cellStyle name="Note 2 13 2 2 4 2" xfId="10860"/>
    <cellStyle name="Calculation 2 5 9 3 4" xfId="10861"/>
    <cellStyle name="Output 2 2 2 4 7" xfId="10862"/>
    <cellStyle name="Calculation 2 5 9 4" xfId="10863"/>
    <cellStyle name="Input 2 13 2 2 5" xfId="10864"/>
    <cellStyle name="Note 2 4 3 9 7" xfId="10865"/>
    <cellStyle name="Output 2 11 5 2 3" xfId="10866"/>
    <cellStyle name="Input 2 13 2 2 5 2" xfId="10867"/>
    <cellStyle name="Calculation 2 5 9 4 2" xfId="10868"/>
    <cellStyle name="Output 2 2 2 5 5" xfId="10869"/>
    <cellStyle name="Input 2 13 2 2 5 3" xfId="10870"/>
    <cellStyle name="Calculation 2 5 9 4 3" xfId="10871"/>
    <cellStyle name="Output 2 2 2 5 6" xfId="10872"/>
    <cellStyle name="Input 2 13 2 2 6" xfId="10873"/>
    <cellStyle name="Calculation 2 5 9 5" xfId="10874"/>
    <cellStyle name="Note 2 13 6 2" xfId="10875"/>
    <cellStyle name="Output 2 11 5 2 4" xfId="10876"/>
    <cellStyle name="Calculation 2 5 9 5 2" xfId="10877"/>
    <cellStyle name="Note 2 13 6 2 2" xfId="10878"/>
    <cellStyle name="Output 2 2 2 6 5" xfId="10879"/>
    <cellStyle name="Calculation 2 5 9 5 3" xfId="10880"/>
    <cellStyle name="Note 2 13 6 2 3" xfId="10881"/>
    <cellStyle name="Output 2 2 2 6 6" xfId="10882"/>
    <cellStyle name="Input 2 13 2 2 7" xfId="10883"/>
    <cellStyle name="Calculation 2 5 9 6" xfId="10884"/>
    <cellStyle name="Note 2 13 6 3" xfId="10885"/>
    <cellStyle name="Calculation 2 5 9 7" xfId="10886"/>
    <cellStyle name="Note 2 13 6 4" xfId="10887"/>
    <cellStyle name="Calculation 2 5 9 8" xfId="10888"/>
    <cellStyle name="Input 2 8 2 9 2" xfId="10889"/>
    <cellStyle name="Note 2 13 6 5" xfId="10890"/>
    <cellStyle name="Calculation 2 6" xfId="10891"/>
    <cellStyle name="Calculation 2 6 10" xfId="10892"/>
    <cellStyle name="Input 2 11 2 8 2 4" xfId="10893"/>
    <cellStyle name="Note 2 11 2 8 2 2" xfId="10894"/>
    <cellStyle name="Calculation 2 6 10 2 2" xfId="10895"/>
    <cellStyle name="Total 2 9 11 5 2" xfId="10896"/>
    <cellStyle name="Input 2 12 2 4 5" xfId="10897"/>
    <cellStyle name="Output 2 10 5 4 3" xfId="10898"/>
    <cellStyle name="Total 2 9 11 5 3" xfId="10899"/>
    <cellStyle name="Input 2 12 2 4 6" xfId="10900"/>
    <cellStyle name="Note 2 11 2 12 2" xfId="10901"/>
    <cellStyle name="Calculation 2 6 10 2 3" xfId="10902"/>
    <cellStyle name="Output 2 4 5 3 2" xfId="10903"/>
    <cellStyle name="Input 2 12 2 4 7" xfId="10904"/>
    <cellStyle name="Note 2 11 2 12 3" xfId="10905"/>
    <cellStyle name="Calculation 2 6 10 2 4" xfId="10906"/>
    <cellStyle name="Output 2 4 5 3 3" xfId="10907"/>
    <cellStyle name="Calculation 2 6 10 3 2" xfId="10908"/>
    <cellStyle name="Input 2 12 2 5 5" xfId="10909"/>
    <cellStyle name="Output 2 10 5 5 3" xfId="10910"/>
    <cellStyle name="Input 2 12 2 5 6" xfId="10911"/>
    <cellStyle name="Note 2 11 2 13 2" xfId="10912"/>
    <cellStyle name="Calculation 2 6 10 3 3" xfId="10913"/>
    <cellStyle name="Output 2 4 5 4 2" xfId="10914"/>
    <cellStyle name="Input 2 12 2 5 7" xfId="10915"/>
    <cellStyle name="Note 2 11 2 13 3" xfId="10916"/>
    <cellStyle name="Calculation 2 6 10 3 4" xfId="10917"/>
    <cellStyle name="Output 2 4 5 4 3" xfId="10918"/>
    <cellStyle name="Calculation 2 6 10 4" xfId="10919"/>
    <cellStyle name="Calculation 2 6 10 4 2" xfId="10920"/>
    <cellStyle name="Input 2 12 2 6 5" xfId="10921"/>
    <cellStyle name="Input 2 12 2 6 6" xfId="10922"/>
    <cellStyle name="Note 2 11 2 14 2" xfId="10923"/>
    <cellStyle name="Calculation 2 6 10 4 3" xfId="10924"/>
    <cellStyle name="Output 2 4 5 5 2" xfId="10925"/>
    <cellStyle name="Calculation 2 6 10 5" xfId="10926"/>
    <cellStyle name="Output 2 11 2 6 2 2" xfId="10927"/>
    <cellStyle name="Calculation 2 6 10 5 3" xfId="10928"/>
    <cellStyle name="Input 2 12 2 7 6" xfId="10929"/>
    <cellStyle name="Calculation 2 6 10 6" xfId="10930"/>
    <cellStyle name="Output 2 11 2 6 2 3" xfId="10931"/>
    <cellStyle name="Calculation 2 6 11" xfId="10932"/>
    <cellStyle name="Note 2 11 2 8 2 3" xfId="10933"/>
    <cellStyle name="Calculation 2 6 11 2 2" xfId="10934"/>
    <cellStyle name="Total 2 9 12 5 2" xfId="10935"/>
    <cellStyle name="Input 2 12 3 4 5" xfId="10936"/>
    <cellStyle name="Output 2 10 6 4 3" xfId="10937"/>
    <cellStyle name="Total 2 9 12 5 3" xfId="10938"/>
    <cellStyle name="Input 2 12 3 4 6" xfId="10939"/>
    <cellStyle name="Calculation 2 6 11 2 3" xfId="10940"/>
    <cellStyle name="Output 2 4 6 3 2" xfId="10941"/>
    <cellStyle name="Input 2 12 3 4 7" xfId="10942"/>
    <cellStyle name="Calculation 2 6 11 2 4" xfId="10943"/>
    <cellStyle name="Output 2 4 6 3 3" xfId="10944"/>
    <cellStyle name="Calculation 2 6 11 3" xfId="10945"/>
    <cellStyle name="Calculation 2 6 11 3 2" xfId="10946"/>
    <cellStyle name="Input 2 12 3 5 5" xfId="10947"/>
    <cellStyle name="Output 2 10 6 5 3" xfId="10948"/>
    <cellStyle name="Input 2 12 3 5 6" xfId="10949"/>
    <cellStyle name="Calculation 2 6 11 3 3" xfId="10950"/>
    <cellStyle name="Output 2 4 6 4 2" xfId="10951"/>
    <cellStyle name="Input 2 12 3 5 7" xfId="10952"/>
    <cellStyle name="Calculation 2 6 11 3 4" xfId="10953"/>
    <cellStyle name="Output 2 4 6 4 3" xfId="10954"/>
    <cellStyle name="Calculation 2 6 11 4" xfId="10955"/>
    <cellStyle name="Calculation 2 6 11 4 2" xfId="10956"/>
    <cellStyle name="Input 2 12 3 6 5" xfId="10957"/>
    <cellStyle name="Input 2 12 3 6 6" xfId="10958"/>
    <cellStyle name="Calculation 2 6 11 4 3" xfId="10959"/>
    <cellStyle name="Output 2 4 6 5 2" xfId="10960"/>
    <cellStyle name="Calculation 2 6 11 5" xfId="10961"/>
    <cellStyle name="Output 2 11 2 6 3 2" xfId="10962"/>
    <cellStyle name="Calculation 2 6 11 5 2" xfId="10963"/>
    <cellStyle name="Input 2 12 3 7 5" xfId="10964"/>
    <cellStyle name="Calculation 2 6 11 5 3" xfId="10965"/>
    <cellStyle name="Input 2 12 3 7 6" xfId="10966"/>
    <cellStyle name="Calculation 2 6 11 6" xfId="10967"/>
    <cellStyle name="Output 2 11 2 6 3 3" xfId="10968"/>
    <cellStyle name="Calculation 2 6 12 3" xfId="10969"/>
    <cellStyle name="Calculation 2 6 12 3 2" xfId="10970"/>
    <cellStyle name="Output 2 10 7 5 3" xfId="10971"/>
    <cellStyle name="Calculation 2 6 12 3 3" xfId="10972"/>
    <cellStyle name="Output 2 4 7 4 2" xfId="10973"/>
    <cellStyle name="Calculation 2 6 12 3 4" xfId="10974"/>
    <cellStyle name="Output 2 4 7 4 3" xfId="10975"/>
    <cellStyle name="Calculation 2 6 12 4" xfId="10976"/>
    <cellStyle name="Calculation 2 6 12 4 2" xfId="10977"/>
    <cellStyle name="Input 2 5 2 2 5" xfId="10978"/>
    <cellStyle name="Input 2 5 2 2 6" xfId="10979"/>
    <cellStyle name="Calculation 2 6 12 4 3" xfId="10980"/>
    <cellStyle name="Output 2 4 7 5 2" xfId="10981"/>
    <cellStyle name="Output 2 11 2 6 4 2" xfId="10982"/>
    <cellStyle name="Calculation 2 6 12 5" xfId="10983"/>
    <cellStyle name="Output 2 5 2 5 2 2" xfId="10984"/>
    <cellStyle name="Input 2 5 2 3 5" xfId="10985"/>
    <cellStyle name="Calculation 2 6 12 5 2" xfId="10986"/>
    <cellStyle name="Output 2 9 3 10 2 3" xfId="10987"/>
    <cellStyle name="Input 2 5 2 3 6" xfId="10988"/>
    <cellStyle name="Calculation 2 6 12 5 3" xfId="10989"/>
    <cellStyle name="Output 2 9 3 10 2 4" xfId="10990"/>
    <cellStyle name="Output 2 11 2 6 4 3" xfId="10991"/>
    <cellStyle name="Calculation 2 6 12 6" xfId="10992"/>
    <cellStyle name="Output 2 5 2 5 2 3" xfId="10993"/>
    <cellStyle name="Calculation 2 6 12 7" xfId="10994"/>
    <cellStyle name="Input 2 8 3 11 2" xfId="10995"/>
    <cellStyle name="Output 2 5 2 5 2 4" xfId="10996"/>
    <cellStyle name="Calculation 2 6 13 2" xfId="10997"/>
    <cellStyle name="Calculation 2 6 13 3" xfId="10998"/>
    <cellStyle name="Calculation 2 6 13 4" xfId="10999"/>
    <cellStyle name="Calculation 2 6 14 2" xfId="11000"/>
    <cellStyle name="Input 2 8 2 10 2 3" xfId="11001"/>
    <cellStyle name="Calculation 2 6 14 3" xfId="11002"/>
    <cellStyle name="Input 2 8 2 10 2 4" xfId="11003"/>
    <cellStyle name="Note 2 8 2 10 2 2" xfId="11004"/>
    <cellStyle name="Calculation 2 6 14 4" xfId="11005"/>
    <cellStyle name="Note 2 8 2 10 2 3" xfId="11006"/>
    <cellStyle name="Calculation 2 6 15 2" xfId="11007"/>
    <cellStyle name="Input 2 8 2 10 3 3" xfId="11008"/>
    <cellStyle name="Calculation 2 6 15 3" xfId="11009"/>
    <cellStyle name="Input 2 8 2 10 3 4" xfId="11010"/>
    <cellStyle name="Note 2 8 2 10 3 2" xfId="11011"/>
    <cellStyle name="Calculation 2 6 16" xfId="11012"/>
    <cellStyle name="Calculation 2 6 16 2" xfId="11013"/>
    <cellStyle name="Input 2 8 2 10 4 3" xfId="11014"/>
    <cellStyle name="Calculation 2 6 16 3" xfId="11015"/>
    <cellStyle name="Note 2 8 2 10 4 2" xfId="11016"/>
    <cellStyle name="Calculation 2 6 17" xfId="11017"/>
    <cellStyle name="Calculation 2 9 2 10 4 2" xfId="11018"/>
    <cellStyle name="Calculation 2 6 17 2" xfId="11019"/>
    <cellStyle name="Input 2 8 2 10 5 3" xfId="11020"/>
    <cellStyle name="Calculation 2 6 17 2 2" xfId="11021"/>
    <cellStyle name="Calculation 2 6 18" xfId="11022"/>
    <cellStyle name="Calculation 2 9 2 10 4 3" xfId="11023"/>
    <cellStyle name="Calculation 2 6 19" xfId="11024"/>
    <cellStyle name="Calculation 2 6 2" xfId="11025"/>
    <cellStyle name="Calculation 2 6 2 10" xfId="11026"/>
    <cellStyle name="Input 2 2 3 4 7" xfId="11027"/>
    <cellStyle name="Input 2 9 3 10 5 2" xfId="11028"/>
    <cellStyle name="Calculation 2 6 2 10 2" xfId="11029"/>
    <cellStyle name="Calculation 2 6 2 10 3" xfId="11030"/>
    <cellStyle name="Output 2 11 11 2" xfId="11031"/>
    <cellStyle name="Calculation 2 6 2 10 4" xfId="11032"/>
    <cellStyle name="Output 2 11 11 3" xfId="11033"/>
    <cellStyle name="Calculation 2 6 2 10 5" xfId="11034"/>
    <cellStyle name="Output 2 11 11 4" xfId="11035"/>
    <cellStyle name="Calculation 2 6 2 10 6" xfId="11036"/>
    <cellStyle name="Output 2 11 11 5" xfId="11037"/>
    <cellStyle name="Calculation 2 6 2 10 7" xfId="11038"/>
    <cellStyle name="Output 2 11 11 6" xfId="11039"/>
    <cellStyle name="Calculation 2 6 2 11" xfId="11040"/>
    <cellStyle name="Input 2 9 3 10 5 3" xfId="11041"/>
    <cellStyle name="Calculation 2 6 2 11 2" xfId="11042"/>
    <cellStyle name="Calculation 2 6 2 11 3" xfId="11043"/>
    <cellStyle name="Output 2 11 12 2" xfId="11044"/>
    <cellStyle name="Calculation 2 6 2 11 4" xfId="11045"/>
    <cellStyle name="Output 2 11 12 3" xfId="11046"/>
    <cellStyle name="Calculation 2 6 2 12" xfId="11047"/>
    <cellStyle name="Note 2 4 12 3 2" xfId="11048"/>
    <cellStyle name="Note 2 9 3 10 5 2" xfId="11049"/>
    <cellStyle name="Calculation 2 6 2 12 2" xfId="11050"/>
    <cellStyle name="Input 2 15 10 5" xfId="11051"/>
    <cellStyle name="Input 2 4 13" xfId="11052"/>
    <cellStyle name="Input 2 15 10 6" xfId="11053"/>
    <cellStyle name="Calculation 2 6 2 12 3" xfId="11054"/>
    <cellStyle name="Output 2 11 13 2" xfId="11055"/>
    <cellStyle name="Input 2 4 14" xfId="11056"/>
    <cellStyle name="Output 2 9 3 8 2 2" xfId="11057"/>
    <cellStyle name="Input 2 15 10 7" xfId="11058"/>
    <cellStyle name="Calculation 2 6 2 12 4" xfId="11059"/>
    <cellStyle name="Output 2 11 13 3" xfId="11060"/>
    <cellStyle name="Input 2 4 15" xfId="11061"/>
    <cellStyle name="Input 2 4 20" xfId="11062"/>
    <cellStyle name="Output 2 9 3 8 2 3" xfId="11063"/>
    <cellStyle name="Calculation 2 6 2 13" xfId="11064"/>
    <cellStyle name="Note 2 4 12 3 3" xfId="11065"/>
    <cellStyle name="Note 2 9 3 10 5 3" xfId="11066"/>
    <cellStyle name="Calculation 2 6 2 14" xfId="11067"/>
    <cellStyle name="Note 2 4 12 3 4" xfId="11068"/>
    <cellStyle name="Calculation 2 6 2 15" xfId="11069"/>
    <cellStyle name="Calculation 2 6 2 16" xfId="11070"/>
    <cellStyle name="Calculation 2 6 2 2" xfId="11071"/>
    <cellStyle name="Note 2 14 7 4 3" xfId="11072"/>
    <cellStyle name="Output 2 3 3 8 6" xfId="11073"/>
    <cellStyle name="Calculation 2 6 2 2 2" xfId="11074"/>
    <cellStyle name="Calculation 2 6 2 2 2 2" xfId="11075"/>
    <cellStyle name="Input 2 2 4 7" xfId="11076"/>
    <cellStyle name="Calculation 2 6 2 2 2 2 2" xfId="11077"/>
    <cellStyle name="Calculation 2 6 2 2 2 2 2 2" xfId="11078"/>
    <cellStyle name="Calculation 2 6 2 2 2 2 2 2 2" xfId="11079"/>
    <cellStyle name="Calculation 2 6 2 2 3" xfId="11080"/>
    <cellStyle name="Calculation 2 6 2 2 3 2" xfId="11081"/>
    <cellStyle name="Input 2 2 5 7" xfId="11082"/>
    <cellStyle name="Calculation 2 6 2 2 4" xfId="11083"/>
    <cellStyle name="Calculation 2 6 2 2 5" xfId="11084"/>
    <cellStyle name="Calculation 2 6 2 2 5 2" xfId="11085"/>
    <cellStyle name="Input 2 2 7 7" xfId="11086"/>
    <cellStyle name="Calculation 2 6 2 2 6" xfId="11087"/>
    <cellStyle name="Output 2 16 14 2" xfId="11088"/>
    <cellStyle name="Calculation 2 6 2 2 6 2" xfId="11089"/>
    <cellStyle name="Input 2 2 8 7" xfId="11090"/>
    <cellStyle name="Calculation 2 6 2 2 6 2 2" xfId="11091"/>
    <cellStyle name="Calculation 2 6 2 2 7" xfId="11092"/>
    <cellStyle name="Input 2 3 2 6 3 2" xfId="11093"/>
    <cellStyle name="Output 2 16 14 3" xfId="11094"/>
    <cellStyle name="Calculation 2 6 2 3" xfId="11095"/>
    <cellStyle name="Output 2 3 3 8 7" xfId="11096"/>
    <cellStyle name="Calculation 2 6 2 3 2" xfId="11097"/>
    <cellStyle name="Output 2 8 2 14" xfId="11098"/>
    <cellStyle name="Calculation 2 6 2 3 2 2" xfId="11099"/>
    <cellStyle name="Input 2 3 4 7" xfId="11100"/>
    <cellStyle name="Note 2 12 2 5 6" xfId="11101"/>
    <cellStyle name="Output 2 8 2 14 2" xfId="11102"/>
    <cellStyle name="Calculation 2 6 2 3 3" xfId="11103"/>
    <cellStyle name="Output 2 8 2 15" xfId="11104"/>
    <cellStyle name="Calculation 2 6 2 3 3 2" xfId="11105"/>
    <cellStyle name="Input 2 3 5 7" xfId="11106"/>
    <cellStyle name="Note 2 12 2 6 6" xfId="11107"/>
    <cellStyle name="Calculation 2 6 2 3 4" xfId="11108"/>
    <cellStyle name="Output 2 8 2 16" xfId="11109"/>
    <cellStyle name="Calculation 2 6 2 3 4 2" xfId="11110"/>
    <cellStyle name="Input 2 3 6 7" xfId="11111"/>
    <cellStyle name="Note 2 12 2 7 6" xfId="11112"/>
    <cellStyle name="Calculation 2 6 2 3 5" xfId="11113"/>
    <cellStyle name="Output 2 8 2 17" xfId="11114"/>
    <cellStyle name="Calculation 2 6 2 3 6" xfId="11115"/>
    <cellStyle name="Calculation 2 6 2 3 6 2" xfId="11116"/>
    <cellStyle name="Input 2 3 8 7" xfId="11117"/>
    <cellStyle name="Note 2 12 2 9 6" xfId="11118"/>
    <cellStyle name="Calculation 2 6 2 3 6 2 2" xfId="11119"/>
    <cellStyle name="Calculation 2 6 2 3 7" xfId="11120"/>
    <cellStyle name="Input 2 3 2 6 4 2" xfId="11121"/>
    <cellStyle name="Calculation 2 6 2 4" xfId="11122"/>
    <cellStyle name="Calculation 2 6 2 4 2" xfId="11123"/>
    <cellStyle name="Calculation 2 6 2 4 2 2" xfId="11124"/>
    <cellStyle name="Input 2 4 4 7" xfId="11125"/>
    <cellStyle name="Note 2 12 3 5 6" xfId="11126"/>
    <cellStyle name="Calculation 2 6 2 4 3" xfId="11127"/>
    <cellStyle name="Calculation 2 6 2 4 3 2" xfId="11128"/>
    <cellStyle name="Input 2 4 5 7" xfId="11129"/>
    <cellStyle name="Note 2 12 3 6 6" xfId="11130"/>
    <cellStyle name="Calculation 2 6 2 4 4" xfId="11131"/>
    <cellStyle name="Input 2 2 3 8 6 2 2" xfId="11132"/>
    <cellStyle name="Calculation 2 6 2 4 4 2" xfId="11133"/>
    <cellStyle name="Input 2 4 6 7" xfId="11134"/>
    <cellStyle name="Note 2 12 3 7 6" xfId="11135"/>
    <cellStyle name="Calculation 2 6 2 4 5" xfId="11136"/>
    <cellStyle name="Calculation 2 6 2 4 5 2" xfId="11137"/>
    <cellStyle name="Input 2 4 7 7" xfId="11138"/>
    <cellStyle name="Note 2 12 3 8 6" xfId="11139"/>
    <cellStyle name="Calculation 2 6 2 4 6" xfId="11140"/>
    <cellStyle name="Calculation 2 6 2 4 7" xfId="11141"/>
    <cellStyle name="Input 2 3 2 6 5 2" xfId="11142"/>
    <cellStyle name="Calculation 2 6 2 5" xfId="11143"/>
    <cellStyle name="Calculation 2 6 2 5 2" xfId="11144"/>
    <cellStyle name="Calculation 2 6 2 5 2 2" xfId="11145"/>
    <cellStyle name="Input 2 5 4 7" xfId="11146"/>
    <cellStyle name="Calculation 2 6 2 5 3" xfId="11147"/>
    <cellStyle name="Calculation 2 6 2 5 3 2" xfId="11148"/>
    <cellStyle name="Input 2 4 3 11" xfId="11149"/>
    <cellStyle name="Input 2 5 5 7" xfId="11150"/>
    <cellStyle name="Calculation 2 6 2 5 4" xfId="11151"/>
    <cellStyle name="Calculation 2 6 2 5 5" xfId="11152"/>
    <cellStyle name="Calculation 2 6 2 5 6" xfId="11153"/>
    <cellStyle name="Calculation 2 6 2 5 7" xfId="11154"/>
    <cellStyle name="Calculation 2 6 2 6" xfId="11155"/>
    <cellStyle name="Calculation 2 6 2 6 2" xfId="11156"/>
    <cellStyle name="Calculation 2 6 2 6 2 2" xfId="11157"/>
    <cellStyle name="Input 2 6 4 7" xfId="11158"/>
    <cellStyle name="Note 2 2 2 3 8" xfId="11159"/>
    <cellStyle name="Calculation 2 6 2 6 3" xfId="11160"/>
    <cellStyle name="Calculation 2 6 2 6 3 2" xfId="11161"/>
    <cellStyle name="Input 2 6 5 7" xfId="11162"/>
    <cellStyle name="Note 2 2 2 4 8" xfId="11163"/>
    <cellStyle name="Calculation 2 6 2 6 4" xfId="11164"/>
    <cellStyle name="Note 2 5 2 4 2 2" xfId="11165"/>
    <cellStyle name="Calculation 2 6 2 6 4 2" xfId="11166"/>
    <cellStyle name="Input 2 6 6 7" xfId="11167"/>
    <cellStyle name="Note 2 2 2 5 8" xfId="11168"/>
    <cellStyle name="Output 2 12 2 3 2 4" xfId="11169"/>
    <cellStyle name="Note 2 14 12 2 2" xfId="11170"/>
    <cellStyle name="Calculation 2 6 2 6 5" xfId="11171"/>
    <cellStyle name="Note 2 5 2 4 2 3" xfId="11172"/>
    <cellStyle name="Calculation 2 6 2 6 5 2" xfId="11173"/>
    <cellStyle name="Input 2 6 7 7" xfId="11174"/>
    <cellStyle name="Note 2 2 2 6 8" xfId="11175"/>
    <cellStyle name="Output 2 12 2 3 3 4" xfId="11176"/>
    <cellStyle name="Note 2 14 12 2 3" xfId="11177"/>
    <cellStyle name="Calculation 2 6 2 6 6" xfId="11178"/>
    <cellStyle name="Note 2 5 2 4 2 4" xfId="11179"/>
    <cellStyle name="Calculation 2 6 2 6 7" xfId="11180"/>
    <cellStyle name="Note 2 14 12 2 4" xfId="11181"/>
    <cellStyle name="Calculation 2 6 2 7" xfId="11182"/>
    <cellStyle name="Calculation 2 6 2 7 2" xfId="11183"/>
    <cellStyle name="Calculation 2 6 2 7 2 2" xfId="11184"/>
    <cellStyle name="Input 2 7 4 7" xfId="11185"/>
    <cellStyle name="Note 2 2 3 3 8" xfId="11186"/>
    <cellStyle name="Calculation 2 6 2 7 3" xfId="11187"/>
    <cellStyle name="Normal 2 4 8 2 2" xfId="11188"/>
    <cellStyle name="Calculation 2 6 2 7 3 2" xfId="11189"/>
    <cellStyle name="Input 2 7 5 7" xfId="11190"/>
    <cellStyle name="Note 2 2 3 4 8" xfId="11191"/>
    <cellStyle name="Calculation 2 6 2 7 4" xfId="11192"/>
    <cellStyle name="Note 2 5 2 4 3 2" xfId="11193"/>
    <cellStyle name="Calculation 2 6 2 7 4 2" xfId="11194"/>
    <cellStyle name="Input 2 7 6 7" xfId="11195"/>
    <cellStyle name="Note 2 2 3 5 8" xfId="11196"/>
    <cellStyle name="Output 2 12 2 4 2 4" xfId="11197"/>
    <cellStyle name="Note 2 14 12 3 2" xfId="11198"/>
    <cellStyle name="Calculation 2 6 2 7 5" xfId="11199"/>
    <cellStyle name="Note 2 5 2 4 3 3" xfId="11200"/>
    <cellStyle name="Note 2 14 12 3 3" xfId="11201"/>
    <cellStyle name="Calculation 2 6 2 7 6" xfId="11202"/>
    <cellStyle name="Note 2 5 2 4 3 4" xfId="11203"/>
    <cellStyle name="Calculation 2 6 2 7 7" xfId="11204"/>
    <cellStyle name="Note 2 14 12 3 4" xfId="11205"/>
    <cellStyle name="Calculation 2 6 2 8" xfId="11206"/>
    <cellStyle name="Input 2 8 3 2 2" xfId="11207"/>
    <cellStyle name="Calculation 2 6 2 8 2" xfId="11208"/>
    <cellStyle name="Input 2 8 3 2 2 2" xfId="11209"/>
    <cellStyle name="Output 2 8 3 14" xfId="11210"/>
    <cellStyle name="Calculation 2 6 2 8 2 2" xfId="11211"/>
    <cellStyle name="Input 2 8 4 7" xfId="11212"/>
    <cellStyle name="Output 2 8 3 14 2" xfId="11213"/>
    <cellStyle name="Calculation 2 6 2 8 3" xfId="11214"/>
    <cellStyle name="Input 2 8 3 2 2 3" xfId="11215"/>
    <cellStyle name="Total 2 15 2 4 2" xfId="11216"/>
    <cellStyle name="Output 2 8 3 15" xfId="11217"/>
    <cellStyle name="Calculation 2 6 2 8 3 2" xfId="11218"/>
    <cellStyle name="Input 2 8 5 7" xfId="11219"/>
    <cellStyle name="Calculation 2 6 2 8 4" xfId="11220"/>
    <cellStyle name="Input 2 8 3 2 2 4" xfId="11221"/>
    <cellStyle name="Note 2 5 2 4 4 2" xfId="11222"/>
    <cellStyle name="Total 2 15 2 4 3" xfId="11223"/>
    <cellStyle name="Output 2 8 3 16" xfId="11224"/>
    <cellStyle name="Calculation 2 6 2 8 4 2" xfId="11225"/>
    <cellStyle name="Input 2 8 6 7" xfId="11226"/>
    <cellStyle name="Output 2 12 2 5 2 4" xfId="11227"/>
    <cellStyle name="Note 2 14 12 4 2" xfId="11228"/>
    <cellStyle name="Calculation 2 6 2 8 5" xfId="11229"/>
    <cellStyle name="Note 2 5 2 4 4 3" xfId="11230"/>
    <cellStyle name="Calculation 2 6 2 8 6" xfId="11231"/>
    <cellStyle name="Note 2 14 12 4 3" xfId="11232"/>
    <cellStyle name="Calculation 2 6 2 8 7" xfId="11233"/>
    <cellStyle name="Calculation 2 6 2 9" xfId="11234"/>
    <cellStyle name="Input 2 8 3 2 3" xfId="11235"/>
    <cellStyle name="Calculation 2 6 2 9 2" xfId="11236"/>
    <cellStyle name="Input 2 8 3 2 3 2" xfId="11237"/>
    <cellStyle name="Calculation 2 6 2 9 2 2" xfId="11238"/>
    <cellStyle name="Input 2 9 4 7" xfId="11239"/>
    <cellStyle name="Calculation 2 6 2 9 2 3" xfId="11240"/>
    <cellStyle name="Note 2 13 14 2" xfId="11241"/>
    <cellStyle name="Calculation 2 6 2 9 2 4" xfId="11242"/>
    <cellStyle name="Note 2 13 14 3" xfId="11243"/>
    <cellStyle name="Calculation 2 6 2 9 3" xfId="11244"/>
    <cellStyle name="Input 2 8 3 2 3 3" xfId="11245"/>
    <cellStyle name="Calculation 2 6 2 9 3 4" xfId="11246"/>
    <cellStyle name="Note 2 13 15 3" xfId="11247"/>
    <cellStyle name="Calculation 2 6 2 9 4" xfId="11248"/>
    <cellStyle name="Input 2 8 3 2 3 4" xfId="11249"/>
    <cellStyle name="Note 2 5 2 4 5 2" xfId="11250"/>
    <cellStyle name="Note 2 14 12 5 2" xfId="11251"/>
    <cellStyle name="Calculation 2 6 2 9 5" xfId="11252"/>
    <cellStyle name="Note 2 5 2 4 5 3" xfId="11253"/>
    <cellStyle name="Calculation 2 6 2 9 6" xfId="11254"/>
    <cellStyle name="Note 2 14 12 5 3" xfId="11255"/>
    <cellStyle name="Calculation 2 6 2 9 7" xfId="11256"/>
    <cellStyle name="Calculation 2 6 3" xfId="11257"/>
    <cellStyle name="Calculation 2 6 3 10" xfId="11258"/>
    <cellStyle name="Input 2 2 3 9 7" xfId="11259"/>
    <cellStyle name="Note 2 2 9 6 2" xfId="11260"/>
    <cellStyle name="Calculation 2 6 3 10 2" xfId="11261"/>
    <cellStyle name="Calculation 2 6 3 10 2 2" xfId="11262"/>
    <cellStyle name="Calculation 2 7 3 4 4" xfId="11263"/>
    <cellStyle name="Calculation 2 6 3 10 2 3" xfId="11264"/>
    <cellStyle name="Calculation 2 7 3 4 5" xfId="11265"/>
    <cellStyle name="Calculation 2 6 3 10 2 4" xfId="11266"/>
    <cellStyle name="Calculation 2 7 3 4 6" xfId="11267"/>
    <cellStyle name="Calculation 2 6 3 10 3" xfId="11268"/>
    <cellStyle name="Output 2 12 11 2" xfId="11269"/>
    <cellStyle name="Calculation 2 7 3 5 4" xfId="11270"/>
    <cellStyle name="Calculation 2 6 3 10 3 2" xfId="11271"/>
    <cellStyle name="Output 2 12 11 2 2" xfId="11272"/>
    <cellStyle name="Calculation 2 7 3 5 5" xfId="11273"/>
    <cellStyle name="Calculation 2 6 3 10 3 3" xfId="11274"/>
    <cellStyle name="Output 2 12 11 2 3" xfId="11275"/>
    <cellStyle name="Calculation 2 7 3 5 6" xfId="11276"/>
    <cellStyle name="Calculation 2 6 3 10 3 4" xfId="11277"/>
    <cellStyle name="Output 2 12 11 2 4" xfId="11278"/>
    <cellStyle name="Note 2 5 3 5 2" xfId="11279"/>
    <cellStyle name="Calculation 2 6 3 10 4" xfId="11280"/>
    <cellStyle name="Output 2 12 11 3" xfId="11281"/>
    <cellStyle name="Calculation 2 7 3 6 4" xfId="11282"/>
    <cellStyle name="Note 2 5 3 5 2 2" xfId="11283"/>
    <cellStyle name="Total 2 16 3 2 3" xfId="11284"/>
    <cellStyle name="Calculation 2 6 3 10 4 2" xfId="11285"/>
    <cellStyle name="Output 2 12 11 3 2" xfId="11286"/>
    <cellStyle name="Calculation 2 7 3 6 5" xfId="11287"/>
    <cellStyle name="Note 2 5 3 5 2 3" xfId="11288"/>
    <cellStyle name="Total 2 16 3 2 4" xfId="11289"/>
    <cellStyle name="Calculation 2 6 3 10 4 3" xfId="11290"/>
    <cellStyle name="Output 2 12 11 3 3" xfId="11291"/>
    <cellStyle name="Note 2 5 3 5 3" xfId="11292"/>
    <cellStyle name="Calculation 2 6 3 10 5" xfId="11293"/>
    <cellStyle name="Output 2 12 11 4" xfId="11294"/>
    <cellStyle name="Calculation 2 7 3 7 4" xfId="11295"/>
    <cellStyle name="Note 2 5 3 5 3 2" xfId="11296"/>
    <cellStyle name="Total 2 16 3 3 3" xfId="11297"/>
    <cellStyle name="Calculation 2 6 3 10 5 2" xfId="11298"/>
    <cellStyle name="Output 2 10 6" xfId="11299"/>
    <cellStyle name="Output 2 12 11 4 2" xfId="11300"/>
    <cellStyle name="Calculation 2 7 3 7 5" xfId="11301"/>
    <cellStyle name="Note 2 5 3 5 3 3" xfId="11302"/>
    <cellStyle name="Total 2 16 3 3 4" xfId="11303"/>
    <cellStyle name="Calculation 2 6 3 10 5 3" xfId="11304"/>
    <cellStyle name="Output 2 10 7" xfId="11305"/>
    <cellStyle name="Output 2 12 11 4 3" xfId="11306"/>
    <cellStyle name="Note 2 5 3 5 4" xfId="11307"/>
    <cellStyle name="Calculation 2 6 3 10 6" xfId="11308"/>
    <cellStyle name="Output 2 12 11 5" xfId="11309"/>
    <cellStyle name="Note 2 5 3 5 5" xfId="11310"/>
    <cellStyle name="Calculation 2 6 3 10 7" xfId="11311"/>
    <cellStyle name="Output 2 12 11 6" xfId="11312"/>
    <cellStyle name="Calculation 2 6 3 11" xfId="11313"/>
    <cellStyle name="Calculation 2 6 3 11 2" xfId="11314"/>
    <cellStyle name="Calculation 2 6 3 11 3" xfId="11315"/>
    <cellStyle name="Output 2 12 12 2" xfId="11316"/>
    <cellStyle name="Note 2 5 3 6 2" xfId="11317"/>
    <cellStyle name="Calculation 2 6 3 11 4" xfId="11318"/>
    <cellStyle name="Output 2 12 12 3" xfId="11319"/>
    <cellStyle name="Calculation 2 6 3 12 2" xfId="11320"/>
    <cellStyle name="Input 2 16 10 5" xfId="11321"/>
    <cellStyle name="Input 2 16 10 6" xfId="11322"/>
    <cellStyle name="Calculation 2 6 3 12 3" xfId="11323"/>
    <cellStyle name="Output 2 12 13 2" xfId="11324"/>
    <cellStyle name="Input 2 16 10 7" xfId="11325"/>
    <cellStyle name="Note 2 5 3 7 2" xfId="11326"/>
    <cellStyle name="Calculation 2 6 3 12 4" xfId="11327"/>
    <cellStyle name="Output 2 12 13 3" xfId="11328"/>
    <cellStyle name="Calculation 2 6 3 13 2" xfId="11329"/>
    <cellStyle name="Input 2 14 2 10 6" xfId="11330"/>
    <cellStyle name="Input 2 14 2 10 7" xfId="11331"/>
    <cellStyle name="Calculation 2 6 3 13 3" xfId="11332"/>
    <cellStyle name="Output 2 12 14 2" xfId="11333"/>
    <cellStyle name="Calculation 2 6 3 14" xfId="11334"/>
    <cellStyle name="Output 2 4 2 10 3 2" xfId="11335"/>
    <cellStyle name="Calculation 2 6 3 14 2" xfId="11336"/>
    <cellStyle name="Output 2 4 2 17" xfId="11337"/>
    <cellStyle name="Calculation 2 6 3 14 3" xfId="11338"/>
    <cellStyle name="Output 2 12 15 2" xfId="11339"/>
    <cellStyle name="Calculation 2 6 3 15" xfId="11340"/>
    <cellStyle name="DataPilot Category" xfId="11341"/>
    <cellStyle name="Output 2 4 2 10 3 3" xfId="11342"/>
    <cellStyle name="Calculation 2 6 3 16" xfId="11343"/>
    <cellStyle name="Output 2 4 2 10 3 4" xfId="11344"/>
    <cellStyle name="Calculation 2 6 3 2" xfId="11345"/>
    <cellStyle name="Note 2 2 2 2 3 2 2 3" xfId="11346"/>
    <cellStyle name="Note 2 14 7 5 3" xfId="11347"/>
    <cellStyle name="Output 2 3 3 9 6" xfId="11348"/>
    <cellStyle name="Calculation 2 6 3 2 2" xfId="11349"/>
    <cellStyle name="Calculation 2 6 3 2 2 2" xfId="11350"/>
    <cellStyle name="Calculation 2 6 3 2 2 3" xfId="11351"/>
    <cellStyle name="Calculation 2 6 3 2 2 4" xfId="11352"/>
    <cellStyle name="Calculation 2 6 3 2 3" xfId="11353"/>
    <cellStyle name="Calculation 2 6 3 2 3 2" xfId="11354"/>
    <cellStyle name="Calculation 2 6 3 2 3 3" xfId="11355"/>
    <cellStyle name="Calculation 2 6 3 2 3 4" xfId="11356"/>
    <cellStyle name="Calculation 2 6 3 2 4" xfId="11357"/>
    <cellStyle name="Calculation 2 6 3 2 4 2" xfId="11358"/>
    <cellStyle name="Calculation 2 6 3 2 4 3" xfId="11359"/>
    <cellStyle name="Calculation 2 6 3 2 5" xfId="11360"/>
    <cellStyle name="Calculation 2 6 3 2 5 2" xfId="11361"/>
    <cellStyle name="Calculation 2 6 3 2 5 3" xfId="11362"/>
    <cellStyle name="Calculation 2 6 3 2 6" xfId="11363"/>
    <cellStyle name="Calculation 2 6 3 2 7" xfId="11364"/>
    <cellStyle name="Input 2 3 2 7 3 2" xfId="11365"/>
    <cellStyle name="Calculation 2 6 3 3" xfId="11366"/>
    <cellStyle name="Output 2 3 3 9 7" xfId="11367"/>
    <cellStyle name="Calculation 2 6 3 3 2" xfId="11368"/>
    <cellStyle name="Calculation 2 6 3 3 2 2" xfId="11369"/>
    <cellStyle name="Note 2 13 2 5 6" xfId="11370"/>
    <cellStyle name="Calculation 2 6 3 3 2 3" xfId="11371"/>
    <cellStyle name="Note 2 13 2 5 7" xfId="11372"/>
    <cellStyle name="Calculation 2 6 3 3 2 4" xfId="11373"/>
    <cellStyle name="Calculation 2 6 3 3 3" xfId="11374"/>
    <cellStyle name="Calculation 2 6 3 3 3 2" xfId="11375"/>
    <cellStyle name="Note 2 13 2 6 6" xfId="11376"/>
    <cellStyle name="Calculation 2 6 3 3 3 3" xfId="11377"/>
    <cellStyle name="Note 2 13 2 6 7" xfId="11378"/>
    <cellStyle name="Calculation 2 6 3 3 3 4" xfId="11379"/>
    <cellStyle name="Calculation 2 6 3 3 4" xfId="11380"/>
    <cellStyle name="Calculation 2 6 3 3 4 2" xfId="11381"/>
    <cellStyle name="Note 2 13 2 7 6" xfId="11382"/>
    <cellStyle name="Calculation 2 6 3 3 4 3" xfId="11383"/>
    <cellStyle name="Note 2 13 2 7 7" xfId="11384"/>
    <cellStyle name="Calculation 2 6 3 3 5" xfId="11385"/>
    <cellStyle name="Calculation 2 6 3 3 5 2" xfId="11386"/>
    <cellStyle name="Calculation 2 9 3 16" xfId="11387"/>
    <cellStyle name="Note 2 13 2 8 6" xfId="11388"/>
    <cellStyle name="Calculation 2 6 3 3 5 3" xfId="11389"/>
    <cellStyle name="Note 2 13 2 8 7" xfId="11390"/>
    <cellStyle name="Calculation 2 6 3 3 6" xfId="11391"/>
    <cellStyle name="Calculation 2 6 3 3 7" xfId="11392"/>
    <cellStyle name="Input 2 3 2 7 4 2" xfId="11393"/>
    <cellStyle name="Calculation 2 6 3 4" xfId="11394"/>
    <cellStyle name="Calculation 2 6 3 4 2" xfId="11395"/>
    <cellStyle name="Calculation 2 6 3 4 2 2" xfId="11396"/>
    <cellStyle name="Note 2 13 3 5 6" xfId="11397"/>
    <cellStyle name="Calculation 2 6 3 4 2 3" xfId="11398"/>
    <cellStyle name="Note 2 13 3 5 7" xfId="11399"/>
    <cellStyle name="Calculation 2 6 3 4 2 4" xfId="11400"/>
    <cellStyle name="Calculation 2 6 3 4 3" xfId="11401"/>
    <cellStyle name="Calculation 2 6 3 4 3 2" xfId="11402"/>
    <cellStyle name="Note 2 13 3 6 6" xfId="11403"/>
    <cellStyle name="Calculation 2 6 3 4 3 3" xfId="11404"/>
    <cellStyle name="Note 2 13 3 6 7" xfId="11405"/>
    <cellStyle name="Calculation 2 6 3 4 3 4" xfId="11406"/>
    <cellStyle name="Calculation 2 6 3 4 4" xfId="11407"/>
    <cellStyle name="Calculation 2 6 3 4 4 2" xfId="11408"/>
    <cellStyle name="Note 2 13 3 7 6" xfId="11409"/>
    <cellStyle name="Calculation 2 6 3 4 4 3" xfId="11410"/>
    <cellStyle name="Note 2 13 3 7 7" xfId="11411"/>
    <cellStyle name="Calculation 2 6 3 4 5" xfId="11412"/>
    <cellStyle name="Calculation 2 6 3 4 5 2" xfId="11413"/>
    <cellStyle name="Note 2 13 3 8 6" xfId="11414"/>
    <cellStyle name="Calculation 2 6 3 4 5 3" xfId="11415"/>
    <cellStyle name="Note 2 13 3 8 7" xfId="11416"/>
    <cellStyle name="Calculation 2 6 3 4 6" xfId="11417"/>
    <cellStyle name="Calculation 2 6 3 4 7" xfId="11418"/>
    <cellStyle name="Input 2 3 2 7 5 2" xfId="11419"/>
    <cellStyle name="Calculation 2 6 3 5" xfId="11420"/>
    <cellStyle name="Calculation 2 6 3 5 2" xfId="11421"/>
    <cellStyle name="Calculation 2 6 3 5 2 2" xfId="11422"/>
    <cellStyle name="Calculation 2 6 3 5 2 3" xfId="11423"/>
    <cellStyle name="Calculation 2 6 3 5 2 4" xfId="11424"/>
    <cellStyle name="Calculation 2 6 3 5 3" xfId="11425"/>
    <cellStyle name="Calculation 2 6 3 5 3 2" xfId="11426"/>
    <cellStyle name="Input 2 9 3 11" xfId="11427"/>
    <cellStyle name="Calculation 2 6 3 5 3 3" xfId="11428"/>
    <cellStyle name="Input 2 9 3 12" xfId="11429"/>
    <cellStyle name="Calculation 2 6 3 5 3 4" xfId="11430"/>
    <cellStyle name="Input 2 9 3 13" xfId="11431"/>
    <cellStyle name="Calculation 2 6 3 5 4" xfId="11432"/>
    <cellStyle name="Calculation 2 6 3 5 4 2" xfId="11433"/>
    <cellStyle name="Output 2 12 3 2 2 4" xfId="11434"/>
    <cellStyle name="Calculation 2 6 3 5 4 3" xfId="11435"/>
    <cellStyle name="Calculation 2 6 3 5 5" xfId="11436"/>
    <cellStyle name="Calculation 2 6 3 5 5 2" xfId="11437"/>
    <cellStyle name="Output 2 12 3 2 3 4" xfId="11438"/>
    <cellStyle name="Calculation 2 6 3 5 5 3" xfId="11439"/>
    <cellStyle name="Calculation 2 6 3 5 6" xfId="11440"/>
    <cellStyle name="Calculation 2 6 3 5 7" xfId="11441"/>
    <cellStyle name="Calculation 2 6 3 6" xfId="11442"/>
    <cellStyle name="Heading 3 2 5 2 2 2" xfId="11443"/>
    <cellStyle name="Calculation 2 6 3 6 2" xfId="11444"/>
    <cellStyle name="Calculation 2 6 3 6 2 2" xfId="11445"/>
    <cellStyle name="Note 2 3 2 3 8" xfId="11446"/>
    <cellStyle name="Calculation 2 6 3 6 2 3" xfId="11447"/>
    <cellStyle name="Calculation 2 6 3 6 2 4" xfId="11448"/>
    <cellStyle name="Calculation 2 6 3 6 3" xfId="11449"/>
    <cellStyle name="Calculation 2 6 3 6 3 2" xfId="11450"/>
    <cellStyle name="Note 2 3 2 4 8" xfId="11451"/>
    <cellStyle name="Calculation 2 6 3 6 3 3" xfId="11452"/>
    <cellStyle name="Calculation 2 6 3 6 3 4" xfId="11453"/>
    <cellStyle name="Calculation 2 6 3 6 4" xfId="11454"/>
    <cellStyle name="Note 2 5 2 5 2 2" xfId="11455"/>
    <cellStyle name="Calculation 2 6 3 6 4 2" xfId="11456"/>
    <cellStyle name="Note 2 3 2 5 8" xfId="11457"/>
    <cellStyle name="Output 2 12 3 3 2 4" xfId="11458"/>
    <cellStyle name="Calculation 2 6 3 6 4 3" xfId="11459"/>
    <cellStyle name="Calculation 2 6 3 6 5" xfId="11460"/>
    <cellStyle name="Note 2 5 2 5 2 3" xfId="11461"/>
    <cellStyle name="Calculation 2 6 3 6 5 2" xfId="11462"/>
    <cellStyle name="Note 2 3 2 6 8" xfId="11463"/>
    <cellStyle name="Output 2 12 3 3 3 4" xfId="11464"/>
    <cellStyle name="Calculation 2 6 3 6 5 3" xfId="11465"/>
    <cellStyle name="Note 2 2 3 4 3 2 2 2" xfId="11466"/>
    <cellStyle name="Calculation 2 6 3 6 6" xfId="11467"/>
    <cellStyle name="Note 2 5 2 5 2 4" xfId="11468"/>
    <cellStyle name="Calculation 2 6 3 6 7" xfId="11469"/>
    <cellStyle name="Calculation 2 6 3 7" xfId="11470"/>
    <cellStyle name="Calculation 2 6 3 7 2" xfId="11471"/>
    <cellStyle name="Calculation 2 6 3 7 2 2" xfId="11472"/>
    <cellStyle name="Calculation 2 6 3 7 2 3" xfId="11473"/>
    <cellStyle name="Calculation 2 6 3 7 2 4" xfId="11474"/>
    <cellStyle name="Calculation 2 6 3 7 3" xfId="11475"/>
    <cellStyle name="Normal 2 4 9 2 2" xfId="11476"/>
    <cellStyle name="Calculation 2 6 3 7 3 2" xfId="11477"/>
    <cellStyle name="Calculation 2 6 3 7 3 3" xfId="11478"/>
    <cellStyle name="Calculation 2 6 3 7 3 4" xfId="11479"/>
    <cellStyle name="Calculation 2 6 3 7 4" xfId="11480"/>
    <cellStyle name="Note 2 5 2 5 3 2" xfId="11481"/>
    <cellStyle name="Calculation 2 6 3 7 4 2" xfId="11482"/>
    <cellStyle name="Output 2 12 3 4 2 4" xfId="11483"/>
    <cellStyle name="Calculation 2 6 3 7 4 3" xfId="11484"/>
    <cellStyle name="Calculation 2 6 3 7 5" xfId="11485"/>
    <cellStyle name="Note 2 5 2 5 3 3" xfId="11486"/>
    <cellStyle name="Calculation 2 6 3 7 6" xfId="11487"/>
    <cellStyle name="Note 2 5 2 5 3 4" xfId="11488"/>
    <cellStyle name="Calculation 2 6 3 7 7" xfId="11489"/>
    <cellStyle name="Calculation 2 6 3 8" xfId="11490"/>
    <cellStyle name="Input 2 8 3 3 2" xfId="11491"/>
    <cellStyle name="Calculation 2 6 3 8 2" xfId="11492"/>
    <cellStyle name="Input 2 8 3 3 2 2" xfId="11493"/>
    <cellStyle name="Calculation 2 6 3 8 2 2" xfId="11494"/>
    <cellStyle name="Calculation 2 6 3 8 2 3" xfId="11495"/>
    <cellStyle name="Calculation 2 6 3 8 2 4" xfId="11496"/>
    <cellStyle name="Calculation 2 6 3 8 3" xfId="11497"/>
    <cellStyle name="Input 2 8 3 3 2 3" xfId="11498"/>
    <cellStyle name="Calculation 2 6 3 8 3 2" xfId="11499"/>
    <cellStyle name="Calculation 2 6 3 8 3 3" xfId="11500"/>
    <cellStyle name="Calculation 2 6 3 8 3 4" xfId="11501"/>
    <cellStyle name="Calculation 2 6 3 8 4" xfId="11502"/>
    <cellStyle name="Input 2 8 3 3 2 4" xfId="11503"/>
    <cellStyle name="Note 2 5 2 5 4 2" xfId="11504"/>
    <cellStyle name="Calculation 2 6 3 8 4 2" xfId="11505"/>
    <cellStyle name="Output 2 12 3 5 2 4" xfId="11506"/>
    <cellStyle name="Calculation 2 6 3 8 4 3" xfId="11507"/>
    <cellStyle name="Calculation 2 6 3 8 7" xfId="11508"/>
    <cellStyle name="Calculation 2 6 3 9" xfId="11509"/>
    <cellStyle name="Input 2 8 3 3 3" xfId="11510"/>
    <cellStyle name="Calculation 2 6 3 9 2" xfId="11511"/>
    <cellStyle name="Input 2 8 3 3 3 2" xfId="11512"/>
    <cellStyle name="Calculation 2 6 3 9 2 2" xfId="11513"/>
    <cellStyle name="Calculation 2 6 3 9 2 3" xfId="11514"/>
    <cellStyle name="Calculation 2 6 3 9 2 4" xfId="11515"/>
    <cellStyle name="Calculation 2 6 3 9 3" xfId="11516"/>
    <cellStyle name="Input 2 8 3 3 3 3" xfId="11517"/>
    <cellStyle name="Calculation 2 6 3 9 3 4" xfId="11518"/>
    <cellStyle name="Calculation 2 6 3 9 4" xfId="11519"/>
    <cellStyle name="Input 2 8 3 3 3 4" xfId="11520"/>
    <cellStyle name="Note 2 5 2 5 5 2" xfId="11521"/>
    <cellStyle name="Calculation 2 6 3 9 5" xfId="11522"/>
    <cellStyle name="Note 2 5 2 5 5 3" xfId="11523"/>
    <cellStyle name="Calculation 2 6 3 9 6" xfId="11524"/>
    <cellStyle name="Calculation 2 6 3 9 7" xfId="11525"/>
    <cellStyle name="Calculation 2 6 4" xfId="11526"/>
    <cellStyle name="Calculation 2 6 4 2" xfId="11527"/>
    <cellStyle name="Calculation 2 6 4 2 2" xfId="11528"/>
    <cellStyle name="Calculation 2 6 4 2 3" xfId="11529"/>
    <cellStyle name="Calculation 2 6 4 2 4" xfId="11530"/>
    <cellStyle name="Calculation 2 6 4 3" xfId="11531"/>
    <cellStyle name="Calculation 2 6 4 3 2" xfId="11532"/>
    <cellStyle name="Calculation 2 6 4 3 3" xfId="11533"/>
    <cellStyle name="Calculation 2 6 4 3 4" xfId="11534"/>
    <cellStyle name="Calculation 2 6 4 4" xfId="11535"/>
    <cellStyle name="Calculation 2 6 4 4 2" xfId="11536"/>
    <cellStyle name="Calculation 2 6 4 4 3" xfId="11537"/>
    <cellStyle name="Input 2 10 2 10" xfId="11538"/>
    <cellStyle name="Calculation 2 6 4 5" xfId="11539"/>
    <cellStyle name="Calculation 2 6 4 5 2" xfId="11540"/>
    <cellStyle name="Calculation 2 6 4 5 3" xfId="11541"/>
    <cellStyle name="Calculation 2 6 4 6" xfId="11542"/>
    <cellStyle name="Calculation 2 6 4 7" xfId="11543"/>
    <cellStyle name="Calculation 2 6 5" xfId="11544"/>
    <cellStyle name="Calculation 2 6 5 2" xfId="11545"/>
    <cellStyle name="Calculation 2 6 5 2 2" xfId="11546"/>
    <cellStyle name="Calculation 2 6 5 2 3" xfId="11547"/>
    <cellStyle name="Calculation 2 6 5 2 4" xfId="11548"/>
    <cellStyle name="Calculation 2 6 5 3" xfId="11549"/>
    <cellStyle name="Calculation 2 6 5 3 2" xfId="11550"/>
    <cellStyle name="Calculation 2 6 5 3 3" xfId="11551"/>
    <cellStyle name="Calculation 2 6 5 3 4" xfId="11552"/>
    <cellStyle name="Calculation 2 6 5 4" xfId="11553"/>
    <cellStyle name="Calculation 2 6 5 4 2" xfId="11554"/>
    <cellStyle name="Calculation 2 6 5 4 3" xfId="11555"/>
    <cellStyle name="Calculation 2 6 5 5" xfId="11556"/>
    <cellStyle name="Note 2 14 2 2" xfId="11557"/>
    <cellStyle name="Calculation 2 6 5 5 2" xfId="11558"/>
    <cellStyle name="Note 2 14 2 2 2" xfId="11559"/>
    <cellStyle name="Calculation 2 6 5 5 3" xfId="11560"/>
    <cellStyle name="Note 2 14 2 2 3" xfId="11561"/>
    <cellStyle name="Calculation 2 6 5 6" xfId="11562"/>
    <cellStyle name="Note 2 14 2 3" xfId="11563"/>
    <cellStyle name="Calculation 2 6 5 7" xfId="11564"/>
    <cellStyle name="Note 2 14 2 4" xfId="11565"/>
    <cellStyle name="Calculation 2 6 6" xfId="11566"/>
    <cellStyle name="Calculation 2 6 6 2" xfId="11567"/>
    <cellStyle name="Calculation 2 6 6 2 2" xfId="11568"/>
    <cellStyle name="Calculation 2 6 6 2 3" xfId="11569"/>
    <cellStyle name="Calculation 2 6 6 2 4" xfId="11570"/>
    <cellStyle name="Calculation 2 6 6 3" xfId="11571"/>
    <cellStyle name="Calculation 2 6 6 3 2" xfId="11572"/>
    <cellStyle name="Calculation 2 6 6 3 3" xfId="11573"/>
    <cellStyle name="Calculation 2 6 6 3 4" xfId="11574"/>
    <cellStyle name="Calculation 2 6 6 4" xfId="11575"/>
    <cellStyle name="Calculation 2 6 6 4 2" xfId="11576"/>
    <cellStyle name="Calculation 2 6 6 4 3" xfId="11577"/>
    <cellStyle name="Calculation 2 6 6 5" xfId="11578"/>
    <cellStyle name="Note 2 14 3 2" xfId="11579"/>
    <cellStyle name="Calculation 2 6 6 5 2" xfId="11580"/>
    <cellStyle name="Note 2 14 3 2 2" xfId="11581"/>
    <cellStyle name="Calculation 2 6 6 5 3" xfId="11582"/>
    <cellStyle name="Note 2 14 3 2 3" xfId="11583"/>
    <cellStyle name="Calculation 2 6 6 6" xfId="11584"/>
    <cellStyle name="Note 2 14 3 3" xfId="11585"/>
    <cellStyle name="Calculation 2 6 6 7" xfId="11586"/>
    <cellStyle name="Note 2 14 3 4" xfId="11587"/>
    <cellStyle name="Calculation 2 6 7" xfId="11588"/>
    <cellStyle name="Calculation 2 6 7 2" xfId="11589"/>
    <cellStyle name="Calculation 2 6 7 2 2" xfId="11590"/>
    <cellStyle name="Calculation 2 6 7 2 3" xfId="11591"/>
    <cellStyle name="Calculation 2 6 7 2 4" xfId="11592"/>
    <cellStyle name="Calculation 2 6 7 3" xfId="11593"/>
    <cellStyle name="Calculation 2 6 7 3 2" xfId="11594"/>
    <cellStyle name="Output 2 9 2 14" xfId="11595"/>
    <cellStyle name="Calculation 2 6 7 3 3" xfId="11596"/>
    <cellStyle name="Output 2 9 2 15" xfId="11597"/>
    <cellStyle name="Calculation 2 6 7 3 4" xfId="11598"/>
    <cellStyle name="Output 2 9 2 16" xfId="11599"/>
    <cellStyle name="Calculation 2 6 7 4" xfId="11600"/>
    <cellStyle name="Calculation 2 6 7 4 2" xfId="11601"/>
    <cellStyle name="Input 2 6 2 10 2 3" xfId="11602"/>
    <cellStyle name="Calculation 2 6 7 4 3" xfId="11603"/>
    <cellStyle name="Input 2 6 2 10 2 4" xfId="11604"/>
    <cellStyle name="Note 2 6 2 10 2 2" xfId="11605"/>
    <cellStyle name="Calculation 2 6 7 5" xfId="11606"/>
    <cellStyle name="Note 2 14 4 2" xfId="11607"/>
    <cellStyle name="Input 2 6 2 10 3 3" xfId="11608"/>
    <cellStyle name="Calculation 2 6 7 5 2" xfId="11609"/>
    <cellStyle name="Note 2 14 4 2 2" xfId="11610"/>
    <cellStyle name="Input 2 6 2 10 3 4" xfId="11611"/>
    <cellStyle name="Calculation 2 6 7 5 3" xfId="11612"/>
    <cellStyle name="Note 2 14 4 2 3" xfId="11613"/>
    <cellStyle name="Note 2 6 2 10 3 2" xfId="11614"/>
    <cellStyle name="Calculation 2 6 7 6" xfId="11615"/>
    <cellStyle name="Note 2 14 4 3" xfId="11616"/>
    <cellStyle name="Calculation 2 6 7 7" xfId="11617"/>
    <cellStyle name="Note 2 14 4 4" xfId="11618"/>
    <cellStyle name="Calculation 2 6 8" xfId="11619"/>
    <cellStyle name="Calculation 2 6 8 2" xfId="11620"/>
    <cellStyle name="Calculation 2 6 8 2 2" xfId="11621"/>
    <cellStyle name="Output 2 7 2 10 2 4" xfId="11622"/>
    <cellStyle name="Calculation 2 6 8 2 3" xfId="11623"/>
    <cellStyle name="Normal 2 4 10 2 2" xfId="11624"/>
    <cellStyle name="Calculation 2 6 8 2 4" xfId="11625"/>
    <cellStyle name="Calculation 2 6 8 3" xfId="11626"/>
    <cellStyle name="Calculation 2 6 8 3 2" xfId="11627"/>
    <cellStyle name="Output 2 7 2 10 3 4" xfId="11628"/>
    <cellStyle name="Calculation 2 6 8 3 3" xfId="11629"/>
    <cellStyle name="Calculation 2 6 8 3 4" xfId="11630"/>
    <cellStyle name="Calculation 2 6 8 4" xfId="11631"/>
    <cellStyle name="Calculation 2 6 8 4 2" xfId="11632"/>
    <cellStyle name="Calculation 2 6 8 4 3" xfId="11633"/>
    <cellStyle name="Calculation 2 6 8 5" xfId="11634"/>
    <cellStyle name="Note 2 14 5 2" xfId="11635"/>
    <cellStyle name="Calculation 2 6 8 5 2" xfId="11636"/>
    <cellStyle name="Note 2 14 5 2 2" xfId="11637"/>
    <cellStyle name="Calculation 2 6 8 5 3" xfId="11638"/>
    <cellStyle name="Note 2 14 5 2 3" xfId="11639"/>
    <cellStyle name="Calculation 2 6 8 6" xfId="11640"/>
    <cellStyle name="Note 2 14 5 3" xfId="11641"/>
    <cellStyle name="Calculation 2 6 8 7" xfId="11642"/>
    <cellStyle name="Note 2 14 5 4" xfId="11643"/>
    <cellStyle name="Calculation 2 6 9" xfId="11644"/>
    <cellStyle name="Calculation 2 6 9 2" xfId="11645"/>
    <cellStyle name="Input 2 13 3 2 3" xfId="11646"/>
    <cellStyle name="Input 2 13 3 2 3 2" xfId="11647"/>
    <cellStyle name="Input 2 14 10" xfId="11648"/>
    <cellStyle name="Calculation 2 6 9 2 2" xfId="11649"/>
    <cellStyle name="Output 2 3 2 3 5" xfId="11650"/>
    <cellStyle name="Input 2 13 3 2 3 3" xfId="11651"/>
    <cellStyle name="Input 2 14 11" xfId="11652"/>
    <cellStyle name="Calculation 2 6 9 2 3" xfId="11653"/>
    <cellStyle name="Output 2 3 2 3 6" xfId="11654"/>
    <cellStyle name="Input 2 13 3 2 3 4" xfId="11655"/>
    <cellStyle name="Input 2 14 12" xfId="11656"/>
    <cellStyle name="Note 2 13 3 2 3 2" xfId="11657"/>
    <cellStyle name="Calculation 2 6 9 2 4" xfId="11658"/>
    <cellStyle name="Output 2 3 2 3 7" xfId="11659"/>
    <cellStyle name="Calculation 2 6 9 3" xfId="11660"/>
    <cellStyle name="Input 2 13 3 2 4" xfId="11661"/>
    <cellStyle name="Output 2 11 6 2 2" xfId="11662"/>
    <cellStyle name="Total 2 3" xfId="11663"/>
    <cellStyle name="Input 2 13 3 2 4 2" xfId="11664"/>
    <cellStyle name="Calculation 2 6 9 3 2" xfId="11665"/>
    <cellStyle name="Output 2 3 2 4 5" xfId="11666"/>
    <cellStyle name="Total 2 4" xfId="11667"/>
    <cellStyle name="Input 2 13 3 2 4 3" xfId="11668"/>
    <cellStyle name="Calculation 2 6 9 3 3" xfId="11669"/>
    <cellStyle name="Output 2 3 2 4 6" xfId="11670"/>
    <cellStyle name="Note 2 13 3 2 4 2" xfId="11671"/>
    <cellStyle name="Calculation 2 6 9 3 4" xfId="11672"/>
    <cellStyle name="Output 2 3 2 4 7" xfId="11673"/>
    <cellStyle name="Calculation 2 6 9 4" xfId="11674"/>
    <cellStyle name="Input 2 13 3 2 5" xfId="11675"/>
    <cellStyle name="Output 2 11 6 2 3" xfId="11676"/>
    <cellStyle name="Total 3 3" xfId="11677"/>
    <cellStyle name="Input 2 13 3 2 5 2" xfId="11678"/>
    <cellStyle name="Calculation 2 6 9 4 2" xfId="11679"/>
    <cellStyle name="Output 2 3 2 5 5" xfId="11680"/>
    <cellStyle name="Input 2 11 2 10" xfId="11681"/>
    <cellStyle name="Input 2 13 3 2 5 3" xfId="11682"/>
    <cellStyle name="Calculation 2 6 9 4 3" xfId="11683"/>
    <cellStyle name="Output 2 3 2 5 6" xfId="11684"/>
    <cellStyle name="Input 2 13 3 2 6" xfId="11685"/>
    <cellStyle name="Calculation 2 6 9 5" xfId="11686"/>
    <cellStyle name="Note 2 14 6 2" xfId="11687"/>
    <cellStyle name="Output 2 11 6 2 4" xfId="11688"/>
    <cellStyle name="Calculation 2 6 9 5 2" xfId="11689"/>
    <cellStyle name="Note 2 14 6 2 2" xfId="11690"/>
    <cellStyle name="Output 2 3 2 6 5" xfId="11691"/>
    <cellStyle name="Calculation 2 6 9 5 3" xfId="11692"/>
    <cellStyle name="Note 2 14 6 2 3" xfId="11693"/>
    <cellStyle name="Output 2 3 2 6 6" xfId="11694"/>
    <cellStyle name="Input 2 13 3 2 7" xfId="11695"/>
    <cellStyle name="Calculation 2 6 9 6" xfId="11696"/>
    <cellStyle name="Note 2 14 6 3" xfId="11697"/>
    <cellStyle name="Calculation 2 6 9 7" xfId="11698"/>
    <cellStyle name="Note 2 14 6 4" xfId="11699"/>
    <cellStyle name="Calculation 2 7" xfId="11700"/>
    <cellStyle name="Calculation 2 7 10" xfId="11701"/>
    <cellStyle name="Calculation 2 7 10 2" xfId="11702"/>
    <cellStyle name="Calculation 2 7 10 2 2" xfId="11703"/>
    <cellStyle name="Output 2 15 5 4 3" xfId="11704"/>
    <cellStyle name="Calculation 2 7 10 3" xfId="11705"/>
    <cellStyle name="Calculation 2 7 10 3 2" xfId="11706"/>
    <cellStyle name="Output 2 15 5 5 3" xfId="11707"/>
    <cellStyle name="Calculation 2 7 10 4" xfId="11708"/>
    <cellStyle name="Calculation 2 7 10 4 2" xfId="11709"/>
    <cellStyle name="Note 2 7 17" xfId="11710"/>
    <cellStyle name="Calculation 2 7 10 5" xfId="11711"/>
    <cellStyle name="Calculation 2 7 10 6" xfId="11712"/>
    <cellStyle name="Calculation 2 7 10 7" xfId="11713"/>
    <cellStyle name="Calculation 2 7 11" xfId="11714"/>
    <cellStyle name="Calculation 2 7 11 2" xfId="11715"/>
    <cellStyle name="Calculation 2 7 11 2 2" xfId="11716"/>
    <cellStyle name="Output 2 15 6 4 3" xfId="11717"/>
    <cellStyle name="Calculation 2 7 11 3" xfId="11718"/>
    <cellStyle name="Calculation 2 7 11 3 2" xfId="11719"/>
    <cellStyle name="Output 2 15 6 5 3" xfId="11720"/>
    <cellStyle name="Calculation 2 7 11 3 3" xfId="11721"/>
    <cellStyle name="Output 2 9 6 4 2" xfId="11722"/>
    <cellStyle name="Calculation 2 7 11 3 4" xfId="11723"/>
    <cellStyle name="Output 2 9 6 4 3" xfId="11724"/>
    <cellStyle name="Calculation 2 7 11 4" xfId="11725"/>
    <cellStyle name="Calculation 2 7 11 4 2" xfId="11726"/>
    <cellStyle name="Calculation 2 7 11 4 3" xfId="11727"/>
    <cellStyle name="Output 2 9 6 5 2" xfId="11728"/>
    <cellStyle name="Calculation 2 7 11 5" xfId="11729"/>
    <cellStyle name="Calculation 2 7 11 5 2" xfId="11730"/>
    <cellStyle name="Calculation 2 7 11 5 3" xfId="11731"/>
    <cellStyle name="Calculation 2 7 11 6" xfId="11732"/>
    <cellStyle name="Calculation 2 7 11 7" xfId="11733"/>
    <cellStyle name="Calculation 2 7 12" xfId="11734"/>
    <cellStyle name="Calculation 2 7 12 2" xfId="11735"/>
    <cellStyle name="Input 2 2 5" xfId="11736"/>
    <cellStyle name="Calculation 2 7 12 2 2" xfId="11737"/>
    <cellStyle name="Input 2 2 5 2" xfId="11738"/>
    <cellStyle name="Output 2 15 7 4 3" xfId="11739"/>
    <cellStyle name="Input 2 2 5 3" xfId="11740"/>
    <cellStyle name="Calculation 2 7 12 2 3" xfId="11741"/>
    <cellStyle name="Output 2 9 7 3 2" xfId="11742"/>
    <cellStyle name="Total 2 13 4 5 2" xfId="11743"/>
    <cellStyle name="Input 2 2 5 4" xfId="11744"/>
    <cellStyle name="Calculation 2 7 12 2 4" xfId="11745"/>
    <cellStyle name="Output 2 9 7 3 3" xfId="11746"/>
    <cellStyle name="Calculation 2 7 12 3" xfId="11747"/>
    <cellStyle name="Input 2 2 6" xfId="11748"/>
    <cellStyle name="Calculation 2 7 12 3 2" xfId="11749"/>
    <cellStyle name="Input 2 2 6 2" xfId="11750"/>
    <cellStyle name="Output 2 15 7 5 3" xfId="11751"/>
    <cellStyle name="Input 2 2 6 3" xfId="11752"/>
    <cellStyle name="Calculation 2 7 12 3 3" xfId="11753"/>
    <cellStyle name="Output 2 9 7 4 2" xfId="11754"/>
    <cellStyle name="Input 2 2 6 4" xfId="11755"/>
    <cellStyle name="Calculation 2 7 12 3 4" xfId="11756"/>
    <cellStyle name="Output 2 9 7 4 3" xfId="11757"/>
    <cellStyle name="Calculation 2 7 12 4" xfId="11758"/>
    <cellStyle name="Input 2 2 7" xfId="11759"/>
    <cellStyle name="Calculation 2 7 12 4 2" xfId="11760"/>
    <cellStyle name="Input 2 2 7 2" xfId="11761"/>
    <cellStyle name="Input 2 2 7 3" xfId="11762"/>
    <cellStyle name="Calculation 2 7 12 4 3" xfId="11763"/>
    <cellStyle name="Output 2 9 7 5 2" xfId="11764"/>
    <cellStyle name="Calculation 2 7 12 5" xfId="11765"/>
    <cellStyle name="Input 2 2 8" xfId="11766"/>
    <cellStyle name="Calculation 2 7 12 5 2" xfId="11767"/>
    <cellStyle name="Input 2 2 8 2" xfId="11768"/>
    <cellStyle name="Calculation 2 7 12 5 3" xfId="11769"/>
    <cellStyle name="Input 2 2 8 3" xfId="11770"/>
    <cellStyle name="Calculation 2 7 13" xfId="11771"/>
    <cellStyle name="Calculation 2 7 13 2" xfId="11772"/>
    <cellStyle name="Input 2 3 5" xfId="11773"/>
    <cellStyle name="Calculation 2 7 13 3" xfId="11774"/>
    <cellStyle name="Input 2 3 6" xfId="11775"/>
    <cellStyle name="Calculation 2 7 13 4" xfId="11776"/>
    <cellStyle name="Input 2 3 7" xfId="11777"/>
    <cellStyle name="Calculation 2 7 14" xfId="11778"/>
    <cellStyle name="Calculation 2 7 14 2" xfId="11779"/>
    <cellStyle name="Input 2 4 5" xfId="11780"/>
    <cellStyle name="Calculation 2 7 14 3" xfId="11781"/>
    <cellStyle name="Input 2 4 6" xfId="11782"/>
    <cellStyle name="Calculation 2 7 14 4" xfId="11783"/>
    <cellStyle name="Input 2 4 7" xfId="11784"/>
    <cellStyle name="Calculation 2 7 15" xfId="11785"/>
    <cellStyle name="Calculation 2 7 20" xfId="11786"/>
    <cellStyle name="Calculation 2 7 15 2" xfId="11787"/>
    <cellStyle name="Input 2 5 5" xfId="11788"/>
    <cellStyle name="Calculation 2 7 15 3" xfId="11789"/>
    <cellStyle name="Input 2 5 6" xfId="11790"/>
    <cellStyle name="Calculation 2 7 16" xfId="11791"/>
    <cellStyle name="Calculation 2 8 2 2 4 2" xfId="11792"/>
    <cellStyle name="Calculation 2 7 16 2" xfId="11793"/>
    <cellStyle name="Input 2 6 5" xfId="11794"/>
    <cellStyle name="Calculation 2 7 16 3" xfId="11795"/>
    <cellStyle name="Input 2 6 6" xfId="11796"/>
    <cellStyle name="Calculation 2 7 17" xfId="11797"/>
    <cellStyle name="Calculation 2 8 2 2 4 3" xfId="11798"/>
    <cellStyle name="Calculation 2 7 17 2" xfId="11799"/>
    <cellStyle name="Input 2 7 5" xfId="11800"/>
    <cellStyle name="Calculation 2 7 17 2 2" xfId="11801"/>
    <cellStyle name="Input 2 14 7 6" xfId="11802"/>
    <cellStyle name="Input 2 7 5 2" xfId="11803"/>
    <cellStyle name="Note 2 2 3 4 3" xfId="11804"/>
    <cellStyle name="Calculation 2 7 18" xfId="11805"/>
    <cellStyle name="Calculation 2 7 19" xfId="11806"/>
    <cellStyle name="Calculation 2 7 2" xfId="11807"/>
    <cellStyle name="Calculation 2 7 2 10" xfId="11808"/>
    <cellStyle name="Calculation 2 7 2 10 2" xfId="11809"/>
    <cellStyle name="Input 2 2 2 12 4" xfId="11810"/>
    <cellStyle name="Output 2 5 2 10 2 4" xfId="11811"/>
    <cellStyle name="Calculation 2 7 2 10 2 2" xfId="11812"/>
    <cellStyle name="Input 2 7 5 2 3" xfId="11813"/>
    <cellStyle name="Note 2 2 3 4 3 3" xfId="11814"/>
    <cellStyle name="Calculation 2 7 2 10 2 3" xfId="11815"/>
    <cellStyle name="Input 2 7 5 2 4" xfId="11816"/>
    <cellStyle name="Note 2 2 3 4 3 4" xfId="11817"/>
    <cellStyle name="Calculation 2 7 2 10 2 4" xfId="11818"/>
    <cellStyle name="Calculation 2 7 2 10 3" xfId="11819"/>
    <cellStyle name="Input 2 2 2 12 5" xfId="11820"/>
    <cellStyle name="Calculation 2 7 2 10 3 2" xfId="11821"/>
    <cellStyle name="Input 2 7 5 3 3" xfId="11822"/>
    <cellStyle name="Note 2 2 3 4 4 3" xfId="11823"/>
    <cellStyle name="Calculation 2 7 2 10 3 3" xfId="11824"/>
    <cellStyle name="Input 2 7 5 3 4" xfId="11825"/>
    <cellStyle name="Calculation 2 7 2 10 3 4" xfId="11826"/>
    <cellStyle name="Calculation 2 7 2 10 4" xfId="11827"/>
    <cellStyle name="Calculation 2 7 2 10 4 2" xfId="11828"/>
    <cellStyle name="Input 2 7 5 4 3" xfId="11829"/>
    <cellStyle name="Note 2 2 3 4 5 3" xfId="11830"/>
    <cellStyle name="Calculation 2 7 2 10 4 3" xfId="11831"/>
    <cellStyle name="Calculation 2 7 2 10 5" xfId="11832"/>
    <cellStyle name="Calculation 2 7 2 10 5 2" xfId="11833"/>
    <cellStyle name="Input 2 7 5 5 3" xfId="11834"/>
    <cellStyle name="Calculation 2 7 2 10 5 3" xfId="11835"/>
    <cellStyle name="Calculation 2 7 2 10 6" xfId="11836"/>
    <cellStyle name="Total 2 15 12 2" xfId="11837"/>
    <cellStyle name="Output 2 7 2 10" xfId="11838"/>
    <cellStyle name="Calculation 2 7 2 10 7" xfId="11839"/>
    <cellStyle name="Total 2 15 12 3" xfId="11840"/>
    <cellStyle name="Output 2 7 2 11" xfId="11841"/>
    <cellStyle name="Calculation 2 7 2 11" xfId="11842"/>
    <cellStyle name="Calculation 2 7 2 11 2" xfId="11843"/>
    <cellStyle name="Input 2 2 2 13 4" xfId="11844"/>
    <cellStyle name="Output 2 5 2 10 3 4" xfId="11845"/>
    <cellStyle name="Calculation 2 7 2 11 3" xfId="11846"/>
    <cellStyle name="Calculation 2 7 2 11 4" xfId="11847"/>
    <cellStyle name="Calculation 2 7 2 12" xfId="11848"/>
    <cellStyle name="Calculation 2 7 2 12 2" xfId="11849"/>
    <cellStyle name="Input 2 2 2 14 4" xfId="11850"/>
    <cellStyle name="Input 2 2 2 2 2 2 2 2 3" xfId="11851"/>
    <cellStyle name="Calculation 2 7 2 12 3" xfId="11852"/>
    <cellStyle name="Calculation 2 7 2 12 4" xfId="11853"/>
    <cellStyle name="Input 2 3 6 6 2 2" xfId="11854"/>
    <cellStyle name="Calculation 2 7 2 13" xfId="11855"/>
    <cellStyle name="Calculation 2 7 2 13 2" xfId="11856"/>
    <cellStyle name="Calculation 2 7 2 13 3" xfId="11857"/>
    <cellStyle name="Calculation 2 7 2 14" xfId="11858"/>
    <cellStyle name="Calculation 2 7 2 14 2" xfId="11859"/>
    <cellStyle name="Calculation 2 7 2 14 3" xfId="11860"/>
    <cellStyle name="Calculation 2 7 2 15" xfId="11861"/>
    <cellStyle name="Calculation 2 7 2 16" xfId="11862"/>
    <cellStyle name="Calculation 2 7 2 2" xfId="11863"/>
    <cellStyle name="Note 2 14 8 4 3" xfId="11864"/>
    <cellStyle name="Calculation 2 7 2 2 2" xfId="11865"/>
    <cellStyle name="Calculation 2 7 2 2 2 2" xfId="11866"/>
    <cellStyle name="Calculation 2 7 2 2 2 3" xfId="11867"/>
    <cellStyle name="Calculation 2 7 2 2 2 4" xfId="11868"/>
    <cellStyle name="Calculation 2 7 2 2 3" xfId="11869"/>
    <cellStyle name="Output 2 2 3 10 4 2" xfId="11870"/>
    <cellStyle name="Calculation 2 7 2 2 3 2" xfId="11871"/>
    <cellStyle name="Calculation 2 7 2 2 3 3" xfId="11872"/>
    <cellStyle name="Calculation 2 8 5 2 2" xfId="11873"/>
    <cellStyle name="Calculation 2 7 2 2 3 4" xfId="11874"/>
    <cellStyle name="Calculation 2 8 5 2 3" xfId="11875"/>
    <cellStyle name="Output 2 2 3 10 4 3" xfId="11876"/>
    <cellStyle name="Calculation 2 7 2 2 4" xfId="11877"/>
    <cellStyle name="Total 2 10 2 10 4 2" xfId="11878"/>
    <cellStyle name="Calculation 2 7 2 2 4 2" xfId="11879"/>
    <cellStyle name="Calculation 2 7 2 2 4 3" xfId="11880"/>
    <cellStyle name="Calculation 2 8 5 3 2" xfId="11881"/>
    <cellStyle name="Calculation 2 7 2 2 5" xfId="11882"/>
    <cellStyle name="Total 2 10 2 10 4 3" xfId="11883"/>
    <cellStyle name="Calculation 2 7 2 2 5 2" xfId="11884"/>
    <cellStyle name="Calculation 2 7 2 2 5 3" xfId="11885"/>
    <cellStyle name="Calculation 2 8 5 4 2" xfId="11886"/>
    <cellStyle name="Calculation 2 7 2 2 6" xfId="11887"/>
    <cellStyle name="Calculation 2 7 2 2 7" xfId="11888"/>
    <cellStyle name="Input 2 3 3 6 3 2" xfId="11889"/>
    <cellStyle name="Calculation 2 7 2 3" xfId="11890"/>
    <cellStyle name="Calculation 2 7 2 3 2" xfId="11891"/>
    <cellStyle name="Calculation 2 7 2 3 2 2" xfId="11892"/>
    <cellStyle name="Calculation 2 7 2 3 2 3" xfId="11893"/>
    <cellStyle name="Calculation 2 7 2 3 2 4" xfId="11894"/>
    <cellStyle name="Calculation 2 7 2 3 3" xfId="11895"/>
    <cellStyle name="Output 2 2 3 10 5 2" xfId="11896"/>
    <cellStyle name="Calculation 2 7 2 3 3 2" xfId="11897"/>
    <cellStyle name="Calculation 2 7 2 3 3 3" xfId="11898"/>
    <cellStyle name="Calculation 2 8 6 2 2" xfId="11899"/>
    <cellStyle name="Calculation 2 7 2 3 3 4" xfId="11900"/>
    <cellStyle name="Calculation 2 8 6 2 3" xfId="11901"/>
    <cellStyle name="Output 2 2 3 10 5 3" xfId="11902"/>
    <cellStyle name="Calculation 2 7 2 3 4" xfId="11903"/>
    <cellStyle name="Total 2 10 2 10 5 2" xfId="11904"/>
    <cellStyle name="Calculation 2 7 2 3 4 2" xfId="11905"/>
    <cellStyle name="Calculation 2 7 2 3 4 3" xfId="11906"/>
    <cellStyle name="Calculation 2 8 6 3 2" xfId="11907"/>
    <cellStyle name="Calculation 2 7 2 3 5" xfId="11908"/>
    <cellStyle name="Total 2 10 2 10 5 3" xfId="11909"/>
    <cellStyle name="Calculation 2 7 2 3 5 2" xfId="11910"/>
    <cellStyle name="Note 2 3 10 4" xfId="11911"/>
    <cellStyle name="Calculation 2 7 2 3 5 3" xfId="11912"/>
    <cellStyle name="Calculation 2 8 6 4 2" xfId="11913"/>
    <cellStyle name="Note 2 3 10 5" xfId="11914"/>
    <cellStyle name="Calculation 2 7 2 3 6" xfId="11915"/>
    <cellStyle name="Calculation 2 7 2 3 7" xfId="11916"/>
    <cellStyle name="Input 2 3 3 6 4 2" xfId="11917"/>
    <cellStyle name="Calculation 2 7 2 4" xfId="11918"/>
    <cellStyle name="Calculation 2 7 2 4 2" xfId="11919"/>
    <cellStyle name="Calculation 2 7 2 4 2 2" xfId="11920"/>
    <cellStyle name="Input 2 3 2 25" xfId="11921"/>
    <cellStyle name="Input 2 3 2 30" xfId="11922"/>
    <cellStyle name="Calculation 2 7 2 4 2 3" xfId="11923"/>
    <cellStyle name="Input 2 3 2 26" xfId="11924"/>
    <cellStyle name="Calculation 2 7 2 4 2 4" xfId="11925"/>
    <cellStyle name="Input 2 3 2 27" xfId="11926"/>
    <cellStyle name="Calculation 2 7 2 4 3" xfId="11927"/>
    <cellStyle name="Calculation 2 7 2 4 3 2" xfId="11928"/>
    <cellStyle name="Calculation 2 7 2 4 3 3" xfId="11929"/>
    <cellStyle name="Calculation 2 8 7 2 2" xfId="11930"/>
    <cellStyle name="Calculation 2 7 2 4 3 4" xfId="11931"/>
    <cellStyle name="Calculation 2 8 7 2 3" xfId="11932"/>
    <cellStyle name="Calculation 2 7 2 4 4" xfId="11933"/>
    <cellStyle name="Input 2 2 3 9 6 2 2" xfId="11934"/>
    <cellStyle name="Calculation 2 7 2 4 4 2" xfId="11935"/>
    <cellStyle name="Calculation 2 7 2 4 4 3" xfId="11936"/>
    <cellStyle name="Calculation 2 8 7 3 2" xfId="11937"/>
    <cellStyle name="Calculation 2 7 2 4 5" xfId="11938"/>
    <cellStyle name="Calculation 2 7 2 4 6" xfId="11939"/>
    <cellStyle name="Calculation 2 7 2 4 7" xfId="11940"/>
    <cellStyle name="Input 2 3 3 6 5 2" xfId="11941"/>
    <cellStyle name="Calculation 2 7 2 5" xfId="11942"/>
    <cellStyle name="Calculation 2 7 2 5 2" xfId="11943"/>
    <cellStyle name="Calculation 2 7 2 5 2 2" xfId="11944"/>
    <cellStyle name="Calculation 2 7 2 5 2 3" xfId="11945"/>
    <cellStyle name="Calculation 2 7 2 5 2 4" xfId="11946"/>
    <cellStyle name="Calculation 2 7 2 5 3" xfId="11947"/>
    <cellStyle name="Calculation 2 7 2 5 3 2" xfId="11948"/>
    <cellStyle name="Calculation 2 7 2 5 3 3" xfId="11949"/>
    <cellStyle name="Calculation 2 8 8 2 2" xfId="11950"/>
    <cellStyle name="Calculation 2 7 2 5 4" xfId="11951"/>
    <cellStyle name="Output 2 12 10 2 2" xfId="11952"/>
    <cellStyle name="Calculation 2 7 2 5 4 2" xfId="11953"/>
    <cellStyle name="Output 2 13 2 2 2 4" xfId="11954"/>
    <cellStyle name="Calculation 2 7 2 5 4 3" xfId="11955"/>
    <cellStyle name="Calculation 2 8 8 3 2" xfId="11956"/>
    <cellStyle name="Calculation 2 7 2 5 5" xfId="11957"/>
    <cellStyle name="Output 2 12 10 2 3" xfId="11958"/>
    <cellStyle name="Calculation 2 7 2 5 5 2" xfId="11959"/>
    <cellStyle name="Output 2 13 2 2 3 4" xfId="11960"/>
    <cellStyle name="Calculation 2 7 2 5 5 3" xfId="11961"/>
    <cellStyle name="Calculation 2 8 8 4 2" xfId="11962"/>
    <cellStyle name="Calculation 2 7 2 5 6" xfId="11963"/>
    <cellStyle name="Output 2 12 10 2 4" xfId="11964"/>
    <cellStyle name="Calculation 2 7 2 5 7" xfId="11965"/>
    <cellStyle name="Calculation 2 7 2 6" xfId="11966"/>
    <cellStyle name="Calculation 2 7 2 6 2" xfId="11967"/>
    <cellStyle name="Calculation 2 7 2 6 2 2" xfId="11968"/>
    <cellStyle name="Output 2 11 2 3 6" xfId="11969"/>
    <cellStyle name="Note 2 10 7 4" xfId="11970"/>
    <cellStyle name="Output 2 5 2 2 4" xfId="11971"/>
    <cellStyle name="Calculation 2 7 2 6 2 3" xfId="11972"/>
    <cellStyle name="Output 2 11 2 3 7" xfId="11973"/>
    <cellStyle name="Note 2 10 7 5" xfId="11974"/>
    <cellStyle name="Output 2 5 2 2 5" xfId="11975"/>
    <cellStyle name="Calculation 2 7 2 6 2 4" xfId="11976"/>
    <cellStyle name="Input 2 7 3 10 3 2" xfId="11977"/>
    <cellStyle name="Note 2 10 7 6" xfId="11978"/>
    <cellStyle name="Output 2 5 2 2 6" xfId="11979"/>
    <cellStyle name="Calculation 2 7 2 6 3" xfId="11980"/>
    <cellStyle name="Calculation 2 7 2 6 3 2" xfId="11981"/>
    <cellStyle name="Output 2 11 2 4 6" xfId="11982"/>
    <cellStyle name="Note 2 10 8 4" xfId="11983"/>
    <cellStyle name="Output 2 5 2 3 4" xfId="11984"/>
    <cellStyle name="Calculation 2 7 2 6 3 3" xfId="11985"/>
    <cellStyle name="Output 2 11 2 4 7" xfId="11986"/>
    <cellStyle name="Calculation 2 8 9 2 2" xfId="11987"/>
    <cellStyle name="Note 2 10 8 5" xfId="11988"/>
    <cellStyle name="Output 2 5 2 3 5" xfId="11989"/>
    <cellStyle name="Calculation 2 7 2 6 4" xfId="11990"/>
    <cellStyle name="Note 2 5 3 4 2 2" xfId="11991"/>
    <cellStyle name="Total 2 16 2 2 3" xfId="11992"/>
    <cellStyle name="Output 2 12 10 3 2" xfId="11993"/>
    <cellStyle name="Calculation 2 7 2 6 4 2" xfId="11994"/>
    <cellStyle name="Output 2 11 2 5 6" xfId="11995"/>
    <cellStyle name="Output 2 13 2 3 2 4" xfId="11996"/>
    <cellStyle name="Note 2 10 9 4" xfId="11997"/>
    <cellStyle name="Output 2 5 2 4 4" xfId="11998"/>
    <cellStyle name="Calculation 2 7 2 6 4 3" xfId="11999"/>
    <cellStyle name="Output 2 11 2 5 7" xfId="12000"/>
    <cellStyle name="Calculation 2 8 9 3 2" xfId="12001"/>
    <cellStyle name="Note 2 10 9 5" xfId="12002"/>
    <cellStyle name="Output 2 5 2 4 5" xfId="12003"/>
    <cellStyle name="Calculation 2 7 2 6 5" xfId="12004"/>
    <cellStyle name="Note 2 5 3 4 2 3" xfId="12005"/>
    <cellStyle name="Total 2 16 2 2 4" xfId="12006"/>
    <cellStyle name="Output 2 12 10 3 3" xfId="12007"/>
    <cellStyle name="Calculation 2 7 2 6 5 2" xfId="12008"/>
    <cellStyle name="Output 2 11 2 6 6" xfId="12009"/>
    <cellStyle name="Output 2 13 2 3 3 4" xfId="12010"/>
    <cellStyle name="Output 2 5 2 5 4" xfId="12011"/>
    <cellStyle name="Calculation 2 7 2 6 5 3" xfId="12012"/>
    <cellStyle name="Output 2 11 2 6 7" xfId="12013"/>
    <cellStyle name="Calculation 2 8 9 4 2" xfId="12014"/>
    <cellStyle name="Output 2 5 2 5 5" xfId="12015"/>
    <cellStyle name="Calculation 2 7 2 6 6" xfId="12016"/>
    <cellStyle name="Note 2 5 3 4 2 4" xfId="12017"/>
    <cellStyle name="Output 2 12 10 3 4" xfId="12018"/>
    <cellStyle name="Calculation 2 7 2 6 7" xfId="12019"/>
    <cellStyle name="Calculation 2 7 2 7" xfId="12020"/>
    <cellStyle name="Calculation 2 7 2 7 2" xfId="12021"/>
    <cellStyle name="Calculation 2 7 2 7 2 2" xfId="12022"/>
    <cellStyle name="Output 2 11 3 3 6" xfId="12023"/>
    <cellStyle name="Note 2 11 7 4" xfId="12024"/>
    <cellStyle name="Output 2 5 3 2 4" xfId="12025"/>
    <cellStyle name="Calculation 2 7 2 7 2 3" xfId="12026"/>
    <cellStyle name="Output 2 11 3 3 7" xfId="12027"/>
    <cellStyle name="Note 2 11 7 5" xfId="12028"/>
    <cellStyle name="Output 2 5 3 2 5" xfId="12029"/>
    <cellStyle name="Output 2 8 3 10 5 2" xfId="12030"/>
    <cellStyle name="Calculation 2 7 2 7 2 4" xfId="12031"/>
    <cellStyle name="Note 2 11 7 6" xfId="12032"/>
    <cellStyle name="Output 2 5 3 2 6" xfId="12033"/>
    <cellStyle name="Output 2 8 3 10 5 3" xfId="12034"/>
    <cellStyle name="Calculation 2 7 2 7 3" xfId="12035"/>
    <cellStyle name="Calculation 2 7 2 7 3 2" xfId="12036"/>
    <cellStyle name="Output 2 11 3 4 6" xfId="12037"/>
    <cellStyle name="Note 2 11 8 4" xfId="12038"/>
    <cellStyle name="Output 2 5 3 3 4" xfId="12039"/>
    <cellStyle name="Calculation 2 7 2 7 3 3" xfId="12040"/>
    <cellStyle name="Output 2 11 3 4 7" xfId="12041"/>
    <cellStyle name="Note 2 11 8 5" xfId="12042"/>
    <cellStyle name="Output 2 5 3 3 5" xfId="12043"/>
    <cellStyle name="Calculation 2 7 2 7 4" xfId="12044"/>
    <cellStyle name="Note 2 5 3 4 3 2" xfId="12045"/>
    <cellStyle name="Total 2 16 2 3 3" xfId="12046"/>
    <cellStyle name="Output 2 12 10 4 2" xfId="12047"/>
    <cellStyle name="Calculation 2 7 2 7 4 2" xfId="12048"/>
    <cellStyle name="Output 2 11 3 5 6" xfId="12049"/>
    <cellStyle name="Output 2 13 2 4 2 4" xfId="12050"/>
    <cellStyle name="Note 2 11 9 4" xfId="12051"/>
    <cellStyle name="Output 2 5 3 4 4" xfId="12052"/>
    <cellStyle name="Calculation 2 7 2 7 4 3" xfId="12053"/>
    <cellStyle name="Output 2 11 3 5 7" xfId="12054"/>
    <cellStyle name="Note 2 11 9 5" xfId="12055"/>
    <cellStyle name="Output 2 5 3 4 5" xfId="12056"/>
    <cellStyle name="Calculation 2 7 2 7 5" xfId="12057"/>
    <cellStyle name="Note 2 5 3 4 3 3" xfId="12058"/>
    <cellStyle name="Total 2 16 2 3 4" xfId="12059"/>
    <cellStyle name="Output 2 12 10 4 3" xfId="12060"/>
    <cellStyle name="Calculation 2 7 2 7 5 2" xfId="12061"/>
    <cellStyle name="Output 2 11 3 6 6" xfId="12062"/>
    <cellStyle name="Output 2 13 2 4 3 4" xfId="12063"/>
    <cellStyle name="Output 2 5 3 5 4" xfId="12064"/>
    <cellStyle name="Calculation 2 7 2 7 5 3" xfId="12065"/>
    <cellStyle name="Output 2 11 3 6 7" xfId="12066"/>
    <cellStyle name="Output 2 5 3 5 5" xfId="12067"/>
    <cellStyle name="Calculation 2 7 2 7 6" xfId="12068"/>
    <cellStyle name="Note 2 5 3 4 3 4" xfId="12069"/>
    <cellStyle name="Calculation 2 7 2 7 7" xfId="12070"/>
    <cellStyle name="Calculation 2 7 2 8" xfId="12071"/>
    <cellStyle name="Input 2 8 4 2 2" xfId="12072"/>
    <cellStyle name="Calculation 2 7 2 8 2" xfId="12073"/>
    <cellStyle name="Calculation 2 7 2 8 2 2" xfId="12074"/>
    <cellStyle name="Note 2 11 3 10 5 3" xfId="12075"/>
    <cellStyle name="Note 2 12 7 4" xfId="12076"/>
    <cellStyle name="Output 2 5 4 2 4" xfId="12077"/>
    <cellStyle name="Calculation 2 7 2 8 2 3" xfId="12078"/>
    <cellStyle name="Note 2 12 7 5" xfId="12079"/>
    <cellStyle name="Calculation 2 7 2 8 2 4" xfId="12080"/>
    <cellStyle name="Note 2 12 7 6" xfId="12081"/>
    <cellStyle name="Calculation 2 7 2 8 3" xfId="12082"/>
    <cellStyle name="Calculation 2 7 2 8 3 2" xfId="12083"/>
    <cellStyle name="Note 2 12 8 4" xfId="12084"/>
    <cellStyle name="Output 2 5 4 3 4" xfId="12085"/>
    <cellStyle name="Calculation 2 7 2 8 3 3" xfId="12086"/>
    <cellStyle name="Note 2 12 8 5" xfId="12087"/>
    <cellStyle name="Calculation 2 7 2 8 4" xfId="12088"/>
    <cellStyle name="Note 2 5 3 4 4 2" xfId="12089"/>
    <cellStyle name="Total 2 16 2 4 3" xfId="12090"/>
    <cellStyle name="Output 2 12 10 5 2" xfId="12091"/>
    <cellStyle name="Calculation 2 7 2 8 4 2" xfId="12092"/>
    <cellStyle name="Input 2 12 16" xfId="12093"/>
    <cellStyle name="Note 2 12 9 4" xfId="12094"/>
    <cellStyle name="Output 2 13 2 5 2 4" xfId="12095"/>
    <cellStyle name="Calculation 2 7 2 8 4 3" xfId="12096"/>
    <cellStyle name="Input 2 12 17" xfId="12097"/>
    <cellStyle name="Note 2 12 9 5" xfId="12098"/>
    <cellStyle name="Calculation 2 7 2 8 5" xfId="12099"/>
    <cellStyle name="Note 2 5 3 4 4 3" xfId="12100"/>
    <cellStyle name="Output 2 12 10 5 3" xfId="12101"/>
    <cellStyle name="Calculation 2 7 2 8 5 2" xfId="12102"/>
    <cellStyle name="Note 2 4 10 4" xfId="12103"/>
    <cellStyle name="Output 2 13 2 5 3 4" xfId="12104"/>
    <cellStyle name="Calculation 2 7 2 8 5 3" xfId="12105"/>
    <cellStyle name="Note 2 4 10 5" xfId="12106"/>
    <cellStyle name="Calculation 2 7 2 8 6" xfId="12107"/>
    <cellStyle name="Calculation 2 7 2 8 7" xfId="12108"/>
    <cellStyle name="Calculation 2 7 2 9" xfId="12109"/>
    <cellStyle name="Input 2 8 4 2 3" xfId="12110"/>
    <cellStyle name="Calculation 2 7 2 9 2" xfId="12111"/>
    <cellStyle name="Calculation 2 7 2 9 2 2" xfId="12112"/>
    <cellStyle name="Note 2 13 7 4" xfId="12113"/>
    <cellStyle name="Output 2 5 5 2 4" xfId="12114"/>
    <cellStyle name="Calculation 2 7 2 9 2 3" xfId="12115"/>
    <cellStyle name="Note 2 13 7 5" xfId="12116"/>
    <cellStyle name="Note 2 2 2 2 2 2 2" xfId="12117"/>
    <cellStyle name="Calculation 2 7 2 9 2 4" xfId="12118"/>
    <cellStyle name="Note 2 13 7 6" xfId="12119"/>
    <cellStyle name="Note 2 2 2 2 2 2 3" xfId="12120"/>
    <cellStyle name="Calculation 2 7 2 9 3" xfId="12121"/>
    <cellStyle name="Calculation 2 7 2 9 3 2" xfId="12122"/>
    <cellStyle name="Note 2 13 8 4" xfId="12123"/>
    <cellStyle name="Output 2 5 5 3 4" xfId="12124"/>
    <cellStyle name="Calculation 2 7 2 9 3 3" xfId="12125"/>
    <cellStyle name="Note 2 13 8 5" xfId="12126"/>
    <cellStyle name="Note 2 2 2 2 2 3 2" xfId="12127"/>
    <cellStyle name="Calculation 2 7 2 9 4" xfId="12128"/>
    <cellStyle name="Note 2 5 3 4 5 2" xfId="12129"/>
    <cellStyle name="Calculation 2 7 2 9 4 2" xfId="12130"/>
    <cellStyle name="Note 2 13 9 4" xfId="12131"/>
    <cellStyle name="Output 2 13 2 6 2 4" xfId="12132"/>
    <cellStyle name="Calculation 2 7 2 9 4 3" xfId="12133"/>
    <cellStyle name="Note 2 13 9 5" xfId="12134"/>
    <cellStyle name="Note 2 2 2 2 2 4 2" xfId="12135"/>
    <cellStyle name="Calculation 2 7 2 9 5" xfId="12136"/>
    <cellStyle name="Note 2 5 3 4 5 3" xfId="12137"/>
    <cellStyle name="Calculation 2 7 2 9 6" xfId="12138"/>
    <cellStyle name="Calculation 2 7 2 9 7" xfId="12139"/>
    <cellStyle name="Calculation 2 7 3" xfId="12140"/>
    <cellStyle name="Calculation 2 7 3 10" xfId="12141"/>
    <cellStyle name="Input 2 2 3 12 4" xfId="12142"/>
    <cellStyle name="Calculation 2 7 3 10 2" xfId="12143"/>
    <cellStyle name="Output 2 2 3 4 3 3" xfId="12144"/>
    <cellStyle name="Calculation 2 7 3 10 2 2" xfId="12145"/>
    <cellStyle name="Calculation 2 7 3 10 2 3" xfId="12146"/>
    <cellStyle name="Calculation 2 7 3 10 2 4" xfId="12147"/>
    <cellStyle name="Calculation 2 7 3 10 3" xfId="12148"/>
    <cellStyle name="Output 2 2 3 4 3 4" xfId="12149"/>
    <cellStyle name="Calculation 2 7 3 10 3 2" xfId="12150"/>
    <cellStyle name="Calculation 2 7 3 10 3 3" xfId="12151"/>
    <cellStyle name="Calculation 2 7 3 10 3 4" xfId="12152"/>
    <cellStyle name="Calculation 2 7 3 10 4" xfId="12153"/>
    <cellStyle name="Calculation 2 7 3 10 4 2" xfId="12154"/>
    <cellStyle name="Calculation 2 7 3 10 4 3" xfId="12155"/>
    <cellStyle name="Calculation 2 7 3 10 5" xfId="12156"/>
    <cellStyle name="Calculation 2 7 3 10 5 2" xfId="12157"/>
    <cellStyle name="Calculation 2 7 3 10 5 3" xfId="12158"/>
    <cellStyle name="Calculation 2 7 3 10 6" xfId="12159"/>
    <cellStyle name="Total 2 16 12 2" xfId="12160"/>
    <cellStyle name="Output 2 8 2 10" xfId="12161"/>
    <cellStyle name="Calculation 2 7 3 11" xfId="12162"/>
    <cellStyle name="Calculation 2 7 3 11 2" xfId="12163"/>
    <cellStyle name="Output 2 2 3 4 4 3" xfId="12164"/>
    <cellStyle name="Calculation 2 7 3 11 3" xfId="12165"/>
    <cellStyle name="Calculation 2 7 3 11 4" xfId="12166"/>
    <cellStyle name="Calculation 2 7 3 12" xfId="12167"/>
    <cellStyle name="Calculation 2 7 3 12 2" xfId="12168"/>
    <cellStyle name="Output 2 2 3 4 5 3" xfId="12169"/>
    <cellStyle name="Calculation 2 7 3 12 3" xfId="12170"/>
    <cellStyle name="Calculation 2 7 3 12 4" xfId="12171"/>
    <cellStyle name="Calculation 2 7 3 13" xfId="12172"/>
    <cellStyle name="Calculation 2 7 3 13 2" xfId="12173"/>
    <cellStyle name="Calculation 2 7 3 13 3" xfId="12174"/>
    <cellStyle name="Calculation 2 7 3 14" xfId="12175"/>
    <cellStyle name="Calculation 2 7 3 14 2" xfId="12176"/>
    <cellStyle name="Calculation 2 7 3 14 3" xfId="12177"/>
    <cellStyle name="Calculation 2 7 3 15" xfId="12178"/>
    <cellStyle name="Calculation 2 7 3 2" xfId="12179"/>
    <cellStyle name="Note 2 14 8 5 3" xfId="12180"/>
    <cellStyle name="Calculation 2 7 3 2 2" xfId="12181"/>
    <cellStyle name="Calculation 2 7 3 2 2 2" xfId="12182"/>
    <cellStyle name="Calculation 2 7 3 2 2 3" xfId="12183"/>
    <cellStyle name="Calculation 2 7 3 2 2 4" xfId="12184"/>
    <cellStyle name="Calculation 2 7 3 2 3" xfId="12185"/>
    <cellStyle name="Calculation 2 7 3 2 3 2" xfId="12186"/>
    <cellStyle name="Calculation 2 7 3 2 3 3" xfId="12187"/>
    <cellStyle name="Calculation 2 9 5 2 2" xfId="12188"/>
    <cellStyle name="Calculation 2 7 3 2 3 4" xfId="12189"/>
    <cellStyle name="Calculation 2 9 5 2 3" xfId="12190"/>
    <cellStyle name="Calculation 2 7 3 2 4" xfId="12191"/>
    <cellStyle name="Calculation 2 7 3 2 4 2" xfId="12192"/>
    <cellStyle name="Calculation 2 7 3 2 4 3" xfId="12193"/>
    <cellStyle name="Calculation 2 9 5 3 2" xfId="12194"/>
    <cellStyle name="Calculation 2 7 3 2 5" xfId="12195"/>
    <cellStyle name="Calculation 2 7 3 2 5 2" xfId="12196"/>
    <cellStyle name="Calculation 2 7 3 2 5 3" xfId="12197"/>
    <cellStyle name="Calculation 2 9 5 4 2" xfId="12198"/>
    <cellStyle name="Calculation 2 7 3 2 6" xfId="12199"/>
    <cellStyle name="Calculation 2 7 3 2 7" xfId="12200"/>
    <cellStyle name="Input 2 3 3 7 3 2" xfId="12201"/>
    <cellStyle name="Calculation 2 7 3 3" xfId="12202"/>
    <cellStyle name="Calculation 2 7 3 3 2" xfId="12203"/>
    <cellStyle name="Calculation 2 7 3 3 2 2" xfId="12204"/>
    <cellStyle name="Calculation 2 7 3 3 2 3" xfId="12205"/>
    <cellStyle name="Note 2 5 2" xfId="12206"/>
    <cellStyle name="Calculation 2 7 3 3 2 4" xfId="12207"/>
    <cellStyle name="Note 2 5 3" xfId="12208"/>
    <cellStyle name="Calculation 2 7 3 3 3" xfId="12209"/>
    <cellStyle name="Calculation 2 7 3 3 3 2" xfId="12210"/>
    <cellStyle name="Calculation 2 7 3 3 3 3" xfId="12211"/>
    <cellStyle name="Calculation 2 9 6 2 2" xfId="12212"/>
    <cellStyle name="Note 2 6 2" xfId="12213"/>
    <cellStyle name="Calculation 2 7 3 3 3 4" xfId="12214"/>
    <cellStyle name="Calculation 2 9 6 2 3" xfId="12215"/>
    <cellStyle name="Note 2 6 3" xfId="12216"/>
    <cellStyle name="Calculation 2 7 3 3 4" xfId="12217"/>
    <cellStyle name="Calculation 2 7 3 3 4 2" xfId="12218"/>
    <cellStyle name="Calculation 2 7 3 3 4 3" xfId="12219"/>
    <cellStyle name="Calculation 2 9 6 3 2" xfId="12220"/>
    <cellStyle name="Note 2 7 2" xfId="12221"/>
    <cellStyle name="Calculation 2 7 3 3 5" xfId="12222"/>
    <cellStyle name="Calculation 2 7 3 3 5 2" xfId="12223"/>
    <cellStyle name="Note 2 8 10 4" xfId="12224"/>
    <cellStyle name="Calculation 2 7 3 3 5 3" xfId="12225"/>
    <cellStyle name="Calculation 2 9 6 4 2" xfId="12226"/>
    <cellStyle name="Note 2 8 10 5" xfId="12227"/>
    <cellStyle name="Note 2 8 2" xfId="12228"/>
    <cellStyle name="Calculation 2 7 3 3 6" xfId="12229"/>
    <cellStyle name="Calculation 2 7 3 3 7" xfId="12230"/>
    <cellStyle name="Input 2 3 3 7 4 2" xfId="12231"/>
    <cellStyle name="Calculation 2 7 3 4" xfId="12232"/>
    <cellStyle name="Calculation 2 7 3 4 2" xfId="12233"/>
    <cellStyle name="Calculation 2 7 3 4 2 2" xfId="12234"/>
    <cellStyle name="Calculation 2 7 3 4 2 3" xfId="12235"/>
    <cellStyle name="Calculation 2 7 3 4 2 4" xfId="12236"/>
    <cellStyle name="Calculation 2 7 3 4 3" xfId="12237"/>
    <cellStyle name="Calculation 2 7 3 4 3 2" xfId="12238"/>
    <cellStyle name="Calculation 2 7 3 4 3 3" xfId="12239"/>
    <cellStyle name="Calculation 2 9 7 2 2" xfId="12240"/>
    <cellStyle name="Calculation 2 7 3 4 3 4" xfId="12241"/>
    <cellStyle name="Calculation 2 9 7 2 3" xfId="12242"/>
    <cellStyle name="Calculation 2 7 3 4 4 2" xfId="12243"/>
    <cellStyle name="Input 2 5 28" xfId="12244"/>
    <cellStyle name="Calculation 2 7 3 4 4 3" xfId="12245"/>
    <cellStyle name="Calculation 2 9 7 3 2" xfId="12246"/>
    <cellStyle name="Input 2 5 29" xfId="12247"/>
    <cellStyle name="Calculation 2 7 3 4 5 2" xfId="12248"/>
    <cellStyle name="Calculation 2 7 3 4 5 3" xfId="12249"/>
    <cellStyle name="Calculation 2 9 7 4 2" xfId="12250"/>
    <cellStyle name="Calculation 2 7 3 4 7" xfId="12251"/>
    <cellStyle name="Input 2 3 3 7 5 2" xfId="12252"/>
    <cellStyle name="Calculation 2 7 3 5" xfId="12253"/>
    <cellStyle name="Calculation 2 7 3 5 2" xfId="12254"/>
    <cellStyle name="Calculation 2 7 3 5 2 2" xfId="12255"/>
    <cellStyle name="Calculation 2 7 3 5 2 3" xfId="12256"/>
    <cellStyle name="Calculation 2 7 3 5 2 4" xfId="12257"/>
    <cellStyle name="Calculation 2 7 3 5 3" xfId="12258"/>
    <cellStyle name="Total 2 5 3 10 2 4" xfId="12259"/>
    <cellStyle name="Calculation 2 7 3 5 3 2" xfId="12260"/>
    <cellStyle name="Calculation 2 7 3 5 3 3" xfId="12261"/>
    <cellStyle name="Calculation 2 9 8 2 2" xfId="12262"/>
    <cellStyle name="Calculation 2 7 3 5 3 4" xfId="12263"/>
    <cellStyle name="Calculation 2 9 8 2 3" xfId="12264"/>
    <cellStyle name="Total 2 5 3 10 3 4" xfId="12265"/>
    <cellStyle name="Calculation 2 7 3 5 4 2" xfId="12266"/>
    <cellStyle name="Output 2 13 3 2 2 4" xfId="12267"/>
    <cellStyle name="Calculation 2 7 3 5 4 3" xfId="12268"/>
    <cellStyle name="Calculation 2 9 8 3 2" xfId="12269"/>
    <cellStyle name="Calculation 2 7 3 5 5 2" xfId="12270"/>
    <cellStyle name="Output 2 13 3 2 3 4" xfId="12271"/>
    <cellStyle name="Calculation 2 7 3 5 5 3" xfId="12272"/>
    <cellStyle name="Calculation 2 9 8 4 2" xfId="12273"/>
    <cellStyle name="Calculation 2 7 3 5 7" xfId="12274"/>
    <cellStyle name="Calculation 2 7 3 6" xfId="12275"/>
    <cellStyle name="Calculation 2 7 3 6 2" xfId="12276"/>
    <cellStyle name="Calculation 2 7 3 6 2 2" xfId="12277"/>
    <cellStyle name="Output 2 12 2 3 6" xfId="12278"/>
    <cellStyle name="Output 2 6 2 2 4" xfId="12279"/>
    <cellStyle name="Calculation 2 7 3 6 2 3" xfId="12280"/>
    <cellStyle name="Output 2 12 2 3 7" xfId="12281"/>
    <cellStyle name="Output 2 6 2 2 5" xfId="12282"/>
    <cellStyle name="Calculation 2 7 3 6 2 4" xfId="12283"/>
    <cellStyle name="Output 2 6 2 2 6" xfId="12284"/>
    <cellStyle name="Calculation 2 7 3 6 3" xfId="12285"/>
    <cellStyle name="Calculation 2 7 3 6 3 2" xfId="12286"/>
    <cellStyle name="Output 2 12 2 4 6" xfId="12287"/>
    <cellStyle name="Output 2 6 2 3 4" xfId="12288"/>
    <cellStyle name="Calculation 2 7 3 6 3 3" xfId="12289"/>
    <cellStyle name="Output 2 12 2 4 7" xfId="12290"/>
    <cellStyle name="Calculation 2 9 9 2 2" xfId="12291"/>
    <cellStyle name="Output 2 6 2 3 5" xfId="12292"/>
    <cellStyle name="Calculation 2 7 3 6 3 4" xfId="12293"/>
    <cellStyle name="Calculation 2 9 9 2 3" xfId="12294"/>
    <cellStyle name="Output 2 6 2 3 6" xfId="12295"/>
    <cellStyle name="Calculation 2 7 3 6 4 2" xfId="12296"/>
    <cellStyle name="Output 2 12 2 5 6" xfId="12297"/>
    <cellStyle name="Output 2 13 3 3 2 4" xfId="12298"/>
    <cellStyle name="Output 2 6 2 4 4" xfId="12299"/>
    <cellStyle name="Calculation 2 7 3 6 4 3" xfId="12300"/>
    <cellStyle name="Output 2 12 2 5 7" xfId="12301"/>
    <cellStyle name="Calculation 2 9 9 3 2" xfId="12302"/>
    <cellStyle name="Output 2 6 2 4 5" xfId="12303"/>
    <cellStyle name="Calculation 2 7 3 6 5 2" xfId="12304"/>
    <cellStyle name="Output 2 12 2 6 6" xfId="12305"/>
    <cellStyle name="Output 2 13 3 3 3 4" xfId="12306"/>
    <cellStyle name="Output 2 6 2 5 4" xfId="12307"/>
    <cellStyle name="Calculation 2 7 3 6 5 3" xfId="12308"/>
    <cellStyle name="Output 2 12 2 6 7" xfId="12309"/>
    <cellStyle name="Calculation 2 9 9 4 2" xfId="12310"/>
    <cellStyle name="Output 2 6 2 5 5" xfId="12311"/>
    <cellStyle name="Calculation 2 7 3 6 6" xfId="12312"/>
    <cellStyle name="Note 2 5 3 5 2 4" xfId="12313"/>
    <cellStyle name="Output 2 12 11 3 4" xfId="12314"/>
    <cellStyle name="Calculation 2 7 3 6 7" xfId="12315"/>
    <cellStyle name="Calculation 2 7 3 7" xfId="12316"/>
    <cellStyle name="Calculation 2 7 3 7 2" xfId="12317"/>
    <cellStyle name="Output 2 10 4" xfId="12318"/>
    <cellStyle name="Calculation 2 7 3 7 2 2" xfId="12319"/>
    <cellStyle name="Output 2 12 3 3 6" xfId="12320"/>
    <cellStyle name="Output 2 10 4 2" xfId="12321"/>
    <cellStyle name="Output 2 6 3 2 4" xfId="12322"/>
    <cellStyle name="Calculation 2 7 3 7 2 3" xfId="12323"/>
    <cellStyle name="Note 2 13 10 4 2" xfId="12324"/>
    <cellStyle name="Output 2 12 3 3 7" xfId="12325"/>
    <cellStyle name="Output 2 10 4 3" xfId="12326"/>
    <cellStyle name="Output 2 6 3 2 5" xfId="12327"/>
    <cellStyle name="Calculation 2 7 3 7 2 4" xfId="12328"/>
    <cellStyle name="Note 2 13 10 4 3" xfId="12329"/>
    <cellStyle name="Output 2 10 4 4" xfId="12330"/>
    <cellStyle name="Output 2 6 3 2 6" xfId="12331"/>
    <cellStyle name="Calculation 2 7 3 7 3" xfId="12332"/>
    <cellStyle name="Total 2 16 3 3 2" xfId="12333"/>
    <cellStyle name="Output 2 10 5" xfId="12334"/>
    <cellStyle name="Calculation 2 7 3 7 3 2" xfId="12335"/>
    <cellStyle name="Output 2 12 3 4 6" xfId="12336"/>
    <cellStyle name="Output 2 10 5 2" xfId="12337"/>
    <cellStyle name="Output 2 6 3 3 4" xfId="12338"/>
    <cellStyle name="Calculation 2 7 3 7 3 3" xfId="12339"/>
    <cellStyle name="Note 2 13 10 5 2" xfId="12340"/>
    <cellStyle name="Output 2 12 3 4 7" xfId="12341"/>
    <cellStyle name="Output 2 10 5 3" xfId="12342"/>
    <cellStyle name="Output 2 6 3 3 5" xfId="12343"/>
    <cellStyle name="Calculation 2 7 3 7 3 4" xfId="12344"/>
    <cellStyle name="Note 2 13 10 5 3" xfId="12345"/>
    <cellStyle name="Output 2 10 5 4" xfId="12346"/>
    <cellStyle name="Output 2 6 3 3 6" xfId="12347"/>
    <cellStyle name="Calculation 2 7 3 7 4 2" xfId="12348"/>
    <cellStyle name="Output 2 12 3 5 6" xfId="12349"/>
    <cellStyle name="Output 2 13 3 4 2 4" xfId="12350"/>
    <cellStyle name="Output 2 10 6 2" xfId="12351"/>
    <cellStyle name="Output 2 6 3 4 4" xfId="12352"/>
    <cellStyle name="Calculation 2 7 3 7 4 3" xfId="12353"/>
    <cellStyle name="Output 2 12 3 5 7" xfId="12354"/>
    <cellStyle name="Output 2 10 6 3" xfId="12355"/>
    <cellStyle name="Output 2 6 3 4 5" xfId="12356"/>
    <cellStyle name="Calculation 2 7 3 7 5 2" xfId="12357"/>
    <cellStyle name="Output 2 12 3 6 6" xfId="12358"/>
    <cellStyle name="Output 2 13 3 4 3 4" xfId="12359"/>
    <cellStyle name="Output 2 10 7 2" xfId="12360"/>
    <cellStyle name="Output 2 6 3 5 4" xfId="12361"/>
    <cellStyle name="Calculation 2 7 3 7 5 3" xfId="12362"/>
    <cellStyle name="Output 2 12 3 6 7" xfId="12363"/>
    <cellStyle name="Output 2 10 7 3" xfId="12364"/>
    <cellStyle name="Output 2 6 3 5 5" xfId="12365"/>
    <cellStyle name="Calculation 2 7 3 7 6" xfId="12366"/>
    <cellStyle name="Note 2 5 3 5 3 4" xfId="12367"/>
    <cellStyle name="Output 2 10 8" xfId="12368"/>
    <cellStyle name="Calculation 2 7 3 7 7" xfId="12369"/>
    <cellStyle name="Output 2 10 9" xfId="12370"/>
    <cellStyle name="Calculation 2 7 3 8" xfId="12371"/>
    <cellStyle name="Input 2 8 4 3 2" xfId="12372"/>
    <cellStyle name="Calculation 2 7 3 8 2" xfId="12373"/>
    <cellStyle name="Output 2 11 4" xfId="12374"/>
    <cellStyle name="Calculation 2 7 3 8 2 2" xfId="12375"/>
    <cellStyle name="Output 2 11 4 2" xfId="12376"/>
    <cellStyle name="Output 2 6 4 2 4" xfId="12377"/>
    <cellStyle name="Calculation 2 7 3 8 2 3" xfId="12378"/>
    <cellStyle name="Note 2 13 11 4 2" xfId="12379"/>
    <cellStyle name="Output 2 11 4 3" xfId="12380"/>
    <cellStyle name="Calculation 2 7 3 8 2 4" xfId="12381"/>
    <cellStyle name="Note 2 13 11 4 3" xfId="12382"/>
    <cellStyle name="Output 2 11 4 4" xfId="12383"/>
    <cellStyle name="Calculation 2 7 3 8 3" xfId="12384"/>
    <cellStyle name="Total 2 16 3 4 2" xfId="12385"/>
    <cellStyle name="Output 2 11 5" xfId="12386"/>
    <cellStyle name="Calculation 2 7 3 8 3 2" xfId="12387"/>
    <cellStyle name="Output 2 11 5 2" xfId="12388"/>
    <cellStyle name="Output 2 6 4 3 4" xfId="12389"/>
    <cellStyle name="Calculation 2 7 3 8 3 3" xfId="12390"/>
    <cellStyle name="Note 2 13 11 5 2" xfId="12391"/>
    <cellStyle name="Output 2 11 5 3" xfId="12392"/>
    <cellStyle name="Calculation 2 7 3 8 3 4" xfId="12393"/>
    <cellStyle name="Note 2 13 11 5 3" xfId="12394"/>
    <cellStyle name="Output 2 11 5 4" xfId="12395"/>
    <cellStyle name="Calculation 2 7 3 8 4" xfId="12396"/>
    <cellStyle name="Normal 10 10" xfId="12397"/>
    <cellStyle name="Note 2 5 3 5 4 2" xfId="12398"/>
    <cellStyle name="Total 2 16 3 4 3" xfId="12399"/>
    <cellStyle name="Output 2 11 6" xfId="12400"/>
    <cellStyle name="Output 2 12 11 5 2" xfId="12401"/>
    <cellStyle name="Calculation 2 7 3 8 4 2" xfId="12402"/>
    <cellStyle name="Output 2 11 6 2" xfId="12403"/>
    <cellStyle name="Output 2 13 3 5 2 4" xfId="12404"/>
    <cellStyle name="Calculation 2 7 3 8 4 3" xfId="12405"/>
    <cellStyle name="Output 2 11 6 3" xfId="12406"/>
    <cellStyle name="Calculation 2 7 3 8 5" xfId="12407"/>
    <cellStyle name="Note 2 5 3 5 4 3" xfId="12408"/>
    <cellStyle name="Output 2 11 7" xfId="12409"/>
    <cellStyle name="Output 2 12 11 5 3" xfId="12410"/>
    <cellStyle name="Calculation 2 7 3 8 5 2" xfId="12411"/>
    <cellStyle name="Note 2 9 10 4" xfId="12412"/>
    <cellStyle name="Output 2 11 7 2" xfId="12413"/>
    <cellStyle name="Output 2 13 3 5 3 4" xfId="12414"/>
    <cellStyle name="Calculation 2 7 3 8 5 3" xfId="12415"/>
    <cellStyle name="Note 2 9 10 5" xfId="12416"/>
    <cellStyle name="Output 2 11 7 3" xfId="12417"/>
    <cellStyle name="Calculation 2 7 3 8 6" xfId="12418"/>
    <cellStyle name="Output 2 11 8" xfId="12419"/>
    <cellStyle name="Calculation 2 7 3 8 7" xfId="12420"/>
    <cellStyle name="Output 2 11 9" xfId="12421"/>
    <cellStyle name="Calculation 2 7 3 9" xfId="12422"/>
    <cellStyle name="Input 2 8 4 3 3" xfId="12423"/>
    <cellStyle name="Calculation 2 7 3 9 2" xfId="12424"/>
    <cellStyle name="Output 2 12 4" xfId="12425"/>
    <cellStyle name="Output 2 12 4 2" xfId="12426"/>
    <cellStyle name="Output 2 6 5 2 4" xfId="12427"/>
    <cellStyle name="Calculation 2 7 3 9 2 2" xfId="12428"/>
    <cellStyle name="Total 2 10 2 4 3" xfId="12429"/>
    <cellStyle name="Note 2 13 12 4 2" xfId="12430"/>
    <cellStyle name="Note 2 2 2 3 2 2 2" xfId="12431"/>
    <cellStyle name="Output 2 12 4 3" xfId="12432"/>
    <cellStyle name="Calculation 2 7 3 9 2 3" xfId="12433"/>
    <cellStyle name="Total 2 10 2 4 4" xfId="12434"/>
    <cellStyle name="Note 2 13 12 4 3" xfId="12435"/>
    <cellStyle name="Note 2 2 2 3 2 2 3" xfId="12436"/>
    <cellStyle name="Output 2 12 4 4" xfId="12437"/>
    <cellStyle name="Calculation 2 7 3 9 2 4" xfId="12438"/>
    <cellStyle name="Total 2 10 2 4 5" xfId="12439"/>
    <cellStyle name="Calculation 2 7 3 9 3" xfId="12440"/>
    <cellStyle name="Total 2 16 3 5 2" xfId="12441"/>
    <cellStyle name="Output 2 12 5" xfId="12442"/>
    <cellStyle name="Output 2 12 5 2" xfId="12443"/>
    <cellStyle name="Output 2 6 5 3 4" xfId="12444"/>
    <cellStyle name="Calculation 2 7 3 9 3 2" xfId="12445"/>
    <cellStyle name="Total 2 10 2 5 3" xfId="12446"/>
    <cellStyle name="Note 2 13 12 5 2" xfId="12447"/>
    <cellStyle name="Note 2 2 2 3 2 3 2" xfId="12448"/>
    <cellStyle name="Output 2 12 5 3" xfId="12449"/>
    <cellStyle name="Calculation 2 7 3 9 3 3" xfId="12450"/>
    <cellStyle name="Total 2 10 2 5 4" xfId="12451"/>
    <cellStyle name="Note 2 13 12 5 3" xfId="12452"/>
    <cellStyle name="Output 2 12 5 4" xfId="12453"/>
    <cellStyle name="Calculation 2 7 3 9 3 4" xfId="12454"/>
    <cellStyle name="Total 2 10 2 5 5" xfId="12455"/>
    <cellStyle name="Calculation 2 7 3 9 4" xfId="12456"/>
    <cellStyle name="Note 2 5 3 5 5 2" xfId="12457"/>
    <cellStyle name="Total 2 16 3 5 3" xfId="12458"/>
    <cellStyle name="Output 2 12 6" xfId="12459"/>
    <cellStyle name="Output 2 12 6 2" xfId="12460"/>
    <cellStyle name="Output 2 13 3 6 2 4" xfId="12461"/>
    <cellStyle name="Calculation 2 7 3 9 4 2" xfId="12462"/>
    <cellStyle name="Total 2 10 2 6 3" xfId="12463"/>
    <cellStyle name="Note 2 2 2 3 2 4 2" xfId="12464"/>
    <cellStyle name="Output 2 12 6 3" xfId="12465"/>
    <cellStyle name="Calculation 2 7 3 9 4 3" xfId="12466"/>
    <cellStyle name="Total 2 10 2 6 4" xfId="12467"/>
    <cellStyle name="Calculation 2 7 3 9 5" xfId="12468"/>
    <cellStyle name="Note 2 5 3 5 5 3" xfId="12469"/>
    <cellStyle name="Output 2 12 7" xfId="12470"/>
    <cellStyle name="Output 2 12 7 2" xfId="12471"/>
    <cellStyle name="Output 2 13 3 6 3 4" xfId="12472"/>
    <cellStyle name="Calculation 2 7 3 9 5 2" xfId="12473"/>
    <cellStyle name="Total 2 10 2 7 3" xfId="12474"/>
    <cellStyle name="Output 2 12 7 3" xfId="12475"/>
    <cellStyle name="Calculation 2 7 3 9 5 3" xfId="12476"/>
    <cellStyle name="Total 2 10 2 7 4" xfId="12477"/>
    <cellStyle name="Calculation 2 7 3 9 6" xfId="12478"/>
    <cellStyle name="Output 2 12 8" xfId="12479"/>
    <cellStyle name="Calculation 2 7 3 9 7" xfId="12480"/>
    <cellStyle name="Output 2 12 9" xfId="12481"/>
    <cellStyle name="Calculation 2 7 4" xfId="12482"/>
    <cellStyle name="Calculation 2 7 4 2 2" xfId="12483"/>
    <cellStyle name="Input 2 2 17" xfId="12484"/>
    <cellStyle name="Input 2 2 22" xfId="12485"/>
    <cellStyle name="Calculation 2 7 4 2 3" xfId="12486"/>
    <cellStyle name="Input 2 2 18" xfId="12487"/>
    <cellStyle name="Input 2 2 23" xfId="12488"/>
    <cellStyle name="Calculation 2 7 4 2 4" xfId="12489"/>
    <cellStyle name="Input 2 2 19" xfId="12490"/>
    <cellStyle name="Input 2 2 24" xfId="12491"/>
    <cellStyle name="Calculation 2 7 4 3 2" xfId="12492"/>
    <cellStyle name="Calculation 2 7 4 3 3" xfId="12493"/>
    <cellStyle name="Calculation 2 7 4 3 4" xfId="12494"/>
    <cellStyle name="Calculation 2 7 4 4" xfId="12495"/>
    <cellStyle name="Calculation 2 7 4 4 2" xfId="12496"/>
    <cellStyle name="Total 2 11 2 13" xfId="12497"/>
    <cellStyle name="Calculation 2 7 4 4 3" xfId="12498"/>
    <cellStyle name="Total 2 11 2 14" xfId="12499"/>
    <cellStyle name="Calculation 2 7 4 5" xfId="12500"/>
    <cellStyle name="Total 2 7 9 4 3" xfId="12501"/>
    <cellStyle name="Input 2 10 3 10 2" xfId="12502"/>
    <cellStyle name="Calculation 2 7 4 5 2" xfId="12503"/>
    <cellStyle name="Input 2 10 3 10 2 2" xfId="12504"/>
    <cellStyle name="Calculation 2 7 4 5 3" xfId="12505"/>
    <cellStyle name="Input 2 10 3 10 2 3" xfId="12506"/>
    <cellStyle name="Calculation 2 7 4 6" xfId="12507"/>
    <cellStyle name="Input 2 10 3 10 3" xfId="12508"/>
    <cellStyle name="Calculation 2 7 4 7" xfId="12509"/>
    <cellStyle name="Input 2 10 3 10 4" xfId="12510"/>
    <cellStyle name="Calculation 2 7 5" xfId="12511"/>
    <cellStyle name="Calculation 2 7 5 2 2" xfId="12512"/>
    <cellStyle name="Input 2 7 17" xfId="12513"/>
    <cellStyle name="Calculation 2 7 5 2 3" xfId="12514"/>
    <cellStyle name="Input 2 7 18" xfId="12515"/>
    <cellStyle name="Calculation 2 7 5 2 4" xfId="12516"/>
    <cellStyle name="Input 2 16 10 3 2" xfId="12517"/>
    <cellStyle name="Input 2 7 19" xfId="12518"/>
    <cellStyle name="Calculation 2 7 5 3 2" xfId="12519"/>
    <cellStyle name="Calculation 2 7 5 3 3" xfId="12520"/>
    <cellStyle name="Calculation 2 7 5 3 4" xfId="12521"/>
    <cellStyle name="Input 2 16 10 4 2" xfId="12522"/>
    <cellStyle name="Calculation 2 7 5 4" xfId="12523"/>
    <cellStyle name="Calculation 2 7 5 4 2" xfId="12524"/>
    <cellStyle name="Total 2 7 9 5 3" xfId="12525"/>
    <cellStyle name="Input 2 10 3 11 2" xfId="12526"/>
    <cellStyle name="Calculation 2 7 5 5" xfId="12527"/>
    <cellStyle name="Note 2 15 2 2" xfId="12528"/>
    <cellStyle name="Note 2 20 2 2" xfId="12529"/>
    <cellStyle name="Calculation 2 7 5 5 2" xfId="12530"/>
    <cellStyle name="Note 2 15 2 2 2" xfId="12531"/>
    <cellStyle name="Calculation 2 7 5 5 3" xfId="12532"/>
    <cellStyle name="Note 2 15 2 2 3" xfId="12533"/>
    <cellStyle name="Input 2 10 3 11 3" xfId="12534"/>
    <cellStyle name="Calculation 2 7 5 6" xfId="12535"/>
    <cellStyle name="Note 2 15 2 3" xfId="12536"/>
    <cellStyle name="Note 2 20 2 3" xfId="12537"/>
    <cellStyle name="Input 2 10 3 11 4" xfId="12538"/>
    <cellStyle name="Calculation 2 7 5 7" xfId="12539"/>
    <cellStyle name="Note 2 15 2 4" xfId="12540"/>
    <cellStyle name="Note 2 20 2 4" xfId="12541"/>
    <cellStyle name="Calculation 2 7 6" xfId="12542"/>
    <cellStyle name="Calculation 2 7 6 2 2" xfId="12543"/>
    <cellStyle name="Calculation 2 7 6 2 3" xfId="12544"/>
    <cellStyle name="Calculation 2 7 6 2 4" xfId="12545"/>
    <cellStyle name="Input 2 14 2 10 4 2" xfId="12546"/>
    <cellStyle name="Calculation 2 7 6 3" xfId="12547"/>
    <cellStyle name="Calculation 2 7 6 3 2" xfId="12548"/>
    <cellStyle name="Calculation 2 7 6 3 3" xfId="12549"/>
    <cellStyle name="Calculation 2 7 6 3 4" xfId="12550"/>
    <cellStyle name="Input 2 14 2 10 5 2" xfId="12551"/>
    <cellStyle name="Calculation 2 7 6 4" xfId="12552"/>
    <cellStyle name="Calculation 2 7 6 4 2" xfId="12553"/>
    <cellStyle name="Calculation 2 7 6 4 3" xfId="12554"/>
    <cellStyle name="Input 2 10 3 12 2" xfId="12555"/>
    <cellStyle name="Calculation 2 7 6 5" xfId="12556"/>
    <cellStyle name="Note 2 15 3 2" xfId="12557"/>
    <cellStyle name="Note 2 20 3 2" xfId="12558"/>
    <cellStyle name="Calculation 2 7 6 5 2" xfId="12559"/>
    <cellStyle name="Note 2 15 3 2 2" xfId="12560"/>
    <cellStyle name="Calculation 2 7 6 5 3" xfId="12561"/>
    <cellStyle name="Note 2 15 3 2 3" xfId="12562"/>
    <cellStyle name="Input 2 10 3 12 3" xfId="12563"/>
    <cellStyle name="Calculation 2 7 6 6" xfId="12564"/>
    <cellStyle name="Note 2 15 3 3" xfId="12565"/>
    <cellStyle name="Note 2 20 3 3" xfId="12566"/>
    <cellStyle name="Input 2 10 3 12 4" xfId="12567"/>
    <cellStyle name="Calculation 2 7 6 7" xfId="12568"/>
    <cellStyle name="Note 2 15 3 4" xfId="12569"/>
    <cellStyle name="Note 2 20 3 4" xfId="12570"/>
    <cellStyle name="Calculation 2 7 7" xfId="12571"/>
    <cellStyle name="Calculation 2 7 7 2 2" xfId="12572"/>
    <cellStyle name="Calculation 2 7 7 2 3" xfId="12573"/>
    <cellStyle name="Calculation 2 7 7 2 4" xfId="12574"/>
    <cellStyle name="Calculation 2 7 7 3" xfId="12575"/>
    <cellStyle name="Note 2 9 10 2 2" xfId="12576"/>
    <cellStyle name="Calculation 2 7 7 3 2" xfId="12577"/>
    <cellStyle name="Calculation 2 7 7 3 3" xfId="12578"/>
    <cellStyle name="Calculation 2 7 7 3 4" xfId="12579"/>
    <cellStyle name="Calculation 2 7 7 4" xfId="12580"/>
    <cellStyle name="Note 2 9 10 2 3" xfId="12581"/>
    <cellStyle name="Calculation 2 7 7 4 2" xfId="12582"/>
    <cellStyle name="Calculation 2 7 7 4 3" xfId="12583"/>
    <cellStyle name="Style 1" xfId="12584"/>
    <cellStyle name="Calculation 2 7 7 5" xfId="12585"/>
    <cellStyle name="Note 2 15 4 2" xfId="12586"/>
    <cellStyle name="Note 2 20 4 2" xfId="12587"/>
    <cellStyle name="Input 2 10 3 13 2" xfId="12588"/>
    <cellStyle name="Note 2 9 10 2 4" xfId="12589"/>
    <cellStyle name="Calculation 2 7 7 5 2" xfId="12590"/>
    <cellStyle name="Note 2 15 4 2 2" xfId="12591"/>
    <cellStyle name="Calculation 2 7 7 5 3" xfId="12592"/>
    <cellStyle name="Note 2 15 4 2 3" xfId="12593"/>
    <cellStyle name="Input 2 10 3 13 3" xfId="12594"/>
    <cellStyle name="Calculation 2 7 7 6" xfId="12595"/>
    <cellStyle name="Note 2 15 4 3" xfId="12596"/>
    <cellStyle name="Note 2 20 4 3" xfId="12597"/>
    <cellStyle name="Calculation 2 7 7 7" xfId="12598"/>
    <cellStyle name="Note 2 15 4 4" xfId="12599"/>
    <cellStyle name="Calculation 2 7 8" xfId="12600"/>
    <cellStyle name="Normal 2 38 2" xfId="12601"/>
    <cellStyle name="Calculation 2 7 8 2" xfId="12602"/>
    <cellStyle name="Normal 2 38 2 2" xfId="12603"/>
    <cellStyle name="Calculation 2 7 8 2 2" xfId="12604"/>
    <cellStyle name="Normal 2 38 2 2 2" xfId="12605"/>
    <cellStyle name="Calculation 2 7 8 2 3" xfId="12606"/>
    <cellStyle name="Calculation 2 7 8 2 4" xfId="12607"/>
    <cellStyle name="Calculation 2 7 8 3" xfId="12608"/>
    <cellStyle name="Note 2 9 10 3 2" xfId="12609"/>
    <cellStyle name="Calculation 2 7 8 3 2" xfId="12610"/>
    <cellStyle name="Calculation 2 7 8 3 3" xfId="12611"/>
    <cellStyle name="Calculation 2 7 8 3 4" xfId="12612"/>
    <cellStyle name="Calculation 2 7 8 4" xfId="12613"/>
    <cellStyle name="Note 2 9 10 3 3" xfId="12614"/>
    <cellStyle name="Calculation 2 7 8 4 2" xfId="12615"/>
    <cellStyle name="Calculation 2 7 8 4 3" xfId="12616"/>
    <cellStyle name="Calculation 2 7 8 5" xfId="12617"/>
    <cellStyle name="Note 2 15 5 2" xfId="12618"/>
    <cellStyle name="Note 2 20 5 2" xfId="12619"/>
    <cellStyle name="Input 2 10 3 14 2" xfId="12620"/>
    <cellStyle name="Note 2 9 10 3 4" xfId="12621"/>
    <cellStyle name="Calculation 2 7 8 5 2" xfId="12622"/>
    <cellStyle name="Note 2 15 5 2 2" xfId="12623"/>
    <cellStyle name="Calculation 2 7 8 5 3" xfId="12624"/>
    <cellStyle name="Note 2 15 5 2 3" xfId="12625"/>
    <cellStyle name="Input 2 10 3 14 3" xfId="12626"/>
    <cellStyle name="Calculation 2 7 8 6" xfId="12627"/>
    <cellStyle name="Note 2 15 5 3" xfId="12628"/>
    <cellStyle name="Note 2 20 5 3" xfId="12629"/>
    <cellStyle name="Calculation 2 7 8 7" xfId="12630"/>
    <cellStyle name="Note 2 15 5 4" xfId="12631"/>
    <cellStyle name="Calculation 2 7 9" xfId="12632"/>
    <cellStyle name="Normal 2 38 3" xfId="12633"/>
    <cellStyle name="Calculation 2 7 9 2" xfId="12634"/>
    <cellStyle name="Input 2 13 4 2 3" xfId="12635"/>
    <cellStyle name="Output 2 10 2 4 7" xfId="12636"/>
    <cellStyle name="Calculation 2 7 9 2 2" xfId="12637"/>
    <cellStyle name="Output 2 4 2 3 5" xfId="12638"/>
    <cellStyle name="Calculation 2 7 9 2 3" xfId="12639"/>
    <cellStyle name="Output 2 4 2 3 6" xfId="12640"/>
    <cellStyle name="Calculation 2 7 9 2 4" xfId="12641"/>
    <cellStyle name="Output 2 4 2 3 7" xfId="12642"/>
    <cellStyle name="Calculation 2 7 9 3" xfId="12643"/>
    <cellStyle name="Input 2 13 4 2 4" xfId="12644"/>
    <cellStyle name="Note 2 9 10 4 2" xfId="12645"/>
    <cellStyle name="Output 2 11 7 2 2" xfId="12646"/>
    <cellStyle name="Output 2 10 2 5 7" xfId="12647"/>
    <cellStyle name="Calculation 2 7 9 3 2" xfId="12648"/>
    <cellStyle name="Output 2 4 2 4 5" xfId="12649"/>
    <cellStyle name="Calculation 2 7 9 3 3" xfId="12650"/>
    <cellStyle name="Output 2 4 2 4 6" xfId="12651"/>
    <cellStyle name="Calculation 2 7 9 3 4" xfId="12652"/>
    <cellStyle name="Output 2 4 2 4 7" xfId="12653"/>
    <cellStyle name="Calculation 2 7 9 4" xfId="12654"/>
    <cellStyle name="Note 2 9 10 4 3" xfId="12655"/>
    <cellStyle name="Output 2 11 7 2 3" xfId="12656"/>
    <cellStyle name="Output 2 10 2 6 7" xfId="12657"/>
    <cellStyle name="Calculation 2 7 9 4 2" xfId="12658"/>
    <cellStyle name="Output 2 4 2 5 5" xfId="12659"/>
    <cellStyle name="Calculation 2 7 9 4 3" xfId="12660"/>
    <cellStyle name="Output 2 4 2 5 6" xfId="12661"/>
    <cellStyle name="Calculation 2 7 9 5" xfId="12662"/>
    <cellStyle name="Note 2 15 6 2" xfId="12663"/>
    <cellStyle name="Output 2 11 7 2 4" xfId="12664"/>
    <cellStyle name="Output 2 10 2 7 7" xfId="12665"/>
    <cellStyle name="Calculation 2 7 9 5 2" xfId="12666"/>
    <cellStyle name="Note 2 15 6 2 2" xfId="12667"/>
    <cellStyle name="Output 2 4 2 6 5" xfId="12668"/>
    <cellStyle name="Calculation 2 7 9 5 3" xfId="12669"/>
    <cellStyle name="Note 2 15 6 2 3" xfId="12670"/>
    <cellStyle name="Output 2 4 2 6 6" xfId="12671"/>
    <cellStyle name="Calculation 2 7 9 6" xfId="12672"/>
    <cellStyle name="Note 2 15 6 3" xfId="12673"/>
    <cellStyle name="Calculation 2 7 9 7" xfId="12674"/>
    <cellStyle name="Note 2 15 6 4" xfId="12675"/>
    <cellStyle name="Calculation 2 8" xfId="12676"/>
    <cellStyle name="Calculation 2 8 10" xfId="12677"/>
    <cellStyle name="Note 2 14 3 10 2 3" xfId="12678"/>
    <cellStyle name="Note 2 2 10 7" xfId="12679"/>
    <cellStyle name="Calculation 2 8 10 2" xfId="12680"/>
    <cellStyle name="Output 2 2 12" xfId="12681"/>
    <cellStyle name="Calculation 2 8 10 2 2" xfId="12682"/>
    <cellStyle name="Output 2 2 12 2" xfId="12683"/>
    <cellStyle name="Calculation 2 8 10 2 3" xfId="12684"/>
    <cellStyle name="Note 2 13 2 12 2" xfId="12685"/>
    <cellStyle name="Calculation 2 9 2 9 2" xfId="12686"/>
    <cellStyle name="Output 2 2 12 3" xfId="12687"/>
    <cellStyle name="Calculation 2 8 10 2 4" xfId="12688"/>
    <cellStyle name="Note 2 13 2 12 3" xfId="12689"/>
    <cellStyle name="Calculation 2 9 2 9 3" xfId="12690"/>
    <cellStyle name="Output 2 2 12 4" xfId="12691"/>
    <cellStyle name="Calculation 2 8 10 3" xfId="12692"/>
    <cellStyle name="Output 2 2 13" xfId="12693"/>
    <cellStyle name="Calculation 2 8 10 3 2" xfId="12694"/>
    <cellStyle name="Output 2 2 13 2" xfId="12695"/>
    <cellStyle name="Calculation 2 8 10 3 3" xfId="12696"/>
    <cellStyle name="Note 2 13 2 13 2" xfId="12697"/>
    <cellStyle name="Output 2 2 13 3" xfId="12698"/>
    <cellStyle name="Calculation 2 8 10 3 4" xfId="12699"/>
    <cellStyle name="Note 2 13 2 13 3" xfId="12700"/>
    <cellStyle name="Output 2 2 13 4" xfId="12701"/>
    <cellStyle name="Calculation 2 8 10 4" xfId="12702"/>
    <cellStyle name="Output 2 2 14" xfId="12703"/>
    <cellStyle name="Calculation 2 8 10 4 2" xfId="12704"/>
    <cellStyle name="Output 2 2 14 2" xfId="12705"/>
    <cellStyle name="Calculation 2 8 10 4 3" xfId="12706"/>
    <cellStyle name="Note 2 13 2 14 2" xfId="12707"/>
    <cellStyle name="Output 2 2 14 3" xfId="12708"/>
    <cellStyle name="Calculation 2 8 10 5" xfId="12709"/>
    <cellStyle name="Output 2 2 15" xfId="12710"/>
    <cellStyle name="Calculation 2 8 10 5 3" xfId="12711"/>
    <cellStyle name="Input 2 3 3 4 2 4" xfId="12712"/>
    <cellStyle name="Output 2 2 15 3" xfId="12713"/>
    <cellStyle name="Calculation 2 8 10 6" xfId="12714"/>
    <cellStyle name="Output 2 2 16" xfId="12715"/>
    <cellStyle name="Calculation 2 8 10 7" xfId="12716"/>
    <cellStyle name="Output 2 2 17" xfId="12717"/>
    <cellStyle name="Calculation 2 8 11" xfId="12718"/>
    <cellStyle name="Note 2 14 3 10 2 4" xfId="12719"/>
    <cellStyle name="Note 2 2 10 8" xfId="12720"/>
    <cellStyle name="Calculation 2 8 11 2" xfId="12721"/>
    <cellStyle name="Calculation 2 8 11 2 2" xfId="12722"/>
    <cellStyle name="Calculation 2 8 11 2 3" xfId="12723"/>
    <cellStyle name="Calculation 2 9 3 9 2" xfId="12724"/>
    <cellStyle name="Calculation 2 8 11 2 4" xfId="12725"/>
    <cellStyle name="Calculation 2 9 3 9 3" xfId="12726"/>
    <cellStyle name="Calculation 2 8 11 3" xfId="12727"/>
    <cellStyle name="Calculation 2 8 11 3 2" xfId="12728"/>
    <cellStyle name="Calculation 2 8 11 3 3" xfId="12729"/>
    <cellStyle name="Calculation 2 8 11 3 4" xfId="12730"/>
    <cellStyle name="Calculation 2 8 11 4" xfId="12731"/>
    <cellStyle name="Calculation 2 8 11 4 2" xfId="12732"/>
    <cellStyle name="Calculation 2 8 11 4 3" xfId="12733"/>
    <cellStyle name="Calculation 2 8 11 5" xfId="12734"/>
    <cellStyle name="Calculation 2 8 11 5 2" xfId="12735"/>
    <cellStyle name="Input 2 3 3 5 2 3" xfId="12736"/>
    <cellStyle name="Calculation 2 8 11 5 3" xfId="12737"/>
    <cellStyle name="Input 2 3 3 5 2 4" xfId="12738"/>
    <cellStyle name="Calculation 2 8 11 6" xfId="12739"/>
    <cellStyle name="Calculation 2 8 11 7" xfId="12740"/>
    <cellStyle name="Input 2 2 3 5 2 2 2" xfId="12741"/>
    <cellStyle name="Calculation 2 8 12" xfId="12742"/>
    <cellStyle name="Note 2 2 10 9" xfId="12743"/>
    <cellStyle name="Calculation 2 8 12 2" xfId="12744"/>
    <cellStyle name="Calculation 2 8 12 2 2" xfId="12745"/>
    <cellStyle name="Calculation 5 4" xfId="12746"/>
    <cellStyle name="Calculation 2 8 12 2 3" xfId="12747"/>
    <cellStyle name="Calculation 2 8 12 2 4" xfId="12748"/>
    <cellStyle name="Calculation 2 8 12 3" xfId="12749"/>
    <cellStyle name="Calculation 2 8 12 3 2" xfId="12750"/>
    <cellStyle name="Calculation 6 4" xfId="12751"/>
    <cellStyle name="Calculation 2 8 12 3 3" xfId="12752"/>
    <cellStyle name="Calculation 2 8 12 3 4" xfId="12753"/>
    <cellStyle name="Calculation 2 8 12 4" xfId="12754"/>
    <cellStyle name="Calculation 2 8 12 4 2" xfId="12755"/>
    <cellStyle name="Calculation 2 8 12 5" xfId="12756"/>
    <cellStyle name="Calculation 2 8 12 5 2" xfId="12757"/>
    <cellStyle name="Input 2 3 3 6 2 3" xfId="12758"/>
    <cellStyle name="Calculation 2 8 12 5 3" xfId="12759"/>
    <cellStyle name="Input 2 3 3 6 2 4" xfId="12760"/>
    <cellStyle name="Calculation 2 8 12 6" xfId="12761"/>
    <cellStyle name="Calculation 2 8 12 7" xfId="12762"/>
    <cellStyle name="Calculation 2 8 13" xfId="12763"/>
    <cellStyle name="Calculation 2 8 13 2" xfId="12764"/>
    <cellStyle name="Note 2 5 2 10 3" xfId="12765"/>
    <cellStyle name="Calculation 2 8 13 3" xfId="12766"/>
    <cellStyle name="Note 2 5 2 10 4" xfId="12767"/>
    <cellStyle name="Calculation 2 8 13 4" xfId="12768"/>
    <cellStyle name="Note 2 5 2 10 5" xfId="12769"/>
    <cellStyle name="Calculation 2 8 14" xfId="12770"/>
    <cellStyle name="Calculation 2 8 14 2" xfId="12771"/>
    <cellStyle name="Note 2 5 2 11 3" xfId="12772"/>
    <cellStyle name="Calculation 2 8 14 3" xfId="12773"/>
    <cellStyle name="Note 2 5 2 11 4" xfId="12774"/>
    <cellStyle name="Calculation 2 8 14 4" xfId="12775"/>
    <cellStyle name="Calculation 2 8 15" xfId="12776"/>
    <cellStyle name="Calculation 2 8 20" xfId="12777"/>
    <cellStyle name="Calculation 2 8 15 2" xfId="12778"/>
    <cellStyle name="Note 2 5 2 12 3" xfId="12779"/>
    <cellStyle name="Output 2 3 12" xfId="12780"/>
    <cellStyle name="Calculation 2 8 15 3" xfId="12781"/>
    <cellStyle name="Note 2 5 2 12 4" xfId="12782"/>
    <cellStyle name="Output 2 3 13" xfId="12783"/>
    <cellStyle name="Calculation 2 8 16" xfId="12784"/>
    <cellStyle name="Calculation 2 8 16 2" xfId="12785"/>
    <cellStyle name="Note 2 5 2 13 3" xfId="12786"/>
    <cellStyle name="Calculation 2 8 16 3" xfId="12787"/>
    <cellStyle name="Calculation 2 8 17" xfId="12788"/>
    <cellStyle name="Calculation 2 8 17 2" xfId="12789"/>
    <cellStyle name="Note 2 5 2 14 3" xfId="12790"/>
    <cellStyle name="Calculation 2 8 17 2 2" xfId="12791"/>
    <cellStyle name="Note 2 7 3 4 3" xfId="12792"/>
    <cellStyle name="Calculation 2 8 18" xfId="12793"/>
    <cellStyle name="Calculation 2 8 19" xfId="12794"/>
    <cellStyle name="Calculation 2 8 2" xfId="12795"/>
    <cellStyle name="Calculation 2 8 2 10" xfId="12796"/>
    <cellStyle name="Calculation 2 8 2 10 2" xfId="12797"/>
    <cellStyle name="Input 2 3 2 12 4" xfId="12798"/>
    <cellStyle name="Output 2 5 3 10 2 4" xfId="12799"/>
    <cellStyle name="Calculation 2 8 2 10 2 2" xfId="12800"/>
    <cellStyle name="Note 2 7 3 4 3 3" xfId="12801"/>
    <cellStyle name="Calculation 2 8 2 10 2 3" xfId="12802"/>
    <cellStyle name="Note 2 7 3 4 3 4" xfId="12803"/>
    <cellStyle name="Calculation 2 8 2 10 2 4" xfId="12804"/>
    <cellStyle name="Calculation 2 8 2 10 3" xfId="12805"/>
    <cellStyle name="Input 2 3 2 12 5" xfId="12806"/>
    <cellStyle name="Calculation 2 8 2 10 3 2" xfId="12807"/>
    <cellStyle name="Note 2 7 3 4 4 3" xfId="12808"/>
    <cellStyle name="Calculation 2 8 2 10 3 3" xfId="12809"/>
    <cellStyle name="Calculation 2 8 2 10 3 4" xfId="12810"/>
    <cellStyle name="Calculation 2 8 2 10 4" xfId="12811"/>
    <cellStyle name="Calculation 2 8 2 10 4 2" xfId="12812"/>
    <cellStyle name="Note 2 7 3 4 5 3" xfId="12813"/>
    <cellStyle name="Calculation 2 8 2 10 4 3" xfId="12814"/>
    <cellStyle name="Calculation 2 8 2 10 5" xfId="12815"/>
    <cellStyle name="Calculation 2 8 2 10 5 2" xfId="12816"/>
    <cellStyle name="Calculation 2 8 2 10 5 3" xfId="12817"/>
    <cellStyle name="Calculation 2 8 2 10 6" xfId="12818"/>
    <cellStyle name="Calculation 2 8 2 11" xfId="12819"/>
    <cellStyle name="Calculation 2 8 2 11 2" xfId="12820"/>
    <cellStyle name="Input 2 3 2 13 4" xfId="12821"/>
    <cellStyle name="Output 2 5 3 10 3 4" xfId="12822"/>
    <cellStyle name="Calculation 2 8 2 11 3" xfId="12823"/>
    <cellStyle name="Calculation 2 8 2 11 4" xfId="12824"/>
    <cellStyle name="Calculation 2 8 2 12" xfId="12825"/>
    <cellStyle name="Calculation 2 8 2 12 2" xfId="12826"/>
    <cellStyle name="Input 2 3 2 14 4" xfId="12827"/>
    <cellStyle name="Calculation 2 8 2 12 3" xfId="12828"/>
    <cellStyle name="Input 2 11 3 2 2 2" xfId="12829"/>
    <cellStyle name="Calculation 2 8 2 12 4" xfId="12830"/>
    <cellStyle name="Input 2 11 3 2 2 3" xfId="12831"/>
    <cellStyle name="Calculation 2 8 2 13 2" xfId="12832"/>
    <cellStyle name="Calculation 2 8 2 13 3" xfId="12833"/>
    <cellStyle name="Input 2 11 3 2 3 2" xfId="12834"/>
    <cellStyle name="Calculation 2 8 2 14 2" xfId="12835"/>
    <cellStyle name="Calculation 2 8 2 14 3" xfId="12836"/>
    <cellStyle name="Input 2 11 3 2 4 2" xfId="12837"/>
    <cellStyle name="Calculation 2 8 2 15" xfId="12838"/>
    <cellStyle name="Calculation 2 8 2 16" xfId="12839"/>
    <cellStyle name="Calculation 2 8 2 2" xfId="12840"/>
    <cellStyle name="Note 2 14 9 4 3" xfId="12841"/>
    <cellStyle name="Calculation 2 8 2 2 2" xfId="12842"/>
    <cellStyle name="Calculation 2 8 2 2 2 2" xfId="12843"/>
    <cellStyle name="Calculation 2 8 2 2 2 3" xfId="12844"/>
    <cellStyle name="Calculation 2 8 2 2 2 4" xfId="12845"/>
    <cellStyle name="Calculation 2 8 2 2 3" xfId="12846"/>
    <cellStyle name="Calculation 2 8 2 2 3 2" xfId="12847"/>
    <cellStyle name="Calculation 2 8 2 2 3 3" xfId="12848"/>
    <cellStyle name="Calculation 2 8 2 2 3 4" xfId="12849"/>
    <cellStyle name="Calculation 2 8 2 2 4" xfId="12850"/>
    <cellStyle name="Calculation 2 8 2 2 5" xfId="12851"/>
    <cellStyle name="Calculation 2 8 2 2 5 2" xfId="12852"/>
    <cellStyle name="Calculation 2 8 2 2 5 3" xfId="12853"/>
    <cellStyle name="Calculation 2 8 2 2 6" xfId="12854"/>
    <cellStyle name="Calculation 2 8 2 2 7" xfId="12855"/>
    <cellStyle name="Calculation 2 8 2 3" xfId="12856"/>
    <cellStyle name="Calculation 2 8 2 3 2" xfId="12857"/>
    <cellStyle name="Calculation 2 8 2 3 2 2" xfId="12858"/>
    <cellStyle name="Output 2 11 2 12 4" xfId="12859"/>
    <cellStyle name="Calculation 2 8 2 3 2 3" xfId="12860"/>
    <cellStyle name="Calculation 2 8 2 3 2 4" xfId="12861"/>
    <cellStyle name="Calculation 2 8 2 3 3" xfId="12862"/>
    <cellStyle name="Calculation 2 8 2 3 3 2" xfId="12863"/>
    <cellStyle name="Calculation 2 8 2 3 3 3" xfId="12864"/>
    <cellStyle name="Calculation 2 8 2 3 3 4" xfId="12865"/>
    <cellStyle name="Calculation 2 8 2 3 4" xfId="12866"/>
    <cellStyle name="Calculation 2 8 2 3 4 2" xfId="12867"/>
    <cellStyle name="Calculation 2 8 2 3 4 3" xfId="12868"/>
    <cellStyle name="Calculation 2 8 2 3 5" xfId="12869"/>
    <cellStyle name="Calculation 2 8 2 3 5 2" xfId="12870"/>
    <cellStyle name="Calculation 2 8 2 3 5 3" xfId="12871"/>
    <cellStyle name="Calculation 2 8 2 3 6" xfId="12872"/>
    <cellStyle name="Calculation 2 8 2 3 7" xfId="12873"/>
    <cellStyle name="Calculation 2 8 2 4" xfId="12874"/>
    <cellStyle name="Calculation 2 8 2 4 2 2" xfId="12875"/>
    <cellStyle name="Calculation 2 8 2 4 2 3" xfId="12876"/>
    <cellStyle name="Calculation 2 8 2 4 2 4" xfId="12877"/>
    <cellStyle name="Calculation 2 8 2 4 3" xfId="12878"/>
    <cellStyle name="Calculation 2 8 2 4 3 2" xfId="12879"/>
    <cellStyle name="Calculation 2 8 2 4 3 3" xfId="12880"/>
    <cellStyle name="Calculation 2 8 2 4 3 4" xfId="12881"/>
    <cellStyle name="Calculation 2 8 2 4 4" xfId="12882"/>
    <cellStyle name="Calculation 2 8 2 4 4 2" xfId="12883"/>
    <cellStyle name="Calculation 2 8 2 4 4 3" xfId="12884"/>
    <cellStyle name="Calculation 2 8 2 4 5" xfId="12885"/>
    <cellStyle name="Calculation 2 8 2 4 5 2" xfId="12886"/>
    <cellStyle name="Calculation 2 8 2 4 5 3" xfId="12887"/>
    <cellStyle name="Calculation 2 8 2 4 6" xfId="12888"/>
    <cellStyle name="Calculation 2 8 2 4 7" xfId="12889"/>
    <cellStyle name="Calculation 2 8 2 5" xfId="12890"/>
    <cellStyle name="Calculation 2 8 2 5 2" xfId="12891"/>
    <cellStyle name="Calculation 2 8 2 5 2 2" xfId="12892"/>
    <cellStyle name="Calculation 2 8 2 5 2 3" xfId="12893"/>
    <cellStyle name="Calculation 2 8 2 5 2 4" xfId="12894"/>
    <cellStyle name="Calculation 2 8 2 5 3" xfId="12895"/>
    <cellStyle name="Calculation 2 8 2 5 3 2" xfId="12896"/>
    <cellStyle name="Calculation 2 8 2 5 3 3" xfId="12897"/>
    <cellStyle name="Calculation 2 8 2 5 3 4" xfId="12898"/>
    <cellStyle name="Calculation 2 8 2 5 4" xfId="12899"/>
    <cellStyle name="Calculation 2 8 2 5 4 2" xfId="12900"/>
    <cellStyle name="Output 2 14 2 2 2 4" xfId="12901"/>
    <cellStyle name="Calculation 2 8 2 5 4 3" xfId="12902"/>
    <cellStyle name="Calculation 2 8 2 5 5" xfId="12903"/>
    <cellStyle name="Calculation 2 8 2 5 5 2" xfId="12904"/>
    <cellStyle name="Output 2 14 2 2 3 4" xfId="12905"/>
    <cellStyle name="Calculation 2 8 2 5 5 3" xfId="12906"/>
    <cellStyle name="Calculation 2 8 2 5 6" xfId="12907"/>
    <cellStyle name="Calculation 2 8 2 5 7" xfId="12908"/>
    <cellStyle name="Calculation 2 8 2 6" xfId="12909"/>
    <cellStyle name="Calculation 2 8 2 6 2" xfId="12910"/>
    <cellStyle name="Calculation 2 8 2 6 2 2" xfId="12911"/>
    <cellStyle name="Output 2 8 11 4" xfId="12912"/>
    <cellStyle name="Calculation 2 8 2 6 2 3" xfId="12913"/>
    <cellStyle name="Output 2 8 11 5" xfId="12914"/>
    <cellStyle name="Calculation 2 8 2 6 2 4" xfId="12915"/>
    <cellStyle name="Output 2 8 11 6" xfId="12916"/>
    <cellStyle name="Calculation 2 8 2 6 3" xfId="12917"/>
    <cellStyle name="Calculation 2 8 2 6 3 2" xfId="12918"/>
    <cellStyle name="Output 2 8 12 4" xfId="12919"/>
    <cellStyle name="Calculation 2 8 2 6 3 3" xfId="12920"/>
    <cellStyle name="Output 2 8 12 5" xfId="12921"/>
    <cellStyle name="Calculation 2 8 2 6 3 4" xfId="12922"/>
    <cellStyle name="Output 2 8 12 6" xfId="12923"/>
    <cellStyle name="Calculation 2 8 2 6 4" xfId="12924"/>
    <cellStyle name="Calculation 2 8 2 6 4 2" xfId="12925"/>
    <cellStyle name="Output 2 14 2 3 2 4" xfId="12926"/>
    <cellStyle name="Output 2 8 13 4" xfId="12927"/>
    <cellStyle name="Calculation 2 8 2 6 4 3" xfId="12928"/>
    <cellStyle name="Calculation 2 8 2 6 5" xfId="12929"/>
    <cellStyle name="Title 2 2 2 2 2 2" xfId="12930"/>
    <cellStyle name="Calculation 2 8 2 6 5 2" xfId="12931"/>
    <cellStyle name="Output 2 14 2 3 3 4" xfId="12932"/>
    <cellStyle name="Output 2 8 14 4" xfId="12933"/>
    <cellStyle name="Title 2 2 2 2 2 2 2" xfId="12934"/>
    <cellStyle name="Calculation 2 8 2 6 6" xfId="12935"/>
    <cellStyle name="Calculation 2 8 2 6 7" xfId="12936"/>
    <cellStyle name="Calculation 2 8 2 7" xfId="12937"/>
    <cellStyle name="Calculation 2 8 2 7 2" xfId="12938"/>
    <cellStyle name="Explanatory Text 2 6" xfId="12939"/>
    <cellStyle name="Calculation 2 8 2 7 2 2" xfId="12940"/>
    <cellStyle name="Note 2 8 2 3 5" xfId="12941"/>
    <cellStyle name="Calculation 2 8 2 7 2 3" xfId="12942"/>
    <cellStyle name="Note 2 8 2 3 6" xfId="12943"/>
    <cellStyle name="Calculation 2 8 2 7 2 4" xfId="12944"/>
    <cellStyle name="Note 2 8 2 3 7" xfId="12945"/>
    <cellStyle name="Calculation 2 8 2 7 3" xfId="12946"/>
    <cellStyle name="Explanatory Text 2 7" xfId="12947"/>
    <cellStyle name="Calculation 2 8 2 7 3 2" xfId="12948"/>
    <cellStyle name="Note 2 8 2 4 5" xfId="12949"/>
    <cellStyle name="Calculation 2 8 2 7 3 3" xfId="12950"/>
    <cellStyle name="Note 2 8 2 4 6" xfId="12951"/>
    <cellStyle name="Calculation 2 8 2 7 3 4" xfId="12952"/>
    <cellStyle name="Note 2 8 2 4 7" xfId="12953"/>
    <cellStyle name="Calculation 2 8 2 7 4" xfId="12954"/>
    <cellStyle name="Explanatory Text 2 8" xfId="12955"/>
    <cellStyle name="Calculation 2 8 2 7 4 2" xfId="12956"/>
    <cellStyle name="Note 2 8 2 5 5" xfId="12957"/>
    <cellStyle name="Output 2 14 2 4 2 4" xfId="12958"/>
    <cellStyle name="Calculation 2 8 2 7 4 3" xfId="12959"/>
    <cellStyle name="Note 2 8 2 5 6" xfId="12960"/>
    <cellStyle name="Calculation 2 8 2 7 5" xfId="12961"/>
    <cellStyle name="Calculation 2 8 2 7 5 2" xfId="12962"/>
    <cellStyle name="Note 2 8 2 6 5" xfId="12963"/>
    <cellStyle name="Output 2 14 10" xfId="12964"/>
    <cellStyle name="Output 2 14 2 4 3 4" xfId="12965"/>
    <cellStyle name="Calculation 2 8 2 7 5 3" xfId="12966"/>
    <cellStyle name="Note 2 8 2 6 6" xfId="12967"/>
    <cellStyle name="Output 2 14 11" xfId="12968"/>
    <cellStyle name="Calculation 2 8 2 7 6" xfId="12969"/>
    <cellStyle name="Calculation 2 8 2 7 7" xfId="12970"/>
    <cellStyle name="Calculation 2 8 2 8" xfId="12971"/>
    <cellStyle name="Input 2 8 5 2 2" xfId="12972"/>
    <cellStyle name="Calculation 2 8 2 8 2" xfId="12973"/>
    <cellStyle name="Calculation 2 8 2 8 2 2" xfId="12974"/>
    <cellStyle name="Note 2 5 15" xfId="12975"/>
    <cellStyle name="Note 2 5 20" xfId="12976"/>
    <cellStyle name="Note 2 8 3 3 5" xfId="12977"/>
    <cellStyle name="Output 2 11 3 12 4" xfId="12978"/>
    <cellStyle name="Output 2 7 2 9 6" xfId="12979"/>
    <cellStyle name="Calculation 2 8 2 8 2 3" xfId="12980"/>
    <cellStyle name="Note 2 5 16" xfId="12981"/>
    <cellStyle name="Note 2 5 21" xfId="12982"/>
    <cellStyle name="Note 2 8 3 3 6" xfId="12983"/>
    <cellStyle name="Output 2 7 2 9 7" xfId="12984"/>
    <cellStyle name="Calculation 2 8 2 8 2 4" xfId="12985"/>
    <cellStyle name="Note 2 5 17" xfId="12986"/>
    <cellStyle name="Note 2 5 22" xfId="12987"/>
    <cellStyle name="Note 2 8 3 3 7" xfId="12988"/>
    <cellStyle name="Calculation 2 8 2 8 3" xfId="12989"/>
    <cellStyle name="Calculation 2 8 2 8 3 2" xfId="12990"/>
    <cellStyle name="Note 2 8 3 4 5" xfId="12991"/>
    <cellStyle name="Output 3" xfId="12992"/>
    <cellStyle name="Calculation 2 8 2 8 3 3" xfId="12993"/>
    <cellStyle name="Note 2 8 3 4 6" xfId="12994"/>
    <cellStyle name="Output 4" xfId="12995"/>
    <cellStyle name="Calculation 2 8 2 8 3 4" xfId="12996"/>
    <cellStyle name="Note 2 8 3 4 7" xfId="12997"/>
    <cellStyle name="Output 5" xfId="12998"/>
    <cellStyle name="Calculation 2 8 2 8 4" xfId="12999"/>
    <cellStyle name="Calculation 2 8 2 8 4 2" xfId="13000"/>
    <cellStyle name="Note 2 8 3 5 5" xfId="13001"/>
    <cellStyle name="Output 2 14 2 5 2 4" xfId="13002"/>
    <cellStyle name="Calculation 2 8 2 8 4 3" xfId="13003"/>
    <cellStyle name="Note 2 8 3 5 6" xfId="13004"/>
    <cellStyle name="Calculation 2 8 2 8 5" xfId="13005"/>
    <cellStyle name="Calculation 2 8 2 8 5 2" xfId="13006"/>
    <cellStyle name="Note 2 8 3 6 5" xfId="13007"/>
    <cellStyle name="Output 2 14 2 5 3 4" xfId="13008"/>
    <cellStyle name="Calculation 2 8 2 8 5 3" xfId="13009"/>
    <cellStyle name="Note 2 8 3 6 6" xfId="13010"/>
    <cellStyle name="Calculation 2 8 2 8 6" xfId="13011"/>
    <cellStyle name="Calculation 2 8 2 8 7" xfId="13012"/>
    <cellStyle name="Calculation 2 8 2 9" xfId="13013"/>
    <cellStyle name="Input 2 8 5 2 3" xfId="13014"/>
    <cellStyle name="Calculation 2 8 2 9 2" xfId="13015"/>
    <cellStyle name="Calculation 2 8 2 9 2 2" xfId="13016"/>
    <cellStyle name="Output 2 7 3 9 6" xfId="13017"/>
    <cellStyle name="Calculation 2 8 2 9 2 3" xfId="13018"/>
    <cellStyle name="Output 2 7 3 9 7" xfId="13019"/>
    <cellStyle name="Calculation 2 8 2 9 2 4" xfId="13020"/>
    <cellStyle name="Calculation 2 8 2 9 3" xfId="13021"/>
    <cellStyle name="Calculation 2 8 2 9 3 2" xfId="13022"/>
    <cellStyle name="Calculation 2 8 2 9 3 3" xfId="13023"/>
    <cellStyle name="Calculation 2 8 2 9 3 4" xfId="13024"/>
    <cellStyle name="Calculation 2 8 2 9 4" xfId="13025"/>
    <cellStyle name="Calculation 2 8 2 9 4 2" xfId="13026"/>
    <cellStyle name="Output 2 14 2 6 2 4" xfId="13027"/>
    <cellStyle name="Calculation 2 8 2 9 4 3" xfId="13028"/>
    <cellStyle name="Calculation 2 8 2 9 5" xfId="13029"/>
    <cellStyle name="Calculation 2 8 2 9 5 2" xfId="13030"/>
    <cellStyle name="Output 2 14 2 6 3 4" xfId="13031"/>
    <cellStyle name="Calculation 2 8 2 9 5 3" xfId="13032"/>
    <cellStyle name="Calculation 2 8 2 9 6" xfId="13033"/>
    <cellStyle name="Calculation 2 8 2 9 7" xfId="13034"/>
    <cellStyle name="Calculation 2 8 3" xfId="13035"/>
    <cellStyle name="Calculation 2 8 3 10" xfId="13036"/>
    <cellStyle name="Calculation 2 8 3 10 2" xfId="13037"/>
    <cellStyle name="Input 2 3 3 12 4" xfId="13038"/>
    <cellStyle name="Calculation 2 8 3 10 2 2" xfId="13039"/>
    <cellStyle name="Note 2 3 8 6" xfId="13040"/>
    <cellStyle name="Note 2 11 6 4 2" xfId="13041"/>
    <cellStyle name="Calculation 2 8 3 10 2 3" xfId="13042"/>
    <cellStyle name="Note 2 3 8 7" xfId="13043"/>
    <cellStyle name="Note 2 11 6 4 3" xfId="13044"/>
    <cellStyle name="Calculation 2 8 3 10 2 4" xfId="13045"/>
    <cellStyle name="Note 2 3 8 8" xfId="13046"/>
    <cellStyle name="Calculation 2 8 3 10 3" xfId="13047"/>
    <cellStyle name="Note 2 2 2 4 2 2 2 2 2 2 2 2" xfId="13048"/>
    <cellStyle name="Calculation 2 8 3 10 3 2" xfId="13049"/>
    <cellStyle name="Note 2 3 9 6" xfId="13050"/>
    <cellStyle name="Note 2 11 6 5 2" xfId="13051"/>
    <cellStyle name="Calculation 2 8 3 10 3 3" xfId="13052"/>
    <cellStyle name="Note 2 3 9 7" xfId="13053"/>
    <cellStyle name="Note 2 11 6 5 3" xfId="13054"/>
    <cellStyle name="Calculation 2 8 3 10 3 4" xfId="13055"/>
    <cellStyle name="Note 2 3 9 8" xfId="13056"/>
    <cellStyle name="Calculation 2 8 3 10 4" xfId="13057"/>
    <cellStyle name="Calculation 2 8 3 10 4 2" xfId="13058"/>
    <cellStyle name="Calculation 2 8 3 10 4 3" xfId="13059"/>
    <cellStyle name="Calculation 2 8 3 10 5" xfId="13060"/>
    <cellStyle name="Calculation 2 8 3 10 5 2" xfId="13061"/>
    <cellStyle name="Output 2 13 3 15" xfId="13062"/>
    <cellStyle name="Calculation 2 8 3 10 5 3" xfId="13063"/>
    <cellStyle name="Output 2 13 3 16" xfId="13064"/>
    <cellStyle name="Calculation 2 8 3 11" xfId="13065"/>
    <cellStyle name="Calculation 2 8 3 11 2" xfId="13066"/>
    <cellStyle name="Calculation 2 8 3 11 3" xfId="13067"/>
    <cellStyle name="Output 2 2 2 2 2 2 2 2 2 2 2 2" xfId="13068"/>
    <cellStyle name="Calculation 2 8 3 11 4" xfId="13069"/>
    <cellStyle name="Calculation 2 8 3 12" xfId="13070"/>
    <cellStyle name="Calculation 2 8 3 12 2" xfId="13071"/>
    <cellStyle name="Calculation 2 8 3 12 3" xfId="13072"/>
    <cellStyle name="Input 2 11 3 7 2 2" xfId="13073"/>
    <cellStyle name="Calculation 2 8 3 12 4" xfId="13074"/>
    <cellStyle name="Input 2 11 3 7 2 3" xfId="13075"/>
    <cellStyle name="Calculation 2 8 3 13" xfId="13076"/>
    <cellStyle name="Calculation 2 8 3 13 2" xfId="13077"/>
    <cellStyle name="Calculation 2 8 3 13 3" xfId="13078"/>
    <cellStyle name="Input 2 11 3 7 3 2" xfId="13079"/>
    <cellStyle name="Calculation 2 8 3 14" xfId="13080"/>
    <cellStyle name="Calculation 2 8 3 14 2" xfId="13081"/>
    <cellStyle name="Calculation 2 8 3 14 3" xfId="13082"/>
    <cellStyle name="Input 2 11 3 7 4 2" xfId="13083"/>
    <cellStyle name="Calculation 2 8 3 15" xfId="13084"/>
    <cellStyle name="Calculation 2 8 3 16" xfId="13085"/>
    <cellStyle name="Calculation 2 8 3 2" xfId="13086"/>
    <cellStyle name="Note 2 14 9 5 3" xfId="13087"/>
    <cellStyle name="Calculation 2 8 3 2 2" xfId="13088"/>
    <cellStyle name="Calculation 2 8 3 2 2 2" xfId="13089"/>
    <cellStyle name="Calculation 2 8 3 2 2 3" xfId="13090"/>
    <cellStyle name="Calculation 2 8 3 2 2 4" xfId="13091"/>
    <cellStyle name="Calculation 2 8 3 2 3" xfId="13092"/>
    <cellStyle name="Calculation 2 8 3 2 3 2" xfId="13093"/>
    <cellStyle name="Calculation 2 8 3 2 3 3" xfId="13094"/>
    <cellStyle name="Calculation 2 8 3 2 3 4" xfId="13095"/>
    <cellStyle name="Calculation 2 8 3 2 4" xfId="13096"/>
    <cellStyle name="Calculation 2 8 3 2 4 3" xfId="13097"/>
    <cellStyle name="Calculation 2 8 3 2 5" xfId="13098"/>
    <cellStyle name="Calculation 2 8 3 2 6" xfId="13099"/>
    <cellStyle name="Calculation 2 8 3 2 7" xfId="13100"/>
    <cellStyle name="Calculation 2 8 3 3" xfId="13101"/>
    <cellStyle name="Calculation 2 8 3 3 2" xfId="13102"/>
    <cellStyle name="Calculation 2 8 3 3 2 3" xfId="13103"/>
    <cellStyle name="Total 2 10 10 4" xfId="13104"/>
    <cellStyle name="Calculation 2 8 3 3 2 4" xfId="13105"/>
    <cellStyle name="Total 2 10 10 5" xfId="13106"/>
    <cellStyle name="Calculation 2 8 3 3 3" xfId="13107"/>
    <cellStyle name="Calculation 2 8 3 3 3 2" xfId="13108"/>
    <cellStyle name="Total 2 10 11 3" xfId="13109"/>
    <cellStyle name="Calculation 2 8 3 3 3 3" xfId="13110"/>
    <cellStyle name="Total 2 10 11 4" xfId="13111"/>
    <cellStyle name="Calculation 2 8 3 3 3 4" xfId="13112"/>
    <cellStyle name="Total 2 10 11 5" xfId="13113"/>
    <cellStyle name="Calculation 2 8 3 3 4" xfId="13114"/>
    <cellStyle name="Calculation 2 8 3 3 4 2" xfId="13115"/>
    <cellStyle name="Output 2 2 2 11" xfId="13116"/>
    <cellStyle name="Total 2 10 12 3" xfId="13117"/>
    <cellStyle name="Calculation 2 8 3 3 4 3" xfId="13118"/>
    <cellStyle name="Output 2 2 2 12" xfId="13119"/>
    <cellStyle name="Total 2 10 12 4" xfId="13120"/>
    <cellStyle name="Calculation 2 8 3 3 5" xfId="13121"/>
    <cellStyle name="Calculation 2 8 3 3 5 2" xfId="13122"/>
    <cellStyle name="Total 2 10 13 3" xfId="13123"/>
    <cellStyle name="Calculation 2 8 3 3 5 3" xfId="13124"/>
    <cellStyle name="Total 2 10 13 4" xfId="13125"/>
    <cellStyle name="Calculation 2 8 3 3 6" xfId="13126"/>
    <cellStyle name="Calculation 2 8 3 3 7" xfId="13127"/>
    <cellStyle name="Calculation 2 8 3 4" xfId="13128"/>
    <cellStyle name="Calculation 2 8 3 4 2" xfId="13129"/>
    <cellStyle name="Calculation 2 8 3 4 2 2" xfId="13130"/>
    <cellStyle name="Calculation 2 8 3 4 2 3" xfId="13131"/>
    <cellStyle name="Calculation 2 8 3 4 2 4" xfId="13132"/>
    <cellStyle name="Calculation 2 8 3 4 3" xfId="13133"/>
    <cellStyle name="Calculation 2 8 3 4 3 2" xfId="13134"/>
    <cellStyle name="Calculation 2 8 3 4 3 3" xfId="13135"/>
    <cellStyle name="Calculation 2 8 3 4 3 4" xfId="13136"/>
    <cellStyle name="Calculation 2 8 3 4 4" xfId="13137"/>
    <cellStyle name="Calculation 2 8 3 4 4 2" xfId="13138"/>
    <cellStyle name="Calculation 2 8 3 4 4 3" xfId="13139"/>
    <cellStyle name="Calculation 2 8 3 4 5" xfId="13140"/>
    <cellStyle name="Calculation 2 8 3 4 5 2" xfId="13141"/>
    <cellStyle name="Calculation 2 8 3 4 5 3" xfId="13142"/>
    <cellStyle name="Calculation 2 8 3 4 6" xfId="13143"/>
    <cellStyle name="Calculation 2 8 3 4 7" xfId="13144"/>
    <cellStyle name="Calculation 2 8 3 5" xfId="13145"/>
    <cellStyle name="Calculation 2 8 3 5 2" xfId="13146"/>
    <cellStyle name="Calculation 2 8 3 5 2 2" xfId="13147"/>
    <cellStyle name="Calculation 2 8 3 5 2 3" xfId="13148"/>
    <cellStyle name="Calculation 2 8 3 5 2 4" xfId="13149"/>
    <cellStyle name="Calculation 2 8 3 5 3" xfId="13150"/>
    <cellStyle name="Calculation 2 8 3 5 3 2" xfId="13151"/>
    <cellStyle name="Calculation 2 8 3 5 3 3" xfId="13152"/>
    <cellStyle name="Calculation 2 8 3 5 3 4" xfId="13153"/>
    <cellStyle name="Calculation 2 8 3 5 4" xfId="13154"/>
    <cellStyle name="Calculation 2 8 3 5 4 2" xfId="13155"/>
    <cellStyle name="Output 2 14 3 2 2 4" xfId="13156"/>
    <cellStyle name="Calculation 2 8 3 5 4 3" xfId="13157"/>
    <cellStyle name="Calculation 2 8 3 5 5" xfId="13158"/>
    <cellStyle name="Calculation 2 8 3 5 5 2" xfId="13159"/>
    <cellStyle name="Output 2 14 3 2 3 4" xfId="13160"/>
    <cellStyle name="Calculation 2 8 3 5 5 3" xfId="13161"/>
    <cellStyle name="Calculation 2 8 3 5 6" xfId="13162"/>
    <cellStyle name="Calculation 2 8 3 5 7" xfId="13163"/>
    <cellStyle name="Calculation 2 8 3 6" xfId="13164"/>
    <cellStyle name="Calculation 2 8 3 6 2" xfId="13165"/>
    <cellStyle name="Note 2 6 3 10 6" xfId="13166"/>
    <cellStyle name="Calculation 2 8 3 6 2 2" xfId="13167"/>
    <cellStyle name="Calculation 2 8 3 6 2 3" xfId="13168"/>
    <cellStyle name="Calculation 2 8 3 6 2 4" xfId="13169"/>
    <cellStyle name="Calculation 2 8 3 6 3" xfId="13170"/>
    <cellStyle name="Note 2 6 3 10 7" xfId="13171"/>
    <cellStyle name="Calculation 2 8 3 6 3 2" xfId="13172"/>
    <cellStyle name="Calculation 2 8 3 6 3 3" xfId="13173"/>
    <cellStyle name="Calculation 2 8 3 6 3 4" xfId="13174"/>
    <cellStyle name="Calculation 2 8 3 6 4" xfId="13175"/>
    <cellStyle name="Calculation 2 8 3 6 4 2" xfId="13176"/>
    <cellStyle name="Output 2 14 3 3 2 4" xfId="13177"/>
    <cellStyle name="Calculation 2 8 3 6 4 3" xfId="13178"/>
    <cellStyle name="Calculation 2 8 3 6 5" xfId="13179"/>
    <cellStyle name="Calculation 2 8 3 6 5 2" xfId="13180"/>
    <cellStyle name="Output 2 14 3 3 3 4" xfId="13181"/>
    <cellStyle name="Calculation 2 8 3 6 6" xfId="13182"/>
    <cellStyle name="Calculation 2 8 3 6 7" xfId="13183"/>
    <cellStyle name="Calculation 2 8 3 7" xfId="13184"/>
    <cellStyle name="Calculation 2 8 3 7 2" xfId="13185"/>
    <cellStyle name="Calculation 2 8 3 7 2 2" xfId="13186"/>
    <cellStyle name="Note 2 9 2 3 5" xfId="13187"/>
    <cellStyle name="Calculation 2 8 3 7 2 3" xfId="13188"/>
    <cellStyle name="Note 2 9 2 3 6" xfId="13189"/>
    <cellStyle name="Calculation 2 8 3 7 2 4" xfId="13190"/>
    <cellStyle name="Note 2 9 2 3 7" xfId="13191"/>
    <cellStyle name="Calculation 2 8 3 7 3" xfId="13192"/>
    <cellStyle name="Calculation 2 8 3 7 3 2" xfId="13193"/>
    <cellStyle name="Note 2 9 2 4 5" xfId="13194"/>
    <cellStyle name="Calculation 2 8 3 7 3 3" xfId="13195"/>
    <cellStyle name="Note 2 9 2 4 6" xfId="13196"/>
    <cellStyle name="Calculation 2 8 3 7 3 4" xfId="13197"/>
    <cellStyle name="Note 2 9 2 4 7" xfId="13198"/>
    <cellStyle name="Calculation 2 8 3 7 4" xfId="13199"/>
    <cellStyle name="Calculation 2 8 3 7 4 2" xfId="13200"/>
    <cellStyle name="Note 2 9 2 5 5" xfId="13201"/>
    <cellStyle name="Output 2 14 3 4 2 4" xfId="13202"/>
    <cellStyle name="Calculation 2 8 3 7 4 3" xfId="13203"/>
    <cellStyle name="Note 2 9 2 5 6" xfId="13204"/>
    <cellStyle name="Calculation 2 8 3 7 5" xfId="13205"/>
    <cellStyle name="Calculation 2 8 3 7 5 2" xfId="13206"/>
    <cellStyle name="Note 2 9 2 6 5" xfId="13207"/>
    <cellStyle name="Output 2 14 3 4 3 4" xfId="13208"/>
    <cellStyle name="Output 2 5 19" xfId="13209"/>
    <cellStyle name="Calculation 2 8 3 7 5 3" xfId="13210"/>
    <cellStyle name="Note 2 9 2 6 6" xfId="13211"/>
    <cellStyle name="Calculation 2 8 3 7 6" xfId="13212"/>
    <cellStyle name="Calculation 2 8 3 7 7" xfId="13213"/>
    <cellStyle name="Calculation 2 8 3 8" xfId="13214"/>
    <cellStyle name="Input 2 8 5 3 2" xfId="13215"/>
    <cellStyle name="Calculation 2 8 3 8 2" xfId="13216"/>
    <cellStyle name="Calculation 2 8 3 8 2 2" xfId="13217"/>
    <cellStyle name="Input 2 12 7" xfId="13218"/>
    <cellStyle name="Note 2 9 3 3 5" xfId="13219"/>
    <cellStyle name="Output 2 8 2 9 6" xfId="13220"/>
    <cellStyle name="Total 2 11 10 3" xfId="13221"/>
    <cellStyle name="Calculation 2 8 3 8 2 3" xfId="13222"/>
    <cellStyle name="Input 2 12 8" xfId="13223"/>
    <cellStyle name="Note 2 9 3 3 6" xfId="13224"/>
    <cellStyle name="Output 2 8 2 9 7" xfId="13225"/>
    <cellStyle name="Total 2 11 10 4" xfId="13226"/>
    <cellStyle name="Calculation 2 8 3 8 2 4" xfId="13227"/>
    <cellStyle name="Input 2 12 9" xfId="13228"/>
    <cellStyle name="Note 2 9 3 3 7" xfId="13229"/>
    <cellStyle name="Total 2 11 10 5" xfId="13230"/>
    <cellStyle name="Calculation 2 8 3 8 3" xfId="13231"/>
    <cellStyle name="Calculation 2 8 3 8 3 2" xfId="13232"/>
    <cellStyle name="Input 2 13 7" xfId="13233"/>
    <cellStyle name="Note 2 9 3 4 5" xfId="13234"/>
    <cellStyle name="Total 2 11 11 3" xfId="13235"/>
    <cellStyle name="Calculation 2 8 3 8 3 3" xfId="13236"/>
    <cellStyle name="Input 2 13 8" xfId="13237"/>
    <cellStyle name="Note 2 9 3 4 6" xfId="13238"/>
    <cellStyle name="Total 2 11 11 4" xfId="13239"/>
    <cellStyle name="Calculation 2 8 3 8 3 4" xfId="13240"/>
    <cellStyle name="Input 2 13 9" xfId="13241"/>
    <cellStyle name="Note 2 9 3 4 7" xfId="13242"/>
    <cellStyle name="Total 2 11 11 5" xfId="13243"/>
    <cellStyle name="Calculation 2 8 3 8 4" xfId="13244"/>
    <cellStyle name="Calculation 2 8 3 8 4 2" xfId="13245"/>
    <cellStyle name="Input 2 14 7" xfId="13246"/>
    <cellStyle name="Note 2 9 3 5 5" xfId="13247"/>
    <cellStyle name="Output 2 14 3 5 2 4" xfId="13248"/>
    <cellStyle name="Output 2 3 2 11" xfId="13249"/>
    <cellStyle name="Total 2 11 12 3" xfId="13250"/>
    <cellStyle name="Calculation 2 8 3 8 4 3" xfId="13251"/>
    <cellStyle name="Input 2 14 8" xfId="13252"/>
    <cellStyle name="Note 2 9 3 5 6" xfId="13253"/>
    <cellStyle name="Output 2 3 2 12" xfId="13254"/>
    <cellStyle name="Total 2 11 12 4" xfId="13255"/>
    <cellStyle name="Calculation 2 8 3 8 5" xfId="13256"/>
    <cellStyle name="Calculation 2 8 3 8 5 2" xfId="13257"/>
    <cellStyle name="Input 2 15 7" xfId="13258"/>
    <cellStyle name="Input 2 20 7" xfId="13259"/>
    <cellStyle name="Note 2 9 3 6 5" xfId="13260"/>
    <cellStyle name="Output 2 14 3 5 3 4" xfId="13261"/>
    <cellStyle name="Total 2 11 13 3" xfId="13262"/>
    <cellStyle name="Calculation 2 8 3 8 5 3" xfId="13263"/>
    <cellStyle name="Input 2 15 8" xfId="13264"/>
    <cellStyle name="Input 2 20 8" xfId="13265"/>
    <cellStyle name="Note 2 9 3 6 6" xfId="13266"/>
    <cellStyle name="Total 2 11 13 4" xfId="13267"/>
    <cellStyle name="Calculation 2 8 3 8 6" xfId="13268"/>
    <cellStyle name="Calculation 2 8 3 8 7" xfId="13269"/>
    <cellStyle name="Calculation 2 8 3 9" xfId="13270"/>
    <cellStyle name="Input 2 8 5 3 3" xfId="13271"/>
    <cellStyle name="Calculation 2 8 3 9 2" xfId="13272"/>
    <cellStyle name="Calculation 2 8 3 9 2 2" xfId="13273"/>
    <cellStyle name="Output 2 8 3 9 6" xfId="13274"/>
    <cellStyle name="Calculation 2 8 3 9 2 3" xfId="13275"/>
    <cellStyle name="Output 2 8 3 9 7" xfId="13276"/>
    <cellStyle name="Calculation 2 8 3 9 2 4" xfId="13277"/>
    <cellStyle name="Calculation 2 8 3 9 3" xfId="13278"/>
    <cellStyle name="Calculation 2 8 3 9 3 2" xfId="13279"/>
    <cellStyle name="Calculation 2 8 3 9 3 3" xfId="13280"/>
    <cellStyle name="Calculation 2 8 3 9 3 4" xfId="13281"/>
    <cellStyle name="Calculation 2 8 3 9 4" xfId="13282"/>
    <cellStyle name="Calculation 2 8 3 9 4 2" xfId="13283"/>
    <cellStyle name="Output 2 14 3 6 2 4" xfId="13284"/>
    <cellStyle name="Calculation 2 8 3 9 4 3" xfId="13285"/>
    <cellStyle name="Calculation 2 8 3 9 5" xfId="13286"/>
    <cellStyle name="Calculation 2 8 3 9 5 2" xfId="13287"/>
    <cellStyle name="Output 2 14 3 6 3 4" xfId="13288"/>
    <cellStyle name="Calculation 2 8 3 9 5 3" xfId="13289"/>
    <cellStyle name="Calculation 2 8 3 9 6" xfId="13290"/>
    <cellStyle name="Calculation 2 8 4" xfId="13291"/>
    <cellStyle name="Calculation 2 8 4 2 2" xfId="13292"/>
    <cellStyle name="Calculation 2 8 4 2 3" xfId="13293"/>
    <cellStyle name="Calculation 2 8 4 2 4" xfId="13294"/>
    <cellStyle name="Calculation 2 8 4 3 2" xfId="13295"/>
    <cellStyle name="Calculation 2 8 4 3 3" xfId="13296"/>
    <cellStyle name="Calculation 2 8 4 3 4" xfId="13297"/>
    <cellStyle name="Calculation 2 8 4 4" xfId="13298"/>
    <cellStyle name="Calculation 2 8 4 4 2" xfId="13299"/>
    <cellStyle name="Calculation 2 8 4 4 3" xfId="13300"/>
    <cellStyle name="Calculation 2 8 4 5" xfId="13301"/>
    <cellStyle name="Calculation 2 8 4 5 2" xfId="13302"/>
    <cellStyle name="Calculation 2 8 4 5 3" xfId="13303"/>
    <cellStyle name="Calculation 2 8 4 6" xfId="13304"/>
    <cellStyle name="Calculation 2 8 4 7" xfId="13305"/>
    <cellStyle name="Calculation 2 8 5" xfId="13306"/>
    <cellStyle name="Calculation 2 8 5 2 4" xfId="13307"/>
    <cellStyle name="Calculation 2 8 5 3 3" xfId="13308"/>
    <cellStyle name="Calculation 2 8 5 3 4" xfId="13309"/>
    <cellStyle name="Calculation 2 8 5 4" xfId="13310"/>
    <cellStyle name="Calculation 2 8 5 4 3" xfId="13311"/>
    <cellStyle name="Calculation 2 8 5 5" xfId="13312"/>
    <cellStyle name="Note 2 16 2 2" xfId="13313"/>
    <cellStyle name="Note 2 21 2 2" xfId="13314"/>
    <cellStyle name="Calculation 2 8 5 5 2" xfId="13315"/>
    <cellStyle name="Note 2 16 2 2 2" xfId="13316"/>
    <cellStyle name="Calculation 2 8 5 5 3" xfId="13317"/>
    <cellStyle name="Note 2 16 2 2 3" xfId="13318"/>
    <cellStyle name="Calculation 2 8 5 6" xfId="13319"/>
    <cellStyle name="Note 2 16 2 3" xfId="13320"/>
    <cellStyle name="Note 2 21 2 3" xfId="13321"/>
    <cellStyle name="Calculation 2 8 5 7" xfId="13322"/>
    <cellStyle name="Note 2 16 2 4" xfId="13323"/>
    <cellStyle name="Note 2 21 2 4" xfId="13324"/>
    <cellStyle name="Calculation 2 8 6" xfId="13325"/>
    <cellStyle name="Calculation 2 8 6 3" xfId="13326"/>
    <cellStyle name="Calculation 2 8 6 3 3" xfId="13327"/>
    <cellStyle name="Calculation 2 8 6 4" xfId="13328"/>
    <cellStyle name="Calculation 2 8 6 4 3" xfId="13329"/>
    <cellStyle name="Note 2 3 10 6" xfId="13330"/>
    <cellStyle name="Calculation 2 8 6 5" xfId="13331"/>
    <cellStyle name="Note 2 16 3 2" xfId="13332"/>
    <cellStyle name="Note 2 21 3 2" xfId="13333"/>
    <cellStyle name="Calculation 2 8 6 5 2" xfId="13334"/>
    <cellStyle name="Note 2 16 3 2 2" xfId="13335"/>
    <cellStyle name="Note 2 3 11 5" xfId="13336"/>
    <cellStyle name="Calculation 2 8 6 5 3" xfId="13337"/>
    <cellStyle name="Note 2 16 3 2 3" xfId="13338"/>
    <cellStyle name="Note 2 3 11 6" xfId="13339"/>
    <cellStyle name="Calculation 2 8 6 6" xfId="13340"/>
    <cellStyle name="Note 2 16 3 3" xfId="13341"/>
    <cellStyle name="Note 2 21 3 3" xfId="13342"/>
    <cellStyle name="Calculation 2 8 6 7" xfId="13343"/>
    <cellStyle name="Note 2 16 3 4" xfId="13344"/>
    <cellStyle name="Note 2 21 3 4" xfId="13345"/>
    <cellStyle name="Calculation 2 8 7" xfId="13346"/>
    <cellStyle name="Calculation 2 8 7 2 4" xfId="13347"/>
    <cellStyle name="Calculation 2 8 7 3" xfId="13348"/>
    <cellStyle name="Note 2 9 11 2 2" xfId="13349"/>
    <cellStyle name="Calculation 2 8 7 3 3" xfId="13350"/>
    <cellStyle name="Calculation 2 8 7 3 4" xfId="13351"/>
    <cellStyle name="Calculation 2 8 7 4" xfId="13352"/>
    <cellStyle name="Note 2 9 11 2 3" xfId="13353"/>
    <cellStyle name="Calculation 2 8 7 4 3" xfId="13354"/>
    <cellStyle name="Calculation 2 8 7 5" xfId="13355"/>
    <cellStyle name="Note 2 16 4 2" xfId="13356"/>
    <cellStyle name="Note 2 21 4 2" xfId="13357"/>
    <cellStyle name="Note 2 9 11 2 4" xfId="13358"/>
    <cellStyle name="Calculation 2 8 7 5 2" xfId="13359"/>
    <cellStyle name="Note 2 16 4 2 2" xfId="13360"/>
    <cellStyle name="Calculation 2 8 7 5 3" xfId="13361"/>
    <cellStyle name="Note 2 16 4 2 3" xfId="13362"/>
    <cellStyle name="Calculation 2 8 7 6" xfId="13363"/>
    <cellStyle name="Note 2 16 4 3" xfId="13364"/>
    <cellStyle name="Note 2 21 4 3" xfId="13365"/>
    <cellStyle name="Calculation 2 8 7 7" xfId="13366"/>
    <cellStyle name="Note 2 16 4 4" xfId="13367"/>
    <cellStyle name="Calculation 2 8 8" xfId="13368"/>
    <cellStyle name="Calculation 2 8 8 2" xfId="13369"/>
    <cellStyle name="Calculation 2 8 8 3" xfId="13370"/>
    <cellStyle name="Note 2 9 11 3 2" xfId="13371"/>
    <cellStyle name="Calculation 2 8 8 4" xfId="13372"/>
    <cellStyle name="Note 2 9 11 3 3" xfId="13373"/>
    <cellStyle name="Calculation 2 8 8 5" xfId="13374"/>
    <cellStyle name="Note 2 16 5 2" xfId="13375"/>
    <cellStyle name="Note 2 21 5 2" xfId="13376"/>
    <cellStyle name="Note 2 9 11 3 4" xfId="13377"/>
    <cellStyle name="Calculation 2 8 8 5 2" xfId="13378"/>
    <cellStyle name="Note 2 16 5 2 2" xfId="13379"/>
    <cellStyle name="Calculation 2 8 8 6" xfId="13380"/>
    <cellStyle name="Note 2 16 5 3" xfId="13381"/>
    <cellStyle name="Note 2 21 5 3" xfId="13382"/>
    <cellStyle name="Calculation 2 8 8 7" xfId="13383"/>
    <cellStyle name="Note 2 16 5 4" xfId="13384"/>
    <cellStyle name="Calculation 2 8 9" xfId="13385"/>
    <cellStyle name="Calculation 2 8 9 2" xfId="13386"/>
    <cellStyle name="Input 2 13 5 2 3" xfId="13387"/>
    <cellStyle name="Calculation 2 8 9 3" xfId="13388"/>
    <cellStyle name="Input 2 13 5 2 4" xfId="13389"/>
    <cellStyle name="Note 2 9 11 4 2" xfId="13390"/>
    <cellStyle name="Output 2 11 8 2 2" xfId="13391"/>
    <cellStyle name="Calculation 2 8 9 4" xfId="13392"/>
    <cellStyle name="Note 2 9 11 4 3" xfId="13393"/>
    <cellStyle name="Output 2 11 8 2 3" xfId="13394"/>
    <cellStyle name="Calculation 2 8 9 5" xfId="13395"/>
    <cellStyle name="Note 2 16 6 2" xfId="13396"/>
    <cellStyle name="Output 2 11 8 2 4" xfId="13397"/>
    <cellStyle name="Output 2 11 2 7 7" xfId="13398"/>
    <cellStyle name="Calculation 2 8 9 5 2" xfId="13399"/>
    <cellStyle name="Note 2 16 6 2 2" xfId="13400"/>
    <cellStyle name="Output 2 5 2 6 5" xfId="13401"/>
    <cellStyle name="Calculation 2 8 9 6" xfId="13402"/>
    <cellStyle name="Note 2 16 6 3" xfId="13403"/>
    <cellStyle name="Calculation 2 8 9 7" xfId="13404"/>
    <cellStyle name="Note 2 16 6 4" xfId="13405"/>
    <cellStyle name="Calculation 2 9" xfId="13406"/>
    <cellStyle name="Calculation 2 9 10" xfId="13407"/>
    <cellStyle name="Calculation 2 9 10 2" xfId="13408"/>
    <cellStyle name="Calculation 2 9 10 2 4" xfId="13409"/>
    <cellStyle name="Note 2 14 2 12 3" xfId="13410"/>
    <cellStyle name="Calculation 2 9 10 3" xfId="13411"/>
    <cellStyle name="Calculation 2 9 10 3 4" xfId="13412"/>
    <cellStyle name="Note 2 14 2 13 3" xfId="13413"/>
    <cellStyle name="Calculation 2 9 10 4" xfId="13414"/>
    <cellStyle name="Calculation 2 9 10 4 3" xfId="13415"/>
    <cellStyle name="Note 2 14 2 14 2" xfId="13416"/>
    <cellStyle name="Calculation 2 9 11" xfId="13417"/>
    <cellStyle name="Calculation 2 9 11 2" xfId="13418"/>
    <cellStyle name="Calculation 2 9 11 2 2" xfId="13419"/>
    <cellStyle name="Calculation 2 9 11 2 3" xfId="13420"/>
    <cellStyle name="Calculation 2 9 11 2 4" xfId="13421"/>
    <cellStyle name="Calculation 2 9 11 3" xfId="13422"/>
    <cellStyle name="Calculation 2 9 11 3 2" xfId="13423"/>
    <cellStyle name="Calculation 2 9 11 3 3" xfId="13424"/>
    <cellStyle name="Calculation 2 9 11 3 4" xfId="13425"/>
    <cellStyle name="Calculation 2 9 11 4" xfId="13426"/>
    <cellStyle name="Calculation 2 9 12" xfId="13427"/>
    <cellStyle name="Calculation 2 9 12 2" xfId="13428"/>
    <cellStyle name="Calculation 2 9 12 2 2" xfId="13429"/>
    <cellStyle name="Calculation 2 9 12 2 3" xfId="13430"/>
    <cellStyle name="Calculation 2 9 12 2 4" xfId="13431"/>
    <cellStyle name="Calculation 2 9 12 3" xfId="13432"/>
    <cellStyle name="Calculation 2 9 12 3 2" xfId="13433"/>
    <cellStyle name="Calculation 2 9 12 3 3" xfId="13434"/>
    <cellStyle name="Calculation 2 9 12 3 4" xfId="13435"/>
    <cellStyle name="Calculation 2 9 12 4" xfId="13436"/>
    <cellStyle name="Calculation 2 9 13" xfId="13437"/>
    <cellStyle name="Calculation 2 9 13 2" xfId="13438"/>
    <cellStyle name="Note 2 5 3 10 3" xfId="13439"/>
    <cellStyle name="Calculation 2 9 13 3" xfId="13440"/>
    <cellStyle name="Note 2 5 3 10 4" xfId="13441"/>
    <cellStyle name="Calculation 2 9 13 4" xfId="13442"/>
    <cellStyle name="Note 2 5 3 10 5" xfId="13443"/>
    <cellStyle name="Calculation 2 9 14" xfId="13444"/>
    <cellStyle name="Calculation 2 9 14 2" xfId="13445"/>
    <cellStyle name="Input 2 16 3 2 3" xfId="13446"/>
    <cellStyle name="Note 2 5 3 11 3" xfId="13447"/>
    <cellStyle name="Calculation 2 9 14 3" xfId="13448"/>
    <cellStyle name="Input 2 16 3 2 4" xfId="13449"/>
    <cellStyle name="Note 2 5 3 11 4" xfId="13450"/>
    <cellStyle name="Output 2 14 6 2 2" xfId="13451"/>
    <cellStyle name="Calculation 2 9 14 4" xfId="13452"/>
    <cellStyle name="Output 2 14 6 2 3" xfId="13453"/>
    <cellStyle name="Calculation 2 9 15" xfId="13454"/>
    <cellStyle name="Calculation 2 9 20" xfId="13455"/>
    <cellStyle name="Input 2 4 2 7 3 2" xfId="13456"/>
    <cellStyle name="Calculation 2 9 15 2" xfId="13457"/>
    <cellStyle name="Input 2 16 3 3 3" xfId="13458"/>
    <cellStyle name="Note 2 5 3 12 3" xfId="13459"/>
    <cellStyle name="Calculation 2 9 15 3" xfId="13460"/>
    <cellStyle name="Input 2 16 3 3 4" xfId="13461"/>
    <cellStyle name="Note 2 5 3 12 4" xfId="13462"/>
    <cellStyle name="Output 2 14 6 3 2" xfId="13463"/>
    <cellStyle name="Calculation 2 9 16" xfId="13464"/>
    <cellStyle name="Input 2 4 2 7 3 3" xfId="13465"/>
    <cellStyle name="Calculation 2 9 16 2" xfId="13466"/>
    <cellStyle name="Input 2 16 3 4 3" xfId="13467"/>
    <cellStyle name="Note 2 5 3 13 3" xfId="13468"/>
    <cellStyle name="Calculation 2 9 17" xfId="13469"/>
    <cellStyle name="Input 2 4 2 7 3 4" xfId="13470"/>
    <cellStyle name="Calculation 2 9 17 2" xfId="13471"/>
    <cellStyle name="Input 2 16 3 5 3" xfId="13472"/>
    <cellStyle name="Note 2 5 3 14 3" xfId="13473"/>
    <cellStyle name="Total 2 3 3 3 3 4" xfId="13474"/>
    <cellStyle name="Calculation 2 9 17 2 2" xfId="13475"/>
    <cellStyle name="Calculation 2 9 18" xfId="13476"/>
    <cellStyle name="Calculation 2 9 2 10" xfId="13477"/>
    <cellStyle name="Calculation 2 9 2 10 2" xfId="13478"/>
    <cellStyle name="Input 2 4 2 12 4" xfId="13479"/>
    <cellStyle name="Calculation 2 9 2 10 2 2" xfId="13480"/>
    <cellStyle name="ColStyle2" xfId="13481"/>
    <cellStyle name="Calculation 2 9 2 10 2 3" xfId="13482"/>
    <cellStyle name="Calculation 2 9 2 10 2 4" xfId="13483"/>
    <cellStyle name="ColStyle4" xfId="13484"/>
    <cellStyle name="Calculation 2 9 2 10 3" xfId="13485"/>
    <cellStyle name="Calculation 2 9 2 10 3 2" xfId="13486"/>
    <cellStyle name="Calculation 2 9 2 10 3 3" xfId="13487"/>
    <cellStyle name="Calculation 2 9 2 10 3 4" xfId="13488"/>
    <cellStyle name="Calculation 2 9 2 10 4" xfId="13489"/>
    <cellStyle name="Calculation 2 9 2 10 5" xfId="13490"/>
    <cellStyle name="Note 2 5 6 5 2" xfId="13491"/>
    <cellStyle name="Calculation 2 9 2 10 5 2" xfId="13492"/>
    <cellStyle name="Calculation 2 9 2 10 5 3" xfId="13493"/>
    <cellStyle name="Calculation 2 9 2 10 6" xfId="13494"/>
    <cellStyle name="Note 2 5 6 5 3" xfId="13495"/>
    <cellStyle name="Calculation 2 9 2 11" xfId="13496"/>
    <cellStyle name="Note 2 2 6 2 2 2 2 2 2 2" xfId="13497"/>
    <cellStyle name="Calculation 2 9 2 11 2" xfId="13498"/>
    <cellStyle name="Calculation 2 9 2 11 3" xfId="13499"/>
    <cellStyle name="Calculation 2 9 2 11 4" xfId="13500"/>
    <cellStyle name="Calculation 2 9 2 12" xfId="13501"/>
    <cellStyle name="Note 2 13 2 3 2" xfId="13502"/>
    <cellStyle name="Input 2 13 2 3 2 4" xfId="13503"/>
    <cellStyle name="Note 2 13 2 3 2 2" xfId="13504"/>
    <cellStyle name="Calculation 2 9 2 12 2" xfId="13505"/>
    <cellStyle name="Output 2 2 3 2 7" xfId="13506"/>
    <cellStyle name="Note 2 13 2 3 2 3" xfId="13507"/>
    <cellStyle name="Calculation 2 9 2 12 3" xfId="13508"/>
    <cellStyle name="Output 2 2 3 2 8" xfId="13509"/>
    <cellStyle name="Calculation 2 9 2 12 4" xfId="13510"/>
    <cellStyle name="Note 2 13 2 3 2 4" xfId="13511"/>
    <cellStyle name="Input 2 13 2 3 3 4" xfId="13512"/>
    <cellStyle name="Note 2 13 2 3 3 2" xfId="13513"/>
    <cellStyle name="Calculation 2 9 2 13 2" xfId="13514"/>
    <cellStyle name="Output 2 2 3 3 7" xfId="13515"/>
    <cellStyle name="Calculation 2 9 2 13 3" xfId="13516"/>
    <cellStyle name="Note 2 13 2 3 3 3" xfId="13517"/>
    <cellStyle name="Note 2 13 2 3 4 2" xfId="13518"/>
    <cellStyle name="Calculation 2 9 2 14 2" xfId="13519"/>
    <cellStyle name="Output 2 2 3 4 7" xfId="13520"/>
    <cellStyle name="Calculation 2 9 2 14 3" xfId="13521"/>
    <cellStyle name="Note 2 13 2 3 4 3" xfId="13522"/>
    <cellStyle name="Calculation 2 9 2 15" xfId="13523"/>
    <cellStyle name="Note 2 13 2 3 5" xfId="13524"/>
    <cellStyle name="Calculation 2 9 2 16" xfId="13525"/>
    <cellStyle name="Note 2 13 2 3 6" xfId="13526"/>
    <cellStyle name="Calculation 2 9 2 2" xfId="13527"/>
    <cellStyle name="Calculation 2 9 2 2 2" xfId="13528"/>
    <cellStyle name="Calculation 2 9 2 2 2 2" xfId="13529"/>
    <cellStyle name="Calculation 2 9 2 2 2 3" xfId="13530"/>
    <cellStyle name="Calculation 2 9 2 2 2 4" xfId="13531"/>
    <cellStyle name="Calculation 2 9 2 2 3" xfId="13532"/>
    <cellStyle name="Note 2 10 10 5 2" xfId="13533"/>
    <cellStyle name="Calculation 2 9 2 2 3 2" xfId="13534"/>
    <cellStyle name="Calculation 2 9 2 2 3 3" xfId="13535"/>
    <cellStyle name="Calculation 2 9 2 2 3 4" xfId="13536"/>
    <cellStyle name="Calculation 2 9 2 2 4" xfId="13537"/>
    <cellStyle name="Note 2 10 10 5 3" xfId="13538"/>
    <cellStyle name="Calculation 2 9 2 2 4 2" xfId="13539"/>
    <cellStyle name="Calculation 2 9 2 2 4 3" xfId="13540"/>
    <cellStyle name="Calculation 2 9 2 2 5" xfId="13541"/>
    <cellStyle name="Calculation 2 9 2 2 5 2" xfId="13542"/>
    <cellStyle name="Calculation 2 9 2 2 5 3" xfId="13543"/>
    <cellStyle name="Calculation 2 9 2 2 6" xfId="13544"/>
    <cellStyle name="Calculation 2 9 2 2 7" xfId="13545"/>
    <cellStyle name="Calculation 2 9 2 3" xfId="13546"/>
    <cellStyle name="Calculation 2 9 2 3 2" xfId="13547"/>
    <cellStyle name="Calculation 2 9 2 3 2 2" xfId="13548"/>
    <cellStyle name="Calculation 2 9 2 3 2 3" xfId="13549"/>
    <cellStyle name="Calculation 2 9 2 3 2 4" xfId="13550"/>
    <cellStyle name="Calculation 2 9 2 3 3" xfId="13551"/>
    <cellStyle name="Calculation 2 9 2 3 3 2" xfId="13552"/>
    <cellStyle name="Calculation 2 9 2 3 3 3" xfId="13553"/>
    <cellStyle name="Calculation 2 9 2 3 3 4" xfId="13554"/>
    <cellStyle name="Calculation 2 9 2 3 4" xfId="13555"/>
    <cellStyle name="Calculation 2 9 2 3 4 2" xfId="13556"/>
    <cellStyle name="Calculation 2 9 2 3 4 3" xfId="13557"/>
    <cellStyle name="Calculation 2 9 2 3 5" xfId="13558"/>
    <cellStyle name="Calculation 2 9 2 3 6" xfId="13559"/>
    <cellStyle name="Calculation 2 9 2 3 7" xfId="13560"/>
    <cellStyle name="Calculation 2 9 2 4" xfId="13561"/>
    <cellStyle name="Calculation 2 9 2 4 2" xfId="13562"/>
    <cellStyle name="Calculation 2 9 2 4 2 2" xfId="13563"/>
    <cellStyle name="Calculation 2 9 2 4 2 3" xfId="13564"/>
    <cellStyle name="Calculation 2 9 2 4 2 4" xfId="13565"/>
    <cellStyle name="Normal 2 4 2 3 2" xfId="13566"/>
    <cellStyle name="Calculation 2 9 2 4 3" xfId="13567"/>
    <cellStyle name="Calculation 2 9 2 4 3 2" xfId="13568"/>
    <cellStyle name="Calculation 2 9 2 4 3 3" xfId="13569"/>
    <cellStyle name="Calculation 2 9 2 4 3 4" xfId="13570"/>
    <cellStyle name="Normal 2 4 2 4 2" xfId="13571"/>
    <cellStyle name="Calculation 2 9 2 4 4" xfId="13572"/>
    <cellStyle name="Calculation 2 9 2 4 4 2" xfId="13573"/>
    <cellStyle name="Calculation 2 9 2 4 4 3" xfId="13574"/>
    <cellStyle name="Calculation 2 9 2 4 5" xfId="13575"/>
    <cellStyle name="Calculation 2 9 2 4 5 2" xfId="13576"/>
    <cellStyle name="Calculation 2 9 2 4 5 3" xfId="13577"/>
    <cellStyle name="Calculation 2 9 2 4 6" xfId="13578"/>
    <cellStyle name="Calculation 2 9 2 4 7" xfId="13579"/>
    <cellStyle name="Output 2 6 3 10 2" xfId="13580"/>
    <cellStyle name="Calculation 2 9 2 5" xfId="13581"/>
    <cellStyle name="Calculation 2 9 2 5 2" xfId="13582"/>
    <cellStyle name="Calculation 2 9 2 5 2 2" xfId="13583"/>
    <cellStyle name="Output 2 7 3 13" xfId="13584"/>
    <cellStyle name="Calculation 2 9 2 5 2 3" xfId="13585"/>
    <cellStyle name="Output 2 7 3 14" xfId="13586"/>
    <cellStyle name="Calculation 2 9 2 5 2 4" xfId="13587"/>
    <cellStyle name="Normal 2 4 3 3 2" xfId="13588"/>
    <cellStyle name="Output 2 7 3 15" xfId="13589"/>
    <cellStyle name="Calculation 2 9 2 5 3" xfId="13590"/>
    <cellStyle name="Calculation 2 9 2 5 3 2" xfId="13591"/>
    <cellStyle name="Calculation 2 9 2 5 3 3" xfId="13592"/>
    <cellStyle name="Calculation 2 9 2 5 3 4" xfId="13593"/>
    <cellStyle name="Normal 2 4 3 4 2" xfId="13594"/>
    <cellStyle name="Calculation 2 9 2 5 4" xfId="13595"/>
    <cellStyle name="Calculation 2 9 2 5 4 2" xfId="13596"/>
    <cellStyle name="Calculation 2 9 2 5 4 3" xfId="13597"/>
    <cellStyle name="Calculation 2 9 2 5 5" xfId="13598"/>
    <cellStyle name="Calculation 2 9 2 5 5 2" xfId="13599"/>
    <cellStyle name="Calculation 2 9 2 5 5 3" xfId="13600"/>
    <cellStyle name="Calculation 2 9 2 5 6" xfId="13601"/>
    <cellStyle name="Calculation 2 9 2 5 7" xfId="13602"/>
    <cellStyle name="Output 2 6 3 11 2" xfId="13603"/>
    <cellStyle name="Calculation 2 9 2 6" xfId="13604"/>
    <cellStyle name="Calculation 2 9 2 6 2" xfId="13605"/>
    <cellStyle name="Calculation 2 9 2 6 2 2" xfId="13606"/>
    <cellStyle name="Calculation 2 9 2 6 2 3" xfId="13607"/>
    <cellStyle name="Calculation 2 9 2 6 3" xfId="13608"/>
    <cellStyle name="Calculation 2 9 2 6 3 2" xfId="13609"/>
    <cellStyle name="Calculation 2 9 2 6 3 3" xfId="13610"/>
    <cellStyle name="Calculation 2 9 2 6 4" xfId="13611"/>
    <cellStyle name="Calculation 2 9 2 6 4 2" xfId="13612"/>
    <cellStyle name="Calculation 2 9 2 6 4 3" xfId="13613"/>
    <cellStyle name="Calculation 2 9 2 6 5" xfId="13614"/>
    <cellStyle name="Calculation 2 9 2 6 5 2" xfId="13615"/>
    <cellStyle name="Note 2 2 2 27" xfId="13616"/>
    <cellStyle name="Note 2 2 2 32" xfId="13617"/>
    <cellStyle name="Calculation 2 9 2 6 5 3" xfId="13618"/>
    <cellStyle name="Note 2 2 2 28" xfId="13619"/>
    <cellStyle name="Calculation 2 9 2 6 6" xfId="13620"/>
    <cellStyle name="Calculation 2 9 2 6 7" xfId="13621"/>
    <cellStyle name="Output 2 6 3 12 2" xfId="13622"/>
    <cellStyle name="Calculation 2 9 2 7" xfId="13623"/>
    <cellStyle name="Note 2 13 2 10" xfId="13624"/>
    <cellStyle name="Note 2 13 2 10 2" xfId="13625"/>
    <cellStyle name="Calculation 2 9 2 7 2" xfId="13626"/>
    <cellStyle name="Output 2 2 10 3" xfId="13627"/>
    <cellStyle name="Note 2 13 2 10 2 2" xfId="13628"/>
    <cellStyle name="Calculation 2 9 2 7 2 2" xfId="13629"/>
    <cellStyle name="Output 2 2 10 3 2" xfId="13630"/>
    <cellStyle name="Note 2 13 2 10 2 3" xfId="13631"/>
    <cellStyle name="Calculation 2 9 2 7 2 3" xfId="13632"/>
    <cellStyle name="Output 2 2 10 3 3" xfId="13633"/>
    <cellStyle name="Note 2 13 2 10 2 4" xfId="13634"/>
    <cellStyle name="Calculation 2 9 2 7 2 4" xfId="13635"/>
    <cellStyle name="Output 2 2 10 3 4" xfId="13636"/>
    <cellStyle name="Note 2 13 2 10 3" xfId="13637"/>
    <cellStyle name="Calculation 2 9 2 7 3" xfId="13638"/>
    <cellStyle name="Output 2 2 10 4" xfId="13639"/>
    <cellStyle name="Note 2 13 2 10 3 2" xfId="13640"/>
    <cellStyle name="Calculation 2 9 2 7 3 2" xfId="13641"/>
    <cellStyle name="Output 2 2 10 4 2" xfId="13642"/>
    <cellStyle name="Note 2 13 2 10 3 3" xfId="13643"/>
    <cellStyle name="Calculation 2 9 2 7 3 3" xfId="13644"/>
    <cellStyle name="Output 2 2 10 4 3" xfId="13645"/>
    <cellStyle name="Calculation 2 9 2 7 3 4" xfId="13646"/>
    <cellStyle name="Note 2 13 2 10 3 4" xfId="13647"/>
    <cellStyle name="Note 2 13 2 10 4" xfId="13648"/>
    <cellStyle name="Calculation 2 9 2 7 4" xfId="13649"/>
    <cellStyle name="Output 2 2 10 5" xfId="13650"/>
    <cellStyle name="Note 2 13 2 10 4 2" xfId="13651"/>
    <cellStyle name="Calculation 2 9 2 7 4 2" xfId="13652"/>
    <cellStyle name="Output 2 2 10 5 2" xfId="13653"/>
    <cellStyle name="Note 2 13 2 10 4 3" xfId="13654"/>
    <cellStyle name="Calculation 2 9 2 7 4 3" xfId="13655"/>
    <cellStyle name="Output 2 2 10 5 3" xfId="13656"/>
    <cellStyle name="Note 2 13 2 10 5" xfId="13657"/>
    <cellStyle name="Calculation 2 9 2 7 5" xfId="13658"/>
    <cellStyle name="Output 2 2 10 6" xfId="13659"/>
    <cellStyle name="Calculation 2 9 2 7 5 2" xfId="13660"/>
    <cellStyle name="Note 2 13 2 10 5 2" xfId="13661"/>
    <cellStyle name="Calculation 2 9 2 7 5 3" xfId="13662"/>
    <cellStyle name="Note 2 13 2 10 5 3" xfId="13663"/>
    <cellStyle name="Note 2 13 2 10 6" xfId="13664"/>
    <cellStyle name="Calculation 2 9 2 7 6" xfId="13665"/>
    <cellStyle name="Output 2 2 10 7" xfId="13666"/>
    <cellStyle name="Calculation 2 9 2 7 7" xfId="13667"/>
    <cellStyle name="Note 2 13 2 10 7" xfId="13668"/>
    <cellStyle name="Output 2 6 3 13 2" xfId="13669"/>
    <cellStyle name="Calculation 2 9 2 8" xfId="13670"/>
    <cellStyle name="Input 2 8 6 2 2" xfId="13671"/>
    <cellStyle name="Note 2 13 2 11" xfId="13672"/>
    <cellStyle name="Note 2 13 2 11 2" xfId="13673"/>
    <cellStyle name="Calculation 2 9 2 8 2" xfId="13674"/>
    <cellStyle name="Output 2 2 11 3" xfId="13675"/>
    <cellStyle name="Calculation 2 9 2 8 2 2" xfId="13676"/>
    <cellStyle name="Output 2 2 11 3 2" xfId="13677"/>
    <cellStyle name="Calculation 2 9 2 8 2 3" xfId="13678"/>
    <cellStyle name="Output 2 2 11 3 3" xfId="13679"/>
    <cellStyle name="Calculation 2 9 2 8 2 4" xfId="13680"/>
    <cellStyle name="Output 2 2 11 3 4" xfId="13681"/>
    <cellStyle name="Note 2 13 2 11 3" xfId="13682"/>
    <cellStyle name="Calculation 2 9 2 8 3" xfId="13683"/>
    <cellStyle name="Output 2 2 11 4" xfId="13684"/>
    <cellStyle name="Calculation 2 9 2 8 3 2" xfId="13685"/>
    <cellStyle name="Output 2 2 11 4 2" xfId="13686"/>
    <cellStyle name="Calculation 2 9 2 8 3 3" xfId="13687"/>
    <cellStyle name="Output 2 2 11 4 3" xfId="13688"/>
    <cellStyle name="Calculation 2 9 2 8 3 4" xfId="13689"/>
    <cellStyle name="Note 2 13 2 11 4" xfId="13690"/>
    <cellStyle name="Calculation 2 9 2 8 4" xfId="13691"/>
    <cellStyle name="Output 2 2 11 5" xfId="13692"/>
    <cellStyle name="Calculation 2 9 2 8 4 2" xfId="13693"/>
    <cellStyle name="Output 2 2 11 5 2" xfId="13694"/>
    <cellStyle name="Calculation 2 9 2 8 4 3" xfId="13695"/>
    <cellStyle name="Output 2 2 11 5 3" xfId="13696"/>
    <cellStyle name="Calculation 2 9 2 8 5" xfId="13697"/>
    <cellStyle name="Output 2 2 11 6" xfId="13698"/>
    <cellStyle name="Calculation 2 9 2 8 5 2" xfId="13699"/>
    <cellStyle name="Calculation 2 9 2 8 5 3" xfId="13700"/>
    <cellStyle name="Calculation 2 9 2 8 6" xfId="13701"/>
    <cellStyle name="Output 2 2 11 7" xfId="13702"/>
    <cellStyle name="Calculation 2 9 2 8 7" xfId="13703"/>
    <cellStyle name="Output 2 6 3 14 2" xfId="13704"/>
    <cellStyle name="Calculation 2 9 2 9 2 2" xfId="13705"/>
    <cellStyle name="Calculation 2 9 2 9 2 3" xfId="13706"/>
    <cellStyle name="Calculation 2 9 2 9 2 4" xfId="13707"/>
    <cellStyle name="Calculation 2 9 2 9 3 2" xfId="13708"/>
    <cellStyle name="Calculation 2 9 2 9 3 3" xfId="13709"/>
    <cellStyle name="Calculation 2 9 2 9 3 4" xfId="13710"/>
    <cellStyle name="Calculation 2 9 2 9 4" xfId="13711"/>
    <cellStyle name="Note 2 13 2 12 4" xfId="13712"/>
    <cellStyle name="Calculation 2 9 2 9 4 2" xfId="13713"/>
    <cellStyle name="Calculation 2 9 2 9 4 3" xfId="13714"/>
    <cellStyle name="Calculation 2 9 2 9 5" xfId="13715"/>
    <cellStyle name="Calculation 2 9 2 9 5 2" xfId="13716"/>
    <cellStyle name="Calculation 2 9 2 9 5 3" xfId="13717"/>
    <cellStyle name="Calculation 2 9 2 9 6" xfId="13718"/>
    <cellStyle name="Calculation 2 9 2 9 7" xfId="13719"/>
    <cellStyle name="Calculation 2 9 3 10" xfId="13720"/>
    <cellStyle name="Calculation 2 9 3 10 2" xfId="13721"/>
    <cellStyle name="Input 2 4 3 12 4" xfId="13722"/>
    <cellStyle name="Calculation 2 9 3 10 2 2" xfId="13723"/>
    <cellStyle name="Calculation 2 9 3 10 2 3" xfId="13724"/>
    <cellStyle name="Calculation 2 9 3 10 2 4" xfId="13725"/>
    <cellStyle name="Input 2 11 3 3 4 2" xfId="13726"/>
    <cellStyle name="Calculation 2 9 3 10 3" xfId="13727"/>
    <cellStyle name="Calculation 2 9 3 10 3 2" xfId="13728"/>
    <cellStyle name="Calculation 2 9 3 10 3 3" xfId="13729"/>
    <cellStyle name="Calculation 2 9 3 10 3 4" xfId="13730"/>
    <cellStyle name="Input 2 11 3 3 5 2" xfId="13731"/>
    <cellStyle name="Calculation 2 9 3 10 4" xfId="13732"/>
    <cellStyle name="Calculation 2 9 3 10 4 2" xfId="13733"/>
    <cellStyle name="Calculation 2 9 3 10 4 3" xfId="13734"/>
    <cellStyle name="Note 2 14 3 10" xfId="13735"/>
    <cellStyle name="Calculation 2 9 3 10 5" xfId="13736"/>
    <cellStyle name="Calculation 2 9 3 10 5 2" xfId="13737"/>
    <cellStyle name="Calculation 2 9 3 10 5 3" xfId="13738"/>
    <cellStyle name="Calculation 2 9 3 10 6" xfId="13739"/>
    <cellStyle name="Calculation 2 9 3 11" xfId="13740"/>
    <cellStyle name="Calculation 2 9 3 11 2" xfId="13741"/>
    <cellStyle name="Calculation 2 9 3 11 3" xfId="13742"/>
    <cellStyle name="Calculation 2 9 3 11 4" xfId="13743"/>
    <cellStyle name="Calculation 2 9 3 12" xfId="13744"/>
    <cellStyle name="Input 2 8 2 5 5 2" xfId="13745"/>
    <cellStyle name="Note 2 13 2 8 2" xfId="13746"/>
    <cellStyle name="Calculation 2 9 3 12 2" xfId="13747"/>
    <cellStyle name="Input 2 13 2 8 2 4" xfId="13748"/>
    <cellStyle name="Note 2 13 2 8 2 2" xfId="13749"/>
    <cellStyle name="Calculation 2 9 3 12 3" xfId="13750"/>
    <cellStyle name="Note 2 13 2 8 2 3" xfId="13751"/>
    <cellStyle name="Calculation 2 9 3 12 4" xfId="13752"/>
    <cellStyle name="Note 2 13 2 8 2 4" xfId="13753"/>
    <cellStyle name="Calculation 2 9 3 13" xfId="13754"/>
    <cellStyle name="Input 2 8 2 5 5 3" xfId="13755"/>
    <cellStyle name="Note 2 13 2 8 3" xfId="13756"/>
    <cellStyle name="Calculation 2 9 3 13 2" xfId="13757"/>
    <cellStyle name="Input 2 13 2 8 3 4" xfId="13758"/>
    <cellStyle name="Note 2 13 2 8 3 2" xfId="13759"/>
    <cellStyle name="Calculation 2 9 3 13 3" xfId="13760"/>
    <cellStyle name="Note 2 13 2 8 3 3" xfId="13761"/>
    <cellStyle name="Calculation 2 9 3 14" xfId="13762"/>
    <cellStyle name="Note 2 13 2 8 4" xfId="13763"/>
    <cellStyle name="Calculation 2 9 3 14 2" xfId="13764"/>
    <cellStyle name="Note 2 13 2 8 4 2" xfId="13765"/>
    <cellStyle name="Calculation 2 9 3 14 3" xfId="13766"/>
    <cellStyle name="Note 2 13 2 8 4 3" xfId="13767"/>
    <cellStyle name="Calculation 2 9 3 15" xfId="13768"/>
    <cellStyle name="Note 2 13 2 8 5" xfId="13769"/>
    <cellStyle name="Calculation 2 9 3 2" xfId="13770"/>
    <cellStyle name="Calculation 2 9 3 2 2" xfId="13771"/>
    <cellStyle name="Calculation 2 9 3 2 2 2" xfId="13772"/>
    <cellStyle name="Calculation 2 9 3 2 2 3" xfId="13773"/>
    <cellStyle name="Calculation 2 9 3 2 2 4" xfId="13774"/>
    <cellStyle name="Calculation 2 9 3 2 3" xfId="13775"/>
    <cellStyle name="Note 2 10 11 5 2" xfId="13776"/>
    <cellStyle name="Calculation 2 9 3 2 3 2" xfId="13777"/>
    <cellStyle name="Calculation 2 9 3 2 3 3" xfId="13778"/>
    <cellStyle name="Calculation 2 9 3 2 3 4" xfId="13779"/>
    <cellStyle name="Input 2 13 3 10" xfId="13780"/>
    <cellStyle name="Calculation 2 9 3 2 4" xfId="13781"/>
    <cellStyle name="Note 2 10 11 5 3" xfId="13782"/>
    <cellStyle name="Calculation 2 9 3 2 5" xfId="13783"/>
    <cellStyle name="Calculation 2 9 3 2 5 2" xfId="13784"/>
    <cellStyle name="Calculation 2 9 3 2 5 3" xfId="13785"/>
    <cellStyle name="Calculation 2 9 3 2 6" xfId="13786"/>
    <cellStyle name="Calculation 2 9 3 2 7" xfId="13787"/>
    <cellStyle name="Calculation 2 9 3 3" xfId="13788"/>
    <cellStyle name="Calculation 2 9 3 3 2" xfId="13789"/>
    <cellStyle name="Calculation 2 9 3 3 2 2" xfId="13790"/>
    <cellStyle name="Calculation 2 9 3 3 2 3" xfId="13791"/>
    <cellStyle name="Calculation 2 9 3 3 2 4" xfId="13792"/>
    <cellStyle name="Calculation 2 9 3 3 3" xfId="13793"/>
    <cellStyle name="Calculation 2 9 3 3 3 2" xfId="13794"/>
    <cellStyle name="Calculation 2 9 3 3 3 3" xfId="13795"/>
    <cellStyle name="Calculation 2 9 3 3 3 4" xfId="13796"/>
    <cellStyle name="Calculation 2 9 3 3 4" xfId="13797"/>
    <cellStyle name="Calculation 2 9 3 3 4 2" xfId="13798"/>
    <cellStyle name="Calculation 2 9 3 3 4 3" xfId="13799"/>
    <cellStyle name="Calculation 2 9 3 3 5" xfId="13800"/>
    <cellStyle name="Calculation 2 9 3 3 5 2" xfId="13801"/>
    <cellStyle name="Calculation 2 9 3 3 5 3" xfId="13802"/>
    <cellStyle name="Calculation 2 9 3 3 6" xfId="13803"/>
    <cellStyle name="Calculation 2 9 3 3 7" xfId="13804"/>
    <cellStyle name="Calculation 2 9 3 4" xfId="13805"/>
    <cellStyle name="Calculation 2 9 3 4 2" xfId="13806"/>
    <cellStyle name="Calculation 2 9 3 4 2 2" xfId="13807"/>
    <cellStyle name="Calculation 2 9 3 4 2 3" xfId="13808"/>
    <cellStyle name="Calculation 2 9 3 4 2 4" xfId="13809"/>
    <cellStyle name="Calculation 2 9 3 4 3" xfId="13810"/>
    <cellStyle name="Calculation 2 9 3 4 3 2" xfId="13811"/>
    <cellStyle name="Calculation 2 9 3 4 3 3" xfId="13812"/>
    <cellStyle name="Calculation 2 9 3 4 3 4" xfId="13813"/>
    <cellStyle name="Calculation 2 9 3 4 4" xfId="13814"/>
    <cellStyle name="Calculation 2 9 3 4 5" xfId="13815"/>
    <cellStyle name="Calculation 2 9 3 4 6" xfId="13816"/>
    <cellStyle name="Calculation 2 9 3 4 7" xfId="13817"/>
    <cellStyle name="Calculation 2 9 3 5" xfId="13818"/>
    <cellStyle name="Calculation 2 9 3 5 2" xfId="13819"/>
    <cellStyle name="Calculation 2 9 3 5 2 2" xfId="13820"/>
    <cellStyle name="Calculation 2 9 3 5 2 3" xfId="13821"/>
    <cellStyle name="Calculation 2 9 3 5 2 4" xfId="13822"/>
    <cellStyle name="Calculation 2 9 3 5 3" xfId="13823"/>
    <cellStyle name="Calculation 2 9 3 5 3 2" xfId="13824"/>
    <cellStyle name="Calculation 2 9 3 5 3 3" xfId="13825"/>
    <cellStyle name="Calculation 2 9 3 5 3 4" xfId="13826"/>
    <cellStyle name="Calculation 2 9 3 5 4" xfId="13827"/>
    <cellStyle name="Calculation 2 9 3 5 4 2" xfId="13828"/>
    <cellStyle name="Calculation 2 9 3 5 4 3" xfId="13829"/>
    <cellStyle name="Calculation 2 9 3 5 5" xfId="13830"/>
    <cellStyle name="Calculation 2 9 3 5 5 2" xfId="13831"/>
    <cellStyle name="Calculation 2 9 3 5 5 3" xfId="13832"/>
    <cellStyle name="Calculation 2 9 3 5 6" xfId="13833"/>
    <cellStyle name="Calculation 2 9 3 5 7" xfId="13834"/>
    <cellStyle name="Calculation 2 9 3 6" xfId="13835"/>
    <cellStyle name="Calculation 2 9 3 6 2" xfId="13836"/>
    <cellStyle name="Calculation 2 9 3 6 2 2" xfId="13837"/>
    <cellStyle name="Calculation 2 9 3 6 2 3" xfId="13838"/>
    <cellStyle name="Calculation 2 9 3 6 2 4" xfId="13839"/>
    <cellStyle name="Calculation 2 9 3 6 3" xfId="13840"/>
    <cellStyle name="Calculation 2 9 3 6 3 2" xfId="13841"/>
    <cellStyle name="Calculation 2 9 3 6 3 3" xfId="13842"/>
    <cellStyle name="Calculation 2 9 3 6 3 4" xfId="13843"/>
    <cellStyle name="Calculation 2 9 3 6 4" xfId="13844"/>
    <cellStyle name="Calculation 2 9 3 6 4 2" xfId="13845"/>
    <cellStyle name="Calculation 2 9 3 6 4 3" xfId="13846"/>
    <cellStyle name="Calculation 2 9 3 6 5" xfId="13847"/>
    <cellStyle name="Calculation 2 9 3 6 5 2" xfId="13848"/>
    <cellStyle name="Calculation 2 9 3 6 5 3" xfId="13849"/>
    <cellStyle name="Calculation 2 9 3 6 6" xfId="13850"/>
    <cellStyle name="Calculation 2 9 3 6 7" xfId="13851"/>
    <cellStyle name="Calculation 2 9 3 7" xfId="13852"/>
    <cellStyle name="Calculation 2 9 3 7 2" xfId="13853"/>
    <cellStyle name="Calculation 2 9 3 7 2 2" xfId="13854"/>
    <cellStyle name="Calculation 2 9 3 7 2 3" xfId="13855"/>
    <cellStyle name="Calculation 2 9 3 7 2 4" xfId="13856"/>
    <cellStyle name="Calculation 2 9 3 7 3" xfId="13857"/>
    <cellStyle name="Calculation 2 9 3 7 3 2" xfId="13858"/>
    <cellStyle name="Output 2 10 10 4" xfId="13859"/>
    <cellStyle name="Total 2 10 3 12" xfId="13860"/>
    <cellStyle name="Calculation 2 9 3 7 3 3" xfId="13861"/>
    <cellStyle name="Output 2 10 10 5" xfId="13862"/>
    <cellStyle name="Total 2 10 3 13" xfId="13863"/>
    <cellStyle name="Calculation 2 9 3 7 3 4" xfId="13864"/>
    <cellStyle name="Input 2 14 3 10" xfId="13865"/>
    <cellStyle name="Output 2 10 10 6" xfId="13866"/>
    <cellStyle name="Total 2 10 3 14" xfId="13867"/>
    <cellStyle name="Calculation 2 9 3 7 4" xfId="13868"/>
    <cellStyle name="Calculation 2 9 3 7 4 2" xfId="13869"/>
    <cellStyle name="Output 2 10 11 4" xfId="13870"/>
    <cellStyle name="Calculation 2 9 3 7 4 3" xfId="13871"/>
    <cellStyle name="Output 2 10 11 5" xfId="13872"/>
    <cellStyle name="Calculation 2 9 3 7 5" xfId="13873"/>
    <cellStyle name="Calculation 2 9 3 7 5 2" xfId="13874"/>
    <cellStyle name="Output 2 10 12 4" xfId="13875"/>
    <cellStyle name="Calculation 2 9 3 7 5 3" xfId="13876"/>
    <cellStyle name="Output 2 10 12 5" xfId="13877"/>
    <cellStyle name="Calculation 2 9 3 7 6" xfId="13878"/>
    <cellStyle name="Calculation 2 9 3 7 7" xfId="13879"/>
    <cellStyle name="Calculation 2 9 3 8" xfId="13880"/>
    <cellStyle name="Input 2 8 6 3 2" xfId="13881"/>
    <cellStyle name="Calculation 2 9 3 8 2" xfId="13882"/>
    <cellStyle name="Calculation 2 9 3 8 2 2" xfId="13883"/>
    <cellStyle name="Calculation 2 9 3 8 2 3" xfId="13884"/>
    <cellStyle name="Calculation 2 9 3 8 2 4" xfId="13885"/>
    <cellStyle name="Calculation 2 9 3 8 3" xfId="13886"/>
    <cellStyle name="Calculation 2 9 3 8 3 2" xfId="13887"/>
    <cellStyle name="Calculation 2 9 3 8 3 3" xfId="13888"/>
    <cellStyle name="Calculation 2 9 3 8 3 4" xfId="13889"/>
    <cellStyle name="Calculation 2 9 3 8 4" xfId="13890"/>
    <cellStyle name="Calculation 2 9 3 8 4 2" xfId="13891"/>
    <cellStyle name="Calculation 2 9 3 8 4 3" xfId="13892"/>
    <cellStyle name="Calculation 2 9 3 8 5" xfId="13893"/>
    <cellStyle name="Calculation 2 9 3 8 5 2" xfId="13894"/>
    <cellStyle name="Calculation 2 9 3 8 5 3" xfId="13895"/>
    <cellStyle name="Calculation 2 9 3 8 6" xfId="13896"/>
    <cellStyle name="Calculation 2 9 3 8 7" xfId="13897"/>
    <cellStyle name="Calculation 2 9 3 9 2 2" xfId="13898"/>
    <cellStyle name="Neutral 3" xfId="13899"/>
    <cellStyle name="Calculation 2 9 3 9 2 3" xfId="13900"/>
    <cellStyle name="Neutral 4" xfId="13901"/>
    <cellStyle name="Calculation 2 9 3 9 2 4" xfId="13902"/>
    <cellStyle name="Neutral 5" xfId="13903"/>
    <cellStyle name="Calculation 2 9 3 9 3 2" xfId="13904"/>
    <cellStyle name="Calculation 2 9 3 9 3 3" xfId="13905"/>
    <cellStyle name="Calculation 2 9 3 9 3 4" xfId="13906"/>
    <cellStyle name="Calculation 2 9 3 9 4" xfId="13907"/>
    <cellStyle name="Calculation 2 9 3 9 5" xfId="13908"/>
    <cellStyle name="Calculation 2 9 3 9 5 3" xfId="13909"/>
    <cellStyle name="Calculation 2 9 3 9 6" xfId="13910"/>
    <cellStyle name="Calculation 2 9 3 9 7" xfId="13911"/>
    <cellStyle name="Calculation 2 9 4" xfId="13912"/>
    <cellStyle name="Calculation 2 9 4 2 2" xfId="13913"/>
    <cellStyle name="Calculation 2 9 4 2 3" xfId="13914"/>
    <cellStyle name="Note 2 10 12 5 2" xfId="13915"/>
    <cellStyle name="Calculation 2 9 4 2 4" xfId="13916"/>
    <cellStyle name="Note 2 10 12 5 3" xfId="13917"/>
    <cellStyle name="Calculation 2 9 4 3 2" xfId="13918"/>
    <cellStyle name="Calculation 2 9 4 3 3" xfId="13919"/>
    <cellStyle name="Calculation 2 9 4 3 4" xfId="13920"/>
    <cellStyle name="Calculation 2 9 4 4" xfId="13921"/>
    <cellStyle name="Calculation 2 9 4 4 2" xfId="13922"/>
    <cellStyle name="Calculation 2 9 4 4 3" xfId="13923"/>
    <cellStyle name="Calculation 2 9 4 5" xfId="13924"/>
    <cellStyle name="Calculation 2 9 4 5 2" xfId="13925"/>
    <cellStyle name="Calculation 2 9 4 5 3" xfId="13926"/>
    <cellStyle name="Calculation 2 9 4 6" xfId="13927"/>
    <cellStyle name="Calculation 2 9 5" xfId="13928"/>
    <cellStyle name="Calculation 2 9 5 2 4" xfId="13929"/>
    <cellStyle name="Output 2 2 2 2 6 2" xfId="13930"/>
    <cellStyle name="Calculation 2 9 5 3 3" xfId="13931"/>
    <cellStyle name="Calculation 2 9 5 3 4" xfId="13932"/>
    <cellStyle name="Calculation 2 9 5 4" xfId="13933"/>
    <cellStyle name="Calculation 2 9 5 4 3" xfId="13934"/>
    <cellStyle name="Calculation 2 9 5 5" xfId="13935"/>
    <cellStyle name="Note 2 17 2 2" xfId="13936"/>
    <cellStyle name="Note 2 22 2 2" xfId="13937"/>
    <cellStyle name="Calculation 2 9 5 5 2" xfId="13938"/>
    <cellStyle name="Calculation 2 9 5 6" xfId="13939"/>
    <cellStyle name="Note 2 17 2 3" xfId="13940"/>
    <cellStyle name="Note 2 22 2 3" xfId="13941"/>
    <cellStyle name="Calculation 2 9 6" xfId="13942"/>
    <cellStyle name="Calculation 2 9 6 2 4" xfId="13943"/>
    <cellStyle name="Note 2 6 4" xfId="13944"/>
    <cellStyle name="Output 2 2 2 3 6 2" xfId="13945"/>
    <cellStyle name="Calculation 2 9 6 3" xfId="13946"/>
    <cellStyle name="Note 2 7" xfId="13947"/>
    <cellStyle name="Calculation 2 9 6 3 3" xfId="13948"/>
    <cellStyle name="Note 2 7 3" xfId="13949"/>
    <cellStyle name="Calculation 2 9 6 3 4" xfId="13950"/>
    <cellStyle name="Note 2 7 4" xfId="13951"/>
    <cellStyle name="Calculation 2 9 6 4" xfId="13952"/>
    <cellStyle name="Note 2 8" xfId="13953"/>
    <cellStyle name="Calculation 2 9 6 4 3" xfId="13954"/>
    <cellStyle name="Note 2 8 10 6" xfId="13955"/>
    <cellStyle name="Note 2 8 3" xfId="13956"/>
    <cellStyle name="Calculation 2 9 6 5" xfId="13957"/>
    <cellStyle name="Note 2 17 3 2" xfId="13958"/>
    <cellStyle name="Note 2 22 3 2" xfId="13959"/>
    <cellStyle name="Note 2 9" xfId="13960"/>
    <cellStyle name="Calculation 2 9 6 5 2" xfId="13961"/>
    <cellStyle name="Note 2 8 11 5" xfId="13962"/>
    <cellStyle name="Note 2 9 2" xfId="13963"/>
    <cellStyle name="Output 2 6 11" xfId="13964"/>
    <cellStyle name="Calculation 2 9 6 5 3" xfId="13965"/>
    <cellStyle name="Note 2 8 11 6" xfId="13966"/>
    <cellStyle name="Note 2 2 11 2 2" xfId="13967"/>
    <cellStyle name="Note 2 9 3" xfId="13968"/>
    <cellStyle name="Output 2 6 12" xfId="13969"/>
    <cellStyle name="Calculation 2 9 6 6" xfId="13970"/>
    <cellStyle name="Note 2 17 3 3" xfId="13971"/>
    <cellStyle name="Note 2 22 3 3" xfId="13972"/>
    <cellStyle name="Calculation 2 9 7" xfId="13973"/>
    <cellStyle name="Calculation 2 9 7 2 4" xfId="13974"/>
    <cellStyle name="Output 2 2 2 4 6 2" xfId="13975"/>
    <cellStyle name="Calculation 2 9 7 3" xfId="13976"/>
    <cellStyle name="Note 2 9 12 2 2" xfId="13977"/>
    <cellStyle name="Calculation 2 9 7 3 3" xfId="13978"/>
    <cellStyle name="Calculation 2 9 7 3 4" xfId="13979"/>
    <cellStyle name="Calculation 2 9 7 4" xfId="13980"/>
    <cellStyle name="Note 2 9 12 2 3" xfId="13981"/>
    <cellStyle name="Calculation 2 9 7 4 3" xfId="13982"/>
    <cellStyle name="Calculation 2 9 7 5" xfId="13983"/>
    <cellStyle name="Note 2 17 4 2" xfId="13984"/>
    <cellStyle name="Note 2 22 4 2" xfId="13985"/>
    <cellStyle name="Note 2 9 12 2 4" xfId="13986"/>
    <cellStyle name="Calculation 2 9 7 5 2" xfId="13987"/>
    <cellStyle name="Calculation 2 9 7 5 3" xfId="13988"/>
    <cellStyle name="Note 2 2 12 2 2" xfId="13989"/>
    <cellStyle name="Calculation 2 9 7 6" xfId="13990"/>
    <cellStyle name="Note 2 17 4 3" xfId="13991"/>
    <cellStyle name="Note 2 22 4 3" xfId="13992"/>
    <cellStyle name="Calculation 2 9 8" xfId="13993"/>
    <cellStyle name="Calculation 2 9 8 2" xfId="13994"/>
    <cellStyle name="Calculation 2 9 8 2 4" xfId="13995"/>
    <cellStyle name="Output 2 2 2 5 6 2" xfId="13996"/>
    <cellStyle name="Calculation 2 9 8 3" xfId="13997"/>
    <cellStyle name="Note 2 9 12 3 2" xfId="13998"/>
    <cellStyle name="Calculation 2 9 8 3 3" xfId="13999"/>
    <cellStyle name="Calculation 2 9 8 3 4" xfId="14000"/>
    <cellStyle name="Calculation 2 9 8 4" xfId="14001"/>
    <cellStyle name="Note 2 9 12 3 3" xfId="14002"/>
    <cellStyle name="Calculation 2 9 8 4 3" xfId="14003"/>
    <cellStyle name="Calculation 2 9 8 5" xfId="14004"/>
    <cellStyle name="Note 2 17 5 2" xfId="14005"/>
    <cellStyle name="Note 2 22 5 2" xfId="14006"/>
    <cellStyle name="Note 2 9 12 3 4" xfId="14007"/>
    <cellStyle name="Calculation 2 9 8 5 2" xfId="14008"/>
    <cellStyle name="Calculation 2 9 8 5 3" xfId="14009"/>
    <cellStyle name="Calculation 2 9 8 6" xfId="14010"/>
    <cellStyle name="Note 2 17 5 3" xfId="14011"/>
    <cellStyle name="Note 2 22 5 3" xfId="14012"/>
    <cellStyle name="Calculation 2 9 8 7" xfId="14013"/>
    <cellStyle name="Calculation 2 9 9" xfId="14014"/>
    <cellStyle name="Calculation 2 9 9 2" xfId="14015"/>
    <cellStyle name="Input 2 13 6 2 3" xfId="14016"/>
    <cellStyle name="Output 2 2 2 6 6 2" xfId="14017"/>
    <cellStyle name="Calculation 2 9 9 2 4" xfId="14018"/>
    <cellStyle name="Output 2 6 2 3 7" xfId="14019"/>
    <cellStyle name="Calculation 2 9 9 3" xfId="14020"/>
    <cellStyle name="Input 2 13 6 2 4" xfId="14021"/>
    <cellStyle name="Note 2 9 12 4 2" xfId="14022"/>
    <cellStyle name="Output 2 11 9 2 2" xfId="14023"/>
    <cellStyle name="Calculation 2 9 9 3 4" xfId="14024"/>
    <cellStyle name="Output 2 6 2 4 7" xfId="14025"/>
    <cellStyle name="Calculation 2 9 9 4" xfId="14026"/>
    <cellStyle name="Note 2 9 12 4 3" xfId="14027"/>
    <cellStyle name="Output 2 11 9 2 3" xfId="14028"/>
    <cellStyle name="Calculation 2 9 9 4 3" xfId="14029"/>
    <cellStyle name="Output 2 6 2 5 6" xfId="14030"/>
    <cellStyle name="Calculation 2 9 9 5" xfId="14031"/>
    <cellStyle name="Output 2 11 9 2 4" xfId="14032"/>
    <cellStyle name="Output 2 12 2 7 7" xfId="14033"/>
    <cellStyle name="Calculation 2 9 9 5 2" xfId="14034"/>
    <cellStyle name="Output 2 6 2 6 5" xfId="14035"/>
    <cellStyle name="Calculation 2 9 9 5 3" xfId="14036"/>
    <cellStyle name="Output 2 6 2 6 6" xfId="14037"/>
    <cellStyle name="Calculation 2 9 9 6" xfId="14038"/>
    <cellStyle name="Calculation 2 9 9 7" xfId="14039"/>
    <cellStyle name="Calculation 3" xfId="14040"/>
    <cellStyle name="Input 2 3 12 2" xfId="14041"/>
    <cellStyle name="Calculation 3 2" xfId="14042"/>
    <cellStyle name="Input 2 3 12 2 2" xfId="14043"/>
    <cellStyle name="Calculation 3 3" xfId="14044"/>
    <cellStyle name="Input 2 3 12 2 3" xfId="14045"/>
    <cellStyle name="Calculation 3 4" xfId="14046"/>
    <cellStyle name="Input 2 3 12 2 4" xfId="14047"/>
    <cellStyle name="Calculation 4" xfId="14048"/>
    <cellStyle name="Input 2 3 12 3" xfId="14049"/>
    <cellStyle name="Calculation 4 2" xfId="14050"/>
    <cellStyle name="Input 2 3 12 3 2" xfId="14051"/>
    <cellStyle name="Calculation 5 2" xfId="14052"/>
    <cellStyle name="Input 2 3 12 4 2" xfId="14053"/>
    <cellStyle name="Calculation 5 3" xfId="14054"/>
    <cellStyle name="Input 2 3 12 4 3" xfId="14055"/>
    <cellStyle name="Calculation 6 2" xfId="14056"/>
    <cellStyle name="Input 2 3 12 5 2" xfId="14057"/>
    <cellStyle name="Calculation 6 3" xfId="14058"/>
    <cellStyle name="Input 2 3 12 5 3" xfId="14059"/>
    <cellStyle name="Calculation 7" xfId="14060"/>
    <cellStyle name="Input 2 3 12 6" xfId="14061"/>
    <cellStyle name="Check Cell 2" xfId="14062"/>
    <cellStyle name="Check Cell 2 2" xfId="14063"/>
    <cellStyle name="Output 2 14 3 7 5 3" xfId="14064"/>
    <cellStyle name="Output 2 8 3 6 3 3" xfId="14065"/>
    <cellStyle name="Check Cell 2 2 2" xfId="14066"/>
    <cellStyle name="Check Cell 2 2 3" xfId="14067"/>
    <cellStyle name="Check Cell 2 3" xfId="14068"/>
    <cellStyle name="Output 2 8 3 6 3 4" xfId="14069"/>
    <cellStyle name="Input 2 18 4 2" xfId="14070"/>
    <cellStyle name="Input 2 23 4 2" xfId="14071"/>
    <cellStyle name="Check Cell 3" xfId="14072"/>
    <cellStyle name="Note 2 9 3 9 2 2" xfId="14073"/>
    <cellStyle name="Input 2 18 4 3" xfId="14074"/>
    <cellStyle name="Input 2 23 4 3" xfId="14075"/>
    <cellStyle name="Check Cell 4" xfId="14076"/>
    <cellStyle name="Note 2 9 3 9 2 3" xfId="14077"/>
    <cellStyle name="Check Cell 5" xfId="14078"/>
    <cellStyle name="Note 2 9 3 9 2 4" xfId="14079"/>
    <cellStyle name="Check Cell 6" xfId="14080"/>
    <cellStyle name="Check Cell 7" xfId="14081"/>
    <cellStyle name="ColStyle1" xfId="14082"/>
    <cellStyle name="ColStyle1 2" xfId="14083"/>
    <cellStyle name="ColStyle1 3" xfId="14084"/>
    <cellStyle name="ColStyle6" xfId="14085"/>
    <cellStyle name="ColStyle6 2" xfId="14086"/>
    <cellStyle name="Input 2 8 9 5 3" xfId="14087"/>
    <cellStyle name="Note 2 4 3 10 4 3" xfId="14088"/>
    <cellStyle name="ColStyle6 3" xfId="14089"/>
    <cellStyle name="Currency 2 2" xfId="14090"/>
    <cellStyle name="Currency 2 3" xfId="14091"/>
    <cellStyle name="Output 2 6 2 2 5 2" xfId="14092"/>
    <cellStyle name="DataPilot Category 2" xfId="14093"/>
    <cellStyle name="Input 2 9 2 10" xfId="14094"/>
    <cellStyle name="DataPilot Corner" xfId="14095"/>
    <cellStyle name="DataPilot Field" xfId="14096"/>
    <cellStyle name="Input 2 8 2 4 4 2" xfId="14097"/>
    <cellStyle name="Output 2 10 2 14 3" xfId="14098"/>
    <cellStyle name="DataPilot Result" xfId="14099"/>
    <cellStyle name="DataPilot Title" xfId="14100"/>
    <cellStyle name="DataPilot Value" xfId="14101"/>
    <cellStyle name="Dezimal [0]_Mappe1" xfId="14102"/>
    <cellStyle name="Input 2 4 10 3 3" xfId="14103"/>
    <cellStyle name="Dezimal_Mappe1" xfId="14104"/>
    <cellStyle name="Explanatory Text 2" xfId="14105"/>
    <cellStyle name="Input 2 2 4 2 4" xfId="14106"/>
    <cellStyle name="Explanatory Text 2 2" xfId="14107"/>
    <cellStyle name="Explanatory Text 2 2 2 2" xfId="14108"/>
    <cellStyle name="Explanatory Text 2 2 2 2 2" xfId="14109"/>
    <cellStyle name="Explanatory Text 2 2 2 2 2 2" xfId="14110"/>
    <cellStyle name="Explanatory Text 2 2 2 2 3" xfId="14111"/>
    <cellStyle name="Explanatory Text 2 2 2 3" xfId="14112"/>
    <cellStyle name="Note 2 5 6 4 2" xfId="14113"/>
    <cellStyle name="Explanatory Text 2 2 4" xfId="14114"/>
    <cellStyle name="Explanatory Text 2 2 5" xfId="14115"/>
    <cellStyle name="Explanatory Text 2 2 6" xfId="14116"/>
    <cellStyle name="Explanatory Text 2 2 7" xfId="14117"/>
    <cellStyle name="Explanatory Text 2 2 8" xfId="14118"/>
    <cellStyle name="Input 2 2 2 3 5 2" xfId="14119"/>
    <cellStyle name="Explanatory Text 2 3" xfId="14120"/>
    <cellStyle name="Explanatory Text 2 4" xfId="14121"/>
    <cellStyle name="Explanatory Text 2 4 2 2" xfId="14122"/>
    <cellStyle name="Input 2 5 2 7 6" xfId="14123"/>
    <cellStyle name="Output 2 13 10 2" xfId="14124"/>
    <cellStyle name="Total 2 10 3 10 7" xfId="14125"/>
    <cellStyle name="Explanatory Text 2 4 3" xfId="14126"/>
    <cellStyle name="Output 2 13 11" xfId="14127"/>
    <cellStyle name="Explanatory Text 2 5" xfId="14128"/>
    <cellStyle name="Explanatory Text 3" xfId="14129"/>
    <cellStyle name="Explanatory Text 4" xfId="14130"/>
    <cellStyle name="Explanatory Text 5" xfId="14131"/>
    <cellStyle name="Explanatory Text 6" xfId="14132"/>
    <cellStyle name="Good 2" xfId="14133"/>
    <cellStyle name="Note 2 6 10 8" xfId="14134"/>
    <cellStyle name="Good 2 2" xfId="14135"/>
    <cellStyle name="Good 2 3" xfId="14136"/>
    <cellStyle name="Note 2 3 10 2" xfId="14137"/>
    <cellStyle name="Good 3" xfId="14138"/>
    <cellStyle name="Input 2 2 4 6 2" xfId="14139"/>
    <cellStyle name="Good 4" xfId="14140"/>
    <cellStyle name="Input 2 2 4 6 3" xfId="14141"/>
    <cellStyle name="Good 5" xfId="14142"/>
    <cellStyle name="Good 6" xfId="14143"/>
    <cellStyle name="Good 7" xfId="14144"/>
    <cellStyle name="Grey" xfId="14145"/>
    <cellStyle name="Grey 2" xfId="14146"/>
    <cellStyle name="Grey 2 2" xfId="14147"/>
    <cellStyle name="Grey 3" xfId="14148"/>
    <cellStyle name="Input 2 2 6 2 2" xfId="14149"/>
    <cellStyle name="Grey 4" xfId="14150"/>
    <cellStyle name="Input 2 2 6 2 3" xfId="14151"/>
    <cellStyle name="Header1" xfId="14152"/>
    <cellStyle name="Note 2 6 3 5 5 3" xfId="14153"/>
    <cellStyle name="Header1 2" xfId="14154"/>
    <cellStyle name="Note 2 3 2 8 3" xfId="14155"/>
    <cellStyle name="Header2" xfId="14156"/>
    <cellStyle name="Header2 2" xfId="14157"/>
    <cellStyle name="Note 2 3 2 9 3" xfId="14158"/>
    <cellStyle name="Heading 1 2" xfId="14159"/>
    <cellStyle name="Heading 1 2 2" xfId="14160"/>
    <cellStyle name="Note 2 6 2 4 2 3" xfId="14161"/>
    <cellStyle name="Heading 1 2 2 2" xfId="14162"/>
    <cellStyle name="Heading 1 2 2 2 2" xfId="14163"/>
    <cellStyle name="Heading 1 2 2 2 2 2" xfId="14164"/>
    <cellStyle name="Note 2 2 2 2 2 2 2 3" xfId="14165"/>
    <cellStyle name="Note 2 13 7 5 3" xfId="14166"/>
    <cellStyle name="Output 2 2 3 9 6" xfId="14167"/>
    <cellStyle name="Heading 1 2 2 2 2 2 2 2" xfId="14168"/>
    <cellStyle name="Output 2 2 2 5 3 4" xfId="14169"/>
    <cellStyle name="Heading 1 2 2 2 2 3" xfId="14170"/>
    <cellStyle name="Note 2 2 2 2 2 2 2 4" xfId="14171"/>
    <cellStyle name="Output 2 2 3 9 7" xfId="14172"/>
    <cellStyle name="Heading 1 2 2 2 3" xfId="14173"/>
    <cellStyle name="Heading 1 2 2 3" xfId="14174"/>
    <cellStyle name="Heading 1 2 2 4" xfId="14175"/>
    <cellStyle name="Heading 1 2 2 6" xfId="14176"/>
    <cellStyle name="Note 2 10 4 3 3" xfId="14177"/>
    <cellStyle name="Heading 1 2 2 7" xfId="14178"/>
    <cellStyle name="Note 2 10 4 3 4" xfId="14179"/>
    <cellStyle name="Heading 1 2 2 8" xfId="14180"/>
    <cellStyle name="Heading 1 2 3" xfId="14181"/>
    <cellStyle name="Note 2 6 2 4 2 4" xfId="14182"/>
    <cellStyle name="Heading 1 2 4" xfId="14183"/>
    <cellStyle name="Heading 1 2 5" xfId="14184"/>
    <cellStyle name="Heading 1 2 5 2" xfId="14185"/>
    <cellStyle name="Input 2 15 7 4 3" xfId="14186"/>
    <cellStyle name="Heading 1 2 5 3" xfId="14187"/>
    <cellStyle name="Heading 1 2 6" xfId="14188"/>
    <cellStyle name="Heading 1 2 7" xfId="14189"/>
    <cellStyle name="Heading 1 2 8" xfId="14190"/>
    <cellStyle name="Heading 1 2 9" xfId="14191"/>
    <cellStyle name="Heading 1 3" xfId="14192"/>
    <cellStyle name="Heading 1 4" xfId="14193"/>
    <cellStyle name="Note 2 2 3 8 2 2" xfId="14194"/>
    <cellStyle name="Heading 1 4 2" xfId="14195"/>
    <cellStyle name="Note 2 6 2 4 4 3" xfId="14196"/>
    <cellStyle name="Heading 1 5" xfId="14197"/>
    <cellStyle name="Note 2 2 3 8 2 3" xfId="14198"/>
    <cellStyle name="Heading 1 6" xfId="14199"/>
    <cellStyle name="Note 2 2 3 8 2 4" xfId="14200"/>
    <cellStyle name="Heading 1 7" xfId="14201"/>
    <cellStyle name="Heading 2 2" xfId="14202"/>
    <cellStyle name="Heading 2 2 2" xfId="14203"/>
    <cellStyle name="Note 2 6 2 5 2 3" xfId="14204"/>
    <cellStyle name="Heading 2 2 2 2" xfId="14205"/>
    <cellStyle name="Note 2 9 2 3 2 4" xfId="14206"/>
    <cellStyle name="Heading 2 2 2 2 2" xfId="14207"/>
    <cellStyle name="Heading 2 2 2 2 2 2" xfId="14208"/>
    <cellStyle name="Heading 2 2 2 2 2 2 2" xfId="14209"/>
    <cellStyle name="Output 2 2 3 7 3" xfId="14210"/>
    <cellStyle name="Heading 2 2 2 2 2 2 2 2" xfId="14211"/>
    <cellStyle name="Input 2 5 2 12 4" xfId="14212"/>
    <cellStyle name="Output 2 2 3 7 3 2" xfId="14213"/>
    <cellStyle name="Heading 2 2 2 2 2 3" xfId="14214"/>
    <cellStyle name="Note 2 3 4 2" xfId="14215"/>
    <cellStyle name="Heading 2 2 2 2 3" xfId="14216"/>
    <cellStyle name="Heading 2 2 2 3" xfId="14217"/>
    <cellStyle name="Heading 2 2 2 4" xfId="14218"/>
    <cellStyle name="Input 2 3 3 10 3 2" xfId="14219"/>
    <cellStyle name="Heading 2 2 2 6" xfId="14220"/>
    <cellStyle name="Input 2 3 3 10 3 4" xfId="14221"/>
    <cellStyle name="Note 2 11 4 3 3" xfId="14222"/>
    <cellStyle name="Note 2 3 3 10 3 2" xfId="14223"/>
    <cellStyle name="Heading 2 2 2 7" xfId="14224"/>
    <cellStyle name="Note 2 11 4 3 4" xfId="14225"/>
    <cellStyle name="Note 2 3 3 10 3 3" xfId="14226"/>
    <cellStyle name="Heading 2 2 2 8" xfId="14227"/>
    <cellStyle name="Note 2 3 3 10 3 4" xfId="14228"/>
    <cellStyle name="Heading 2 2 3" xfId="14229"/>
    <cellStyle name="Note 2 6 2 5 2 4" xfId="14230"/>
    <cellStyle name="Heading 2 2 4" xfId="14231"/>
    <cellStyle name="Heading 2 2 5" xfId="14232"/>
    <cellStyle name="Heading 2 2 5 2" xfId="14233"/>
    <cellStyle name="Input 2 16 7 4 3" xfId="14234"/>
    <cellStyle name="Heading 2 2 5 2 2" xfId="14235"/>
    <cellStyle name="Heading 2 2 5 2 2 2" xfId="14236"/>
    <cellStyle name="Heading 2 2 6" xfId="14237"/>
    <cellStyle name="Heading 2 2 7" xfId="14238"/>
    <cellStyle name="Heading 2 2 8" xfId="14239"/>
    <cellStyle name="Heading 2 2 9" xfId="14240"/>
    <cellStyle name="Heading 2 3" xfId="14241"/>
    <cellStyle name="Heading 3 2" xfId="14242"/>
    <cellStyle name="Heading 3 2 10" xfId="14243"/>
    <cellStyle name="Heading 3 2 11" xfId="14244"/>
    <cellStyle name="Heading 3 2 12" xfId="14245"/>
    <cellStyle name="Input 2 12 3 8 2 2" xfId="14246"/>
    <cellStyle name="Heading 3 2 13" xfId="14247"/>
    <cellStyle name="Input 2 12 3 8 2 3" xfId="14248"/>
    <cellStyle name="Heading 3 2 14" xfId="14249"/>
    <cellStyle name="Input 2 12 3 8 2 4" xfId="14250"/>
    <cellStyle name="Input 2 4 7 3 2" xfId="14251"/>
    <cellStyle name="Note 2 12 3 8 2 2" xfId="14252"/>
    <cellStyle name="Heading 3 2 15" xfId="14253"/>
    <cellStyle name="Heading 3 2 20" xfId="14254"/>
    <cellStyle name="Input 2 4 7 3 3" xfId="14255"/>
    <cellStyle name="Note 2 12 3 8 2 3" xfId="14256"/>
    <cellStyle name="Heading 3 2 2" xfId="14257"/>
    <cellStyle name="Note 2 6 2 6 2 3" xfId="14258"/>
    <cellStyle name="Heading 3 2 25" xfId="14259"/>
    <cellStyle name="Heading 3 2 30" xfId="14260"/>
    <cellStyle name="Heading 3 2 26" xfId="14261"/>
    <cellStyle name="Heading 3 2 27" xfId="14262"/>
    <cellStyle name="Heading 3 2 28" xfId="14263"/>
    <cellStyle name="Output 2 10 2 3 4 2" xfId="14264"/>
    <cellStyle name="Output 2 4 2 2 2 2" xfId="14265"/>
    <cellStyle name="Heading 3 2 29" xfId="14266"/>
    <cellStyle name="Output 2 10 2 3 4 3" xfId="14267"/>
    <cellStyle name="Output 2 4 2 2 2 3" xfId="14268"/>
    <cellStyle name="Heading 3 2 3" xfId="14269"/>
    <cellStyle name="Input 2 2 15 2" xfId="14270"/>
    <cellStyle name="Note 2 6 2 6 2 4" xfId="14271"/>
    <cellStyle name="Heading 3 2 3 2 2 2 2" xfId="14272"/>
    <cellStyle name="Note 2 15 5 5" xfId="14273"/>
    <cellStyle name="Heading 3 2 3 2 2 2 2 2" xfId="14274"/>
    <cellStyle name="Note 2 15 5 5 2" xfId="14275"/>
    <cellStyle name="Note 2 5 2 3 4" xfId="14276"/>
    <cellStyle name="Heading 3 2 3 3" xfId="14277"/>
    <cellStyle name="Input 2 12 5 5" xfId="14278"/>
    <cellStyle name="Heading 3 2 3 4" xfId="14279"/>
    <cellStyle name="Input 2 12 5 6" xfId="14280"/>
    <cellStyle name="Input 2 5 3 2" xfId="14281"/>
    <cellStyle name="Heading 3 2 3 5" xfId="14282"/>
    <cellStyle name="Input 2 12 5 7" xfId="14283"/>
    <cellStyle name="Input 2 5 3 3" xfId="14284"/>
    <cellStyle name="Note 2 12 3 10 2" xfId="14285"/>
    <cellStyle name="Input 2 11 16 2" xfId="14286"/>
    <cellStyle name="Note 2 12 4 4 2" xfId="14287"/>
    <cellStyle name="Heading 3 2 3 6" xfId="14288"/>
    <cellStyle name="Total 2 13 7 3 2" xfId="14289"/>
    <cellStyle name="Input 2 5 3 4" xfId="14290"/>
    <cellStyle name="Note 2 12 3 10 3" xfId="14291"/>
    <cellStyle name="Input 2 11 16 3" xfId="14292"/>
    <cellStyle name="Note 2 12 4 4 3" xfId="14293"/>
    <cellStyle name="Heading 3 2 3 7" xfId="14294"/>
    <cellStyle name="Total 2 13 7 3 3" xfId="14295"/>
    <cellStyle name="Input 2 5 3 5" xfId="14296"/>
    <cellStyle name="Note 2 12 3 10 4" xfId="14297"/>
    <cellStyle name="Total 2 5 5 2 2" xfId="14298"/>
    <cellStyle name="Heading 3 2 3 8" xfId="14299"/>
    <cellStyle name="Total 2 13 7 3 4" xfId="14300"/>
    <cellStyle name="Input 2 5 3 6" xfId="14301"/>
    <cellStyle name="Note 2 12 3 10 5" xfId="14302"/>
    <cellStyle name="Total 2 5 5 2 3" xfId="14303"/>
    <cellStyle name="Heading 3 2 3 9" xfId="14304"/>
    <cellStyle name="Input 2 5 3 7" xfId="14305"/>
    <cellStyle name="Note 2 12 3 10 6" xfId="14306"/>
    <cellStyle name="Heading 3 2 4" xfId="14307"/>
    <cellStyle name="Input 2 2 15 3" xfId="14308"/>
    <cellStyle name="Heading 3 2 5" xfId="14309"/>
    <cellStyle name="Input 2 2 15 4" xfId="14310"/>
    <cellStyle name="Heading 3 2 5 2" xfId="14311"/>
    <cellStyle name="Input 2 12 7 4" xfId="14312"/>
    <cellStyle name="Total 2 11 10 3 4" xfId="14313"/>
    <cellStyle name="Heading 3 2 5 2 2" xfId="14314"/>
    <cellStyle name="Input 2 12 7 4 2" xfId="14315"/>
    <cellStyle name="Total 2 10 10 3 3" xfId="14316"/>
    <cellStyle name="Heading 3 2 5 3" xfId="14317"/>
    <cellStyle name="Input 2 12 7 5" xfId="14318"/>
    <cellStyle name="Heading 3 2 5 4" xfId="14319"/>
    <cellStyle name="Input 2 12 7 6" xfId="14320"/>
    <cellStyle name="Input 2 5 5 2" xfId="14321"/>
    <cellStyle name="Heading 3 2 6" xfId="14322"/>
    <cellStyle name="Output 2 2 3 2 3 2" xfId="14323"/>
    <cellStyle name="Heading 3 2 6 2" xfId="14324"/>
    <cellStyle name="Input 2 12 8 4" xfId="14325"/>
    <cellStyle name="Heading 3 2 7" xfId="14326"/>
    <cellStyle name="Output 2 2 3 2 3 3" xfId="14327"/>
    <cellStyle name="Heading 3 2 7 2" xfId="14328"/>
    <cellStyle name="Input 2 12 9 4" xfId="14329"/>
    <cellStyle name="Heading 3 2 9" xfId="14330"/>
    <cellStyle name="Heading 3 3" xfId="14331"/>
    <cellStyle name="Heading 3 4" xfId="14332"/>
    <cellStyle name="Input 2 7 9 3 2" xfId="14333"/>
    <cellStyle name="Note 2 2 3 8 4 2" xfId="14334"/>
    <cellStyle name="Heading 3 4 2" xfId="14335"/>
    <cellStyle name="Note 2 6 2 6 4 3" xfId="14336"/>
    <cellStyle name="Heading 3 5" xfId="14337"/>
    <cellStyle name="Input 2 7 9 3 3" xfId="14338"/>
    <cellStyle name="Note 2 2 3 8 4 3" xfId="14339"/>
    <cellStyle name="Heading 3 6" xfId="14340"/>
    <cellStyle name="Input 2 7 9 3 4" xfId="14341"/>
    <cellStyle name="Heading 3 7" xfId="14342"/>
    <cellStyle name="Heading 4 2" xfId="14343"/>
    <cellStyle name="Heading 4 2 2" xfId="14344"/>
    <cellStyle name="Note 2 6 2 7 2 3" xfId="14345"/>
    <cellStyle name="Heading 4 2 2 2" xfId="14346"/>
    <cellStyle name="Output 2 8 3 9 3 4" xfId="14347"/>
    <cellStyle name="Heading 4 2 2 2 2" xfId="14348"/>
    <cellStyle name="Heading 4 2 2 2 2 2 2" xfId="14349"/>
    <cellStyle name="Heading 4 2 2 2 2 2 2 2" xfId="14350"/>
    <cellStyle name="Total 2 13 4 2 2" xfId="14351"/>
    <cellStyle name="Input 2 2 2 4" xfId="14352"/>
    <cellStyle name="Heading 4 2 2 2 2 3" xfId="14353"/>
    <cellStyle name="Heading 4 2 2 2 3" xfId="14354"/>
    <cellStyle name="Input 2 6 12 4 2" xfId="14355"/>
    <cellStyle name="Heading 4 2 2 3" xfId="14356"/>
    <cellStyle name="Heading 4 2 2 4" xfId="14357"/>
    <cellStyle name="Input 2 14 2 14 2" xfId="14358"/>
    <cellStyle name="Heading 4 2 2 5" xfId="14359"/>
    <cellStyle name="Input 2 14 2 14 3" xfId="14360"/>
    <cellStyle name="Note 2 13 4 3 2" xfId="14361"/>
    <cellStyle name="Heading 4 2 2 6" xfId="14362"/>
    <cellStyle name="Note 2 13 4 3 3" xfId="14363"/>
    <cellStyle name="Heading 4 2 2 7" xfId="14364"/>
    <cellStyle name="Note 2 13 4 3 4" xfId="14365"/>
    <cellStyle name="Heading 4 2 2 8" xfId="14366"/>
    <cellStyle name="Heading 4 2 3" xfId="14367"/>
    <cellStyle name="Note 2 6 2 7 2 4" xfId="14368"/>
    <cellStyle name="Heading 4 2 4" xfId="14369"/>
    <cellStyle name="Heading 4 2 5" xfId="14370"/>
    <cellStyle name="Heading 4 2 5 2" xfId="14371"/>
    <cellStyle name="Heading 4 2 5 2 2" xfId="14372"/>
    <cellStyle name="Input 2 7 3 7 4" xfId="14373"/>
    <cellStyle name="Heading 4 2 5 2 2 2" xfId="14374"/>
    <cellStyle name="Input 2 7 3 7 4 2" xfId="14375"/>
    <cellStyle name="Heading 4 2 5 3" xfId="14376"/>
    <cellStyle name="Heading 4 2 6" xfId="14377"/>
    <cellStyle name="Output 2 2 3 3 3 2" xfId="14378"/>
    <cellStyle name="Heading 4 2 7" xfId="14379"/>
    <cellStyle name="Output 2 2 3 3 3 3" xfId="14380"/>
    <cellStyle name="Heading 4 2 8" xfId="14381"/>
    <cellStyle name="Output 2 2 3 3 3 4" xfId="14382"/>
    <cellStyle name="Heading 4 2 9" xfId="14383"/>
    <cellStyle name="Heading 4 3" xfId="14384"/>
    <cellStyle name="Heading 4 4" xfId="14385"/>
    <cellStyle name="Input 2 7 9 4 2" xfId="14386"/>
    <cellStyle name="Note 2 2 3 8 5 2" xfId="14387"/>
    <cellStyle name="Heading 4 5" xfId="14388"/>
    <cellStyle name="Input 2 7 9 4 3" xfId="14389"/>
    <cellStyle name="Note 2 2 3 8 5 3" xfId="14390"/>
    <cellStyle name="Heading 4 6" xfId="14391"/>
    <cellStyle name="Hyperlink 2" xfId="14392"/>
    <cellStyle name="Output 2 10 2 11 4" xfId="14393"/>
    <cellStyle name="Input 2 10 5 6" xfId="14394"/>
    <cellStyle name="Input 2" xfId="14395"/>
    <cellStyle name="Input 2 3 3 2" xfId="14396"/>
    <cellStyle name="Output 2 15 8 2 3" xfId="14397"/>
    <cellStyle name="Input 2 10" xfId="14398"/>
    <cellStyle name="Total 2 5 2 6 5 3" xfId="14399"/>
    <cellStyle name="Note 2 10 3 10 6" xfId="14400"/>
    <cellStyle name="Input 2 10 10" xfId="14401"/>
    <cellStyle name="Note 2 14 5 4 2" xfId="14402"/>
    <cellStyle name="Note 2 4 2 2 4" xfId="14403"/>
    <cellStyle name="Output 2 5 11 2 4" xfId="14404"/>
    <cellStyle name="Input 2 10 10 2" xfId="14405"/>
    <cellStyle name="Note 2 4 2 2 4 2" xfId="14406"/>
    <cellStyle name="Note 2 5 18" xfId="14407"/>
    <cellStyle name="Note 2 5 23" xfId="14408"/>
    <cellStyle name="Input 2 10 10 2 2" xfId="14409"/>
    <cellStyle name="Note 2 13 3 7 2 4" xfId="14410"/>
    <cellStyle name="Note 2 5 18 2" xfId="14411"/>
    <cellStyle name="Input 2 10 10 3" xfId="14412"/>
    <cellStyle name="Note 2 4 2 2 4 3" xfId="14413"/>
    <cellStyle name="Note 2 5 19" xfId="14414"/>
    <cellStyle name="Note 2 5 24" xfId="14415"/>
    <cellStyle name="Input 2 10 10 3 2" xfId="14416"/>
    <cellStyle name="Note 2 13 3 7 3 4" xfId="14417"/>
    <cellStyle name="Note 2 5 19 2" xfId="14418"/>
    <cellStyle name="Input 2 10 10 4" xfId="14419"/>
    <cellStyle name="Note 2 5 25" xfId="14420"/>
    <cellStyle name="Note 2 5 30" xfId="14421"/>
    <cellStyle name="Input 2 10 10 4 2" xfId="14422"/>
    <cellStyle name="Input 2 10 10 5" xfId="14423"/>
    <cellStyle name="Note 2 5 26" xfId="14424"/>
    <cellStyle name="Input 2 10 10 5 2" xfId="14425"/>
    <cellStyle name="Input 2 12 2 13" xfId="14426"/>
    <cellStyle name="Input 2 10 10 6" xfId="14427"/>
    <cellStyle name="Note 2 5 27" xfId="14428"/>
    <cellStyle name="Output 2 9 2 8 2 2" xfId="14429"/>
    <cellStyle name="Input 2 10 10 7" xfId="14430"/>
    <cellStyle name="Note 2 5 28" xfId="14431"/>
    <cellStyle name="Output 2 9 2 8 2 3" xfId="14432"/>
    <cellStyle name="Input 2 10 2" xfId="14433"/>
    <cellStyle name="Output 2 14 2 8 3" xfId="14434"/>
    <cellStyle name="Output 2 9 14" xfId="14435"/>
    <cellStyle name="Input 2 10 2 10 2 4" xfId="14436"/>
    <cellStyle name="Output 2 11 12 2 2" xfId="14437"/>
    <cellStyle name="Input 2 10 2 10 4 2" xfId="14438"/>
    <cellStyle name="Output 2 13 7 2 4" xfId="14439"/>
    <cellStyle name="Total 2 10 3 7 3 4" xfId="14440"/>
    <cellStyle name="Total 2 11 4 3 2" xfId="14441"/>
    <cellStyle name="Input 2 10 2 10 4 3" xfId="14442"/>
    <cellStyle name="Input 2 10 2 10 5 2" xfId="14443"/>
    <cellStyle name="Output 2 13 7 3 4" xfId="14444"/>
    <cellStyle name="Output 2 7 7 2 2" xfId="14445"/>
    <cellStyle name="Total 2 11 4 4 2" xfId="14446"/>
    <cellStyle name="Input 2 10 2 10 5 3" xfId="14447"/>
    <cellStyle name="Output 2 7 7 2 3" xfId="14448"/>
    <cellStyle name="Input 2 10 2 11" xfId="14449"/>
    <cellStyle name="Note 2 10 2" xfId="14450"/>
    <cellStyle name="Input 2 10 2 12" xfId="14451"/>
    <cellStyle name="Note 2 10 3" xfId="14452"/>
    <cellStyle name="Input 2 10 2 13" xfId="14453"/>
    <cellStyle name="Note 2 10 4" xfId="14454"/>
    <cellStyle name="Input 2 10 2 14" xfId="14455"/>
    <cellStyle name="Input 2 3 2 8 5 2" xfId="14456"/>
    <cellStyle name="Note 2 10 5" xfId="14457"/>
    <cellStyle name="Input 2 10 2 15" xfId="14458"/>
    <cellStyle name="Input 2 3 2 8 5 3" xfId="14459"/>
    <cellStyle name="Note 2 10 6" xfId="14460"/>
    <cellStyle name="Input 2 10 2 16" xfId="14461"/>
    <cellStyle name="Note 2 10 7" xfId="14462"/>
    <cellStyle name="Output 2 5 2 2" xfId="14463"/>
    <cellStyle name="Input 2 10 2 2" xfId="14464"/>
    <cellStyle name="Output 2 14 2 8 3 2" xfId="14465"/>
    <cellStyle name="Output 2 9 14 2" xfId="14466"/>
    <cellStyle name="Input 2 10 2 2 2" xfId="14467"/>
    <cellStyle name="Input 2 10 2 2 2 2" xfId="14468"/>
    <cellStyle name="Input 2 10 2 2 2 3" xfId="14469"/>
    <cellStyle name="Input 2 10 2 2 2 4" xfId="14470"/>
    <cellStyle name="Note 2 10 2 2 2 2" xfId="14471"/>
    <cellStyle name="Input 2 10 2 2 3" xfId="14472"/>
    <cellStyle name="Input 2 10 2 2 3 2" xfId="14473"/>
    <cellStyle name="Input 2 10 2 2 3 3" xfId="14474"/>
    <cellStyle name="Output 2 6 3 10 2 2" xfId="14475"/>
    <cellStyle name="Input 2 10 2 2 3 4" xfId="14476"/>
    <cellStyle name="Note 2 10 2 2 3 2" xfId="14477"/>
    <cellStyle name="Output 2 6 3 10 2 3" xfId="14478"/>
    <cellStyle name="Input 2 10 2 2 4" xfId="14479"/>
    <cellStyle name="Input 2 10 2 2 4 2" xfId="14480"/>
    <cellStyle name="Input 2 10 2 2 4 3" xfId="14481"/>
    <cellStyle name="Output 2 6 3 10 3 2" xfId="14482"/>
    <cellStyle name="Input 2 10 2 2 5" xfId="14483"/>
    <cellStyle name="Input 2 10 2 2 5 2" xfId="14484"/>
    <cellStyle name="Input 2 10 2 2 5 3" xfId="14485"/>
    <cellStyle name="Output 2 2 3 10 2" xfId="14486"/>
    <cellStyle name="Output 2 6 3 10 4 2" xfId="14487"/>
    <cellStyle name="Input 2 10 2 2 6" xfId="14488"/>
    <cellStyle name="Input 2 10 2 2 7" xfId="14489"/>
    <cellStyle name="Input 2 10 2 3" xfId="14490"/>
    <cellStyle name="Output 2 14 2 8 3 3" xfId="14491"/>
    <cellStyle name="Output 2 9 14 3" xfId="14492"/>
    <cellStyle name="Input 2 10 2 3 2" xfId="14493"/>
    <cellStyle name="Input 2 10 2 3 2 2" xfId="14494"/>
    <cellStyle name="Input 2 10 2 3 2 3" xfId="14495"/>
    <cellStyle name="Input 2 10 2 3 3" xfId="14496"/>
    <cellStyle name="Input 2 10 2 3 3 2" xfId="14497"/>
    <cellStyle name="Input 2 10 2 3 3 3" xfId="14498"/>
    <cellStyle name="Input 2 10 2 3 3 4" xfId="14499"/>
    <cellStyle name="Note 2 10 2 3 3 2" xfId="14500"/>
    <cellStyle name="Input 2 10 2 3 4" xfId="14501"/>
    <cellStyle name="Input 2 10 2 3 4 3" xfId="14502"/>
    <cellStyle name="Input 2 10 2 3 5" xfId="14503"/>
    <cellStyle name="Input 2 10 2 3 5 2" xfId="14504"/>
    <cellStyle name="Input 2 10 2 3 5 3" xfId="14505"/>
    <cellStyle name="Input 2 10 2 3 6" xfId="14506"/>
    <cellStyle name="Output 2 2 5 2 2" xfId="14507"/>
    <cellStyle name="Input 2 10 2 3 7" xfId="14508"/>
    <cellStyle name="Output 2 2 5 2 3" xfId="14509"/>
    <cellStyle name="Input 2 10 2 4" xfId="14510"/>
    <cellStyle name="Output 2 14 2 8 3 4" xfId="14511"/>
    <cellStyle name="Output 2 9 14 4" xfId="14512"/>
    <cellStyle name="Input 2 10 2 4 2" xfId="14513"/>
    <cellStyle name="Input 2 10 2 4 2 2" xfId="14514"/>
    <cellStyle name="Output 2 9 2 2 2 3" xfId="14515"/>
    <cellStyle name="Input 2 10 2 4 2 3" xfId="14516"/>
    <cellStyle name="Output 2 9 2 2 2 4" xfId="14517"/>
    <cellStyle name="Input 2 10 2 4 2 4" xfId="14518"/>
    <cellStyle name="Note 2 10 2 4 2 2" xfId="14519"/>
    <cellStyle name="Input 2 10 2 4 3" xfId="14520"/>
    <cellStyle name="Input 2 10 2 4 3 2" xfId="14521"/>
    <cellStyle name="Output 2 9 2 2 3 3" xfId="14522"/>
    <cellStyle name="Input 2 10 2 4 3 3" xfId="14523"/>
    <cellStyle name="Output 2 9 2 2 3 4" xfId="14524"/>
    <cellStyle name="Input 2 10 2 4 3 4" xfId="14525"/>
    <cellStyle name="Note 2 10 2 4 3 2" xfId="14526"/>
    <cellStyle name="Input 2 10 2 4 4" xfId="14527"/>
    <cellStyle name="Input 2 10 2 4 4 2" xfId="14528"/>
    <cellStyle name="Output 2 9 2 2 4 3" xfId="14529"/>
    <cellStyle name="Input 2 10 2 4 4 3" xfId="14530"/>
    <cellStyle name="Input 2 10 2 4 5" xfId="14531"/>
    <cellStyle name="Total 2 13 11 2" xfId="14532"/>
    <cellStyle name="Note 2 10 10" xfId="14533"/>
    <cellStyle name="Input 2 10 2 4 5 2" xfId="14534"/>
    <cellStyle name="Total 2 13 11 2 2" xfId="14535"/>
    <cellStyle name="Note 2 10 10 2" xfId="14536"/>
    <cellStyle name="Output 2 9 2 2 5 3" xfId="14537"/>
    <cellStyle name="Input 2 10 2 4 5 3" xfId="14538"/>
    <cellStyle name="Total 2 13 11 2 3" xfId="14539"/>
    <cellStyle name="Note 2 10 10 3" xfId="14540"/>
    <cellStyle name="Input 2 10 2 4 6" xfId="14541"/>
    <cellStyle name="Total 2 13 11 3" xfId="14542"/>
    <cellStyle name="Note 2 10 11" xfId="14543"/>
    <cellStyle name="Output 2 2 5 3 2" xfId="14544"/>
    <cellStyle name="Input 2 10 2 4 7" xfId="14545"/>
    <cellStyle name="Total 2 13 11 4" xfId="14546"/>
    <cellStyle name="Note 2 10 12" xfId="14547"/>
    <cellStyle name="Output 2 2 5 3 3" xfId="14548"/>
    <cellStyle name="Input 2 10 2 5" xfId="14549"/>
    <cellStyle name="Input 2 7 3 3 5 2" xfId="14550"/>
    <cellStyle name="Input 2 10 2 5 2" xfId="14551"/>
    <cellStyle name="Note 2 3 3 8 2 4" xfId="14552"/>
    <cellStyle name="Input 2 10 2 5 2 2" xfId="14553"/>
    <cellStyle name="Output 2 9 2 3 2 3" xfId="14554"/>
    <cellStyle name="Input 2 10 2 5 2 3" xfId="14555"/>
    <cellStyle name="Output 2 9 2 3 2 4" xfId="14556"/>
    <cellStyle name="Input 2 10 2 5 2 4" xfId="14557"/>
    <cellStyle name="Note 2 10 2 5 2 2" xfId="14558"/>
    <cellStyle name="Input 2 10 2 5 3" xfId="14559"/>
    <cellStyle name="Input 2 10 2 5 3 2" xfId="14560"/>
    <cellStyle name="Output 2 9 2 3 3 3" xfId="14561"/>
    <cellStyle name="Input 2 10 2 5 3 3" xfId="14562"/>
    <cellStyle name="Output 2 9 2 3 3 4" xfId="14563"/>
    <cellStyle name="Input 2 10 2 5 3 4" xfId="14564"/>
    <cellStyle name="Note 2 10 2 5 3 2" xfId="14565"/>
    <cellStyle name="Input 2 10 2 5 4" xfId="14566"/>
    <cellStyle name="Output 2 2 2 5 6 2 2" xfId="14567"/>
    <cellStyle name="Input 2 10 2 5 4 2" xfId="14568"/>
    <cellStyle name="Output 2 9 2 3 4 3" xfId="14569"/>
    <cellStyle name="Input 2 10 2 5 4 3" xfId="14570"/>
    <cellStyle name="Input 2 10 2 5 5" xfId="14571"/>
    <cellStyle name="Total 2 13 12 2" xfId="14572"/>
    <cellStyle name="Output 2 5 2 10" xfId="14573"/>
    <cellStyle name="Input 2 10 2 5 5 2" xfId="14574"/>
    <cellStyle name="Total 2 13 12 2 2" xfId="14575"/>
    <cellStyle name="Input 2 2 2 12" xfId="14576"/>
    <cellStyle name="Output 2 5 2 10 2" xfId="14577"/>
    <cellStyle name="Output 2 9 2 3 5 3" xfId="14578"/>
    <cellStyle name="Input 2 10 2 5 5 3" xfId="14579"/>
    <cellStyle name="Total 2 13 12 2 3" xfId="14580"/>
    <cellStyle name="Input 2 2 2 13" xfId="14581"/>
    <cellStyle name="Output 2 5 2 10 3" xfId="14582"/>
    <cellStyle name="Input 2 10 2 5 6" xfId="14583"/>
    <cellStyle name="Output 2 2 5 4 2" xfId="14584"/>
    <cellStyle name="Total 2 13 12 3" xfId="14585"/>
    <cellStyle name="Output 2 5 2 11" xfId="14586"/>
    <cellStyle name="Input 2 10 2 5 7" xfId="14587"/>
    <cellStyle name="Output 2 2 5 4 3" xfId="14588"/>
    <cellStyle name="Total 2 13 12 4" xfId="14589"/>
    <cellStyle name="Output 2 5 2 12" xfId="14590"/>
    <cellStyle name="Input 2 10 2 6" xfId="14591"/>
    <cellStyle name="Input 2 7 3 3 5 3" xfId="14592"/>
    <cellStyle name="Input 2 10 2 6 2" xfId="14593"/>
    <cellStyle name="Note 2 3 3 8 3 4" xfId="14594"/>
    <cellStyle name="Input 2 10 2 6 2 2" xfId="14595"/>
    <cellStyle name="Output 2 9 2 4 2 3" xfId="14596"/>
    <cellStyle name="Input 2 10 2 6 2 3" xfId="14597"/>
    <cellStyle name="Output 2 9 2 4 2 4" xfId="14598"/>
    <cellStyle name="Input 2 10 2 6 2 4" xfId="14599"/>
    <cellStyle name="Note 2 10 2 6 2 2" xfId="14600"/>
    <cellStyle name="Input 2 10 2 6 3" xfId="14601"/>
    <cellStyle name="Input 2 10 2 6 3 2" xfId="14602"/>
    <cellStyle name="Output 2 9 2 4 3 3" xfId="14603"/>
    <cellStyle name="Input 2 10 2 6 3 3" xfId="14604"/>
    <cellStyle name="Output 2 9 2 4 3 4" xfId="14605"/>
    <cellStyle name="Input 2 10 2 6 3 4" xfId="14606"/>
    <cellStyle name="Note 2 10 2 6 3 2" xfId="14607"/>
    <cellStyle name="Input 2 10 2 6 4" xfId="14608"/>
    <cellStyle name="Input 2 10 2 6 4 2" xfId="14609"/>
    <cellStyle name="Output 2 9 2 4 4 3" xfId="14610"/>
    <cellStyle name="Input 2 10 2 6 4 3" xfId="14611"/>
    <cellStyle name="Input 2 7 10 2 2" xfId="14612"/>
    <cellStyle name="Input 2 10 2 6 5" xfId="14613"/>
    <cellStyle name="Input 2 10 2 6 5 2" xfId="14614"/>
    <cellStyle name="Output 2 9 2 4 5 3" xfId="14615"/>
    <cellStyle name="Input 2 10 2 6 5 3" xfId="14616"/>
    <cellStyle name="Input 2 7 10 3 2" xfId="14617"/>
    <cellStyle name="Input 2 10 2 6 6" xfId="14618"/>
    <cellStyle name="Output 2 2 5 5 2" xfId="14619"/>
    <cellStyle name="Input 2 10 2 6 7" xfId="14620"/>
    <cellStyle name="Output 2 2 5 5 3" xfId="14621"/>
    <cellStyle name="Input 2 10 2 7 2" xfId="14622"/>
    <cellStyle name="Input 2 10 2 7 2 2" xfId="14623"/>
    <cellStyle name="Output 2 9 2 5 2 3" xfId="14624"/>
    <cellStyle name="Input 2 10 2 7 2 3" xfId="14625"/>
    <cellStyle name="Output 2 9 2 5 2 4" xfId="14626"/>
    <cellStyle name="Input 2 10 2 7 2 4" xfId="14627"/>
    <cellStyle name="Note 2 10 2 7 2 2" xfId="14628"/>
    <cellStyle name="Input 2 10 2 7 3" xfId="14629"/>
    <cellStyle name="Input 2 10 2 7 3 2" xfId="14630"/>
    <cellStyle name="Output 2 9 2 5 3 3" xfId="14631"/>
    <cellStyle name="Input 2 10 2 7 3 3" xfId="14632"/>
    <cellStyle name="Output 2 9 2 5 3 4" xfId="14633"/>
    <cellStyle name="Input 2 10 2 7 3 4" xfId="14634"/>
    <cellStyle name="Note 2 10 2 7 3 2" xfId="14635"/>
    <cellStyle name="Input 2 10 2 7 4" xfId="14636"/>
    <cellStyle name="Input 2 10 2 7 4 2" xfId="14637"/>
    <cellStyle name="Output 2 9 2 5 4 3" xfId="14638"/>
    <cellStyle name="Input 2 10 2 7 4 3" xfId="14639"/>
    <cellStyle name="Input 2 7 11 2 2" xfId="14640"/>
    <cellStyle name="Input 2 10 2 7 5" xfId="14641"/>
    <cellStyle name="Input 2 10 2 7 5 2" xfId="14642"/>
    <cellStyle name="Output 2 9 2 5 5 3" xfId="14643"/>
    <cellStyle name="Input 2 10 2 7 5 3" xfId="14644"/>
    <cellStyle name="Input 2 7 11 3 2" xfId="14645"/>
    <cellStyle name="Input 2 10 2 7 6" xfId="14646"/>
    <cellStyle name="Output 2 2 5 6 2" xfId="14647"/>
    <cellStyle name="Input 2 10 2 7 7" xfId="14648"/>
    <cellStyle name="Input 2 10 2 8 2" xfId="14649"/>
    <cellStyle name="Input 2 10 2 8 2 2" xfId="14650"/>
    <cellStyle name="Output 2 9 2 6 2 3" xfId="14651"/>
    <cellStyle name="Input 2 10 2 8 2 3" xfId="14652"/>
    <cellStyle name="Output 2 9 2 6 2 4" xfId="14653"/>
    <cellStyle name="Input 2 10 2 8 2 4" xfId="14654"/>
    <cellStyle name="Note 2 10 2 8 2 2" xfId="14655"/>
    <cellStyle name="Input 2 10 2 8 3" xfId="14656"/>
    <cellStyle name="Input 2 10 2 8 3 2" xfId="14657"/>
    <cellStyle name="Output 2 9 2 6 3 3" xfId="14658"/>
    <cellStyle name="Input 2 10 2 8 3 3" xfId="14659"/>
    <cellStyle name="Output 2 9 2 6 3 4" xfId="14660"/>
    <cellStyle name="Input 2 10 2 8 3 4" xfId="14661"/>
    <cellStyle name="Note 2 10 2 8 3 2" xfId="14662"/>
    <cellStyle name="Input 2 10 2 8 4" xfId="14663"/>
    <cellStyle name="Input 2 10 2 8 4 2" xfId="14664"/>
    <cellStyle name="Output 2 9 2 6 4 3" xfId="14665"/>
    <cellStyle name="Input 2 10 2 8 4 3" xfId="14666"/>
    <cellStyle name="Input 2 7 12 2 2" xfId="14667"/>
    <cellStyle name="Input 2 10 2 8 5" xfId="14668"/>
    <cellStyle name="Input 2 10 2 8 5 3" xfId="14669"/>
    <cellStyle name="Input 2 7 12 3 2" xfId="14670"/>
    <cellStyle name="Input 2 10 2 8 6" xfId="14671"/>
    <cellStyle name="Input 2 10 2 8 7" xfId="14672"/>
    <cellStyle name="Output 2 13 2 10 2" xfId="14673"/>
    <cellStyle name="Input 2 10 2 9" xfId="14674"/>
    <cellStyle name="Input 2 10 2 9 2" xfId="14675"/>
    <cellStyle name="Input 2 10 2 9 2 2" xfId="14676"/>
    <cellStyle name="Output 2 9 2 7 2 3" xfId="14677"/>
    <cellStyle name="Input 2 10 2 9 2 3" xfId="14678"/>
    <cellStyle name="Output 2 9 2 7 2 4" xfId="14679"/>
    <cellStyle name="Input 2 10 2 9 2 4" xfId="14680"/>
    <cellStyle name="Note 2 10 2 9 2 2" xfId="14681"/>
    <cellStyle name="Input 2 10 2 9 3" xfId="14682"/>
    <cellStyle name="Input 2 10 2 9 3 2" xfId="14683"/>
    <cellStyle name="Output 2 9 2 7 3 3" xfId="14684"/>
    <cellStyle name="Input 2 10 2 9 3 3" xfId="14685"/>
    <cellStyle name="Output 2 9 2 7 3 4" xfId="14686"/>
    <cellStyle name="Input 2 10 2 9 3 4" xfId="14687"/>
    <cellStyle name="Note 2 10 2 9 3 2" xfId="14688"/>
    <cellStyle name="Input 2 10 2 9 4" xfId="14689"/>
    <cellStyle name="Input 2 10 2 9 4 2" xfId="14690"/>
    <cellStyle name="Output 2 9 2 7 4 3" xfId="14691"/>
    <cellStyle name="Input 2 10 2 9 4 3" xfId="14692"/>
    <cellStyle name="Input 2 10 2 9 5" xfId="14693"/>
    <cellStyle name="Total 2 13 16 2" xfId="14694"/>
    <cellStyle name="Note 2 11 10" xfId="14695"/>
    <cellStyle name="Input 2 10 2 9 5 2" xfId="14696"/>
    <cellStyle name="Output 2 14 18" xfId="14697"/>
    <cellStyle name="Note 2 11 10 2" xfId="14698"/>
    <cellStyle name="Output 2 9 2 7 5 3" xfId="14699"/>
    <cellStyle name="Input 2 10 2 9 5 3" xfId="14700"/>
    <cellStyle name="Note 2 11 10 3" xfId="14701"/>
    <cellStyle name="Output 2 14 19" xfId="14702"/>
    <cellStyle name="Input 2 10 2 9 6" xfId="14703"/>
    <cellStyle name="Total 2 13 16 3" xfId="14704"/>
    <cellStyle name="Note 2 11 11" xfId="14705"/>
    <cellStyle name="Input 2 10 2 9 7" xfId="14706"/>
    <cellStyle name="Note 2 11 12" xfId="14707"/>
    <cellStyle name="Note 2 3 6 2 2" xfId="14708"/>
    <cellStyle name="Output 2 13 2 11 2" xfId="14709"/>
    <cellStyle name="Input 2 10 3 10" xfId="14710"/>
    <cellStyle name="Input 2 8 3 4 3 3" xfId="14711"/>
    <cellStyle name="Input 2 10 3 10 2 4" xfId="14712"/>
    <cellStyle name="Output 2 12 12 2 2" xfId="14713"/>
    <cellStyle name="Input 2 10 3 10 3 2" xfId="14714"/>
    <cellStyle name="Total 2 16 4 2 2" xfId="14715"/>
    <cellStyle name="Input 2 10 3 10 3 3" xfId="14716"/>
    <cellStyle name="Note 2 5 3 6 2 2" xfId="14717"/>
    <cellStyle name="Total 2 16 4 2 3" xfId="14718"/>
    <cellStyle name="Input 2 10 3 10 3 4" xfId="14719"/>
    <cellStyle name="Output 2 12 12 3 2" xfId="14720"/>
    <cellStyle name="Input 2 10 3 10 4 2" xfId="14721"/>
    <cellStyle name="Input 2 3 17" xfId="14722"/>
    <cellStyle name="Input 2 3 22" xfId="14723"/>
    <cellStyle name="Total 2 16 4 3 2" xfId="14724"/>
    <cellStyle name="Input 2 10 3 10 4 3" xfId="14725"/>
    <cellStyle name="Input 2 3 18" xfId="14726"/>
    <cellStyle name="Input 2 3 23" xfId="14727"/>
    <cellStyle name="Input 2 10 3 10 5" xfId="14728"/>
    <cellStyle name="Input 2 8 4 4 2" xfId="14729"/>
    <cellStyle name="Input 2 10 3 10 5 2" xfId="14730"/>
    <cellStyle name="Total 2 16 4 4 2" xfId="14731"/>
    <cellStyle name="Input 2 10 3 10 5 3" xfId="14732"/>
    <cellStyle name="Input 2 10 3 10 6" xfId="14733"/>
    <cellStyle name="Input 2 8 4 4 3" xfId="14734"/>
    <cellStyle name="Input 2 10 3 10 7" xfId="14735"/>
    <cellStyle name="Input 2 10 3 11" xfId="14736"/>
    <cellStyle name="Note 2 15 2" xfId="14737"/>
    <cellStyle name="Note 2 20 2" xfId="14738"/>
    <cellStyle name="Input 2 8 3 4 3 4" xfId="14739"/>
    <cellStyle name="Note 2 5 2 6 5 2" xfId="14740"/>
    <cellStyle name="Input 2 10 3 12" xfId="14741"/>
    <cellStyle name="Note 2 15 3" xfId="14742"/>
    <cellStyle name="Note 2 20 3" xfId="14743"/>
    <cellStyle name="Note 2 5 2 6 5 3" xfId="14744"/>
    <cellStyle name="Input 2 10 3 13" xfId="14745"/>
    <cellStyle name="Note 2 15 4" xfId="14746"/>
    <cellStyle name="Note 2 20 4" xfId="14747"/>
    <cellStyle name="Input 2 10 3 14" xfId="14748"/>
    <cellStyle name="Note 2 15 5" xfId="14749"/>
    <cellStyle name="Note 2 20 5" xfId="14750"/>
    <cellStyle name="Input 2 10 3 15" xfId="14751"/>
    <cellStyle name="Note 2 15 6" xfId="14752"/>
    <cellStyle name="Note 2 20 6" xfId="14753"/>
    <cellStyle name="Input 2 10 3 16" xfId="14754"/>
    <cellStyle name="Note 2 15 7" xfId="14755"/>
    <cellStyle name="Note 2 20 7" xfId="14756"/>
    <cellStyle name="Output 2 5 7 2" xfId="14757"/>
    <cellStyle name="Input 2 10 3 2" xfId="14758"/>
    <cellStyle name="Output 2 14 2 8 4 2" xfId="14759"/>
    <cellStyle name="Total 2 7 2 10" xfId="14760"/>
    <cellStyle name="Output 2 8 2 7 2 2" xfId="14761"/>
    <cellStyle name="Output 2 9 15 2" xfId="14762"/>
    <cellStyle name="Input 2 10 3 2 2" xfId="14763"/>
    <cellStyle name="Input 2 10 3 2 3" xfId="14764"/>
    <cellStyle name="Input 2 10 3 2 3 4" xfId="14765"/>
    <cellStyle name="Note 2 10 3 2 3 2" xfId="14766"/>
    <cellStyle name="Input 2 10 3 2 4" xfId="14767"/>
    <cellStyle name="Input 2 10 3 2 5" xfId="14768"/>
    <cellStyle name="Input 2 10 3 2 5 2" xfId="14769"/>
    <cellStyle name="Input 2 10 3 2 5 3" xfId="14770"/>
    <cellStyle name="Input 2 10 3 2 6" xfId="14771"/>
    <cellStyle name="Input 2 10 3 2 7" xfId="14772"/>
    <cellStyle name="Input 2 10 3 3" xfId="14773"/>
    <cellStyle name="Output 2 14 2 8 4 3" xfId="14774"/>
    <cellStyle name="Total 2 7 2 11" xfId="14775"/>
    <cellStyle name="Output 2 8 2 7 2 3" xfId="14776"/>
    <cellStyle name="Output 2 9 15 3" xfId="14777"/>
    <cellStyle name="Input 2 10 3 3 2" xfId="14778"/>
    <cellStyle name="Input 2 10 3 3 2 2" xfId="14779"/>
    <cellStyle name="Input 2 10 3 3 2 3" xfId="14780"/>
    <cellStyle name="Input 2 10 3 3 3" xfId="14781"/>
    <cellStyle name="Input 2 10 3 3 3 2" xfId="14782"/>
    <cellStyle name="Input 2 10 3 3 3 3" xfId="14783"/>
    <cellStyle name="Input 2 10 3 3 3 4" xfId="14784"/>
    <cellStyle name="Note 2 10 3 3 3 2" xfId="14785"/>
    <cellStyle name="Input 2 10 3 3 4" xfId="14786"/>
    <cellStyle name="Input 2 10 3 3 4 2" xfId="14787"/>
    <cellStyle name="Input 2 10 3 3 4 3" xfId="14788"/>
    <cellStyle name="Input 2 10 3 3 5" xfId="14789"/>
    <cellStyle name="Input 2 10 3 3 5 2" xfId="14790"/>
    <cellStyle name="Input 2 10 3 3 5 3" xfId="14791"/>
    <cellStyle name="Input 2 10 3 3 6" xfId="14792"/>
    <cellStyle name="Output 2 2 6 2 2" xfId="14793"/>
    <cellStyle name="Input 2 10 3 3 7" xfId="14794"/>
    <cellStyle name="Output 2 2 6 2 3" xfId="14795"/>
    <cellStyle name="Input 2 10 3 4" xfId="14796"/>
    <cellStyle name="Total 2 7 2 12" xfId="14797"/>
    <cellStyle name="Output 2 8 2 7 2 4" xfId="14798"/>
    <cellStyle name="Input 2 10 3 4 2" xfId="14799"/>
    <cellStyle name="Input 2 10 3 4 2 2" xfId="14800"/>
    <cellStyle name="Output 2 9 3 2 2 3" xfId="14801"/>
    <cellStyle name="Input 2 10 3 4 2 3" xfId="14802"/>
    <cellStyle name="Output 2 9 3 2 2 4" xfId="14803"/>
    <cellStyle name="Input 2 10 3 4 2 4" xfId="14804"/>
    <cellStyle name="Note 2 10 3 4 2 2" xfId="14805"/>
    <cellStyle name="Input 2 10 3 4 3" xfId="14806"/>
    <cellStyle name="Input 2 10 3 4 3 2" xfId="14807"/>
    <cellStyle name="Output 2 9 3 2 3 3" xfId="14808"/>
    <cellStyle name="Input 2 10 3 4 3 3" xfId="14809"/>
    <cellStyle name="Output 2 9 3 2 3 4" xfId="14810"/>
    <cellStyle name="Input 2 10 3 4 3 4" xfId="14811"/>
    <cellStyle name="Note 2 10 3 4 3 2" xfId="14812"/>
    <cellStyle name="Input 2 10 3 4 4" xfId="14813"/>
    <cellStyle name="Input 2 10 3 4 4 2" xfId="14814"/>
    <cellStyle name="Output 2 9 3 2 4 3" xfId="14815"/>
    <cellStyle name="Input 2 10 3 4 4 3" xfId="14816"/>
    <cellStyle name="Input 2 10 3 4 5" xfId="14817"/>
    <cellStyle name="Note 2 15 10" xfId="14818"/>
    <cellStyle name="Input 2 10 3 4 5 2" xfId="14819"/>
    <cellStyle name="Note 2 15 10 2" xfId="14820"/>
    <cellStyle name="Output 2 9 3 2 5 3" xfId="14821"/>
    <cellStyle name="Input 2 10 3 4 5 3" xfId="14822"/>
    <cellStyle name="Note 2 15 10 3" xfId="14823"/>
    <cellStyle name="Input 2 10 3 4 6" xfId="14824"/>
    <cellStyle name="Note 2 15 11" xfId="14825"/>
    <cellStyle name="Output 2 2 6 3 2" xfId="14826"/>
    <cellStyle name="Input 2 10 3 4 7" xfId="14827"/>
    <cellStyle name="Note 2 15 12" xfId="14828"/>
    <cellStyle name="Output 2 2 6 3 3" xfId="14829"/>
    <cellStyle name="Input 2 10 3 5" xfId="14830"/>
    <cellStyle name="Input 2 10 3 5 2" xfId="14831"/>
    <cellStyle name="Note 2 3 3 9 2 4" xfId="14832"/>
    <cellStyle name="Input 2 14 10 7" xfId="14833"/>
    <cellStyle name="Input 2 10 3 5 2 2" xfId="14834"/>
    <cellStyle name="Output 2 10 13 3" xfId="14835"/>
    <cellStyle name="Output 2 9 3 3 2 3" xfId="14836"/>
    <cellStyle name="Input 2 10 3 5 2 3" xfId="14837"/>
    <cellStyle name="Output 2 10 13 4" xfId="14838"/>
    <cellStyle name="Output 2 9 3 3 2 4" xfId="14839"/>
    <cellStyle name="Input 2 10 3 5 2 4" xfId="14840"/>
    <cellStyle name="Note 2 10 3 5 2 2" xfId="14841"/>
    <cellStyle name="Input 2 10 3 5 3" xfId="14842"/>
    <cellStyle name="Input 2 14 11 7" xfId="14843"/>
    <cellStyle name="Input 2 10 3 5 3 2" xfId="14844"/>
    <cellStyle name="Output 2 10 14 3" xfId="14845"/>
    <cellStyle name="Output 2 9 3 3 3 3" xfId="14846"/>
    <cellStyle name="Input 2 10 3 5 3 3" xfId="14847"/>
    <cellStyle name="Output 2 10 14 4" xfId="14848"/>
    <cellStyle name="Output 2 9 3 3 3 4" xfId="14849"/>
    <cellStyle name="Input 2 10 3 5 3 4" xfId="14850"/>
    <cellStyle name="Note 2 10 3 5 3 2" xfId="14851"/>
    <cellStyle name="Input 2 10 3 5 4" xfId="14852"/>
    <cellStyle name="Input 2 14 12 7" xfId="14853"/>
    <cellStyle name="Input 2 10 3 5 4 2" xfId="14854"/>
    <cellStyle name="Output 2 10 15 3" xfId="14855"/>
    <cellStyle name="Output 2 9 3 3 4 3" xfId="14856"/>
    <cellStyle name="Input 2 10 3 5 4 3" xfId="14857"/>
    <cellStyle name="Input 2 10 3 5 5" xfId="14858"/>
    <cellStyle name="Input 2 10 3 5 5 2" xfId="14859"/>
    <cellStyle name="Output 2 10 16 3" xfId="14860"/>
    <cellStyle name="Input 2 7 2 12" xfId="14861"/>
    <cellStyle name="Output 2 9 3 3 5 3" xfId="14862"/>
    <cellStyle name="Input 2 10 3 5 5 3" xfId="14863"/>
    <cellStyle name="Input 2 7 2 13" xfId="14864"/>
    <cellStyle name="Input 2 10 3 5 6" xfId="14865"/>
    <cellStyle name="Output 2 2 6 4 2" xfId="14866"/>
    <cellStyle name="Input 2 10 3 5 7" xfId="14867"/>
    <cellStyle name="Output 2 2 6 4 3" xfId="14868"/>
    <cellStyle name="Input 2 10 3 6" xfId="14869"/>
    <cellStyle name="Input 2 10 3 6 2" xfId="14870"/>
    <cellStyle name="Note 2 3 3 9 3 4" xfId="14871"/>
    <cellStyle name="Input 2 10 3 6 2 2" xfId="14872"/>
    <cellStyle name="Output 2 9 3 4 2 3" xfId="14873"/>
    <cellStyle name="Input 2 10 3 6 2 3" xfId="14874"/>
    <cellStyle name="Output 2 9 3 4 2 4" xfId="14875"/>
    <cellStyle name="Input 2 10 3 6 2 4" xfId="14876"/>
    <cellStyle name="Note 2 10 3 6 2 2" xfId="14877"/>
    <cellStyle name="Input 2 10 3 6 3" xfId="14878"/>
    <cellStyle name="Input 2 10 3 6 3 2" xfId="14879"/>
    <cellStyle name="Output 2 9 3 4 3 3" xfId="14880"/>
    <cellStyle name="Input 2 10 3 6 3 3" xfId="14881"/>
    <cellStyle name="Output 2 9 3 4 3 4" xfId="14882"/>
    <cellStyle name="Input 2 10 3 6 3 4" xfId="14883"/>
    <cellStyle name="Note 2 10 3 6 3 2" xfId="14884"/>
    <cellStyle name="Input 2 10 3 6 4" xfId="14885"/>
    <cellStyle name="Input 2 10 3 6 4 2" xfId="14886"/>
    <cellStyle name="Output 2 9 3 4 4 3" xfId="14887"/>
    <cellStyle name="Input 2 10 3 6 4 3" xfId="14888"/>
    <cellStyle name="Input 2 10 3 6 5" xfId="14889"/>
    <cellStyle name="Input 2 10 3 6 5 2" xfId="14890"/>
    <cellStyle name="Output 2 9 3 4 5 3" xfId="14891"/>
    <cellStyle name="Input 2 10 3 6 5 3" xfId="14892"/>
    <cellStyle name="Input 2 10 3 6 7" xfId="14893"/>
    <cellStyle name="Output 2 2 6 5 3" xfId="14894"/>
    <cellStyle name="Input 2 10 3 7 2" xfId="14895"/>
    <cellStyle name="Input 2 12 2 2 2 4" xfId="14896"/>
    <cellStyle name="Note 2 12 2 2 2 2" xfId="14897"/>
    <cellStyle name="Input 2 10 3 7 2 4" xfId="14898"/>
    <cellStyle name="Note 2 10 3 7 2 2" xfId="14899"/>
    <cellStyle name="Input 2 10 3 7 3" xfId="14900"/>
    <cellStyle name="Note 2 12 2 2 2 3" xfId="14901"/>
    <cellStyle name="Input 2 10 3 7 3 3" xfId="14902"/>
    <cellStyle name="Output 2 9 3 5 3 4" xfId="14903"/>
    <cellStyle name="Input 2 10 3 7 3 4" xfId="14904"/>
    <cellStyle name="Note 2 10 3 7 3 2" xfId="14905"/>
    <cellStyle name="Input 2 10 3 7 4" xfId="14906"/>
    <cellStyle name="Note 2 12 2 2 2 4" xfId="14907"/>
    <cellStyle name="Input 2 10 3 7 4 3" xfId="14908"/>
    <cellStyle name="Input 2 10 3 7 5" xfId="14909"/>
    <cellStyle name="Input 2 10 3 7 5 2" xfId="14910"/>
    <cellStyle name="Output 2 9 3 5 5 3" xfId="14911"/>
    <cellStyle name="Input 2 10 3 7 5 3" xfId="14912"/>
    <cellStyle name="Input 2 10 3 7 6" xfId="14913"/>
    <cellStyle name="Output 2 2 6 6 2" xfId="14914"/>
    <cellStyle name="Input 2 10 3 7 7" xfId="14915"/>
    <cellStyle name="Input 2 10 3 8 2" xfId="14916"/>
    <cellStyle name="Input 2 12 2 2 3 4" xfId="14917"/>
    <cellStyle name="Note 2 12 2 2 3 2" xfId="14918"/>
    <cellStyle name="Input 2 10 3 8 2 2" xfId="14919"/>
    <cellStyle name="Output 2 9 3 6 2 3" xfId="14920"/>
    <cellStyle name="Input 2 10 3 8 2 3" xfId="14921"/>
    <cellStyle name="Output 2 9 3 6 2 4" xfId="14922"/>
    <cellStyle name="Input 2 10 3 8 2 4" xfId="14923"/>
    <cellStyle name="Note 2 10 3 8 2 2" xfId="14924"/>
    <cellStyle name="Input 2 10 3 8 3" xfId="14925"/>
    <cellStyle name="Note 2 12 2 2 3 3" xfId="14926"/>
    <cellStyle name="Input 2 10 3 8 3 4" xfId="14927"/>
    <cellStyle name="Note 2 10 3 8 3 2" xfId="14928"/>
    <cellStyle name="Input 2 10 3 8 4" xfId="14929"/>
    <cellStyle name="Note 2 12 2 2 3 4" xfId="14930"/>
    <cellStyle name="Input 2 10 3 8 4 2" xfId="14931"/>
    <cellStyle name="Output 2 9 3 6 4 3" xfId="14932"/>
    <cellStyle name="Input 2 10 3 8 4 3" xfId="14933"/>
    <cellStyle name="Input 2 10 3 8 5" xfId="14934"/>
    <cellStyle name="Input 2 10 3 8 5 3" xfId="14935"/>
    <cellStyle name="Input 2 10 3 8 6" xfId="14936"/>
    <cellStyle name="Input 2 10 3 8 7" xfId="14937"/>
    <cellStyle name="Input 2 10 3 9" xfId="14938"/>
    <cellStyle name="Note 2 12 2 2 4" xfId="14939"/>
    <cellStyle name="Input 2 10 3 9 2" xfId="14940"/>
    <cellStyle name="Note 2 12 2 2 4 2" xfId="14941"/>
    <cellStyle name="Output 2 15" xfId="14942"/>
    <cellStyle name="Output 2 20" xfId="14943"/>
    <cellStyle name="Input 2 10 3 9 2 2" xfId="14944"/>
    <cellStyle name="Output 2 15 2" xfId="14945"/>
    <cellStyle name="Output 2 20 2" xfId="14946"/>
    <cellStyle name="Output 2 9 3 7 2 3" xfId="14947"/>
    <cellStyle name="Input 2 10 3 9 2 3" xfId="14948"/>
    <cellStyle name="Output 2 15 3" xfId="14949"/>
    <cellStyle name="Output 2 20 3" xfId="14950"/>
    <cellStyle name="Output 2 9 3 7 2 4" xfId="14951"/>
    <cellStyle name="Input 2 10 3 9 2 4" xfId="14952"/>
    <cellStyle name="Note 2 10 3 9 2 2" xfId="14953"/>
    <cellStyle name="Output 2 15 4" xfId="14954"/>
    <cellStyle name="Output 2 20 4" xfId="14955"/>
    <cellStyle name="Input 2 10 3 9 3" xfId="14956"/>
    <cellStyle name="Note 2 12 2 2 4 3" xfId="14957"/>
    <cellStyle name="Output 2 16" xfId="14958"/>
    <cellStyle name="Output 2 21" xfId="14959"/>
    <cellStyle name="Input 2 10 3 9 3 2" xfId="14960"/>
    <cellStyle name="Output 2 16 2" xfId="14961"/>
    <cellStyle name="Output 2 21 2" xfId="14962"/>
    <cellStyle name="Output 2 9 3 7 3 3" xfId="14963"/>
    <cellStyle name="Input 2 10 3 9 3 3" xfId="14964"/>
    <cellStyle name="Output 2 16 3" xfId="14965"/>
    <cellStyle name="Output 2 21 3" xfId="14966"/>
    <cellStyle name="Output 2 9 3 7 3 4" xfId="14967"/>
    <cellStyle name="Input 2 10 3 9 3 4" xfId="14968"/>
    <cellStyle name="Note 2 10 3 9 3 2" xfId="14969"/>
    <cellStyle name="Output 2 16 4" xfId="14970"/>
    <cellStyle name="Output 2 21 4" xfId="14971"/>
    <cellStyle name="Input 2 10 3 9 4" xfId="14972"/>
    <cellStyle name="Output 2 17" xfId="14973"/>
    <cellStyle name="Output 2 22" xfId="14974"/>
    <cellStyle name="Input 2 10 3 9 4 2" xfId="14975"/>
    <cellStyle name="Output 2 17 2" xfId="14976"/>
    <cellStyle name="Output 2 22 2" xfId="14977"/>
    <cellStyle name="Output 2 9 3 7 4 3" xfId="14978"/>
    <cellStyle name="Input 2 10 3 9 4 3" xfId="14979"/>
    <cellStyle name="Output 2 17 3" xfId="14980"/>
    <cellStyle name="Output 2 22 3" xfId="14981"/>
    <cellStyle name="Input 2 10 3 9 5" xfId="14982"/>
    <cellStyle name="Note 2 16 10" xfId="14983"/>
    <cellStyle name="Output 2 18" xfId="14984"/>
    <cellStyle name="Output 2 23" xfId="14985"/>
    <cellStyle name="Input 2 10 3 9 5 2" xfId="14986"/>
    <cellStyle name="Output 2 18 2" xfId="14987"/>
    <cellStyle name="Output 2 23 2" xfId="14988"/>
    <cellStyle name="Note 2 16 10 2" xfId="14989"/>
    <cellStyle name="Output 2 9 3 7 5 3" xfId="14990"/>
    <cellStyle name="Input 2 10 3 9 5 3" xfId="14991"/>
    <cellStyle name="Note 2 16 10 3" xfId="14992"/>
    <cellStyle name="Output 2 18 3" xfId="14993"/>
    <cellStyle name="Output 2 23 3" xfId="14994"/>
    <cellStyle name="Input 2 10 3 9 6" xfId="14995"/>
    <cellStyle name="Note 2 16 11" xfId="14996"/>
    <cellStyle name="Output 2 19" xfId="14997"/>
    <cellStyle name="Output 2 24" xfId="14998"/>
    <cellStyle name="Input 2 10 3 9 7" xfId="14999"/>
    <cellStyle name="Note 2 16 12" xfId="15000"/>
    <cellStyle name="Note 2 3 7 2 2" xfId="15001"/>
    <cellStyle name="Output 2 25" xfId="15002"/>
    <cellStyle name="Output 2 30" xfId="15003"/>
    <cellStyle name="Input 2 10 5 5" xfId="15004"/>
    <cellStyle name="Output 2 15 8 2 2" xfId="15005"/>
    <cellStyle name="Input 2 10 5 5 2" xfId="15006"/>
    <cellStyle name="Input 2 10 5 5 3" xfId="15007"/>
    <cellStyle name="Input 2 10 5 7" xfId="15008"/>
    <cellStyle name="Input 2 3 3 3" xfId="15009"/>
    <cellStyle name="Input 3" xfId="15010"/>
    <cellStyle name="Note 2 12 2 4 2" xfId="15011"/>
    <cellStyle name="Output 2 15 8 2 4" xfId="15012"/>
    <cellStyle name="Input 2 10 6 2 2" xfId="15013"/>
    <cellStyle name="Input 2 10 6 2 3" xfId="15014"/>
    <cellStyle name="Input 2 10 6 2 4" xfId="15015"/>
    <cellStyle name="Input 2 10 6 3" xfId="15016"/>
    <cellStyle name="Output 2 8 2 7 5 3" xfId="15017"/>
    <cellStyle name="Input 2 10 6 3 2" xfId="15018"/>
    <cellStyle name="Input 2 10 6 3 3" xfId="15019"/>
    <cellStyle name="Input 2 10 6 3 4" xfId="15020"/>
    <cellStyle name="Input 2 10 6 4" xfId="15021"/>
    <cellStyle name="Input 2 10 6 4 2" xfId="15022"/>
    <cellStyle name="Input 2 10 6 4 3" xfId="15023"/>
    <cellStyle name="Input 2 10 6 5" xfId="15024"/>
    <cellStyle name="Output 2 15 8 3 2" xfId="15025"/>
    <cellStyle name="Input 2 10 6 5 2" xfId="15026"/>
    <cellStyle name="Input 2 10 6 5 3" xfId="15027"/>
    <cellStyle name="Input 2 10 6 6" xfId="15028"/>
    <cellStyle name="Input 2 3 4 2" xfId="15029"/>
    <cellStyle name="Output 2 15 8 3 3" xfId="15030"/>
    <cellStyle name="Input 2 10 6 7" xfId="15031"/>
    <cellStyle name="Input 2 3 4 3" xfId="15032"/>
    <cellStyle name="Note 2 12 2 5 2" xfId="15033"/>
    <cellStyle name="Output 2 15 8 3 4" xfId="15034"/>
    <cellStyle name="Output 2 9 8 2 2" xfId="15035"/>
    <cellStyle name="Input 2 10 7" xfId="15036"/>
    <cellStyle name="Output 2 8 2 7 6" xfId="15037"/>
    <cellStyle name="Output 2 9 19" xfId="15038"/>
    <cellStyle name="Input 2 10 7 2 2" xfId="15039"/>
    <cellStyle name="Input 2 10 7 2 3" xfId="15040"/>
    <cellStyle name="Input 2 10 7 2 4" xfId="15041"/>
    <cellStyle name="Note 2 7 2 2 3 2" xfId="15042"/>
    <cellStyle name="Input 2 10 7 3" xfId="15043"/>
    <cellStyle name="Input 2 10 7 3 2" xfId="15044"/>
    <cellStyle name="Input 2 10 7 3 3" xfId="15045"/>
    <cellStyle name="Input 2 10 7 3 4" xfId="15046"/>
    <cellStyle name="Note 2 7 2 2 4 2" xfId="15047"/>
    <cellStyle name="Input 2 10 7 4" xfId="15048"/>
    <cellStyle name="Input 2 10 7 4 2" xfId="15049"/>
    <cellStyle name="Input 2 10 7 4 3" xfId="15050"/>
    <cellStyle name="Input 2 10 7 5" xfId="15051"/>
    <cellStyle name="Output 2 15 8 4 2" xfId="15052"/>
    <cellStyle name="Input 2 10 7 5 2" xfId="15053"/>
    <cellStyle name="Input 2 10 7 5 3" xfId="15054"/>
    <cellStyle name="Input 2 10 7 6" xfId="15055"/>
    <cellStyle name="Input 2 3 5 2" xfId="15056"/>
    <cellStyle name="Output 2 15 8 4 3" xfId="15057"/>
    <cellStyle name="Input 2 10 7 7" xfId="15058"/>
    <cellStyle name="Input 2 3 5 3" xfId="15059"/>
    <cellStyle name="Note 2 12 2 6 2" xfId="15060"/>
    <cellStyle name="Output 2 9 8 3 2" xfId="15061"/>
    <cellStyle name="Input 2 10 8" xfId="15062"/>
    <cellStyle name="Output 2 8 2 7 7" xfId="15063"/>
    <cellStyle name="Input 2 10 8 2 2" xfId="15064"/>
    <cellStyle name="Input 2 10 8 2 3" xfId="15065"/>
    <cellStyle name="Input 2 10 8 2 4" xfId="15066"/>
    <cellStyle name="Total 2 7 3 10 4" xfId="15067"/>
    <cellStyle name="Note 2 7 2 3 3 2" xfId="15068"/>
    <cellStyle name="Input 2 10 8 3" xfId="15069"/>
    <cellStyle name="Note 2 2 6 2 2 2" xfId="15070"/>
    <cellStyle name="Input 2 10 8 3 2" xfId="15071"/>
    <cellStyle name="Note 2 2 6 2 2 2 2" xfId="15072"/>
    <cellStyle name="Input 2 10 8 3 3" xfId="15073"/>
    <cellStyle name="Note 2 2 6 2 2 2 3" xfId="15074"/>
    <cellStyle name="Input 2 10 8 3 4" xfId="15075"/>
    <cellStyle name="Total 2 7 3 11 4" xfId="15076"/>
    <cellStyle name="Note 2 7 2 3 4 2" xfId="15077"/>
    <cellStyle name="Input 2 10 8 4" xfId="15078"/>
    <cellStyle name="Note 2 2 6 2 2 3" xfId="15079"/>
    <cellStyle name="Input 2 10 8 4 2" xfId="15080"/>
    <cellStyle name="Input 2 10 8 4 3" xfId="15081"/>
    <cellStyle name="Input 2 10 8 5" xfId="15082"/>
    <cellStyle name="Output 2 15 8 5 2" xfId="15083"/>
    <cellStyle name="Input 2 10 8 5 2" xfId="15084"/>
    <cellStyle name="Input 2 10 8 5 3" xfId="15085"/>
    <cellStyle name="Input 2 10 8 6" xfId="15086"/>
    <cellStyle name="Input 2 3 6 2" xfId="15087"/>
    <cellStyle name="Output 2 15 8 5 3" xfId="15088"/>
    <cellStyle name="Input 2 10 8 7" xfId="15089"/>
    <cellStyle name="Input 2 3 6 3" xfId="15090"/>
    <cellStyle name="Note 2 12 2 7 2" xfId="15091"/>
    <cellStyle name="Output 2 9 8 4 2" xfId="15092"/>
    <cellStyle name="Input 2 10 9" xfId="15093"/>
    <cellStyle name="Input 2 10 9 2 2" xfId="15094"/>
    <cellStyle name="Input 2 10 9 2 3" xfId="15095"/>
    <cellStyle name="Input 2 10 9 2 4" xfId="15096"/>
    <cellStyle name="Note 2 7 2 4 3 2" xfId="15097"/>
    <cellStyle name="Input 2 10 9 3" xfId="15098"/>
    <cellStyle name="Note 2 2 6 2 3 2" xfId="15099"/>
    <cellStyle name="Input 2 10 9 3 2" xfId="15100"/>
    <cellStyle name="Input 2 10 9 3 3" xfId="15101"/>
    <cellStyle name="Input 2 10 9 3 4" xfId="15102"/>
    <cellStyle name="Note 2 7 2 4 4 2" xfId="15103"/>
    <cellStyle name="Input 2 10 9 4" xfId="15104"/>
    <cellStyle name="Input 2 10 9 4 2" xfId="15105"/>
    <cellStyle name="Input 2 10 9 4 3" xfId="15106"/>
    <cellStyle name="Input 2 11" xfId="15107"/>
    <cellStyle name="Note 2 10 3 10 7" xfId="15108"/>
    <cellStyle name="Input 2 11 10" xfId="15109"/>
    <cellStyle name="Note 2 4 2 7 4" xfId="15110"/>
    <cellStyle name="Input 2 11 10 2" xfId="15111"/>
    <cellStyle name="Input 2 7 3 5 2 4" xfId="15112"/>
    <cellStyle name="Note 2 4 2 7 4 2" xfId="15113"/>
    <cellStyle name="Input 2 11 10 2 3" xfId="15114"/>
    <cellStyle name="Input 2 11 10 2 4" xfId="15115"/>
    <cellStyle name="Output 2 10 2 7 2" xfId="15116"/>
    <cellStyle name="Input 2 11 10 3 3" xfId="15117"/>
    <cellStyle name="Input 2 11 10 3 4" xfId="15118"/>
    <cellStyle name="Output 2 10 2 8 2" xfId="15119"/>
    <cellStyle name="Input 2 11 10 4" xfId="15120"/>
    <cellStyle name="Input 2 11 10 4 2" xfId="15121"/>
    <cellStyle name="Input 2 11 10 4 3" xfId="15122"/>
    <cellStyle name="Input 2 11 10 5" xfId="15123"/>
    <cellStyle name="Input 2 11 10 5 2" xfId="15124"/>
    <cellStyle name="Input 2 11 10 5 3" xfId="15125"/>
    <cellStyle name="Input 2 11 10 6" xfId="15126"/>
    <cellStyle name="Input 2 11 10 7" xfId="15127"/>
    <cellStyle name="Note 2 4 3 7 2" xfId="15128"/>
    <cellStyle name="Input 2 11 11 4 2" xfId="15129"/>
    <cellStyle name="Input 2 11 11 5" xfId="15130"/>
    <cellStyle name="Input 2 11 11 5 2" xfId="15131"/>
    <cellStyle name="Input 2 11 11 6" xfId="15132"/>
    <cellStyle name="Input 2 11 11 7" xfId="15133"/>
    <cellStyle name="Note 2 4 3 8 2" xfId="15134"/>
    <cellStyle name="Input 2 11 12 4 2" xfId="15135"/>
    <cellStyle name="Input 2 11 12 5" xfId="15136"/>
    <cellStyle name="Input 2 11 12 5 2" xfId="15137"/>
    <cellStyle name="Input 2 11 12 6" xfId="15138"/>
    <cellStyle name="Input 2 11 12 7" xfId="15139"/>
    <cellStyle name="Note 2 4 3 9 2" xfId="15140"/>
    <cellStyle name="Input 2 11 13 4" xfId="15141"/>
    <cellStyle name="Input 2 12 2 9" xfId="15142"/>
    <cellStyle name="Input 2 12 3 9" xfId="15143"/>
    <cellStyle name="Input 2 11 14 4" xfId="15144"/>
    <cellStyle name="Note 2 12 4 2 4" xfId="15145"/>
    <cellStyle name="Input 2 12 4 7" xfId="15146"/>
    <cellStyle name="Input 2 5 2 3" xfId="15147"/>
    <cellStyle name="Input 2 11 15 2" xfId="15148"/>
    <cellStyle name="Note 2 12 4 3 2" xfId="15149"/>
    <cellStyle name="Total 2 13 7 2 2" xfId="15150"/>
    <cellStyle name="Input 2 5 2 4" xfId="15151"/>
    <cellStyle name="Input 2 11 15 3" xfId="15152"/>
    <cellStyle name="Note 2 12 4 3 3" xfId="15153"/>
    <cellStyle name="Input 2 12 6 7" xfId="15154"/>
    <cellStyle name="Input 2 5 4 3" xfId="15155"/>
    <cellStyle name="Total 2 2 3 9 2 4" xfId="15156"/>
    <cellStyle name="Note 2 12 3 11 2" xfId="15157"/>
    <cellStyle name="Input 2 11 17 2" xfId="15158"/>
    <cellStyle name="Note 2 12 4 5 2" xfId="15159"/>
    <cellStyle name="Input 2 11 17 2 2" xfId="15160"/>
    <cellStyle name="Input 2 5 4 3 2" xfId="15161"/>
    <cellStyle name="Input 2 11 2" xfId="15162"/>
    <cellStyle name="Output 2 14 2 9 3" xfId="15163"/>
    <cellStyle name="Input 2 11 2 10 2" xfId="15164"/>
    <cellStyle name="Input 2 11 2 10 2 2" xfId="15165"/>
    <cellStyle name="Input 2 11 2 10 2 3" xfId="15166"/>
    <cellStyle name="Input 2 7 6 3 2" xfId="15167"/>
    <cellStyle name="Note 2 2 3 5 4 2" xfId="15168"/>
    <cellStyle name="Input 2 11 2 10 2 4" xfId="15169"/>
    <cellStyle name="Input 2 7 6 3 3" xfId="15170"/>
    <cellStyle name="Note 2 2 3 5 4 3" xfId="15171"/>
    <cellStyle name="Input 2 11 2 10 3" xfId="15172"/>
    <cellStyle name="Input 2 11 2 10 3 2" xfId="15173"/>
    <cellStyle name="Input 2 11 2 10 3 3" xfId="15174"/>
    <cellStyle name="Input 2 7 6 4 2" xfId="15175"/>
    <cellStyle name="Note 2 2 3 5 5 2" xfId="15176"/>
    <cellStyle name="Input 2 11 2 10 3 4" xfId="15177"/>
    <cellStyle name="Input 2 7 6 4 3" xfId="15178"/>
    <cellStyle name="Note 2 2 3 5 5 3" xfId="15179"/>
    <cellStyle name="Input 2 11 2 10 4" xfId="15180"/>
    <cellStyle name="Input 2 11 2 10 4 2" xfId="15181"/>
    <cellStyle name="Input 2 11 2 10 4 3" xfId="15182"/>
    <cellStyle name="Input 2 7 6 5 2" xfId="15183"/>
    <cellStyle name="Note 2 2 3 5 6 2" xfId="15184"/>
    <cellStyle name="Input 2 11 2 10 5" xfId="15185"/>
    <cellStyle name="Input 2 11 2 10 5 2" xfId="15186"/>
    <cellStyle name="Input 2 11 2 10 5 3" xfId="15187"/>
    <cellStyle name="Input 2 11 2 11" xfId="15188"/>
    <cellStyle name="Note 2 13 3 2 5 2" xfId="15189"/>
    <cellStyle name="Output 2 3 2 5 7" xfId="15190"/>
    <cellStyle name="Input 2 11 2 11 2" xfId="15191"/>
    <cellStyle name="Input 2 11 2 11 3" xfId="15192"/>
    <cellStyle name="Input 2 11 2 11 4" xfId="15193"/>
    <cellStyle name="Input 2 11 2 12" xfId="15194"/>
    <cellStyle name="Note 2 13 3 2 5 3" xfId="15195"/>
    <cellStyle name="Input 2 11 2 12 2" xfId="15196"/>
    <cellStyle name="Input 2 11 2 12 3" xfId="15197"/>
    <cellStyle name="Input 2 11 2 12 4" xfId="15198"/>
    <cellStyle name="Input 2 11 2 13" xfId="15199"/>
    <cellStyle name="Input 2 11 2 13 2" xfId="15200"/>
    <cellStyle name="Input 2 11 2 13 3" xfId="15201"/>
    <cellStyle name="Input 2 11 2 14" xfId="15202"/>
    <cellStyle name="Input 2 11 2 14 2" xfId="15203"/>
    <cellStyle name="Input 2 11 2 14 3" xfId="15204"/>
    <cellStyle name="Input 2 11 2 15" xfId="15205"/>
    <cellStyle name="Input 2 11 2 16" xfId="15206"/>
    <cellStyle name="Input 2 15 4 3 2" xfId="15207"/>
    <cellStyle name="Input 2 11 2 2" xfId="15208"/>
    <cellStyle name="Output 2 14 2 9 3 2" xfId="15209"/>
    <cellStyle name="Input 2 11 2 2 2 2" xfId="15210"/>
    <cellStyle name="Note 2 2 3 9 4 2" xfId="15211"/>
    <cellStyle name="Input 2 11 2 2 2 3" xfId="15212"/>
    <cellStyle name="Note 2 2 3 9 4 3" xfId="15213"/>
    <cellStyle name="Input 2 11 2 2 2 4" xfId="15214"/>
    <cellStyle name="Note 2 11 2 2 2 2" xfId="15215"/>
    <cellStyle name="Input 2 11 2 2 3 2" xfId="15216"/>
    <cellStyle name="Note 2 2 3 9 5 2" xfId="15217"/>
    <cellStyle name="Input 2 11 2 2 3 3" xfId="15218"/>
    <cellStyle name="Note 2 2 3 9 5 3" xfId="15219"/>
    <cellStyle name="Input 2 11 2 2 3 4" xfId="15220"/>
    <cellStyle name="Note 2 11 2 2 3 2" xfId="15221"/>
    <cellStyle name="Input 2 11 2 2 4" xfId="15222"/>
    <cellStyle name="Note 2 2 3 9 6" xfId="15223"/>
    <cellStyle name="Output 2 6 2 3 4 2" xfId="15224"/>
    <cellStyle name="Input 2 11 2 2 4 2" xfId="15225"/>
    <cellStyle name="Note 2 2 3 9 6 2" xfId="15226"/>
    <cellStyle name="Input 2 11 2 2 4 3" xfId="15227"/>
    <cellStyle name="Input 2 11 2 2 5" xfId="15228"/>
    <cellStyle name="Note 2 2 3 9 7" xfId="15229"/>
    <cellStyle name="Output 2 2 2 2 6 2 2 2" xfId="15230"/>
    <cellStyle name="Output 2 6 2 3 4 3" xfId="15231"/>
    <cellStyle name="Input 2 11 2 2 5 2" xfId="15232"/>
    <cellStyle name="Input 2 11 2 2 5 3" xfId="15233"/>
    <cellStyle name="Output 2 7 3 10 2" xfId="15234"/>
    <cellStyle name="Input 2 11 2 2 6" xfId="15235"/>
    <cellStyle name="Note 2 2 3 9 8" xfId="15236"/>
    <cellStyle name="Input 2 11 2 2 7" xfId="15237"/>
    <cellStyle name="Input 2 11 2 3" xfId="15238"/>
    <cellStyle name="Output 2 14 2 9 3 3" xfId="15239"/>
    <cellStyle name="Input 2 11 2 3 2 2" xfId="15240"/>
    <cellStyle name="Input 2 11 2 3 2 3" xfId="15241"/>
    <cellStyle name="Input 2 11 2 3 3 2" xfId="15242"/>
    <cellStyle name="Normal 2 2 2 3" xfId="15243"/>
    <cellStyle name="Input 2 11 2 3 3 3" xfId="15244"/>
    <cellStyle name="Normal 2 2 2 4" xfId="15245"/>
    <cellStyle name="Input 2 11 2 3 3 4" xfId="15246"/>
    <cellStyle name="Normal 2 2 2 5" xfId="15247"/>
    <cellStyle name="Note 2 11 2 3 3 2" xfId="15248"/>
    <cellStyle name="Input 2 11 2 3 4" xfId="15249"/>
    <cellStyle name="Output 2 6 2 3 5 2" xfId="15250"/>
    <cellStyle name="Input 2 11 2 3 4 2" xfId="15251"/>
    <cellStyle name="Normal 2 2 3 3" xfId="15252"/>
    <cellStyle name="Input 2 11 2 3 4 3" xfId="15253"/>
    <cellStyle name="Normal 2 2 3 4" xfId="15254"/>
    <cellStyle name="Input 2 11 2 3 5" xfId="15255"/>
    <cellStyle name="Output 2 6 2 3 5 3" xfId="15256"/>
    <cellStyle name="Input 2 11 2 3 5 2" xfId="15257"/>
    <cellStyle name="Normal 2 2 4 3" xfId="15258"/>
    <cellStyle name="Input 2 11 2 3 5 3" xfId="15259"/>
    <cellStyle name="Input 2 11 2 3 6" xfId="15260"/>
    <cellStyle name="Output 2 3 5 2 2" xfId="15261"/>
    <cellStyle name="Input 2 11 2 3 7" xfId="15262"/>
    <cellStyle name="Output 2 3 5 2 3" xfId="15263"/>
    <cellStyle name="Input 2 11 2 4" xfId="15264"/>
    <cellStyle name="Output 2 14 2 9 3 4" xfId="15265"/>
    <cellStyle name="Input 2 11 2 4 2 2" xfId="15266"/>
    <cellStyle name="Input 2 11 2 4 2 3" xfId="15267"/>
    <cellStyle name="Input 2 11 2 4 2 4" xfId="15268"/>
    <cellStyle name="Note 2 11 2 4 2 2" xfId="15269"/>
    <cellStyle name="Input 2 11 2 4 3 2" xfId="15270"/>
    <cellStyle name="Normal 2 3 2 3" xfId="15271"/>
    <cellStyle name="Input 2 11 2 4 3 3" xfId="15272"/>
    <cellStyle name="Normal 2 3 2 4" xfId="15273"/>
    <cellStyle name="Input 2 11 2 4 3 4" xfId="15274"/>
    <cellStyle name="Normal 2 3 2 5" xfId="15275"/>
    <cellStyle name="Note 2 11 2 4 3 2" xfId="15276"/>
    <cellStyle name="Input 2 11 2 4 4" xfId="15277"/>
    <cellStyle name="Input 2 11 2 4 4 2" xfId="15278"/>
    <cellStyle name="Normal 2 3 3 3" xfId="15279"/>
    <cellStyle name="Input 2 11 2 4 4 3" xfId="15280"/>
    <cellStyle name="Normal 2 3 3 4" xfId="15281"/>
    <cellStyle name="Input 2 11 2 4 5" xfId="15282"/>
    <cellStyle name="Input 2 11 2 4 5 2" xfId="15283"/>
    <cellStyle name="Normal 2 3 4 3" xfId="15284"/>
    <cellStyle name="Input 2 11 2 4 5 3" xfId="15285"/>
    <cellStyle name="Input 2 11 2 4 6" xfId="15286"/>
    <cellStyle name="Output 2 3 5 3 2" xfId="15287"/>
    <cellStyle name="Input 2 11 2 4 7" xfId="15288"/>
    <cellStyle name="Output 2 3 5 3 3" xfId="15289"/>
    <cellStyle name="Input 2 11 2 5" xfId="15290"/>
    <cellStyle name="Input 2 7 3 4 5 2" xfId="15291"/>
    <cellStyle name="Input 2 11 2 5 2 2" xfId="15292"/>
    <cellStyle name="Input 2 11 2 5 2 3" xfId="15293"/>
    <cellStyle name="Input 2 11 2 5 2 4" xfId="15294"/>
    <cellStyle name="Note 2 11 2 5 2 2" xfId="15295"/>
    <cellStyle name="Input 2 11 2 5 3 2" xfId="15296"/>
    <cellStyle name="Normal 2 4 2 3" xfId="15297"/>
    <cellStyle name="Input 2 11 2 5 3 3" xfId="15298"/>
    <cellStyle name="Normal 2 4 2 4" xfId="15299"/>
    <cellStyle name="Input 2 11 2 5 3 4" xfId="15300"/>
    <cellStyle name="Normal 2 4 2 5" xfId="15301"/>
    <cellStyle name="Note 2 11 2 5 3 2" xfId="15302"/>
    <cellStyle name="Input 2 11 2 5 4" xfId="15303"/>
    <cellStyle name="Output 2 2 2 6 6 2 2" xfId="15304"/>
    <cellStyle name="Input 2 11 2 5 4 2" xfId="15305"/>
    <cellStyle name="Normal 2 4 3 3" xfId="15306"/>
    <cellStyle name="Input 2 11 2 5 4 3" xfId="15307"/>
    <cellStyle name="Normal 2 4 3 4" xfId="15308"/>
    <cellStyle name="Input 2 11 2 5 5" xfId="15309"/>
    <cellStyle name="Input 2 11 2 5 6" xfId="15310"/>
    <cellStyle name="Output 2 3 5 4 2" xfId="15311"/>
    <cellStyle name="Input 2 11 2 5 7" xfId="15312"/>
    <cellStyle name="Output 2 3 5 4 3" xfId="15313"/>
    <cellStyle name="Input 2 11 2 6" xfId="15314"/>
    <cellStyle name="Input 2 7 3 4 5 3" xfId="15315"/>
    <cellStyle name="Input 2 11 2 6 2" xfId="15316"/>
    <cellStyle name="Input 2 11 2 6 2 2" xfId="15317"/>
    <cellStyle name="Input 2 11 2 6 2 3" xfId="15318"/>
    <cellStyle name="Input 2 11 2 6 2 4" xfId="15319"/>
    <cellStyle name="Note 2 11 2 6 2 2" xfId="15320"/>
    <cellStyle name="Input 2 11 2 6 3" xfId="15321"/>
    <cellStyle name="Input 2 11 2 6 3 2" xfId="15322"/>
    <cellStyle name="Input 2 11 2 6 3 3" xfId="15323"/>
    <cellStyle name="Input 2 11 2 6 4" xfId="15324"/>
    <cellStyle name="Input 2 11 2 6 4 2" xfId="15325"/>
    <cellStyle name="Input 2 11 2 6 4 3" xfId="15326"/>
    <cellStyle name="Input 2 11 2 6 5" xfId="15327"/>
    <cellStyle name="Input 2 11 2 6 5 2" xfId="15328"/>
    <cellStyle name="Input 2 11 2 6 5 3" xfId="15329"/>
    <cellStyle name="Input 2 11 2 6 6" xfId="15330"/>
    <cellStyle name="Output 2 3 5 5 2" xfId="15331"/>
    <cellStyle name="Input 2 11 2 6 7" xfId="15332"/>
    <cellStyle name="Output 2 3 5 5 3" xfId="15333"/>
    <cellStyle name="Input 2 11 2 7 2" xfId="15334"/>
    <cellStyle name="Input 2 11 2 7 2 2" xfId="15335"/>
    <cellStyle name="Input 2 11 2 7 2 3" xfId="15336"/>
    <cellStyle name="Input 2 11 2 7 2 4" xfId="15337"/>
    <cellStyle name="Note 2 11 2 7 2 2" xfId="15338"/>
    <cellStyle name="Input 2 11 2 7 3" xfId="15339"/>
    <cellStyle name="Input 2 11 2 7 3 2" xfId="15340"/>
    <cellStyle name="Input 2 11 2 7 3 3" xfId="15341"/>
    <cellStyle name="Input 2 11 2 7 3 4" xfId="15342"/>
    <cellStyle name="Note 2 11 2 7 3 2" xfId="15343"/>
    <cellStyle name="Input 2 11 2 7 4" xfId="15344"/>
    <cellStyle name="Input 2 11 2 7 4 2" xfId="15345"/>
    <cellStyle name="Input 2 11 2 7 4 3" xfId="15346"/>
    <cellStyle name="Input 2 11 2 7 5" xfId="15347"/>
    <cellStyle name="Input 2 11 2 7 5 2" xfId="15348"/>
    <cellStyle name="Input 2 11 2 7 5 3" xfId="15349"/>
    <cellStyle name="Input 2 11 2 7 6" xfId="15350"/>
    <cellStyle name="Input 2 11 2 7 7" xfId="15351"/>
    <cellStyle name="Input 2 11 2 8 2 2" xfId="15352"/>
    <cellStyle name="Input 2 11 2 8 3 2" xfId="15353"/>
    <cellStyle name="Input 2 11 2 8 3 3" xfId="15354"/>
    <cellStyle name="Input 2 11 2 8 3 4" xfId="15355"/>
    <cellStyle name="Note 2 11 2 8 3 2" xfId="15356"/>
    <cellStyle name="Input 2 11 2 8 4 2" xfId="15357"/>
    <cellStyle name="Input 2 11 2 8 4 3" xfId="15358"/>
    <cellStyle name="Input 2 11 2 8 5" xfId="15359"/>
    <cellStyle name="Input 2 11 2 8 5 2" xfId="15360"/>
    <cellStyle name="Input 2 11 2 8 5 3" xfId="15361"/>
    <cellStyle name="Input 2 11 2 8 6" xfId="15362"/>
    <cellStyle name="Input 2 11 2 8 7" xfId="15363"/>
    <cellStyle name="Input 2 11 2 9" xfId="15364"/>
    <cellStyle name="Input 2 11 3 10 5 2" xfId="15365"/>
    <cellStyle name="Input 2 11 2 9 2" xfId="15366"/>
    <cellStyle name="Input 2 11 2 9 2 2" xfId="15367"/>
    <cellStyle name="Input 2 11 2 9 2 3" xfId="15368"/>
    <cellStyle name="Input 2 11 2 9 2 4" xfId="15369"/>
    <cellStyle name="Note 2 11 2 9 2 2" xfId="15370"/>
    <cellStyle name="Input 2 11 2 9 3" xfId="15371"/>
    <cellStyle name="Input 2 11 2 9 3 2" xfId="15372"/>
    <cellStyle name="Input 2 11 2 9 3 3" xfId="15373"/>
    <cellStyle name="Input 2 11 2 9 3 4" xfId="15374"/>
    <cellStyle name="Note 2 11 2 9 3 2" xfId="15375"/>
    <cellStyle name="Input 2 11 2 9 4" xfId="15376"/>
    <cellStyle name="Input 2 11 2 9 4 2" xfId="15377"/>
    <cellStyle name="Input 2 11 2 9 4 3" xfId="15378"/>
    <cellStyle name="Input 2 11 2 9 5" xfId="15379"/>
    <cellStyle name="Input 2 11 2 9 5 2" xfId="15380"/>
    <cellStyle name="Input 2 11 2 9 5 3" xfId="15381"/>
    <cellStyle name="Input 2 11 2 9 6" xfId="15382"/>
    <cellStyle name="Input 2 11 2 9 7" xfId="15383"/>
    <cellStyle name="Total 2 3 2 10 2" xfId="15384"/>
    <cellStyle name="Note 2 4 6 2 2" xfId="15385"/>
    <cellStyle name="Input 2 11 3 10 2 2" xfId="15386"/>
    <cellStyle name="Input 2 11 3 10 2 3" xfId="15387"/>
    <cellStyle name="Input 2 11 3 10 2 4" xfId="15388"/>
    <cellStyle name="Input 2 11 3 10 3 3" xfId="15389"/>
    <cellStyle name="Input 2 11 3 10 3 4" xfId="15390"/>
    <cellStyle name="Input 2 11 3 10 4 3" xfId="15391"/>
    <cellStyle name="Input 2 11 3 10 5" xfId="15392"/>
    <cellStyle name="Input 2 11 3 10 5 3" xfId="15393"/>
    <cellStyle name="Input 2 11 3 10 6" xfId="15394"/>
    <cellStyle name="Input 2 11 3 10 7" xfId="15395"/>
    <cellStyle name="Input 2 11 3 12 4" xfId="15396"/>
    <cellStyle name="Input 2 11 3 14 2" xfId="15397"/>
    <cellStyle name="Output 2 10 2 10 3" xfId="15398"/>
    <cellStyle name="Input 2 11 3 14 3" xfId="15399"/>
    <cellStyle name="Output 2 10 2 10 4" xfId="15400"/>
    <cellStyle name="Input 2 11 3 2" xfId="15401"/>
    <cellStyle name="Note 2 4 3 11" xfId="15402"/>
    <cellStyle name="Output 2 14 2 9 4 2" xfId="15403"/>
    <cellStyle name="Output 2 8 2 8 2 2" xfId="15404"/>
    <cellStyle name="Input 2 11 3 2 2" xfId="15405"/>
    <cellStyle name="Note 2 4 3 11 2" xfId="15406"/>
    <cellStyle name="Input 2 11 3 2 3" xfId="15407"/>
    <cellStyle name="Note 2 4 3 11 3" xfId="15408"/>
    <cellStyle name="Input 2 11 3 2 3 3" xfId="15409"/>
    <cellStyle name="Input 2 11 3 2 3 4" xfId="15410"/>
    <cellStyle name="Note 2 11 3 2 3 2" xfId="15411"/>
    <cellStyle name="Input 2 11 3 2 4" xfId="15412"/>
    <cellStyle name="Note 2 4 3 11 4" xfId="15413"/>
    <cellStyle name="Output 2 6 2 4 4 2" xfId="15414"/>
    <cellStyle name="Input 2 11 3 2 4 3" xfId="15415"/>
    <cellStyle name="Input 2 11 3 2 5" xfId="15416"/>
    <cellStyle name="Output 2 6 2 4 4 3" xfId="15417"/>
    <cellStyle name="Input 2 11 3 2 5 2" xfId="15418"/>
    <cellStyle name="Input 2 11 3 2 5 3" xfId="15419"/>
    <cellStyle name="Input 2 11 3 2 6" xfId="15420"/>
    <cellStyle name="Input 2 11 3 2 7" xfId="15421"/>
    <cellStyle name="Input 2 11 3 3" xfId="15422"/>
    <cellStyle name="Note 2 4 3 12" xfId="15423"/>
    <cellStyle name="Output 2 14 2 9 4 3" xfId="15424"/>
    <cellStyle name="Output 2 8 2 8 2 3" xfId="15425"/>
    <cellStyle name="Input 2 11 3 3 2" xfId="15426"/>
    <cellStyle name="Input 2 8 2 10 7" xfId="15427"/>
    <cellStyle name="Note 2 4 3 12 2" xfId="15428"/>
    <cellStyle name="Input 2 11 3 3 2 2" xfId="15429"/>
    <cellStyle name="Input 2 11 3 3 2 3" xfId="15430"/>
    <cellStyle name="Input 2 11 3 3 3" xfId="15431"/>
    <cellStyle name="Note 2 4 3 12 3" xfId="15432"/>
    <cellStyle name="Input 2 11 3 3 3 2" xfId="15433"/>
    <cellStyle name="Normal 3 2 2 3" xfId="15434"/>
    <cellStyle name="Input 2 11 3 3 3 3" xfId="15435"/>
    <cellStyle name="Input 2 11 3 3 3 4" xfId="15436"/>
    <cellStyle name="Note 2 11 3 3 3 2" xfId="15437"/>
    <cellStyle name="Input 2 11 3 3 4" xfId="15438"/>
    <cellStyle name="Note 2 4 3 12 4" xfId="15439"/>
    <cellStyle name="Output 2 6 2 4 5 2" xfId="15440"/>
    <cellStyle name="Input 2 11 3 3 4 3" xfId="15441"/>
    <cellStyle name="Input 2 11 3 3 5" xfId="15442"/>
    <cellStyle name="Output 2 6 2 4 5 3" xfId="15443"/>
    <cellStyle name="Input 2 11 3 3 5 3" xfId="15444"/>
    <cellStyle name="Input 2 11 3 3 6" xfId="15445"/>
    <cellStyle name="Output 2 3 6 2 2" xfId="15446"/>
    <cellStyle name="Input 2 11 3 3 7" xfId="15447"/>
    <cellStyle name="Output 2 3 6 2 3" xfId="15448"/>
    <cellStyle name="Input 2 11 3 4" xfId="15449"/>
    <cellStyle name="Note 2 4 3 13" xfId="15450"/>
    <cellStyle name="Output 2 8 2 8 2 4" xfId="15451"/>
    <cellStyle name="Input 2 11 3 4 2" xfId="15452"/>
    <cellStyle name="Note 2 4 3 13 2" xfId="15453"/>
    <cellStyle name="Input 2 11 3 4 2 2" xfId="15454"/>
    <cellStyle name="Input 2 11 3 4 2 3" xfId="15455"/>
    <cellStyle name="Input 2 11 3 4 2 4" xfId="15456"/>
    <cellStyle name="Note 2 11 3 4 2 2" xfId="15457"/>
    <cellStyle name="Input 2 11 3 4 3" xfId="15458"/>
    <cellStyle name="Note 2 4 3 13 3" xfId="15459"/>
    <cellStyle name="Input 2 11 3 4 3 2" xfId="15460"/>
    <cellStyle name="Input 2 13 3 10 6" xfId="15461"/>
    <cellStyle name="Input 2 13 3 16" xfId="15462"/>
    <cellStyle name="Input 2 11 3 4 3 3" xfId="15463"/>
    <cellStyle name="Input 2 13 3 10 7" xfId="15464"/>
    <cellStyle name="Input 2 11 3 4 3 4" xfId="15465"/>
    <cellStyle name="Note 2 11 3 4 3 2" xfId="15466"/>
    <cellStyle name="Input 2 11 3 4 4 2" xfId="15467"/>
    <cellStyle name="Input 2 11 3 4 4 3" xfId="15468"/>
    <cellStyle name="Input 2 11 3 4 5" xfId="15469"/>
    <cellStyle name="Input 2 11 3 4 5 2" xfId="15470"/>
    <cellStyle name="Input 2 11 3 4 5 3" xfId="15471"/>
    <cellStyle name="Input 2 11 3 4 6" xfId="15472"/>
    <cellStyle name="Output 2 3 6 3 2" xfId="15473"/>
    <cellStyle name="Input 2 11 3 4 7" xfId="15474"/>
    <cellStyle name="Output 2 3 6 3 3" xfId="15475"/>
    <cellStyle name="Input 2 11 3 5" xfId="15476"/>
    <cellStyle name="Note 2 4 3 14" xfId="15477"/>
    <cellStyle name="Input 2 11 3 5 2" xfId="15478"/>
    <cellStyle name="Note 2 4 3 14 2" xfId="15479"/>
    <cellStyle name="Input 2 11 3 5 2 2" xfId="15480"/>
    <cellStyle name="Input 2 11 3 5 2 3" xfId="15481"/>
    <cellStyle name="Note 2 2 2 16 2" xfId="15482"/>
    <cellStyle name="Input 2 11 3 5 2 4" xfId="15483"/>
    <cellStyle name="Note 2 11 3 5 2 2" xfId="15484"/>
    <cellStyle name="Input 2 11 3 5 3" xfId="15485"/>
    <cellStyle name="Note 2 4 3 14 3" xfId="15486"/>
    <cellStyle name="Input 2 11 3 5 4" xfId="15487"/>
    <cellStyle name="Input 2 11 3 5 4 2" xfId="15488"/>
    <cellStyle name="Input 2 11 3 5 4 3" xfId="15489"/>
    <cellStyle name="Input 2 11 3 5 5" xfId="15490"/>
    <cellStyle name="Input 2 11 3 5 5 2" xfId="15491"/>
    <cellStyle name="Input 2 11 3 5 5 3" xfId="15492"/>
    <cellStyle name="Input 2 11 3 5 6" xfId="15493"/>
    <cellStyle name="Output 2 3 6 4 2" xfId="15494"/>
    <cellStyle name="Input 2 11 3 5 7" xfId="15495"/>
    <cellStyle name="Output 2 3 6 4 3" xfId="15496"/>
    <cellStyle name="Input 2 11 3 6" xfId="15497"/>
    <cellStyle name="Note 2 4 3 15" xfId="15498"/>
    <cellStyle name="Input 2 11 3 6 2" xfId="15499"/>
    <cellStyle name="Input 2 11 3 6 2 2" xfId="15500"/>
    <cellStyle name="Input 2 11 3 6 2 3" xfId="15501"/>
    <cellStyle name="Input 2 11 3 6 2 4" xfId="15502"/>
    <cellStyle name="Note 2 11 3 6 2 2" xfId="15503"/>
    <cellStyle name="Input 2 11 3 6 3" xfId="15504"/>
    <cellStyle name="Input 2 11 3 6 3 2" xfId="15505"/>
    <cellStyle name="Input 2 11 3 6 3 3" xfId="15506"/>
    <cellStyle name="Input 2 11 3 6 3 4" xfId="15507"/>
    <cellStyle name="Note 2 11 3 6 3 2" xfId="15508"/>
    <cellStyle name="Input 2 11 3 6 4" xfId="15509"/>
    <cellStyle name="Input 2 11 3 6 4 2" xfId="15510"/>
    <cellStyle name="Input 2 11 3 6 4 3" xfId="15511"/>
    <cellStyle name="Input 2 11 3 6 5" xfId="15512"/>
    <cellStyle name="Input 2 11 3 6 5 2" xfId="15513"/>
    <cellStyle name="Input 2 11 3 6 5 3" xfId="15514"/>
    <cellStyle name="Input 2 11 3 6 6" xfId="15515"/>
    <cellStyle name="Output 2 3 6 5 2" xfId="15516"/>
    <cellStyle name="Input 2 11 3 6 7" xfId="15517"/>
    <cellStyle name="Output 2 3 6 5 3" xfId="15518"/>
    <cellStyle name="Input 2 11 3 7 2" xfId="15519"/>
    <cellStyle name="Input 2 12 3 2 2 4" xfId="15520"/>
    <cellStyle name="Note 2 12 3 2 2 2" xfId="15521"/>
    <cellStyle name="Input 2 11 3 7 2 4" xfId="15522"/>
    <cellStyle name="Note 2 11 3 7 2 2" xfId="15523"/>
    <cellStyle name="Input 2 11 3 7 3" xfId="15524"/>
    <cellStyle name="Note 2 12 3 2 2 3" xfId="15525"/>
    <cellStyle name="Input 2 11 3 7 3 3" xfId="15526"/>
    <cellStyle name="Input 2 11 3 7 3 4" xfId="15527"/>
    <cellStyle name="Note 2 11 3 7 3 2" xfId="15528"/>
    <cellStyle name="Input 2 11 3 7 4" xfId="15529"/>
    <cellStyle name="Note 2 12 3 2 2 4" xfId="15530"/>
    <cellStyle name="Input 2 11 3 7 4 3" xfId="15531"/>
    <cellStyle name="Input 2 11 3 7 5" xfId="15532"/>
    <cellStyle name="Input 2 11 3 7 5 2" xfId="15533"/>
    <cellStyle name="Input 2 11 3 7 5 3" xfId="15534"/>
    <cellStyle name="Input 2 11 3 7 6" xfId="15535"/>
    <cellStyle name="Input 2 11 3 7 7" xfId="15536"/>
    <cellStyle name="Input 2 11 3 8 2" xfId="15537"/>
    <cellStyle name="Input 2 12 3 2 3 4" xfId="15538"/>
    <cellStyle name="Note 2 12 3 2 3 2" xfId="15539"/>
    <cellStyle name="Input 2 11 3 8 2 2" xfId="15540"/>
    <cellStyle name="Input 2 9 4" xfId="15541"/>
    <cellStyle name="Input 2 11 3 8 2 3" xfId="15542"/>
    <cellStyle name="Input 2 9 5" xfId="15543"/>
    <cellStyle name="Input 2 11 3 8 2 4" xfId="15544"/>
    <cellStyle name="Input 2 9 6" xfId="15545"/>
    <cellStyle name="Note 2 11 3 8 2 2" xfId="15546"/>
    <cellStyle name="Input 2 11 3 8 3 2" xfId="15547"/>
    <cellStyle name="Input 2 11 3 8 3 3" xfId="15548"/>
    <cellStyle name="Input 2 11 3 8 3 4" xfId="15549"/>
    <cellStyle name="Note 2 11 3 8 3 2" xfId="15550"/>
    <cellStyle name="Input 2 11 3 8 4" xfId="15551"/>
    <cellStyle name="Note 2 12 3 2 3 4" xfId="15552"/>
    <cellStyle name="Input 2 11 3 8 4 2" xfId="15553"/>
    <cellStyle name="Input 2 11 3 8 4 3" xfId="15554"/>
    <cellStyle name="Input 2 11 3 8 5" xfId="15555"/>
    <cellStyle name="Input 2 11 3 8 5 2" xfId="15556"/>
    <cellStyle name="Input 2 11 3 8 5 3" xfId="15557"/>
    <cellStyle name="Input 2 11 3 8 6" xfId="15558"/>
    <cellStyle name="Input 2 11 3 8 7" xfId="15559"/>
    <cellStyle name="Input 2 11 3 9" xfId="15560"/>
    <cellStyle name="Note 2 12 3 2 4" xfId="15561"/>
    <cellStyle name="Note 2 4 3 18" xfId="15562"/>
    <cellStyle name="Input 2 11 3 9 2" xfId="15563"/>
    <cellStyle name="Note 2 12 3 2 4 2" xfId="15564"/>
    <cellStyle name="Input 2 11 3 9 2 2" xfId="15565"/>
    <cellStyle name="Input 2 11 3 9 2 3" xfId="15566"/>
    <cellStyle name="Input 2 11 3 9 2 4" xfId="15567"/>
    <cellStyle name="Note 2 11 3 9 2 2" xfId="15568"/>
    <cellStyle name="Input 2 11 3 9 3" xfId="15569"/>
    <cellStyle name="Note 2 12 3 2 4 3" xfId="15570"/>
    <cellStyle name="Input 2 11 3 9 3 2" xfId="15571"/>
    <cellStyle name="Input 2 14 3 16" xfId="15572"/>
    <cellStyle name="Input 2 11 3 9 3 3" xfId="15573"/>
    <cellStyle name="Input 2 11 3 9 3 4" xfId="15574"/>
    <cellStyle name="Note 2 11 3 9 3 2" xfId="15575"/>
    <cellStyle name="Input 2 11 3 9 4" xfId="15576"/>
    <cellStyle name="Input 2 11 3 9 4 2" xfId="15577"/>
    <cellStyle name="Input 2 11 3 9 4 3" xfId="15578"/>
    <cellStyle name="Input 2 11 3 9 5" xfId="15579"/>
    <cellStyle name="Input 2 11 3 9 5 2" xfId="15580"/>
    <cellStyle name="Input 2 11 3 9 5 3" xfId="15581"/>
    <cellStyle name="Input 2 11 3 9 6" xfId="15582"/>
    <cellStyle name="Input 2 11 3 9 7" xfId="15583"/>
    <cellStyle name="Note 2 4 7 2 2" xfId="15584"/>
    <cellStyle name="Input 2 11 4 5" xfId="15585"/>
    <cellStyle name="Input 2 11 4 5 2" xfId="15586"/>
    <cellStyle name="Input 2 11 4 5 3" xfId="15587"/>
    <cellStyle name="Input 2 11 4 6" xfId="15588"/>
    <cellStyle name="Input 2 4 2 2" xfId="15589"/>
    <cellStyle name="Input 2 11 4 7" xfId="15590"/>
    <cellStyle name="Input 2 4 2 3" xfId="15591"/>
    <cellStyle name="Note 2 12 3 3 2" xfId="15592"/>
    <cellStyle name="Input 2 11 5 5 2" xfId="15593"/>
    <cellStyle name="Input 2 11 6" xfId="15594"/>
    <cellStyle name="Output 2 14 2 9 7" xfId="15595"/>
    <cellStyle name="Note 2 9 3 2 4" xfId="15596"/>
    <cellStyle name="Output 2 6 12 2 4" xfId="15597"/>
    <cellStyle name="Output 2 8 2 8 5" xfId="15598"/>
    <cellStyle name="Input 2 11 6 2 2" xfId="15599"/>
    <cellStyle name="Note 2 7 2 11 3" xfId="15600"/>
    <cellStyle name="Input 2 11 6 2 3" xfId="15601"/>
    <cellStyle name="Note 2 7 2 11 4" xfId="15602"/>
    <cellStyle name="Input 2 11 6 2 4" xfId="15603"/>
    <cellStyle name="Output 2 6 2 7 4 2" xfId="15604"/>
    <cellStyle name="Input 2 11 6 3" xfId="15605"/>
    <cellStyle name="Note 2 9 3 2 4 3" xfId="15606"/>
    <cellStyle name="Output 2 8 2 8 5 3" xfId="15607"/>
    <cellStyle name="Input 2 11 6 3 2" xfId="15608"/>
    <cellStyle name="Note 2 7 2 12 3" xfId="15609"/>
    <cellStyle name="Input 2 11 6 3 3" xfId="15610"/>
    <cellStyle name="Note 2 7 2 12 4" xfId="15611"/>
    <cellStyle name="Input 2 11 6 3 4" xfId="15612"/>
    <cellStyle name="Output 2 6 2 7 5 2" xfId="15613"/>
    <cellStyle name="Input 2 11 6 4" xfId="15614"/>
    <cellStyle name="Input 2 11 6 4 2" xfId="15615"/>
    <cellStyle name="Note 2 7 2 13 3" xfId="15616"/>
    <cellStyle name="Input 2 11 6 4 3" xfId="15617"/>
    <cellStyle name="Input 2 11 6 5" xfId="15618"/>
    <cellStyle name="Output 2 15 9 3 2" xfId="15619"/>
    <cellStyle name="Input 2 11 6 5 2" xfId="15620"/>
    <cellStyle name="Note 2 7 2 14 3" xfId="15621"/>
    <cellStyle name="Input 2 11 6 5 3" xfId="15622"/>
    <cellStyle name="Input 2 11 6 6" xfId="15623"/>
    <cellStyle name="Input 2 4 4 2" xfId="15624"/>
    <cellStyle name="Output 2 15 9 3 3" xfId="15625"/>
    <cellStyle name="Input 2 11 6 7" xfId="15626"/>
    <cellStyle name="Input 2 4 4 3" xfId="15627"/>
    <cellStyle name="Note 2 12 3 5 2" xfId="15628"/>
    <cellStyle name="Output 2 15 9 3 4" xfId="15629"/>
    <cellStyle name="Output 2 9 9 2 2" xfId="15630"/>
    <cellStyle name="Input 2 11 7" xfId="15631"/>
    <cellStyle name="Note 2 9 3 2 5" xfId="15632"/>
    <cellStyle name="Output 2 8 2 8 6" xfId="15633"/>
    <cellStyle name="Input 2 11 7 2 2" xfId="15634"/>
    <cellStyle name="Input 2 11 7 2 3" xfId="15635"/>
    <cellStyle name="Input 2 11 7 2 4" xfId="15636"/>
    <cellStyle name="Note 2 7 3 2 3 2" xfId="15637"/>
    <cellStyle name="Output 2 6 2 8 4 2" xfId="15638"/>
    <cellStyle name="Input 2 11 7 3" xfId="15639"/>
    <cellStyle name="Note 2 9 3 2 5 3" xfId="15640"/>
    <cellStyle name="Input 2 11 7 3 2" xfId="15641"/>
    <cellStyle name="Input 2 11 7 3 3" xfId="15642"/>
    <cellStyle name="Input 2 11 7 3 4" xfId="15643"/>
    <cellStyle name="Note 2 7 3 2 4 2" xfId="15644"/>
    <cellStyle name="Output 2 6 2 8 5 2" xfId="15645"/>
    <cellStyle name="Input 2 11 7 4" xfId="15646"/>
    <cellStyle name="Input 2 11 7 4 2" xfId="15647"/>
    <cellStyle name="Input 2 11 7 4 3" xfId="15648"/>
    <cellStyle name="Input 2 11 7 5" xfId="15649"/>
    <cellStyle name="Output 2 15 9 4 2" xfId="15650"/>
    <cellStyle name="Input 2 11 7 5 2" xfId="15651"/>
    <cellStyle name="Input 2 11 7 5 3" xfId="15652"/>
    <cellStyle name="Input 2 11 7 6" xfId="15653"/>
    <cellStyle name="Input 2 4 5 2" xfId="15654"/>
    <cellStyle name="Output 2 15 9 4 3" xfId="15655"/>
    <cellStyle name="Input 2 11 7 7" xfId="15656"/>
    <cellStyle name="Input 2 4 5 3" xfId="15657"/>
    <cellStyle name="Note 2 12 3 6 2" xfId="15658"/>
    <cellStyle name="Output 2 9 9 3 2" xfId="15659"/>
    <cellStyle name="Input 2 11 8" xfId="15660"/>
    <cellStyle name="Note 2 9 3 2 6" xfId="15661"/>
    <cellStyle name="Output 2 8 2 8 7" xfId="15662"/>
    <cellStyle name="Input 2 11 8 2 2" xfId="15663"/>
    <cellStyle name="Input 2 11 8 2 3" xfId="15664"/>
    <cellStyle name="Input 2 11 8 2 4" xfId="15665"/>
    <cellStyle name="Note 2 7 3 3 3 2" xfId="15666"/>
    <cellStyle name="Output 2 6 2 9 4 2" xfId="15667"/>
    <cellStyle name="Input 2 11 8 3" xfId="15668"/>
    <cellStyle name="Note 2 2 6 3 2 2" xfId="15669"/>
    <cellStyle name="Input 2 8 3 10 7" xfId="15670"/>
    <cellStyle name="Input 2 11 8 3 2" xfId="15671"/>
    <cellStyle name="Note 2 2 6 3 2 2 2" xfId="15672"/>
    <cellStyle name="Input 2 11 8 3 3" xfId="15673"/>
    <cellStyle name="Input 2 11 8 3 4" xfId="15674"/>
    <cellStyle name="Note 2 7 3 3 4 2" xfId="15675"/>
    <cellStyle name="Output 2 6 2 9 5 2" xfId="15676"/>
    <cellStyle name="Input 2 11 8 4" xfId="15677"/>
    <cellStyle name="Input 2 11 8 4 2" xfId="15678"/>
    <cellStyle name="Input 2 11 8 4 3" xfId="15679"/>
    <cellStyle name="Input 2 11 8 5" xfId="15680"/>
    <cellStyle name="Output 2 15 9 5 2" xfId="15681"/>
    <cellStyle name="Input 2 11 8 5 2" xfId="15682"/>
    <cellStyle name="Input 2 11 8 5 3" xfId="15683"/>
    <cellStyle name="Input 2 11 8 6" xfId="15684"/>
    <cellStyle name="Input 2 4 6 2" xfId="15685"/>
    <cellStyle name="Output 2 15 9 5 3" xfId="15686"/>
    <cellStyle name="Input 2 11 8 7" xfId="15687"/>
    <cellStyle name="Input 2 4 6 3" xfId="15688"/>
    <cellStyle name="Note 2 12 3 7 2" xfId="15689"/>
    <cellStyle name="Output 2 9 9 4 2" xfId="15690"/>
    <cellStyle name="Input 2 11 9" xfId="15691"/>
    <cellStyle name="Note 2 9 3 2 7" xfId="15692"/>
    <cellStyle name="Input 2 11 9 2 3" xfId="15693"/>
    <cellStyle name="Input 2 11 9 2 4" xfId="15694"/>
    <cellStyle name="Note 2 7 3 4 3 2" xfId="15695"/>
    <cellStyle name="Input 2 11 9 3" xfId="15696"/>
    <cellStyle name="Input 2 11 9 3 2" xfId="15697"/>
    <cellStyle name="Input 2 11 9 3 3" xfId="15698"/>
    <cellStyle name="Input 2 11 9 3 4" xfId="15699"/>
    <cellStyle name="Note 2 7 3 4 4 2" xfId="15700"/>
    <cellStyle name="Input 2 11 9 4" xfId="15701"/>
    <cellStyle name="Input 2 11 9 4 2" xfId="15702"/>
    <cellStyle name="Input 2 11 9 4 3" xfId="15703"/>
    <cellStyle name="Input 2 11 9 5" xfId="15704"/>
    <cellStyle name="Input 2 11 9 5 2" xfId="15705"/>
    <cellStyle name="Input 2 11 9 5 3" xfId="15706"/>
    <cellStyle name="Input 2 11 9 6" xfId="15707"/>
    <cellStyle name="Input 2 4 7 2" xfId="15708"/>
    <cellStyle name="Input 2 11 9 7" xfId="15709"/>
    <cellStyle name="Input 2 4 7 3" xfId="15710"/>
    <cellStyle name="Note 2 12 3 8 2" xfId="15711"/>
    <cellStyle name="Output 2 9 9 5 2" xfId="15712"/>
    <cellStyle name="Input 2 12" xfId="15713"/>
    <cellStyle name="Input 2 12 10" xfId="15714"/>
    <cellStyle name="Note 2 12 12 4" xfId="15715"/>
    <cellStyle name="Input 2 12 10 2" xfId="15716"/>
    <cellStyle name="Note 2 12 12 4 2" xfId="15717"/>
    <cellStyle name="Input 2 12 10 2 2" xfId="15718"/>
    <cellStyle name="Input 2 12 10 2 3" xfId="15719"/>
    <cellStyle name="Input 2 12 10 2 4" xfId="15720"/>
    <cellStyle name="Input 2 12 10 3" xfId="15721"/>
    <cellStyle name="Note 2 12 12 4 3" xfId="15722"/>
    <cellStyle name="Input 2 12 10 3 2" xfId="15723"/>
    <cellStyle name="Input 2 12 10 3 3" xfId="15724"/>
    <cellStyle name="Normal 2 2 3 4 2 2" xfId="15725"/>
    <cellStyle name="Input 2 12 10 3 4" xfId="15726"/>
    <cellStyle name="Input 2 12 10 4" xfId="15727"/>
    <cellStyle name="Input 2 12 10 4 2" xfId="15728"/>
    <cellStyle name="Input 2 12 10 4 3" xfId="15729"/>
    <cellStyle name="Input 2 12 10 5" xfId="15730"/>
    <cellStyle name="Input 2 12 10 5 2" xfId="15731"/>
    <cellStyle name="Input 2 12 10 5 3" xfId="15732"/>
    <cellStyle name="Input 2 2 3 10 2" xfId="15733"/>
    <cellStyle name="Input 2 12 10 6" xfId="15734"/>
    <cellStyle name="Input 2 12 10 7" xfId="15735"/>
    <cellStyle name="Input 2 12 11" xfId="15736"/>
    <cellStyle name="Note 2 12 12 5" xfId="15737"/>
    <cellStyle name="Input 2 12 11 2" xfId="15738"/>
    <cellStyle name="Note 2 12 12 5 2" xfId="15739"/>
    <cellStyle name="Input 2 12 11 2 2" xfId="15740"/>
    <cellStyle name="Input 2 12 11 3" xfId="15741"/>
    <cellStyle name="Note 2 12 12 5 3" xfId="15742"/>
    <cellStyle name="Input 2 12 11 4" xfId="15743"/>
    <cellStyle name="Input 2 12 11 5" xfId="15744"/>
    <cellStyle name="Input 2 12 11 6" xfId="15745"/>
    <cellStyle name="Input 2 12 11 7" xfId="15746"/>
    <cellStyle name="Input 2 12 12" xfId="15747"/>
    <cellStyle name="Note 2 12 12 6" xfId="15748"/>
    <cellStyle name="Output 2 11 4 5 2" xfId="15749"/>
    <cellStyle name="Input 2 12 12 2" xfId="15750"/>
    <cellStyle name="Input 2 12 12 2 2" xfId="15751"/>
    <cellStyle name="Input 2 12 12 3" xfId="15752"/>
    <cellStyle name="Input 2 12 12 3 2" xfId="15753"/>
    <cellStyle name="Input 2 12 12 4" xfId="15754"/>
    <cellStyle name="Input 2 12 12 4 2" xfId="15755"/>
    <cellStyle name="Input 2 12 12 5" xfId="15756"/>
    <cellStyle name="Input 2 12 12 5 2" xfId="15757"/>
    <cellStyle name="Input 2 12 12 6" xfId="15758"/>
    <cellStyle name="Input 2 12 12 7" xfId="15759"/>
    <cellStyle name="Input 2 12 13" xfId="15760"/>
    <cellStyle name="Note 2 12 12 7" xfId="15761"/>
    <cellStyle name="Output 2 11 4 5 3" xfId="15762"/>
    <cellStyle name="Input 2 12 13 2" xfId="15763"/>
    <cellStyle name="Input 2 12 13 3" xfId="15764"/>
    <cellStyle name="Input 2 12 13 4" xfId="15765"/>
    <cellStyle name="Output 2 13 2 5 2 2" xfId="15766"/>
    <cellStyle name="Input 2 12 14" xfId="15767"/>
    <cellStyle name="Note 2 12 9 2" xfId="15768"/>
    <cellStyle name="Output 2 5 4 4 2" xfId="15769"/>
    <cellStyle name="Input 2 12 14 2" xfId="15770"/>
    <cellStyle name="Note 2 12 9 2 2" xfId="15771"/>
    <cellStyle name="Input 2 12 14 3" xfId="15772"/>
    <cellStyle name="Note 2 12 9 2 3" xfId="15773"/>
    <cellStyle name="Input 2 12 14 4" xfId="15774"/>
    <cellStyle name="Note 2 12 9 2 4" xfId="15775"/>
    <cellStyle name="Output 2 13 2 5 2 3" xfId="15776"/>
    <cellStyle name="Input 2 12 15" xfId="15777"/>
    <cellStyle name="Input 2 12 20" xfId="15778"/>
    <cellStyle name="Note 2 12 9 3" xfId="15779"/>
    <cellStyle name="Output 2 5 4 4 3" xfId="15780"/>
    <cellStyle name="Input 2 12 15 2" xfId="15781"/>
    <cellStyle name="Note 2 12 9 3 2" xfId="15782"/>
    <cellStyle name="Input 2 12 15 3" xfId="15783"/>
    <cellStyle name="Note 2 12 9 3 3" xfId="15784"/>
    <cellStyle name="Input 2 12 16 2" xfId="15785"/>
    <cellStyle name="Note 2 12 9 4 2" xfId="15786"/>
    <cellStyle name="Note 2 2 6 2 4" xfId="15787"/>
    <cellStyle name="Input 2 12 16 3" xfId="15788"/>
    <cellStyle name="Note 2 12 9 4 3" xfId="15789"/>
    <cellStyle name="Input 2 12 2" xfId="15790"/>
    <cellStyle name="Input 2 12 2 10" xfId="15791"/>
    <cellStyle name="Input 2 13 3 7 5 3" xfId="15792"/>
    <cellStyle name="Input 2 12 2 10 2" xfId="15793"/>
    <cellStyle name="Input 2 12 2 10 2 2" xfId="15794"/>
    <cellStyle name="Input 2 12 2 10 2 3" xfId="15795"/>
    <cellStyle name="Note 2 7 3 5 4 2" xfId="15796"/>
    <cellStyle name="Input 2 12 2 10 2 4" xfId="15797"/>
    <cellStyle name="Note 2 7 3 5 4 3" xfId="15798"/>
    <cellStyle name="Input 2 12 2 10 3" xfId="15799"/>
    <cellStyle name="Input 2 12 2 10 3 2" xfId="15800"/>
    <cellStyle name="Input 2 12 2 10 3 3" xfId="15801"/>
    <cellStyle name="Note 2 7 3 5 5 2" xfId="15802"/>
    <cellStyle name="Input 2 12 2 10 3 4" xfId="15803"/>
    <cellStyle name="Note 2 7 3 5 5 3" xfId="15804"/>
    <cellStyle name="Input 2 12 2 10 4" xfId="15805"/>
    <cellStyle name="Input 2 12 2 8 3 2" xfId="15806"/>
    <cellStyle name="Input 2 12 2 10 4 2" xfId="15807"/>
    <cellStyle name="Input 2 12 2 10 4 3" xfId="15808"/>
    <cellStyle name="Input 2 12 2 10 5" xfId="15809"/>
    <cellStyle name="Input 2 12 2 8 3 3" xfId="15810"/>
    <cellStyle name="Input 2 12 2 10 5 2" xfId="15811"/>
    <cellStyle name="Input 2 4 8 2 3" xfId="15812"/>
    <cellStyle name="Input 2 12 2 10 5 3" xfId="15813"/>
    <cellStyle name="Input 2 4 8 2 4" xfId="15814"/>
    <cellStyle name="Input 2 12 2 11" xfId="15815"/>
    <cellStyle name="Note 2 13 3 7 5 2" xfId="15816"/>
    <cellStyle name="Input 2 12 2 11 2" xfId="15817"/>
    <cellStyle name="Input 2 12 2 11 3" xfId="15818"/>
    <cellStyle name="Input 2 12 2 11 4" xfId="15819"/>
    <cellStyle name="Input 2 12 2 8 4 2" xfId="15820"/>
    <cellStyle name="Input 2 12 2 12" xfId="15821"/>
    <cellStyle name="Note 2 13 3 7 5 3" xfId="15822"/>
    <cellStyle name="Input 2 12 2 12 2" xfId="15823"/>
    <cellStyle name="Input 2 12 2 12 3" xfId="15824"/>
    <cellStyle name="Input 2 12 2 12 4" xfId="15825"/>
    <cellStyle name="Input 2 12 2 8 5 2" xfId="15826"/>
    <cellStyle name="Input 2 12 2 13 2" xfId="15827"/>
    <cellStyle name="Input 2 12 2 13 3" xfId="15828"/>
    <cellStyle name="Input 2 12 2 14 2" xfId="15829"/>
    <cellStyle name="Input 2 12 2 14 3" xfId="15830"/>
    <cellStyle name="Input 2 12 2 16" xfId="15831"/>
    <cellStyle name="Input 2 15 9 3 2" xfId="15832"/>
    <cellStyle name="Input 2 12 2 2" xfId="15833"/>
    <cellStyle name="Input 2 12 2 2 2" xfId="15834"/>
    <cellStyle name="Note 2 3 3 9 4" xfId="15835"/>
    <cellStyle name="Input 2 12 2 2 2 2" xfId="15836"/>
    <cellStyle name="Total 2 2 6 3 4" xfId="15837"/>
    <cellStyle name="Note 2 3 3 9 4 2" xfId="15838"/>
    <cellStyle name="Input 2 12 2 2 2 3" xfId="15839"/>
    <cellStyle name="Note 2 3 3 9 4 3" xfId="15840"/>
    <cellStyle name="Input 2 12 2 2 3" xfId="15841"/>
    <cellStyle name="Note 2 3 3 9 5" xfId="15842"/>
    <cellStyle name="Input 2 12 2 2 3 2" xfId="15843"/>
    <cellStyle name="Note 2 3 3 9 5 2" xfId="15844"/>
    <cellStyle name="Input 2 12 2 2 3 3" xfId="15845"/>
    <cellStyle name="Note 2 3 3 9 5 3" xfId="15846"/>
    <cellStyle name="Input 2 12 2 2 4" xfId="15847"/>
    <cellStyle name="Note 2 3 3 9 6" xfId="15848"/>
    <cellStyle name="Output 2 10 5 2 2" xfId="15849"/>
    <cellStyle name="Output 2 6 3 3 4 2" xfId="15850"/>
    <cellStyle name="Input 2 12 2 2 4 2" xfId="15851"/>
    <cellStyle name="Output 2 13" xfId="15852"/>
    <cellStyle name="Input 2 12 2 2 4 3" xfId="15853"/>
    <cellStyle name="Output 2 14" xfId="15854"/>
    <cellStyle name="Total 2 9 11 3 2" xfId="15855"/>
    <cellStyle name="Input 2 12 2 2 5" xfId="15856"/>
    <cellStyle name="Note 2 3 3 9 7" xfId="15857"/>
    <cellStyle name="Output 2 10 5 2 3" xfId="15858"/>
    <cellStyle name="Output 2 6 3 3 4 3" xfId="15859"/>
    <cellStyle name="Input 2 12 2 2 5 2" xfId="15860"/>
    <cellStyle name="Input 2 12 2 2 5 3" xfId="15861"/>
    <cellStyle name="Total 2 9 11 3 3" xfId="15862"/>
    <cellStyle name="Input 2 12 2 2 6" xfId="15863"/>
    <cellStyle name="Note 2 11 2 10 2" xfId="15864"/>
    <cellStyle name="Output 2 10 5 2 4" xfId="15865"/>
    <cellStyle name="Total 2 9 11 3 4" xfId="15866"/>
    <cellStyle name="Input 2 12 2 2 7" xfId="15867"/>
    <cellStyle name="Note 2 11 2 10 3" xfId="15868"/>
    <cellStyle name="Input 2 12 2 3" xfId="15869"/>
    <cellStyle name="Input 2 12 2 3 2" xfId="15870"/>
    <cellStyle name="Input 2 12 2 3 2 2" xfId="15871"/>
    <cellStyle name="Input 2 12 2 3 2 3" xfId="15872"/>
    <cellStyle name="Input 2 12 2 3 3" xfId="15873"/>
    <cellStyle name="Input 2 12 2 3 3 2" xfId="15874"/>
    <cellStyle name="Input 2 12 2 3 3 3" xfId="15875"/>
    <cellStyle name="Input 2 12 2 3 4" xfId="15876"/>
    <cellStyle name="Output 2 10 5 3 2" xfId="15877"/>
    <cellStyle name="Output 2 6 3 3 5 2" xfId="15878"/>
    <cellStyle name="Input 2 12 2 3 4 2" xfId="15879"/>
    <cellStyle name="Input 2 12 2 3 4 3" xfId="15880"/>
    <cellStyle name="Total 2 9 11 4 2" xfId="15881"/>
    <cellStyle name="Input 2 12 2 3 5" xfId="15882"/>
    <cellStyle name="Output 2 10 5 3 3" xfId="15883"/>
    <cellStyle name="Output 2 6 3 3 5 3" xfId="15884"/>
    <cellStyle name="Input 2 12 2 3 5 3" xfId="15885"/>
    <cellStyle name="Total 2 9 11 4 3" xfId="15886"/>
    <cellStyle name="Input 2 12 2 3 6" xfId="15887"/>
    <cellStyle name="Note 2 11 2 11 2" xfId="15888"/>
    <cellStyle name="Output 2 10 5 3 4" xfId="15889"/>
    <cellStyle name="Output 2 4 5 2 2" xfId="15890"/>
    <cellStyle name="Input 2 12 2 3 7" xfId="15891"/>
    <cellStyle name="Note 2 11 2 11 3" xfId="15892"/>
    <cellStyle name="Output 2 4 5 2 3" xfId="15893"/>
    <cellStyle name="Input 2 12 2 4" xfId="15894"/>
    <cellStyle name="Input 2 12 2 4 2" xfId="15895"/>
    <cellStyle name="Input 2 12 2 4 2 2" xfId="15896"/>
    <cellStyle name="Input 2 12 2 4 2 3" xfId="15897"/>
    <cellStyle name="Input 2 12 2 4 2 4" xfId="15898"/>
    <cellStyle name="Input 2 3 3 3 2" xfId="15899"/>
    <cellStyle name="Input 3 2" xfId="15900"/>
    <cellStyle name="Note 2 12 2 4 2 2" xfId="15901"/>
    <cellStyle name="Input 2 12 2 4 3" xfId="15902"/>
    <cellStyle name="Input 2 12 2 4 3 2" xfId="15903"/>
    <cellStyle name="Input 2 12 2 4 3 3" xfId="15904"/>
    <cellStyle name="Input 2 12 2 4 3 4" xfId="15905"/>
    <cellStyle name="Input 2 3 3 4 2" xfId="15906"/>
    <cellStyle name="Input 4 2" xfId="15907"/>
    <cellStyle name="Note 2 12 2 4 3 2" xfId="15908"/>
    <cellStyle name="Input 2 12 2 4 4" xfId="15909"/>
    <cellStyle name="Output 2 10 5 4 2" xfId="15910"/>
    <cellStyle name="Input 2 12 2 4 4 2" xfId="15911"/>
    <cellStyle name="Input 2 12 2 4 4 3" xfId="15912"/>
    <cellStyle name="Input 2 12 2 4 5 2" xfId="15913"/>
    <cellStyle name="Input 2 12 2 4 5 3" xfId="15914"/>
    <cellStyle name="Input 2 12 2 5" xfId="15915"/>
    <cellStyle name="Input 2 7 3 5 5 2" xfId="15916"/>
    <cellStyle name="Input 2 12 2 5 2" xfId="15917"/>
    <cellStyle name="Input 2 12 2 5 2 2" xfId="15918"/>
    <cellStyle name="Input 2 12 2 5 2 3" xfId="15919"/>
    <cellStyle name="Input 2 12 2 5 2 4" xfId="15920"/>
    <cellStyle name="Input 2 3 4 3 2" xfId="15921"/>
    <cellStyle name="Note 2 12 2 5 2 2" xfId="15922"/>
    <cellStyle name="Input 2 12 2 5 3" xfId="15923"/>
    <cellStyle name="Input 2 12 2 5 3 3" xfId="15924"/>
    <cellStyle name="Input 2 12 2 5 3 4" xfId="15925"/>
    <cellStyle name="Input 2 3 4 4 2" xfId="15926"/>
    <cellStyle name="Note 2 12 2 5 3 2" xfId="15927"/>
    <cellStyle name="Input 2 12 2 5 4" xfId="15928"/>
    <cellStyle name="Output 2 10 5 5 2" xfId="15929"/>
    <cellStyle name="Output 2 2 2 7 6 2 2" xfId="15930"/>
    <cellStyle name="Input 2 12 2 5 4 3" xfId="15931"/>
    <cellStyle name="Input 2 12 2 5 5 3" xfId="15932"/>
    <cellStyle name="Input 2 12 2 6" xfId="15933"/>
    <cellStyle name="Input 2 7 3 5 5 3" xfId="15934"/>
    <cellStyle name="Input 2 12 2 6 2" xfId="15935"/>
    <cellStyle name="Input 2 12 2 6 2 2" xfId="15936"/>
    <cellStyle name="Input 2 12 2 6 2 3" xfId="15937"/>
    <cellStyle name="Input 2 12 2 6 2 4" xfId="15938"/>
    <cellStyle name="Input 2 3 5 3 2" xfId="15939"/>
    <cellStyle name="Note 2 12 2 6 2 2" xfId="15940"/>
    <cellStyle name="Input 2 12 2 6 3" xfId="15941"/>
    <cellStyle name="Input 2 12 2 6 3 3" xfId="15942"/>
    <cellStyle name="Input 2 12 2 6 3 4" xfId="15943"/>
    <cellStyle name="Input 2 3 5 4 2" xfId="15944"/>
    <cellStyle name="Note 2 12 2 6 3 2" xfId="15945"/>
    <cellStyle name="Input 2 12 2 6 4" xfId="15946"/>
    <cellStyle name="Input 2 12 2 6 4 3" xfId="15947"/>
    <cellStyle name="Input 2 12 2 6 5 3" xfId="15948"/>
    <cellStyle name="Input 2 12 2 6 7" xfId="15949"/>
    <cellStyle name="Note 2 11 2 14 3" xfId="15950"/>
    <cellStyle name="Output 2 4 5 5 3" xfId="15951"/>
    <cellStyle name="Input 2 12 2 7 2 2" xfId="15952"/>
    <cellStyle name="Input 2 12 2 7 2 3" xfId="15953"/>
    <cellStyle name="Input 2 12 2 7 2 4" xfId="15954"/>
    <cellStyle name="Input 2 3 6 3 2" xfId="15955"/>
    <cellStyle name="Note 2 12 2 7 2 2" xfId="15956"/>
    <cellStyle name="Input 2 12 2 7 3 2" xfId="15957"/>
    <cellStyle name="Input 2 12 2 7 3 3" xfId="15958"/>
    <cellStyle name="Input 2 12 2 7 3 4" xfId="15959"/>
    <cellStyle name="Input 2 3 6 4 2" xfId="15960"/>
    <cellStyle name="Note 2 12 2 7 3 2" xfId="15961"/>
    <cellStyle name="Input 2 12 2 7 4 2" xfId="15962"/>
    <cellStyle name="Input 2 12 2 7 4 3" xfId="15963"/>
    <cellStyle name="Input 2 12 2 7 5 2" xfId="15964"/>
    <cellStyle name="Input 2 12 2 7 5 3" xfId="15965"/>
    <cellStyle name="Input 2 12 2 7 7" xfId="15966"/>
    <cellStyle name="Input 2 12 2 8 2 2" xfId="15967"/>
    <cellStyle name="Input 2 12 2 8 2 3" xfId="15968"/>
    <cellStyle name="Input 2 12 2 8 4 3" xfId="15969"/>
    <cellStyle name="Input 2 12 2 8 5 3" xfId="15970"/>
    <cellStyle name="Input 2 12 2 8 6" xfId="15971"/>
    <cellStyle name="Input 2 12 2 8 7" xfId="15972"/>
    <cellStyle name="Input 2 12 2 9 2" xfId="15973"/>
    <cellStyle name="Input 2 12 2 9 2 2" xfId="15974"/>
    <cellStyle name="Normal 21" xfId="15975"/>
    <cellStyle name="Input 2 12 2 9 2 3" xfId="15976"/>
    <cellStyle name="Normal 17" xfId="15977"/>
    <cellStyle name="Input 2 12 2 9 2 4" xfId="15978"/>
    <cellStyle name="Input 2 3 8 3 2" xfId="15979"/>
    <cellStyle name="Note 2 12 2 9 2 2" xfId="15980"/>
    <cellStyle name="Input 2 12 2 9 5" xfId="15981"/>
    <cellStyle name="Input 2 12 2 9 6" xfId="15982"/>
    <cellStyle name="Input 2 12 2 9 7" xfId="15983"/>
    <cellStyle name="Note 2 5 6 2 2" xfId="15984"/>
    <cellStyle name="Input 2 12 3 10 2" xfId="15985"/>
    <cellStyle name="Input 2 12 3 10 2 2" xfId="15986"/>
    <cellStyle name="Note 2 4 9 4" xfId="15987"/>
    <cellStyle name="Input 2 12 3 10 2 3" xfId="15988"/>
    <cellStyle name="Note 2 4 9 5" xfId="15989"/>
    <cellStyle name="Input 2 12 3 10 2 4" xfId="15990"/>
    <cellStyle name="Note 2 4 9 6" xfId="15991"/>
    <cellStyle name="Input 2 12 3 10 3" xfId="15992"/>
    <cellStyle name="Input 2 12 3 10 3 2" xfId="15993"/>
    <cellStyle name="Input 2 12 3 10 3 3" xfId="15994"/>
    <cellStyle name="Input 2 12 3 10 3 4" xfId="15995"/>
    <cellStyle name="Input 2 12 3 10 4" xfId="15996"/>
    <cellStyle name="Total 2 3 3 12" xfId="15997"/>
    <cellStyle name="Input 2 12 3 10 4 2" xfId="15998"/>
    <cellStyle name="Total 2 3 3 13" xfId="15999"/>
    <cellStyle name="Input 2 12 3 10 4 3" xfId="16000"/>
    <cellStyle name="Input 2 12 3 10 5" xfId="16001"/>
    <cellStyle name="Input 2 12 3 10 5 3" xfId="16002"/>
    <cellStyle name="Input 2 9 8 2 4" xfId="16003"/>
    <cellStyle name="Input 2 12 3 10 6" xfId="16004"/>
    <cellStyle name="Input 2 12 3 10 7" xfId="16005"/>
    <cellStyle name="Input 2 12 3 11 2" xfId="16006"/>
    <cellStyle name="Input 2 12 3 11 3" xfId="16007"/>
    <cellStyle name="Input 2 12 3 11 4" xfId="16008"/>
    <cellStyle name="Input 2 12 3 12" xfId="16009"/>
    <cellStyle name="Input 2 13 2 10 2" xfId="16010"/>
    <cellStyle name="Input 2 12 3 12 2" xfId="16011"/>
    <cellStyle name="Input 2 13 2 10 2 2" xfId="16012"/>
    <cellStyle name="Input 2 12 3 12 3" xfId="16013"/>
    <cellStyle name="Input 2 13 2 10 2 3" xfId="16014"/>
    <cellStyle name="Input 2 12 3 12 4" xfId="16015"/>
    <cellStyle name="Input 2 13 2 10 2 4" xfId="16016"/>
    <cellStyle name="Input 2 12 3 13" xfId="16017"/>
    <cellStyle name="Input 2 13 2 10 3" xfId="16018"/>
    <cellStyle name="Input 2 12 3 13 3" xfId="16019"/>
    <cellStyle name="Input 2 13 2 10 3 3" xfId="16020"/>
    <cellStyle name="Input 2 12 3 14" xfId="16021"/>
    <cellStyle name="Input 2 13 2 10 4" xfId="16022"/>
    <cellStyle name="Input 2 13 2 10 4 3" xfId="16023"/>
    <cellStyle name="Input 2 12 3 14 3" xfId="16024"/>
    <cellStyle name="Output 2 11 2 10 4" xfId="16025"/>
    <cellStyle name="Input 2 12 3 15" xfId="16026"/>
    <cellStyle name="Input 2 13 2 10 5" xfId="16027"/>
    <cellStyle name="Input 2 12 3 2" xfId="16028"/>
    <cellStyle name="Note 2 2 2 4 2 2 2 2 2" xfId="16029"/>
    <cellStyle name="Output 2 8 2 9 2 2" xfId="16030"/>
    <cellStyle name="Input 2 12 3 2 2" xfId="16031"/>
    <cellStyle name="Note 2 2 2 4 2 2 2 2 2 2" xfId="16032"/>
    <cellStyle name="Input 2 12 3 2 2 2" xfId="16033"/>
    <cellStyle name="Note 2 2 2 4 2 2 2 2 2 2 2" xfId="16034"/>
    <cellStyle name="Input 2 12 3 2 2 3" xfId="16035"/>
    <cellStyle name="Output 2 2 2 2 2 2 2 2 2 2 2" xfId="16036"/>
    <cellStyle name="Input 2 12 3 2 3" xfId="16037"/>
    <cellStyle name="Note 2 2 2 4 2 2 2 2 2 3" xfId="16038"/>
    <cellStyle name="Input 2 12 3 2 3 2" xfId="16039"/>
    <cellStyle name="Input 2 12 3 2 3 3" xfId="16040"/>
    <cellStyle name="Input 2 12 3 2 4" xfId="16041"/>
    <cellStyle name="Output 2 10 6 2 2" xfId="16042"/>
    <cellStyle name="Output 2 6 3 4 4 2" xfId="16043"/>
    <cellStyle name="Input 2 12 3 2 4 2" xfId="16044"/>
    <cellStyle name="Input 2 12 3 2 4 3" xfId="16045"/>
    <cellStyle name="Total 2 9 12 3 2" xfId="16046"/>
    <cellStyle name="Input 2 12 3 2 5" xfId="16047"/>
    <cellStyle name="Output 2 10 6 2 3" xfId="16048"/>
    <cellStyle name="Output 2 6 3 4 4 3" xfId="16049"/>
    <cellStyle name="Input 2 12 3 2 5 2" xfId="16050"/>
    <cellStyle name="Input 2 12 3 2 5 3" xfId="16051"/>
    <cellStyle name="Total 2 9 12 3 3" xfId="16052"/>
    <cellStyle name="Input 2 12 3 2 6" xfId="16053"/>
    <cellStyle name="Output 2 10 6 2 4" xfId="16054"/>
    <cellStyle name="Total 2 9 12 3 4" xfId="16055"/>
    <cellStyle name="Input 2 12 3 2 7" xfId="16056"/>
    <cellStyle name="Input 2 12 3 3" xfId="16057"/>
    <cellStyle name="Note 2 2 2 4 2 2 2 2 3" xfId="16058"/>
    <cellStyle name="Output 2 8 2 9 2 3" xfId="16059"/>
    <cellStyle name="Input 2 12 3 3 2" xfId="16060"/>
    <cellStyle name="Input 2 12 3 3 2 2" xfId="16061"/>
    <cellStyle name="Input 2 12 3 3 2 3" xfId="16062"/>
    <cellStyle name="Input 2 12 3 3 2 4" xfId="16063"/>
    <cellStyle name="Input 2 4 2 3 2" xfId="16064"/>
    <cellStyle name="Note 2 12 3 3 2 2" xfId="16065"/>
    <cellStyle name="Input 2 12 3 3 3" xfId="16066"/>
    <cellStyle name="Input 2 12 3 3 3 2" xfId="16067"/>
    <cellStyle name="Input 2 12 3 3 3 3" xfId="16068"/>
    <cellStyle name="Input 2 12 3 3 3 4" xfId="16069"/>
    <cellStyle name="Input 2 4 2 4 2" xfId="16070"/>
    <cellStyle name="Note 2 12 3 3 3 2" xfId="16071"/>
    <cellStyle name="Input 2 12 3 3 4" xfId="16072"/>
    <cellStyle name="Output 2 10 6 3 2" xfId="16073"/>
    <cellStyle name="Output 2 6 3 4 5 2" xfId="16074"/>
    <cellStyle name="Input 2 12 3 3 4 2" xfId="16075"/>
    <cellStyle name="Input 2 12 3 3 4 3" xfId="16076"/>
    <cellStyle name="Total 2 9 12 4 2" xfId="16077"/>
    <cellStyle name="Input 2 12 3 3 5" xfId="16078"/>
    <cellStyle name="Output 2 10 6 3 3" xfId="16079"/>
    <cellStyle name="Output 2 6 3 4 5 3" xfId="16080"/>
    <cellStyle name="Total 2 9 12 4 3" xfId="16081"/>
    <cellStyle name="Input 2 12 3 3 6" xfId="16082"/>
    <cellStyle name="Output 2 10 6 3 4" xfId="16083"/>
    <cellStyle name="Output 2 4 6 2 2" xfId="16084"/>
    <cellStyle name="Input 2 12 3 3 7" xfId="16085"/>
    <cellStyle name="Output 2 4 6 2 3" xfId="16086"/>
    <cellStyle name="Input 2 12 3 4" xfId="16087"/>
    <cellStyle name="Output 2 8 2 9 2 4" xfId="16088"/>
    <cellStyle name="Input 2 12 3 4 2" xfId="16089"/>
    <cellStyle name="Input 2 12 3 4 2 2" xfId="16090"/>
    <cellStyle name="Input 2 12 3 4 2 3" xfId="16091"/>
    <cellStyle name="Input 2 12 3 4 2 4" xfId="16092"/>
    <cellStyle name="Input 2 4 3 3 2" xfId="16093"/>
    <cellStyle name="Note 2 12 3 4 2 2" xfId="16094"/>
    <cellStyle name="Input 2 12 3 4 3" xfId="16095"/>
    <cellStyle name="Input 2 12 3 4 3 2" xfId="16096"/>
    <cellStyle name="Input 2 12 3 4 3 3" xfId="16097"/>
    <cellStyle name="Input 2 12 3 4 3 4" xfId="16098"/>
    <cellStyle name="Input 2 4 3 4 2" xfId="16099"/>
    <cellStyle name="Note 2 12 3 4 3 2" xfId="16100"/>
    <cellStyle name="Input 2 12 3 4 4" xfId="16101"/>
    <cellStyle name="Output 2 10 6 4 2" xfId="16102"/>
    <cellStyle name="Input 2 12 3 4 4 2" xfId="16103"/>
    <cellStyle name="Input 2 12 3 4 4 3" xfId="16104"/>
    <cellStyle name="Input 2 12 3 4 5 2" xfId="16105"/>
    <cellStyle name="Input 2 12 3 4 5 3" xfId="16106"/>
    <cellStyle name="Input 2 12 3 5" xfId="16107"/>
    <cellStyle name="Input 2 12 3 5 2" xfId="16108"/>
    <cellStyle name="Total 2 14 19" xfId="16109"/>
    <cellStyle name="Input 2 12 3 5 2 2" xfId="16110"/>
    <cellStyle name="Input 2 12 3 5 2 3" xfId="16111"/>
    <cellStyle name="Input 2 12 3 5 2 4" xfId="16112"/>
    <cellStyle name="Input 2 4 4 3 2" xfId="16113"/>
    <cellStyle name="Note 2 12 3 5 2 2" xfId="16114"/>
    <cellStyle name="Input 2 12 3 5 3" xfId="16115"/>
    <cellStyle name="Input 2 12 3 5 3 3" xfId="16116"/>
    <cellStyle name="Input 2 12 3 5 3 4" xfId="16117"/>
    <cellStyle name="Input 2 4 4 4 2" xfId="16118"/>
    <cellStyle name="Note 2 12 3 5 3 2" xfId="16119"/>
    <cellStyle name="Input 2 12 3 5 4" xfId="16120"/>
    <cellStyle name="Output 2 10 6 5 2" xfId="16121"/>
    <cellStyle name="Input 2 12 3 5 4 3" xfId="16122"/>
    <cellStyle name="Input 2 12 3 5 5 3" xfId="16123"/>
    <cellStyle name="Input 2 12 3 6" xfId="16124"/>
    <cellStyle name="Input 2 12 3 6 2" xfId="16125"/>
    <cellStyle name="Input 2 12 3 6 2 2" xfId="16126"/>
    <cellStyle name="Input 2 12 3 6 2 3" xfId="16127"/>
    <cellStyle name="Input 2 12 3 6 2 4" xfId="16128"/>
    <cellStyle name="Input 2 4 5 3 2" xfId="16129"/>
    <cellStyle name="Note 2 12 3 6 2 2" xfId="16130"/>
    <cellStyle name="Input 2 12 3 6 3" xfId="16131"/>
    <cellStyle name="Input 2 12 3 6 3 3" xfId="16132"/>
    <cellStyle name="Input 2 12 3 6 3 4" xfId="16133"/>
    <cellStyle name="Input 2 4 5 4 2" xfId="16134"/>
    <cellStyle name="Note 2 12 3 6 3 2" xfId="16135"/>
    <cellStyle name="Input 2 12 3 6 4" xfId="16136"/>
    <cellStyle name="Input 2 12 3 6 4 3" xfId="16137"/>
    <cellStyle name="Input 2 12 3 6 5 3" xfId="16138"/>
    <cellStyle name="Input 2 12 3 6 7" xfId="16139"/>
    <cellStyle name="Output 2 4 6 5 3" xfId="16140"/>
    <cellStyle name="Input 2 12 3 7 2 2" xfId="16141"/>
    <cellStyle name="Input 2 12 3 7 2 3" xfId="16142"/>
    <cellStyle name="Input 2 12 3 7 2 4" xfId="16143"/>
    <cellStyle name="Input 2 4 6 3 2" xfId="16144"/>
    <cellStyle name="Note 2 12 3 7 2 2" xfId="16145"/>
    <cellStyle name="Input 2 12 3 7 3" xfId="16146"/>
    <cellStyle name="Input 2 12 3 7 3 2" xfId="16147"/>
    <cellStyle name="Input 2 12 3 7 3 3" xfId="16148"/>
    <cellStyle name="Input 2 12 3 7 3 4" xfId="16149"/>
    <cellStyle name="Input 2 4 6 4 2" xfId="16150"/>
    <cellStyle name="Note 2 12 3 7 3 2" xfId="16151"/>
    <cellStyle name="Input 2 12 3 7 4" xfId="16152"/>
    <cellStyle name="Input 2 12 3 7 4 2" xfId="16153"/>
    <cellStyle name="Input 2 12 3 7 4 3" xfId="16154"/>
    <cellStyle name="Input 2 12 3 7 5 2" xfId="16155"/>
    <cellStyle name="Input 2 12 3 7 5 3" xfId="16156"/>
    <cellStyle name="Input 2 12 3 7 7" xfId="16157"/>
    <cellStyle name="Input 2 12 3 8 3" xfId="16158"/>
    <cellStyle name="Input 2 12 3 8 3 2" xfId="16159"/>
    <cellStyle name="Input 2 12 3 8 3 3" xfId="16160"/>
    <cellStyle name="Input 2 12 3 8 3 4" xfId="16161"/>
    <cellStyle name="Input 2 4 7 4 2" xfId="16162"/>
    <cellStyle name="Note 2 12 3 8 3 2" xfId="16163"/>
    <cellStyle name="Input 2 12 3 8 4" xfId="16164"/>
    <cellStyle name="Input 2 12 3 8 4 2" xfId="16165"/>
    <cellStyle name="Input 2 12 3 8 4 3" xfId="16166"/>
    <cellStyle name="Input 2 12 3 8 5" xfId="16167"/>
    <cellStyle name="Input 2 12 3 8 5 2" xfId="16168"/>
    <cellStyle name="Input 2 12 3 8 5 3" xfId="16169"/>
    <cellStyle name="Input 2 12 3 8 6" xfId="16170"/>
    <cellStyle name="Input 2 12 3 8 7" xfId="16171"/>
    <cellStyle name="Input 2 12 3 9 2" xfId="16172"/>
    <cellStyle name="Input 2 12 3 9 2 2" xfId="16173"/>
    <cellStyle name="Note 2 2 2 4 10" xfId="16174"/>
    <cellStyle name="Input 2 12 3 9 2 3" xfId="16175"/>
    <cellStyle name="Input 2 12 3 9 2 4" xfId="16176"/>
    <cellStyle name="Input 2 4 8 3 2" xfId="16177"/>
    <cellStyle name="Note 2 12 3 9 2 2" xfId="16178"/>
    <cellStyle name="Input 2 12 3 9 3" xfId="16179"/>
    <cellStyle name="Normal 2 2 10 2" xfId="16180"/>
    <cellStyle name="Input 2 12 3 9 3 2" xfId="16181"/>
    <cellStyle name="Normal 2 2 10 2 2" xfId="16182"/>
    <cellStyle name="Input 2 12 3 9 3 3" xfId="16183"/>
    <cellStyle name="Input 2 12 3 9 3 4" xfId="16184"/>
    <cellStyle name="Input 2 4 8 4 2" xfId="16185"/>
    <cellStyle name="Note 2 12 3 9 3 2" xfId="16186"/>
    <cellStyle name="Input 2 12 3 9 4" xfId="16187"/>
    <cellStyle name="Normal 2 2 10 3" xfId="16188"/>
    <cellStyle name="Input 2 12 3 9 4 3" xfId="16189"/>
    <cellStyle name="Input 2 12 3 9 5" xfId="16190"/>
    <cellStyle name="Input 2 8 3 10 2 2" xfId="16191"/>
    <cellStyle name="Input 2 12 3 9 5 2" xfId="16192"/>
    <cellStyle name="Input 2 12 3 9 5 3" xfId="16193"/>
    <cellStyle name="Input 2 12 3 9 6" xfId="16194"/>
    <cellStyle name="Input 2 8 3 10 2 3" xfId="16195"/>
    <cellStyle name="Input 2 12 3 9 7" xfId="16196"/>
    <cellStyle name="Input 2 8 3 10 2 4" xfId="16197"/>
    <cellStyle name="Note 2 5 7 2 2" xfId="16198"/>
    <cellStyle name="Note 2 8 3 10 2 2" xfId="16199"/>
    <cellStyle name="Input 2 12 4 5" xfId="16200"/>
    <cellStyle name="Input 2 12 4 5 2" xfId="16201"/>
    <cellStyle name="Input 2 12 4 5 3" xfId="16202"/>
    <cellStyle name="Input 2 12 4 6" xfId="16203"/>
    <cellStyle name="Input 2 5 2 2" xfId="16204"/>
    <cellStyle name="Input 2 12 5 5 2" xfId="16205"/>
    <cellStyle name="Note 2 13 14" xfId="16206"/>
    <cellStyle name="Input 2 12 5 5 3" xfId="16207"/>
    <cellStyle name="Note 2 13 15" xfId="16208"/>
    <cellStyle name="Note 2 13 20" xfId="16209"/>
    <cellStyle name="Input 2 12 6" xfId="16210"/>
    <cellStyle name="Note 2 9 3 3 4" xfId="16211"/>
    <cellStyle name="Output 2 6 12 3 4" xfId="16212"/>
    <cellStyle name="Output 2 8 2 9 5" xfId="16213"/>
    <cellStyle name="Total 2 11 10 2" xfId="16214"/>
    <cellStyle name="Total 2 2 30" xfId="16215"/>
    <cellStyle name="Total 2 2 25" xfId="16216"/>
    <cellStyle name="Input 2 12 6 2 2" xfId="16217"/>
    <cellStyle name="Total 2 2 26" xfId="16218"/>
    <cellStyle name="Input 2 12 6 2 3" xfId="16219"/>
    <cellStyle name="Total 2 2 27" xfId="16220"/>
    <cellStyle name="Input 2 12 6 2 4" xfId="16221"/>
    <cellStyle name="Output 2 10 9 2 2" xfId="16222"/>
    <cellStyle name="Output 2 6 3 7 4 2" xfId="16223"/>
    <cellStyle name="Input 2 12 6 3" xfId="16224"/>
    <cellStyle name="Note 2 9 3 3 4 3" xfId="16225"/>
    <cellStyle name="Output 2 8 2 9 5 3" xfId="16226"/>
    <cellStyle name="Total 2 11 10 2 3" xfId="16227"/>
    <cellStyle name="Input 2 12 6 3 2" xfId="16228"/>
    <cellStyle name="Input 2 12 6 3 3" xfId="16229"/>
    <cellStyle name="Input 2 12 6 3 4" xfId="16230"/>
    <cellStyle name="Output 2 10 9 3 2" xfId="16231"/>
    <cellStyle name="Output 2 6 3 7 5 2" xfId="16232"/>
    <cellStyle name="Input 2 12 6 4" xfId="16233"/>
    <cellStyle name="Total 2 11 10 2 4" xfId="16234"/>
    <cellStyle name="Input 2 12 6 4 2" xfId="16235"/>
    <cellStyle name="Input 2 12 6 4 3" xfId="16236"/>
    <cellStyle name="Input 2 12 6 5" xfId="16237"/>
    <cellStyle name="Input 2 12 6 5 2" xfId="16238"/>
    <cellStyle name="Input 2 12 6 5 3" xfId="16239"/>
    <cellStyle name="Input 2 12 6 6" xfId="16240"/>
    <cellStyle name="Input 2 5 4 2" xfId="16241"/>
    <cellStyle name="Input 2 12 7 2 2" xfId="16242"/>
    <cellStyle name="Input 2 12 7 2 3" xfId="16243"/>
    <cellStyle name="Input 2 12 7 2 4" xfId="16244"/>
    <cellStyle name="Output 2 6 3 8 4 2" xfId="16245"/>
    <cellStyle name="Input 2 12 7 3" xfId="16246"/>
    <cellStyle name="Note 2 9 3 3 5 3" xfId="16247"/>
    <cellStyle name="Total 2 11 10 3 3" xfId="16248"/>
    <cellStyle name="Input 2 12 7 3 2" xfId="16249"/>
    <cellStyle name="Total 2 10 10 2 3" xfId="16250"/>
    <cellStyle name="Input 2 12 7 3 3" xfId="16251"/>
    <cellStyle name="Total 2 10 10 2 4" xfId="16252"/>
    <cellStyle name="Input 2 12 7 3 4" xfId="16253"/>
    <cellStyle name="Output 2 6 3 8 5 2" xfId="16254"/>
    <cellStyle name="Input 2 12 7 4 3" xfId="16255"/>
    <cellStyle name="Total 2 10 10 3 4" xfId="16256"/>
    <cellStyle name="Input 2 12 7 5 2" xfId="16257"/>
    <cellStyle name="Total 2 10 10 4 3" xfId="16258"/>
    <cellStyle name="Input 2 12 7 5 3" xfId="16259"/>
    <cellStyle name="Input 2 12 8 2 2" xfId="16260"/>
    <cellStyle name="Input 2 12 8 2 3" xfId="16261"/>
    <cellStyle name="Input 2 12 8 2 4" xfId="16262"/>
    <cellStyle name="Output 2 6 3 9 4 2" xfId="16263"/>
    <cellStyle name="Input 2 12 8 3" xfId="16264"/>
    <cellStyle name="Total 2 11 10 4 3" xfId="16265"/>
    <cellStyle name="Input 2 12 8 3 2" xfId="16266"/>
    <cellStyle name="Total 2 10 11 2 3" xfId="16267"/>
    <cellStyle name="Input 2 12 8 3 3" xfId="16268"/>
    <cellStyle name="Total 2 10 11 2 4" xfId="16269"/>
    <cellStyle name="Input 2 12 8 3 4" xfId="16270"/>
    <cellStyle name="Output 2 6 3 9 5 2" xfId="16271"/>
    <cellStyle name="Input 2 12 8 4 2" xfId="16272"/>
    <cellStyle name="Total 2 10 11 3 3" xfId="16273"/>
    <cellStyle name="Input 2 12 8 4 3" xfId="16274"/>
    <cellStyle name="Total 2 10 11 3 4" xfId="16275"/>
    <cellStyle name="Input 2 12 8 5" xfId="16276"/>
    <cellStyle name="Input 2 12 8 5 2" xfId="16277"/>
    <cellStyle name="Total 2 10 11 4 3" xfId="16278"/>
    <cellStyle name="Input 2 12 8 5 3" xfId="16279"/>
    <cellStyle name="Input 2 12 8 6" xfId="16280"/>
    <cellStyle name="Input 2 5 6 2" xfId="16281"/>
    <cellStyle name="Input 2 12 9 2 2" xfId="16282"/>
    <cellStyle name="Input 2 12 9 2 3" xfId="16283"/>
    <cellStyle name="Input 2 12 9 2 4" xfId="16284"/>
    <cellStyle name="Input 2 12 9 3" xfId="16285"/>
    <cellStyle name="Total 2 11 10 5 3" xfId="16286"/>
    <cellStyle name="Input 2 12 9 3 2" xfId="16287"/>
    <cellStyle name="Output 2 2 2 10 3" xfId="16288"/>
    <cellStyle name="Total 2 10 12 2 3" xfId="16289"/>
    <cellStyle name="Input 2 12 9 3 3" xfId="16290"/>
    <cellStyle name="Output 2 2 2 10 4" xfId="16291"/>
    <cellStyle name="Total 2 10 12 2 4" xfId="16292"/>
    <cellStyle name="Input 2 12 9 3 4" xfId="16293"/>
    <cellStyle name="Output 2 2 2 10 5" xfId="16294"/>
    <cellStyle name="Input 2 12 9 4 2" xfId="16295"/>
    <cellStyle name="Output 2 2 2 11 3" xfId="16296"/>
    <cellStyle name="Total 2 10 12 3 3" xfId="16297"/>
    <cellStyle name="Input 2 12 9 4 3" xfId="16298"/>
    <cellStyle name="Output 2 2 2 11 4" xfId="16299"/>
    <cellStyle name="Total 2 10 12 3 4" xfId="16300"/>
    <cellStyle name="Input 2 12 9 5" xfId="16301"/>
    <cellStyle name="Input 2 12 9 5 2" xfId="16302"/>
    <cellStyle name="Output 2 2 2 12 3" xfId="16303"/>
    <cellStyle name="Total 2 10 12 4 3" xfId="16304"/>
    <cellStyle name="Input 2 12 9 5 3" xfId="16305"/>
    <cellStyle name="Normal 21 2" xfId="16306"/>
    <cellStyle name="Output 2 2 2 12 4" xfId="16307"/>
    <cellStyle name="Input 2 12 9 6" xfId="16308"/>
    <cellStyle name="Input 2 5 7 2" xfId="16309"/>
    <cellStyle name="Input 2 13" xfId="16310"/>
    <cellStyle name="Input 2 13 10" xfId="16311"/>
    <cellStyle name="Input 2 13 10 2" xfId="16312"/>
    <cellStyle name="Input 2 13 10 2 2" xfId="16313"/>
    <cellStyle name="Input 2 13 10 3" xfId="16314"/>
    <cellStyle name="Input 2 13 10 3 2" xfId="16315"/>
    <cellStyle name="Input 2 13 10 4" xfId="16316"/>
    <cellStyle name="Input 2 13 10 4 2" xfId="16317"/>
    <cellStyle name="Output 2 10 2 6 2 3" xfId="16318"/>
    <cellStyle name="Input 2 13 10 5" xfId="16319"/>
    <cellStyle name="Input 2 13 10 5 2" xfId="16320"/>
    <cellStyle name="Output 2 10 2 6 3 3" xfId="16321"/>
    <cellStyle name="Input 2 13 11" xfId="16322"/>
    <cellStyle name="Input 2 13 11 2" xfId="16323"/>
    <cellStyle name="Input 2 13 11 2 2" xfId="16324"/>
    <cellStyle name="Input 2 13 11 3" xfId="16325"/>
    <cellStyle name="Input 2 13 11 3 2" xfId="16326"/>
    <cellStyle name="Input 2 13 11 4" xfId="16327"/>
    <cellStyle name="Input 2 13 11 4 2" xfId="16328"/>
    <cellStyle name="Output 2 10 2 7 2 3" xfId="16329"/>
    <cellStyle name="Input 2 13 11 5" xfId="16330"/>
    <cellStyle name="Input 2 13 11 5 2" xfId="16331"/>
    <cellStyle name="Output 2 10 2 7 3 3" xfId="16332"/>
    <cellStyle name="Input 2 13 11 6" xfId="16333"/>
    <cellStyle name="Input 2 13 11 7" xfId="16334"/>
    <cellStyle name="Input 2 13 12" xfId="16335"/>
    <cellStyle name="Note 2 9 3 12 2" xfId="16336"/>
    <cellStyle name="Input 2 13 12 2" xfId="16337"/>
    <cellStyle name="Input 2 13 12 2 2" xfId="16338"/>
    <cellStyle name="Input 2 13 12 3" xfId="16339"/>
    <cellStyle name="Input 2 13 12 3 2" xfId="16340"/>
    <cellStyle name="Input 2 13 12 4" xfId="16341"/>
    <cellStyle name="Input 2 13 12 4 2" xfId="16342"/>
    <cellStyle name="Output 2 10 2 8 2 3" xfId="16343"/>
    <cellStyle name="Input 2 13 12 5" xfId="16344"/>
    <cellStyle name="Input 2 13 12 5 2" xfId="16345"/>
    <cellStyle name="Input 2 14 2 12" xfId="16346"/>
    <cellStyle name="Output 2 10 2 8 3 3" xfId="16347"/>
    <cellStyle name="Total 2 10 2 16" xfId="16348"/>
    <cellStyle name="Input 2 13 12 6" xfId="16349"/>
    <cellStyle name="Input 2 13 12 7" xfId="16350"/>
    <cellStyle name="Input 2 13 13" xfId="16351"/>
    <cellStyle name="Note 2 9 3 12 3" xfId="16352"/>
    <cellStyle name="Input 2 13 13 2" xfId="16353"/>
    <cellStyle name="Input 2 13 13 3" xfId="16354"/>
    <cellStyle name="Input 2 13 13 4" xfId="16355"/>
    <cellStyle name="Input 2 13 14" xfId="16356"/>
    <cellStyle name="Note 2 4 14 2" xfId="16357"/>
    <cellStyle name="Note 2 9 3 12 4" xfId="16358"/>
    <cellStyle name="Output 2 7 2 4 5 2" xfId="16359"/>
    <cellStyle name="Input 2 13 14 2" xfId="16360"/>
    <cellStyle name="Input 2 13 14 3" xfId="16361"/>
    <cellStyle name="Input 2 13 14 4" xfId="16362"/>
    <cellStyle name="Input 2 13 15" xfId="16363"/>
    <cellStyle name="Note 2 4 14 3" xfId="16364"/>
    <cellStyle name="Note 2 6 5 3 2" xfId="16365"/>
    <cellStyle name="Output 2 7 2 4 5 3" xfId="16366"/>
    <cellStyle name="Input 2 13 15 2" xfId="16367"/>
    <cellStyle name="Input 2 13 15 3" xfId="16368"/>
    <cellStyle name="Input 2 13 16" xfId="16369"/>
    <cellStyle name="Note 2 4 14 4" xfId="16370"/>
    <cellStyle name="Note 2 6 5 3 3" xfId="16371"/>
    <cellStyle name="Input 2 13 16 2" xfId="16372"/>
    <cellStyle name="Input 2 13 16 3" xfId="16373"/>
    <cellStyle name="Input 2 13 17" xfId="16374"/>
    <cellStyle name="Note 2 16 8 5 2" xfId="16375"/>
    <cellStyle name="Note 2 4 14 5" xfId="16376"/>
    <cellStyle name="Note 2 6 5 3 4" xfId="16377"/>
    <cellStyle name="Input 2 13 2" xfId="16378"/>
    <cellStyle name="Output 2 2 2 4 2 3" xfId="16379"/>
    <cellStyle name="Input 2 13 2 10" xfId="16380"/>
    <cellStyle name="Input 2 13 2 10 3 4" xfId="16381"/>
    <cellStyle name="Input 2 13 2 10 5 2" xfId="16382"/>
    <cellStyle name="Output 2 11 2 11 3" xfId="16383"/>
    <cellStyle name="Input 2 13 2 10 5 3" xfId="16384"/>
    <cellStyle name="Output 2 11 2 11 4" xfId="16385"/>
    <cellStyle name="Input 2 13 2 11" xfId="16386"/>
    <cellStyle name="Output 2 10 2 3 3 2" xfId="16387"/>
    <cellStyle name="Input 2 13 2 11 2" xfId="16388"/>
    <cellStyle name="Input 2 13 2 11 3" xfId="16389"/>
    <cellStyle name="Note 2 18 2 2" xfId="16390"/>
    <cellStyle name="Note 2 23 2 2" xfId="16391"/>
    <cellStyle name="Input 2 13 2 11 4" xfId="16392"/>
    <cellStyle name="Note 2 18 2 3" xfId="16393"/>
    <cellStyle name="Note 2 23 2 3" xfId="16394"/>
    <cellStyle name="Input 2 13 2 12" xfId="16395"/>
    <cellStyle name="Output 2 10 2 3 3 3" xfId="16396"/>
    <cellStyle name="Input 2 13 2 12 2" xfId="16397"/>
    <cellStyle name="Input 2 13 2 12 3" xfId="16398"/>
    <cellStyle name="Note 2 18 3 2" xfId="16399"/>
    <cellStyle name="Note 2 23 3 2" xfId="16400"/>
    <cellStyle name="Input 2 13 2 12 4" xfId="16401"/>
    <cellStyle name="Note 2 18 3 3" xfId="16402"/>
    <cellStyle name="Note 2 23 3 3" xfId="16403"/>
    <cellStyle name="Input 2 13 2 13 2" xfId="16404"/>
    <cellStyle name="Input 2 13 2 13 3" xfId="16405"/>
    <cellStyle name="Note 2 18 4 2" xfId="16406"/>
    <cellStyle name="Note 2 23 4 2" xfId="16407"/>
    <cellStyle name="Input 2 13 2 16" xfId="16408"/>
    <cellStyle name="Output 2 9 2 10 5 3" xfId="16409"/>
    <cellStyle name="Input 2 13 2 2" xfId="16410"/>
    <cellStyle name="Input 2 13 2 2 2" xfId="16411"/>
    <cellStyle name="Note 2 4 3 9 4" xfId="16412"/>
    <cellStyle name="Input 2 13 2 2 2 2" xfId="16413"/>
    <cellStyle name="Note 2 4 3 9 4 2" xfId="16414"/>
    <cellStyle name="Output 2 2 2 2 5" xfId="16415"/>
    <cellStyle name="Input 2 13 2 2 2 3" xfId="16416"/>
    <cellStyle name="Note 2 4 3 9 4 3" xfId="16417"/>
    <cellStyle name="Output 2 2 2 2 6" xfId="16418"/>
    <cellStyle name="Input 2 13 2 2 2 4" xfId="16419"/>
    <cellStyle name="Note 2 13 2 2 2 2" xfId="16420"/>
    <cellStyle name="Output 2 2 2 2 7" xfId="16421"/>
    <cellStyle name="Input 2 13 2 3" xfId="16422"/>
    <cellStyle name="Input 2 13 2 3 2" xfId="16423"/>
    <cellStyle name="Input 2 4 2 14" xfId="16424"/>
    <cellStyle name="Input 2 13 2 3 2 2" xfId="16425"/>
    <cellStyle name="Input 2 4 2 14 2" xfId="16426"/>
    <cellStyle name="Output 2 2 3 2 5" xfId="16427"/>
    <cellStyle name="Input 2 13 2 3 2 3" xfId="16428"/>
    <cellStyle name="Input 2 4 2 14 3" xfId="16429"/>
    <cellStyle name="Output 2 2 3 2 6" xfId="16430"/>
    <cellStyle name="Input 2 13 2 3 3" xfId="16431"/>
    <cellStyle name="Input 2 4 2 15" xfId="16432"/>
    <cellStyle name="Input 2 13 2 3 3 2" xfId="16433"/>
    <cellStyle name="Output 2 2 3 3 5" xfId="16434"/>
    <cellStyle name="Input 2 13 2 3 3 3" xfId="16435"/>
    <cellStyle name="Output 2 2 3 3 6" xfId="16436"/>
    <cellStyle name="Input 2 13 2 3 4" xfId="16437"/>
    <cellStyle name="Input 2 4 2 16" xfId="16438"/>
    <cellStyle name="Output 2 11 5 3 2" xfId="16439"/>
    <cellStyle name="Input 2 13 2 3 4 2" xfId="16440"/>
    <cellStyle name="Output 2 2 3 4 5" xfId="16441"/>
    <cellStyle name="Input 2 13 2 3 4 3" xfId="16442"/>
    <cellStyle name="Output 2 2 3 4 6" xfId="16443"/>
    <cellStyle name="Input 2 13 2 3 5" xfId="16444"/>
    <cellStyle name="Input 2 4 2 17" xfId="16445"/>
    <cellStyle name="Output 2 11 5 3 3" xfId="16446"/>
    <cellStyle name="Input 2 13 2 3 5 2" xfId="16447"/>
    <cellStyle name="Output 2 2 3 5 5" xfId="16448"/>
    <cellStyle name="Input 2 13 2 3 5 3" xfId="16449"/>
    <cellStyle name="Output 2 2 3 5 6" xfId="16450"/>
    <cellStyle name="Input 2 13 2 3 6" xfId="16451"/>
    <cellStyle name="Input 2 4 2 18" xfId="16452"/>
    <cellStyle name="Output 2 11 5 3 4" xfId="16453"/>
    <cellStyle name="Note 2 13 7 2" xfId="16454"/>
    <cellStyle name="Output 2 5 5 2 2" xfId="16455"/>
    <cellStyle name="Input 2 13 2 3 7" xfId="16456"/>
    <cellStyle name="Note 2 13 7 3" xfId="16457"/>
    <cellStyle name="Output 2 5 5 2 3" xfId="16458"/>
    <cellStyle name="Input 2 13 2 4" xfId="16459"/>
    <cellStyle name="Input 2 13 2 4 2" xfId="16460"/>
    <cellStyle name="Input 2 13 2 4 2 2" xfId="16461"/>
    <cellStyle name="Input 2 13 2 4 2 3" xfId="16462"/>
    <cellStyle name="Input 2 13 2 4 2 4" xfId="16463"/>
    <cellStyle name="Note 2 13 2 4 2 2" xfId="16464"/>
    <cellStyle name="Input 2 13 2 4 3" xfId="16465"/>
    <cellStyle name="Input 2 13 2 4 3 2" xfId="16466"/>
    <cellStyle name="Input 2 13 2 4 3 3" xfId="16467"/>
    <cellStyle name="Input 2 13 2 4 3 4" xfId="16468"/>
    <cellStyle name="Note 2 13 2 4 3 2" xfId="16469"/>
    <cellStyle name="Input 2 13 2 4 4" xfId="16470"/>
    <cellStyle name="Output 2 11 5 4 2" xfId="16471"/>
    <cellStyle name="Input 2 13 2 4 4 2" xfId="16472"/>
    <cellStyle name="Input 2 13 2 4 4 3" xfId="16473"/>
    <cellStyle name="Input 2 13 2 4 5" xfId="16474"/>
    <cellStyle name="Output 2 11 5 4 3" xfId="16475"/>
    <cellStyle name="Input 2 13 2 4 5 2" xfId="16476"/>
    <cellStyle name="Input 2 13 2 4 5 3" xfId="16477"/>
    <cellStyle name="Input 2 13 2 4 6" xfId="16478"/>
    <cellStyle name="Note 2 13 8 2" xfId="16479"/>
    <cellStyle name="Output 2 5 5 3 2" xfId="16480"/>
    <cellStyle name="Input 2 13 2 4 7" xfId="16481"/>
    <cellStyle name="Note 2 13 8 3" xfId="16482"/>
    <cellStyle name="Output 2 5 5 3 3" xfId="16483"/>
    <cellStyle name="Input 2 13 2 5" xfId="16484"/>
    <cellStyle name="Input 2 7 3 6 5 2" xfId="16485"/>
    <cellStyle name="Input 2 13 2 5 2" xfId="16486"/>
    <cellStyle name="Input 2 13 2 5 2 2" xfId="16487"/>
    <cellStyle name="Output 2 10 10 5 3" xfId="16488"/>
    <cellStyle name="Total 2 10 3 13 3" xfId="16489"/>
    <cellStyle name="Input 2 13 2 5 2 3" xfId="16490"/>
    <cellStyle name="Input 2 13 2 5 2 4" xfId="16491"/>
    <cellStyle name="Note 2 13 2 5 2 2" xfId="16492"/>
    <cellStyle name="Input 2 13 2 5 3" xfId="16493"/>
    <cellStyle name="Input 2 13 2 5 3 2" xfId="16494"/>
    <cellStyle name="Input 2 14 3 10 3" xfId="16495"/>
    <cellStyle name="Total 2 13 11 6" xfId="16496"/>
    <cellStyle name="Note 2 10 14" xfId="16497"/>
    <cellStyle name="Total 2 10 3 14 3" xfId="16498"/>
    <cellStyle name="Input 2 13 2 5 3 3" xfId="16499"/>
    <cellStyle name="Input 2 14 3 10 4" xfId="16500"/>
    <cellStyle name="Total 2 13 11 7" xfId="16501"/>
    <cellStyle name="Note 2 10 15" xfId="16502"/>
    <cellStyle name="Note 2 10 20" xfId="16503"/>
    <cellStyle name="Input 2 13 2 5 3 4" xfId="16504"/>
    <cellStyle name="Input 2 14 3 10 5" xfId="16505"/>
    <cellStyle name="Note 2 10 16" xfId="16506"/>
    <cellStyle name="Note 2 13 2 5 3 2" xfId="16507"/>
    <cellStyle name="Input 2 13 2 5 4" xfId="16508"/>
    <cellStyle name="Output 2 11 5 5 2" xfId="16509"/>
    <cellStyle name="Output 2 2 2 8 6 2 2" xfId="16510"/>
    <cellStyle name="Input 2 13 2 5 4 2" xfId="16511"/>
    <cellStyle name="Input 2 14 3 11 3" xfId="16512"/>
    <cellStyle name="Total 2 13 12 6" xfId="16513"/>
    <cellStyle name="Output 2 5 2 14" xfId="16514"/>
    <cellStyle name="Input 2 13 2 5 4 3" xfId="16515"/>
    <cellStyle name="Input 2 14 3 11 4" xfId="16516"/>
    <cellStyle name="Total 2 13 12 7" xfId="16517"/>
    <cellStyle name="Output 2 5 2 15" xfId="16518"/>
    <cellStyle name="Input 2 13 2 5 5" xfId="16519"/>
    <cellStyle name="Output 2 11 5 5 3" xfId="16520"/>
    <cellStyle name="Input 2 13 2 5 5 2" xfId="16521"/>
    <cellStyle name="Input 2 14 3 12 3" xfId="16522"/>
    <cellStyle name="Input 2 13 2 5 5 3" xfId="16523"/>
    <cellStyle name="Input 2 14 3 12 4" xfId="16524"/>
    <cellStyle name="Input 2 13 2 5 6" xfId="16525"/>
    <cellStyle name="Output 2 13 2 6 2 2" xfId="16526"/>
    <cellStyle name="Note 2 13 9 2" xfId="16527"/>
    <cellStyle name="Output 2 5 5 4 2" xfId="16528"/>
    <cellStyle name="Input 2 13 2 5 7" xfId="16529"/>
    <cellStyle name="Output 2 13 2 6 2 3" xfId="16530"/>
    <cellStyle name="Note 2 13 9 3" xfId="16531"/>
    <cellStyle name="Output 2 5 5 4 3" xfId="16532"/>
    <cellStyle name="Input 2 13 2 6" xfId="16533"/>
    <cellStyle name="Input 2 7 3 6 5 3" xfId="16534"/>
    <cellStyle name="Input 2 13 2 6 2" xfId="16535"/>
    <cellStyle name="Input 2 13 2 6 2 2" xfId="16536"/>
    <cellStyle name="Output 2 10 11 5 3" xfId="16537"/>
    <cellStyle name="Input 2 13 2 6 2 3" xfId="16538"/>
    <cellStyle name="Input 2 13 2 6 2 4" xfId="16539"/>
    <cellStyle name="Note 2 13 2 6 2 2" xfId="16540"/>
    <cellStyle name="Input 2 13 2 7 2 2" xfId="16541"/>
    <cellStyle name="Output 2 10 12 5 3" xfId="16542"/>
    <cellStyle name="Input 2 13 2 7 2 3" xfId="16543"/>
    <cellStyle name="Input 2 13 2 7 2 4" xfId="16544"/>
    <cellStyle name="Note 2 13 2 7 2 2" xfId="16545"/>
    <cellStyle name="Input 2 13 2 7 3 4" xfId="16546"/>
    <cellStyle name="Note 2 13 2 7 3 2" xfId="16547"/>
    <cellStyle name="Input 2 13 2 7 4 2" xfId="16548"/>
    <cellStyle name="Input 2 13 2 7 4 3" xfId="16549"/>
    <cellStyle name="Input 2 13 2 7 5" xfId="16550"/>
    <cellStyle name="Input 2 13 2 7 5 2" xfId="16551"/>
    <cellStyle name="Input 2 13 2 7 5 3" xfId="16552"/>
    <cellStyle name="Input 2 13 2 7 6" xfId="16553"/>
    <cellStyle name="Output 2 13 2 6 4 2" xfId="16554"/>
    <cellStyle name="Output 2 7 2 5 2 2" xfId="16555"/>
    <cellStyle name="Input 2 13 2 7 7" xfId="16556"/>
    <cellStyle name="Output 2 13 2 6 4 3" xfId="16557"/>
    <cellStyle name="Output 2 7 2 5 2 3" xfId="16558"/>
    <cellStyle name="Input 2 13 2 8 2 2" xfId="16559"/>
    <cellStyle name="Input 2 4 3 14 2" xfId="16560"/>
    <cellStyle name="Input 2 13 2 8 2 3" xfId="16561"/>
    <cellStyle name="Input 2 4 3 14 3" xfId="16562"/>
    <cellStyle name="Input 2 13 2 8 3 3" xfId="16563"/>
    <cellStyle name="Input 2 13 2 8 4" xfId="16564"/>
    <cellStyle name="Input 2 4 3 16" xfId="16565"/>
    <cellStyle name="Input 2 13 2 8 4 2" xfId="16566"/>
    <cellStyle name="Input 2 13 2 8 4 3" xfId="16567"/>
    <cellStyle name="Input 2 13 2 8 5" xfId="16568"/>
    <cellStyle name="Input 2 4 3 17" xfId="16569"/>
    <cellStyle name="Input 2 13 2 8 5 2" xfId="16570"/>
    <cellStyle name="Input 2 9" xfId="16571"/>
    <cellStyle name="Input 2 13 2 8 5 3" xfId="16572"/>
    <cellStyle name="Input 2 13 2 8 6" xfId="16573"/>
    <cellStyle name="Output 2 13 2 6 5 2" xfId="16574"/>
    <cellStyle name="Input 2 4 3 18" xfId="16575"/>
    <cellStyle name="Output 2 7 2 5 3 2" xfId="16576"/>
    <cellStyle name="Input 2 13 2 8 7" xfId="16577"/>
    <cellStyle name="Output 2 13 2 6 5 3" xfId="16578"/>
    <cellStyle name="Output 2 7 2 5 3 3" xfId="16579"/>
    <cellStyle name="Input 2 13 2 9" xfId="16580"/>
    <cellStyle name="Input 2 13 2 9 2" xfId="16581"/>
    <cellStyle name="Input 2 13 2 9 2 2" xfId="16582"/>
    <cellStyle name="Input 2 13 2 9 2 3" xfId="16583"/>
    <cellStyle name="Input 2 13 2 9 2 4" xfId="16584"/>
    <cellStyle name="Note 2 13 2 9 2 2" xfId="16585"/>
    <cellStyle name="Input 2 13 2 9 3" xfId="16586"/>
    <cellStyle name="Input 2 13 2 9 3 2" xfId="16587"/>
    <cellStyle name="Input 2 13 2 9 3 3" xfId="16588"/>
    <cellStyle name="Input 2 13 2 9 3 4" xfId="16589"/>
    <cellStyle name="Note 2 13 2 9 3 2" xfId="16590"/>
    <cellStyle name="Input 2 13 2 9 4" xfId="16591"/>
    <cellStyle name="Input 2 13 2 9 4 2" xfId="16592"/>
    <cellStyle name="Output 2 12 3 10 2 3" xfId="16593"/>
    <cellStyle name="Input 2 13 2 9 4 3" xfId="16594"/>
    <cellStyle name="Output 2 12 3 10 2 4" xfId="16595"/>
    <cellStyle name="Input 2 13 2 9 5" xfId="16596"/>
    <cellStyle name="Input 2 13 2 9 5 2" xfId="16597"/>
    <cellStyle name="Normal 2 36" xfId="16598"/>
    <cellStyle name="Normal 2 41" xfId="16599"/>
    <cellStyle name="Output 2 12 3 10 3 3" xfId="16600"/>
    <cellStyle name="Input 2 13 2 9 5 3" xfId="16601"/>
    <cellStyle name="Normal 2 37" xfId="16602"/>
    <cellStyle name="Normal 2 42" xfId="16603"/>
    <cellStyle name="Output 2 12 3 10 3 4" xfId="16604"/>
    <cellStyle name="Input 2 13 2 9 6" xfId="16605"/>
    <cellStyle name="Output 2 7 2 5 4 2" xfId="16606"/>
    <cellStyle name="Input 2 13 2 9 7" xfId="16607"/>
    <cellStyle name="Note 2 6 6 2 2" xfId="16608"/>
    <cellStyle name="Output 2 7 2 5 4 3" xfId="16609"/>
    <cellStyle name="Input 2 13 3 10 2" xfId="16610"/>
    <cellStyle name="Input 2 13 3 12" xfId="16611"/>
    <cellStyle name="Input 2 13 3 10 2 2" xfId="16612"/>
    <cellStyle name="Input 2 13 3 12 2" xfId="16613"/>
    <cellStyle name="Input 2 13 3 10 2 3" xfId="16614"/>
    <cellStyle name="Input 2 13 3 12 3" xfId="16615"/>
    <cellStyle name="Input 2 13 3 10 2 4" xfId="16616"/>
    <cellStyle name="Input 2 13 3 12 4" xfId="16617"/>
    <cellStyle name="Input 2 13 3 10 3" xfId="16618"/>
    <cellStyle name="Input 2 13 3 13" xfId="16619"/>
    <cellStyle name="Input 2 13 3 10 3 2" xfId="16620"/>
    <cellStyle name="Input 2 13 3 13 2" xfId="16621"/>
    <cellStyle name="Input 2 13 3 10 3 3" xfId="16622"/>
    <cellStyle name="Input 2 13 3 13 3" xfId="16623"/>
    <cellStyle name="Input 2 13 3 10 3 4" xfId="16624"/>
    <cellStyle name="Input 2 13 3 10 4" xfId="16625"/>
    <cellStyle name="Input 2 13 3 14" xfId="16626"/>
    <cellStyle name="Input 2 13 3 10 4 2" xfId="16627"/>
    <cellStyle name="Input 2 13 3 14 2" xfId="16628"/>
    <cellStyle name="Output 2 12 2 10 3" xfId="16629"/>
    <cellStyle name="Input 2 13 3 10 4 3" xfId="16630"/>
    <cellStyle name="Input 2 13 3 14 3" xfId="16631"/>
    <cellStyle name="Output 2 12 2 10 4" xfId="16632"/>
    <cellStyle name="Input 2 13 3 10 5" xfId="16633"/>
    <cellStyle name="Input 2 13 3 15" xfId="16634"/>
    <cellStyle name="Normal 3 3 2 2" xfId="16635"/>
    <cellStyle name="Input 2 13 3 10 5 2" xfId="16636"/>
    <cellStyle name="Normal 3 3 2 2 2" xfId="16637"/>
    <cellStyle name="Output 2 12 2 11 3" xfId="16638"/>
    <cellStyle name="Input 2 13 3 10 5 3" xfId="16639"/>
    <cellStyle name="Output 2 12 2 11 4" xfId="16640"/>
    <cellStyle name="Input 2 13 3 11" xfId="16641"/>
    <cellStyle name="Input 2 13 3 11 2" xfId="16642"/>
    <cellStyle name="Input 2 13 3 11 3" xfId="16643"/>
    <cellStyle name="Input 2 13 3 11 4" xfId="16644"/>
    <cellStyle name="Input 2 13 3 2 2" xfId="16645"/>
    <cellStyle name="Input 2 13 3 2 2 2" xfId="16646"/>
    <cellStyle name="Output 2 3 2 2 5" xfId="16647"/>
    <cellStyle name="Input 2 13 3 2 2 3" xfId="16648"/>
    <cellStyle name="Output 2 3 2 2 6" xfId="16649"/>
    <cellStyle name="Input 2 13 3 2 2 4" xfId="16650"/>
    <cellStyle name="Note 2 13 3 2 2 2" xfId="16651"/>
    <cellStyle name="Output 2 3 2 2 7" xfId="16652"/>
    <cellStyle name="Input 2 13 3 3" xfId="16653"/>
    <cellStyle name="Input 2 13 3 3 2" xfId="16654"/>
    <cellStyle name="Input 2 13 3 3 2 2" xfId="16655"/>
    <cellStyle name="Output 2 3 3 2 5" xfId="16656"/>
    <cellStyle name="Input 2 13 3 3 2 3" xfId="16657"/>
    <cellStyle name="Output 2 3 3 2 6" xfId="16658"/>
    <cellStyle name="Input 2 13 3 3 2 4" xfId="16659"/>
    <cellStyle name="Note 2 13 3 3 2 2" xfId="16660"/>
    <cellStyle name="Output 2 3 3 2 7" xfId="16661"/>
    <cellStyle name="Input 2 13 3 3 3" xfId="16662"/>
    <cellStyle name="Input 2 13 3 3 3 2" xfId="16663"/>
    <cellStyle name="Output 2 3 3 3 5" xfId="16664"/>
    <cellStyle name="Input 2 13 3 3 3 3" xfId="16665"/>
    <cellStyle name="Output 2 3 3 3 6" xfId="16666"/>
    <cellStyle name="Input 2 13 3 3 3 4" xfId="16667"/>
    <cellStyle name="Note 2 13 3 3 3 2" xfId="16668"/>
    <cellStyle name="Output 2 3 3 3 7" xfId="16669"/>
    <cellStyle name="Input 2 13 3 3 4" xfId="16670"/>
    <cellStyle name="Output 2 11 6 3 2" xfId="16671"/>
    <cellStyle name="Input 2 13 3 3 4 2" xfId="16672"/>
    <cellStyle name="Output 2 3 3 4 5" xfId="16673"/>
    <cellStyle name="Input 2 13 3 3 4 3" xfId="16674"/>
    <cellStyle name="Output 2 3 3 4 6" xfId="16675"/>
    <cellStyle name="Input 2 13 3 3 5" xfId="16676"/>
    <cellStyle name="Output 2 11 6 3 3" xfId="16677"/>
    <cellStyle name="Input 2 13 3 3 5 2" xfId="16678"/>
    <cellStyle name="Output 2 3 3 5 5" xfId="16679"/>
    <cellStyle name="Input 2 13 3 3 5 3" xfId="16680"/>
    <cellStyle name="Output 2 3 3 5 6" xfId="16681"/>
    <cellStyle name="Input 2 13 3 3 6" xfId="16682"/>
    <cellStyle name="Output 2 11 6 3 4" xfId="16683"/>
    <cellStyle name="Note 2 14 7 2" xfId="16684"/>
    <cellStyle name="Output 2 5 6 2 2" xfId="16685"/>
    <cellStyle name="Input 2 13 3 3 7" xfId="16686"/>
    <cellStyle name="Note 2 14 7 3" xfId="16687"/>
    <cellStyle name="Output 2 5 6 2 3" xfId="16688"/>
    <cellStyle name="Input 2 13 3 4" xfId="16689"/>
    <cellStyle name="Input 2 13 3 4 2" xfId="16690"/>
    <cellStyle name="Input 2 13 3 4 2 2" xfId="16691"/>
    <cellStyle name="Input 2 13 3 4 2 3" xfId="16692"/>
    <cellStyle name="Input 2 13 3 4 2 4" xfId="16693"/>
    <cellStyle name="Note 2 13 3 4 2 2" xfId="16694"/>
    <cellStyle name="Input 2 13 3 4 3" xfId="16695"/>
    <cellStyle name="Input 2 13 3 4 3 2" xfId="16696"/>
    <cellStyle name="Input 2 13 3 4 3 3" xfId="16697"/>
    <cellStyle name="Input 2 13 3 4 3 4" xfId="16698"/>
    <cellStyle name="Note 2 13 3 4 3 2" xfId="16699"/>
    <cellStyle name="Input 2 13 3 4 4" xfId="16700"/>
    <cellStyle name="Output 2 11 6 4 2" xfId="16701"/>
    <cellStyle name="Input 2 13 3 4 4 2" xfId="16702"/>
    <cellStyle name="Input 2 13 3 4 4 3" xfId="16703"/>
    <cellStyle name="Input 2 13 3 4 5" xfId="16704"/>
    <cellStyle name="Output 2 11 6 4 3" xfId="16705"/>
    <cellStyle name="Input 2 13 3 4 5 2" xfId="16706"/>
    <cellStyle name="Input 2 13 3 4 5 3" xfId="16707"/>
    <cellStyle name="Input 2 13 3 4 6" xfId="16708"/>
    <cellStyle name="Note 2 14 8 2" xfId="16709"/>
    <cellStyle name="Output 2 5 6 3 2" xfId="16710"/>
    <cellStyle name="Input 2 13 3 4 7" xfId="16711"/>
    <cellStyle name="Note 2 14 8 3" xfId="16712"/>
    <cellStyle name="Output 2 5 6 3 3" xfId="16713"/>
    <cellStyle name="Input 2 13 3 5" xfId="16714"/>
    <cellStyle name="Input 2 13 3 5 2" xfId="16715"/>
    <cellStyle name="Input 2 13 3 5 2 2" xfId="16716"/>
    <cellStyle name="Input 2 13 3 5 2 3" xfId="16717"/>
    <cellStyle name="Input 2 13 3 5 2 4" xfId="16718"/>
    <cellStyle name="Note 2 13 3 5 2 2" xfId="16719"/>
    <cellStyle name="Input 2 13 3 5 3" xfId="16720"/>
    <cellStyle name="Input 2 13 3 5 3 2" xfId="16721"/>
    <cellStyle name="Input 2 13 3 5 3 3" xfId="16722"/>
    <cellStyle name="Input 2 13 3 5 3 4" xfId="16723"/>
    <cellStyle name="Note 2 13 3 5 3 2" xfId="16724"/>
    <cellStyle name="Input 2 13 3 5 4" xfId="16725"/>
    <cellStyle name="Output 2 11 6 5 2" xfId="16726"/>
    <cellStyle name="Input 2 13 3 5 4 2" xfId="16727"/>
    <cellStyle name="Input 2 13 3 5 4 3" xfId="16728"/>
    <cellStyle name="Input 2 13 3 5 5" xfId="16729"/>
    <cellStyle name="Output 2 11 6 5 3" xfId="16730"/>
    <cellStyle name="Input 2 13 3 5 5 2" xfId="16731"/>
    <cellStyle name="Input 2 13 3 5 5 3" xfId="16732"/>
    <cellStyle name="Input 2 13 3 5 6" xfId="16733"/>
    <cellStyle name="Output 2 13 2 7 2 2" xfId="16734"/>
    <cellStyle name="Note 2 14 9 2" xfId="16735"/>
    <cellStyle name="Output 2 5 6 4 2" xfId="16736"/>
    <cellStyle name="Input 2 13 3 5 7" xfId="16737"/>
    <cellStyle name="Output 2 13 2 7 2 3" xfId="16738"/>
    <cellStyle name="Note 2 14 9 3" xfId="16739"/>
    <cellStyle name="Output 2 5 6 4 3" xfId="16740"/>
    <cellStyle name="Input 2 13 3 6" xfId="16741"/>
    <cellStyle name="Input 2 13 3 6 2" xfId="16742"/>
    <cellStyle name="Input 2 13 3 6 2 2" xfId="16743"/>
    <cellStyle name="Input 2 13 3 6 2 3" xfId="16744"/>
    <cellStyle name="Input 2 13 3 6 2 4" xfId="16745"/>
    <cellStyle name="Note 2 13 3 6 2 2" xfId="16746"/>
    <cellStyle name="Input 2 13 3 6 3" xfId="16747"/>
    <cellStyle name="Input 2 13 3 6 3 2" xfId="16748"/>
    <cellStyle name="Input 2 13 3 6 3 3" xfId="16749"/>
    <cellStyle name="Input 2 13 3 6 3 4" xfId="16750"/>
    <cellStyle name="Note 2 13 3 6 3 2" xfId="16751"/>
    <cellStyle name="Input 2 13 3 6 4" xfId="16752"/>
    <cellStyle name="Input 2 13 3 6 4 2" xfId="16753"/>
    <cellStyle name="Input 2 13 3 6 4 3" xfId="16754"/>
    <cellStyle name="Input 2 13 3 6 5" xfId="16755"/>
    <cellStyle name="Input 2 13 3 6 5 2" xfId="16756"/>
    <cellStyle name="Input 2 13 3 6 5 3" xfId="16757"/>
    <cellStyle name="Input 2 13 3 6 6" xfId="16758"/>
    <cellStyle name="Output 2 13 2 7 3 2" xfId="16759"/>
    <cellStyle name="Output 2 5 6 5 2" xfId="16760"/>
    <cellStyle name="Input 2 13 3 6 7" xfId="16761"/>
    <cellStyle name="Output 2 13 2 7 3 3" xfId="16762"/>
    <cellStyle name="Output 2 5 6 5 3" xfId="16763"/>
    <cellStyle name="Input 2 13 3 7 2 2" xfId="16764"/>
    <cellStyle name="Input 2 13 3 7 2 3" xfId="16765"/>
    <cellStyle name="Input 2 13 3 7 2 4" xfId="16766"/>
    <cellStyle name="Note 2 13 3 7 2 2" xfId="16767"/>
    <cellStyle name="Input 2 13 3 7 3 2" xfId="16768"/>
    <cellStyle name="Input 2 13 3 7 3 3" xfId="16769"/>
    <cellStyle name="Input 2 13 3 7 3 4" xfId="16770"/>
    <cellStyle name="Note 2 13 3 7 3 2" xfId="16771"/>
    <cellStyle name="Input 2 13 3 7 4" xfId="16772"/>
    <cellStyle name="Input 2 13 3 7 4 2" xfId="16773"/>
    <cellStyle name="Input 2 13 3 7 4 3" xfId="16774"/>
    <cellStyle name="Input 2 13 3 7 5" xfId="16775"/>
    <cellStyle name="Input 2 13 3 7 5 2" xfId="16776"/>
    <cellStyle name="Input 2 13 3 7 6" xfId="16777"/>
    <cellStyle name="Output 2 13 2 7 4 2" xfId="16778"/>
    <cellStyle name="Output 2 7 2 6 2 2" xfId="16779"/>
    <cellStyle name="Input 2 13 3 7 7" xfId="16780"/>
    <cellStyle name="Output 2 13 2 7 4 3" xfId="16781"/>
    <cellStyle name="Output 2 7 2 6 2 3" xfId="16782"/>
    <cellStyle name="Input 2 13 3 8 2 2" xfId="16783"/>
    <cellStyle name="Input 2 13 3 8 2 3" xfId="16784"/>
    <cellStyle name="Input 2 13 3 8 2 4" xfId="16785"/>
    <cellStyle name="Note 2 13 3 8 2 2" xfId="16786"/>
    <cellStyle name="Input 2 13 3 8 3" xfId="16787"/>
    <cellStyle name="Input 2 13 3 8 3 2" xfId="16788"/>
    <cellStyle name="Input 2 13 3 8 3 3" xfId="16789"/>
    <cellStyle name="Input 2 13 3 8 3 4" xfId="16790"/>
    <cellStyle name="Note 2 13 3 8 3 2" xfId="16791"/>
    <cellStyle name="Input 2 13 3 8 4" xfId="16792"/>
    <cellStyle name="Input 2 13 3 8 4 2" xfId="16793"/>
    <cellStyle name="Input 2 13 3 8 4 3" xfId="16794"/>
    <cellStyle name="Input 2 13 3 8 5" xfId="16795"/>
    <cellStyle name="Input 2 13 3 8 5 2" xfId="16796"/>
    <cellStyle name="Input 2 13 3 8 5 3" xfId="16797"/>
    <cellStyle name="Input 2 13 3 8 6" xfId="16798"/>
    <cellStyle name="Output 2 13 2 7 5 2" xfId="16799"/>
    <cellStyle name="Output 2 7 2 6 3 2" xfId="16800"/>
    <cellStyle name="Input 2 13 3 8 7" xfId="16801"/>
    <cellStyle name="Output 2 13 2 7 5 3" xfId="16802"/>
    <cellStyle name="Output 2 7 2 6 3 3" xfId="16803"/>
    <cellStyle name="Input 2 13 3 9" xfId="16804"/>
    <cellStyle name="Note 2 12 5 2 4" xfId="16805"/>
    <cellStyle name="Input 2 13 3 9 2" xfId="16806"/>
    <cellStyle name="Input 2 13 3 9 2 2" xfId="16807"/>
    <cellStyle name="Input 2 13 3 9 2 3" xfId="16808"/>
    <cellStyle name="Input 2 13 3 9 2 4" xfId="16809"/>
    <cellStyle name="Note 2 13 3 9 2 2" xfId="16810"/>
    <cellStyle name="Input 2 13 3 9 3" xfId="16811"/>
    <cellStyle name="Input 2 13 3 9 3 2" xfId="16812"/>
    <cellStyle name="Input 2 13 3 9 3 3" xfId="16813"/>
    <cellStyle name="Input 2 13 3 9 3 4" xfId="16814"/>
    <cellStyle name="Note 2 13 3 9 3 2" xfId="16815"/>
    <cellStyle name="Input 2 13 3 9 4" xfId="16816"/>
    <cellStyle name="Input 2 13 3 9 4 2" xfId="16817"/>
    <cellStyle name="Input 2 13 3 9 4 3" xfId="16818"/>
    <cellStyle name="Input 2 13 3 9 5" xfId="16819"/>
    <cellStyle name="Input 2 13 3 9 5 2" xfId="16820"/>
    <cellStyle name="Input 2 13 3 9 5 3" xfId="16821"/>
    <cellStyle name="Input 2 13 3 9 6" xfId="16822"/>
    <cellStyle name="Output 2 7 2 6 4 2" xfId="16823"/>
    <cellStyle name="Input 2 13 3 9 7" xfId="16824"/>
    <cellStyle name="Note 2 6 7 2 2" xfId="16825"/>
    <cellStyle name="Output 2 7 2 6 4 3" xfId="16826"/>
    <cellStyle name="Input 2 13 4" xfId="16827"/>
    <cellStyle name="Note 2 9 3 4 2" xfId="16828"/>
    <cellStyle name="Output 2 6 12 4 2" xfId="16829"/>
    <cellStyle name="Total 2 11 2 4 5 3" xfId="16830"/>
    <cellStyle name="Input 2 13 4 2 2" xfId="16831"/>
    <cellStyle name="Input 2 13 4 3" xfId="16832"/>
    <cellStyle name="Note 2 9 3 4 2 3" xfId="16833"/>
    <cellStyle name="Input 2 13 4 3 2" xfId="16834"/>
    <cellStyle name="Input 2 13 4 3 3" xfId="16835"/>
    <cellStyle name="Input 2 13 4 3 4" xfId="16836"/>
    <cellStyle name="Note 2 9 10 5 2" xfId="16837"/>
    <cellStyle name="Output 2 11 7 3 2" xfId="16838"/>
    <cellStyle name="Input 2 13 4 4" xfId="16839"/>
    <cellStyle name="Note 2 9 3 4 2 4" xfId="16840"/>
    <cellStyle name="Input 2 13 4 4 2" xfId="16841"/>
    <cellStyle name="Input 2 13 4 4 3" xfId="16842"/>
    <cellStyle name="Input 2 13 4 5" xfId="16843"/>
    <cellStyle name="Input 2 13 4 5 2" xfId="16844"/>
    <cellStyle name="Input 2 13 4 5 3" xfId="16845"/>
    <cellStyle name="Input 2 13 4 6" xfId="16846"/>
    <cellStyle name="Input 2 6 2 2" xfId="16847"/>
    <cellStyle name="Input 2 13 4 7" xfId="16848"/>
    <cellStyle name="Input 2 6 2 3" xfId="16849"/>
    <cellStyle name="Note 2 12 5 3 2" xfId="16850"/>
    <cellStyle name="Input 2 13 5" xfId="16851"/>
    <cellStyle name="Note 2 9 3 4 3" xfId="16852"/>
    <cellStyle name="Output 2 6 12 4 3" xfId="16853"/>
    <cellStyle name="Input 2 13 5 2 2" xfId="16854"/>
    <cellStyle name="Input 2 13 5 3" xfId="16855"/>
    <cellStyle name="Note 2 9 3 4 3 3" xfId="16856"/>
    <cellStyle name="Input 2 13 5 3 2" xfId="16857"/>
    <cellStyle name="Output 2 8 3 10 5" xfId="16858"/>
    <cellStyle name="Input 2 13 5 3 3" xfId="16859"/>
    <cellStyle name="Output 2 8 3 10 6" xfId="16860"/>
    <cellStyle name="Note 2 9 11 5 2" xfId="16861"/>
    <cellStyle name="Output 2 11 8 3 2" xfId="16862"/>
    <cellStyle name="Input 2 13 5 3 4" xfId="16863"/>
    <cellStyle name="Output 2 8 3 10 7" xfId="16864"/>
    <cellStyle name="Input 2 13 5 4" xfId="16865"/>
    <cellStyle name="Note 2 9 3 4 3 4" xfId="16866"/>
    <cellStyle name="Input 2 13 5 4 2" xfId="16867"/>
    <cellStyle name="Input 2 13 5 4 3" xfId="16868"/>
    <cellStyle name="Input 2 13 5 5" xfId="16869"/>
    <cellStyle name="Note 2 2 2 2 2" xfId="16870"/>
    <cellStyle name="Input 2 13 5 5 2" xfId="16871"/>
    <cellStyle name="Note 2 2 2 2 2 2" xfId="16872"/>
    <cellStyle name="Input 2 13 5 5 3" xfId="16873"/>
    <cellStyle name="Note 2 2 2 2 2 3" xfId="16874"/>
    <cellStyle name="Input 2 13 5 6" xfId="16875"/>
    <cellStyle name="Input 2 6 3 2" xfId="16876"/>
    <cellStyle name="Note 2 2 2 2 3" xfId="16877"/>
    <cellStyle name="Input 2 13 5 7" xfId="16878"/>
    <cellStyle name="Input 2 6 3 3" xfId="16879"/>
    <cellStyle name="Note 2 12 5 4 2" xfId="16880"/>
    <cellStyle name="Note 2 2 2 2 4" xfId="16881"/>
    <cellStyle name="Input 2 13 6" xfId="16882"/>
    <cellStyle name="Note 2 9 3 4 4" xfId="16883"/>
    <cellStyle name="Total 2 11 11 2" xfId="16884"/>
    <cellStyle name="Input 2 13 6 2 2" xfId="16885"/>
    <cellStyle name="Input 2 13 6 3" xfId="16886"/>
    <cellStyle name="Note 2 9 3 4 4 3" xfId="16887"/>
    <cellStyle name="Total 2 11 11 2 3" xfId="16888"/>
    <cellStyle name="Input 2 13 6 3 2" xfId="16889"/>
    <cellStyle name="Note 2 13 10 4" xfId="16890"/>
    <cellStyle name="Input 2 13 6 3 3" xfId="16891"/>
    <cellStyle name="Note 2 13 10 5" xfId="16892"/>
    <cellStyle name="Input 2 13 6 3 4" xfId="16893"/>
    <cellStyle name="Note 2 13 10 6" xfId="16894"/>
    <cellStyle name="Note 2 9 12 5 2" xfId="16895"/>
    <cellStyle name="Output 2 11 9 3 2" xfId="16896"/>
    <cellStyle name="Input 2 13 6 4" xfId="16897"/>
    <cellStyle name="Total 2 11 11 2 4" xfId="16898"/>
    <cellStyle name="Input 2 13 6 4 2" xfId="16899"/>
    <cellStyle name="Note 2 13 11 4" xfId="16900"/>
    <cellStyle name="Input 2 13 6 4 3" xfId="16901"/>
    <cellStyle name="Note 2 13 11 5" xfId="16902"/>
    <cellStyle name="Input 2 13 6 5" xfId="16903"/>
    <cellStyle name="Note 2 2 2 3 2" xfId="16904"/>
    <cellStyle name="Input 2 13 6 5 2" xfId="16905"/>
    <cellStyle name="Note 2 13 12 4" xfId="16906"/>
    <cellStyle name="Note 2 2 2 3 2 2" xfId="16907"/>
    <cellStyle name="Input 2 13 6 5 3" xfId="16908"/>
    <cellStyle name="Note 2 13 12 5" xfId="16909"/>
    <cellStyle name="Note 2 2 2 3 2 3" xfId="16910"/>
    <cellStyle name="Input 2 13 6 6" xfId="16911"/>
    <cellStyle name="Input 2 6 4 2" xfId="16912"/>
    <cellStyle name="Note 2 2 2 3 3" xfId="16913"/>
    <cellStyle name="Input 2 13 6 7" xfId="16914"/>
    <cellStyle name="Input 2 6 4 3" xfId="16915"/>
    <cellStyle name="Note 2 12 5 5 2" xfId="16916"/>
    <cellStyle name="Note 2 2 2 3 4" xfId="16917"/>
    <cellStyle name="Input 2 13 7 2 2" xfId="16918"/>
    <cellStyle name="Input 2 13 7 2 3" xfId="16919"/>
    <cellStyle name="Input 2 13 7 2 4" xfId="16920"/>
    <cellStyle name="Input 2 13 7 3" xfId="16921"/>
    <cellStyle name="Note 2 9 3 4 5 3" xfId="16922"/>
    <cellStyle name="Total 2 11 11 3 3" xfId="16923"/>
    <cellStyle name="Input 2 13 7 3 2" xfId="16924"/>
    <cellStyle name="Input 2 5 2 14" xfId="16925"/>
    <cellStyle name="Input 2 13 7 3 3" xfId="16926"/>
    <cellStyle name="Input 2 5 2 15" xfId="16927"/>
    <cellStyle name="Input 2 13 7 3 4" xfId="16928"/>
    <cellStyle name="Input 2 5 2 16" xfId="16929"/>
    <cellStyle name="Input 2 13 7 4" xfId="16930"/>
    <cellStyle name="Total 2 11 11 3 4" xfId="16931"/>
    <cellStyle name="Input 2 13 7 4 2" xfId="16932"/>
    <cellStyle name="Input 2 13 7 4 3" xfId="16933"/>
    <cellStyle name="Input 2 13 7 5" xfId="16934"/>
    <cellStyle name="Note 2 2 2 4 2" xfId="16935"/>
    <cellStyle name="Input 2 13 7 5 2" xfId="16936"/>
    <cellStyle name="Note 2 2 2 4 2 2" xfId="16937"/>
    <cellStyle name="Input 2 13 7 5 3" xfId="16938"/>
    <cellStyle name="Note 2 2 2 4 2 3" xfId="16939"/>
    <cellStyle name="Input 2 13 7 6" xfId="16940"/>
    <cellStyle name="Input 2 6 5 2" xfId="16941"/>
    <cellStyle name="Note 2 2 2 4 3" xfId="16942"/>
    <cellStyle name="Input 2 13 7 7" xfId="16943"/>
    <cellStyle name="Input 2 6 5 3" xfId="16944"/>
    <cellStyle name="Note 2 2 2 4 4" xfId="16945"/>
    <cellStyle name="Input 2 13 8 2 2" xfId="16946"/>
    <cellStyle name="Input 2 13 8 2 3" xfId="16947"/>
    <cellStyle name="Input 2 13 8 2 4" xfId="16948"/>
    <cellStyle name="Input 2 13 8 3" xfId="16949"/>
    <cellStyle name="Total 2 11 11 4 3" xfId="16950"/>
    <cellStyle name="Input 2 13 8 3 2" xfId="16951"/>
    <cellStyle name="Input 2 13 8 3 3" xfId="16952"/>
    <cellStyle name="Input 2 13 8 3 4" xfId="16953"/>
    <cellStyle name="Input 2 13 8 4" xfId="16954"/>
    <cellStyle name="Input 2 13 8 4 2" xfId="16955"/>
    <cellStyle name="Input 2 13 8 4 3" xfId="16956"/>
    <cellStyle name="Input 2 13 8 5" xfId="16957"/>
    <cellStyle name="Note 2 2 2 5 2" xfId="16958"/>
    <cellStyle name="Input 2 13 8 5 2" xfId="16959"/>
    <cellStyle name="Note 2 2 2 5 2 2" xfId="16960"/>
    <cellStyle name="Input 2 13 8 5 3" xfId="16961"/>
    <cellStyle name="Note 2 2 2 5 2 3" xfId="16962"/>
    <cellStyle name="Input 2 13 8 6" xfId="16963"/>
    <cellStyle name="Input 2 6 6 2" xfId="16964"/>
    <cellStyle name="Note 2 2 2 5 3" xfId="16965"/>
    <cellStyle name="Input 2 13 8 7" xfId="16966"/>
    <cellStyle name="Input 2 6 6 3" xfId="16967"/>
    <cellStyle name="Note 2 2 2 5 4" xfId="16968"/>
    <cellStyle name="Input 2 13 9 2 2" xfId="16969"/>
    <cellStyle name="Input 2 13 9 2 3" xfId="16970"/>
    <cellStyle name="Input 2 13 9 2 4" xfId="16971"/>
    <cellStyle name="Input 2 13 9 3" xfId="16972"/>
    <cellStyle name="Total 2 11 11 5 3" xfId="16973"/>
    <cellStyle name="Input 2 13 9 3 2" xfId="16974"/>
    <cellStyle name="Input 2 13 9 3 3" xfId="16975"/>
    <cellStyle name="Input 2 13 9 3 4" xfId="16976"/>
    <cellStyle name="Input 2 13 9 4" xfId="16977"/>
    <cellStyle name="Input 2 13 9 4 2" xfId="16978"/>
    <cellStyle name="Input 2 13 9 4 3" xfId="16979"/>
    <cellStyle name="Input 2 13 9 5" xfId="16980"/>
    <cellStyle name="Note 2 2 2 6 2" xfId="16981"/>
    <cellStyle name="Input 2 13 9 5 2" xfId="16982"/>
    <cellStyle name="Note 2 2 2 6 2 2" xfId="16983"/>
    <cellStyle name="Input 2 13 9 5 3" xfId="16984"/>
    <cellStyle name="Note 2 2 2 6 2 3" xfId="16985"/>
    <cellStyle name="Input 2 13 9 6" xfId="16986"/>
    <cellStyle name="Input 2 6 7 2" xfId="16987"/>
    <cellStyle name="Note 2 2 2 6 3" xfId="16988"/>
    <cellStyle name="Input 2 13 9 7" xfId="16989"/>
    <cellStyle name="Input 2 6 7 3" xfId="16990"/>
    <cellStyle name="Note 2 2 2 6 4" xfId="16991"/>
    <cellStyle name="Input 2 14" xfId="16992"/>
    <cellStyle name="Input 2 14 10 2" xfId="16993"/>
    <cellStyle name="Output 2 3 2 3 5 2" xfId="16994"/>
    <cellStyle name="Total 2 10 10 6" xfId="16995"/>
    <cellStyle name="Total 2 8 19" xfId="16996"/>
    <cellStyle name="Input 2 14 10 2 2" xfId="16997"/>
    <cellStyle name="Input 2 5 2 2 2 3" xfId="16998"/>
    <cellStyle name="Input 2 14 10 2 3" xfId="16999"/>
    <cellStyle name="Input 2 5 2 2 2 4" xfId="17000"/>
    <cellStyle name="Input 2 5 5 3 2" xfId="17001"/>
    <cellStyle name="Input 2 14 10 3" xfId="17002"/>
    <cellStyle name="Output 2 3 2 3 5 3" xfId="17003"/>
    <cellStyle name="Total 2 10 10 7" xfId="17004"/>
    <cellStyle name="Input 2 14 10 3 2" xfId="17005"/>
    <cellStyle name="Input 2 5 2 2 3 3" xfId="17006"/>
    <cellStyle name="Input 2 14 10 3 3" xfId="17007"/>
    <cellStyle name="Input 2 5 2 2 3 4" xfId="17008"/>
    <cellStyle name="Input 2 5 5 4 2" xfId="17009"/>
    <cellStyle name="Input 2 14 10 3 4" xfId="17010"/>
    <cellStyle name="Input 2 5 5 4 3" xfId="17011"/>
    <cellStyle name="Input 2 14 10 4" xfId="17012"/>
    <cellStyle name="Input 2 14 10 4 2" xfId="17013"/>
    <cellStyle name="Input 2 5 2 2 4 3" xfId="17014"/>
    <cellStyle name="Input 2 14 10 4 3" xfId="17015"/>
    <cellStyle name="Input 2 5 5 5 2" xfId="17016"/>
    <cellStyle name="Input 2 14 10 5" xfId="17017"/>
    <cellStyle name="Input 2 14 10 5 2" xfId="17018"/>
    <cellStyle name="Input 2 5 2 2 5 3" xfId="17019"/>
    <cellStyle name="Input 2 14 10 5 3" xfId="17020"/>
    <cellStyle name="Input 2 4 3 10 2" xfId="17021"/>
    <cellStyle name="Input 2 14 10 6" xfId="17022"/>
    <cellStyle name="Output 2 10 13 2" xfId="17023"/>
    <cellStyle name="Output 2 9 3 3 2 2" xfId="17024"/>
    <cellStyle name="Input 2 14 11 2" xfId="17025"/>
    <cellStyle name="Total 2 10 11 6" xfId="17026"/>
    <cellStyle name="Input 2 14 11 2 2" xfId="17027"/>
    <cellStyle name="Input 2 5 2 3 2 3" xfId="17028"/>
    <cellStyle name="Input 2 14 11 3" xfId="17029"/>
    <cellStyle name="Total 2 10 11 7" xfId="17030"/>
    <cellStyle name="Input 2 14 11 3 2" xfId="17031"/>
    <cellStyle name="Input 2 5 2 3 3 3" xfId="17032"/>
    <cellStyle name="Input 2 14 11 4" xfId="17033"/>
    <cellStyle name="Input 2 14 11 4 2" xfId="17034"/>
    <cellStyle name="Input 2 5 2 3 4 3" xfId="17035"/>
    <cellStyle name="Input 2 14 11 5" xfId="17036"/>
    <cellStyle name="Input 2 14 11 5 2" xfId="17037"/>
    <cellStyle name="Input 2 5 2 3 5 3" xfId="17038"/>
    <cellStyle name="Input 2 14 11 6" xfId="17039"/>
    <cellStyle name="Output 2 10 14 2" xfId="17040"/>
    <cellStyle name="Output 2 9 3 3 3 2" xfId="17041"/>
    <cellStyle name="Input 2 14 12 2" xfId="17042"/>
    <cellStyle name="Output 2 2 2 14" xfId="17043"/>
    <cellStyle name="Total 2 10 12 6" xfId="17044"/>
    <cellStyle name="Input 2 14 12 2 2" xfId="17045"/>
    <cellStyle name="Input 2 5 2 4 2 3" xfId="17046"/>
    <cellStyle name="Output 2 2 2 14 2" xfId="17047"/>
    <cellStyle name="Input 2 14 12 3" xfId="17048"/>
    <cellStyle name="Output 2 2 2 15" xfId="17049"/>
    <cellStyle name="Total 2 10 12 7" xfId="17050"/>
    <cellStyle name="Input 2 14 12 3 2" xfId="17051"/>
    <cellStyle name="Input 2 5 2 4 3 3" xfId="17052"/>
    <cellStyle name="Output 2 2 2 15 2" xfId="17053"/>
    <cellStyle name="Input 2 14 12 4" xfId="17054"/>
    <cellStyle name="Output 2 2 2 16" xfId="17055"/>
    <cellStyle name="Input 2 14 12 4 2" xfId="17056"/>
    <cellStyle name="Input 2 5 2 4 4 3" xfId="17057"/>
    <cellStyle name="Input 2 14 12 5" xfId="17058"/>
    <cellStyle name="Output 2 2 2 17" xfId="17059"/>
    <cellStyle name="Input 2 14 12 5 2" xfId="17060"/>
    <cellStyle name="Input 2 5 2 4 5 3" xfId="17061"/>
    <cellStyle name="Input 2 14 12 6" xfId="17062"/>
    <cellStyle name="Output 2 10 15 2" xfId="17063"/>
    <cellStyle name="Output 2 9 3 3 4 2" xfId="17064"/>
    <cellStyle name="Input 2 14 13 4" xfId="17065"/>
    <cellStyle name="Input 2 14 14 2" xfId="17066"/>
    <cellStyle name="Note 2 7 11 2 3" xfId="17067"/>
    <cellStyle name="Input 2 14 14 3" xfId="17068"/>
    <cellStyle name="Note 2 7 11 2 4" xfId="17069"/>
    <cellStyle name="Input 2 14 14 4" xfId="17070"/>
    <cellStyle name="Input 2 14 15 2" xfId="17071"/>
    <cellStyle name="Note 2 7 11 3 3" xfId="17072"/>
    <cellStyle name="Input 2 14 15 3" xfId="17073"/>
    <cellStyle name="Note 2 7 11 3 4" xfId="17074"/>
    <cellStyle name="Input 2 14 16" xfId="17075"/>
    <cellStyle name="Input 2 14 16 2" xfId="17076"/>
    <cellStyle name="Note 2 7 11 4 3" xfId="17077"/>
    <cellStyle name="Input 2 14 16 3" xfId="17078"/>
    <cellStyle name="Normal 2 3 3 2 2" xfId="17079"/>
    <cellStyle name="Input 2 14 17" xfId="17080"/>
    <cellStyle name="Input 2 14 18" xfId="17081"/>
    <cellStyle name="Linked Cell 2 5 2 2 2" xfId="17082"/>
    <cellStyle name="Input 2 14 2" xfId="17083"/>
    <cellStyle name="Output 2 2 2 4 3 3" xfId="17084"/>
    <cellStyle name="Input 2 14 2 10" xfId="17085"/>
    <cellStyle name="Total 2 10 2 14" xfId="17086"/>
    <cellStyle name="Input 2 14 2 10 2" xfId="17087"/>
    <cellStyle name="Total 2 10 2 14 2" xfId="17088"/>
    <cellStyle name="Input 2 14 2 10 2 2" xfId="17089"/>
    <cellStyle name="Input 2 14 2 10 2 3" xfId="17090"/>
    <cellStyle name="Input 2 14 2 10 2 4" xfId="17091"/>
    <cellStyle name="Input 2 14 2 10 3 2" xfId="17092"/>
    <cellStyle name="Input 2 14 2 11" xfId="17093"/>
    <cellStyle name="Output 2 10 2 8 3 2" xfId="17094"/>
    <cellStyle name="Total 2 10 2 15" xfId="17095"/>
    <cellStyle name="Input 2 14 2 11 2" xfId="17096"/>
    <cellStyle name="Total 2 12 12 5" xfId="17097"/>
    <cellStyle name="Output 2 4 2 13" xfId="17098"/>
    <cellStyle name="Input 2 14 2 12 2" xfId="17099"/>
    <cellStyle name="Input 2 14 2 13 2" xfId="17100"/>
    <cellStyle name="Input 2 14 2 15" xfId="17101"/>
    <cellStyle name="Input 2 3 3 3 5 3" xfId="17102"/>
    <cellStyle name="Input 2 14 2 16" xfId="17103"/>
    <cellStyle name="Input 2 14 2 2" xfId="17104"/>
    <cellStyle name="Input 2 14 2 2 2" xfId="17105"/>
    <cellStyle name="Note 2 5 3 9 4" xfId="17106"/>
    <cellStyle name="Input 2 14 2 2 2 2" xfId="17107"/>
    <cellStyle name="Note 2 5 3 9 4 2" xfId="17108"/>
    <cellStyle name="Input 2 14 2 2 2 3" xfId="17109"/>
    <cellStyle name="Note 2 5 3 9 4 3" xfId="17110"/>
    <cellStyle name="Input 2 14 2 2 2 4" xfId="17111"/>
    <cellStyle name="Note 2 14 2 2 2 2" xfId="17112"/>
    <cellStyle name="Input 2 14 2 2 3" xfId="17113"/>
    <cellStyle name="Note 2 5 3 9 5" xfId="17114"/>
    <cellStyle name="Input 2 14 2 2 3 2" xfId="17115"/>
    <cellStyle name="Note 2 5 3 9 5 2" xfId="17116"/>
    <cellStyle name="Input 2 14 2 2 3 3" xfId="17117"/>
    <cellStyle name="Note 2 5 3 9 5 3" xfId="17118"/>
    <cellStyle name="Input 2 14 2 2 3 4" xfId="17119"/>
    <cellStyle name="Note 2 14 2 2 3 2" xfId="17120"/>
    <cellStyle name="Input 2 14 2 2 4" xfId="17121"/>
    <cellStyle name="Note 2 5 3 9 6" xfId="17122"/>
    <cellStyle name="Output 2 12 5 2 2" xfId="17123"/>
    <cellStyle name="Total 2 10 2 5 3 2" xfId="17124"/>
    <cellStyle name="Input 2 14 2 2 4 2" xfId="17125"/>
    <cellStyle name="Input 2 14 2 2 4 3" xfId="17126"/>
    <cellStyle name="Input 2 14 2 3" xfId="17127"/>
    <cellStyle name="Input 2 14 2 3 2" xfId="17128"/>
    <cellStyle name="Input 2 9 2 14" xfId="17129"/>
    <cellStyle name="Input 2 14 2 3 2 2" xfId="17130"/>
    <cellStyle name="Input 2 9 2 14 2" xfId="17131"/>
    <cellStyle name="Note 2 5 2 3 6" xfId="17132"/>
    <cellStyle name="Input 2 14 2 3 2 3" xfId="17133"/>
    <cellStyle name="Input 2 9 2 14 3" xfId="17134"/>
    <cellStyle name="Note 2 5 2 3 7" xfId="17135"/>
    <cellStyle name="Input 2 14 2 3 2 4" xfId="17136"/>
    <cellStyle name="Note 2 14 2 3 2 2" xfId="17137"/>
    <cellStyle name="Input 2 14 2 3 3" xfId="17138"/>
    <cellStyle name="Input 2 9 2 15" xfId="17139"/>
    <cellStyle name="Input 2 14 2 3 3 2" xfId="17140"/>
    <cellStyle name="Note 2 5 2 4 6" xfId="17141"/>
    <cellStyle name="Input 2 14 2 3 3 3" xfId="17142"/>
    <cellStyle name="Note 2 5 2 4 7" xfId="17143"/>
    <cellStyle name="Input 2 14 2 3 3 4" xfId="17144"/>
    <cellStyle name="Note 2 14 2 3 3 2" xfId="17145"/>
    <cellStyle name="Input 2 14 2 3 4" xfId="17146"/>
    <cellStyle name="Input 2 9 2 16" xfId="17147"/>
    <cellStyle name="Note 2 2 2 3 2 3 2 2" xfId="17148"/>
    <cellStyle name="Output 2 12 5 3 2" xfId="17149"/>
    <cellStyle name="Total 2 10 2 5 4 2" xfId="17150"/>
    <cellStyle name="Input 2 14 2 3 4 2" xfId="17151"/>
    <cellStyle name="Note 2 5 2 5 6" xfId="17152"/>
    <cellStyle name="Input 2 14 2 3 4 3" xfId="17153"/>
    <cellStyle name="Note 2 5 2 5 7" xfId="17154"/>
    <cellStyle name="Input 2 14 2 3 5" xfId="17155"/>
    <cellStyle name="Output 2 12 5 3 3" xfId="17156"/>
    <cellStyle name="Total 2 10 2 5 4 3" xfId="17157"/>
    <cellStyle name="Input 2 14 2 3 5 2" xfId="17158"/>
    <cellStyle name="Note 2 16" xfId="17159"/>
    <cellStyle name="Note 2 21" xfId="17160"/>
    <cellStyle name="Note 2 5 2 6 6" xfId="17161"/>
    <cellStyle name="Input 2 14 2 3 5 3" xfId="17162"/>
    <cellStyle name="Note 2 17" xfId="17163"/>
    <cellStyle name="Note 2 22" xfId="17164"/>
    <cellStyle name="Note 2 5 2 6 7" xfId="17165"/>
    <cellStyle name="Input 2 14 2 3 6" xfId="17166"/>
    <cellStyle name="Output 2 12 5 3 4" xfId="17167"/>
    <cellStyle name="Output 2 6 5 2 2" xfId="17168"/>
    <cellStyle name="Input 2 14 2 3 7" xfId="17169"/>
    <cellStyle name="Output 2 6 5 2 3" xfId="17170"/>
    <cellStyle name="Total 2 10 2 4 2" xfId="17171"/>
    <cellStyle name="Input 2 14 2 4" xfId="17172"/>
    <cellStyle name="Input 2 14 2 4 2" xfId="17173"/>
    <cellStyle name="Input 2 14 2 4 2 2" xfId="17174"/>
    <cellStyle name="Note 2 5 3 3 6" xfId="17175"/>
    <cellStyle name="Output 2 4 2 9 7" xfId="17176"/>
    <cellStyle name="Input 2 14 2 4 2 3" xfId="17177"/>
    <cellStyle name="Note 2 5 3 3 7" xfId="17178"/>
    <cellStyle name="Input 2 14 2 4 2 4" xfId="17179"/>
    <cellStyle name="Note 2 14 2 4 2 2" xfId="17180"/>
    <cellStyle name="Input 2 14 2 4 3" xfId="17181"/>
    <cellStyle name="Input 2 14 2 4 3 2" xfId="17182"/>
    <cellStyle name="Note 2 5 3 4 6" xfId="17183"/>
    <cellStyle name="Output 2 12 10 7" xfId="17184"/>
    <cellStyle name="Input 2 14 2 4 3 3" xfId="17185"/>
    <cellStyle name="Note 2 5 3 4 7" xfId="17186"/>
    <cellStyle name="Input 2 14 2 4 3 4" xfId="17187"/>
    <cellStyle name="Note 2 14 2 4 3 2" xfId="17188"/>
    <cellStyle name="Input 2 14 2 4 4" xfId="17189"/>
    <cellStyle name="Output 2 12 5 4 2" xfId="17190"/>
    <cellStyle name="Total 2 10 2 5 5 2" xfId="17191"/>
    <cellStyle name="Input 2 14 2 4 4 2" xfId="17192"/>
    <cellStyle name="Note 2 5 3 5 6" xfId="17193"/>
    <cellStyle name="Output 2 12 11 7" xfId="17194"/>
    <cellStyle name="Input 2 14 2 4 4 3" xfId="17195"/>
    <cellStyle name="Note 2 5 3 5 7" xfId="17196"/>
    <cellStyle name="Input 2 14 2 4 5 2" xfId="17197"/>
    <cellStyle name="Note 2 5 3 6 6" xfId="17198"/>
    <cellStyle name="Output 2 12 12 7" xfId="17199"/>
    <cellStyle name="Input 2 14 2 4 5 3" xfId="17200"/>
    <cellStyle name="Note 2 5 3 6 7" xfId="17201"/>
    <cellStyle name="Input 2 14 2 5" xfId="17202"/>
    <cellStyle name="Input 2 7 3 7 5 2" xfId="17203"/>
    <cellStyle name="Input 2 14 2 5 2" xfId="17204"/>
    <cellStyle name="Input 2 14 2 5 2 2" xfId="17205"/>
    <cellStyle name="Output 2 15 10 5 3" xfId="17206"/>
    <cellStyle name="Output 2 4 3 9 7" xfId="17207"/>
    <cellStyle name="Input 2 14 2 5 2 3" xfId="17208"/>
    <cellStyle name="Input 2 14 2 5 2 4" xfId="17209"/>
    <cellStyle name="Note 2 14 2 5 2 2" xfId="17210"/>
    <cellStyle name="Input 2 14 2 5 3" xfId="17211"/>
    <cellStyle name="Input 2 14 2 5 3 2" xfId="17212"/>
    <cellStyle name="Input 2 14 2 5 3 3" xfId="17213"/>
    <cellStyle name="Input 2 14 2 5 3 4" xfId="17214"/>
    <cellStyle name="Note 2 14 2 5 3 2" xfId="17215"/>
    <cellStyle name="Input 2 14 2 5 4" xfId="17216"/>
    <cellStyle name="Output 2 12 5 5 2" xfId="17217"/>
    <cellStyle name="Input 2 14 2 5 4 2" xfId="17218"/>
    <cellStyle name="Input 2 14 2 5 4 3" xfId="17219"/>
    <cellStyle name="Input 2 14 2 5 5" xfId="17220"/>
    <cellStyle name="Output 2 12 5 5 3" xfId="17221"/>
    <cellStyle name="Input 2 14 2 5 5 2" xfId="17222"/>
    <cellStyle name="Input 2 14 2 5 5 3" xfId="17223"/>
    <cellStyle name="Input 2 14 2 5 6" xfId="17224"/>
    <cellStyle name="Output 2 13 3 6 2 2" xfId="17225"/>
    <cellStyle name="Output 2 6 5 4 2" xfId="17226"/>
    <cellStyle name="Input 2 14 2 5 7" xfId="17227"/>
    <cellStyle name="Output 2 13 3 6 2 3" xfId="17228"/>
    <cellStyle name="Output 2 6 5 4 3" xfId="17229"/>
    <cellStyle name="Total 2 10 2 6 2" xfId="17230"/>
    <cellStyle name="Input 2 14 2 6" xfId="17231"/>
    <cellStyle name="Input 2 7 3 7 5 3" xfId="17232"/>
    <cellStyle name="Input 2 14 2 6 2" xfId="17233"/>
    <cellStyle name="Input 2 14 2 6 2 2" xfId="17234"/>
    <cellStyle name="Input 2 14 2 6 2 3" xfId="17235"/>
    <cellStyle name="Input 2 14 2 6 2 4" xfId="17236"/>
    <cellStyle name="Note 2 14 2 6 2 2" xfId="17237"/>
    <cellStyle name="Input 2 14 2 6 3" xfId="17238"/>
    <cellStyle name="Normal - Style1 2" xfId="17239"/>
    <cellStyle name="Input 2 14 2 6 3 3" xfId="17240"/>
    <cellStyle name="Input 2 14 2 6 3 4" xfId="17241"/>
    <cellStyle name="Note 2 14 2 6 3 2" xfId="17242"/>
    <cellStyle name="Input 2 14 2 6 4" xfId="17243"/>
    <cellStyle name="Input 2 14 2 6 4 3" xfId="17244"/>
    <cellStyle name="Input 2 14 2 6 5" xfId="17245"/>
    <cellStyle name="Input 2 14 2 6 5 2" xfId="17246"/>
    <cellStyle name="Input 2 14 2 6 5 3" xfId="17247"/>
    <cellStyle name="Input 2 14 2 6 6" xfId="17248"/>
    <cellStyle name="Output 2 13 3 6 3 2" xfId="17249"/>
    <cellStyle name="Output 2 6 5 5 2" xfId="17250"/>
    <cellStyle name="Input 2 14 2 6 7" xfId="17251"/>
    <cellStyle name="Output 2 13 3 6 3 3" xfId="17252"/>
    <cellStyle name="Output 2 6 5 5 3" xfId="17253"/>
    <cellStyle name="Total 2 10 2 7 2" xfId="17254"/>
    <cellStyle name="Input 2 14 2 7 2" xfId="17255"/>
    <cellStyle name="Input 2 14 2 7 2 2" xfId="17256"/>
    <cellStyle name="Input 2 14 2 7 2 3" xfId="17257"/>
    <cellStyle name="Input 2 14 2 7 2 4" xfId="17258"/>
    <cellStyle name="Note 2 14 2 7 2 2" xfId="17259"/>
    <cellStyle name="Input 2 14 2 7 3" xfId="17260"/>
    <cellStyle name="Input 2 14 2 7 3 3" xfId="17261"/>
    <cellStyle name="Input 2 14 2 7 3 4" xfId="17262"/>
    <cellStyle name="Note 2 14 2 7 3 2" xfId="17263"/>
    <cellStyle name="Input 2 14 2 7 4" xfId="17264"/>
    <cellStyle name="Input 2 14 2 7 4 3" xfId="17265"/>
    <cellStyle name="Input 2 14 2 7 5" xfId="17266"/>
    <cellStyle name="Input 2 14 2 7 5 2" xfId="17267"/>
    <cellStyle name="Input 2 14 2 7 5 3" xfId="17268"/>
    <cellStyle name="Input 2 14 2 7 6" xfId="17269"/>
    <cellStyle name="Output 2 13 3 6 4 2" xfId="17270"/>
    <cellStyle name="Output 2 7 3 5 2 2" xfId="17271"/>
    <cellStyle name="Input 2 14 2 7 7" xfId="17272"/>
    <cellStyle name="Output 2 13 3 6 4 3" xfId="17273"/>
    <cellStyle name="Output 2 7 3 5 2 3" xfId="17274"/>
    <cellStyle name="Total 2 10 2 8 2" xfId="17275"/>
    <cellStyle name="Input 2 14 2 8 2" xfId="17276"/>
    <cellStyle name="Input 2 9 3 14" xfId="17277"/>
    <cellStyle name="Input 2 14 2 8 2 2" xfId="17278"/>
    <cellStyle name="Input 2 9 3 14 2" xfId="17279"/>
    <cellStyle name="Input 2 14 2 8 2 3" xfId="17280"/>
    <cellStyle name="Input 2 9 3 14 3" xfId="17281"/>
    <cellStyle name="Input 2 14 2 8 2 4" xfId="17282"/>
    <cellStyle name="Note 2 14 2 8 2 2" xfId="17283"/>
    <cellStyle name="Input 2 14 2 8 3" xfId="17284"/>
    <cellStyle name="Input 2 9 3 15" xfId="17285"/>
    <cellStyle name="Input 2 14 2 8 3 3" xfId="17286"/>
    <cellStyle name="Input 2 14 2 8 3 4" xfId="17287"/>
    <cellStyle name="Note 2 14 2 8 3 2" xfId="17288"/>
    <cellStyle name="Input 2 14 2 8 4" xfId="17289"/>
    <cellStyle name="Input 2 9 3 16" xfId="17290"/>
    <cellStyle name="Input 2 14 2 8 4 3" xfId="17291"/>
    <cellStyle name="Input 2 14 2 8 5" xfId="17292"/>
    <cellStyle name="Input 2 14 2 8 5 2" xfId="17293"/>
    <cellStyle name="Input 2 14 2 8 5 3" xfId="17294"/>
    <cellStyle name="Input 2 14 2 8 6" xfId="17295"/>
    <cellStyle name="Output 2 13 3 6 5 2" xfId="17296"/>
    <cellStyle name="Output 2 7 3 5 3 2" xfId="17297"/>
    <cellStyle name="Input 2 14 2 8 7" xfId="17298"/>
    <cellStyle name="Output 2 13 3 6 5 3" xfId="17299"/>
    <cellStyle name="Output 2 7 3 5 3 3" xfId="17300"/>
    <cellStyle name="Total 2 10 2 9 2" xfId="17301"/>
    <cellStyle name="Input 2 14 2 9" xfId="17302"/>
    <cellStyle name="Input 2 14 2 9 2" xfId="17303"/>
    <cellStyle name="Input 2 14 2 9 2 2" xfId="17304"/>
    <cellStyle name="Input 2 14 2 9 2 3" xfId="17305"/>
    <cellStyle name="Input 2 14 2 9 2 4" xfId="17306"/>
    <cellStyle name="Note 2 14 2 9 2 2" xfId="17307"/>
    <cellStyle name="Input 2 14 2 9 3" xfId="17308"/>
    <cellStyle name="Input 2 14 2 9 3 3" xfId="17309"/>
    <cellStyle name="Input 2 14 2 9 3 4" xfId="17310"/>
    <cellStyle name="Note 2 14 2 9 3 2" xfId="17311"/>
    <cellStyle name="Input 2 14 2 9 4" xfId="17312"/>
    <cellStyle name="Input 2 14 2 9 4 3" xfId="17313"/>
    <cellStyle name="Input 2 14 2 9 5" xfId="17314"/>
    <cellStyle name="Input 2 6 12 2 2" xfId="17315"/>
    <cellStyle name="Input 2 14 2 9 5 2" xfId="17316"/>
    <cellStyle name="Output 2 13 12 7" xfId="17317"/>
    <cellStyle name="Input 2 14 2 9 5 3" xfId="17318"/>
    <cellStyle name="Input 2 14 2 9 6" xfId="17319"/>
    <cellStyle name="Input 2 6 12 2 3" xfId="17320"/>
    <cellStyle name="Output 2 7 3 5 4 2" xfId="17321"/>
    <cellStyle name="Input 2 14 2 9 7" xfId="17322"/>
    <cellStyle name="Input 2 6 12 2 4" xfId="17323"/>
    <cellStyle name="Note 2 7 6 2 2" xfId="17324"/>
    <cellStyle name="Output 2 7 3 5 4 3" xfId="17325"/>
    <cellStyle name="Input 2 14 3" xfId="17326"/>
    <cellStyle name="Note 2 2 2 2 2 2 2 2 2 2" xfId="17327"/>
    <cellStyle name="Output 2 2 2 4 3 4" xfId="17328"/>
    <cellStyle name="Input 2 14 3 10 2" xfId="17329"/>
    <cellStyle name="Total 2 13 11 5" xfId="17330"/>
    <cellStyle name="Note 2 10 13" xfId="17331"/>
    <cellStyle name="Output 2 2 5 3 4" xfId="17332"/>
    <cellStyle name="Total 2 10 3 14 2" xfId="17333"/>
    <cellStyle name="Input 2 14 3 10 2 2" xfId="17334"/>
    <cellStyle name="Total 2 13 11 5 2" xfId="17335"/>
    <cellStyle name="Note 2 10 13 2" xfId="17336"/>
    <cellStyle name="Input 2 14 3 10 2 3" xfId="17337"/>
    <cellStyle name="Total 2 13 11 5 3" xfId="17338"/>
    <cellStyle name="Note 2 10 13 3" xfId="17339"/>
    <cellStyle name="Input 2 14 3 10 2 4" xfId="17340"/>
    <cellStyle name="Note 2 10 13 4" xfId="17341"/>
    <cellStyle name="Input 2 14 3 10 3 2" xfId="17342"/>
    <cellStyle name="Note 2 10 14 2" xfId="17343"/>
    <cellStyle name="Note 2 10 16 2" xfId="17344"/>
    <cellStyle name="Input 2 14 3 10 5 2" xfId="17345"/>
    <cellStyle name="Note 2 2 4 26" xfId="17346"/>
    <cellStyle name="Input 2 14 3 10 6" xfId="17347"/>
    <cellStyle name="Note 2 10 17" xfId="17348"/>
    <cellStyle name="Note 2 13 2 5 3 3" xfId="17349"/>
    <cellStyle name="Input 2 14 3 10 7" xfId="17350"/>
    <cellStyle name="Note 2 10 18" xfId="17351"/>
    <cellStyle name="Note 2 13 2 5 3 4" xfId="17352"/>
    <cellStyle name="Output 2 13 14 2" xfId="17353"/>
    <cellStyle name="Input 2 14 3 11" xfId="17354"/>
    <cellStyle name="Output 2 10 10 7" xfId="17355"/>
    <cellStyle name="Total 2 10 3 15" xfId="17356"/>
    <cellStyle name="Input 2 14 3 11 2" xfId="17357"/>
    <cellStyle name="Total 2 13 12 5" xfId="17358"/>
    <cellStyle name="Output 2 5 2 13" xfId="17359"/>
    <cellStyle name="Input 2 14 3 12" xfId="17360"/>
    <cellStyle name="Total 2 10 3 16" xfId="17361"/>
    <cellStyle name="Input 2 14 3 12 2" xfId="17362"/>
    <cellStyle name="Input 2 14 3 13" xfId="17363"/>
    <cellStyle name="Input 2 14 3 13 2" xfId="17364"/>
    <cellStyle name="Input 2 14 3 13 3" xfId="17365"/>
    <cellStyle name="Note 2 13 9 2 2" xfId="17366"/>
    <cellStyle name="Input 2 14 3 14" xfId="17367"/>
    <cellStyle name="Input 2 14 3 14 2" xfId="17368"/>
    <cellStyle name="Output 2 13 2 10 3" xfId="17369"/>
    <cellStyle name="Note 2 13 9 3 2" xfId="17370"/>
    <cellStyle name="Input 2 14 3 14 3" xfId="17371"/>
    <cellStyle name="Output 2 13 2 10 4" xfId="17372"/>
    <cellStyle name="Input 2 14 3 15" xfId="17373"/>
    <cellStyle name="Input 2 14 3 2" xfId="17374"/>
    <cellStyle name="Note 2 2 2 2 2 2 2 2 2 2 2" xfId="17375"/>
    <cellStyle name="Input 2 14 3 2 2" xfId="17376"/>
    <cellStyle name="Note 2 2 2 2 2 2 2 2 2 2 2 2" xfId="17377"/>
    <cellStyle name="Input 2 14 3 2 2 2" xfId="17378"/>
    <cellStyle name="Note 2 2 2 2 2 2 2 2 2 2 2 2 2" xfId="17379"/>
    <cellStyle name="Input 2 14 3 2 2 3" xfId="17380"/>
    <cellStyle name="Input 2 14 3 2 2 4" xfId="17381"/>
    <cellStyle name="Note 2 14 3 2 2 2" xfId="17382"/>
    <cellStyle name="Input 2 14 3 2 3" xfId="17383"/>
    <cellStyle name="Input 2 14 3 2 3 2" xfId="17384"/>
    <cellStyle name="Input 2 14 3 2 3 3" xfId="17385"/>
    <cellStyle name="Input 2 14 3 2 3 4" xfId="17386"/>
    <cellStyle name="Note 2 14 3 2 3 2" xfId="17387"/>
    <cellStyle name="Input 2 14 3 2 4" xfId="17388"/>
    <cellStyle name="Output 2 12 6 2 2" xfId="17389"/>
    <cellStyle name="Total 2 10 2 6 3 2" xfId="17390"/>
    <cellStyle name="Input 2 14 3 2 4 2" xfId="17391"/>
    <cellStyle name="Input 2 14 3 2 4 3" xfId="17392"/>
    <cellStyle name="Input 2 14 3 3" xfId="17393"/>
    <cellStyle name="Note 2 2 2 2 2 2 2 2 2 2 3" xfId="17394"/>
    <cellStyle name="Input 2 14 3 3 2" xfId="17395"/>
    <cellStyle name="Input 2 14 3 3 3" xfId="17396"/>
    <cellStyle name="Input 2 14 3 3 4" xfId="17397"/>
    <cellStyle name="Note 2 2 2 3 2 4 2 2" xfId="17398"/>
    <cellStyle name="Output 2 12 6 3 2" xfId="17399"/>
    <cellStyle name="Total 2 10 2 6 4 2" xfId="17400"/>
    <cellStyle name="Input 2 14 3 3 4 2" xfId="17401"/>
    <cellStyle name="Note 2 6 2 5 6" xfId="17402"/>
    <cellStyle name="Input 2 14 3 3 4 3" xfId="17403"/>
    <cellStyle name="Note 2 6 2 5 7" xfId="17404"/>
    <cellStyle name="Input 2 14 3 3 5" xfId="17405"/>
    <cellStyle name="Output 2 12 6 3 3" xfId="17406"/>
    <cellStyle name="Total 2 10 2 6 4 3" xfId="17407"/>
    <cellStyle name="Input 2 14 3 3 5 2" xfId="17408"/>
    <cellStyle name="Note 2 6 2 6 6" xfId="17409"/>
    <cellStyle name="Input 2 14 3 3 5 3" xfId="17410"/>
    <cellStyle name="Note 2 6 2 6 7" xfId="17411"/>
    <cellStyle name="Input 2 14 3 3 6" xfId="17412"/>
    <cellStyle name="Output 2 12 6 3 4" xfId="17413"/>
    <cellStyle name="Output 2 6 6 2 2" xfId="17414"/>
    <cellStyle name="Input 2 14 3 3 7" xfId="17415"/>
    <cellStyle name="Output 2 6 6 2 3" xfId="17416"/>
    <cellStyle name="Total 2 10 3 4 2" xfId="17417"/>
    <cellStyle name="Input 2 14 3 4" xfId="17418"/>
    <cellStyle name="Input 2 14 3 4 2" xfId="17419"/>
    <cellStyle name="Input 2 14 3 4 3" xfId="17420"/>
    <cellStyle name="Input 2 14 3 4 4" xfId="17421"/>
    <cellStyle name="Output 2 12 6 4 2" xfId="17422"/>
    <cellStyle name="Total 2 10 2 6 5 2" xfId="17423"/>
    <cellStyle name="Input 2 14 3 4 4 2" xfId="17424"/>
    <cellStyle name="Note 2 6 3 5 6" xfId="17425"/>
    <cellStyle name="Input 2 14 3 4 4 3" xfId="17426"/>
    <cellStyle name="Note 2 6 3 5 7" xfId="17427"/>
    <cellStyle name="Input 2 14 3 4 5 2" xfId="17428"/>
    <cellStyle name="Note 2 6 3 6 6" xfId="17429"/>
    <cellStyle name="Input 2 14 3 4 5 3" xfId="17430"/>
    <cellStyle name="Note 2 6 3 6 7" xfId="17431"/>
    <cellStyle name="Input 2 14 3 4 6" xfId="17432"/>
    <cellStyle name="Output 2 6 6 3 2" xfId="17433"/>
    <cellStyle name="Input 2 14 3 4 7" xfId="17434"/>
    <cellStyle name="Output 2 6 6 3 3" xfId="17435"/>
    <cellStyle name="Total 2 10 3 5 2" xfId="17436"/>
    <cellStyle name="Input 2 14 3 5" xfId="17437"/>
    <cellStyle name="Input 2 14 3 5 2" xfId="17438"/>
    <cellStyle name="Input 2 14 3 5 3" xfId="17439"/>
    <cellStyle name="Input 2 14 3 5 4" xfId="17440"/>
    <cellStyle name="Output 2 12 6 5 2" xfId="17441"/>
    <cellStyle name="Input 2 14 3 5 5" xfId="17442"/>
    <cellStyle name="Output 2 12 6 5 3" xfId="17443"/>
    <cellStyle name="Input 2 14 3 5 6" xfId="17444"/>
    <cellStyle name="Output 2 13 3 7 2 2" xfId="17445"/>
    <cellStyle name="Output 2 6 6 4 2" xfId="17446"/>
    <cellStyle name="Input 2 14 3 5 7" xfId="17447"/>
    <cellStyle name="Output 2 13 3 7 2 3" xfId="17448"/>
    <cellStyle name="Output 2 6 6 4 3" xfId="17449"/>
    <cellStyle name="Total 2 10 3 6 2" xfId="17450"/>
    <cellStyle name="Input 2 14 3 6" xfId="17451"/>
    <cellStyle name="Input 2 14 3 6 2" xfId="17452"/>
    <cellStyle name="Input 2 14 3 6 3" xfId="17453"/>
    <cellStyle name="Input 2 14 3 6 4" xfId="17454"/>
    <cellStyle name="Input 2 14 3 6 5" xfId="17455"/>
    <cellStyle name="Input 2 14 3 6 5 3" xfId="17456"/>
    <cellStyle name="Input 2 14 3 6 6" xfId="17457"/>
    <cellStyle name="Output 2 13 3 7 3 2" xfId="17458"/>
    <cellStyle name="Output 2 6 6 5 2" xfId="17459"/>
    <cellStyle name="Input 2 14 3 6 7" xfId="17460"/>
    <cellStyle name="Output 2 13 3 7 3 3" xfId="17461"/>
    <cellStyle name="Output 2 6 6 5 3" xfId="17462"/>
    <cellStyle name="Total 2 10 3 7 2" xfId="17463"/>
    <cellStyle name="Input 2 14 3 7 2" xfId="17464"/>
    <cellStyle name="Input 2 14 3 7 3" xfId="17465"/>
    <cellStyle name="Input 2 14 3 7 4" xfId="17466"/>
    <cellStyle name="Input 2 14 3 7 5" xfId="17467"/>
    <cellStyle name="Input 2 14 3 7 5 3" xfId="17468"/>
    <cellStyle name="Input 2 14 3 7 6" xfId="17469"/>
    <cellStyle name="Output 2 13 3 7 4 2" xfId="17470"/>
    <cellStyle name="Output 2 7 3 6 2 2" xfId="17471"/>
    <cellStyle name="Input 2 14 3 7 7" xfId="17472"/>
    <cellStyle name="Output 2 13 3 7 4 3" xfId="17473"/>
    <cellStyle name="Output 2 7 3 6 2 3" xfId="17474"/>
    <cellStyle name="Total 2 10 3 8 2" xfId="17475"/>
    <cellStyle name="Input 2 14 3 8 2" xfId="17476"/>
    <cellStyle name="Input 2 14 3 8 3" xfId="17477"/>
    <cellStyle name="Input 2 14 3 8 4" xfId="17478"/>
    <cellStyle name="Input 2 14 3 8 5" xfId="17479"/>
    <cellStyle name="Input 2 14 3 8 5 3" xfId="17480"/>
    <cellStyle name="Input 2 14 3 8 6" xfId="17481"/>
    <cellStyle name="Output 2 13 3 7 5 2" xfId="17482"/>
    <cellStyle name="Output 2 7 3 6 3 2" xfId="17483"/>
    <cellStyle name="Input 2 14 3 8 7" xfId="17484"/>
    <cellStyle name="Output 2 13 3 7 5 3" xfId="17485"/>
    <cellStyle name="Output 2 7 3 6 3 3" xfId="17486"/>
    <cellStyle name="Total 2 10 3 9 2" xfId="17487"/>
    <cellStyle name="Input 2 14 3 9" xfId="17488"/>
    <cellStyle name="Note 2 12 6 2 4" xfId="17489"/>
    <cellStyle name="Input 2 14 3 9 2" xfId="17490"/>
    <cellStyle name="Input 2 14 3 9 3" xfId="17491"/>
    <cellStyle name="Input 2 14 3 9 4" xfId="17492"/>
    <cellStyle name="Input 2 14 3 9 4 2" xfId="17493"/>
    <cellStyle name="Input 2 14 3 9 4 3" xfId="17494"/>
    <cellStyle name="Input 2 14 3 9 5" xfId="17495"/>
    <cellStyle name="Input 2 14 3 9 5 2" xfId="17496"/>
    <cellStyle name="Input 2 14 3 9 5 3" xfId="17497"/>
    <cellStyle name="Input 2 14 3 9 6" xfId="17498"/>
    <cellStyle name="Output 2 7 3 6 4 2" xfId="17499"/>
    <cellStyle name="Input 2 14 3 9 7" xfId="17500"/>
    <cellStyle name="Note 2 7 7 2 2" xfId="17501"/>
    <cellStyle name="Output 2 7 3 6 4 3" xfId="17502"/>
    <cellStyle name="Input 2 14 4" xfId="17503"/>
    <cellStyle name="Note 2 2 2 2 2 2 2 2 2 3" xfId="17504"/>
    <cellStyle name="Note 2 9 3 5 2" xfId="17505"/>
    <cellStyle name="Output 2 6 12 5 2" xfId="17506"/>
    <cellStyle name="Input 2 14 4 2 2" xfId="17507"/>
    <cellStyle name="Input 2 14 4 2 3" xfId="17508"/>
    <cellStyle name="Input 2 14 4 2 4" xfId="17509"/>
    <cellStyle name="Output 2 12 7 2 2" xfId="17510"/>
    <cellStyle name="Total 2 10 2 7 3 2" xfId="17511"/>
    <cellStyle name="Input 2 14 4 3" xfId="17512"/>
    <cellStyle name="Note 2 9 3 5 2 3" xfId="17513"/>
    <cellStyle name="Input 2 14 4 3 2" xfId="17514"/>
    <cellStyle name="Input 2 14 4 3 3" xfId="17515"/>
    <cellStyle name="Input 2 14 4 3 4" xfId="17516"/>
    <cellStyle name="Output 2 12 7 3 2" xfId="17517"/>
    <cellStyle name="Total 2 10 2 7 4 2" xfId="17518"/>
    <cellStyle name="Input 2 14 4 4" xfId="17519"/>
    <cellStyle name="Note 2 9 3 5 2 4" xfId="17520"/>
    <cellStyle name="Input 2 14 4 4 2" xfId="17521"/>
    <cellStyle name="Input 2 14 4 4 3" xfId="17522"/>
    <cellStyle name="Input 2 14 4 5" xfId="17523"/>
    <cellStyle name="Input 2 14 4 5 2" xfId="17524"/>
    <cellStyle name="Input 2 14 4 5 3" xfId="17525"/>
    <cellStyle name="Input 2 14 4 6" xfId="17526"/>
    <cellStyle name="Input 2 7 2 2" xfId="17527"/>
    <cellStyle name="Input 2 14 4 7" xfId="17528"/>
    <cellStyle name="Input 2 7 2 3" xfId="17529"/>
    <cellStyle name="Note 2 12 6 3 2" xfId="17530"/>
    <cellStyle name="Input 2 14 5" xfId="17531"/>
    <cellStyle name="Output 2 14 3 5 2 2" xfId="17532"/>
    <cellStyle name="Note 2 9 3 5 3" xfId="17533"/>
    <cellStyle name="Output 2 6 12 5 3" xfId="17534"/>
    <cellStyle name="Input 2 14 5 2 2" xfId="17535"/>
    <cellStyle name="Input 2 14 5 2 3" xfId="17536"/>
    <cellStyle name="Input 2 14 5 2 4" xfId="17537"/>
    <cellStyle name="Output 2 12 8 2 2" xfId="17538"/>
    <cellStyle name="Total 2 10 2 8 3 2" xfId="17539"/>
    <cellStyle name="Input 2 14 5 3" xfId="17540"/>
    <cellStyle name="Note 2 9 3 5 3 3" xfId="17541"/>
    <cellStyle name="Input 2 14 5 3 2" xfId="17542"/>
    <cellStyle name="Input 2 14 5 3 3" xfId="17543"/>
    <cellStyle name="Input 2 14 5 3 4" xfId="17544"/>
    <cellStyle name="Output 2 12 8 3 2" xfId="17545"/>
    <cellStyle name="Total 2 10 2 8 4 2" xfId="17546"/>
    <cellStyle name="Input 2 14 5 4" xfId="17547"/>
    <cellStyle name="Note 2 9 3 5 3 4" xfId="17548"/>
    <cellStyle name="Input 2 14 5 4 2" xfId="17549"/>
    <cellStyle name="Input 2 14 5 4 3" xfId="17550"/>
    <cellStyle name="Input 2 2 2 10 2 2" xfId="17551"/>
    <cellStyle name="Input 2 14 5 5" xfId="17552"/>
    <cellStyle name="Note 2 2 3 2 2" xfId="17553"/>
    <cellStyle name="Input 2 14 5 5 2" xfId="17554"/>
    <cellStyle name="Note 2 2 3 2 2 2" xfId="17555"/>
    <cellStyle name="Input 2 14 5 5 3" xfId="17556"/>
    <cellStyle name="Input 2 2 2 10 3 2" xfId="17557"/>
    <cellStyle name="Note 2 2 3 2 2 3" xfId="17558"/>
    <cellStyle name="Input 2 14 5 6" xfId="17559"/>
    <cellStyle name="Input 2 7 3 2" xfId="17560"/>
    <cellStyle name="Note 2 2 3 2 3" xfId="17561"/>
    <cellStyle name="Input 2 14 5 7" xfId="17562"/>
    <cellStyle name="Input 2 7 3 3" xfId="17563"/>
    <cellStyle name="Note 2 12 6 4 2" xfId="17564"/>
    <cellStyle name="Note 2 2 3 2 4" xfId="17565"/>
    <cellStyle name="Input 2 14 6" xfId="17566"/>
    <cellStyle name="Note 2 9 3 5 4" xfId="17567"/>
    <cellStyle name="Output 2 14 3 5 2 3" xfId="17568"/>
    <cellStyle name="Output 2 3 2 10" xfId="17569"/>
    <cellStyle name="Total 2 11 12 2" xfId="17570"/>
    <cellStyle name="Input 2 14 6 2 2" xfId="17571"/>
    <cellStyle name="Output 2 3 2 10 2 2" xfId="17572"/>
    <cellStyle name="Input 2 14 6 2 3" xfId="17573"/>
    <cellStyle name="Output 2 3 2 10 2 3" xfId="17574"/>
    <cellStyle name="Input 2 14 6 2 4" xfId="17575"/>
    <cellStyle name="Output 2 12 9 2 2" xfId="17576"/>
    <cellStyle name="Output 2 3 2 10 2 4" xfId="17577"/>
    <cellStyle name="Total 2 10 2 9 3 2" xfId="17578"/>
    <cellStyle name="Input 2 14 6 3" xfId="17579"/>
    <cellStyle name="Note 2 9 3 5 4 3" xfId="17580"/>
    <cellStyle name="Output 2 3 2 10 3" xfId="17581"/>
    <cellStyle name="Total 2 11 12 2 3" xfId="17582"/>
    <cellStyle name="Input 2 14 6 3 2" xfId="17583"/>
    <cellStyle name="Output 2 3 2 10 3 2" xfId="17584"/>
    <cellStyle name="Input 2 14 6 3 3" xfId="17585"/>
    <cellStyle name="Output 2 3 2 10 3 3" xfId="17586"/>
    <cellStyle name="Input 2 14 6 3 4" xfId="17587"/>
    <cellStyle name="Output 2 12 9 3 2" xfId="17588"/>
    <cellStyle name="Output 2 3 2 10 3 4" xfId="17589"/>
    <cellStyle name="Total 2 10 2 9 4 2" xfId="17590"/>
    <cellStyle name="Input 2 14 6 4" xfId="17591"/>
    <cellStyle name="Output 2 3 2 10 4" xfId="17592"/>
    <cellStyle name="Total 2 11 12 2 4" xfId="17593"/>
    <cellStyle name="Input 2 14 6 4 2" xfId="17594"/>
    <cellStyle name="Output 2 3 2 10 4 2" xfId="17595"/>
    <cellStyle name="Input 2 14 6 4 3" xfId="17596"/>
    <cellStyle name="Output 2 3 2 10 4 3" xfId="17597"/>
    <cellStyle name="Input 2 14 6 5" xfId="17598"/>
    <cellStyle name="Note 2 2 3 3 2" xfId="17599"/>
    <cellStyle name="Output 2 3 2 10 5" xfId="17600"/>
    <cellStyle name="Input 2 14 6 5 2" xfId="17601"/>
    <cellStyle name="Note 2 2 3 3 2 2" xfId="17602"/>
    <cellStyle name="Output 2 3 2 10 5 2" xfId="17603"/>
    <cellStyle name="Input 2 14 6 5 3" xfId="17604"/>
    <cellStyle name="Note 2 2 3 3 2 3" xfId="17605"/>
    <cellStyle name="Output 2 3 2 10 5 3" xfId="17606"/>
    <cellStyle name="Input 2 14 6 6" xfId="17607"/>
    <cellStyle name="Note 2 2 3 3 3" xfId="17608"/>
    <cellStyle name="Input 2 7 4 2" xfId="17609"/>
    <cellStyle name="Output 2 3 2 10 6" xfId="17610"/>
    <cellStyle name="Input 2 14 6 7" xfId="17611"/>
    <cellStyle name="Note 2 12 6 5 2" xfId="17612"/>
    <cellStyle name="Note 2 2 3 3 4" xfId="17613"/>
    <cellStyle name="Input 2 7 4 3" xfId="17614"/>
    <cellStyle name="Output 2 3 2 10 7" xfId="17615"/>
    <cellStyle name="Input 2 14 7 2 2" xfId="17616"/>
    <cellStyle name="Input 2 14 7 2 3" xfId="17617"/>
    <cellStyle name="Input 2 14 7 2 4" xfId="17618"/>
    <cellStyle name="Output 2 4 10 2 2" xfId="17619"/>
    <cellStyle name="Input 2 14 7 3" xfId="17620"/>
    <cellStyle name="Note 2 9 3 5 5 3" xfId="17621"/>
    <cellStyle name="Output 2 3 2 11 3" xfId="17622"/>
    <cellStyle name="Total 2 11 12 3 3" xfId="17623"/>
    <cellStyle name="Input 2 14 7 3 2" xfId="17624"/>
    <cellStyle name="Input 2 14 7 3 3" xfId="17625"/>
    <cellStyle name="Input 2 14 7 3 4" xfId="17626"/>
    <cellStyle name="Output 2 4 10 3 2" xfId="17627"/>
    <cellStyle name="Input 2 14 7 4" xfId="17628"/>
    <cellStyle name="Output 2 3 2 11 4" xfId="17629"/>
    <cellStyle name="Total 2 11 12 3 4" xfId="17630"/>
    <cellStyle name="Input 2 14 7 4 2" xfId="17631"/>
    <cellStyle name="Input 2 14 7 4 3" xfId="17632"/>
    <cellStyle name="Input 2 14 7 5" xfId="17633"/>
    <cellStyle name="Note 2 2 3 4 2" xfId="17634"/>
    <cellStyle name="Input 2 14 7 5 2" xfId="17635"/>
    <cellStyle name="Note 2 2 3 4 2 2" xfId="17636"/>
    <cellStyle name="Input 2 14 7 5 3" xfId="17637"/>
    <cellStyle name="Note 2 2 3 4 2 3" xfId="17638"/>
    <cellStyle name="Input 2 14 7 7" xfId="17639"/>
    <cellStyle name="Input 2 7 5 3" xfId="17640"/>
    <cellStyle name="Note 2 2 3 4 4" xfId="17641"/>
    <cellStyle name="Input 2 14 8 2 2" xfId="17642"/>
    <cellStyle name="Input 2 14 8 2 3" xfId="17643"/>
    <cellStyle name="Input 2 14 8 2 4" xfId="17644"/>
    <cellStyle name="Output 2 4 11 2 2" xfId="17645"/>
    <cellStyle name="Input 2 14 8 3" xfId="17646"/>
    <cellStyle name="Output 2 3 2 12 3" xfId="17647"/>
    <cellStyle name="Total 2 11 12 4 3" xfId="17648"/>
    <cellStyle name="Input 2 14 8 3 2" xfId="17649"/>
    <cellStyle name="Input 2 14 8 3 3" xfId="17650"/>
    <cellStyle name="Input 2 14 8 3 4" xfId="17651"/>
    <cellStyle name="Output 2 4 11 3 2" xfId="17652"/>
    <cellStyle name="Input 2 14 8 4" xfId="17653"/>
    <cellStyle name="Output 2 3 2 12 4" xfId="17654"/>
    <cellStyle name="Input 2 14 8 4 2" xfId="17655"/>
    <cellStyle name="Input 2 14 8 4 3" xfId="17656"/>
    <cellStyle name="Input 2 14 8 5" xfId="17657"/>
    <cellStyle name="Note 2 2 3 5 2" xfId="17658"/>
    <cellStyle name="Input 2 14 8 5 2" xfId="17659"/>
    <cellStyle name="Note 2 2 3 5 2 2" xfId="17660"/>
    <cellStyle name="Input 2 14 8 5 3" xfId="17661"/>
    <cellStyle name="Note 2 2 3 5 2 3" xfId="17662"/>
    <cellStyle name="Input 2 14 8 6" xfId="17663"/>
    <cellStyle name="Input 2 7 6 2" xfId="17664"/>
    <cellStyle name="Note 2 2 3 5 3" xfId="17665"/>
    <cellStyle name="Input 2 14 8 7" xfId="17666"/>
    <cellStyle name="Input 2 7 6 3" xfId="17667"/>
    <cellStyle name="Note 2 2 3 5 4" xfId="17668"/>
    <cellStyle name="Input 2 14 9" xfId="17669"/>
    <cellStyle name="Note 2 9 3 5 7" xfId="17670"/>
    <cellStyle name="Output 2 3 2 13" xfId="17671"/>
    <cellStyle name="Total 2 11 12 5" xfId="17672"/>
    <cellStyle name="Input 2 14 9 2 2" xfId="17673"/>
    <cellStyle name="Input 2 14 9 2 3" xfId="17674"/>
    <cellStyle name="Input 2 14 9 2 4" xfId="17675"/>
    <cellStyle name="Input 2 14 9 3" xfId="17676"/>
    <cellStyle name="Output 2 3 2 13 3" xfId="17677"/>
    <cellStyle name="Total 2 11 12 5 3" xfId="17678"/>
    <cellStyle name="Input 2 14 9 3 2" xfId="17679"/>
    <cellStyle name="Input 2 14 9 3 3" xfId="17680"/>
    <cellStyle name="Input 2 14 9 3 4" xfId="17681"/>
    <cellStyle name="Input 2 14 9 4" xfId="17682"/>
    <cellStyle name="Input 2 14 9 4 2" xfId="17683"/>
    <cellStyle name="Input 2 14 9 4 3" xfId="17684"/>
    <cellStyle name="Input 2 14 9 5" xfId="17685"/>
    <cellStyle name="Total 2 30" xfId="17686"/>
    <cellStyle name="Total 2 25" xfId="17687"/>
    <cellStyle name="Note 2 2 3 6 2" xfId="17688"/>
    <cellStyle name="Input 2 14 9 5 2" xfId="17689"/>
    <cellStyle name="Total 2 30 2" xfId="17690"/>
    <cellStyle name="Total 2 25 2" xfId="17691"/>
    <cellStyle name="Note 2 2 3 6 2 2" xfId="17692"/>
    <cellStyle name="Input 2 14 9 5 3" xfId="17693"/>
    <cellStyle name="Input 2 2 2 2 2 2 2 2 2 2" xfId="17694"/>
    <cellStyle name="Total 2 30 3" xfId="17695"/>
    <cellStyle name="Total 2 25 3" xfId="17696"/>
    <cellStyle name="Note 2 2 3 6 2 3" xfId="17697"/>
    <cellStyle name="Input 2 15" xfId="17698"/>
    <cellStyle name="Input 2 20" xfId="17699"/>
    <cellStyle name="Input 2 15 10" xfId="17700"/>
    <cellStyle name="Note 2 14 6 4 2" xfId="17701"/>
    <cellStyle name="Output 2 3 2 8 5" xfId="17702"/>
    <cellStyle name="Note 2 4 3 2 4" xfId="17703"/>
    <cellStyle name="Output 2 5 12 2 4" xfId="17704"/>
    <cellStyle name="Input 2 15 10 2" xfId="17705"/>
    <cellStyle name="Note 2 4 3 2 4 2" xfId="17706"/>
    <cellStyle name="Input 2 4 10" xfId="17707"/>
    <cellStyle name="Output 2 3 2 8 5 2" xfId="17708"/>
    <cellStyle name="Total 2 11 10 6" xfId="17709"/>
    <cellStyle name="Input 2 15 10 3" xfId="17710"/>
    <cellStyle name="Note 2 4 3 2 4 3" xfId="17711"/>
    <cellStyle name="Input 2 4 11" xfId="17712"/>
    <cellStyle name="Output 2 3 2 8 5 3" xfId="17713"/>
    <cellStyle name="Total 2 11 10 7" xfId="17714"/>
    <cellStyle name="Input 2 15 10 4" xfId="17715"/>
    <cellStyle name="Input 2 4 12" xfId="17716"/>
    <cellStyle name="Input 2 15 10 5 2" xfId="17717"/>
    <cellStyle name="Input 2 4 13 2" xfId="17718"/>
    <cellStyle name="Input 2 15 2" xfId="17719"/>
    <cellStyle name="Input 2 20 2" xfId="17720"/>
    <cellStyle name="Output 2 2 2 4 4 3" xfId="17721"/>
    <cellStyle name="Input 2 15 2 2" xfId="17722"/>
    <cellStyle name="Input 2 20 2 2" xfId="17723"/>
    <cellStyle name="Input 2 15 2 2 2" xfId="17724"/>
    <cellStyle name="Note 2 6 3 9 4" xfId="17725"/>
    <cellStyle name="Input 2 15 2 2 3" xfId="17726"/>
    <cellStyle name="Note 2 6 3 9 5" xfId="17727"/>
    <cellStyle name="Input 2 15 2 2 4" xfId="17728"/>
    <cellStyle name="Note 2 6 3 9 6" xfId="17729"/>
    <cellStyle name="Output 2 13 5 2 2" xfId="17730"/>
    <cellStyle name="Total 2 10 3 5 3 2" xfId="17731"/>
    <cellStyle name="Input 2 15 2 3" xfId="17732"/>
    <cellStyle name="Input 2 20 2 3" xfId="17733"/>
    <cellStyle name="Output 2 8 2" xfId="17734"/>
    <cellStyle name="Input 2 15 2 3 2" xfId="17735"/>
    <cellStyle name="Output 2 8 2 2" xfId="17736"/>
    <cellStyle name="Input 2 15 2 3 3" xfId="17737"/>
    <cellStyle name="Output 2 8 2 3" xfId="17738"/>
    <cellStyle name="Input 2 15 2 3 4" xfId="17739"/>
    <cellStyle name="Note 2 2 2 3 3 3 2 2" xfId="17740"/>
    <cellStyle name="Output 2 13 5 3 2" xfId="17741"/>
    <cellStyle name="Output 2 8 2 4" xfId="17742"/>
    <cellStyle name="Total 2 10 3 5 4 2" xfId="17743"/>
    <cellStyle name="Input 2 15 2 4" xfId="17744"/>
    <cellStyle name="Input 2 20 2 4" xfId="17745"/>
    <cellStyle name="Output 2 8 3" xfId="17746"/>
    <cellStyle name="Input 2 15 2 4 2" xfId="17747"/>
    <cellStyle name="Output 2 8 3 2" xfId="17748"/>
    <cellStyle name="Input 2 15 2 4 3" xfId="17749"/>
    <cellStyle name="Output 2 8 3 3" xfId="17750"/>
    <cellStyle name="Input 2 15 2 5" xfId="17751"/>
    <cellStyle name="Input 2 7 3 8 5 2" xfId="17752"/>
    <cellStyle name="Output 2 8 4" xfId="17753"/>
    <cellStyle name="Input 2 15 2 5 2" xfId="17754"/>
    <cellStyle name="Output 2 8 4 2" xfId="17755"/>
    <cellStyle name="Input 2 15 2 5 3" xfId="17756"/>
    <cellStyle name="Output 2 8 4 3" xfId="17757"/>
    <cellStyle name="Input 2 15 2 6" xfId="17758"/>
    <cellStyle name="Input 2 7 3 8 5 3" xfId="17759"/>
    <cellStyle name="Output 2 8 5" xfId="17760"/>
    <cellStyle name="Input 2 15 2 7" xfId="17761"/>
    <cellStyle name="Output 2 8 6" xfId="17762"/>
    <cellStyle name="Input 2 15 3" xfId="17763"/>
    <cellStyle name="Input 2 20 3" xfId="17764"/>
    <cellStyle name="Input 2 15 3 2" xfId="17765"/>
    <cellStyle name="Input 2 20 3 2" xfId="17766"/>
    <cellStyle name="Input 2 15 3 2 2" xfId="17767"/>
    <cellStyle name="Input 2 15 3 3" xfId="17768"/>
    <cellStyle name="Input 2 20 3 3" xfId="17769"/>
    <cellStyle name="Output 2 9 2" xfId="17770"/>
    <cellStyle name="Input 2 15 3 3 2" xfId="17771"/>
    <cellStyle name="Output 2 9 2 2" xfId="17772"/>
    <cellStyle name="Input 2 15 3 4" xfId="17773"/>
    <cellStyle name="Input 2 20 3 4" xfId="17774"/>
    <cellStyle name="Output 2 9 3" xfId="17775"/>
    <cellStyle name="Input 2 15 3 4 2" xfId="17776"/>
    <cellStyle name="Output 2 9 3 2" xfId="17777"/>
    <cellStyle name="Input 2 15 3 5" xfId="17778"/>
    <cellStyle name="Output 2 9 4" xfId="17779"/>
    <cellStyle name="Input 2 15 3 5 2" xfId="17780"/>
    <cellStyle name="Output 2 9 4 2" xfId="17781"/>
    <cellStyle name="Input 2 15 3 6" xfId="17782"/>
    <cellStyle name="Output 2 9 5" xfId="17783"/>
    <cellStyle name="Input 2 15 3 7" xfId="17784"/>
    <cellStyle name="Note 2 12 7 2 2" xfId="17785"/>
    <cellStyle name="Output 2 9 6" xfId="17786"/>
    <cellStyle name="Input 2 15 4" xfId="17787"/>
    <cellStyle name="Input 2 20 4" xfId="17788"/>
    <cellStyle name="Note 2 9 3 6 2" xfId="17789"/>
    <cellStyle name="Input 2 15 4 2" xfId="17790"/>
    <cellStyle name="Input 2 20 4 2" xfId="17791"/>
    <cellStyle name="Note 2 9 3 6 2 2" xfId="17792"/>
    <cellStyle name="Input 2 15 4 2 2" xfId="17793"/>
    <cellStyle name="Input 2 15 4 2 3" xfId="17794"/>
    <cellStyle name="Input 2 15 4 2 4" xfId="17795"/>
    <cellStyle name="Output 2 13 7 2 2" xfId="17796"/>
    <cellStyle name="Total 2 10 3 7 3 2" xfId="17797"/>
    <cellStyle name="Input 2 15 4 3" xfId="17798"/>
    <cellStyle name="Input 2 20 4 3" xfId="17799"/>
    <cellStyle name="Note 2 9 3 6 2 3" xfId="17800"/>
    <cellStyle name="Input 2 15 4 3 3" xfId="17801"/>
    <cellStyle name="Input 2 15 4 3 4" xfId="17802"/>
    <cellStyle name="Output 2 13 7 3 2" xfId="17803"/>
    <cellStyle name="Total 2 10 3 7 4 2" xfId="17804"/>
    <cellStyle name="Input 2 15 4 4" xfId="17805"/>
    <cellStyle name="Note 2 9 3 6 2 4" xfId="17806"/>
    <cellStyle name="Input 2 15 4 4 2" xfId="17807"/>
    <cellStyle name="Input 2 15 4 4 3" xfId="17808"/>
    <cellStyle name="Input 2 15 5" xfId="17809"/>
    <cellStyle name="Input 2 20 5" xfId="17810"/>
    <cellStyle name="Note 2 9 3 6 3" xfId="17811"/>
    <cellStyle name="Output 2 14 3 5 3 2" xfId="17812"/>
    <cellStyle name="Input 2 15 5 2" xfId="17813"/>
    <cellStyle name="Input 2 20 5 2" xfId="17814"/>
    <cellStyle name="Note 2 9 3 6 3 2" xfId="17815"/>
    <cellStyle name="Input 2 15 5 2 2" xfId="17816"/>
    <cellStyle name="Input 2 15 5 2 3" xfId="17817"/>
    <cellStyle name="Input 2 15 5 2 4" xfId="17818"/>
    <cellStyle name="Output 2 13 8 2 2" xfId="17819"/>
    <cellStyle name="Total 2 10 3 8 3 2" xfId="17820"/>
    <cellStyle name="Input 2 15 5 3" xfId="17821"/>
    <cellStyle name="Input 2 20 5 3" xfId="17822"/>
    <cellStyle name="Input 2 5 10 2 2" xfId="17823"/>
    <cellStyle name="Note 2 9 3 6 3 3" xfId="17824"/>
    <cellStyle name="Input 2 15 5 3 2" xfId="17825"/>
    <cellStyle name="Input 2 15 5 3 3" xfId="17826"/>
    <cellStyle name="Input 2 15 5 3 4" xfId="17827"/>
    <cellStyle name="Output 2 13 8 3 2" xfId="17828"/>
    <cellStyle name="Total 2 10 3 8 4 2" xfId="17829"/>
    <cellStyle name="Input 2 15 5 4" xfId="17830"/>
    <cellStyle name="Input 2 5 10 2 3" xfId="17831"/>
    <cellStyle name="Note 2 9 3 6 3 4" xfId="17832"/>
    <cellStyle name="Input 2 15 5 4 2" xfId="17833"/>
    <cellStyle name="Input 2 15 5 4 3" xfId="17834"/>
    <cellStyle name="Input 2 15 5 5" xfId="17835"/>
    <cellStyle name="Input 2 5 10 2 4" xfId="17836"/>
    <cellStyle name="Note 2 2 4 2 2" xfId="17837"/>
    <cellStyle name="Input 2 15 5 5 2" xfId="17838"/>
    <cellStyle name="Input 2 15 5 5 3" xfId="17839"/>
    <cellStyle name="Input 2 15 5 6" xfId="17840"/>
    <cellStyle name="Input 2 8 3 2" xfId="17841"/>
    <cellStyle name="Note 2 2 4 2 3" xfId="17842"/>
    <cellStyle name="Input 2 15 5 7" xfId="17843"/>
    <cellStyle name="Input 2 8 3 3" xfId="17844"/>
    <cellStyle name="Note 2 12 7 4 2" xfId="17845"/>
    <cellStyle name="Note 2 2 4 2 4" xfId="17846"/>
    <cellStyle name="Input 2 15 6" xfId="17847"/>
    <cellStyle name="Input 2 20 6" xfId="17848"/>
    <cellStyle name="Note 2 9 3 6 4" xfId="17849"/>
    <cellStyle name="Output 2 14 3 5 3 3" xfId="17850"/>
    <cellStyle name="Total 2 11 13 2" xfId="17851"/>
    <cellStyle name="Input 2 15 6 2" xfId="17852"/>
    <cellStyle name="Note 2 9 3 6 4 2" xfId="17853"/>
    <cellStyle name="Input 2 15 6 2 2" xfId="17854"/>
    <cellStyle name="Input 2 15 6 2 3" xfId="17855"/>
    <cellStyle name="Input 2 15 6 2 4" xfId="17856"/>
    <cellStyle name="Output 2 13 9 2 2" xfId="17857"/>
    <cellStyle name="Total 2 10 3 9 3 2" xfId="17858"/>
    <cellStyle name="Input 2 15 6 3" xfId="17859"/>
    <cellStyle name="Input 2 5 10 3 2" xfId="17860"/>
    <cellStyle name="Note 2 9 3 6 4 3" xfId="17861"/>
    <cellStyle name="Input 2 15 6 3 2" xfId="17862"/>
    <cellStyle name="Input 2 15 6 3 3" xfId="17863"/>
    <cellStyle name="Input 2 15 6 3 4" xfId="17864"/>
    <cellStyle name="Output 2 13 9 3 2" xfId="17865"/>
    <cellStyle name="Total 2 10 3 9 4 2" xfId="17866"/>
    <cellStyle name="Input 2 15 6 4" xfId="17867"/>
    <cellStyle name="Input 2 5 10 3 3" xfId="17868"/>
    <cellStyle name="Input 2 15 6 4 2" xfId="17869"/>
    <cellStyle name="Input 2 15 6 4 3" xfId="17870"/>
    <cellStyle name="Input 2 15 6 5" xfId="17871"/>
    <cellStyle name="Input 2 5 10 3 4" xfId="17872"/>
    <cellStyle name="Note 2 2 4 3 2" xfId="17873"/>
    <cellStyle name="Input 2 15 6 5 2" xfId="17874"/>
    <cellStyle name="Input 2 15 6 5 3" xfId="17875"/>
    <cellStyle name="Input 2 15 6 6" xfId="17876"/>
    <cellStyle name="Input 2 8 4 2" xfId="17877"/>
    <cellStyle name="Note 2 2 4 3 3" xfId="17878"/>
    <cellStyle name="Input 2 15 6 7" xfId="17879"/>
    <cellStyle name="Input 2 8 4 3" xfId="17880"/>
    <cellStyle name="Note 2 12 7 5 2" xfId="17881"/>
    <cellStyle name="Note 2 2 4 3 4" xfId="17882"/>
    <cellStyle name="Input 2 15 7 2" xfId="17883"/>
    <cellStyle name="Note 2 9 3 6 5 2" xfId="17884"/>
    <cellStyle name="Input 2 15 7 2 2" xfId="17885"/>
    <cellStyle name="Input 2 15 7 2 3" xfId="17886"/>
    <cellStyle name="Input 2 15 7 2 4" xfId="17887"/>
    <cellStyle name="Input 2 15 7 3" xfId="17888"/>
    <cellStyle name="Input 2 5 10 4 2" xfId="17889"/>
    <cellStyle name="Note 2 9 3 6 5 3" xfId="17890"/>
    <cellStyle name="Input 2 15 7 3 2" xfId="17891"/>
    <cellStyle name="Input 2 15 7 3 3" xfId="17892"/>
    <cellStyle name="Input 2 15 7 3 4" xfId="17893"/>
    <cellStyle name="Input 2 15 7 4 2" xfId="17894"/>
    <cellStyle name="Input 2 15 7 5 2" xfId="17895"/>
    <cellStyle name="Input 2 15 7 5 3" xfId="17896"/>
    <cellStyle name="Input 2 15 7 7" xfId="17897"/>
    <cellStyle name="Input 2 8 5 3" xfId="17898"/>
    <cellStyle name="Note 2 2 4 4 4" xfId="17899"/>
    <cellStyle name="Input 2 15 8 2" xfId="17900"/>
    <cellStyle name="Input 2 15 8 2 2" xfId="17901"/>
    <cellStyle name="Input 2 15 8 3" xfId="17902"/>
    <cellStyle name="Input 2 5 10 5 2" xfId="17903"/>
    <cellStyle name="Input 2 15 8 3 2" xfId="17904"/>
    <cellStyle name="Input 2 15 8 4 2" xfId="17905"/>
    <cellStyle name="Input 2 15 8 5 2" xfId="17906"/>
    <cellStyle name="Input 2 15 8 7" xfId="17907"/>
    <cellStyle name="Input 2 8 6 3" xfId="17908"/>
    <cellStyle name="Note 2 2 4 5 4" xfId="17909"/>
    <cellStyle name="Input 2 15 9" xfId="17910"/>
    <cellStyle name="Note 2 9 3 6 7" xfId="17911"/>
    <cellStyle name="Input 2 15 9 2" xfId="17912"/>
    <cellStyle name="Input 2 15 9 2 2" xfId="17913"/>
    <cellStyle name="Input 2 15 9 2 3" xfId="17914"/>
    <cellStyle name="Input 2 15 9 2 4" xfId="17915"/>
    <cellStyle name="Input 2 15 9 3" xfId="17916"/>
    <cellStyle name="Input 2 15 9 3 3" xfId="17917"/>
    <cellStyle name="Input 2 15 9 3 4" xfId="17918"/>
    <cellStyle name="Input 2 15 9 4 2" xfId="17919"/>
    <cellStyle name="Input 2 15 9 4 3" xfId="17920"/>
    <cellStyle name="Input 2 16" xfId="17921"/>
    <cellStyle name="Input 2 21" xfId="17922"/>
    <cellStyle name="Input 2 16 10" xfId="17923"/>
    <cellStyle name="Note 2 4 3 7 4" xfId="17924"/>
    <cellStyle name="Input 2 16 10 2" xfId="17925"/>
    <cellStyle name="Note 2 4 3 7 4 2" xfId="17926"/>
    <cellStyle name="Total 2 10 2 13 3" xfId="17927"/>
    <cellStyle name="Input 2 16 10 2 2" xfId="17928"/>
    <cellStyle name="Input 2 16 10 2 3" xfId="17929"/>
    <cellStyle name="Input 2 16 10 2 4" xfId="17930"/>
    <cellStyle name="Input 2 16 10 3" xfId="17931"/>
    <cellStyle name="Note 2 4 3 7 4 3" xfId="17932"/>
    <cellStyle name="Input 2 16 10 3 3" xfId="17933"/>
    <cellStyle name="Input 2 16 10 3 4" xfId="17934"/>
    <cellStyle name="Input 2 16 10 4" xfId="17935"/>
    <cellStyle name="Input 2 16 10 4 3" xfId="17936"/>
    <cellStyle name="Input 2 16 10 5 2" xfId="17937"/>
    <cellStyle name="Input 2 16 10 5 3" xfId="17938"/>
    <cellStyle name="Input 2 6 3 10 2" xfId="17939"/>
    <cellStyle name="Input 2 16 2" xfId="17940"/>
    <cellStyle name="Input 2 21 2" xfId="17941"/>
    <cellStyle name="Output 2 2 2 4 5 3" xfId="17942"/>
    <cellStyle name="Input 2 16 2 2" xfId="17943"/>
    <cellStyle name="Input 2 21 2 2" xfId="17944"/>
    <cellStyle name="Input 2 16 2 2 2" xfId="17945"/>
    <cellStyle name="Note 2 7 3 9 4" xfId="17946"/>
    <cellStyle name="Input 2 16 2 2 3" xfId="17947"/>
    <cellStyle name="Note 2 7 3 9 5" xfId="17948"/>
    <cellStyle name="Input 2 16 2 2 4" xfId="17949"/>
    <cellStyle name="Note 2 7 3 9 6" xfId="17950"/>
    <cellStyle name="Output 2 14 5 2 2" xfId="17951"/>
    <cellStyle name="Input 2 16 2 3" xfId="17952"/>
    <cellStyle name="Input 2 21 2 3" xfId="17953"/>
    <cellStyle name="Input 2 16 2 3 2" xfId="17954"/>
    <cellStyle name="Input 2 16 2 3 3" xfId="17955"/>
    <cellStyle name="Input 2 16 2 3 4" xfId="17956"/>
    <cellStyle name="Output 2 14 5 3 2" xfId="17957"/>
    <cellStyle name="Input 2 16 2 4" xfId="17958"/>
    <cellStyle name="Input 2 21 2 4" xfId="17959"/>
    <cellStyle name="Input 2 16 2 4 2" xfId="17960"/>
    <cellStyle name="Input 2 16 2 4 3" xfId="17961"/>
    <cellStyle name="Input 2 16 2 5" xfId="17962"/>
    <cellStyle name="Input 2 7 3 9 5 2" xfId="17963"/>
    <cellStyle name="Input 2 16 2 5 2" xfId="17964"/>
    <cellStyle name="Input 2 16 2 5 3" xfId="17965"/>
    <cellStyle name="Input 2 16 2 6" xfId="17966"/>
    <cellStyle name="Input 2 7 3 9 5 3" xfId="17967"/>
    <cellStyle name="Input 2 16 2 7" xfId="17968"/>
    <cellStyle name="Input 2 16 3" xfId="17969"/>
    <cellStyle name="Input 2 21 3" xfId="17970"/>
    <cellStyle name="Input 2 16 3 2" xfId="17971"/>
    <cellStyle name="Input 2 21 3 2" xfId="17972"/>
    <cellStyle name="Note 2 5 3 11" xfId="17973"/>
    <cellStyle name="Input 2 16 3 2 2" xfId="17974"/>
    <cellStyle name="Note 2 5 3 11 2" xfId="17975"/>
    <cellStyle name="Input 2 16 3 3" xfId="17976"/>
    <cellStyle name="Input 2 21 3 3" xfId="17977"/>
    <cellStyle name="Note 2 5 3 12" xfId="17978"/>
    <cellStyle name="Input 2 16 3 3 2" xfId="17979"/>
    <cellStyle name="Input 2 9 2 10 7" xfId="17980"/>
    <cellStyle name="Note 2 5 3 12 2" xfId="17981"/>
    <cellStyle name="Input 2 16 3 4" xfId="17982"/>
    <cellStyle name="Input 2 21 3 4" xfId="17983"/>
    <cellStyle name="Note 2 5 3 13" xfId="17984"/>
    <cellStyle name="Input 2 16 3 4 2" xfId="17985"/>
    <cellStyle name="Note 2 5 3 13 2" xfId="17986"/>
    <cellStyle name="Input 2 16 3 5" xfId="17987"/>
    <cellStyle name="Note 2 5 3 14" xfId="17988"/>
    <cellStyle name="Input 2 16 3 5 2" xfId="17989"/>
    <cellStyle name="Note 2 5 3 14 2" xfId="17990"/>
    <cellStyle name="Input 2 16 3 6" xfId="17991"/>
    <cellStyle name="Note 2 5 3 15" xfId="17992"/>
    <cellStyle name="Input 2 16 3 7" xfId="17993"/>
    <cellStyle name="Note 2 12 8 2 2" xfId="17994"/>
    <cellStyle name="Note 2 5 3 16" xfId="17995"/>
    <cellStyle name="Input 2 16 4" xfId="17996"/>
    <cellStyle name="Input 2 21 4" xfId="17997"/>
    <cellStyle name="Note 2 9 3 7 2" xfId="17998"/>
    <cellStyle name="Input 2 16 4 2" xfId="17999"/>
    <cellStyle name="Input 2 21 4 2" xfId="18000"/>
    <cellStyle name="Note 2 9 3 7 2 2" xfId="18001"/>
    <cellStyle name="Input 2 16 4 2 2" xfId="18002"/>
    <cellStyle name="Input 2 16 4 2 3" xfId="18003"/>
    <cellStyle name="Input 2 16 4 2 4" xfId="18004"/>
    <cellStyle name="Output 2 14 7 2 2" xfId="18005"/>
    <cellStyle name="Input 2 16 4 3" xfId="18006"/>
    <cellStyle name="Input 2 21 4 3" xfId="18007"/>
    <cellStyle name="Note 2 9 3 7 2 3" xfId="18008"/>
    <cellStyle name="Input 2 16 4 3 2" xfId="18009"/>
    <cellStyle name="Input 2 16 4 3 3" xfId="18010"/>
    <cellStyle name="Input 2 16 4 3 4" xfId="18011"/>
    <cellStyle name="Output 2 14 7 3 2" xfId="18012"/>
    <cellStyle name="Input 2 16 4 4" xfId="18013"/>
    <cellStyle name="Note 2 9 3 7 2 4" xfId="18014"/>
    <cellStyle name="Input 2 16 4 4 2" xfId="18015"/>
    <cellStyle name="Input 2 16 4 4 3" xfId="18016"/>
    <cellStyle name="Input 2 16 4 5" xfId="18017"/>
    <cellStyle name="Input 2 16 4 5 2" xfId="18018"/>
    <cellStyle name="Output 2 12 3 12" xfId="18019"/>
    <cellStyle name="Input 2 16 4 5 3" xfId="18020"/>
    <cellStyle name="Output 2 12 3 13" xfId="18021"/>
    <cellStyle name="Input 2 16 4 6" xfId="18022"/>
    <cellStyle name="Input 2 9 2 2" xfId="18023"/>
    <cellStyle name="Input 2 16 4 7" xfId="18024"/>
    <cellStyle name="Input 2 9 2 3" xfId="18025"/>
    <cellStyle name="Note 2 12 8 3 2" xfId="18026"/>
    <cellStyle name="Input 2 16 5" xfId="18027"/>
    <cellStyle name="Input 2 21 5" xfId="18028"/>
    <cellStyle name="Note 2 9 3 7 3" xfId="18029"/>
    <cellStyle name="Output 2 14 3 5 4 2" xfId="18030"/>
    <cellStyle name="Output 2 8 3 4 2 2" xfId="18031"/>
    <cellStyle name="Input 2 16 5 2" xfId="18032"/>
    <cellStyle name="Input 2 21 5 2" xfId="18033"/>
    <cellStyle name="Note 2 9 3 7 3 2" xfId="18034"/>
    <cellStyle name="Input 2 16 5 2 2" xfId="18035"/>
    <cellStyle name="Input 2 16 5 2 3" xfId="18036"/>
    <cellStyle name="Input 2 16 5 2 4" xfId="18037"/>
    <cellStyle name="Output 2 14 8 2 2" xfId="18038"/>
    <cellStyle name="Input 2 16 5 3" xfId="18039"/>
    <cellStyle name="Input 2 21 5 3" xfId="18040"/>
    <cellStyle name="Input 2 5 11 2 2" xfId="18041"/>
    <cellStyle name="Note 2 9 3 7 3 3" xfId="18042"/>
    <cellStyle name="Input 2 16 5 3 2" xfId="18043"/>
    <cellStyle name="Input 2 16 5 3 3" xfId="18044"/>
    <cellStyle name="Input 2 16 5 3 4" xfId="18045"/>
    <cellStyle name="Output 2 14 8 3 2" xfId="18046"/>
    <cellStyle name="Input 2 16 5 4" xfId="18047"/>
    <cellStyle name="Input 2 5 11 2 3" xfId="18048"/>
    <cellStyle name="Note 2 9 3 7 3 4" xfId="18049"/>
    <cellStyle name="Input 2 16 5 4 2" xfId="18050"/>
    <cellStyle name="Input 2 16 5 4 3" xfId="18051"/>
    <cellStyle name="Input 2 16 5 5" xfId="18052"/>
    <cellStyle name="Input 2 5 11 2 4" xfId="18053"/>
    <cellStyle name="Note 2 2 5 2 2" xfId="18054"/>
    <cellStyle name="Input 2 16 5 5 2" xfId="18055"/>
    <cellStyle name="Input 2 16 5 5 3" xfId="18056"/>
    <cellStyle name="Input 2 16 5 6" xfId="18057"/>
    <cellStyle name="Input 2 9 3 2" xfId="18058"/>
    <cellStyle name="Note 2 2 5 2 3" xfId="18059"/>
    <cellStyle name="Input 2 16 5 7" xfId="18060"/>
    <cellStyle name="Input 2 9 3 3" xfId="18061"/>
    <cellStyle name="Note 2 12 8 4 2" xfId="18062"/>
    <cellStyle name="Note 2 2 5 2 4" xfId="18063"/>
    <cellStyle name="Input 2 16 6" xfId="18064"/>
    <cellStyle name="Input 2 21 6" xfId="18065"/>
    <cellStyle name="Note 2 9 3 7 4" xfId="18066"/>
    <cellStyle name="Output 2 14 3 5 4 3" xfId="18067"/>
    <cellStyle name="Output 2 8 3 4 2 3" xfId="18068"/>
    <cellStyle name="Total 2 11 14 2" xfId="18069"/>
    <cellStyle name="Input 2 16 6 2" xfId="18070"/>
    <cellStyle name="Note 2 9 3 7 4 2" xfId="18071"/>
    <cellStyle name="Input 2 16 6 2 2" xfId="18072"/>
    <cellStyle name="Note 2 8 2 11 3" xfId="18073"/>
    <cellStyle name="Note 2 9 2 2 3 3" xfId="18074"/>
    <cellStyle name="Input 2 16 6 2 3" xfId="18075"/>
    <cellStyle name="Note 2 8 2 11 4" xfId="18076"/>
    <cellStyle name="Note 2 9 2 2 3 4" xfId="18077"/>
    <cellStyle name="Input 2 16 6 2 4" xfId="18078"/>
    <cellStyle name="Output 2 14 9 2 2" xfId="18079"/>
    <cellStyle name="Input 2 16 6 3" xfId="18080"/>
    <cellStyle name="Input 2 5 11 3 2" xfId="18081"/>
    <cellStyle name="Note 2 9 3 7 4 3" xfId="18082"/>
    <cellStyle name="Input 2 16 6 3 2" xfId="18083"/>
    <cellStyle name="Note 2 8 2 12 3" xfId="18084"/>
    <cellStyle name="Note 2 9 2 2 4 3" xfId="18085"/>
    <cellStyle name="Input 2 16 6 3 3" xfId="18086"/>
    <cellStyle name="Note 2 8 2 12 4" xfId="18087"/>
    <cellStyle name="Input 2 16 6 3 4" xfId="18088"/>
    <cellStyle name="Output 2 14 9 3 2" xfId="18089"/>
    <cellStyle name="Input 2 16 6 4" xfId="18090"/>
    <cellStyle name="Input 2 5 11 3 3" xfId="18091"/>
    <cellStyle name="Input 2 16 6 4 2" xfId="18092"/>
    <cellStyle name="Note 2 8 2 13 3" xfId="18093"/>
    <cellStyle name="Note 2 9 2 2 5 3" xfId="18094"/>
    <cellStyle name="Input 2 16 6 4 3" xfId="18095"/>
    <cellStyle name="Input 2 16 6 5" xfId="18096"/>
    <cellStyle name="Input 2 5 11 3 4" xfId="18097"/>
    <cellStyle name="Note 2 2 5 3 2" xfId="18098"/>
    <cellStyle name="Input 2 16 6 5 2" xfId="18099"/>
    <cellStyle name="Note 2 8 2 14 3" xfId="18100"/>
    <cellStyle name="Input 2 16 6 5 3" xfId="18101"/>
    <cellStyle name="Input 2 16 6 6" xfId="18102"/>
    <cellStyle name="Input 2 9 4 2" xfId="18103"/>
    <cellStyle name="Note 2 2 5 3 3" xfId="18104"/>
    <cellStyle name="Input 2 16 6 7" xfId="18105"/>
    <cellStyle name="Input 2 9 4 3" xfId="18106"/>
    <cellStyle name="Note 2 12 8 5 2" xfId="18107"/>
    <cellStyle name="Note 2 2 5 3 4" xfId="18108"/>
    <cellStyle name="Input 2 16 7" xfId="18109"/>
    <cellStyle name="Input 2 21 7" xfId="18110"/>
    <cellStyle name="Note 2 9 3 7 5" xfId="18111"/>
    <cellStyle name="Output 2 8 3 4 2 4" xfId="18112"/>
    <cellStyle name="Total 2 11 14 3" xfId="18113"/>
    <cellStyle name="Input 2 16 7 2" xfId="18114"/>
    <cellStyle name="Note 2 9 3 7 5 2" xfId="18115"/>
    <cellStyle name="Input 2 16 7 2 2" xfId="18116"/>
    <cellStyle name="Note 2 9 2 3 3 3" xfId="18117"/>
    <cellStyle name="Input 2 16 7 2 3" xfId="18118"/>
    <cellStyle name="Note 2 9 2 3 3 4" xfId="18119"/>
    <cellStyle name="Input 2 16 7 2 4" xfId="18120"/>
    <cellStyle name="Input 2 16 7 3" xfId="18121"/>
    <cellStyle name="Input 2 5 11 4 2" xfId="18122"/>
    <cellStyle name="Note 2 9 3 7 5 3" xfId="18123"/>
    <cellStyle name="Input 2 16 7 3 2" xfId="18124"/>
    <cellStyle name="Note 2 9 2 3 4 3" xfId="18125"/>
    <cellStyle name="Input 2 16 7 3 3" xfId="18126"/>
    <cellStyle name="Input 2 16 7 3 4" xfId="18127"/>
    <cellStyle name="Input 2 16 7 4" xfId="18128"/>
    <cellStyle name="Input 2 5 11 4 3" xfId="18129"/>
    <cellStyle name="Input 2 16 7 4 2" xfId="18130"/>
    <cellStyle name="Note 2 9 2 3 5 3" xfId="18131"/>
    <cellStyle name="Input 2 16 7 5" xfId="18132"/>
    <cellStyle name="Note 2 2 5 4 2" xfId="18133"/>
    <cellStyle name="Input 2 16 7 5 2" xfId="18134"/>
    <cellStyle name="Input 2 16 7 5 3" xfId="18135"/>
    <cellStyle name="Input 2 16 7 6" xfId="18136"/>
    <cellStyle name="Input 2 9 5 2" xfId="18137"/>
    <cellStyle name="Note 2 2 5 4 3" xfId="18138"/>
    <cellStyle name="Input 2 16 8" xfId="18139"/>
    <cellStyle name="Input 2 21 8" xfId="18140"/>
    <cellStyle name="Note 2 9 3 7 6" xfId="18141"/>
    <cellStyle name="Total 2 11 14 4" xfId="18142"/>
    <cellStyle name="Input 2 16 8 2" xfId="18143"/>
    <cellStyle name="Input 2 16 8 2 2" xfId="18144"/>
    <cellStyle name="Note 2 2 8 3" xfId="18145"/>
    <cellStyle name="Note 2 9 2 4 3 3" xfId="18146"/>
    <cellStyle name="Input 2 16 8 2 3" xfId="18147"/>
    <cellStyle name="Note 2 2 8 4" xfId="18148"/>
    <cellStyle name="Note 2 9 2 4 3 4" xfId="18149"/>
    <cellStyle name="Input 2 16 8 2 4" xfId="18150"/>
    <cellStyle name="Note 2 2 8 5" xfId="18151"/>
    <cellStyle name="Input 2 16 8 3" xfId="18152"/>
    <cellStyle name="Input 2 5 11 5 2" xfId="18153"/>
    <cellStyle name="Input 2 16 8 3 2" xfId="18154"/>
    <cellStyle name="Input 2 9 3 10 7" xfId="18155"/>
    <cellStyle name="Note 2 2 9 3" xfId="18156"/>
    <cellStyle name="Note 2 9 2 4 4 3" xfId="18157"/>
    <cellStyle name="Input 2 16 8 3 3" xfId="18158"/>
    <cellStyle name="Note 2 2 9 4" xfId="18159"/>
    <cellStyle name="Input 2 16 8 3 4" xfId="18160"/>
    <cellStyle name="Note 2 2 9 5" xfId="18161"/>
    <cellStyle name="Input 2 16 8 4" xfId="18162"/>
    <cellStyle name="Input 2 5 11 5 3" xfId="18163"/>
    <cellStyle name="Input 2 16 8 4 2" xfId="18164"/>
    <cellStyle name="Note 2 9 2 4 5 3" xfId="18165"/>
    <cellStyle name="Input 2 16 8 4 3" xfId="18166"/>
    <cellStyle name="Input 2 16 8 5" xfId="18167"/>
    <cellStyle name="Note 2 2 5 5 2" xfId="18168"/>
    <cellStyle name="Input 2 16 8 5 2" xfId="18169"/>
    <cellStyle name="Input 2 16 8 5 3" xfId="18170"/>
    <cellStyle name="Input 2 16 8 6" xfId="18171"/>
    <cellStyle name="Input 2 9 6 2" xfId="18172"/>
    <cellStyle name="Note 2 2 5 5 3" xfId="18173"/>
    <cellStyle name="Input 2 16 9" xfId="18174"/>
    <cellStyle name="Note 2 9 3 7 7" xfId="18175"/>
    <cellStyle name="Input 2 16 9 2" xfId="18176"/>
    <cellStyle name="Input 2 16 9 2 2" xfId="18177"/>
    <cellStyle name="Note 2 3 8 3" xfId="18178"/>
    <cellStyle name="Note 2 9 2 5 3 3" xfId="18179"/>
    <cellStyle name="Input 2 16 9 2 3" xfId="18180"/>
    <cellStyle name="Note 2 3 8 4" xfId="18181"/>
    <cellStyle name="Note 2 9 2 5 3 4" xfId="18182"/>
    <cellStyle name="Input 2 16 9 2 4" xfId="18183"/>
    <cellStyle name="Note 2 3 8 5" xfId="18184"/>
    <cellStyle name="Input 2 16 9 3" xfId="18185"/>
    <cellStyle name="Input 2 16 9 3 2" xfId="18186"/>
    <cellStyle name="Note 2 3 9 3" xfId="18187"/>
    <cellStyle name="Note 2 9 2 5 4 3" xfId="18188"/>
    <cellStyle name="Input 2 16 9 3 3" xfId="18189"/>
    <cellStyle name="Note 2 3 9 4" xfId="18190"/>
    <cellStyle name="Input 2 16 9 3 4" xfId="18191"/>
    <cellStyle name="Note 2 3 9 5" xfId="18192"/>
    <cellStyle name="Input 2 16 9 4" xfId="18193"/>
    <cellStyle name="Input 2 16 9 4 2" xfId="18194"/>
    <cellStyle name="Note 2 9 2 5 5 3" xfId="18195"/>
    <cellStyle name="Input 2 16 9 4 3" xfId="18196"/>
    <cellStyle name="Input 2 16 9 5" xfId="18197"/>
    <cellStyle name="Note 2 2 5 6 2" xfId="18198"/>
    <cellStyle name="Input 2 16 9 5 2" xfId="18199"/>
    <cellStyle name="Note 2 2 5 6 2 2" xfId="18200"/>
    <cellStyle name="Output 2 13 3 12" xfId="18201"/>
    <cellStyle name="Input 2 16 9 5 3" xfId="18202"/>
    <cellStyle name="Output 2 13 3 13" xfId="18203"/>
    <cellStyle name="Input 2 16 9 6" xfId="18204"/>
    <cellStyle name="Input 2 9 7 2" xfId="18205"/>
    <cellStyle name="Note 2 2 5 6 3" xfId="18206"/>
    <cellStyle name="Input 2 17" xfId="18207"/>
    <cellStyle name="Input 2 22" xfId="18208"/>
    <cellStyle name="Input 2 17 2" xfId="18209"/>
    <cellStyle name="Input 2 22 2" xfId="18210"/>
    <cellStyle name="Input 2 17 2 2" xfId="18211"/>
    <cellStyle name="Input 2 22 2 2" xfId="18212"/>
    <cellStyle name="Input 2 17 2 3" xfId="18213"/>
    <cellStyle name="Input 2 22 2 3" xfId="18214"/>
    <cellStyle name="Input 2 17 2 4" xfId="18215"/>
    <cellStyle name="Input 2 22 2 4" xfId="18216"/>
    <cellStyle name="Input 2 17 3" xfId="18217"/>
    <cellStyle name="Input 2 22 3" xfId="18218"/>
    <cellStyle name="Note 2 2 2 2 2 10" xfId="18219"/>
    <cellStyle name="Input 2 17 3 2" xfId="18220"/>
    <cellStyle name="Input 2 22 3 2" xfId="18221"/>
    <cellStyle name="Input 2 17 3 3" xfId="18222"/>
    <cellStyle name="Input 2 22 3 3" xfId="18223"/>
    <cellStyle name="Input 2 17 3 4" xfId="18224"/>
    <cellStyle name="Input 2 22 3 4" xfId="18225"/>
    <cellStyle name="Input 2 17 4" xfId="18226"/>
    <cellStyle name="Input 2 22 4" xfId="18227"/>
    <cellStyle name="Note 2 9 3 8 2" xfId="18228"/>
    <cellStyle name="Input 2 17 4 2" xfId="18229"/>
    <cellStyle name="Input 2 22 4 2" xfId="18230"/>
    <cellStyle name="Note 2 9 3 8 2 2" xfId="18231"/>
    <cellStyle name="Input 2 17 4 3" xfId="18232"/>
    <cellStyle name="Input 2 22 4 3" xfId="18233"/>
    <cellStyle name="Note 2 9 3 8 2 3" xfId="18234"/>
    <cellStyle name="Input 2 17 5" xfId="18235"/>
    <cellStyle name="Input 2 22 5" xfId="18236"/>
    <cellStyle name="Note 2 9 3 8 3" xfId="18237"/>
    <cellStyle name="Output 2 14 3 5 5 2" xfId="18238"/>
    <cellStyle name="Output 2 8 3 4 3 2" xfId="18239"/>
    <cellStyle name="Input 2 17 5 2" xfId="18240"/>
    <cellStyle name="Input 2 22 5 2" xfId="18241"/>
    <cellStyle name="Note 2 9 3 8 3 2" xfId="18242"/>
    <cellStyle name="Input 2 17 5 3" xfId="18243"/>
    <cellStyle name="Input 2 22 5 3" xfId="18244"/>
    <cellStyle name="Input 2 5 12 2 2" xfId="18245"/>
    <cellStyle name="Note 2 9 3 8 3 3" xfId="18246"/>
    <cellStyle name="Input 2 17 6" xfId="18247"/>
    <cellStyle name="Input 2 22 6" xfId="18248"/>
    <cellStyle name="Note 2 9 3 8 4" xfId="18249"/>
    <cellStyle name="Output 2 14 3 5 5 3" xfId="18250"/>
    <cellStyle name="Output 2 8 3 4 3 3" xfId="18251"/>
    <cellStyle name="Total 2 11 15 2" xfId="18252"/>
    <cellStyle name="Input 2 17 7" xfId="18253"/>
    <cellStyle name="Input 2 22 7" xfId="18254"/>
    <cellStyle name="Note 2 9 3 8 5" xfId="18255"/>
    <cellStyle name="Output 2 8 3 4 3 4" xfId="18256"/>
    <cellStyle name="Total 2 11 15 3" xfId="18257"/>
    <cellStyle name="Input 2 17 8" xfId="18258"/>
    <cellStyle name="Input 2 22 8" xfId="18259"/>
    <cellStyle name="Note 2 9 3 8 6" xfId="18260"/>
    <cellStyle name="Input 2 18" xfId="18261"/>
    <cellStyle name="Input 2 23" xfId="18262"/>
    <cellStyle name="Input 2 18 2" xfId="18263"/>
    <cellStyle name="Input 2 23 2" xfId="18264"/>
    <cellStyle name="Input 2 18 2 2" xfId="18265"/>
    <cellStyle name="Input 2 23 2 2" xfId="18266"/>
    <cellStyle name="Total 2 11 16" xfId="18267"/>
    <cellStyle name="Input 2 18 2 3" xfId="18268"/>
    <cellStyle name="Input 2 23 2 3" xfId="18269"/>
    <cellStyle name="Total 2 11 17" xfId="18270"/>
    <cellStyle name="Input 2 18 2 4" xfId="18271"/>
    <cellStyle name="Input 2 23 2 4" xfId="18272"/>
    <cellStyle name="Total 2 11 18" xfId="18273"/>
    <cellStyle name="Input 2 18 3" xfId="18274"/>
    <cellStyle name="Input 2 23 3" xfId="18275"/>
    <cellStyle name="Input 2 18 3 2" xfId="18276"/>
    <cellStyle name="Input 2 23 3 2" xfId="18277"/>
    <cellStyle name="Input 2 18 3 3" xfId="18278"/>
    <cellStyle name="Input 2 23 3 3" xfId="18279"/>
    <cellStyle name="Input 2 18 3 4" xfId="18280"/>
    <cellStyle name="Input 2 23 3 4" xfId="18281"/>
    <cellStyle name="Input 2 18 4" xfId="18282"/>
    <cellStyle name="Input 2 23 4" xfId="18283"/>
    <cellStyle name="Note 2 9 3 9 2" xfId="18284"/>
    <cellStyle name="Input 2 18 5" xfId="18285"/>
    <cellStyle name="Input 2 23 5" xfId="18286"/>
    <cellStyle name="Note 2 9 3 9 3" xfId="18287"/>
    <cellStyle name="Output 2 8 3 4 4 2" xfId="18288"/>
    <cellStyle name="Input 2 18 5 2" xfId="18289"/>
    <cellStyle name="Input 2 23 5 2" xfId="18290"/>
    <cellStyle name="Note 2 9 3 9 3 2" xfId="18291"/>
    <cellStyle name="Input 2 18 5 3" xfId="18292"/>
    <cellStyle name="Input 2 23 5 3" xfId="18293"/>
    <cellStyle name="Note 2 9 3 9 3 3" xfId="18294"/>
    <cellStyle name="Input 2 18 6" xfId="18295"/>
    <cellStyle name="Input 2 23 6" xfId="18296"/>
    <cellStyle name="Note 2 9 3 9 4" xfId="18297"/>
    <cellStyle name="Output 2 8 3 4 4 3" xfId="18298"/>
    <cellStyle name="Total 2 11 16 2" xfId="18299"/>
    <cellStyle name="Input 2 18 7" xfId="18300"/>
    <cellStyle name="Input 2 23 7" xfId="18301"/>
    <cellStyle name="Note 2 9 3 9 5" xfId="18302"/>
    <cellStyle name="Total 2 11 16 3" xfId="18303"/>
    <cellStyle name="Input 2 18 8" xfId="18304"/>
    <cellStyle name="Input 2 23 8" xfId="18305"/>
    <cellStyle name="Note 2 9 3 9 6" xfId="18306"/>
    <cellStyle name="Output 2 16 5 2 2" xfId="18307"/>
    <cellStyle name="Input 2 19" xfId="18308"/>
    <cellStyle name="Input 2 24" xfId="18309"/>
    <cellStyle name="Input 2 19 2" xfId="18310"/>
    <cellStyle name="Input 2 24 2" xfId="18311"/>
    <cellStyle name="Input 2 19 2 2" xfId="18312"/>
    <cellStyle name="Input 2 2 2 2 4" xfId="18313"/>
    <cellStyle name="Input 2 24 2 2" xfId="18314"/>
    <cellStyle name="Input 2 19 2 3" xfId="18315"/>
    <cellStyle name="Input 2 2 2 2 5" xfId="18316"/>
    <cellStyle name="Input 2 24 2 3" xfId="18317"/>
    <cellStyle name="Input 2 19 2 4" xfId="18318"/>
    <cellStyle name="Input 2 2 2 2 6" xfId="18319"/>
    <cellStyle name="Input 2 24 2 4" xfId="18320"/>
    <cellStyle name="Input 2 19 3" xfId="18321"/>
    <cellStyle name="Input 2 24 3" xfId="18322"/>
    <cellStyle name="Input 2 19 3 2" xfId="18323"/>
    <cellStyle name="Input 2 2 2 3 4" xfId="18324"/>
    <cellStyle name="Input 2 24 3 2" xfId="18325"/>
    <cellStyle name="Input 2 19 3 3" xfId="18326"/>
    <cellStyle name="Input 2 2 2 3 5" xfId="18327"/>
    <cellStyle name="Input 2 24 3 3" xfId="18328"/>
    <cellStyle name="Output 2 5 2 2 2 2 2" xfId="18329"/>
    <cellStyle name="Input 2 19 3 4" xfId="18330"/>
    <cellStyle name="Input 2 2 2 3 6" xfId="18331"/>
    <cellStyle name="Input 2 24 3 4" xfId="18332"/>
    <cellStyle name="Input 2 19 4" xfId="18333"/>
    <cellStyle name="Input 2 24 4" xfId="18334"/>
    <cellStyle name="Input 2 19 4 2" xfId="18335"/>
    <cellStyle name="Input 2 2 2 4 4" xfId="18336"/>
    <cellStyle name="Input 2 24 4 2" xfId="18337"/>
    <cellStyle name="Input 2 19 4 3" xfId="18338"/>
    <cellStyle name="Input 2 2 2 4 5" xfId="18339"/>
    <cellStyle name="Input 2 24 4 3" xfId="18340"/>
    <cellStyle name="Input 2 19 5" xfId="18341"/>
    <cellStyle name="Input 2 24 5" xfId="18342"/>
    <cellStyle name="Output 2 8 3 4 5 2" xfId="18343"/>
    <cellStyle name="Input 2 19 5 2" xfId="18344"/>
    <cellStyle name="Input 2 2 2 5 4" xfId="18345"/>
    <cellStyle name="Input 2 24 5 2" xfId="18346"/>
    <cellStyle name="Input 2 19 5 3" xfId="18347"/>
    <cellStyle name="Input 2 2 2 5 5" xfId="18348"/>
    <cellStyle name="Input 2 24 5 3" xfId="18349"/>
    <cellStyle name="Input 2 19 6" xfId="18350"/>
    <cellStyle name="Input 2 24 6" xfId="18351"/>
    <cellStyle name="Output 2 3 3 10" xfId="18352"/>
    <cellStyle name="Output 2 8 3 4 5 3" xfId="18353"/>
    <cellStyle name="Input 2 19 7" xfId="18354"/>
    <cellStyle name="Input 2 24 7" xfId="18355"/>
    <cellStyle name="Output 2 3 3 11" xfId="18356"/>
    <cellStyle name="Input 2 19 8" xfId="18357"/>
    <cellStyle name="Input 2 24 8" xfId="18358"/>
    <cellStyle name="Output 2 16 5 3 2" xfId="18359"/>
    <cellStyle name="Output 2 3 3 12" xfId="18360"/>
    <cellStyle name="Input 2 2" xfId="18361"/>
    <cellStyle name="Input 2 3 3 2 2" xfId="18362"/>
    <cellStyle name="Input 2 2 10" xfId="18363"/>
    <cellStyle name="Input 2 2 10 2" xfId="18364"/>
    <cellStyle name="Input 2 2 10 2 2" xfId="18365"/>
    <cellStyle name="Note 2 8 3 9 5" xfId="18366"/>
    <cellStyle name="Input 2 2 10 2 3" xfId="18367"/>
    <cellStyle name="Note 2 8 3 9 6" xfId="18368"/>
    <cellStyle name="Output 2 15 5 2 2" xfId="18369"/>
    <cellStyle name="Input 2 2 10 2 4" xfId="18370"/>
    <cellStyle name="Note 2 8 3 9 7" xfId="18371"/>
    <cellStyle name="Output 2 15 5 2 3" xfId="18372"/>
    <cellStyle name="Input 2 2 10 3" xfId="18373"/>
    <cellStyle name="Input 2 4 2 8 2 2" xfId="18374"/>
    <cellStyle name="Input 2 2 10 3 2" xfId="18375"/>
    <cellStyle name="Input 2 2 10 3 3" xfId="18376"/>
    <cellStyle name="Output 2 15 5 3 2" xfId="18377"/>
    <cellStyle name="Input 2 2 10 3 4" xfId="18378"/>
    <cellStyle name="Output 2 15 5 3 3" xfId="18379"/>
    <cellStyle name="Input 2 2 10 4" xfId="18380"/>
    <cellStyle name="Input 2 4 2 8 2 3" xfId="18381"/>
    <cellStyle name="Input 2 2 10 4 2" xfId="18382"/>
    <cellStyle name="Input 2 2 10 4 3" xfId="18383"/>
    <cellStyle name="Output 2 15 5 4 2" xfId="18384"/>
    <cellStyle name="Input 2 2 10 5" xfId="18385"/>
    <cellStyle name="Input 2 4 2 8 2 4" xfId="18386"/>
    <cellStyle name="Input 2 2 10 5 2" xfId="18387"/>
    <cellStyle name="Input 2 2 10 5 3" xfId="18388"/>
    <cellStyle name="Output 2 15 5 5 2" xfId="18389"/>
    <cellStyle name="Input 2 2 10 6" xfId="18390"/>
    <cellStyle name="Input 2 2 11" xfId="18391"/>
    <cellStyle name="Input 2 2 11 2" xfId="18392"/>
    <cellStyle name="Input 2 2 11 2 3" xfId="18393"/>
    <cellStyle name="Output 2 15 6 2 2" xfId="18394"/>
    <cellStyle name="Input 2 2 11 2 4" xfId="18395"/>
    <cellStyle name="Output 2 15 6 2 3" xfId="18396"/>
    <cellStyle name="Input 2 2 11 3" xfId="18397"/>
    <cellStyle name="Input 2 4 2 8 3 2" xfId="18398"/>
    <cellStyle name="Input 2 2 11 3 2" xfId="18399"/>
    <cellStyle name="Input 2 2 11 3 3" xfId="18400"/>
    <cellStyle name="Output 2 15 6 3 2" xfId="18401"/>
    <cellStyle name="Input 2 2 11 3 4" xfId="18402"/>
    <cellStyle name="Output 2 15 6 3 3" xfId="18403"/>
    <cellStyle name="Input 2 2 11 4" xfId="18404"/>
    <cellStyle name="Input 2 4 2 8 3 3" xfId="18405"/>
    <cellStyle name="Normal 2 2 3 2 2 2" xfId="18406"/>
    <cellStyle name="Input 2 2 11 4 2" xfId="18407"/>
    <cellStyle name="Input 2 2 11 4 3" xfId="18408"/>
    <cellStyle name="Output 2 15 6 4 2" xfId="18409"/>
    <cellStyle name="Input 2 2 11 5" xfId="18410"/>
    <cellStyle name="Input 2 4 2 8 3 4" xfId="18411"/>
    <cellStyle name="Input 2 2 11 5 2" xfId="18412"/>
    <cellStyle name="Input 2 2 11 5 3" xfId="18413"/>
    <cellStyle name="Output 2 15 6 5 2" xfId="18414"/>
    <cellStyle name="Input 2 2 11 6" xfId="18415"/>
    <cellStyle name="Input 2 2 12 2 3" xfId="18416"/>
    <cellStyle name="Output 2 15 7 2 2" xfId="18417"/>
    <cellStyle name="Input 2 2 12 2 4" xfId="18418"/>
    <cellStyle name="Input 2 2 3 2" xfId="18419"/>
    <cellStyle name="Output 2 15 7 2 3" xfId="18420"/>
    <cellStyle name="Input 2 2 12 3" xfId="18421"/>
    <cellStyle name="Input 2 4 2 8 4 2" xfId="18422"/>
    <cellStyle name="Input 2 2 12 3 2" xfId="18423"/>
    <cellStyle name="Input 2 2 12 3 3" xfId="18424"/>
    <cellStyle name="Output 2 15 7 3 2" xfId="18425"/>
    <cellStyle name="Input 2 2 12 3 4" xfId="18426"/>
    <cellStyle name="Input 2 2 4 2" xfId="18427"/>
    <cellStyle name="Output 2 15 7 3 3" xfId="18428"/>
    <cellStyle name="Input 2 2 12 4" xfId="18429"/>
    <cellStyle name="Input 2 4 2 8 4 3" xfId="18430"/>
    <cellStyle name="Input 2 2 12 4 2" xfId="18431"/>
    <cellStyle name="Input 2 2 12 4 3" xfId="18432"/>
    <cellStyle name="Output 2 15 7 4 2" xfId="18433"/>
    <cellStyle name="Input 2 2 12 5" xfId="18434"/>
    <cellStyle name="Input 2 2 12 5 2" xfId="18435"/>
    <cellStyle name="Input 2 2 12 5 3" xfId="18436"/>
    <cellStyle name="Output 2 15 7 5 2" xfId="18437"/>
    <cellStyle name="Input 2 2 12 6" xfId="18438"/>
    <cellStyle name="Input 2 2 13 2" xfId="18439"/>
    <cellStyle name="Input 2 2 13 3" xfId="18440"/>
    <cellStyle name="Input 2 4 2 8 5 2" xfId="18441"/>
    <cellStyle name="Input 2 2 13 4" xfId="18442"/>
    <cellStyle name="Input 2 4 2 8 5 3" xfId="18443"/>
    <cellStyle name="Input 2 2 13 5" xfId="18444"/>
    <cellStyle name="Input 2 2 14 2" xfId="18445"/>
    <cellStyle name="Input 2 2 14 3" xfId="18446"/>
    <cellStyle name="Input 2 2 14 4" xfId="18447"/>
    <cellStyle name="Input 2 2 14 5" xfId="18448"/>
    <cellStyle name="Output 2 2 3 2 2 2" xfId="18449"/>
    <cellStyle name="Input 2 2 16 2" xfId="18450"/>
    <cellStyle name="Note 2 6 2 6 3 4" xfId="18451"/>
    <cellStyle name="Input 2 2 16 3" xfId="18452"/>
    <cellStyle name="Input 2 2 16 4" xfId="18453"/>
    <cellStyle name="Input 2 2 17 2" xfId="18454"/>
    <cellStyle name="Input 2 2 18 2" xfId="18455"/>
    <cellStyle name="Input 2 2 19 2" xfId="18456"/>
    <cellStyle name="Input 2 2 2 10" xfId="18457"/>
    <cellStyle name="Input 2 2 2 10 2" xfId="18458"/>
    <cellStyle name="Input 2 4 2 5 5 3" xfId="18459"/>
    <cellStyle name="Input 2 2 2 10 2 3" xfId="18460"/>
    <cellStyle name="Output 2 12 8 4 2" xfId="18461"/>
    <cellStyle name="Total 2 10 2 8 5 2" xfId="18462"/>
    <cellStyle name="Input 2 2 2 10 3" xfId="18463"/>
    <cellStyle name="Input 2 2 2 10 3 3" xfId="18464"/>
    <cellStyle name="Note 2 2 3 2 2 4" xfId="18465"/>
    <cellStyle name="Output 2 12 8 5 2" xfId="18466"/>
    <cellStyle name="Input 2 2 2 10 4" xfId="18467"/>
    <cellStyle name="Input 2 2 2 10 4 2" xfId="18468"/>
    <cellStyle name="Input 2 7 3 2 3" xfId="18469"/>
    <cellStyle name="Note 2 2 3 2 3 3" xfId="18470"/>
    <cellStyle name="Input 2 2 2 10 4 3" xfId="18471"/>
    <cellStyle name="Input 2 7 3 2 4" xfId="18472"/>
    <cellStyle name="Note 2 2 3 2 3 4" xfId="18473"/>
    <cellStyle name="Input 2 2 2 10 5 2" xfId="18474"/>
    <cellStyle name="Input 2 7 3 3 3" xfId="18475"/>
    <cellStyle name="Note 2 2 3 2 4 3" xfId="18476"/>
    <cellStyle name="Input 2 2 2 10 5 3" xfId="18477"/>
    <cellStyle name="Input 2 7 3 3 4" xfId="18478"/>
    <cellStyle name="Note 2 2 3 2 4 4" xfId="18479"/>
    <cellStyle name="Input 2 2 2 10 7" xfId="18480"/>
    <cellStyle name="Note 2 7 2 7 4 2" xfId="18481"/>
    <cellStyle name="Input 2 2 2 10 8" xfId="18482"/>
    <cellStyle name="Note 2 7 2 7 4 3" xfId="18483"/>
    <cellStyle name="Input 2 2 2 11" xfId="18484"/>
    <cellStyle name="Output 2 9 2 3 5 2" xfId="18485"/>
    <cellStyle name="Input 2 2 2 11 2" xfId="18486"/>
    <cellStyle name="Input 2 2 2 11 3" xfId="18487"/>
    <cellStyle name="Input 2 2 2 11 4" xfId="18488"/>
    <cellStyle name="Input 2 2 2 12 2" xfId="18489"/>
    <cellStyle name="Output 2 5 2 10 2 2" xfId="18490"/>
    <cellStyle name="Input 2 2 2 12 3" xfId="18491"/>
    <cellStyle name="Output 2 5 2 10 2 3" xfId="18492"/>
    <cellStyle name="Input 2 2 2 13 2" xfId="18493"/>
    <cellStyle name="Output 2 5 2 10 3 2" xfId="18494"/>
    <cellStyle name="Input 2 2 2 13 3" xfId="18495"/>
    <cellStyle name="Output 2 5 2 10 3 3" xfId="18496"/>
    <cellStyle name="Note 2 10 2 5 5 2" xfId="18497"/>
    <cellStyle name="Note 2 2 2 4 5 2 2 2" xfId="18498"/>
    <cellStyle name="Total 2 13 12 2 4" xfId="18499"/>
    <cellStyle name="Input 2 2 2 14" xfId="18500"/>
    <cellStyle name="Output 2 5 2 10 4" xfId="18501"/>
    <cellStyle name="Input 2 2 2 14 2" xfId="18502"/>
    <cellStyle name="Output 2 5 2 10 4 2" xfId="18503"/>
    <cellStyle name="Input 2 2 2 2 2 2 2 2 2" xfId="18504"/>
    <cellStyle name="Input 2 2 2 14 3" xfId="18505"/>
    <cellStyle name="Output 2 5 2 10 4 3" xfId="18506"/>
    <cellStyle name="Note 2 10 2 5 5 3" xfId="18507"/>
    <cellStyle name="Input 2 2 2 15" xfId="18508"/>
    <cellStyle name="Input 2 2 2 20" xfId="18509"/>
    <cellStyle name="Output 2 5 2 10 5" xfId="18510"/>
    <cellStyle name="Input 2 2 2 15 2" xfId="18511"/>
    <cellStyle name="Output 2 5 2 10 5 2" xfId="18512"/>
    <cellStyle name="Input 2 2 2 16" xfId="18513"/>
    <cellStyle name="Input 2 2 2 21" xfId="18514"/>
    <cellStyle name="Output 2 5 2 10 6" xfId="18515"/>
    <cellStyle name="Input 2 2 2 16 2" xfId="18516"/>
    <cellStyle name="Input 2 2 2 17" xfId="18517"/>
    <cellStyle name="Input 2 2 2 22" xfId="18518"/>
    <cellStyle name="Output 2 5 2 10 7" xfId="18519"/>
    <cellStyle name="Input 2 2 2 17 2" xfId="18520"/>
    <cellStyle name="Input 2 2 2 18" xfId="18521"/>
    <cellStyle name="Input 2 2 2 23" xfId="18522"/>
    <cellStyle name="Input 2 2 2 19" xfId="18523"/>
    <cellStyle name="Input 2 2 2 24" xfId="18524"/>
    <cellStyle name="Input 2 2 2 2" xfId="18525"/>
    <cellStyle name="Input 2 2 2 2 2" xfId="18526"/>
    <cellStyle name="Input 2 2 2 2 2 2" xfId="18527"/>
    <cellStyle name="Input 2 2 2 2 2 2 2" xfId="18528"/>
    <cellStyle name="Input 2 4 2 11" xfId="18529"/>
    <cellStyle name="Input 2 2 2 2 2 2 2 2" xfId="18530"/>
    <cellStyle name="Input 2 4 2 11 2" xfId="18531"/>
    <cellStyle name="Input 2 2 2 2 2 2 2 2 2 2 2" xfId="18532"/>
    <cellStyle name="Input 2 2 2 2 2 2 2 2 2 2 2 2" xfId="18533"/>
    <cellStyle name="Input 2 2 2 2 2 2 2 2 2 3" xfId="18534"/>
    <cellStyle name="Total 2 25 4" xfId="18535"/>
    <cellStyle name="Note 2 2 3 6 2 4" xfId="18536"/>
    <cellStyle name="Input 2 2 2 2 2 2 2 3" xfId="18537"/>
    <cellStyle name="Input 2 4 2 11 3" xfId="18538"/>
    <cellStyle name="Input 2 2 2 2 2 2 3" xfId="18539"/>
    <cellStyle name="Input 2 4 2 12" xfId="18540"/>
    <cellStyle name="Input 2 2 2 2 2 3" xfId="18541"/>
    <cellStyle name="Input 2 2 2 2 2 3 2" xfId="18542"/>
    <cellStyle name="Input 2 2 2 2 2 3 2 2" xfId="18543"/>
    <cellStyle name="Input 2 2 2 2 2 4" xfId="18544"/>
    <cellStyle name="Input 2 2 2 2 3" xfId="18545"/>
    <cellStyle name="Input 2 2 2 2 3 2" xfId="18546"/>
    <cellStyle name="Input 2 2 2 2 3 2 2" xfId="18547"/>
    <cellStyle name="Input 2 2 2 2 3 3" xfId="18548"/>
    <cellStyle name="Input 2 2 2 2 3 4" xfId="18549"/>
    <cellStyle name="Input 2 2 2 2 4 2" xfId="18550"/>
    <cellStyle name="Input 2 2 2 2 4 2 2" xfId="18551"/>
    <cellStyle name="Input 2 2 2 2 4 3" xfId="18552"/>
    <cellStyle name="Input 2 2 2 2 5 2" xfId="18553"/>
    <cellStyle name="Output 2 8 3 10" xfId="18554"/>
    <cellStyle name="Input 2 2 2 2 5 2 2" xfId="18555"/>
    <cellStyle name="Output 2 8 3 10 2" xfId="18556"/>
    <cellStyle name="Input 2 2 2 2 5 3" xfId="18557"/>
    <cellStyle name="Output 2 8 3 11" xfId="18558"/>
    <cellStyle name="Input 2 2 2 2 6 2" xfId="18559"/>
    <cellStyle name="Note 6" xfId="18560"/>
    <cellStyle name="Total 2 6 2 2 2 4" xfId="18561"/>
    <cellStyle name="Input 2 2 2 2 6 2 2" xfId="18562"/>
    <cellStyle name="Note 6 2" xfId="18563"/>
    <cellStyle name="Total 2 9 2 10 3 3" xfId="18564"/>
    <cellStyle name="Input 2 2 2 2 6 2 2 2" xfId="18565"/>
    <cellStyle name="Linked Cell 5" xfId="18566"/>
    <cellStyle name="Input 2 2 2 2 6 3" xfId="18567"/>
    <cellStyle name="Note 7" xfId="18568"/>
    <cellStyle name="Input 2 2 2 2 7" xfId="18569"/>
    <cellStyle name="Input 2 2 2 2 8" xfId="18570"/>
    <cellStyle name="Input 2 2 2 2 9" xfId="18571"/>
    <cellStyle name="Input 2 2 2 25" xfId="18572"/>
    <cellStyle name="Input 2 2 2 30" xfId="18573"/>
    <cellStyle name="Total 2 3 2 10 4 2" xfId="18574"/>
    <cellStyle name="Input 2 2 2 26" xfId="18575"/>
    <cellStyle name="Total 2 3 2 10 4 3" xfId="18576"/>
    <cellStyle name="Input 2 2 2 27" xfId="18577"/>
    <cellStyle name="Input 2 2 2 28" xfId="18578"/>
    <cellStyle name="Input 2 2 2 29" xfId="18579"/>
    <cellStyle name="Input 2 2 2 3" xfId="18580"/>
    <cellStyle name="Input 2 2 2 3 2" xfId="18581"/>
    <cellStyle name="Input 2 2 2 3 2 2" xfId="18582"/>
    <cellStyle name="Output 2 12 16" xfId="18583"/>
    <cellStyle name="Input 2 2 2 3 2 3" xfId="18584"/>
    <cellStyle name="Output 2 12 17" xfId="18585"/>
    <cellStyle name="Input 2 2 2 3 2 4" xfId="18586"/>
    <cellStyle name="Output 2 12 18" xfId="18587"/>
    <cellStyle name="Input 2 2 2 3 3" xfId="18588"/>
    <cellStyle name="Input 2 2 2 3 3 2" xfId="18589"/>
    <cellStyle name="Input 2 2 2 3 3 3" xfId="18590"/>
    <cellStyle name="Input 2 2 2 3 3 4" xfId="18591"/>
    <cellStyle name="Input 2 2 2 3 4 2" xfId="18592"/>
    <cellStyle name="Input 2 2 2 3 4 3" xfId="18593"/>
    <cellStyle name="Input 2 2 2 3 5 3" xfId="18594"/>
    <cellStyle name="Input 2 2 2 3 6 2" xfId="18595"/>
    <cellStyle name="Input 2 2 2 3 7" xfId="18596"/>
    <cellStyle name="Input 2 2 2 3 8" xfId="18597"/>
    <cellStyle name="Input 2 2 2 4 2" xfId="18598"/>
    <cellStyle name="Input 2 2 2 4 2 2" xfId="18599"/>
    <cellStyle name="Input 2 2 2 4 2 3" xfId="18600"/>
    <cellStyle name="Input 2 2 2 4 2 4" xfId="18601"/>
    <cellStyle name="Input 2 2 2 4 3" xfId="18602"/>
    <cellStyle name="Input 2 2 2 4 3 2" xfId="18603"/>
    <cellStyle name="Input 2 2 2 4 3 3" xfId="18604"/>
    <cellStyle name="Input 2 2 2 4 3 4" xfId="18605"/>
    <cellStyle name="Input 2 2 2 4 4 2" xfId="18606"/>
    <cellStyle name="Note 2 4 26" xfId="18607"/>
    <cellStyle name="Note 2 4 31" xfId="18608"/>
    <cellStyle name="Input 2 2 2 4 4 3" xfId="18609"/>
    <cellStyle name="Note 2 4 27" xfId="18610"/>
    <cellStyle name="Note 2 4 32" xfId="18611"/>
    <cellStyle name="Input 2 2 2 4 5 2" xfId="18612"/>
    <cellStyle name="Input 2 2 2 4 5 3" xfId="18613"/>
    <cellStyle name="Input 2 2 2 4 6" xfId="18614"/>
    <cellStyle name="Input 2 2 2 4 6 2" xfId="18615"/>
    <cellStyle name="Input 2 2 2 4 7" xfId="18616"/>
    <cellStyle name="Input 2 2 2 4 8" xfId="18617"/>
    <cellStyle name="Total 2 13 4 2 3" xfId="18618"/>
    <cellStyle name="Input 2 2 2 5" xfId="18619"/>
    <cellStyle name="Input 2 2 2 5 2" xfId="18620"/>
    <cellStyle name="Input 2 2 2 5 2 2" xfId="18621"/>
    <cellStyle name="Input 2 2 2 5 2 2 2" xfId="18622"/>
    <cellStyle name="Input 2 2 2 5 2 2 2 2 2" xfId="18623"/>
    <cellStyle name="Input 2 2 2 5 2 2 2 2 2 2" xfId="18624"/>
    <cellStyle name="Input 2 2 2 5 2 2 2 3" xfId="18625"/>
    <cellStyle name="Input 2 2 2 5 2 3" xfId="18626"/>
    <cellStyle name="Input 2 2 2 5 2 4" xfId="18627"/>
    <cellStyle name="Input 2 2 2 5 3" xfId="18628"/>
    <cellStyle name="Input 2 2 2 5 3 2" xfId="18629"/>
    <cellStyle name="Percent 3" xfId="18630"/>
    <cellStyle name="Input 2 2 2 5 3 2 2" xfId="18631"/>
    <cellStyle name="Input 2 9 2 10 4" xfId="18632"/>
    <cellStyle name="Input 2 2 2 5 3 3" xfId="18633"/>
    <cellStyle name="Input 2 2 2 5 3 4" xfId="18634"/>
    <cellStyle name="Input 2 2 2 5 4 2" xfId="18635"/>
    <cellStyle name="Input 2 2 2 5 4 3" xfId="18636"/>
    <cellStyle name="Input 2 2 2 5 5 2" xfId="18637"/>
    <cellStyle name="Input 2 2 2 5 5 3" xfId="18638"/>
    <cellStyle name="Input 2 2 2 5 6" xfId="18639"/>
    <cellStyle name="Input 2 2 2 5 6 2" xfId="18640"/>
    <cellStyle name="Input 2 2 2 5 6 2 2" xfId="18641"/>
    <cellStyle name="Input 2 2 2 5 7" xfId="18642"/>
    <cellStyle name="Note 2 2 8 2 2" xfId="18643"/>
    <cellStyle name="Input 2 2 2 5 8" xfId="18644"/>
    <cellStyle name="Note 2 2 8 2 3" xfId="18645"/>
    <cellStyle name="Total 2 13 4 2 4" xfId="18646"/>
    <cellStyle name="Input 2 2 2 6" xfId="18647"/>
    <cellStyle name="Input 2 2 2 6 2" xfId="18648"/>
    <cellStyle name="Input 2 2 2 6 2 2" xfId="18649"/>
    <cellStyle name="Input 2 2 2 6 2 3" xfId="18650"/>
    <cellStyle name="Input 2 2 2 6 2 4" xfId="18651"/>
    <cellStyle name="Input 2 2 2 6 3" xfId="18652"/>
    <cellStyle name="Input 2 2 2 6 3 2" xfId="18653"/>
    <cellStyle name="Input 2 2 2 6 3 3" xfId="18654"/>
    <cellStyle name="Input 2 2 2 6 3 4" xfId="18655"/>
    <cellStyle name="Input 2 2 2 6 4" xfId="18656"/>
    <cellStyle name="Output 2 3 3 10 2" xfId="18657"/>
    <cellStyle name="Input 2 2 2 6 4 2" xfId="18658"/>
    <cellStyle name="Output 2 3 3 10 2 2" xfId="18659"/>
    <cellStyle name="Input 2 2 2 6 4 3" xfId="18660"/>
    <cellStyle name="Output 2 3 3 10 2 3" xfId="18661"/>
    <cellStyle name="Total 2 11 2 10 2 2" xfId="18662"/>
    <cellStyle name="Input 2 2 2 6 5" xfId="18663"/>
    <cellStyle name="Total 2 14 3 10 4 2" xfId="18664"/>
    <cellStyle name="Output 2 3 3 10 3" xfId="18665"/>
    <cellStyle name="Input 2 2 2 6 5 2" xfId="18666"/>
    <cellStyle name="Output 2 3 3 10 3 2" xfId="18667"/>
    <cellStyle name="Input 2 2 2 6 5 3" xfId="18668"/>
    <cellStyle name="Output 2 3 3 10 3 3" xfId="18669"/>
    <cellStyle name="Total 2 11 2 10 3 2" xfId="18670"/>
    <cellStyle name="Input 2 2 2 6 6" xfId="18671"/>
    <cellStyle name="Total 2 14 3 10 4 3" xfId="18672"/>
    <cellStyle name="Output 2 3 3 10 4" xfId="18673"/>
    <cellStyle name="Input 2 2 2 6 6 2" xfId="18674"/>
    <cellStyle name="Output 2 3 3 10 4 2" xfId="18675"/>
    <cellStyle name="Input 2 2 2 6 7" xfId="18676"/>
    <cellStyle name="Note 2 2 8 3 2" xfId="18677"/>
    <cellStyle name="Output 2 3 3 10 5" xfId="18678"/>
    <cellStyle name="Input 2 2 2 6 8" xfId="18679"/>
    <cellStyle name="Note 2 2 8 3 3" xfId="18680"/>
    <cellStyle name="Output 2 3 3 10 6" xfId="18681"/>
    <cellStyle name="Input 2 2 2 7" xfId="18682"/>
    <cellStyle name="Input 2 2 2 7 2" xfId="18683"/>
    <cellStyle name="Input 2 2 2 7 2 2" xfId="18684"/>
    <cellStyle name="Input 2 2 2 7 2 3" xfId="18685"/>
    <cellStyle name="Input 2 2 2 7 2 4" xfId="18686"/>
    <cellStyle name="Input 2 2 2 7 3" xfId="18687"/>
    <cellStyle name="Input 2 2 2 7 3 2" xfId="18688"/>
    <cellStyle name="Input 2 2 2 7 3 3" xfId="18689"/>
    <cellStyle name="Input 2 2 2 7 3 4" xfId="18690"/>
    <cellStyle name="Input 2 2 2 7 4" xfId="18691"/>
    <cellStyle name="Output 2 3 3 11 2" xfId="18692"/>
    <cellStyle name="Input 2 2 2 7 4 2" xfId="18693"/>
    <cellStyle name="Input 2 2 2 7 4 3" xfId="18694"/>
    <cellStyle name="Input 2 2 2 7 5" xfId="18695"/>
    <cellStyle name="Total 2 14 3 10 5 2" xfId="18696"/>
    <cellStyle name="Output 2 3 3 11 3" xfId="18697"/>
    <cellStyle name="Input 2 2 2 7 5 2" xfId="18698"/>
    <cellStyle name="Output 2 9 3 10" xfId="18699"/>
    <cellStyle name="Input 2 2 2 7 5 3" xfId="18700"/>
    <cellStyle name="Output 2 9 3 11" xfId="18701"/>
    <cellStyle name="Input 2 2 2 7 6" xfId="18702"/>
    <cellStyle name="Total 2 14 3 10 5 3" xfId="18703"/>
    <cellStyle name="Output 2 3 3 11 4" xfId="18704"/>
    <cellStyle name="Input 2 2 2 7 6 2" xfId="18705"/>
    <cellStyle name="Input 2 2 2 7 6 2 2" xfId="18706"/>
    <cellStyle name="Output 2 11 7 7" xfId="18707"/>
    <cellStyle name="Input 2 2 2 7 7" xfId="18708"/>
    <cellStyle name="Note 2 2 8 4 2" xfId="18709"/>
    <cellStyle name="Input 2 2 2 7 8" xfId="18710"/>
    <cellStyle name="Note 2 2 8 4 3" xfId="18711"/>
    <cellStyle name="Input 2 2 2 8" xfId="18712"/>
    <cellStyle name="Input 2 2 2 8 2" xfId="18713"/>
    <cellStyle name="Input 2 2 2 8 2 2" xfId="18714"/>
    <cellStyle name="Input 2 2 2 8 2 3" xfId="18715"/>
    <cellStyle name="Input 2 2 2 8 2 4" xfId="18716"/>
    <cellStyle name="Total 2 9 2 9 3 3" xfId="18717"/>
    <cellStyle name="Output 2 7 2 10 5 2" xfId="18718"/>
    <cellStyle name="Input 2 2 2 8 3" xfId="18719"/>
    <cellStyle name="Input 2 2 2 8 3 2" xfId="18720"/>
    <cellStyle name="Input 2 2 2 8 3 3" xfId="18721"/>
    <cellStyle name="Input 2 2 2 8 3 4" xfId="18722"/>
    <cellStyle name="Input 2 2 2 8 4" xfId="18723"/>
    <cellStyle name="Output 2 3 3 12 2" xfId="18724"/>
    <cellStyle name="Input 2 2 2 8 4 2" xfId="18725"/>
    <cellStyle name="Input 2 2 2 8 4 3" xfId="18726"/>
    <cellStyle name="Input 2 2 2 8 5" xfId="18727"/>
    <cellStyle name="Output 2 3 3 12 3" xfId="18728"/>
    <cellStyle name="Input 2 2 2 8 5 2" xfId="18729"/>
    <cellStyle name="Input 2 2 2 8 5 3" xfId="18730"/>
    <cellStyle name="Input 2 2 2 8 6" xfId="18731"/>
    <cellStyle name="Output 2 3 3 12 4" xfId="18732"/>
    <cellStyle name="Input 2 2 2 8 6 2" xfId="18733"/>
    <cellStyle name="Input 2 2 2 8 6 2 2" xfId="18734"/>
    <cellStyle name="Input 2 2 2 8 7" xfId="18735"/>
    <cellStyle name="Note 2 2 8 5 2" xfId="18736"/>
    <cellStyle name="Input 2 2 2 8 8" xfId="18737"/>
    <cellStyle name="Note 2 2 8 5 3" xfId="18738"/>
    <cellStyle name="Input 2 2 2 9" xfId="18739"/>
    <cellStyle name="Input 2 2 2 9 2" xfId="18740"/>
    <cellStyle name="Note 2 10 2 10 5" xfId="18741"/>
    <cellStyle name="Input 2 2 2 9 2 2" xfId="18742"/>
    <cellStyle name="Note 2 10 2 10 5 2" xfId="18743"/>
    <cellStyle name="Note 2 10 2 10 5 3" xfId="18744"/>
    <cellStyle name="Input 2 2 2 9 2 3" xfId="18745"/>
    <cellStyle name="Output 2 3 2 6 2" xfId="18746"/>
    <cellStyle name="Input 2 2 2 9 2 4" xfId="18747"/>
    <cellStyle name="Output 2 3 2 6 3" xfId="18748"/>
    <cellStyle name="Input 2 2 2 9 3" xfId="18749"/>
    <cellStyle name="Note 2 10 2 10 6" xfId="18750"/>
    <cellStyle name="Input 2 2 2 9 3 3" xfId="18751"/>
    <cellStyle name="Output 2 3 2 7 2" xfId="18752"/>
    <cellStyle name="Input 2 2 2 9 3 4" xfId="18753"/>
    <cellStyle name="Output 2 3 2 7 3" xfId="18754"/>
    <cellStyle name="Input 2 2 2 9 4" xfId="18755"/>
    <cellStyle name="Note 2 10 2 10 7" xfId="18756"/>
    <cellStyle name="Output 2 3 3 13 2" xfId="18757"/>
    <cellStyle name="Input 2 2 2 9 4 2" xfId="18758"/>
    <cellStyle name="Input 2 2 2 9 4 3" xfId="18759"/>
    <cellStyle name="Output 2 3 2 8 2" xfId="18760"/>
    <cellStyle name="Input 2 2 2 9 5" xfId="18761"/>
    <cellStyle name="Output 2 3 3 13 3" xfId="18762"/>
    <cellStyle name="Input 2 2 2 9 5 2" xfId="18763"/>
    <cellStyle name="Input 2 2 2 9 5 3" xfId="18764"/>
    <cellStyle name="Output 2 3 2 9 2" xfId="18765"/>
    <cellStyle name="Input 2 2 2 9 6" xfId="18766"/>
    <cellStyle name="Input 2 2 2 9 6 2" xfId="18767"/>
    <cellStyle name="Input 2 2 2 9 6 2 2" xfId="18768"/>
    <cellStyle name="Input 2 2 2 9 7" xfId="18769"/>
    <cellStyle name="Note 2 2 8 6 2" xfId="18770"/>
    <cellStyle name="Input 2 2 2 9 8" xfId="18771"/>
    <cellStyle name="Input 2 2 25" xfId="18772"/>
    <cellStyle name="Input 2 2 30" xfId="18773"/>
    <cellStyle name="Input 2 2 26" xfId="18774"/>
    <cellStyle name="Input 2 2 31" xfId="18775"/>
    <cellStyle name="Input 2 2 27" xfId="18776"/>
    <cellStyle name="Input 2 2 32" xfId="18777"/>
    <cellStyle name="Input 2 3 3 8 3 2" xfId="18778"/>
    <cellStyle name="Input 2 2 28" xfId="18779"/>
    <cellStyle name="Input 2 3 3 8 3 3" xfId="18780"/>
    <cellStyle name="Input 2 2 29" xfId="18781"/>
    <cellStyle name="Input 2 3 3 8 3 4" xfId="18782"/>
    <cellStyle name="Input 2 2 3 10" xfId="18783"/>
    <cellStyle name="Input 2 2 3 10 2 2" xfId="18784"/>
    <cellStyle name="Input 2 2 3 10 2 3" xfId="18785"/>
    <cellStyle name="Input 2 2 3 10 2 4" xfId="18786"/>
    <cellStyle name="Note 2 2 3 10 2 2" xfId="18787"/>
    <cellStyle name="Input 2 2 3 10 3" xfId="18788"/>
    <cellStyle name="Input 2 2 3 10 3 2" xfId="18789"/>
    <cellStyle name="Input 2 2 3 10 3 3" xfId="18790"/>
    <cellStyle name="Input 2 2 3 10 3 4" xfId="18791"/>
    <cellStyle name="Note 2 2 3 10 3 2" xfId="18792"/>
    <cellStyle name="Input 2 2 3 10 4" xfId="18793"/>
    <cellStyle name="Input 2 2 3 10 4 2" xfId="18794"/>
    <cellStyle name="Input 2 2 3 10 4 3" xfId="18795"/>
    <cellStyle name="Input 2 2 3 10 5 2" xfId="18796"/>
    <cellStyle name="Output 2 9 2 9 2 2" xfId="18797"/>
    <cellStyle name="Input 2 2 3 10 5 3" xfId="18798"/>
    <cellStyle name="Output 2 9 2 9 2 3" xfId="18799"/>
    <cellStyle name="Input 2 2 3 10 7" xfId="18800"/>
    <cellStyle name="Output 2 9 2 9 4" xfId="18801"/>
    <cellStyle name="Input 2 2 3 11" xfId="18802"/>
    <cellStyle name="Input 2 2 3 11 2" xfId="18803"/>
    <cellStyle name="Total 2 11 2 10 4" xfId="18804"/>
    <cellStyle name="Input 2 2 3 11 3" xfId="18805"/>
    <cellStyle name="Output 2 2 3 4 2 2" xfId="18806"/>
    <cellStyle name="Total 2 11 2 10 5" xfId="18807"/>
    <cellStyle name="Input 2 2 3 11 4" xfId="18808"/>
    <cellStyle name="Output 2 2 3 4 2 3" xfId="18809"/>
    <cellStyle name="Total 2 11 2 10 6" xfId="18810"/>
    <cellStyle name="Input 2 2 3 12" xfId="18811"/>
    <cellStyle name="Input 2 2 3 12 2" xfId="18812"/>
    <cellStyle name="Total 2 11 2 11 4" xfId="18813"/>
    <cellStyle name="Input 2 2 3 12 3" xfId="18814"/>
    <cellStyle name="Output 2 2 3 4 3 2" xfId="18815"/>
    <cellStyle name="Input 2 2 3 13" xfId="18816"/>
    <cellStyle name="Normal 2 3 3 6 2 2" xfId="18817"/>
    <cellStyle name="Input 2 2 3 13 2" xfId="18818"/>
    <cellStyle name="Total 2 11 2 12 4" xfId="18819"/>
    <cellStyle name="Input 2 2 3 13 3" xfId="18820"/>
    <cellStyle name="Output 2 2 3 4 4 2" xfId="18821"/>
    <cellStyle name="Input 2 2 3 14" xfId="18822"/>
    <cellStyle name="Input 2 2 3 14 2" xfId="18823"/>
    <cellStyle name="Input 2 2 3 14 3" xfId="18824"/>
    <cellStyle name="Output 2 2 3 4 5 2" xfId="18825"/>
    <cellStyle name="Input 2 2 3 15" xfId="18826"/>
    <cellStyle name="Input 2 2 3 16" xfId="18827"/>
    <cellStyle name="Input 2 2 3 17" xfId="18828"/>
    <cellStyle name="Input 2 2 4 2 3 2" xfId="18829"/>
    <cellStyle name="Input 2 2 3 18" xfId="18830"/>
    <cellStyle name="Input 2 2 3 2 2" xfId="18831"/>
    <cellStyle name="Input 2 2 3 2 2 2" xfId="18832"/>
    <cellStyle name="Input 2 2 3 2 2 2 2" xfId="18833"/>
    <cellStyle name="Input 2 2 3 2 2 2 2 2 2" xfId="18834"/>
    <cellStyle name="Input 2 2 3 2 2 2 2 2 2 2" xfId="18835"/>
    <cellStyle name="Input 2 2 3 2 2 2 2 2 2 2 2" xfId="18836"/>
    <cellStyle name="Note 2 7 2 4 3 3" xfId="18837"/>
    <cellStyle name="Input 2 2 3 2 2 2 2 2 2 2 2 2" xfId="18838"/>
    <cellStyle name="Input 2 4 2 6 3" xfId="18839"/>
    <cellStyle name="Note 2 12 3 3 5 3" xfId="18840"/>
    <cellStyle name="Input 2 2 3 2 2 2 2 2 2 3" xfId="18841"/>
    <cellStyle name="Input 2 2 3 2 2 2 2 2 3" xfId="18842"/>
    <cellStyle name="Input 2 2 3 2 2 2 3" xfId="18843"/>
    <cellStyle name="Output 2 6 9 2" xfId="18844"/>
    <cellStyle name="Input 2 2 3 2 2 3" xfId="18845"/>
    <cellStyle name="Input 2 2 3 2 2 3 2" xfId="18846"/>
    <cellStyle name="Input 2 2 3 2 2 3 2 2" xfId="18847"/>
    <cellStyle name="Output 2 4 10 2 4" xfId="18848"/>
    <cellStyle name="Input 2 2 3 2 2 4" xfId="18849"/>
    <cellStyle name="Input 2 2 3 2 3" xfId="18850"/>
    <cellStyle name="Input 2 2 3 2 3 2" xfId="18851"/>
    <cellStyle name="Input 2 2 3 2 3 3" xfId="18852"/>
    <cellStyle name="Input 2 2 3 2 3 4" xfId="18853"/>
    <cellStyle name="Input 2 2 3 2 4" xfId="18854"/>
    <cellStyle name="Input 2 25 2 2" xfId="18855"/>
    <cellStyle name="Input 2 2 3 2 4 2" xfId="18856"/>
    <cellStyle name="Input 2 2 3 2 4 3" xfId="18857"/>
    <cellStyle name="Input 2 2 3 2 5" xfId="18858"/>
    <cellStyle name="Input 2 25 2 3" xfId="18859"/>
    <cellStyle name="Input 2 2 3 2 5 2" xfId="18860"/>
    <cellStyle name="Input 2 2 3 2 5 3" xfId="18861"/>
    <cellStyle name="Input 2 2 3 2 6" xfId="18862"/>
    <cellStyle name="Input 2 25 2 4" xfId="18863"/>
    <cellStyle name="Input 2 2 3 2 6 2" xfId="18864"/>
    <cellStyle name="Note 2 13 3 4 2" xfId="18865"/>
    <cellStyle name="Input 2 2 3 2 6 2 2 2" xfId="18866"/>
    <cellStyle name="Output 2 16 9 2 4" xfId="18867"/>
    <cellStyle name="Input 2 2 3 2 6 3" xfId="18868"/>
    <cellStyle name="Input 2 2 3 2 7" xfId="18869"/>
    <cellStyle name="Input 2 9 3 10 3 2" xfId="18870"/>
    <cellStyle name="Input 2 2 3 2 8" xfId="18871"/>
    <cellStyle name="Input 2 9 3 10 3 3" xfId="18872"/>
    <cellStyle name="Input 2 2 3 3" xfId="18873"/>
    <cellStyle name="Output 2 15 7 2 4" xfId="18874"/>
    <cellStyle name="Input 2 2 3 3 2" xfId="18875"/>
    <cellStyle name="Input 2 2 3 3 2 2" xfId="18876"/>
    <cellStyle name="Input 2 2 3 3 2 3" xfId="18877"/>
    <cellStyle name="Input 2 2 3 3 2 4" xfId="18878"/>
    <cellStyle name="Input 2 2 3 3 3" xfId="18879"/>
    <cellStyle name="Input 2 2 3 3 3 2" xfId="18880"/>
    <cellStyle name="Input 2 2 3 3 4" xfId="18881"/>
    <cellStyle name="Input 2 25 3 2" xfId="18882"/>
    <cellStyle name="Input 2 2 3 3 4 2" xfId="18883"/>
    <cellStyle name="Input 2 2 3 3 4 3" xfId="18884"/>
    <cellStyle name="Input 2 2 3 3 5" xfId="18885"/>
    <cellStyle name="Input 2 25 3 3" xfId="18886"/>
    <cellStyle name="Input 2 2 3 3 5 2" xfId="18887"/>
    <cellStyle name="Input 2 2 3 3 5 3" xfId="18888"/>
    <cellStyle name="Input 2 2 3 3 6" xfId="18889"/>
    <cellStyle name="Input 2 25 3 4" xfId="18890"/>
    <cellStyle name="Input 2 2 3 3 6 2" xfId="18891"/>
    <cellStyle name="Input 2 2 3 3 7" xfId="18892"/>
    <cellStyle name="Input 2 9 3 10 4 2" xfId="18893"/>
    <cellStyle name="Total 2 13 4 3 2" xfId="18894"/>
    <cellStyle name="Input 2 2 3 4" xfId="18895"/>
    <cellStyle name="Input 2 2 3 4 2" xfId="18896"/>
    <cellStyle name="Input 2 2 3 4 2 2" xfId="18897"/>
    <cellStyle name="Input 2 2 3 4 3" xfId="18898"/>
    <cellStyle name="Input 2 2 3 4 3 2" xfId="18899"/>
    <cellStyle name="Input 2 2 3 4 3 3" xfId="18900"/>
    <cellStyle name="Input 2 2 3 4 3 4" xfId="18901"/>
    <cellStyle name="Input 2 2 3 4 4" xfId="18902"/>
    <cellStyle name="Input 2 25 4 2" xfId="18903"/>
    <cellStyle name="Input 2 2 3 4 4 2" xfId="18904"/>
    <cellStyle name="Input 2 3 13" xfId="18905"/>
    <cellStyle name="Input 2 2 3 4 4 3" xfId="18906"/>
    <cellStyle name="Input 2 3 14" xfId="18907"/>
    <cellStyle name="Input 2 2 3 4 5" xfId="18908"/>
    <cellStyle name="Input 2 25 4 3" xfId="18909"/>
    <cellStyle name="Input 2 2 3 4 5 2" xfId="18910"/>
    <cellStyle name="Input 2 2 3 4 5 3" xfId="18911"/>
    <cellStyle name="Input 2 2 3 4 6" xfId="18912"/>
    <cellStyle name="Input 2 2 3 4 6 2" xfId="18913"/>
    <cellStyle name="Total 2 13 4 3 3" xfId="18914"/>
    <cellStyle name="Input 2 2 3 5" xfId="18915"/>
    <cellStyle name="Input 2 2 3 5 2" xfId="18916"/>
    <cellStyle name="Input 2 2 3 5 2 2" xfId="18917"/>
    <cellStyle name="Input 2 2 3 5 2 2 2 2" xfId="18918"/>
    <cellStyle name="Input 2 3 3 5 4 3" xfId="18919"/>
    <cellStyle name="Input 2 2 3 5 2 2 2 2 2" xfId="18920"/>
    <cellStyle name="Input 2 2 3 5 2 2 2 2 2 2" xfId="18921"/>
    <cellStyle name="Input 2 2 3 5 2 2 2 3" xfId="18922"/>
    <cellStyle name="Input 2 2 3 5 3" xfId="18923"/>
    <cellStyle name="Input 2 2 3 5 3 2" xfId="18924"/>
    <cellStyle name="Input 2 2 3 5 3 2 2" xfId="18925"/>
    <cellStyle name="Input 2 2 3 5 3 3" xfId="18926"/>
    <cellStyle name="Input 2 2 3 5 3 4" xfId="18927"/>
    <cellStyle name="Input 2 2 3 5 4" xfId="18928"/>
    <cellStyle name="Input 2 25 5 2" xfId="18929"/>
    <cellStyle name="Input 2 2 3 5 4 2" xfId="18930"/>
    <cellStyle name="Input 2 8 13" xfId="18931"/>
    <cellStyle name="Input 2 2 3 5 4 3" xfId="18932"/>
    <cellStyle name="Input 2 8 14" xfId="18933"/>
    <cellStyle name="Input 2 2 3 5 5" xfId="18934"/>
    <cellStyle name="Input 2 25 5 3" xfId="18935"/>
    <cellStyle name="Input 2 2 3 5 5 2" xfId="18936"/>
    <cellStyle name="Input 2 2 3 5 5 3" xfId="18937"/>
    <cellStyle name="Input 2 2 3 5 6" xfId="18938"/>
    <cellStyle name="Input 2 2 3 5 6 2" xfId="18939"/>
    <cellStyle name="Input 2 2 3 5 7" xfId="18940"/>
    <cellStyle name="Note 2 2 9 2 2" xfId="18941"/>
    <cellStyle name="Total 2 13 4 3 4" xfId="18942"/>
    <cellStyle name="Input 2 2 3 6" xfId="18943"/>
    <cellStyle name="Input 2 2 3 6 2" xfId="18944"/>
    <cellStyle name="Input 2 2 3 6 2 2" xfId="18945"/>
    <cellStyle name="Input 2 2 3 6 3" xfId="18946"/>
    <cellStyle name="Input 2 2 3 6 3 2" xfId="18947"/>
    <cellStyle name="Input 2 2 3 6 3 3" xfId="18948"/>
    <cellStyle name="Input 2 2 3 6 3 4" xfId="18949"/>
    <cellStyle name="Input 2 2 3 6 4" xfId="18950"/>
    <cellStyle name="Input 2 2 3 6 4 2" xfId="18951"/>
    <cellStyle name="Input 2 2 3 6 4 3" xfId="18952"/>
    <cellStyle name="Input 2 2 3 6 5" xfId="18953"/>
    <cellStyle name="Input 2 2 3 6 5 2" xfId="18954"/>
    <cellStyle name="Input 2 2 3 6 5 3" xfId="18955"/>
    <cellStyle name="Input 2 2 3 6 6" xfId="18956"/>
    <cellStyle name="Input 2 2 3 6 6 2" xfId="18957"/>
    <cellStyle name="Input 2 2 3 6 7" xfId="18958"/>
    <cellStyle name="Note 2 2 9 3 2" xfId="18959"/>
    <cellStyle name="Input 2 2 3 7" xfId="18960"/>
    <cellStyle name="Input 2 2 3 7 2 2" xfId="18961"/>
    <cellStyle name="Input 2 2 3 7 2 3" xfId="18962"/>
    <cellStyle name="Input 2 2 3 7 2 4" xfId="18963"/>
    <cellStyle name="Input 2 2 3 7 3 2" xfId="18964"/>
    <cellStyle name="Input 2 2 3 7 3 3" xfId="18965"/>
    <cellStyle name="Input 2 2 3 7 3 4" xfId="18966"/>
    <cellStyle name="Input 2 2 3 7 4" xfId="18967"/>
    <cellStyle name="Input 2 2 3 7 4 2" xfId="18968"/>
    <cellStyle name="Input 2 2 3 7 4 3" xfId="18969"/>
    <cellStyle name="Input 2 2 3 7 5" xfId="18970"/>
    <cellStyle name="Input 2 2 3 7 5 2" xfId="18971"/>
    <cellStyle name="Input 2 2 3 7 5 3" xfId="18972"/>
    <cellStyle name="Input 2 2 3 7 6" xfId="18973"/>
    <cellStyle name="Input 2 2 3 7 6 2" xfId="18974"/>
    <cellStyle name="Input 2 2 3 7 7" xfId="18975"/>
    <cellStyle name="Note 2 2 9 4 2" xfId="18976"/>
    <cellStyle name="Input 2 2 3 8" xfId="18977"/>
    <cellStyle name="Input 2 2 3 8 2 2" xfId="18978"/>
    <cellStyle name="Input 2 2 3 8 2 3" xfId="18979"/>
    <cellStyle name="Input 2 2 3 8 2 4" xfId="18980"/>
    <cellStyle name="Input 2 2 3 8 3 2" xfId="18981"/>
    <cellStyle name="Input 2 2 3 8 3 3" xfId="18982"/>
    <cellStyle name="Input 2 2 3 8 3 4" xfId="18983"/>
    <cellStyle name="Input 2 2 3 8 4" xfId="18984"/>
    <cellStyle name="Input 2 2 3 8 4 2" xfId="18985"/>
    <cellStyle name="Input 2 2 3 8 4 3" xfId="18986"/>
    <cellStyle name="Input 2 2 3 8 5" xfId="18987"/>
    <cellStyle name="Input 2 2 3 8 5 2" xfId="18988"/>
    <cellStyle name="Input 2 2 3 8 5 3" xfId="18989"/>
    <cellStyle name="Input 2 2 3 8 6" xfId="18990"/>
    <cellStyle name="Input 2 2 3 8 6 2" xfId="18991"/>
    <cellStyle name="Input 2 2 3 8 7" xfId="18992"/>
    <cellStyle name="Note 2 2 9 5 2" xfId="18993"/>
    <cellStyle name="Input 2 2 3 9" xfId="18994"/>
    <cellStyle name="Input 2 2 3 9 2 2" xfId="18995"/>
    <cellStyle name="Output 2 10 2 7 3" xfId="18996"/>
    <cellStyle name="Output 2 10 2 7 4" xfId="18997"/>
    <cellStyle name="Input 2 2 3 9 2 3" xfId="18998"/>
    <cellStyle name="Output 2 4 2 6 2" xfId="18999"/>
    <cellStyle name="Output 2 10 2 7 5" xfId="19000"/>
    <cellStyle name="Input 2 2 3 9 2 4" xfId="19001"/>
    <cellStyle name="Output 2 4 2 6 3" xfId="19002"/>
    <cellStyle name="Input 2 2 3 9 3" xfId="19003"/>
    <cellStyle name="Input 2 2 3 9 3 2" xfId="19004"/>
    <cellStyle name="Output 2 10 2 8 3" xfId="19005"/>
    <cellStyle name="Output 2 10 2 8 5" xfId="19006"/>
    <cellStyle name="Input 2 2 3 9 3 4" xfId="19007"/>
    <cellStyle name="Output 2 4 2 7 3" xfId="19008"/>
    <cellStyle name="Input 2 2 3 9 4" xfId="19009"/>
    <cellStyle name="Input 2 2 3 9 4 2" xfId="19010"/>
    <cellStyle name="Output 2 10 2 9 3" xfId="19011"/>
    <cellStyle name="Output 2 10 2 9 4" xfId="19012"/>
    <cellStyle name="Input 2 2 3 9 4 3" xfId="19013"/>
    <cellStyle name="Output 2 4 2 8 2" xfId="19014"/>
    <cellStyle name="Input 2 2 3 9 5" xfId="19015"/>
    <cellStyle name="Input 2 2 3 9 5 2" xfId="19016"/>
    <cellStyle name="Input 2 2 3 9 5 3" xfId="19017"/>
    <cellStyle name="Output 2 4 2 9 2" xfId="19018"/>
    <cellStyle name="Input 2 2 3 9 6" xfId="19019"/>
    <cellStyle name="Input 2 2 3 9 6 2" xfId="19020"/>
    <cellStyle name="Total 2 10 2 10 6" xfId="19021"/>
    <cellStyle name="Input 2 2 4" xfId="19022"/>
    <cellStyle name="Input 2 3 3 2 2 4" xfId="19023"/>
    <cellStyle name="Input 2 2 4 10" xfId="19024"/>
    <cellStyle name="Input 2 2 4 2 2" xfId="19025"/>
    <cellStyle name="Input 2 2 4 2 2 2" xfId="19026"/>
    <cellStyle name="Input 2 2 4 2 2 2 2" xfId="19027"/>
    <cellStyle name="Input 2 2 4 2 2 2 2 2" xfId="19028"/>
    <cellStyle name="Input 2 2 4 2 2 2 2 2 2 2" xfId="19029"/>
    <cellStyle name="Input 2 2 4 2 2 2 2 2 2 2 2" xfId="19030"/>
    <cellStyle name="Input 2 2 4 2 2 2 2 2 3" xfId="19031"/>
    <cellStyle name="Input 2 2 4 2 2 2 2 3" xfId="19032"/>
    <cellStyle name="Note 2 3 6 4 2" xfId="19033"/>
    <cellStyle name="Output 2 13 2 13 2" xfId="19034"/>
    <cellStyle name="Input 2 2 4 2 2 2 3" xfId="19035"/>
    <cellStyle name="Input 2 2 4 2 2 3" xfId="19036"/>
    <cellStyle name="Input 2 2 4 2 3" xfId="19037"/>
    <cellStyle name="Input 2 2 4 2 3 2 2" xfId="19038"/>
    <cellStyle name="Input 2 2 4 3" xfId="19039"/>
    <cellStyle name="Output 2 15 7 3 4" xfId="19040"/>
    <cellStyle name="Output 2 9 7 2 2" xfId="19041"/>
    <cellStyle name="Input 2 2 4 3 2" xfId="19042"/>
    <cellStyle name="Input 2 2 4 3 2 2" xfId="19043"/>
    <cellStyle name="Input 2 2 4 3 3" xfId="19044"/>
    <cellStyle name="Note 2 6 3 10" xfId="19045"/>
    <cellStyle name="Input 2 2 4 3 4" xfId="19046"/>
    <cellStyle name="Note 2 6 3 11" xfId="19047"/>
    <cellStyle name="Total 2 13 4 4 2" xfId="19048"/>
    <cellStyle name="Input 2 2 4 4" xfId="19049"/>
    <cellStyle name="Output 2 9 7 2 3" xfId="19050"/>
    <cellStyle name="Input 2 2 4 4 2" xfId="19051"/>
    <cellStyle name="Input 2 2 4 4 2 2" xfId="19052"/>
    <cellStyle name="Input 2 2 4 4 3" xfId="19053"/>
    <cellStyle name="Total 2 13 4 4 3" xfId="19054"/>
    <cellStyle name="Input 2 2 4 5" xfId="19055"/>
    <cellStyle name="Output 2 9 7 2 4" xfId="19056"/>
    <cellStyle name="Input 2 2 4 5 2" xfId="19057"/>
    <cellStyle name="Input 2 2 4 5 3" xfId="19058"/>
    <cellStyle name="Input 2 2 4 6" xfId="19059"/>
    <cellStyle name="Input 2 2 4 6 2 2" xfId="19060"/>
    <cellStyle name="Input 2 2 4 6 2 2 2" xfId="19061"/>
    <cellStyle name="Input 2 2 5 2 2" xfId="19062"/>
    <cellStyle name="Input 2 2 5 2 2 2" xfId="19063"/>
    <cellStyle name="Input 2 2 5 2 2 2 2" xfId="19064"/>
    <cellStyle name="Input 2 2 5 2 2 2 2 2" xfId="19065"/>
    <cellStyle name="Input 2 2 5 2 2 2 2 2 2" xfId="19066"/>
    <cellStyle name="Output 2 4 4 3 3" xfId="19067"/>
    <cellStyle name="Input 2 2 5 2 2 2 3" xfId="19068"/>
    <cellStyle name="Input 2 2 5 2 3" xfId="19069"/>
    <cellStyle name="Input 2 2 5 2 4" xfId="19070"/>
    <cellStyle name="Note 2 13 3 10 5 2" xfId="19071"/>
    <cellStyle name="Input 2 2 5 3 2" xfId="19072"/>
    <cellStyle name="Input 2 2 5 3 2 2" xfId="19073"/>
    <cellStyle name="Input 2 2 5 3 3" xfId="19074"/>
    <cellStyle name="Input 2 2 5 3 4" xfId="19075"/>
    <cellStyle name="Input 2 2 5 4 2" xfId="19076"/>
    <cellStyle name="Input 2 2 5 4 3" xfId="19077"/>
    <cellStyle name="Total 2 13 4 5 3" xfId="19078"/>
    <cellStyle name="Input 2 2 5 5" xfId="19079"/>
    <cellStyle name="Output 2 9 7 3 4" xfId="19080"/>
    <cellStyle name="Input 2 2 5 5 2" xfId="19081"/>
    <cellStyle name="Input 2 2 5 5 3" xfId="19082"/>
    <cellStyle name="Input 2 2 5 6" xfId="19083"/>
    <cellStyle name="Input 2 2 5 6 2" xfId="19084"/>
    <cellStyle name="Input 2 2 5 6 2 2" xfId="19085"/>
    <cellStyle name="Input 2 2 6 2 4" xfId="19086"/>
    <cellStyle name="Input 2 2 6 3 2" xfId="19087"/>
    <cellStyle name="Input 2 2 6 3 3" xfId="19088"/>
    <cellStyle name="Input 2 2 6 3 4" xfId="19089"/>
    <cellStyle name="Input 2 2 6 4 2" xfId="19090"/>
    <cellStyle name="Input 2 2 6 4 3" xfId="19091"/>
    <cellStyle name="Input 2 2 6 5" xfId="19092"/>
    <cellStyle name="Input 2 2 6 5 2" xfId="19093"/>
    <cellStyle name="Input 2 2 6 5 3" xfId="19094"/>
    <cellStyle name="Input 2 2 7 4" xfId="19095"/>
    <cellStyle name="Output 2 9 7 5 3" xfId="19096"/>
    <cellStyle name="Input 2 2 7 5" xfId="19097"/>
    <cellStyle name="Input 2 2 7 6" xfId="19098"/>
    <cellStyle name="Input 2 2 7 6 2" xfId="19099"/>
    <cellStyle name="Input 2 2 7 6 2 2" xfId="19100"/>
    <cellStyle name="Input 2 2 8 2 2" xfId="19101"/>
    <cellStyle name="Input 2 2 8 2 3" xfId="19102"/>
    <cellStyle name="Input 2 2 8 2 4" xfId="19103"/>
    <cellStyle name="Input 2 2 8 3 2" xfId="19104"/>
    <cellStyle name="Input 2 2 8 3 3" xfId="19105"/>
    <cellStyle name="Input 2 2 8 3 4" xfId="19106"/>
    <cellStyle name="Input 2 2 8 4" xfId="19107"/>
    <cellStyle name="Input 2 2 8 4 2" xfId="19108"/>
    <cellStyle name="Input 2 2 8 4 3" xfId="19109"/>
    <cellStyle name="Input 2 2 8 5" xfId="19110"/>
    <cellStyle name="Input 2 2 8 5 2" xfId="19111"/>
    <cellStyle name="Input 2 2 8 5 3" xfId="19112"/>
    <cellStyle name="Input 2 2 8 6" xfId="19113"/>
    <cellStyle name="Input 2 2 8 6 2" xfId="19114"/>
    <cellStyle name="Input 2 2 8 6 2 2" xfId="19115"/>
    <cellStyle name="Input 2 2 8 8" xfId="19116"/>
    <cellStyle name="Input 2 2 9 3 2" xfId="19117"/>
    <cellStyle name="Input 2 2 9 3 3" xfId="19118"/>
    <cellStyle name="Note 2 7 3 10" xfId="19119"/>
    <cellStyle name="Input 2 2 9 3 4" xfId="19120"/>
    <cellStyle name="Note 2 7 3 11" xfId="19121"/>
    <cellStyle name="Input 2 2 9 5 2" xfId="19122"/>
    <cellStyle name="Input 2 2 9 5 3" xfId="19123"/>
    <cellStyle name="Input 2 2 9 6 2" xfId="19124"/>
    <cellStyle name="Input 2 2 9 6 2 2" xfId="19125"/>
    <cellStyle name="Input 2 25" xfId="19126"/>
    <cellStyle name="Input 2 30" xfId="19127"/>
    <cellStyle name="Input 2 25 2" xfId="19128"/>
    <cellStyle name="Input 2 30 2" xfId="19129"/>
    <cellStyle name="Note 2 2 12 2 4" xfId="19130"/>
    <cellStyle name="Input 2 25 3" xfId="19131"/>
    <cellStyle name="Input 2 30 3" xfId="19132"/>
    <cellStyle name="Input 2 25 4" xfId="19133"/>
    <cellStyle name="Input 2 25 5" xfId="19134"/>
    <cellStyle name="Input 2 25 6" xfId="19135"/>
    <cellStyle name="Input 2 25 7" xfId="19136"/>
    <cellStyle name="Input 2 25 8" xfId="19137"/>
    <cellStyle name="Output 2 16 5 4 2" xfId="19138"/>
    <cellStyle name="Input 2 26" xfId="19139"/>
    <cellStyle name="Input 2 31" xfId="19140"/>
    <cellStyle name="Input 2 5 3 9 5 2" xfId="19141"/>
    <cellStyle name="Input 2 26 2" xfId="19142"/>
    <cellStyle name="Input 2 31 2" xfId="19143"/>
    <cellStyle name="Note 2 2 12 3 4" xfId="19144"/>
    <cellStyle name="Input 2 26 3" xfId="19145"/>
    <cellStyle name="Input 2 26 4" xfId="19146"/>
    <cellStyle name="Input 2 26 5" xfId="19147"/>
    <cellStyle name="Input 2 27" xfId="19148"/>
    <cellStyle name="Input 2 32" xfId="19149"/>
    <cellStyle name="Input 2 5 3 9 5 3" xfId="19150"/>
    <cellStyle name="Input 2 27 2" xfId="19151"/>
    <cellStyle name="Input 2 32 2" xfId="19152"/>
    <cellStyle name="Note 2 13 3 10 5" xfId="19153"/>
    <cellStyle name="Output 2 3 10 6" xfId="19154"/>
    <cellStyle name="Input 2 27 3" xfId="19155"/>
    <cellStyle name="Note 2 13 3 10 6" xfId="19156"/>
    <cellStyle name="Output 2 3 10 7" xfId="19157"/>
    <cellStyle name="Input 2 27 4" xfId="19158"/>
    <cellStyle name="Note 2 13 3 10 7" xfId="19159"/>
    <cellStyle name="Input 2 27 5" xfId="19160"/>
    <cellStyle name="Input 2 28" xfId="19161"/>
    <cellStyle name="Input 2 33" xfId="19162"/>
    <cellStyle name="Input 2 28 2" xfId="19163"/>
    <cellStyle name="Output 2 3 11 6" xfId="19164"/>
    <cellStyle name="Input 2 28 3" xfId="19165"/>
    <cellStyle name="Output 2 3 11 7" xfId="19166"/>
    <cellStyle name="Input 2 28 4" xfId="19167"/>
    <cellStyle name="Input 2 29" xfId="19168"/>
    <cellStyle name="Input 2 34" xfId="19169"/>
    <cellStyle name="Input 2 29 2" xfId="19170"/>
    <cellStyle name="Input 2 29 3" xfId="19171"/>
    <cellStyle name="Input 2 29 4" xfId="19172"/>
    <cellStyle name="Input 2 3" xfId="19173"/>
    <cellStyle name="Input 2 3 3 2 3" xfId="19174"/>
    <cellStyle name="Input 2 3 10" xfId="19175"/>
    <cellStyle name="Input 2 3 10 2" xfId="19176"/>
    <cellStyle name="Note 2 14 3 2 2 4" xfId="19177"/>
    <cellStyle name="Input 2 3 10 2 2" xfId="19178"/>
    <cellStyle name="Input 2 3 10 2 3" xfId="19179"/>
    <cellStyle name="Input 2 3 10 2 4" xfId="19180"/>
    <cellStyle name="Output 2 2 10 2" xfId="19181"/>
    <cellStyle name="Input 2 3 10 3" xfId="19182"/>
    <cellStyle name="Input 2 3 10 3 2" xfId="19183"/>
    <cellStyle name="Input 2 3 10 3 3" xfId="19184"/>
    <cellStyle name="Input 2 3 10 3 4" xfId="19185"/>
    <cellStyle name="Output 2 2 11 2" xfId="19186"/>
    <cellStyle name="Input 2 3 10 4 2" xfId="19187"/>
    <cellStyle name="Input 2 3 10 4 3" xfId="19188"/>
    <cellStyle name="Input 2 3 10 5 2" xfId="19189"/>
    <cellStyle name="Input 2 3 10 5 3" xfId="19190"/>
    <cellStyle name="Input 2 3 11" xfId="19191"/>
    <cellStyle name="Input 2 3 11 2" xfId="19192"/>
    <cellStyle name="Note 2 14 3 2 3 4" xfId="19193"/>
    <cellStyle name="Input 2 3 11 2 2" xfId="19194"/>
    <cellStyle name="Input 2 3 11 2 3" xfId="19195"/>
    <cellStyle name="Input 2 3 11 2 4" xfId="19196"/>
    <cellStyle name="Input 2 3 11 3" xfId="19197"/>
    <cellStyle name="Input 2 3 11 3 2" xfId="19198"/>
    <cellStyle name="Input 2 3 11 3 3" xfId="19199"/>
    <cellStyle name="Input 2 3 11 3 4" xfId="19200"/>
    <cellStyle name="Input 2 3 11 4 2" xfId="19201"/>
    <cellStyle name="Input 2 3 11 4 3" xfId="19202"/>
    <cellStyle name="Input 2 3 11 5 2" xfId="19203"/>
    <cellStyle name="Input 2 3 11 5 3" xfId="19204"/>
    <cellStyle name="Input 2 3 12" xfId="19205"/>
    <cellStyle name="Input 2 3 12 3 3" xfId="19206"/>
    <cellStyle name="Input 2 3 12 3 4" xfId="19207"/>
    <cellStyle name="Input 2 3 14 2" xfId="19208"/>
    <cellStyle name="Note 2 8 13" xfId="19209"/>
    <cellStyle name="Input 2 3 14 3" xfId="19210"/>
    <cellStyle name="Input 2 5 2 11 2" xfId="19211"/>
    <cellStyle name="Note 2 8 14" xfId="19212"/>
    <cellStyle name="Input 2 3 14 4" xfId="19213"/>
    <cellStyle name="Input 2 5 2 11 3" xfId="19214"/>
    <cellStyle name="Note 2 8 15" xfId="19215"/>
    <cellStyle name="Note 2 8 20" xfId="19216"/>
    <cellStyle name="Input 2 3 14 5" xfId="19217"/>
    <cellStyle name="Input 2 5 2 11 4" xfId="19218"/>
    <cellStyle name="Note 2 8 16" xfId="19219"/>
    <cellStyle name="Output 2 2 3 7 2 2" xfId="19220"/>
    <cellStyle name="Input 2 3 15" xfId="19221"/>
    <cellStyle name="Input 2 3 20" xfId="19222"/>
    <cellStyle name="Input 2 3 15 2" xfId="19223"/>
    <cellStyle name="Input 2 3 15 3" xfId="19224"/>
    <cellStyle name="Input 2 5 2 12 2" xfId="19225"/>
    <cellStyle name="Input 2 3 15 4" xfId="19226"/>
    <cellStyle name="Input 2 5 2 12 3" xfId="19227"/>
    <cellStyle name="Input 2 3 16" xfId="19228"/>
    <cellStyle name="Input 2 3 21" xfId="19229"/>
    <cellStyle name="Input 2 3 16 2" xfId="19230"/>
    <cellStyle name="Output 2 13 3 2 6" xfId="19231"/>
    <cellStyle name="Input 2 3 16 3" xfId="19232"/>
    <cellStyle name="Input 2 5 2 13 2" xfId="19233"/>
    <cellStyle name="Output 2 13 3 2 7" xfId="19234"/>
    <cellStyle name="Input 2 3 16 4" xfId="19235"/>
    <cellStyle name="Input 2 5 2 13 3" xfId="19236"/>
    <cellStyle name="Input 2 3 17 2" xfId="19237"/>
    <cellStyle name="Output 2 13 3 3 6" xfId="19238"/>
    <cellStyle name="Output 2 6 2 8" xfId="19239"/>
    <cellStyle name="Output 2 7 3 2 4" xfId="19240"/>
    <cellStyle name="Input 2 3 18 2" xfId="19241"/>
    <cellStyle name="Output 2 13 3 4 6" xfId="19242"/>
    <cellStyle name="Output 2 6 3 8" xfId="19243"/>
    <cellStyle name="Output 2 7 3 3 4" xfId="19244"/>
    <cellStyle name="Input 2 3 19" xfId="19245"/>
    <cellStyle name="Input 2 3 24" xfId="19246"/>
    <cellStyle name="Note 2 5 3 6 3 2" xfId="19247"/>
    <cellStyle name="Total 2 16 4 3 3" xfId="19248"/>
    <cellStyle name="Output 2 12 12 4 2" xfId="19249"/>
    <cellStyle name="Input 2 3 19 2" xfId="19250"/>
    <cellStyle name="Note 2 9 13" xfId="19251"/>
    <cellStyle name="Output 2 13 3 5 6" xfId="19252"/>
    <cellStyle name="Output 2 7 3 4 4" xfId="19253"/>
    <cellStyle name="Input 2 3 2 10 2 2" xfId="19254"/>
    <cellStyle name="Output 2 12 2 9 4 3" xfId="19255"/>
    <cellStyle name="Output 2 6 2 8 2 3" xfId="19256"/>
    <cellStyle name="Input 2 3 2 10 2 3" xfId="19257"/>
    <cellStyle name="Output 2 6 2 8 2 4" xfId="19258"/>
    <cellStyle name="Input 2 3 2 10 2 4" xfId="19259"/>
    <cellStyle name="Note 2 3 2 10 2 2" xfId="19260"/>
    <cellStyle name="Note 2 7 3 2 2 3" xfId="19261"/>
    <cellStyle name="Input 2 3 2 10 3 2" xfId="19262"/>
    <cellStyle name="Output 2 12 2 9 5 3" xfId="19263"/>
    <cellStyle name="Output 2 6 2 8 3 3" xfId="19264"/>
    <cellStyle name="Input 2 3 2 10 3 3" xfId="19265"/>
    <cellStyle name="Note 2 7 3 2 2 4" xfId="19266"/>
    <cellStyle name="Output 2 6 2 8 3 4" xfId="19267"/>
    <cellStyle name="Input 2 3 2 10 3 4" xfId="19268"/>
    <cellStyle name="Note 2 3 2 10 3 2" xfId="19269"/>
    <cellStyle name="Input 2 3 2 10 4 2" xfId="19270"/>
    <cellStyle name="Note 2 7 3 2 3 3" xfId="19271"/>
    <cellStyle name="Output 2 6 2 8 4 3" xfId="19272"/>
    <cellStyle name="Input 2 3 2 10 4 3" xfId="19273"/>
    <cellStyle name="Note 2 7 3 2 3 4" xfId="19274"/>
    <cellStyle name="Input 2 3 2 10 5" xfId="19275"/>
    <cellStyle name="Input 2 3 2 10 5 2" xfId="19276"/>
    <cellStyle name="Note 2 7 3 2 4 3" xfId="19277"/>
    <cellStyle name="Output 2 6 2 8 5 3" xfId="19278"/>
    <cellStyle name="Input 2 3 2 10 5 3" xfId="19279"/>
    <cellStyle name="Input 2 3 2 10 6" xfId="19280"/>
    <cellStyle name="Input 2 3 2 10 7" xfId="19281"/>
    <cellStyle name="Input 2 3 2 10 8" xfId="19282"/>
    <cellStyle name="Input 2 3 2 11 2" xfId="19283"/>
    <cellStyle name="Input 2 3 2 11 3" xfId="19284"/>
    <cellStyle name="Input 2 3 2 11 4" xfId="19285"/>
    <cellStyle name="Input 2 3 2 11 5" xfId="19286"/>
    <cellStyle name="Input 2 3 2 12 2" xfId="19287"/>
    <cellStyle name="Output 2 5 3 10 2 2" xfId="19288"/>
    <cellStyle name="Input 2 3 2 12 3" xfId="19289"/>
    <cellStyle name="Output 2 5 3 10 2 3" xfId="19290"/>
    <cellStyle name="Input 2 3 2 13" xfId="19291"/>
    <cellStyle name="Output 2 5 3 10 3" xfId="19292"/>
    <cellStyle name="Input 2 3 2 13 2" xfId="19293"/>
    <cellStyle name="Output 2 5 3 10 3 2" xfId="19294"/>
    <cellStyle name="Input 2 3 2 13 3" xfId="19295"/>
    <cellStyle name="Output 2 5 3 10 3 3" xfId="19296"/>
    <cellStyle name="Input 2 3 2 14" xfId="19297"/>
    <cellStyle name="Output 2 5 3 10 4" xfId="19298"/>
    <cellStyle name="Input 2 3 2 14 2" xfId="19299"/>
    <cellStyle name="Output 2 5 3 10 4 2" xfId="19300"/>
    <cellStyle name="Input 2 3 2 14 3" xfId="19301"/>
    <cellStyle name="Output 2 5 3 10 4 3" xfId="19302"/>
    <cellStyle name="Input 2 3 2 15" xfId="19303"/>
    <cellStyle name="Input 2 3 2 20" xfId="19304"/>
    <cellStyle name="Output 2 5 3 10 5" xfId="19305"/>
    <cellStyle name="Input 2 3 2 15 2" xfId="19306"/>
    <cellStyle name="Output 2 5 3 10 5 2" xfId="19307"/>
    <cellStyle name="Note 2 26 2" xfId="19308"/>
    <cellStyle name="Note 2 31 2" xfId="19309"/>
    <cellStyle name="Input 2 3 2 16" xfId="19310"/>
    <cellStyle name="Input 2 3 2 21" xfId="19311"/>
    <cellStyle name="Output 2 5 3 10 6" xfId="19312"/>
    <cellStyle name="Input 2 3 2 16 2" xfId="19313"/>
    <cellStyle name="Note 2 26 3" xfId="19314"/>
    <cellStyle name="Note 2 6 11 5 2" xfId="19315"/>
    <cellStyle name="Input 2 3 2 17" xfId="19316"/>
    <cellStyle name="Input 2 3 2 22" xfId="19317"/>
    <cellStyle name="Output 2 5 3 10 7" xfId="19318"/>
    <cellStyle name="Input 2 3 2 17 2" xfId="19319"/>
    <cellStyle name="Input 2 3 2 18" xfId="19320"/>
    <cellStyle name="Input 2 3 2 23" xfId="19321"/>
    <cellStyle name="Note 2 26 4" xfId="19322"/>
    <cellStyle name="Note 2 6 11 5 3" xfId="19323"/>
    <cellStyle name="Input 2 3 2 19" xfId="19324"/>
    <cellStyle name="Input 2 3 2 24" xfId="19325"/>
    <cellStyle name="Note 2 26 5" xfId="19326"/>
    <cellStyle name="Input 2 3 2 2 5" xfId="19327"/>
    <cellStyle name="Input 2 3 2 2 6" xfId="19328"/>
    <cellStyle name="Output 2 2 7 5 2" xfId="19329"/>
    <cellStyle name="Input 2 3 2 2 7" xfId="19330"/>
    <cellStyle name="Output 2 2 7 5 3" xfId="19331"/>
    <cellStyle name="Input 2 3 2 2 8" xfId="19332"/>
    <cellStyle name="Input 2 3 2 28" xfId="19333"/>
    <cellStyle name="Input 2 3 2 29" xfId="19334"/>
    <cellStyle name="Input 2 3 2 3 2 2" xfId="19335"/>
    <cellStyle name="Input 2 3 2 3 2 3" xfId="19336"/>
    <cellStyle name="Input 2 3 2 3 2 4" xfId="19337"/>
    <cellStyle name="Input 2 3 2 3 3 4" xfId="19338"/>
    <cellStyle name="Input 2 3 2 3 4 2" xfId="19339"/>
    <cellStyle name="Input 2 3 2 3 4 3" xfId="19340"/>
    <cellStyle name="Total 2 7 3 10 2 4" xfId="19341"/>
    <cellStyle name="Input 2 3 2 3 5" xfId="19342"/>
    <cellStyle name="Input 2 3 2 3 5 2" xfId="19343"/>
    <cellStyle name="Input 2 3 2 3 5 3" xfId="19344"/>
    <cellStyle name="Input 2 3 2 3 6" xfId="19345"/>
    <cellStyle name="Output 2 2 7 6 2" xfId="19346"/>
    <cellStyle name="Input 2 3 2 3 7" xfId="19347"/>
    <cellStyle name="Input 2 3 2 3 8" xfId="19348"/>
    <cellStyle name="Input 2 3 2 4 2 2" xfId="19349"/>
    <cellStyle name="Input 2 3 2 4 2 3" xfId="19350"/>
    <cellStyle name="Input 2 3 2 4 2 4" xfId="19351"/>
    <cellStyle name="Input 2 3 2 4 3 2" xfId="19352"/>
    <cellStyle name="Input 2 3 2 4 3 3" xfId="19353"/>
    <cellStyle name="Input 2 3 2 4 3 4" xfId="19354"/>
    <cellStyle name="Total 2 7 3 10 3 3" xfId="19355"/>
    <cellStyle name="Input 2 3 2 4 4" xfId="19356"/>
    <cellStyle name="Note 2 12 2 3 3 4" xfId="19357"/>
    <cellStyle name="Input 2 3 2 4 4 2" xfId="19358"/>
    <cellStyle name="Input 2 3 2 4 4 3" xfId="19359"/>
    <cellStyle name="Total 2 7 3 10 3 4" xfId="19360"/>
    <cellStyle name="Input 2 3 2 4 5" xfId="19361"/>
    <cellStyle name="Input 2 3 2 4 5 2" xfId="19362"/>
    <cellStyle name="Input 2 3 2 4 5 3" xfId="19363"/>
    <cellStyle name="Input 2 3 2 4 6" xfId="19364"/>
    <cellStyle name="Input 2 3 2 4 7" xfId="19365"/>
    <cellStyle name="Input 2 3 2 4 8" xfId="19366"/>
    <cellStyle name="Input 2 3 2 5 2 2" xfId="19367"/>
    <cellStyle name="Input 2 3 2 5 2 3" xfId="19368"/>
    <cellStyle name="Input 2 3 2 5 2 4" xfId="19369"/>
    <cellStyle name="Input 2 3 2 5 3 2" xfId="19370"/>
    <cellStyle name="Input 2 3 2 5 3 3" xfId="19371"/>
    <cellStyle name="Input 2 3 2 5 3 4" xfId="19372"/>
    <cellStyle name="Total 2 7 3 10 4 3" xfId="19373"/>
    <cellStyle name="Input 2 3 2 5 4" xfId="19374"/>
    <cellStyle name="Input 2 3 2 5 4 2" xfId="19375"/>
    <cellStyle name="Input 2 3 2 5 4 3" xfId="19376"/>
    <cellStyle name="Input 2 3 2 5 5" xfId="19377"/>
    <cellStyle name="Input 2 3 2 5 5 2" xfId="19378"/>
    <cellStyle name="Input 2 3 2 5 5 3" xfId="19379"/>
    <cellStyle name="Input 2 3 2 5 6" xfId="19380"/>
    <cellStyle name="Input 2 3 2 5 7" xfId="19381"/>
    <cellStyle name="Note 2 3 8 2 2" xfId="19382"/>
    <cellStyle name="Input 2 3 2 5 8" xfId="19383"/>
    <cellStyle name="Note 2 3 8 2 3" xfId="19384"/>
    <cellStyle name="Input 2 3 2 6 2" xfId="19385"/>
    <cellStyle name="Note 2 12 2 3 5 2" xfId="19386"/>
    <cellStyle name="Input 2 3 2 6 2 2" xfId="19387"/>
    <cellStyle name="Output 2 16 13 3" xfId="19388"/>
    <cellStyle name="Input 2 3 2 6 2 3" xfId="19389"/>
    <cellStyle name="Input 2 3 2 6 2 4" xfId="19390"/>
    <cellStyle name="Total 2 7 3 10 5 2" xfId="19391"/>
    <cellStyle name="Input 2 3 2 6 3" xfId="19392"/>
    <cellStyle name="Note 2 12 2 3 5 3" xfId="19393"/>
    <cellStyle name="Input 2 3 2 6 3 3" xfId="19394"/>
    <cellStyle name="Input 2 3 2 6 3 4" xfId="19395"/>
    <cellStyle name="Output 2 14 3 10 2 2" xfId="19396"/>
    <cellStyle name="Total 2 7 3 10 5 3" xfId="19397"/>
    <cellStyle name="Input 2 3 2 6 4" xfId="19398"/>
    <cellStyle name="Input 2 3 2 6 4 3" xfId="19399"/>
    <cellStyle name="Input 2 3 2 6 5" xfId="19400"/>
    <cellStyle name="Input 2 3 2 6 5 3" xfId="19401"/>
    <cellStyle name="Input 2 3 2 6 6" xfId="19402"/>
    <cellStyle name="Input 2 3 2 6 7" xfId="19403"/>
    <cellStyle name="Note 2 3 8 3 2" xfId="19404"/>
    <cellStyle name="Input 2 3 2 6 8" xfId="19405"/>
    <cellStyle name="Note 2 3 8 3 3" xfId="19406"/>
    <cellStyle name="Input 2 3 2 7 2" xfId="19407"/>
    <cellStyle name="Input 2 3 2 7 2 2" xfId="19408"/>
    <cellStyle name="Input 2 3 2 7 2 3" xfId="19409"/>
    <cellStyle name="Input 2 3 2 7 2 4" xfId="19410"/>
    <cellStyle name="Input 2 3 2 7 3" xfId="19411"/>
    <cellStyle name="Input 2 3 2 7 3 3" xfId="19412"/>
    <cellStyle name="Input 2 3 2 7 3 4" xfId="19413"/>
    <cellStyle name="Input 2 3 2 7 4" xfId="19414"/>
    <cellStyle name="Input 2 3 2 7 4 3" xfId="19415"/>
    <cellStyle name="Input 2 3 2 7 5" xfId="19416"/>
    <cellStyle name="Input 2 3 2 7 5 3" xfId="19417"/>
    <cellStyle name="Input 2 3 2 7 6" xfId="19418"/>
    <cellStyle name="Input 2 3 2 7 7" xfId="19419"/>
    <cellStyle name="Note 2 3 8 4 2" xfId="19420"/>
    <cellStyle name="Input 2 3 2 7 8" xfId="19421"/>
    <cellStyle name="Note 2 3 8 4 3" xfId="19422"/>
    <cellStyle name="Input 2 3 2 8 2" xfId="19423"/>
    <cellStyle name="Input 2 3 2 8 2 2" xfId="19424"/>
    <cellStyle name="Input 2 3 2 8 2 3" xfId="19425"/>
    <cellStyle name="Input 2 3 2 8 2 4" xfId="19426"/>
    <cellStyle name="Input 2 3 2 8 3" xfId="19427"/>
    <cellStyle name="Input 2 3 2 8 3 2" xfId="19428"/>
    <cellStyle name="Input 2 3 2 8 3 3" xfId="19429"/>
    <cellStyle name="Input 2 3 2 8 3 4" xfId="19430"/>
    <cellStyle name="Input 2 3 2 8 4" xfId="19431"/>
    <cellStyle name="Input 2 3 2 8 4 2" xfId="19432"/>
    <cellStyle name="Input 2 3 2 8 4 3" xfId="19433"/>
    <cellStyle name="Input 2 3 2 8 5" xfId="19434"/>
    <cellStyle name="Input 2 3 2 8 6" xfId="19435"/>
    <cellStyle name="Input 2 3 2 8 7" xfId="19436"/>
    <cellStyle name="Note 2 3 8 5 2" xfId="19437"/>
    <cellStyle name="Input 2 3 2 8 8" xfId="19438"/>
    <cellStyle name="Note 2 3 8 5 3" xfId="19439"/>
    <cellStyle name="Input 2 3 2 9 2" xfId="19440"/>
    <cellStyle name="Input 2 3 2 9 2 2" xfId="19441"/>
    <cellStyle name="Input 2 3 2 9 2 3" xfId="19442"/>
    <cellStyle name="Input 2 3 2 9 2 4" xfId="19443"/>
    <cellStyle name="Input 2 3 2 9 3" xfId="19444"/>
    <cellStyle name="Input 2 3 2 9 3 3" xfId="19445"/>
    <cellStyle name="Input 2 3 2 9 3 4" xfId="19446"/>
    <cellStyle name="Input 2 3 2 9 4" xfId="19447"/>
    <cellStyle name="Input 2 3 2 9 4 2" xfId="19448"/>
    <cellStyle name="Input 2 3 2 9 4 3" xfId="19449"/>
    <cellStyle name="Input 2 3 2 9 5" xfId="19450"/>
    <cellStyle name="Input 2 3 2 9 5 2" xfId="19451"/>
    <cellStyle name="Input 2 3 2 9 5 3" xfId="19452"/>
    <cellStyle name="Input 2 3 2 9 6" xfId="19453"/>
    <cellStyle name="Input 2 3 2 9 7" xfId="19454"/>
    <cellStyle name="Input 2 3 2 9 8" xfId="19455"/>
    <cellStyle name="Input 2 3 25" xfId="19456"/>
    <cellStyle name="Input 2 3 30" xfId="19457"/>
    <cellStyle name="Note 2 5 3 6 3 3" xfId="19458"/>
    <cellStyle name="Total 2 16 4 3 4" xfId="19459"/>
    <cellStyle name="Output 2 12 12 4 3" xfId="19460"/>
    <cellStyle name="Input 2 3 26" xfId="19461"/>
    <cellStyle name="Input 2 3 31" xfId="19462"/>
    <cellStyle name="Note 2 5 3 6 3 4" xfId="19463"/>
    <cellStyle name="Input 2 3 27" xfId="19464"/>
    <cellStyle name="Input 2 3 32" xfId="19465"/>
    <cellStyle name="Input 2 3 28" xfId="19466"/>
    <cellStyle name="Input 2 3 29" xfId="19467"/>
    <cellStyle name="Input 2 3 3 10 2 2" xfId="19468"/>
    <cellStyle name="Input 2 3 3 10 4" xfId="19469"/>
    <cellStyle name="Input 2 3 3 10 4 2" xfId="19470"/>
    <cellStyle name="Input 2 3 3 10 4 3" xfId="19471"/>
    <cellStyle name="Note 2 11 4 4 2" xfId="19472"/>
    <cellStyle name="Input 2 3 3 10 5" xfId="19473"/>
    <cellStyle name="Input 2 3 3 10 5 2" xfId="19474"/>
    <cellStyle name="Input 2 3 3 10 5 3" xfId="19475"/>
    <cellStyle name="Note 2 11 4 5 2" xfId="19476"/>
    <cellStyle name="Input 2 3 3 10 6" xfId="19477"/>
    <cellStyle name="Input 2 3 3 10 7" xfId="19478"/>
    <cellStyle name="Input 2 3 3 11 2" xfId="19479"/>
    <cellStyle name="Output 2 4 2 5 2 4" xfId="19480"/>
    <cellStyle name="Input 2 3 3 11 3" xfId="19481"/>
    <cellStyle name="Input 2 3 3 11 4" xfId="19482"/>
    <cellStyle name="Input 2 3 3 12 2" xfId="19483"/>
    <cellStyle name="Output 2 4 2 5 3 4" xfId="19484"/>
    <cellStyle name="Input 2 3 3 12 3" xfId="19485"/>
    <cellStyle name="Input 2 3 3 13" xfId="19486"/>
    <cellStyle name="Input 2 3 3 13 2" xfId="19487"/>
    <cellStyle name="Input 2 3 3 13 3" xfId="19488"/>
    <cellStyle name="Input 2 3 3 14" xfId="19489"/>
    <cellStyle name="Input 2 3 3 14 2" xfId="19490"/>
    <cellStyle name="Input 2 3 3 14 3" xfId="19491"/>
    <cellStyle name="Input 2 3 3 15" xfId="19492"/>
    <cellStyle name="Input 2 3 3 16" xfId="19493"/>
    <cellStyle name="Input 2 3 3 17" xfId="19494"/>
    <cellStyle name="Input 2 3 3 18" xfId="19495"/>
    <cellStyle name="Input 2 3 3 2 3 4" xfId="19496"/>
    <cellStyle name="Input 2 3 4" xfId="19497"/>
    <cellStyle name="Input 2 3 3 2 4" xfId="19498"/>
    <cellStyle name="Input 2 4" xfId="19499"/>
    <cellStyle name="Input 2 3 3 2 4 3" xfId="19500"/>
    <cellStyle name="Input 2 4 3" xfId="19501"/>
    <cellStyle name="Input 2 3 3 2 5" xfId="19502"/>
    <cellStyle name="Input 2 5" xfId="19503"/>
    <cellStyle name="Input 2 3 3 2 5 3" xfId="19504"/>
    <cellStyle name="Input 2 5 3" xfId="19505"/>
    <cellStyle name="Input 2 3 3 2 6" xfId="19506"/>
    <cellStyle name="Input 2 6" xfId="19507"/>
    <cellStyle name="Output 2 2 8 5 2" xfId="19508"/>
    <cellStyle name="Input 2 3 3 2 7" xfId="19509"/>
    <cellStyle name="Input 2 7" xfId="19510"/>
    <cellStyle name="Output 2 2 8 5 3" xfId="19511"/>
    <cellStyle name="Input 2 3 3 3 2 4" xfId="19512"/>
    <cellStyle name="Output 2 10 2 12" xfId="19513"/>
    <cellStyle name="Input 2 3 3 3 3" xfId="19514"/>
    <cellStyle name="Input 3 3" xfId="19515"/>
    <cellStyle name="Note 2 12 2 4 2 3" xfId="19516"/>
    <cellStyle name="Note 2 2 6 2 2 2 2 2" xfId="19517"/>
    <cellStyle name="Input 2 3 3 3 3 4" xfId="19518"/>
    <cellStyle name="Input 2 3 3 3 4" xfId="19519"/>
    <cellStyle name="Input 3 4" xfId="19520"/>
    <cellStyle name="Note 2 12 2 4 2 4" xfId="19521"/>
    <cellStyle name="Note 2 2 6 2 2 2 2 3" xfId="19522"/>
    <cellStyle name="Input 2 3 3 3 4 3" xfId="19523"/>
    <cellStyle name="Input 2 3 3 3 5" xfId="19524"/>
    <cellStyle name="Input 2 3 3 3 6" xfId="19525"/>
    <cellStyle name="Output 2 2 8 6 2" xfId="19526"/>
    <cellStyle name="Input 2 3 3 3 7" xfId="19527"/>
    <cellStyle name="Total 2 13 5 3 2" xfId="19528"/>
    <cellStyle name="Input 2 3 3 4" xfId="19529"/>
    <cellStyle name="Input 4" xfId="19530"/>
    <cellStyle name="Note 2 12 2 4 3" xfId="19531"/>
    <cellStyle name="Input 2 3 3 4 3" xfId="19532"/>
    <cellStyle name="Input 4 3" xfId="19533"/>
    <cellStyle name="Note 2 12 2 4 3 3" xfId="19534"/>
    <cellStyle name="Input 2 3 3 4 3 4" xfId="19535"/>
    <cellStyle name="Input 2 3 3 4 4" xfId="19536"/>
    <cellStyle name="Input 4 4" xfId="19537"/>
    <cellStyle name="Note 2 12 2 4 3 4" xfId="19538"/>
    <cellStyle name="Input 2 3 3 4 4 3" xfId="19539"/>
    <cellStyle name="Input 2 3 3 4 5" xfId="19540"/>
    <cellStyle name="Input 2 3 3 4 5 3" xfId="19541"/>
    <cellStyle name="Input 2 6 2 10 5" xfId="19542"/>
    <cellStyle name="Input 2 3 3 4 6" xfId="19543"/>
    <cellStyle name="Input 2 3 3 4 7" xfId="19544"/>
    <cellStyle name="Total 2 13 5 3 3" xfId="19545"/>
    <cellStyle name="Input 2 3 3 5" xfId="19546"/>
    <cellStyle name="Input 5" xfId="19547"/>
    <cellStyle name="Note 2 12 2 4 4" xfId="19548"/>
    <cellStyle name="Input 2 3 3 5 2" xfId="19549"/>
    <cellStyle name="Input 5 2" xfId="19550"/>
    <cellStyle name="Note 2 12 2 4 4 2" xfId="19551"/>
    <cellStyle name="Input 2 3 3 5 2 2" xfId="19552"/>
    <cellStyle name="Input 2 3 3 5 3" xfId="19553"/>
    <cellStyle name="Input 5 3" xfId="19554"/>
    <cellStyle name="Note 2 12 2 4 4 3" xfId="19555"/>
    <cellStyle name="Input 2 3 3 5 3 2" xfId="19556"/>
    <cellStyle name="Input 2 3 3 5 3 3" xfId="19557"/>
    <cellStyle name="Input 2 3 3 5 3 4" xfId="19558"/>
    <cellStyle name="Input 2 3 3 5 4" xfId="19559"/>
    <cellStyle name="Input 5 4" xfId="19560"/>
    <cellStyle name="Input 2 3 3 5 4 2" xfId="19561"/>
    <cellStyle name="Input 2 3 3 5 5" xfId="19562"/>
    <cellStyle name="Input 2 3 3 5 5 2" xfId="19563"/>
    <cellStyle name="Input 2 3 3 5 5 3" xfId="19564"/>
    <cellStyle name="Input 2 3 3 5 6" xfId="19565"/>
    <cellStyle name="Input 2 3 3 5 7" xfId="19566"/>
    <cellStyle name="Note 2 3 9 2 2" xfId="19567"/>
    <cellStyle name="Total 2 13 5 3 4" xfId="19568"/>
    <cellStyle name="Input 2 3 3 6" xfId="19569"/>
    <cellStyle name="Input 6" xfId="19570"/>
    <cellStyle name="Note 2 12 2 4 5" xfId="19571"/>
    <cellStyle name="Input 2 3 3 6 2" xfId="19572"/>
    <cellStyle name="Input 6 2" xfId="19573"/>
    <cellStyle name="Note 2 12 2 4 5 2" xfId="19574"/>
    <cellStyle name="Input 2 3 3 6 2 2" xfId="19575"/>
    <cellStyle name="Input 2 3 3 6 3" xfId="19576"/>
    <cellStyle name="Input 6 3" xfId="19577"/>
    <cellStyle name="Note 2 12 2 4 5 3" xfId="19578"/>
    <cellStyle name="Input 2 3 3 6 3 3" xfId="19579"/>
    <cellStyle name="Input 2 3 3 6 3 4" xfId="19580"/>
    <cellStyle name="Input 2 3 3 6 4" xfId="19581"/>
    <cellStyle name="Input 6 4" xfId="19582"/>
    <cellStyle name="Input 2 3 3 6 4 3" xfId="19583"/>
    <cellStyle name="Input 2 3 3 6 5" xfId="19584"/>
    <cellStyle name="Input 2 3 3 6 5 3" xfId="19585"/>
    <cellStyle name="Input 2 3 3 6 6" xfId="19586"/>
    <cellStyle name="Input 2 3 3 6 7" xfId="19587"/>
    <cellStyle name="Note 2 3 9 3 2" xfId="19588"/>
    <cellStyle name="Input 2 3 3 7" xfId="19589"/>
    <cellStyle name="Input 7" xfId="19590"/>
    <cellStyle name="Note 2 12 2 4 6" xfId="19591"/>
    <cellStyle name="Output 2 8 2 13 2" xfId="19592"/>
    <cellStyle name="Input 2 3 3 7 2" xfId="19593"/>
    <cellStyle name="Input 2 3 3 7 2 2" xfId="19594"/>
    <cellStyle name="Input 2 3 3 7 2 3" xfId="19595"/>
    <cellStyle name="Input 2 3 3 7 2 4" xfId="19596"/>
    <cellStyle name="Input 2 3 3 7 3" xfId="19597"/>
    <cellStyle name="Input 2 3 3 7 3 3" xfId="19598"/>
    <cellStyle name="Input 2 3 3 7 3 4" xfId="19599"/>
    <cellStyle name="Note 2 5 2 10 2" xfId="19600"/>
    <cellStyle name="Input 2 3 3 7 4" xfId="19601"/>
    <cellStyle name="Input 2 3 3 7 4 3" xfId="19602"/>
    <cellStyle name="Input 2 3 3 7 5" xfId="19603"/>
    <cellStyle name="Input 2 3 3 7 5 3" xfId="19604"/>
    <cellStyle name="Output 2 3 10" xfId="19605"/>
    <cellStyle name="Input 2 3 3 7 6" xfId="19606"/>
    <cellStyle name="Input 2 3 3 7 7" xfId="19607"/>
    <cellStyle name="Note 2 3 9 4 2" xfId="19608"/>
    <cellStyle name="Input 2 3 3 8" xfId="19609"/>
    <cellStyle name="Note 2 12 2 4 7" xfId="19610"/>
    <cellStyle name="Output 2 8 2 13 3" xfId="19611"/>
    <cellStyle name="Input 2 3 3 8 2" xfId="19612"/>
    <cellStyle name="Input 2 3 3 8 2 2" xfId="19613"/>
    <cellStyle name="Output 2 11 2 10" xfId="19614"/>
    <cellStyle name="Input 2 3 3 8 2 3" xfId="19615"/>
    <cellStyle name="Output 2 11 2 11" xfId="19616"/>
    <cellStyle name="Input 2 3 3 8 2 4" xfId="19617"/>
    <cellStyle name="Output 2 11 2 12" xfId="19618"/>
    <cellStyle name="Input 2 3 3 8 3" xfId="19619"/>
    <cellStyle name="Input 2 3 3 8 4" xfId="19620"/>
    <cellStyle name="Input 2 3 3 8 4 2" xfId="19621"/>
    <cellStyle name="Input 2 3 3 8 4 3" xfId="19622"/>
    <cellStyle name="Input 2 3 3 8 5" xfId="19623"/>
    <cellStyle name="Input 2 3 3 8 5 2" xfId="19624"/>
    <cellStyle name="Input 2 3 3 8 5 3" xfId="19625"/>
    <cellStyle name="Output 2 8 10" xfId="19626"/>
    <cellStyle name="Input 2 3 3 8 6" xfId="19627"/>
    <cellStyle name="Input 2 3 3 8 7" xfId="19628"/>
    <cellStyle name="Note 2 3 9 5 2" xfId="19629"/>
    <cellStyle name="Input 2 3 3 9" xfId="19630"/>
    <cellStyle name="Input 2 3 3 9 2" xfId="19631"/>
    <cellStyle name="Input 2 3 3 9 2 2" xfId="19632"/>
    <cellStyle name="Input 2 3 3 9 2 3" xfId="19633"/>
    <cellStyle name="Output 2 3 15 2" xfId="19634"/>
    <cellStyle name="Input 2 3 3 9 2 4" xfId="19635"/>
    <cellStyle name="Output 2 3 15 3" xfId="19636"/>
    <cellStyle name="Input 2 3 3 9 3" xfId="19637"/>
    <cellStyle name="Input 2 3 3 9 3 2" xfId="19638"/>
    <cellStyle name="Input 2 3 3 9 3 3" xfId="19639"/>
    <cellStyle name="Output 2 3 16 2" xfId="19640"/>
    <cellStyle name="Input 2 3 3 9 3 4" xfId="19641"/>
    <cellStyle name="Input 2 3 3 9 4" xfId="19642"/>
    <cellStyle name="Input 2 3 3 9 4 2" xfId="19643"/>
    <cellStyle name="Input 2 3 3 9 4 3" xfId="19644"/>
    <cellStyle name="Input 2 3 3 9 5" xfId="19645"/>
    <cellStyle name="Input 2 3 3 9 5 2" xfId="19646"/>
    <cellStyle name="Input 2 6 3 10 4" xfId="19647"/>
    <cellStyle name="Input 2 3 3 9 5 3" xfId="19648"/>
    <cellStyle name="Input 2 6 3 10 5" xfId="19649"/>
    <cellStyle name="Input 2 3 3 9 6" xfId="19650"/>
    <cellStyle name="Input 2 3 3 9 7" xfId="19651"/>
    <cellStyle name="Input 2 3 4 2 2" xfId="19652"/>
    <cellStyle name="Normal 2 19" xfId="19653"/>
    <cellStyle name="Normal 2 24" xfId="19654"/>
    <cellStyle name="Input 2 3 4 2 2 2" xfId="19655"/>
    <cellStyle name="Input 2 3 4 2 2 2 2" xfId="19656"/>
    <cellStyle name="Note 2 10 2 8 3 3" xfId="19657"/>
    <cellStyle name="Input 2 3 4 2 2 2 2 2" xfId="19658"/>
    <cellStyle name="Input 2 3 4 2 2 2 2 2 2" xfId="19659"/>
    <cellStyle name="Note 2 13 2 2 5" xfId="19660"/>
    <cellStyle name="Input 2 3 4 2 2 2 2 2 2 2" xfId="19661"/>
    <cellStyle name="Note 2 13 2 2 5 2" xfId="19662"/>
    <cellStyle name="Output 2 2 2 5 7" xfId="19663"/>
    <cellStyle name="Input 2 3 4 2 2 2 2 3" xfId="19664"/>
    <cellStyle name="Input 2 5 3 5 3 2" xfId="19665"/>
    <cellStyle name="Input 2 3 4 2 2 2 3" xfId="19666"/>
    <cellStyle name="Note 2 10 2 8 3 4" xfId="19667"/>
    <cellStyle name="Input 2 3 4 2 3" xfId="19668"/>
    <cellStyle name="Normal 2 25" xfId="19669"/>
    <cellStyle name="Normal 2 30" xfId="19670"/>
    <cellStyle name="Input 2 3 4 2 3 2" xfId="19671"/>
    <cellStyle name="Input 2 3 4 2 3 2 2" xfId="19672"/>
    <cellStyle name="Note 2 10 2 9 3 3" xfId="19673"/>
    <cellStyle name="Input 2 3 4 2 4" xfId="19674"/>
    <cellStyle name="Normal 2 26" xfId="19675"/>
    <cellStyle name="Normal 2 31" xfId="19676"/>
    <cellStyle name="Input 2 3 4 3 2 2" xfId="19677"/>
    <cellStyle name="Input 2 3 4 3 3" xfId="19678"/>
    <cellStyle name="Note 2 12 2 5 2 3" xfId="19679"/>
    <cellStyle name="Input 2 3 4 3 4" xfId="19680"/>
    <cellStyle name="Note 2 12 2 5 2 4" xfId="19681"/>
    <cellStyle name="Total 2 13 5 4 2" xfId="19682"/>
    <cellStyle name="Input 2 3 4 4" xfId="19683"/>
    <cellStyle name="Note 2 12 2 5 3" xfId="19684"/>
    <cellStyle name="Output 2 9 8 2 3" xfId="19685"/>
    <cellStyle name="Input 2 3 4 4 3" xfId="19686"/>
    <cellStyle name="Note 2 12 2 5 3 3" xfId="19687"/>
    <cellStyle name="Total 2 13 5 4 3" xfId="19688"/>
    <cellStyle name="Input 2 3 4 5" xfId="19689"/>
    <cellStyle name="Note 2 12 2 5 4" xfId="19690"/>
    <cellStyle name="Output 2 9 8 2 4" xfId="19691"/>
    <cellStyle name="Input 2 3 4 5 2" xfId="19692"/>
    <cellStyle name="Note 2 12 2 5 4 2" xfId="19693"/>
    <cellStyle name="Input 2 3 4 5 3" xfId="19694"/>
    <cellStyle name="Note 2 12 2 5 4 3" xfId="19695"/>
    <cellStyle name="Input 2 3 4 6" xfId="19696"/>
    <cellStyle name="Note 2 12 2 5 5" xfId="19697"/>
    <cellStyle name="Input 2 3 4 6 2" xfId="19698"/>
    <cellStyle name="Note 2 12 2 5 5 2" xfId="19699"/>
    <cellStyle name="Input 2 3 4 6 2 2" xfId="19700"/>
    <cellStyle name="Input 2 3 5 2 2" xfId="19701"/>
    <cellStyle name="Input 2 3 5 2 3" xfId="19702"/>
    <cellStyle name="Input 2 3 5 2 4" xfId="19703"/>
    <cellStyle name="Input 2 3 5 3 3" xfId="19704"/>
    <cellStyle name="Note 2 12 2 6 2 3" xfId="19705"/>
    <cellStyle name="Input 2 3 5 3 4" xfId="19706"/>
    <cellStyle name="Note 2 12 2 6 2 4" xfId="19707"/>
    <cellStyle name="Total 2 13 5 5 2" xfId="19708"/>
    <cellStyle name="Input 2 3 5 4" xfId="19709"/>
    <cellStyle name="Note 2 12 2 6 3" xfId="19710"/>
    <cellStyle name="Output 2 9 8 3 3" xfId="19711"/>
    <cellStyle name="Input 2 3 5 4 3" xfId="19712"/>
    <cellStyle name="Note 2 12 2 6 3 3" xfId="19713"/>
    <cellStyle name="Total 2 13 5 5 3" xfId="19714"/>
    <cellStyle name="Input 2 3 5 5" xfId="19715"/>
    <cellStyle name="Note 2 12 2 6 4" xfId="19716"/>
    <cellStyle name="Output 2 9 8 3 4" xfId="19717"/>
    <cellStyle name="Input 2 3 5 5 2" xfId="19718"/>
    <cellStyle name="Note 2 12 2 6 4 2" xfId="19719"/>
    <cellStyle name="Input 2 3 5 5 3" xfId="19720"/>
    <cellStyle name="Note 2 12 2 6 4 3" xfId="19721"/>
    <cellStyle name="Input 2 3 5 6" xfId="19722"/>
    <cellStyle name="Note 2 12 2 6 5" xfId="19723"/>
    <cellStyle name="Input 2 3 5 6 2" xfId="19724"/>
    <cellStyle name="Note 2 12 2 6 5 2" xfId="19725"/>
    <cellStyle name="Input 2 3 5 6 2 2" xfId="19726"/>
    <cellStyle name="Input 2 3 6 2 2" xfId="19727"/>
    <cellStyle name="Input 2 3 6 2 3" xfId="19728"/>
    <cellStyle name="Input 2 3 6 2 4" xfId="19729"/>
    <cellStyle name="Input 2 3 6 3 3" xfId="19730"/>
    <cellStyle name="Note 2 12 2 7 2 3" xfId="19731"/>
    <cellStyle name="Input 2 3 6 3 4" xfId="19732"/>
    <cellStyle name="Note 2 12 2 7 2 4" xfId="19733"/>
    <cellStyle name="Input 2 3 6 4" xfId="19734"/>
    <cellStyle name="Note 2 12 2 7 3" xfId="19735"/>
    <cellStyle name="Output 2 9 8 4 3" xfId="19736"/>
    <cellStyle name="Input 2 3 6 4 3" xfId="19737"/>
    <cellStyle name="Note 2 12 2 7 3 3" xfId="19738"/>
    <cellStyle name="Input 2 3 6 5" xfId="19739"/>
    <cellStyle name="Note 2 12 2 7 4" xfId="19740"/>
    <cellStyle name="Input 2 3 6 5 2" xfId="19741"/>
    <cellStyle name="Note 2 12 2 7 4 2" xfId="19742"/>
    <cellStyle name="Input 2 3 6 5 3" xfId="19743"/>
    <cellStyle name="Note 2 12 2 7 4 3" xfId="19744"/>
    <cellStyle name="Input 2 3 6 6 2" xfId="19745"/>
    <cellStyle name="Note 2 12 2 7 5 2" xfId="19746"/>
    <cellStyle name="Input 2 3 7 6 2" xfId="19747"/>
    <cellStyle name="Note 2 12 2 8 5 2" xfId="19748"/>
    <cellStyle name="Input 2 3 7 6 2 2" xfId="19749"/>
    <cellStyle name="Input 2 3 8" xfId="19750"/>
    <cellStyle name="Note 2 6 3 4 2 2" xfId="19751"/>
    <cellStyle name="Input 2 3 8 2 2" xfId="19752"/>
    <cellStyle name="Input 2 3 8 2 3" xfId="19753"/>
    <cellStyle name="Input 2 3 8 2 4" xfId="19754"/>
    <cellStyle name="Normal 2 3 10" xfId="19755"/>
    <cellStyle name="Input 2 3 8 3 3" xfId="19756"/>
    <cellStyle name="Note 2 12 2 9 2 3" xfId="19757"/>
    <cellStyle name="Input 2 3 8 3 4" xfId="19758"/>
    <cellStyle name="Normal 30" xfId="19759"/>
    <cellStyle name="Note 2 12 2 9 2 4" xfId="19760"/>
    <cellStyle name="Input 2 3 8 4" xfId="19761"/>
    <cellStyle name="Note 2 12 2 9 3" xfId="19762"/>
    <cellStyle name="Input 2 3 8 5" xfId="19763"/>
    <cellStyle name="Note 2 12 2 9 4" xfId="19764"/>
    <cellStyle name="Input 2 3 8 5 2" xfId="19765"/>
    <cellStyle name="Note 2 12 2 9 4 2" xfId="19766"/>
    <cellStyle name="Input 2 3 8 5 3" xfId="19767"/>
    <cellStyle name="Note 2 12 2 9 4 3" xfId="19768"/>
    <cellStyle name="Input 2 3 8 6" xfId="19769"/>
    <cellStyle name="Note 2 12 2 9 5" xfId="19770"/>
    <cellStyle name="Input 2 3 8 6 2" xfId="19771"/>
    <cellStyle name="Note 2 12 2 9 5 2" xfId="19772"/>
    <cellStyle name="Input 2 3 8 6 2 2" xfId="19773"/>
    <cellStyle name="Input 2 3 8 8" xfId="19774"/>
    <cellStyle name="Note 2 12 2 9 7" xfId="19775"/>
    <cellStyle name="Input 2 3 9 3 2" xfId="19776"/>
    <cellStyle name="Input 2 4 2 10 2 4" xfId="19777"/>
    <cellStyle name="Note 2 4 2 10 2 2" xfId="19778"/>
    <cellStyle name="Input 2 3 9 3 3" xfId="19779"/>
    <cellStyle name="Note 2 4 2 10 2 3" xfId="19780"/>
    <cellStyle name="Input 2 3 9 3 4" xfId="19781"/>
    <cellStyle name="Note 2 4 2 10 2 4" xfId="19782"/>
    <cellStyle name="Input 2 3 9 4 2" xfId="19783"/>
    <cellStyle name="Input 2 4 2 10 3 4" xfId="19784"/>
    <cellStyle name="Note 2 4 2 10 3 2" xfId="19785"/>
    <cellStyle name="Input 2 3 9 4 3" xfId="19786"/>
    <cellStyle name="Note 2 4 2 10 3 3" xfId="19787"/>
    <cellStyle name="Input 2 3 9 5 2" xfId="19788"/>
    <cellStyle name="Note 2 4 2 10 4 2" xfId="19789"/>
    <cellStyle name="Input 2 3 9 5 3" xfId="19790"/>
    <cellStyle name="Note 2 4 2 10 4 3" xfId="19791"/>
    <cellStyle name="Input 2 4 10 2 2" xfId="19792"/>
    <cellStyle name="Input 2 4 10 2 3" xfId="19793"/>
    <cellStyle name="Input 2 4 10 2 4" xfId="19794"/>
    <cellStyle name="Input 2 4 10 3 2" xfId="19795"/>
    <cellStyle name="Input 2 4 10 3 4" xfId="19796"/>
    <cellStyle name="Input 2 4 10 4 2" xfId="19797"/>
    <cellStyle name="Input 2 4 10 5 2" xfId="19798"/>
    <cellStyle name="Input 2 4 10 6" xfId="19799"/>
    <cellStyle name="Input 2 5 8 2" xfId="19800"/>
    <cellStyle name="Input 2 4 11 2 2" xfId="19801"/>
    <cellStyle name="Input 2 4 11 2 3" xfId="19802"/>
    <cellStyle name="Input 2 4 11 2 4" xfId="19803"/>
    <cellStyle name="Input 2 4 11 3 2" xfId="19804"/>
    <cellStyle name="Input 2 4 11 3 3" xfId="19805"/>
    <cellStyle name="Input 2 4 11 3 4" xfId="19806"/>
    <cellStyle name="Input 2 4 11 4 2" xfId="19807"/>
    <cellStyle name="Input 2 4 11 4 3" xfId="19808"/>
    <cellStyle name="Input 2 4 11 5 2" xfId="19809"/>
    <cellStyle name="Input 2 4 11 5 3" xfId="19810"/>
    <cellStyle name="Input 2 4 12 2 2" xfId="19811"/>
    <cellStyle name="Input 2 4 12 2 3" xfId="19812"/>
    <cellStyle name="Input 2 4 12 2 4" xfId="19813"/>
    <cellStyle name="Input 2 4 12 3 2" xfId="19814"/>
    <cellStyle name="Input 2 4 12 3 3" xfId="19815"/>
    <cellStyle name="Input 2 4 12 3 4" xfId="19816"/>
    <cellStyle name="Input 2 4 12 4 2" xfId="19817"/>
    <cellStyle name="Input 2 4 12 4 3" xfId="19818"/>
    <cellStyle name="Input 2 4 12 5" xfId="19819"/>
    <cellStyle name="Input 2 4 12 5 2" xfId="19820"/>
    <cellStyle name="Input 2 4 12 5 3" xfId="19821"/>
    <cellStyle name="Input 2 4 12 6" xfId="19822"/>
    <cellStyle name="Input 2 4 13 5" xfId="19823"/>
    <cellStyle name="Input 2 5 3 10 4" xfId="19824"/>
    <cellStyle name="Input 2 4 14 2" xfId="19825"/>
    <cellStyle name="Note 2 10 2 2 4" xfId="19826"/>
    <cellStyle name="Input 2 5 3 11 2" xfId="19827"/>
    <cellStyle name="Input 2 4 14 3" xfId="19828"/>
    <cellStyle name="Note 2 10 2 2 5" xfId="19829"/>
    <cellStyle name="Input 2 5 3 11 3" xfId="19830"/>
    <cellStyle name="Input 2 4 14 4" xfId="19831"/>
    <cellStyle name="Note 2 10 2 2 6" xfId="19832"/>
    <cellStyle name="Input 2 5 3 11 4" xfId="19833"/>
    <cellStyle name="Input 2 4 14 5" xfId="19834"/>
    <cellStyle name="Note 2 10 2 2 7" xfId="19835"/>
    <cellStyle name="Input 2 4 15 2" xfId="19836"/>
    <cellStyle name="Note 2 10 2 3 4" xfId="19837"/>
    <cellStyle name="Input 2 5 3 12 2" xfId="19838"/>
    <cellStyle name="Input 2 4 15 3" xfId="19839"/>
    <cellStyle name="Note 2 10 2 3 5" xfId="19840"/>
    <cellStyle name="Input 2 5 3 12 3" xfId="19841"/>
    <cellStyle name="Input 2 4 15 4" xfId="19842"/>
    <cellStyle name="Note 2 10 2 3 6" xfId="19843"/>
    <cellStyle name="Output 2 11 13 4" xfId="19844"/>
    <cellStyle name="Input 2 4 16" xfId="19845"/>
    <cellStyle name="Input 2 4 21" xfId="19846"/>
    <cellStyle name="Output 2 9 3 8 2 4" xfId="19847"/>
    <cellStyle name="Input 2 4 16 2" xfId="19848"/>
    <cellStyle name="Note 2 10 2 4 4" xfId="19849"/>
    <cellStyle name="Input 2 5 3 13 2" xfId="19850"/>
    <cellStyle name="Input 2 4 16 3" xfId="19851"/>
    <cellStyle name="Note 2 10 2 4 5" xfId="19852"/>
    <cellStyle name="Input 2 5 3 13 3" xfId="19853"/>
    <cellStyle name="Input 2 4 16 4" xfId="19854"/>
    <cellStyle name="Note 2 10 2 4 6" xfId="19855"/>
    <cellStyle name="Input 2 4 17" xfId="19856"/>
    <cellStyle name="Input 2 4 22" xfId="19857"/>
    <cellStyle name="Input 2 4 17 2" xfId="19858"/>
    <cellStyle name="Note 2 10 2 5 4" xfId="19859"/>
    <cellStyle name="Output 2 7 8 2 4" xfId="19860"/>
    <cellStyle name="Input 2 4 18" xfId="19861"/>
    <cellStyle name="Input 2 4 23" xfId="19862"/>
    <cellStyle name="Input 2 4 18 2" xfId="19863"/>
    <cellStyle name="Note 2 10 2 6 4" xfId="19864"/>
    <cellStyle name="Output 2 7 8 3 4" xfId="19865"/>
    <cellStyle name="Input 2 4 19" xfId="19866"/>
    <cellStyle name="Input 2 4 24" xfId="19867"/>
    <cellStyle name="Input 2 4 19 2" xfId="19868"/>
    <cellStyle name="Note 2 10 2 7 4" xfId="19869"/>
    <cellStyle name="Input 2 4 2 10" xfId="19870"/>
    <cellStyle name="Input 2 4 2 10 2" xfId="19871"/>
    <cellStyle name="Input 2 4 2 10 2 2" xfId="19872"/>
    <cellStyle name="Input 2 4 2 10 2 3" xfId="19873"/>
    <cellStyle name="Input 2 4 2 10 3 2" xfId="19874"/>
    <cellStyle name="Input 2 4 2 10 3 3" xfId="19875"/>
    <cellStyle name="Input 2 4 2 10 4 2" xfId="19876"/>
    <cellStyle name="Input 2 4 2 10 4 3" xfId="19877"/>
    <cellStyle name="Input 2 4 2 10 5" xfId="19878"/>
    <cellStyle name="Input 2 4 2 10 5 2" xfId="19879"/>
    <cellStyle name="Input 2 4 2 10 5 3" xfId="19880"/>
    <cellStyle name="Input 2 4 2 10 6" xfId="19881"/>
    <cellStyle name="Input 2 4 2 10 7" xfId="19882"/>
    <cellStyle name="Note 2 5 6 3 2" xfId="19883"/>
    <cellStyle name="Input 2 4 2 11 4" xfId="19884"/>
    <cellStyle name="Input 2 4 2 12 2" xfId="19885"/>
    <cellStyle name="Input 2 4 2 12 3" xfId="19886"/>
    <cellStyle name="Input 2 4 2 13" xfId="19887"/>
    <cellStyle name="Input 2 4 2 13 2" xfId="19888"/>
    <cellStyle name="Input 2 4 2 13 3" xfId="19889"/>
    <cellStyle name="Input 2 4 2 2 2" xfId="19890"/>
    <cellStyle name="Input 2 4 2 2 2 2" xfId="19891"/>
    <cellStyle name="Input 2 4 2 2 2 3" xfId="19892"/>
    <cellStyle name="Input 2 4 2 2 2 4" xfId="19893"/>
    <cellStyle name="Input 2 4 2 2 3" xfId="19894"/>
    <cellStyle name="Input 2 4 2 2 3 2" xfId="19895"/>
    <cellStyle name="Input 2 4 2 2 3 3" xfId="19896"/>
    <cellStyle name="Input 2 4 2 2 3 4" xfId="19897"/>
    <cellStyle name="Input 2 4 2 2 4" xfId="19898"/>
    <cellStyle name="Input 2 4 2 2 4 2" xfId="19899"/>
    <cellStyle name="Input 2 4 2 2 4 3" xfId="19900"/>
    <cellStyle name="Input 2 4 2 2 5" xfId="19901"/>
    <cellStyle name="Input 2 4 2 2 5 2" xfId="19902"/>
    <cellStyle name="Input 2 4 2 2 5 3" xfId="19903"/>
    <cellStyle name="Input 2 4 2 2 6" xfId="19904"/>
    <cellStyle name="Output 2 3 7 5 2" xfId="19905"/>
    <cellStyle name="Input 2 4 2 2 7" xfId="19906"/>
    <cellStyle name="Output 2 3 7 5 3" xfId="19907"/>
    <cellStyle name="Input 2 4 2 3 2 2" xfId="19908"/>
    <cellStyle name="Input 2 4 2 3 2 3" xfId="19909"/>
    <cellStyle name="Input 2 4 2 3 2 4" xfId="19910"/>
    <cellStyle name="Input 2 4 2 3 3" xfId="19911"/>
    <cellStyle name="Note 2 12 3 3 2 3" xfId="19912"/>
    <cellStyle name="Input 2 4 2 3 3 2" xfId="19913"/>
    <cellStyle name="Input 2 4 2 3 3 3" xfId="19914"/>
    <cellStyle name="Input 2 4 2 3 3 4" xfId="19915"/>
    <cellStyle name="Input 2 4 2 3 4" xfId="19916"/>
    <cellStyle name="Note 2 12 3 3 2 4" xfId="19917"/>
    <cellStyle name="Input 2 4 2 3 4 2" xfId="19918"/>
    <cellStyle name="Input 2 4 2 3 4 3" xfId="19919"/>
    <cellStyle name="Input 2 4 2 3 5" xfId="19920"/>
    <cellStyle name="Input 2 4 2 3 5 2" xfId="19921"/>
    <cellStyle name="Input 2 4 2 3 5 3" xfId="19922"/>
    <cellStyle name="Input 2 4 2 3 6" xfId="19923"/>
    <cellStyle name="Input 2 4 2 3 7" xfId="19924"/>
    <cellStyle name="Total 2 13 6 2 2" xfId="19925"/>
    <cellStyle name="Input 2 4 2 4" xfId="19926"/>
    <cellStyle name="Note 2 12 3 3 3" xfId="19927"/>
    <cellStyle name="Input 2 4 2 4 2 2" xfId="19928"/>
    <cellStyle name="Input 2 4 2 4 2 3" xfId="19929"/>
    <cellStyle name="Input 2 4 2 4 2 4" xfId="19930"/>
    <cellStyle name="Input 2 4 2 4 3" xfId="19931"/>
    <cellStyle name="Note 2 12 3 3 3 3" xfId="19932"/>
    <cellStyle name="Input 2 4 2 4 3 2" xfId="19933"/>
    <cellStyle name="Input 2 4 2 4 3 3" xfId="19934"/>
    <cellStyle name="Input 2 4 2 4 3 4" xfId="19935"/>
    <cellStyle name="Input 2 4 2 4 4" xfId="19936"/>
    <cellStyle name="Note 2 12 3 3 3 4" xfId="19937"/>
    <cellStyle name="Input 2 4 2 4 4 2" xfId="19938"/>
    <cellStyle name="Input 2 4 2 4 4 3" xfId="19939"/>
    <cellStyle name="Input 2 4 2 4 5" xfId="19940"/>
    <cellStyle name="Input 2 4 2 4 5 2" xfId="19941"/>
    <cellStyle name="Input 2 4 2 4 5 3" xfId="19942"/>
    <cellStyle name="Input 2 4 2 4 6" xfId="19943"/>
    <cellStyle name="Input 2 4 2 4 7" xfId="19944"/>
    <cellStyle name="Total 2 13 6 2 3" xfId="19945"/>
    <cellStyle name="Input 2 4 2 5" xfId="19946"/>
    <cellStyle name="Note 2 12 3 3 4" xfId="19947"/>
    <cellStyle name="Input 2 4 2 5 2" xfId="19948"/>
    <cellStyle name="Note 2 12 3 3 4 2" xfId="19949"/>
    <cellStyle name="Input 2 4 2 5 2 2" xfId="19950"/>
    <cellStyle name="Input 2 4 2 5 2 3" xfId="19951"/>
    <cellStyle name="Input 2 4 2 5 2 4" xfId="19952"/>
    <cellStyle name="Input 2 4 2 5 3" xfId="19953"/>
    <cellStyle name="Note 2 12 3 3 4 3" xfId="19954"/>
    <cellStyle name="Input 2 4 2 5 3 2" xfId="19955"/>
    <cellStyle name="Input 2 4 2 5 3 3" xfId="19956"/>
    <cellStyle name="Input 2 4 2 5 3 4" xfId="19957"/>
    <cellStyle name="Input 2 4 2 5 4" xfId="19958"/>
    <cellStyle name="Input 2 4 2 5 4 2" xfId="19959"/>
    <cellStyle name="Input 2 4 2 5 4 3" xfId="19960"/>
    <cellStyle name="Input 2 4 2 5 5" xfId="19961"/>
    <cellStyle name="Input 2 4 2 5 5 2" xfId="19962"/>
    <cellStyle name="Input 2 4 2 5 6" xfId="19963"/>
    <cellStyle name="Input 2 4 2 5 7" xfId="19964"/>
    <cellStyle name="Note 2 4 8 2 2" xfId="19965"/>
    <cellStyle name="Output 2 5 17 2 2" xfId="19966"/>
    <cellStyle name="Total 2 13 6 2 4" xfId="19967"/>
    <cellStyle name="Input 2 4 2 6" xfId="19968"/>
    <cellStyle name="Note 2 12 3 3 5" xfId="19969"/>
    <cellStyle name="Input 2 4 2 6 2" xfId="19970"/>
    <cellStyle name="Note 2 12 3 3 5 2" xfId="19971"/>
    <cellStyle name="Input 2 4 2 6 2 2" xfId="19972"/>
    <cellStyle name="Input 2 4 2 6 2 3" xfId="19973"/>
    <cellStyle name="Input 2 4 2 6 2 4" xfId="19974"/>
    <cellStyle name="Input 2 4 2 6 4" xfId="19975"/>
    <cellStyle name="Input 2 4 2 6 4 3" xfId="19976"/>
    <cellStyle name="Input 2 4 2 6 5" xfId="19977"/>
    <cellStyle name="Input 2 4 2 6 5 3" xfId="19978"/>
    <cellStyle name="Input 2 4 2 6 6" xfId="19979"/>
    <cellStyle name="Input 2 4 2 6 7" xfId="19980"/>
    <cellStyle name="Note 2 4 8 3 2" xfId="19981"/>
    <cellStyle name="Input 2 4 2 7" xfId="19982"/>
    <cellStyle name="Note 2 12 3 3 6" xfId="19983"/>
    <cellStyle name="Input 2 4 2 7 2" xfId="19984"/>
    <cellStyle name="Input 2 4 2 7 2 2" xfId="19985"/>
    <cellStyle name="Input 2 4 2 7 2 3" xfId="19986"/>
    <cellStyle name="Input 2 4 2 7 2 4" xfId="19987"/>
    <cellStyle name="Input 2 4 2 7 3" xfId="19988"/>
    <cellStyle name="Input 2 4 2 7 4" xfId="19989"/>
    <cellStyle name="Input 2 4 2 7 4 2" xfId="19990"/>
    <cellStyle name="Input 2 4 2 7 4 3" xfId="19991"/>
    <cellStyle name="Input 2 4 2 7 5" xfId="19992"/>
    <cellStyle name="Input 2 4 2 7 5 2" xfId="19993"/>
    <cellStyle name="Note 2 2 5 12" xfId="19994"/>
    <cellStyle name="Input 2 4 2 7 5 3" xfId="19995"/>
    <cellStyle name="Note 2 2 5 13" xfId="19996"/>
    <cellStyle name="Input 2 4 2 7 6" xfId="19997"/>
    <cellStyle name="Input 2 4 2 7 7" xfId="19998"/>
    <cellStyle name="Note 2 4 8 4 2" xfId="19999"/>
    <cellStyle name="Input 2 4 2 8" xfId="20000"/>
    <cellStyle name="Note 2 12 12 2" xfId="20001"/>
    <cellStyle name="Note 2 12 3 3 7" xfId="20002"/>
    <cellStyle name="Input 2 4 2 8 2" xfId="20003"/>
    <cellStyle name="Note 2 12 12 2 2" xfId="20004"/>
    <cellStyle name="Input 2 4 2 8 3" xfId="20005"/>
    <cellStyle name="Note 2 12 12 2 3" xfId="20006"/>
    <cellStyle name="Input 2 4 2 8 4" xfId="20007"/>
    <cellStyle name="Note 2 12 12 2 4" xfId="20008"/>
    <cellStyle name="Input 2 4 2 8 5" xfId="20009"/>
    <cellStyle name="Input 2 4 2 8 6" xfId="20010"/>
    <cellStyle name="Input 2 4 2 8 7" xfId="20011"/>
    <cellStyle name="Note 2 4 8 5 2" xfId="20012"/>
    <cellStyle name="Input 2 4 2 9" xfId="20013"/>
    <cellStyle name="Note 2 12 12 3" xfId="20014"/>
    <cellStyle name="Input 2 4 2 9 2" xfId="20015"/>
    <cellStyle name="Note 2 12 12 3 2" xfId="20016"/>
    <cellStyle name="Input 2 4 2 9 2 2" xfId="20017"/>
    <cellStyle name="Input 2 4 2 9 2 3" xfId="20018"/>
    <cellStyle name="Input 2 4 2 9 2 4" xfId="20019"/>
    <cellStyle name="Input 2 4 2 9 3" xfId="20020"/>
    <cellStyle name="Note 2 12 12 3 3" xfId="20021"/>
    <cellStyle name="Input 2 4 2 9 3 3" xfId="20022"/>
    <cellStyle name="Normal 2 2 3 3 2 2" xfId="20023"/>
    <cellStyle name="Input 2 4 2 9 3 4" xfId="20024"/>
    <cellStyle name="Input 2 4 2 9 4" xfId="20025"/>
    <cellStyle name="Note 2 12 12 3 4" xfId="20026"/>
    <cellStyle name="Input 2 4 2 9 4 2" xfId="20027"/>
    <cellStyle name="Input 2 4 2 9 4 3" xfId="20028"/>
    <cellStyle name="Input 2 4 2 9 5" xfId="20029"/>
    <cellStyle name="Input 2 4 2 9 5 2" xfId="20030"/>
    <cellStyle name="Input 2 4 2 9 5 3" xfId="20031"/>
    <cellStyle name="Input 2 4 2 9 6" xfId="20032"/>
    <cellStyle name="Input 2 4 2 9 7" xfId="20033"/>
    <cellStyle name="Input 2 4 25" xfId="20034"/>
    <cellStyle name="Input 2 4 30" xfId="20035"/>
    <cellStyle name="Input 2 4 26" xfId="20036"/>
    <cellStyle name="Input 2 4 27" xfId="20037"/>
    <cellStyle name="Input 2 4 28" xfId="20038"/>
    <cellStyle name="Input 2 4 29" xfId="20039"/>
    <cellStyle name="Input 2 4 3 10" xfId="20040"/>
    <cellStyle name="Input 2 5 5 6" xfId="20041"/>
    <cellStyle name="Input 2 4 3 10 2 2" xfId="20042"/>
    <cellStyle name="Input 2 4 3 10 2 3" xfId="20043"/>
    <cellStyle name="Input 2 4 3 10 2 4" xfId="20044"/>
    <cellStyle name="Input 2 8 9 3 2" xfId="20045"/>
    <cellStyle name="Note 2 4 3 10 2 2" xfId="20046"/>
    <cellStyle name="Input 2 4 3 10 3" xfId="20047"/>
    <cellStyle name="Input 2 4 3 10 3 2" xfId="20048"/>
    <cellStyle name="Input 2 4 3 10 3 3" xfId="20049"/>
    <cellStyle name="Input 2 4 3 10 3 4" xfId="20050"/>
    <cellStyle name="Input 2 8 9 4 2" xfId="20051"/>
    <cellStyle name="Note 2 4 3 10 3 2" xfId="20052"/>
    <cellStyle name="Input 2 4 3 10 4" xfId="20053"/>
    <cellStyle name="Input 2 4 3 10 4 2" xfId="20054"/>
    <cellStyle name="Note 2 25 2 3" xfId="20055"/>
    <cellStyle name="Input 2 4 3 10 4 3" xfId="20056"/>
    <cellStyle name="Note 2 25 2 4" xfId="20057"/>
    <cellStyle name="Input 2 4 3 10 5" xfId="20058"/>
    <cellStyle name="Input 2 4 3 10 5 2" xfId="20059"/>
    <cellStyle name="Note 2 25 3 3" xfId="20060"/>
    <cellStyle name="Input 2 4 3 10 5 3" xfId="20061"/>
    <cellStyle name="Note 2 25 3 4" xfId="20062"/>
    <cellStyle name="Input 2 4 3 10 6" xfId="20063"/>
    <cellStyle name="Note 2 8 2 4 4 2" xfId="20064"/>
    <cellStyle name="Input 2 4 3 10 7" xfId="20065"/>
    <cellStyle name="Note 2 8 2 4 4 3" xfId="20066"/>
    <cellStyle name="Input 2 4 3 11 2" xfId="20067"/>
    <cellStyle name="Input 2 4 3 11 3" xfId="20068"/>
    <cellStyle name="Input 2 4 3 11 4" xfId="20069"/>
    <cellStyle name="Input 2 4 3 12 2" xfId="20070"/>
    <cellStyle name="Input 2 4 3 12 3" xfId="20071"/>
    <cellStyle name="Input 2 4 3 13 2" xfId="20072"/>
    <cellStyle name="Input 2 4 3 13 3" xfId="20073"/>
    <cellStyle name="Input 2 4 3 2 2" xfId="20074"/>
    <cellStyle name="Input 2 4 3 2 2 2" xfId="20075"/>
    <cellStyle name="Input 2 4 3 2 2 3" xfId="20076"/>
    <cellStyle name="Input 2 4 3 2 2 4" xfId="20077"/>
    <cellStyle name="Input 2 4 3 2 3" xfId="20078"/>
    <cellStyle name="Input 2 4 3 2 3 2" xfId="20079"/>
    <cellStyle name="Input 2 4 3 2 3 3" xfId="20080"/>
    <cellStyle name="Input 2 4 3 2 3 4" xfId="20081"/>
    <cellStyle name="Input 2 4 3 2 4" xfId="20082"/>
    <cellStyle name="Input 2 4 3 2 4 2" xfId="20083"/>
    <cellStyle name="Input 2 4 3 2 4 3" xfId="20084"/>
    <cellStyle name="Input 2 4 3 2 5" xfId="20085"/>
    <cellStyle name="Input 2 4 3 2 5 2" xfId="20086"/>
    <cellStyle name="Input 2 4 3 2 5 3" xfId="20087"/>
    <cellStyle name="Input 2 4 3 2 6" xfId="20088"/>
    <cellStyle name="Output 2 3 8 5 2" xfId="20089"/>
    <cellStyle name="Input 2 4 3 2 7" xfId="20090"/>
    <cellStyle name="Output 2 3 8 5 3" xfId="20091"/>
    <cellStyle name="Input 2 4 3 3 2 2" xfId="20092"/>
    <cellStyle name="Input 2 6 10 3" xfId="20093"/>
    <cellStyle name="Input 2 4 3 3 2 3" xfId="20094"/>
    <cellStyle name="Input 2 6 10 4" xfId="20095"/>
    <cellStyle name="Input 2 4 3 3 2 4" xfId="20096"/>
    <cellStyle name="Input 2 6 10 5" xfId="20097"/>
    <cellStyle name="Input 2 4 3 3 3" xfId="20098"/>
    <cellStyle name="Note 2 12 3 4 2 3" xfId="20099"/>
    <cellStyle name="Input 2 4 3 3 3 2" xfId="20100"/>
    <cellStyle name="Input 2 6 11 3" xfId="20101"/>
    <cellStyle name="Input 2 4 3 3 3 3" xfId="20102"/>
    <cellStyle name="Input 2 6 11 4" xfId="20103"/>
    <cellStyle name="Input 2 4 3 3 3 4" xfId="20104"/>
    <cellStyle name="Input 2 6 11 5" xfId="20105"/>
    <cellStyle name="Input 2 4 3 3 4" xfId="20106"/>
    <cellStyle name="Note 2 12 3 4 2 4" xfId="20107"/>
    <cellStyle name="Input 2 4 3 3 4 2" xfId="20108"/>
    <cellStyle name="Input 2 6 12 3" xfId="20109"/>
    <cellStyle name="Input 2 4 3 3 4 3" xfId="20110"/>
    <cellStyle name="Input 2 6 12 4" xfId="20111"/>
    <cellStyle name="Input 2 4 3 3 5" xfId="20112"/>
    <cellStyle name="Input 2 4 3 3 5 2" xfId="20113"/>
    <cellStyle name="Input 2 6 13 3" xfId="20114"/>
    <cellStyle name="Input 2 4 3 3 5 3" xfId="20115"/>
    <cellStyle name="Input 2 6 13 4" xfId="20116"/>
    <cellStyle name="Input 2 4 3 3 6" xfId="20117"/>
    <cellStyle name="Input 2 4 3 3 7" xfId="20118"/>
    <cellStyle name="Total 2 13 6 3 2" xfId="20119"/>
    <cellStyle name="Input 2 4 3 4" xfId="20120"/>
    <cellStyle name="Note 2 12 3 4 3" xfId="20121"/>
    <cellStyle name="Input 2 4 3 4 2 2" xfId="20122"/>
    <cellStyle name="Input 2 4 3 4 2 3" xfId="20123"/>
    <cellStyle name="Input 2 4 3 4 2 4" xfId="20124"/>
    <cellStyle name="Input 2 4 3 4 3" xfId="20125"/>
    <cellStyle name="Note 2 12 3 4 3 3" xfId="20126"/>
    <cellStyle name="Input 2 4 3 4 3 2" xfId="20127"/>
    <cellStyle name="Input 2 4 3 4 3 3" xfId="20128"/>
    <cellStyle name="Input 2 4 3 4 3 4" xfId="20129"/>
    <cellStyle name="Input 2 4 3 4 4" xfId="20130"/>
    <cellStyle name="Note 2 12 3 4 3 4" xfId="20131"/>
    <cellStyle name="Input 2 4 3 4 4 2" xfId="20132"/>
    <cellStyle name="Input 2 4 3 4 4 3" xfId="20133"/>
    <cellStyle name="Input 2 4 3 4 5" xfId="20134"/>
    <cellStyle name="Input 2 4 3 4 5 2" xfId="20135"/>
    <cellStyle name="Input 2 4 3 4 5 3" xfId="20136"/>
    <cellStyle name="Input 2 4 3 4 6" xfId="20137"/>
    <cellStyle name="Input 2 4 3 4 7" xfId="20138"/>
    <cellStyle name="Total 2 13 6 3 3" xfId="20139"/>
    <cellStyle name="Input 2 4 3 5" xfId="20140"/>
    <cellStyle name="Note 2 12 3 4 4" xfId="20141"/>
    <cellStyle name="Input 2 4 3 5 2" xfId="20142"/>
    <cellStyle name="Note 2 12 3 4 4 2" xfId="20143"/>
    <cellStyle name="Input 2 4 3 5 2 2" xfId="20144"/>
    <cellStyle name="Input 2 4 3 5 2 3" xfId="20145"/>
    <cellStyle name="Input 2 4 3 5 2 4" xfId="20146"/>
    <cellStyle name="Input 2 4 3 5 3" xfId="20147"/>
    <cellStyle name="Note 2 12 3 4 4 3" xfId="20148"/>
    <cellStyle name="Input 2 4 3 5 3 2" xfId="20149"/>
    <cellStyle name="Input 2 4 3 5 3 3" xfId="20150"/>
    <cellStyle name="Input 2 4 3 5 3 4" xfId="20151"/>
    <cellStyle name="Input 2 4 3 5 4" xfId="20152"/>
    <cellStyle name="Input 2 4 3 5 4 2" xfId="20153"/>
    <cellStyle name="Input 2 4 3 5 4 3" xfId="20154"/>
    <cellStyle name="Input 2 4 3 5 5" xfId="20155"/>
    <cellStyle name="Input 2 4 3 5 5 2" xfId="20156"/>
    <cellStyle name="Input 2 4 3 5 5 3" xfId="20157"/>
    <cellStyle name="Input 2 4 3 5 6" xfId="20158"/>
    <cellStyle name="Output 2 8 10 2 2" xfId="20159"/>
    <cellStyle name="Input 2 4 3 5 7" xfId="20160"/>
    <cellStyle name="Note 2 4 9 2 2" xfId="20161"/>
    <cellStyle name="Output 2 8 10 2 3" xfId="20162"/>
    <cellStyle name="Total 2 13 6 3 4" xfId="20163"/>
    <cellStyle name="Input 2 4 3 6" xfId="20164"/>
    <cellStyle name="Note 2 12 3 4 5" xfId="20165"/>
    <cellStyle name="Input 2 4 3 6 2" xfId="20166"/>
    <cellStyle name="Note 2 12 3 4 5 2" xfId="20167"/>
    <cellStyle name="Input 2 4 3 6 2 2" xfId="20168"/>
    <cellStyle name="Input 2 4 3 6 2 3" xfId="20169"/>
    <cellStyle name="Input 2 4 3 6 2 4" xfId="20170"/>
    <cellStyle name="Input 2 4 3 6 3" xfId="20171"/>
    <cellStyle name="Note 2 12 3 4 5 3" xfId="20172"/>
    <cellStyle name="Input 2 4 3 6 3 2" xfId="20173"/>
    <cellStyle name="Input 2 4 3 6 3 3" xfId="20174"/>
    <cellStyle name="Input 2 4 3 6 3 4" xfId="20175"/>
    <cellStyle name="Input 2 4 3 6 4" xfId="20176"/>
    <cellStyle name="Input 2 4 3 6 4 2" xfId="20177"/>
    <cellStyle name="Input 2 4 3 6 4 3" xfId="20178"/>
    <cellStyle name="Input 2 4 3 6 5" xfId="20179"/>
    <cellStyle name="Input 2 4 3 6 5 2" xfId="20180"/>
    <cellStyle name="Input 2 4 3 6 5 3" xfId="20181"/>
    <cellStyle name="Input 2 4 3 6 6" xfId="20182"/>
    <cellStyle name="Output 2 8 10 3 2" xfId="20183"/>
    <cellStyle name="Input 2 4 3 6 7" xfId="20184"/>
    <cellStyle name="Note 2 4 9 3 2" xfId="20185"/>
    <cellStyle name="Output 2 8 10 3 3" xfId="20186"/>
    <cellStyle name="Input 2 4 3 7" xfId="20187"/>
    <cellStyle name="Note 2 12 3 4 6" xfId="20188"/>
    <cellStyle name="Input 2 4 3 7 2" xfId="20189"/>
    <cellStyle name="Input 2 4 3 7 2 2" xfId="20190"/>
    <cellStyle name="Input 2 4 3 7 2 3" xfId="20191"/>
    <cellStyle name="Input 2 4 3 7 2 4" xfId="20192"/>
    <cellStyle name="Input 2 4 3 7 3" xfId="20193"/>
    <cellStyle name="Input 2 4 3 7 3 2" xfId="20194"/>
    <cellStyle name="Input 2 4 3 7 3 3" xfId="20195"/>
    <cellStyle name="Input 2 4 3 7 3 4" xfId="20196"/>
    <cellStyle name="Input 2 4 3 7 4" xfId="20197"/>
    <cellStyle name="Input 2 4 3 7 4 2" xfId="20198"/>
    <cellStyle name="Input 2 4 3 7 4 3" xfId="20199"/>
    <cellStyle name="Input 2 4 3 7 5" xfId="20200"/>
    <cellStyle name="Input 2 4 3 7 5 2" xfId="20201"/>
    <cellStyle name="Input 2 4 3 7 5 3" xfId="20202"/>
    <cellStyle name="Input 2 4 3 7 6" xfId="20203"/>
    <cellStyle name="Output 2 8 10 4 2" xfId="20204"/>
    <cellStyle name="Input 2 4 3 7 7" xfId="20205"/>
    <cellStyle name="Note 2 4 9 4 2" xfId="20206"/>
    <cellStyle name="Output 2 8 10 4 3" xfId="20207"/>
    <cellStyle name="Input 2 4 3 8" xfId="20208"/>
    <cellStyle name="Note 2 12 13 2" xfId="20209"/>
    <cellStyle name="Note 2 12 3 4 7" xfId="20210"/>
    <cellStyle name="Input 2 4 3 8 2" xfId="20211"/>
    <cellStyle name="Input 2 4 3 8 2 2" xfId="20212"/>
    <cellStyle name="Input 2 7 10 3" xfId="20213"/>
    <cellStyle name="Input 2 4 3 8 2 3" xfId="20214"/>
    <cellStyle name="Input 2 7 10 4" xfId="20215"/>
    <cellStyle name="Input 2 4 3 8 2 4" xfId="20216"/>
    <cellStyle name="Input 2 7 10 5" xfId="20217"/>
    <cellStyle name="Input 2 4 3 8 3" xfId="20218"/>
    <cellStyle name="Input 2 4 3 8 3 2" xfId="20219"/>
    <cellStyle name="Input 2 7 11 3" xfId="20220"/>
    <cellStyle name="Input 2 4 3 8 3 3" xfId="20221"/>
    <cellStyle name="Input 2 7 11 4" xfId="20222"/>
    <cellStyle name="Input 2 4 3 8 3 4" xfId="20223"/>
    <cellStyle name="Input 2 7 11 5" xfId="20224"/>
    <cellStyle name="Input 2 4 3 8 4" xfId="20225"/>
    <cellStyle name="Input 2 4 3 8 4 2" xfId="20226"/>
    <cellStyle name="Input 2 7 12 3" xfId="20227"/>
    <cellStyle name="Input 2 4 3 8 4 3" xfId="20228"/>
    <cellStyle name="Input 2 7 12 4" xfId="20229"/>
    <cellStyle name="Input 2 4 3 8 5" xfId="20230"/>
    <cellStyle name="Input 2 4 3 8 5 2" xfId="20231"/>
    <cellStyle name="Input 2 7 13 3" xfId="20232"/>
    <cellStyle name="Input 2 4 3 8 5 3" xfId="20233"/>
    <cellStyle name="Input 2 7 13 4" xfId="20234"/>
    <cellStyle name="Input 2 4 3 8 6" xfId="20235"/>
    <cellStyle name="Output 2 8 10 5 2" xfId="20236"/>
    <cellStyle name="Input 2 4 3 8 7" xfId="20237"/>
    <cellStyle name="Note 2 4 9 5 2" xfId="20238"/>
    <cellStyle name="Output 2 8 10 5 3" xfId="20239"/>
    <cellStyle name="Input 2 4 3 9" xfId="20240"/>
    <cellStyle name="Note 2 12 13 3" xfId="20241"/>
    <cellStyle name="Input 2 4 3 9 2" xfId="20242"/>
    <cellStyle name="Input 2 4 3 9 2 2" xfId="20243"/>
    <cellStyle name="Input 2 4 3 9 2 3" xfId="20244"/>
    <cellStyle name="Input 2 4 3 9 2 4" xfId="20245"/>
    <cellStyle name="Input 2 4 3 9 3" xfId="20246"/>
    <cellStyle name="Input 2 4 3 9 3 2" xfId="20247"/>
    <cellStyle name="Input 2 4 3 9 3 3" xfId="20248"/>
    <cellStyle name="Input 2 4 3 9 3 4" xfId="20249"/>
    <cellStyle name="Input 2 4 3 9 4" xfId="20250"/>
    <cellStyle name="Input 2 4 3 9 4 2" xfId="20251"/>
    <cellStyle name="Input 2 4 3 9 4 3" xfId="20252"/>
    <cellStyle name="Input 2 4 3 9 5" xfId="20253"/>
    <cellStyle name="Input 2 4 3 9 5 2" xfId="20254"/>
    <cellStyle name="Input 2 4 3 9 5 3" xfId="20255"/>
    <cellStyle name="Input 2 4 3 9 6" xfId="20256"/>
    <cellStyle name="Input 2 4 3 9 7" xfId="20257"/>
    <cellStyle name="Input 2 4 4" xfId="20258"/>
    <cellStyle name="Input 2 4 4 2 2" xfId="20259"/>
    <cellStyle name="Input 2 4 4 2 3" xfId="20260"/>
    <cellStyle name="Input 2 4 4 2 4" xfId="20261"/>
    <cellStyle name="Input 2 4 4 3 3" xfId="20262"/>
    <cellStyle name="Note 2 12 3 5 2 3" xfId="20263"/>
    <cellStyle name="Input 2 4 4 3 4" xfId="20264"/>
    <cellStyle name="Note 2 12 3 5 2 4" xfId="20265"/>
    <cellStyle name="Total 2 13 6 4 2" xfId="20266"/>
    <cellStyle name="Input 2 4 4 4" xfId="20267"/>
    <cellStyle name="Note 2 12 3 5 3" xfId="20268"/>
    <cellStyle name="Output 2 9 9 2 3" xfId="20269"/>
    <cellStyle name="Input 2 4 4 4 3" xfId="20270"/>
    <cellStyle name="Note 2 12 3 5 3 3" xfId="20271"/>
    <cellStyle name="Total 2 13 6 4 3" xfId="20272"/>
    <cellStyle name="Input 2 4 4 5" xfId="20273"/>
    <cellStyle name="Note 2 12 3 5 4" xfId="20274"/>
    <cellStyle name="Output 2 9 9 2 4" xfId="20275"/>
    <cellStyle name="Input 2 4 4 5 2" xfId="20276"/>
    <cellStyle name="Note 2 12 3 5 4 2" xfId="20277"/>
    <cellStyle name="Input 2 4 4 5 3" xfId="20278"/>
    <cellStyle name="Note 2 12 3 5 4 3" xfId="20279"/>
    <cellStyle name="Input 2 4 4 6" xfId="20280"/>
    <cellStyle name="Note 2 12 3 5 5" xfId="20281"/>
    <cellStyle name="Input 2 4 5 2 2" xfId="20282"/>
    <cellStyle name="Input 2 4 5 2 3" xfId="20283"/>
    <cellStyle name="Input 2 4 5 2 4" xfId="20284"/>
    <cellStyle name="Total 2 13 6 5 2" xfId="20285"/>
    <cellStyle name="Input 2 4 5 4" xfId="20286"/>
    <cellStyle name="Note 2 12 3 6 3" xfId="20287"/>
    <cellStyle name="Output 2 9 9 3 3" xfId="20288"/>
    <cellStyle name="Total 2 13 6 5 3" xfId="20289"/>
    <cellStyle name="Input 2 4 5 5" xfId="20290"/>
    <cellStyle name="Note 2 12 3 6 4" xfId="20291"/>
    <cellStyle name="Output 2 9 9 3 4" xfId="20292"/>
    <cellStyle name="Input 2 4 5 5 2" xfId="20293"/>
    <cellStyle name="Note 2 12 3 6 4 2" xfId="20294"/>
    <cellStyle name="Input 2 4 5 6" xfId="20295"/>
    <cellStyle name="Note 2 12 3 6 5" xfId="20296"/>
    <cellStyle name="Input 2 4 6 2 2" xfId="20297"/>
    <cellStyle name="Input 2 4 6 2 3" xfId="20298"/>
    <cellStyle name="Input 2 4 6 2 4" xfId="20299"/>
    <cellStyle name="Input 2 4 6 3 3" xfId="20300"/>
    <cellStyle name="Note 2 12 3 7 2 3" xfId="20301"/>
    <cellStyle name="Input 2 4 6 3 4" xfId="20302"/>
    <cellStyle name="Note 2 12 3 7 2 4" xfId="20303"/>
    <cellStyle name="Input 2 4 6 4" xfId="20304"/>
    <cellStyle name="Note 2 12 3 7 3" xfId="20305"/>
    <cellStyle name="Output 2 9 9 4 3" xfId="20306"/>
    <cellStyle name="Input 2 4 6 4 3" xfId="20307"/>
    <cellStyle name="Note 2 12 3 7 3 3" xfId="20308"/>
    <cellStyle name="Input 2 4 6 5" xfId="20309"/>
    <cellStyle name="Note 2 12 3 7 4" xfId="20310"/>
    <cellStyle name="Input 2 4 6 5 2" xfId="20311"/>
    <cellStyle name="Note 2 12 3 7 4 2" xfId="20312"/>
    <cellStyle name="Input 2 4 6 5 3" xfId="20313"/>
    <cellStyle name="Note 2 12 3 7 4 3" xfId="20314"/>
    <cellStyle name="Input 2 4 6 6" xfId="20315"/>
    <cellStyle name="Note 2 12 3 7 5" xfId="20316"/>
    <cellStyle name="Input 2 4 7 2 2" xfId="20317"/>
    <cellStyle name="Input 2 4 7 2 3" xfId="20318"/>
    <cellStyle name="Input 2 4 7 2 4" xfId="20319"/>
    <cellStyle name="Input 2 4 7 4" xfId="20320"/>
    <cellStyle name="Note 2 12 3 8 3" xfId="20321"/>
    <cellStyle name="Output 2 9 9 5 3" xfId="20322"/>
    <cellStyle name="Input 2 4 7 4 3" xfId="20323"/>
    <cellStyle name="Note 2 12 3 8 3 3" xfId="20324"/>
    <cellStyle name="Input 2 4 7 5" xfId="20325"/>
    <cellStyle name="Note 2 12 3 8 4" xfId="20326"/>
    <cellStyle name="Input 2 4 7 5 2" xfId="20327"/>
    <cellStyle name="Note 2 12 3 8 4 2" xfId="20328"/>
    <cellStyle name="Input 2 4 7 5 3" xfId="20329"/>
    <cellStyle name="Note 2 12 3 8 4 3" xfId="20330"/>
    <cellStyle name="Input 2 4 7 6" xfId="20331"/>
    <cellStyle name="Note 2 12 3 8 5" xfId="20332"/>
    <cellStyle name="Input 2 4 8" xfId="20333"/>
    <cellStyle name="Note 2 6 3 4 3 2" xfId="20334"/>
    <cellStyle name="Input 2 4 8 2" xfId="20335"/>
    <cellStyle name="Input 2 4 8 2 2" xfId="20336"/>
    <cellStyle name="Input 2 4 8 3" xfId="20337"/>
    <cellStyle name="Note 2 12 3 9 2" xfId="20338"/>
    <cellStyle name="Input 2 4 8 3 3" xfId="20339"/>
    <cellStyle name="Note 2 12 3 9 2 3" xfId="20340"/>
    <cellStyle name="Input 2 4 8 4" xfId="20341"/>
    <cellStyle name="Note 2 12 3 9 3" xfId="20342"/>
    <cellStyle name="Input 2 4 8 4 3" xfId="20343"/>
    <cellStyle name="Note 2 12 3 9 3 3" xfId="20344"/>
    <cellStyle name="Input 2 4 8 5" xfId="20345"/>
    <cellStyle name="Note 2 12 3 9 4" xfId="20346"/>
    <cellStyle name="Input 2 4 8 5 2" xfId="20347"/>
    <cellStyle name="Note 2 12 3 9 4 2" xfId="20348"/>
    <cellStyle name="Input 2 4 8 5 3" xfId="20349"/>
    <cellStyle name="Note 2 12 3 9 4 3" xfId="20350"/>
    <cellStyle name="Input 2 4 8 6" xfId="20351"/>
    <cellStyle name="Note 2 12 3 9 5" xfId="20352"/>
    <cellStyle name="Input 2 4 8 7" xfId="20353"/>
    <cellStyle name="Note 2 12 3 9 6" xfId="20354"/>
    <cellStyle name="Input 2 4 8 8" xfId="20355"/>
    <cellStyle name="Note 2 12 3 9 7" xfId="20356"/>
    <cellStyle name="Input 2 4 9 3 2" xfId="20357"/>
    <cellStyle name="Input 2 4 9 3 3" xfId="20358"/>
    <cellStyle name="Input 2 4 9 5 2" xfId="20359"/>
    <cellStyle name="Input 2 4 9 5 3" xfId="20360"/>
    <cellStyle name="Input 2 5 11 6" xfId="20361"/>
    <cellStyle name="Input 2 5 12 2 3" xfId="20362"/>
    <cellStyle name="Note 2 9 3 8 3 4" xfId="20363"/>
    <cellStyle name="Input 2 5 12 2 4" xfId="20364"/>
    <cellStyle name="Note 2 2 6 2 2" xfId="20365"/>
    <cellStyle name="Input 2 5 12 3 2" xfId="20366"/>
    <cellStyle name="Note 2 9 3 8 4 3" xfId="20367"/>
    <cellStyle name="Input 2 5 12 3 3" xfId="20368"/>
    <cellStyle name="Input 2 5 12 3 4" xfId="20369"/>
    <cellStyle name="Note 2 2 6 3 2" xfId="20370"/>
    <cellStyle name="Input 2 5 12 4 2" xfId="20371"/>
    <cellStyle name="Note 2 9 3 8 5 3" xfId="20372"/>
    <cellStyle name="Input 2 5 12 4 3" xfId="20373"/>
    <cellStyle name="Input 2 5 12 5" xfId="20374"/>
    <cellStyle name="Input 2 5 12 5 2" xfId="20375"/>
    <cellStyle name="Input 2 5 12 5 3" xfId="20376"/>
    <cellStyle name="Input 2 5 12 6" xfId="20377"/>
    <cellStyle name="Input 2 5 13 5" xfId="20378"/>
    <cellStyle name="Output 2 14 10 2 3" xfId="20379"/>
    <cellStyle name="Input 2 5 14 2" xfId="20380"/>
    <cellStyle name="Note 2 10 7 2 4" xfId="20381"/>
    <cellStyle name="Output 2 5 2 2 2 4" xfId="20382"/>
    <cellStyle name="Input 2 5 14 3" xfId="20383"/>
    <cellStyle name="Output 2 14 10 2 4" xfId="20384"/>
    <cellStyle name="Input 2 5 14 4" xfId="20385"/>
    <cellStyle name="Input 2 5 14 5" xfId="20386"/>
    <cellStyle name="Output 2 14 10 3 3" xfId="20387"/>
    <cellStyle name="Input 2 5 15 2" xfId="20388"/>
    <cellStyle name="Note 2 10 7 3 4" xfId="20389"/>
    <cellStyle name="Output 2 5 2 2 3 4" xfId="20390"/>
    <cellStyle name="Input 2 5 15 3" xfId="20391"/>
    <cellStyle name="Output 2 14 10 3 4" xfId="20392"/>
    <cellStyle name="Input 2 5 15 4" xfId="20393"/>
    <cellStyle name="Input 2 5 16" xfId="20394"/>
    <cellStyle name="Input 2 5 21" xfId="20395"/>
    <cellStyle name="Input 2 5 16 2" xfId="20396"/>
    <cellStyle name="Output 2 14 10 4 3" xfId="20397"/>
    <cellStyle name="Input 2 5 16 3" xfId="20398"/>
    <cellStyle name="Input 2 5 16 4" xfId="20399"/>
    <cellStyle name="Input 2 5 17" xfId="20400"/>
    <cellStyle name="Input 2 5 22" xfId="20401"/>
    <cellStyle name="Input 2 5 17 2" xfId="20402"/>
    <cellStyle name="Output 2 14 10 5 3" xfId="20403"/>
    <cellStyle name="Input 2 5 18" xfId="20404"/>
    <cellStyle name="Input 2 5 23" xfId="20405"/>
    <cellStyle name="Input 2 5 18 2" xfId="20406"/>
    <cellStyle name="Input 2 5 19" xfId="20407"/>
    <cellStyle name="Input 2 5 24" xfId="20408"/>
    <cellStyle name="Input 2 9 2 6 4 2" xfId="20409"/>
    <cellStyle name="Input 2 5 19 2" xfId="20410"/>
    <cellStyle name="Input 2 5 2 10" xfId="20411"/>
    <cellStyle name="Total 2 4 2 8 2 4" xfId="20412"/>
    <cellStyle name="Input 2 5 2 10 2 2" xfId="20413"/>
    <cellStyle name="Input 2 5 2 10 2 3" xfId="20414"/>
    <cellStyle name="Input 2 5 2 10 2 4" xfId="20415"/>
    <cellStyle name="Note 2 5 2 10 2 2" xfId="20416"/>
    <cellStyle name="Total 2 4 2 8 3 4" xfId="20417"/>
    <cellStyle name="Input 2 5 2 10 3 2" xfId="20418"/>
    <cellStyle name="Input 2 5 2 10 3 3" xfId="20419"/>
    <cellStyle name="Input 2 5 2 10 3 4" xfId="20420"/>
    <cellStyle name="Note 2 5 2 10 3 2" xfId="20421"/>
    <cellStyle name="Input 2 5 2 10 4 2" xfId="20422"/>
    <cellStyle name="Input 2 5 2 10 4 3" xfId="20423"/>
    <cellStyle name="Input 2 5 2 10 5" xfId="20424"/>
    <cellStyle name="Input 2 5 2 10 5 2" xfId="20425"/>
    <cellStyle name="Input 2 5 2 10 5 3" xfId="20426"/>
    <cellStyle name="Input 2 5 2 11" xfId="20427"/>
    <cellStyle name="Input 2 5 2 12" xfId="20428"/>
    <cellStyle name="Input 2 5 2 13" xfId="20429"/>
    <cellStyle name="Input 2 5 2 14 2" xfId="20430"/>
    <cellStyle name="Output 2 13 3 3 7" xfId="20431"/>
    <cellStyle name="Output 2 6 2 9" xfId="20432"/>
    <cellStyle name="Output 2 7 3 2 5" xfId="20433"/>
    <cellStyle name="Input 2 5 2 14 3" xfId="20434"/>
    <cellStyle name="Output 2 7 3 2 6" xfId="20435"/>
    <cellStyle name="Input 2 5 2 17" xfId="20436"/>
    <cellStyle name="Input 2 5 2 2 2" xfId="20437"/>
    <cellStyle name="Input 2 5 2 2 2 2" xfId="20438"/>
    <cellStyle name="Input 2 5 2 2 3" xfId="20439"/>
    <cellStyle name="Input 2 5 2 2 4" xfId="20440"/>
    <cellStyle name="Input 2 5 2 2 7" xfId="20441"/>
    <cellStyle name="Output 2 4 7 5 3" xfId="20442"/>
    <cellStyle name="Title 2 4 2" xfId="20443"/>
    <cellStyle name="Input 2 5 2 3 2 2" xfId="20444"/>
    <cellStyle name="Input 2 5 2 3 3" xfId="20445"/>
    <cellStyle name="Input 2 5 2 3 3 2" xfId="20446"/>
    <cellStyle name="Input 2 5 2 3 4" xfId="20447"/>
    <cellStyle name="Output 2 9 3 10 2 2" xfId="20448"/>
    <cellStyle name="Input 2 5 2 3 4 2" xfId="20449"/>
    <cellStyle name="Input 2 5 2 3 5 2" xfId="20450"/>
    <cellStyle name="Input 2 5 2 3 7" xfId="20451"/>
    <cellStyle name="Input 2 5 2 4 2 2" xfId="20452"/>
    <cellStyle name="Input 2 5 2 4 3" xfId="20453"/>
    <cellStyle name="Input 2 5 2 4 3 2" xfId="20454"/>
    <cellStyle name="Input 2 5 2 4 4" xfId="20455"/>
    <cellStyle name="Output 2 9 3 10 3 2" xfId="20456"/>
    <cellStyle name="Input 2 5 2 4 4 2" xfId="20457"/>
    <cellStyle name="Input 2 5 2 4 5" xfId="20458"/>
    <cellStyle name="Output 2 9 3 10 3 3" xfId="20459"/>
    <cellStyle name="Input 2 5 2 4 5 2" xfId="20460"/>
    <cellStyle name="Input 2 5 2 4 6" xfId="20461"/>
    <cellStyle name="Output 2 9 3 10 3 4" xfId="20462"/>
    <cellStyle name="Input 2 5 2 4 7" xfId="20463"/>
    <cellStyle name="Total 2 13 7 2 3" xfId="20464"/>
    <cellStyle name="Input 2 5 2 5" xfId="20465"/>
    <cellStyle name="Note 2 12 4 3 4" xfId="20466"/>
    <cellStyle name="Input 2 5 2 5 2" xfId="20467"/>
    <cellStyle name="Input 2 5 2 5 2 2" xfId="20468"/>
    <cellStyle name="Input 2 5 2 5 2 3" xfId="20469"/>
    <cellStyle name="Input 2 5 2 5 3" xfId="20470"/>
    <cellStyle name="Input 2 5 2 5 3 2" xfId="20471"/>
    <cellStyle name="Input 2 5 2 5 3 3" xfId="20472"/>
    <cellStyle name="Input 2 5 2 5 4" xfId="20473"/>
    <cellStyle name="Output 2 9 3 10 4 2" xfId="20474"/>
    <cellStyle name="Input 2 5 2 5 4 2" xfId="20475"/>
    <cellStyle name="Input 2 5 2 5 4 3" xfId="20476"/>
    <cellStyle name="Input 2 5 2 5 5" xfId="20477"/>
    <cellStyle name="Output 2 9 3 10 4 3" xfId="20478"/>
    <cellStyle name="Input 2 5 2 5 5 2" xfId="20479"/>
    <cellStyle name="Input 2 5 2 5 5 3" xfId="20480"/>
    <cellStyle name="Input 2 7 2 10 2" xfId="20481"/>
    <cellStyle name="Input 2 5 2 5 6" xfId="20482"/>
    <cellStyle name="Input 2 5 2 5 7" xfId="20483"/>
    <cellStyle name="Note 2 5 8 2 2" xfId="20484"/>
    <cellStyle name="Total 2 13 7 2 4" xfId="20485"/>
    <cellStyle name="Input 2 5 2 6" xfId="20486"/>
    <cellStyle name="Input 2 5 2 6 2" xfId="20487"/>
    <cellStyle name="Input 2 5 2 6 2 2" xfId="20488"/>
    <cellStyle name="Input 2 5 2 6 2 3" xfId="20489"/>
    <cellStyle name="Input 2 5 2 6 2 4" xfId="20490"/>
    <cellStyle name="Input 2 5 9 3 2" xfId="20491"/>
    <cellStyle name="Input 2 5 2 6 3" xfId="20492"/>
    <cellStyle name="Input 2 5 2 6 3 2" xfId="20493"/>
    <cellStyle name="Input 2 5 2 6 3 3" xfId="20494"/>
    <cellStyle name="Input 2 5 2 6 4" xfId="20495"/>
    <cellStyle name="Output 2 9 3 10 5 2" xfId="20496"/>
    <cellStyle name="Input 2 5 2 6 4 2" xfId="20497"/>
    <cellStyle name="Input 2 5 2 6 4 3" xfId="20498"/>
    <cellStyle name="Input 2 5 2 6 5" xfId="20499"/>
    <cellStyle name="Output 2 9 3 10 5 3" xfId="20500"/>
    <cellStyle name="Input 2 5 2 6 5 2" xfId="20501"/>
    <cellStyle name="Input 2 5 2 6 5 3" xfId="20502"/>
    <cellStyle name="Input 2 5 2 6 6" xfId="20503"/>
    <cellStyle name="Input 2 5 2 6 7" xfId="20504"/>
    <cellStyle name="Note 2 5 8 3 2" xfId="20505"/>
    <cellStyle name="Input 2 5 2 7" xfId="20506"/>
    <cellStyle name="Input 2 5 2 7 2" xfId="20507"/>
    <cellStyle name="Output 2 10 10 2 3" xfId="20508"/>
    <cellStyle name="Total 2 10 3 10 3" xfId="20509"/>
    <cellStyle name="Input 2 5 2 7 2 2" xfId="20510"/>
    <cellStyle name="Total 2 10 3 10 3 2" xfId="20511"/>
    <cellStyle name="Input 2 5 2 7 2 3" xfId="20512"/>
    <cellStyle name="Total 2 10 3 10 3 3" xfId="20513"/>
    <cellStyle name="Input 2 5 2 7 2 4" xfId="20514"/>
    <cellStyle name="Total 2 10 3 10 3 4" xfId="20515"/>
    <cellStyle name="Input 2 5 2 7 3" xfId="20516"/>
    <cellStyle name="Output 2 10 10 2 4" xfId="20517"/>
    <cellStyle name="Total 2 10 3 10 4" xfId="20518"/>
    <cellStyle name="Input 2 5 2 7 3 2" xfId="20519"/>
    <cellStyle name="Total 2 10 3 10 4 2" xfId="20520"/>
    <cellStyle name="Input 2 5 2 7 3 3" xfId="20521"/>
    <cellStyle name="Total 2 10 3 10 4 3" xfId="20522"/>
    <cellStyle name="Input 2 5 2 7 3 4" xfId="20523"/>
    <cellStyle name="Input 2 5 2 7 4" xfId="20524"/>
    <cellStyle name="Total 2 10 3 10 5" xfId="20525"/>
    <cellStyle name="Input 2 5 2 7 4 3" xfId="20526"/>
    <cellStyle name="Total 2 10 3 10 5 3" xfId="20527"/>
    <cellStyle name="Input 2 5 2 7 5" xfId="20528"/>
    <cellStyle name="Total 2 10 3 10 6" xfId="20529"/>
    <cellStyle name="Input 2 5 2 7 5 3" xfId="20530"/>
    <cellStyle name="Input 2 5 2 7 7" xfId="20531"/>
    <cellStyle name="Note 2 5 8 4 2" xfId="20532"/>
    <cellStyle name="Output 2 13 10 3" xfId="20533"/>
    <cellStyle name="Input 2 5 2 8" xfId="20534"/>
    <cellStyle name="Input 2 5 2 8 2" xfId="20535"/>
    <cellStyle name="Output 2 10 10 3 3" xfId="20536"/>
    <cellStyle name="Total 2 10 3 11 3" xfId="20537"/>
    <cellStyle name="Input 2 5 2 8 2 2" xfId="20538"/>
    <cellStyle name="Input 2 5 2 8 2 3" xfId="20539"/>
    <cellStyle name="Input 2 5 2 8 2 4" xfId="20540"/>
    <cellStyle name="Input 2 5 2 8 3" xfId="20541"/>
    <cellStyle name="Output 2 10 10 3 4" xfId="20542"/>
    <cellStyle name="Total 2 10 3 11 4" xfId="20543"/>
    <cellStyle name="Input 2 5 2 8 3 2" xfId="20544"/>
    <cellStyle name="Input 2 5 2 8 3 3" xfId="20545"/>
    <cellStyle name="Normal 2 3 3 2 2 2" xfId="20546"/>
    <cellStyle name="Input 2 5 2 8 3 4" xfId="20547"/>
    <cellStyle name="Input 2 5 2 8 4" xfId="20548"/>
    <cellStyle name="Input 2 5 2 8 4 2" xfId="20549"/>
    <cellStyle name="Input 2 5 2 8 4 3" xfId="20550"/>
    <cellStyle name="Input 2 5 2 8 5" xfId="20551"/>
    <cellStyle name="Input 2 5 2 8 5 2" xfId="20552"/>
    <cellStyle name="Input 2 5 2 8 5 3" xfId="20553"/>
    <cellStyle name="Input 2 5 2 8 6" xfId="20554"/>
    <cellStyle name="Output 2 13 11 2" xfId="20555"/>
    <cellStyle name="Input 2 5 2 8 7" xfId="20556"/>
    <cellStyle name="Note 2 5 8 5 2" xfId="20557"/>
    <cellStyle name="Output 2 13 11 3" xfId="20558"/>
    <cellStyle name="Input 2 5 2 9" xfId="20559"/>
    <cellStyle name="Input 2 5 2 9 2" xfId="20560"/>
    <cellStyle name="Output 2 10 10 4 3" xfId="20561"/>
    <cellStyle name="Total 2 10 3 12 3" xfId="20562"/>
    <cellStyle name="Input 2 5 2 9 2 2" xfId="20563"/>
    <cellStyle name="Input 2 5 2 9 2 3" xfId="20564"/>
    <cellStyle name="Output 2 2 3 14 2" xfId="20565"/>
    <cellStyle name="Input 2 5 2 9 2 4" xfId="20566"/>
    <cellStyle name="Output 2 2 3 14 3" xfId="20567"/>
    <cellStyle name="Input 2 5 2 9 3" xfId="20568"/>
    <cellStyle name="Total 2 10 3 12 4" xfId="20569"/>
    <cellStyle name="Input 2 5 2 9 3 3" xfId="20570"/>
    <cellStyle name="Normal 2 3 3 3 2 2" xfId="20571"/>
    <cellStyle name="Output 2 2 3 15 2" xfId="20572"/>
    <cellStyle name="Input 2 5 2 9 3 4" xfId="20573"/>
    <cellStyle name="Input 2 5 2 9 4" xfId="20574"/>
    <cellStyle name="Input 2 5 2 9 4 2" xfId="20575"/>
    <cellStyle name="Input 2 5 2 9 4 3" xfId="20576"/>
    <cellStyle name="Input 2 5 2 9 5" xfId="20577"/>
    <cellStyle name="Input 2 5 2 9 5 2" xfId="20578"/>
    <cellStyle name="Input 2 5 2 9 5 3" xfId="20579"/>
    <cellStyle name="Input 2 5 2 9 6" xfId="20580"/>
    <cellStyle name="Output 2 13 12 2" xfId="20581"/>
    <cellStyle name="Input 2 5 2 9 7" xfId="20582"/>
    <cellStyle name="Output 2 13 12 3" xfId="20583"/>
    <cellStyle name="Input 2 5 25" xfId="20584"/>
    <cellStyle name="Input 2 5 30" xfId="20585"/>
    <cellStyle name="Input 2 9 2 6 4 3" xfId="20586"/>
    <cellStyle name="Input 2 5 27" xfId="20587"/>
    <cellStyle name="Input 2 5 3 10 2 2" xfId="20588"/>
    <cellStyle name="Input 2 5 3 10 2 3" xfId="20589"/>
    <cellStyle name="Input 2 5 3 10 2 4" xfId="20590"/>
    <cellStyle name="Note 2 5 3 10 2 2" xfId="20591"/>
    <cellStyle name="Input 2 5 3 10 3 2" xfId="20592"/>
    <cellStyle name="Input 2 5 3 10 3 3" xfId="20593"/>
    <cellStyle name="Input 2 5 3 10 3 4" xfId="20594"/>
    <cellStyle name="Note 2 5 3 10 3 2" xfId="20595"/>
    <cellStyle name="Input 2 5 3 10 4 2" xfId="20596"/>
    <cellStyle name="Input 2 5 3 10 4 3" xfId="20597"/>
    <cellStyle name="Input 2 5 3 10 5 2" xfId="20598"/>
    <cellStyle name="Input 2 5 3 10 5 3" xfId="20599"/>
    <cellStyle name="Input 2 5 3 12 4" xfId="20600"/>
    <cellStyle name="Note 2 10 2 3 7" xfId="20601"/>
    <cellStyle name="Input 2 5 3 13" xfId="20602"/>
    <cellStyle name="Input 2 5 3 2 3 3" xfId="20603"/>
    <cellStyle name="Input 2 5 3 14" xfId="20604"/>
    <cellStyle name="Total 2 3 3 3" xfId="20605"/>
    <cellStyle name="Input 2 6 5 4 2" xfId="20606"/>
    <cellStyle name="Input 2 5 3 2 3 4" xfId="20607"/>
    <cellStyle name="Note 2 2 2 4 5 2" xfId="20608"/>
    <cellStyle name="Input 2 5 3 14 2" xfId="20609"/>
    <cellStyle name="Note 2 10 2 5 5" xfId="20610"/>
    <cellStyle name="Note 2 2 2 4 5 2 2" xfId="20611"/>
    <cellStyle name="Input 2 5 3 14 3" xfId="20612"/>
    <cellStyle name="Note 2 10 2 5 6" xfId="20613"/>
    <cellStyle name="Input 2 5 3 15" xfId="20614"/>
    <cellStyle name="Total 2 3 3 4" xfId="20615"/>
    <cellStyle name="Input 2 6 5 4 3" xfId="20616"/>
    <cellStyle name="Note 2 2 2 4 5 3" xfId="20617"/>
    <cellStyle name="Input 2 5 3 16" xfId="20618"/>
    <cellStyle name="Input 2 5 3 17" xfId="20619"/>
    <cellStyle name="Input 2 5 3 2 2" xfId="20620"/>
    <cellStyle name="Input 2 5 3 2 2 2" xfId="20621"/>
    <cellStyle name="Input 2 5 3 2 2 3" xfId="20622"/>
    <cellStyle name="Total 2 3 2 3" xfId="20623"/>
    <cellStyle name="Input 2 6 5 3 2" xfId="20624"/>
    <cellStyle name="Input 2 5 3 2 2 4" xfId="20625"/>
    <cellStyle name="Note 2 2 2 4 4 2" xfId="20626"/>
    <cellStyle name="Input 2 5 3 2 3" xfId="20627"/>
    <cellStyle name="Input 2 5 3 2 4" xfId="20628"/>
    <cellStyle name="Input 2 5 3 2 4 3" xfId="20629"/>
    <cellStyle name="Input 2 5 3 2 5" xfId="20630"/>
    <cellStyle name="Input 2 5 3 2 5 3" xfId="20631"/>
    <cellStyle name="Input 2 5 3 2 6" xfId="20632"/>
    <cellStyle name="Output 2 4 8 5 2" xfId="20633"/>
    <cellStyle name="Input 2 5 3 2 7" xfId="20634"/>
    <cellStyle name="Output 2 4 8 5 3" xfId="20635"/>
    <cellStyle name="Input 2 5 3 3 2 2" xfId="20636"/>
    <cellStyle name="Input 2 5 3 3 2 3" xfId="20637"/>
    <cellStyle name="Total 2 4 2 3" xfId="20638"/>
    <cellStyle name="Input 2 6 6 3 2" xfId="20639"/>
    <cellStyle name="Input 2 5 3 3 2 4" xfId="20640"/>
    <cellStyle name="Note 2 2 2 5 4 2" xfId="20641"/>
    <cellStyle name="Input 2 5 3 3 3" xfId="20642"/>
    <cellStyle name="Note 2 12 3 10 2 3" xfId="20643"/>
    <cellStyle name="Input 2 5 3 3 3 2" xfId="20644"/>
    <cellStyle name="Input 2 5 3 3 3 3" xfId="20645"/>
    <cellStyle name="Total 2 4 3 3" xfId="20646"/>
    <cellStyle name="Input 2 6 6 4 2" xfId="20647"/>
    <cellStyle name="Input 2 5 3 3 3 4" xfId="20648"/>
    <cellStyle name="Note 2 2 2 5 5 2" xfId="20649"/>
    <cellStyle name="Input 2 5 3 3 4" xfId="20650"/>
    <cellStyle name="Note 2 12 3 10 2 4" xfId="20651"/>
    <cellStyle name="Input 2 5 3 3 4 2" xfId="20652"/>
    <cellStyle name="Input 2 5 3 3 4 3" xfId="20653"/>
    <cellStyle name="Input 2 5 3 3 5" xfId="20654"/>
    <cellStyle name="Input 2 5 3 3 5 2" xfId="20655"/>
    <cellStyle name="Input 2 5 3 3 5 3" xfId="20656"/>
    <cellStyle name="Input 2 5 3 3 6" xfId="20657"/>
    <cellStyle name="Input 2 5 3 3 7" xfId="20658"/>
    <cellStyle name="Input 2 5 3 4 2 2" xfId="20659"/>
    <cellStyle name="Input 2 5 3 4 2 3" xfId="20660"/>
    <cellStyle name="Total 2 5 2 3" xfId="20661"/>
    <cellStyle name="Input 2 6 7 3 2" xfId="20662"/>
    <cellStyle name="Input 2 5 3 4 2 4" xfId="20663"/>
    <cellStyle name="Note 2 2 2 6 4 2" xfId="20664"/>
    <cellStyle name="Input 2 5 3 4 3" xfId="20665"/>
    <cellStyle name="Note 2 12 3 10 3 3" xfId="20666"/>
    <cellStyle name="Input 2 5 3 4 3 2" xfId="20667"/>
    <cellStyle name="Input 2 5 3 4 3 3" xfId="20668"/>
    <cellStyle name="Total 2 5 3 3" xfId="20669"/>
    <cellStyle name="Input 2 6 7 4 2" xfId="20670"/>
    <cellStyle name="Input 2 5 3 4 3 4" xfId="20671"/>
    <cellStyle name="Note 2 2 2 6 5 2" xfId="20672"/>
    <cellStyle name="Input 2 5 3 4 4" xfId="20673"/>
    <cellStyle name="Note 2 12 3 10 3 4" xfId="20674"/>
    <cellStyle name="Input 2 5 3 4 4 2" xfId="20675"/>
    <cellStyle name="Input 2 5 3 4 4 3" xfId="20676"/>
    <cellStyle name="Input 2 5 3 4 5" xfId="20677"/>
    <cellStyle name="Input 2 5 3 4 5 2" xfId="20678"/>
    <cellStyle name="Input 2 5 3 4 5 3" xfId="20679"/>
    <cellStyle name="Input 2 5 3 4 6" xfId="20680"/>
    <cellStyle name="Note 2 3 2 10 2" xfId="20681"/>
    <cellStyle name="Note 2 8 2 2 2 2" xfId="20682"/>
    <cellStyle name="Input 2 5 3 4 7" xfId="20683"/>
    <cellStyle name="Note 2 3 2 10 3" xfId="20684"/>
    <cellStyle name="Note 2 8 2 2 2 3" xfId="20685"/>
    <cellStyle name="Input 2 5 3 5 2" xfId="20686"/>
    <cellStyle name="Note 2 12 3 10 4 2" xfId="20687"/>
    <cellStyle name="Input 2 5 3 5 2 2" xfId="20688"/>
    <cellStyle name="Input 2 5 3 5 2 3" xfId="20689"/>
    <cellStyle name="Total 2 6 2 3" xfId="20690"/>
    <cellStyle name="Input 2 6 8 3 2" xfId="20691"/>
    <cellStyle name="Input 2 5 3 5 2 4" xfId="20692"/>
    <cellStyle name="Note 2 2 2 7 4 2" xfId="20693"/>
    <cellStyle name="Input 2 5 3 5 3" xfId="20694"/>
    <cellStyle name="Note 2 12 3 10 4 3" xfId="20695"/>
    <cellStyle name="Input 2 5 3 5 3 3" xfId="20696"/>
    <cellStyle name="Total 2 6 3 3" xfId="20697"/>
    <cellStyle name="Input 2 6 8 4 2" xfId="20698"/>
    <cellStyle name="Input 2 5 3 5 3 4" xfId="20699"/>
    <cellStyle name="Note 2 2 2 7 5 2" xfId="20700"/>
    <cellStyle name="Input 2 5 3 5 4" xfId="20701"/>
    <cellStyle name="Input 2 5 3 5 4 2" xfId="20702"/>
    <cellStyle name="Input 2 5 3 5 4 3" xfId="20703"/>
    <cellStyle name="Input 2 5 3 5 5" xfId="20704"/>
    <cellStyle name="Input 2 5 3 5 5 2" xfId="20705"/>
    <cellStyle name="Input 2 5 3 5 5 3" xfId="20706"/>
    <cellStyle name="Input 2 5 3 5 6" xfId="20707"/>
    <cellStyle name="Note 2 3 2 11 2" xfId="20708"/>
    <cellStyle name="Note 2 8 2 2 3 2" xfId="20709"/>
    <cellStyle name="Input 2 5 3 5 7" xfId="20710"/>
    <cellStyle name="Note 2 3 2 11 3" xfId="20711"/>
    <cellStyle name="Note 2 5 9 2 2" xfId="20712"/>
    <cellStyle name="Note 2 8 2 2 3 3" xfId="20713"/>
    <cellStyle name="Input 2 5 3 6 2" xfId="20714"/>
    <cellStyle name="Note 2 12 3 10 5 2" xfId="20715"/>
    <cellStyle name="Note 2 14 14" xfId="20716"/>
    <cellStyle name="Input 2 5 3 6 2 2" xfId="20717"/>
    <cellStyle name="Note 2 14 14 2" xfId="20718"/>
    <cellStyle name="Input 2 5 3 6 2 3" xfId="20719"/>
    <cellStyle name="Note 2 14 14 3" xfId="20720"/>
    <cellStyle name="Total 2 7 2 3" xfId="20721"/>
    <cellStyle name="Input 2 6 9 3 2" xfId="20722"/>
    <cellStyle name="Note 2 14 14 4" xfId="20723"/>
    <cellStyle name="Input 2 5 3 6 2 4" xfId="20724"/>
    <cellStyle name="Note 2 2 2 8 4 2" xfId="20725"/>
    <cellStyle name="Input 2 5 3 6 3" xfId="20726"/>
    <cellStyle name="Note 2 12 3 10 5 3" xfId="20727"/>
    <cellStyle name="Note 2 14 15" xfId="20728"/>
    <cellStyle name="Input 2 5 3 6 3 2" xfId="20729"/>
    <cellStyle name="Note 2 14 15 2" xfId="20730"/>
    <cellStyle name="Input 2 5 3 6 3 3" xfId="20731"/>
    <cellStyle name="Note 2 14 15 3" xfId="20732"/>
    <cellStyle name="Input 2 5 3 6 4" xfId="20733"/>
    <cellStyle name="Note 2 14 16" xfId="20734"/>
    <cellStyle name="Input 2 5 3 6 4 2" xfId="20735"/>
    <cellStyle name="Note 2 14 16 2" xfId="20736"/>
    <cellStyle name="Input 2 5 3 6 4 3" xfId="20737"/>
    <cellStyle name="Note 2 14 16 3" xfId="20738"/>
    <cellStyle name="Input 2 5 3 6 5" xfId="20739"/>
    <cellStyle name="Note 2 14 17" xfId="20740"/>
    <cellStyle name="Input 2 5 3 6 5 2" xfId="20741"/>
    <cellStyle name="Input 2 5 3 6 5 3" xfId="20742"/>
    <cellStyle name="Input 2 5 3 6 6" xfId="20743"/>
    <cellStyle name="Note 2 14 18" xfId="20744"/>
    <cellStyle name="Note 2 3 2 12 2" xfId="20745"/>
    <cellStyle name="Note 2 8 2 2 4 2" xfId="20746"/>
    <cellStyle name="Input 2 5 3 6 7" xfId="20747"/>
    <cellStyle name="Note 2 14 19" xfId="20748"/>
    <cellStyle name="Note 2 3 2 12 3" xfId="20749"/>
    <cellStyle name="Note 2 5 9 3 2" xfId="20750"/>
    <cellStyle name="Note 2 8 2 2 4 3" xfId="20751"/>
    <cellStyle name="Input 2 5 3 7 2" xfId="20752"/>
    <cellStyle name="Output 2 10 11 2 3" xfId="20753"/>
    <cellStyle name="Input 2 5 3 7 2 2" xfId="20754"/>
    <cellStyle name="Input 2 5 3 7 2 3" xfId="20755"/>
    <cellStyle name="Input 2 5 3 7 2 4" xfId="20756"/>
    <cellStyle name="Note 2 2 2 9 4 2" xfId="20757"/>
    <cellStyle name="Input 2 5 3 7 3" xfId="20758"/>
    <cellStyle name="Output 2 10 11 2 4" xfId="20759"/>
    <cellStyle name="Input 2 5 3 7 3 2" xfId="20760"/>
    <cellStyle name="Input 2 6 3 12" xfId="20761"/>
    <cellStyle name="Note 2 2 2 2 17" xfId="20762"/>
    <cellStyle name="Note 2 2 2 2 22" xfId="20763"/>
    <cellStyle name="Input 2 5 3 7 3 3" xfId="20764"/>
    <cellStyle name="Input 2 6 3 13" xfId="20765"/>
    <cellStyle name="Note 2 2 2 2 18" xfId="20766"/>
    <cellStyle name="Note 2 2 2 2 23" xfId="20767"/>
    <cellStyle name="Input 2 6 3 14" xfId="20768"/>
    <cellStyle name="Note 2 2 2 2 19" xfId="20769"/>
    <cellStyle name="Note 2 2 2 2 24" xfId="20770"/>
    <cellStyle name="Input 2 5 3 7 3 4" xfId="20771"/>
    <cellStyle name="Note 2 2 2 9 5 2" xfId="20772"/>
    <cellStyle name="Input 2 5 3 7 4" xfId="20773"/>
    <cellStyle name="Input 2 5 3 7 4 3" xfId="20774"/>
    <cellStyle name="Input 2 5 3 7 5" xfId="20775"/>
    <cellStyle name="Input 2 5 3 7 5 2" xfId="20776"/>
    <cellStyle name="Input 2 5 3 7 5 3" xfId="20777"/>
    <cellStyle name="Input 2 5 3 7 6" xfId="20778"/>
    <cellStyle name="Note 2 3 2 13 2" xfId="20779"/>
    <cellStyle name="Note 2 8 2 2 5 2" xfId="20780"/>
    <cellStyle name="Input 2 5 3 7 7" xfId="20781"/>
    <cellStyle name="Note 2 3 2 13 3" xfId="20782"/>
    <cellStyle name="Note 2 5 9 4 2" xfId="20783"/>
    <cellStyle name="Note 2 8 2 2 5 3" xfId="20784"/>
    <cellStyle name="Input 2 5 3 8" xfId="20785"/>
    <cellStyle name="Note 2 12 3 10 7" xfId="20786"/>
    <cellStyle name="Input 2 5 3 8 2" xfId="20787"/>
    <cellStyle name="Output 2 10 11 3 3" xfId="20788"/>
    <cellStyle name="Input 2 5 3 8 2 2" xfId="20789"/>
    <cellStyle name="Input 2 5 3 8 2 3" xfId="20790"/>
    <cellStyle name="Input 2 5 3 8 2 4" xfId="20791"/>
    <cellStyle name="Input 2 5 3 8 3" xfId="20792"/>
    <cellStyle name="Output 2 10 11 3 4" xfId="20793"/>
    <cellStyle name="Input 2 5 3 8 3 2" xfId="20794"/>
    <cellStyle name="Input 2 5 3 8 3 3" xfId="20795"/>
    <cellStyle name="Input 2 5 3 8 3 4" xfId="20796"/>
    <cellStyle name="Input 2 5 3 8 4" xfId="20797"/>
    <cellStyle name="Input 2 5 3 8 4 2" xfId="20798"/>
    <cellStyle name="Input 2 5 3 8 4 3" xfId="20799"/>
    <cellStyle name="Input 2 5 3 8 5" xfId="20800"/>
    <cellStyle name="Input 2 5 3 8 5 2" xfId="20801"/>
    <cellStyle name="Input 2 5 3 8 5 3" xfId="20802"/>
    <cellStyle name="Input 2 5 3 8 6" xfId="20803"/>
    <cellStyle name="Note 2 3 2 14 2" xfId="20804"/>
    <cellStyle name="Input 2 5 3 8 7" xfId="20805"/>
    <cellStyle name="Note 2 3 2 14 3" xfId="20806"/>
    <cellStyle name="Note 2 5 9 5 2" xfId="20807"/>
    <cellStyle name="Input 2 5 3 9" xfId="20808"/>
    <cellStyle name="Input 2 5 3 9 2" xfId="20809"/>
    <cellStyle name="Output 2 10 11 4 3" xfId="20810"/>
    <cellStyle name="Input 2 5 3 9 2 2" xfId="20811"/>
    <cellStyle name="Input 2 5 3 9 2 3" xfId="20812"/>
    <cellStyle name="Input 2 5 3 9 2 4" xfId="20813"/>
    <cellStyle name="Input 2 5 3 9 3" xfId="20814"/>
    <cellStyle name="Input 2 5 3 9 3 2" xfId="20815"/>
    <cellStyle name="Input 2 5 3 9 3 3" xfId="20816"/>
    <cellStyle name="Input 2 5 3 9 3 4" xfId="20817"/>
    <cellStyle name="Input 2 5 3 9 4" xfId="20818"/>
    <cellStyle name="Input 2 5 3 9 4 2" xfId="20819"/>
    <cellStyle name="Input 2 5 3 9 4 3" xfId="20820"/>
    <cellStyle name="Input 2 5 3 9 5" xfId="20821"/>
    <cellStyle name="Input 2 5 3 9 6" xfId="20822"/>
    <cellStyle name="Note 2 3 2 15 2" xfId="20823"/>
    <cellStyle name="Input 2 5 3 9 7" xfId="20824"/>
    <cellStyle name="Input 2 5 4" xfId="20825"/>
    <cellStyle name="Input 2 5 4 2 2" xfId="20826"/>
    <cellStyle name="Input 2 5 4 2 3" xfId="20827"/>
    <cellStyle name="Input 2 5 4 2 4" xfId="20828"/>
    <cellStyle name="Input 2 5 4 3 3" xfId="20829"/>
    <cellStyle name="Input 2 5 4 3 4" xfId="20830"/>
    <cellStyle name="Total 2 13 7 4 2" xfId="20831"/>
    <cellStyle name="Input 2 5 4 4" xfId="20832"/>
    <cellStyle name="Note 2 12 3 11 3" xfId="20833"/>
    <cellStyle name="Note 2 12 4 5 3" xfId="20834"/>
    <cellStyle name="Input 2 5 4 4 2" xfId="20835"/>
    <cellStyle name="Input 2 5 4 4 3" xfId="20836"/>
    <cellStyle name="Total 2 13 7 4 3" xfId="20837"/>
    <cellStyle name="Input 2 5 4 5" xfId="20838"/>
    <cellStyle name="Note 2 12 3 11 4" xfId="20839"/>
    <cellStyle name="Input 2 5 4 5 2" xfId="20840"/>
    <cellStyle name="Input 2 5 4 5 3" xfId="20841"/>
    <cellStyle name="Input 2 5 4 6" xfId="20842"/>
    <cellStyle name="Input 2 5 5 2 2" xfId="20843"/>
    <cellStyle name="Total 2 10 10 5 3" xfId="20844"/>
    <cellStyle name="Input 2 5 5 2 3" xfId="20845"/>
    <cellStyle name="Input 2 5 5 2 4" xfId="20846"/>
    <cellStyle name="Input 2 5 5 3 4" xfId="20847"/>
    <cellStyle name="Total 2 13 7 5 2" xfId="20848"/>
    <cellStyle name="Input 2 5 5 4" xfId="20849"/>
    <cellStyle name="Note 2 12 3 12 3" xfId="20850"/>
    <cellStyle name="Total 2 13 7 5 3" xfId="20851"/>
    <cellStyle name="Input 2 5 5 5" xfId="20852"/>
    <cellStyle name="Note 2 12 3 12 4" xfId="20853"/>
    <cellStyle name="Input 2 5 5 5 3" xfId="20854"/>
    <cellStyle name="Input 2 5 6 2 2" xfId="20855"/>
    <cellStyle name="Total 2 10 11 5 3" xfId="20856"/>
    <cellStyle name="Input 2 5 6 2 3" xfId="20857"/>
    <cellStyle name="Input 2 5 6 2 4" xfId="20858"/>
    <cellStyle name="Input 2 5 7" xfId="20859"/>
    <cellStyle name="Input 2 5 7 2 2" xfId="20860"/>
    <cellStyle name="Output 2 2 2 13 3" xfId="20861"/>
    <cellStyle name="Total 2 10 12 5 3" xfId="20862"/>
    <cellStyle name="Input 2 5 7 2 3" xfId="20863"/>
    <cellStyle name="Input 2 5 7 2 4" xfId="20864"/>
    <cellStyle name="Input 2 5 8" xfId="20865"/>
    <cellStyle name="Note 2 6 3 4 4 2" xfId="20866"/>
    <cellStyle name="Input 2 5 8 2 2" xfId="20867"/>
    <cellStyle name="Input 2 5 9 3 3" xfId="20868"/>
    <cellStyle name="Input 2 5 9 5 2" xfId="20869"/>
    <cellStyle name="Input 2 5 9 5 3" xfId="20870"/>
    <cellStyle name="Input 2 6 10" xfId="20871"/>
    <cellStyle name="Input 2 8 2 2 5 2" xfId="20872"/>
    <cellStyle name="Input 2 6 10 2" xfId="20873"/>
    <cellStyle name="Output 2 6 2 14 3" xfId="20874"/>
    <cellStyle name="Input 2 6 10 2 2" xfId="20875"/>
    <cellStyle name="Output 2 12 3 9 3" xfId="20876"/>
    <cellStyle name="Output 2 12 3 9 4" xfId="20877"/>
    <cellStyle name="Input 2 6 10 2 3" xfId="20878"/>
    <cellStyle name="Output 2 6 3 8 2" xfId="20879"/>
    <cellStyle name="Output 2 7 3 3 4 2" xfId="20880"/>
    <cellStyle name="Note 2 7 4 2 2" xfId="20881"/>
    <cellStyle name="Output 2 12 3 9 5" xfId="20882"/>
    <cellStyle name="Input 2 6 10 2 4" xfId="20883"/>
    <cellStyle name="Output 2 6 3 8 3" xfId="20884"/>
    <cellStyle name="Output 2 7 3 3 4 3" xfId="20885"/>
    <cellStyle name="Input 2 6 10 3 2" xfId="20886"/>
    <cellStyle name="Input 2 6 10 3 3" xfId="20887"/>
    <cellStyle name="Output 2 6 3 9 2" xfId="20888"/>
    <cellStyle name="Output 2 7 3 3 5 2" xfId="20889"/>
    <cellStyle name="Note 2 7 4 3 2" xfId="20890"/>
    <cellStyle name="Input 2 6 10 3 4" xfId="20891"/>
    <cellStyle name="Output 2 6 3 9 3" xfId="20892"/>
    <cellStyle name="Output 2 7 3 3 5 3" xfId="20893"/>
    <cellStyle name="Input 2 6 10 4 2" xfId="20894"/>
    <cellStyle name="Input 2 6 10 4 3" xfId="20895"/>
    <cellStyle name="Input 2 6 10 5 2" xfId="20896"/>
    <cellStyle name="Input 2 6 10 5 3" xfId="20897"/>
    <cellStyle name="Input 2 6 11" xfId="20898"/>
    <cellStyle name="Input 2 8 2 2 5 3" xfId="20899"/>
    <cellStyle name="Input 2 6 11 2" xfId="20900"/>
    <cellStyle name="Input 2 6 11 2 2" xfId="20901"/>
    <cellStyle name="Input 2 6 11 2 3" xfId="20902"/>
    <cellStyle name="Note 2 9 13 2" xfId="20903"/>
    <cellStyle name="Output 2 7 3 4 4 2" xfId="20904"/>
    <cellStyle name="Note 2 7 5 2 2" xfId="20905"/>
    <cellStyle name="Input 2 6 11 2 4" xfId="20906"/>
    <cellStyle name="Note 2 9 13 3" xfId="20907"/>
    <cellStyle name="Output 2 7 3 4 4 3" xfId="20908"/>
    <cellStyle name="Input 2 6 11 3 2" xfId="20909"/>
    <cellStyle name="Input 2 6 11 3 3" xfId="20910"/>
    <cellStyle name="Note 2 9 14 2" xfId="20911"/>
    <cellStyle name="Output 2 7 3 4 5 2" xfId="20912"/>
    <cellStyle name="Note 2 7 5 3 2" xfId="20913"/>
    <cellStyle name="Input 2 6 11 3 4" xfId="20914"/>
    <cellStyle name="Note 2 9 14 3" xfId="20915"/>
    <cellStyle name="Output 2 7 3 4 5 3" xfId="20916"/>
    <cellStyle name="Input 2 6 11 4 2" xfId="20917"/>
    <cellStyle name="Input 2 6 11 4 3" xfId="20918"/>
    <cellStyle name="Note 2 9 15 2" xfId="20919"/>
    <cellStyle name="Input 2 6 11 5 2" xfId="20920"/>
    <cellStyle name="Input 2 6 11 5 3" xfId="20921"/>
    <cellStyle name="Note 2 9 16 2" xfId="20922"/>
    <cellStyle name="Input 2 6 11 6" xfId="20923"/>
    <cellStyle name="Input 2 6 12" xfId="20924"/>
    <cellStyle name="Input 2 6 12 2" xfId="20925"/>
    <cellStyle name="Output 2 11 2 8 2 4" xfId="20926"/>
    <cellStyle name="Input 2 6 12 3 2" xfId="20927"/>
    <cellStyle name="Input 2 6 12 3 3" xfId="20928"/>
    <cellStyle name="Output 2 7 3 5 5 2" xfId="20929"/>
    <cellStyle name="Input 2 6 12 3 4" xfId="20930"/>
    <cellStyle name="Note 2 7 6 3 2" xfId="20931"/>
    <cellStyle name="Output 2 7 3 5 5 3" xfId="20932"/>
    <cellStyle name="Input 2 6 12 4 3" xfId="20933"/>
    <cellStyle name="Input 2 6 12 5" xfId="20934"/>
    <cellStyle name="Note 2 2 2 3 10" xfId="20935"/>
    <cellStyle name="Input 2 6 12 5 2" xfId="20936"/>
    <cellStyle name="Input 2 6 12 5 3" xfId="20937"/>
    <cellStyle name="Input 2 6 12 6" xfId="20938"/>
    <cellStyle name="Input 2 6 13" xfId="20939"/>
    <cellStyle name="Input 2 6 13 2" xfId="20940"/>
    <cellStyle name="Output 2 11 2 8 3 4" xfId="20941"/>
    <cellStyle name="Input 2 6 14" xfId="20942"/>
    <cellStyle name="Input 2 6 14 2" xfId="20943"/>
    <cellStyle name="Output 2 5 2 7 2 4" xfId="20944"/>
    <cellStyle name="Input 2 6 14 3" xfId="20945"/>
    <cellStyle name="Input 2 6 14 4" xfId="20946"/>
    <cellStyle name="Input 2 6 15" xfId="20947"/>
    <cellStyle name="Input 2 6 20" xfId="20948"/>
    <cellStyle name="Note 2 2 2 10 7" xfId="20949"/>
    <cellStyle name="Input 2 6 15 2" xfId="20950"/>
    <cellStyle name="Output 2 5 2 7 3 4" xfId="20951"/>
    <cellStyle name="Input 2 6 15 3" xfId="20952"/>
    <cellStyle name="Note 2 2 2 10 8" xfId="20953"/>
    <cellStyle name="Input 2 6 16" xfId="20954"/>
    <cellStyle name="Input 2 6 16 2" xfId="20955"/>
    <cellStyle name="Input 2 6 16 3" xfId="20956"/>
    <cellStyle name="Input 2 6 17" xfId="20957"/>
    <cellStyle name="Input 2 6 17 2" xfId="20958"/>
    <cellStyle name="Input 2 6 17 2 2" xfId="20959"/>
    <cellStyle name="Input 2 6 18" xfId="20960"/>
    <cellStyle name="Input 2 6 19" xfId="20961"/>
    <cellStyle name="Input 2 6 2" xfId="20962"/>
    <cellStyle name="Input 2 6 2 10" xfId="20963"/>
    <cellStyle name="Input 2 6 2 10 2" xfId="20964"/>
    <cellStyle name="Output 2 10 2 9 3 3" xfId="20965"/>
    <cellStyle name="Total 2 9 2 8 2 4" xfId="20966"/>
    <cellStyle name="Input 2 6 2 10 2 2" xfId="20967"/>
    <cellStyle name="Total 2 9 2 8 3 4" xfId="20968"/>
    <cellStyle name="Input 2 6 2 10 3 2" xfId="20969"/>
    <cellStyle name="Input 2 6 2 10 4 2" xfId="20970"/>
    <cellStyle name="Input 2 6 2 10 4 3" xfId="20971"/>
    <cellStyle name="Note 2 14 4 3 2" xfId="20972"/>
    <cellStyle name="Input 2 6 2 10 5 2" xfId="20973"/>
    <cellStyle name="Output 2 5 10 2 3" xfId="20974"/>
    <cellStyle name="Input 2 6 2 10 5 3" xfId="20975"/>
    <cellStyle name="Note 2 14 4 4 2" xfId="20976"/>
    <cellStyle name="Output 2 5 10 2 4" xfId="20977"/>
    <cellStyle name="Input 2 6 2 10 6" xfId="20978"/>
    <cellStyle name="Input 2 6 2 10 7" xfId="20979"/>
    <cellStyle name="Note 2 2 3 12 2" xfId="20980"/>
    <cellStyle name="Input 2 6 2 11" xfId="20981"/>
    <cellStyle name="Input 2 6 2 11 2" xfId="20982"/>
    <cellStyle name="Output 2 10 2 9 4 3" xfId="20983"/>
    <cellStyle name="Output 2 4 2 8 2 3" xfId="20984"/>
    <cellStyle name="Input 2 6 2 11 3" xfId="20985"/>
    <cellStyle name="Output 2 4 2 8 2 4" xfId="20986"/>
    <cellStyle name="Input 2 6 2 11 4" xfId="20987"/>
    <cellStyle name="Input 2 6 2 12" xfId="20988"/>
    <cellStyle name="Input 2 6 2 12 2" xfId="20989"/>
    <cellStyle name="Note 2 5 3 2 2 3" xfId="20990"/>
    <cellStyle name="Output 2 10 2 9 5 3" xfId="20991"/>
    <cellStyle name="Output 2 4 2 8 3 3" xfId="20992"/>
    <cellStyle name="Input 2 6 2 12 3" xfId="20993"/>
    <cellStyle name="Note 2 5 3 2 2 4" xfId="20994"/>
    <cellStyle name="Output 2 4 2 8 3 4" xfId="20995"/>
    <cellStyle name="Input 2 6 2 12 4" xfId="20996"/>
    <cellStyle name="Input 2 6 2 13" xfId="20997"/>
    <cellStyle name="Input 2 6 2 13 2" xfId="20998"/>
    <cellStyle name="Note 2 5 3 2 3 3" xfId="20999"/>
    <cellStyle name="Output 2 4 2 8 4 3" xfId="21000"/>
    <cellStyle name="Input 2 6 2 13 3" xfId="21001"/>
    <cellStyle name="Note 2 5 3 2 3 4" xfId="21002"/>
    <cellStyle name="Input 2 6 2 14" xfId="21003"/>
    <cellStyle name="Input 2 6 2 14 2" xfId="21004"/>
    <cellStyle name="Note 2 5 3 2 4 3" xfId="21005"/>
    <cellStyle name="Output 2 4 2 8 5 3" xfId="21006"/>
    <cellStyle name="Input 2 6 2 14 3" xfId="21007"/>
    <cellStyle name="Input 2 6 2 15" xfId="21008"/>
    <cellStyle name="Input 2 6 2 16" xfId="21009"/>
    <cellStyle name="Output 2 12 2 12 2" xfId="21010"/>
    <cellStyle name="Input 2 6 2 2 2" xfId="21011"/>
    <cellStyle name="Input 2 6 2 2 2 2 2" xfId="21012"/>
    <cellStyle name="Input 2 6 2 2 2 2 2 2" xfId="21013"/>
    <cellStyle name="Input 2 6 2 2 2 3" xfId="21014"/>
    <cellStyle name="Input 2 6 2 2 2 4" xfId="21015"/>
    <cellStyle name="Input 2 6 2 2 3" xfId="21016"/>
    <cellStyle name="Input 2 6 2 2 3 2" xfId="21017"/>
    <cellStyle name="Input 2 6 2 2 3 3" xfId="21018"/>
    <cellStyle name="Input 2 6 2 2 3 4" xfId="21019"/>
    <cellStyle name="Input 2 6 2 2 4" xfId="21020"/>
    <cellStyle name="Input 2 6 2 2 4 2" xfId="21021"/>
    <cellStyle name="Input 2 6 2 2 4 3" xfId="21022"/>
    <cellStyle name="Input 2 6 2 2 5" xfId="21023"/>
    <cellStyle name="Input 2 6 2 2 5 2" xfId="21024"/>
    <cellStyle name="Input 2 6 2 2 5 3" xfId="21025"/>
    <cellStyle name="Input 2 6 2 2 6" xfId="21026"/>
    <cellStyle name="Output 2 13 2 8 3 2" xfId="21027"/>
    <cellStyle name="Output 2 5 7 5 2" xfId="21028"/>
    <cellStyle name="Input 2 6 2 2 6 2" xfId="21029"/>
    <cellStyle name="Input 2 6 2 2 6 2 2" xfId="21030"/>
    <cellStyle name="Input 2 6 2 2 7" xfId="21031"/>
    <cellStyle name="Output 2 13 2 8 3 3" xfId="21032"/>
    <cellStyle name="Output 2 5 7 5 3" xfId="21033"/>
    <cellStyle name="Input 2 6 2 3 2 2" xfId="21034"/>
    <cellStyle name="Input 2 6 2 3 2 3" xfId="21035"/>
    <cellStyle name="Input 2 6 2 3 2 4" xfId="21036"/>
    <cellStyle name="Input 2 6 2 3 3 2" xfId="21037"/>
    <cellStyle name="Title 2 2 4" xfId="21038"/>
    <cellStyle name="Input 2 6 2 3 3 3" xfId="21039"/>
    <cellStyle name="Title 2 2 5" xfId="21040"/>
    <cellStyle name="Input 2 6 2 3 3 4" xfId="21041"/>
    <cellStyle name="Title 2 2 6" xfId="21042"/>
    <cellStyle name="Input 2 6 2 3 4" xfId="21043"/>
    <cellStyle name="Input 2 6 2 3 4 2" xfId="21044"/>
    <cellStyle name="Input 2 6 2 3 4 3" xfId="21045"/>
    <cellStyle name="Input 2 6 2 3 5" xfId="21046"/>
    <cellStyle name="Input 2 6 2 3 5 2" xfId="21047"/>
    <cellStyle name="Input 2 6 2 3 5 3" xfId="21048"/>
    <cellStyle name="Input 2 6 2 3 6" xfId="21049"/>
    <cellStyle name="Output 2 13 2 8 4 2" xfId="21050"/>
    <cellStyle name="Output 2 7 2 7 2 2" xfId="21051"/>
    <cellStyle name="Input 2 6 2 3 6 2" xfId="21052"/>
    <cellStyle name="Input 2 6 2 3 6 2 2" xfId="21053"/>
    <cellStyle name="Output 2 2 9 2 3" xfId="21054"/>
    <cellStyle name="Input 2 6 2 3 7" xfId="21055"/>
    <cellStyle name="Output 2 13 2 8 4 3" xfId="21056"/>
    <cellStyle name="Output 2 7 2 7 2 3" xfId="21057"/>
    <cellStyle name="Total 2 13 8 2 2" xfId="21058"/>
    <cellStyle name="Input 2 6 2 4" xfId="21059"/>
    <cellStyle name="Note 2 12 5 3 3" xfId="21060"/>
    <cellStyle name="Input 2 6 2 4 2 2" xfId="21061"/>
    <cellStyle name="Input 2 6 2 4 2 3" xfId="21062"/>
    <cellStyle name="Output 2 7 2 14 2" xfId="21063"/>
    <cellStyle name="Input 2 6 2 4 2 4" xfId="21064"/>
    <cellStyle name="Output 2 7 2 14 3" xfId="21065"/>
    <cellStyle name="Input 2 6 2 4 3" xfId="21066"/>
    <cellStyle name="Input 2 6 2 4 3 2" xfId="21067"/>
    <cellStyle name="Input 2 6 2 4 3 3" xfId="21068"/>
    <cellStyle name="Input 2 6 2 4 3 4" xfId="21069"/>
    <cellStyle name="Input 2 6 2 4 4" xfId="21070"/>
    <cellStyle name="Input 2 6 2 4 4 2" xfId="21071"/>
    <cellStyle name="Input 2 6 2 4 4 3" xfId="21072"/>
    <cellStyle name="Input 2 6 2 4 5" xfId="21073"/>
    <cellStyle name="Input 2 6 2 4 5 2" xfId="21074"/>
    <cellStyle name="Input 2 6 2 4 5 3" xfId="21075"/>
    <cellStyle name="Input 2 6 2 4 6" xfId="21076"/>
    <cellStyle name="Output 2 13 2 8 5 2" xfId="21077"/>
    <cellStyle name="Output 2 7 2 7 3 2" xfId="21078"/>
    <cellStyle name="Input 2 6 2 4 7" xfId="21079"/>
    <cellStyle name="Output 2 13 2 8 5 3" xfId="21080"/>
    <cellStyle name="Output 2 7 2 7 3 3" xfId="21081"/>
    <cellStyle name="Total 2 13 8 2 3" xfId="21082"/>
    <cellStyle name="Input 2 6 2 5" xfId="21083"/>
    <cellStyle name="Note 2 12 5 3 4" xfId="21084"/>
    <cellStyle name="Input 2 6 2 5 2" xfId="21085"/>
    <cellStyle name="Input 2 6 2 5 2 2" xfId="21086"/>
    <cellStyle name="Input 2 6 2 5 2 3" xfId="21087"/>
    <cellStyle name="Input 2 6 2 5 2 4" xfId="21088"/>
    <cellStyle name="Input 2 6 2 5 3" xfId="21089"/>
    <cellStyle name="Input 2 6 2 5 3 2" xfId="21090"/>
    <cellStyle name="Input 2 6 2 5 3 3" xfId="21091"/>
    <cellStyle name="Input 2 6 2 5 3 4" xfId="21092"/>
    <cellStyle name="Input 2 6 2 5 4" xfId="21093"/>
    <cellStyle name="Input 2 6 2 5 4 2" xfId="21094"/>
    <cellStyle name="Input 2 6 2 5 4 3" xfId="21095"/>
    <cellStyle name="Title 2 2" xfId="21096"/>
    <cellStyle name="Input 2 6 2 5 5" xfId="21097"/>
    <cellStyle name="Input 2 6 2 5 5 2" xfId="21098"/>
    <cellStyle name="Input 2 6 2 5 5 3" xfId="21099"/>
    <cellStyle name="Input 2 6 2 5 6" xfId="21100"/>
    <cellStyle name="Output 2 11 3 10 2 2" xfId="21101"/>
    <cellStyle name="Output 2 7 2 7 4 2" xfId="21102"/>
    <cellStyle name="Input 2 6 2 5 7" xfId="21103"/>
    <cellStyle name="Note 2 6 8 2 2" xfId="21104"/>
    <cellStyle name="Output 2 11 3 10 2 3" xfId="21105"/>
    <cellStyle name="Output 2 7 2 7 4 3" xfId="21106"/>
    <cellStyle name="Total 2 13 8 2 4" xfId="21107"/>
    <cellStyle name="Input 2 6 2 6" xfId="21108"/>
    <cellStyle name="Input 2 6 2 6 2" xfId="21109"/>
    <cellStyle name="Input 2 6 2 6 2 2" xfId="21110"/>
    <cellStyle name="Input 2 6 2 6 2 3" xfId="21111"/>
    <cellStyle name="Input 2 6 2 6 2 4" xfId="21112"/>
    <cellStyle name="Input 2 6 2 6 3" xfId="21113"/>
    <cellStyle name="Input 2 6 2 6 3 2" xfId="21114"/>
    <cellStyle name="Input 2 6 2 6 3 3" xfId="21115"/>
    <cellStyle name="Input 2 6 2 6 3 4" xfId="21116"/>
    <cellStyle name="Input 2 6 2 6 4" xfId="21117"/>
    <cellStyle name="Input 2 6 2 6 4 2" xfId="21118"/>
    <cellStyle name="Input 2 6 2 6 4 3" xfId="21119"/>
    <cellStyle name="Input 2 6 2 6 5" xfId="21120"/>
    <cellStyle name="Input 2 6 2 6 5 2" xfId="21121"/>
    <cellStyle name="Input 2 6 2 6 5 3" xfId="21122"/>
    <cellStyle name="Input 2 6 2 6 6" xfId="21123"/>
    <cellStyle name="Output 2 11 3 10 3 2" xfId="21124"/>
    <cellStyle name="Output 2 7 2 7 5 2" xfId="21125"/>
    <cellStyle name="Input 2 6 2 6 7" xfId="21126"/>
    <cellStyle name="Note 2 6 8 3 2" xfId="21127"/>
    <cellStyle name="Output 2 11 3 10 3 3" xfId="21128"/>
    <cellStyle name="Output 2 7 2 7 5 3" xfId="21129"/>
    <cellStyle name="Input 2 6 2 7" xfId="21130"/>
    <cellStyle name="Input 2 6 2 7 2" xfId="21131"/>
    <cellStyle name="Input 2 6 2 7 2 2" xfId="21132"/>
    <cellStyle name="Total 2 10 2 4" xfId="21133"/>
    <cellStyle name="Input 2 6 2 7 2 3" xfId="21134"/>
    <cellStyle name="Total 2 10 2 5" xfId="21135"/>
    <cellStyle name="Input 2 6 2 7 2 4" xfId="21136"/>
    <cellStyle name="Total 2 10 2 6" xfId="21137"/>
    <cellStyle name="Input 2 6 2 7 3" xfId="21138"/>
    <cellStyle name="Input 2 6 2 7 3 2" xfId="21139"/>
    <cellStyle name="Total 2 10 3 4" xfId="21140"/>
    <cellStyle name="Input 2 6 2 7 3 3" xfId="21141"/>
    <cellStyle name="Total 2 10 3 5" xfId="21142"/>
    <cellStyle name="Input 2 6 2 7 3 4" xfId="21143"/>
    <cellStyle name="Total 2 10 3 6" xfId="21144"/>
    <cellStyle name="Input 2 6 2 7 4" xfId="21145"/>
    <cellStyle name="Input 2 6 2 7 4 2" xfId="21146"/>
    <cellStyle name="Total 2 10 4 4" xfId="21147"/>
    <cellStyle name="Input 2 6 2 7 4 3" xfId="21148"/>
    <cellStyle name="Total 2 10 4 5" xfId="21149"/>
    <cellStyle name="Input 2 6 2 7 5" xfId="21150"/>
    <cellStyle name="Input 2 6 2 7 5 2" xfId="21151"/>
    <cellStyle name="Total 2 10 5 4" xfId="21152"/>
    <cellStyle name="Input 2 6 2 7 5 3" xfId="21153"/>
    <cellStyle name="Total 2 10 5 5" xfId="21154"/>
    <cellStyle name="Input 2 6 2 7 6" xfId="21155"/>
    <cellStyle name="Output 2 11 3 10 4 2" xfId="21156"/>
    <cellStyle name="Input 2 6 2 7 7" xfId="21157"/>
    <cellStyle name="Note 2 6 8 4 2" xfId="21158"/>
    <cellStyle name="Output 2 11 3 10 4 3" xfId="21159"/>
    <cellStyle name="Input 2 6 2 8" xfId="21160"/>
    <cellStyle name="Input 2 6 2 8 2" xfId="21161"/>
    <cellStyle name="Input 2 6 2 8 2 2" xfId="21162"/>
    <cellStyle name="Total 2 11 2 4" xfId="21163"/>
    <cellStyle name="Input 2 6 2 8 2 3" xfId="21164"/>
    <cellStyle name="Total 2 11 2 5" xfId="21165"/>
    <cellStyle name="Input 2 6 2 8 2 4" xfId="21166"/>
    <cellStyle name="Total 2 11 2 6" xfId="21167"/>
    <cellStyle name="Input 2 6 2 8 3" xfId="21168"/>
    <cellStyle name="Input 2 6 2 8 3 2" xfId="21169"/>
    <cellStyle name="Total 2 11 3 4" xfId="21170"/>
    <cellStyle name="Input 2 6 2 8 3 3" xfId="21171"/>
    <cellStyle name="Normal 2 4 3 2 2 2" xfId="21172"/>
    <cellStyle name="Total 2 11 3 5" xfId="21173"/>
    <cellStyle name="Input 2 6 2 8 3 4" xfId="21174"/>
    <cellStyle name="Total 2 11 3 6" xfId="21175"/>
    <cellStyle name="Input 2 6 2 8 4" xfId="21176"/>
    <cellStyle name="Input 2 6 2 8 4 2" xfId="21177"/>
    <cellStyle name="Normal 21 8" xfId="21178"/>
    <cellStyle name="Input 2 6 2 8 4 3" xfId="21179"/>
    <cellStyle name="Normal 21 9" xfId="21180"/>
    <cellStyle name="Input 2 6 2 8 5" xfId="21181"/>
    <cellStyle name="Input 2 6 2 8 5 2" xfId="21182"/>
    <cellStyle name="Input 2 6 2 8 5 3" xfId="21183"/>
    <cellStyle name="Input 2 6 2 8 6" xfId="21184"/>
    <cellStyle name="Output 2 11 3 10 5 2" xfId="21185"/>
    <cellStyle name="Input 2 6 2 8 7" xfId="21186"/>
    <cellStyle name="Note 2 6 8 5 2" xfId="21187"/>
    <cellStyle name="Output 2 11 3 10 5 3" xfId="21188"/>
    <cellStyle name="Input 2 6 2 9" xfId="21189"/>
    <cellStyle name="Input 2 6 2 9 2" xfId="21190"/>
    <cellStyle name="Input 2 6 2 9 2 2" xfId="21191"/>
    <cellStyle name="Input 2 6 2 9 2 3" xfId="21192"/>
    <cellStyle name="Output 2 7 3 14 2" xfId="21193"/>
    <cellStyle name="Input 2 6 2 9 2 4" xfId="21194"/>
    <cellStyle name="Output 2 7 3 14 3" xfId="21195"/>
    <cellStyle name="Input 2 6 2 9 3" xfId="21196"/>
    <cellStyle name="Input 2 6 2 9 3 3" xfId="21197"/>
    <cellStyle name="Normal 2 4 3 3 2 2" xfId="21198"/>
    <cellStyle name="Input 2 6 2 9 3 4" xfId="21199"/>
    <cellStyle name="Input 2 6 2 9 4" xfId="21200"/>
    <cellStyle name="Input 2 6 2 9 4 2" xfId="21201"/>
    <cellStyle name="Input 2 6 2 9 4 3" xfId="21202"/>
    <cellStyle name="Input 2 6 2 9 5" xfId="21203"/>
    <cellStyle name="Input 2 6 2 9 5 2" xfId="21204"/>
    <cellStyle name="Input 2 6 2 9 5 3" xfId="21205"/>
    <cellStyle name="Input 2 6 2 9 6" xfId="21206"/>
    <cellStyle name="Input 2 6 2 9 7" xfId="21207"/>
    <cellStyle name="Input 2 6 3" xfId="21208"/>
    <cellStyle name="Input 2 6 3 10" xfId="21209"/>
    <cellStyle name="Note 2 2 2 2 15" xfId="21210"/>
    <cellStyle name="Note 2 2 2 2 20" xfId="21211"/>
    <cellStyle name="Input 2 6 3 10 2 2" xfId="21212"/>
    <cellStyle name="Input 2 6 3 10 2 3" xfId="21213"/>
    <cellStyle name="Input 2 6 3 10 2 4" xfId="21214"/>
    <cellStyle name="Note 2 6 3 10 2 2" xfId="21215"/>
    <cellStyle name="Input 2 6 3 10 3" xfId="21216"/>
    <cellStyle name="Input 2 6 3 10 3 4" xfId="21217"/>
    <cellStyle name="Note 2 6 3 10 3 2" xfId="21218"/>
    <cellStyle name="Input 2 6 3 10 5 3" xfId="21219"/>
    <cellStyle name="Output 2 6 10 2 4" xfId="21220"/>
    <cellStyle name="Input 2 6 3 10 6" xfId="21221"/>
    <cellStyle name="Input 2 6 3 10 7" xfId="21222"/>
    <cellStyle name="Input 2 6 3 11" xfId="21223"/>
    <cellStyle name="Note 2 2 2 2 16" xfId="21224"/>
    <cellStyle name="Note 2 2 2 2 21" xfId="21225"/>
    <cellStyle name="Input 2 6 3 11 2" xfId="21226"/>
    <cellStyle name="Input 2 6 3 11 3" xfId="21227"/>
    <cellStyle name="Input 2 6 3 11 4" xfId="21228"/>
    <cellStyle name="Input 2 6 3 12 2" xfId="21229"/>
    <cellStyle name="Note 2 5 3 7 2 3" xfId="21230"/>
    <cellStyle name="Input 2 6 3 12 3" xfId="21231"/>
    <cellStyle name="Note 2 5 3 7 2 4" xfId="21232"/>
    <cellStyle name="Input 2 6 3 12 4" xfId="21233"/>
    <cellStyle name="Input 2 6 3 13 2" xfId="21234"/>
    <cellStyle name="Note 2 5 3 7 3 3" xfId="21235"/>
    <cellStyle name="Input 2 6 3 13 3" xfId="21236"/>
    <cellStyle name="Note 2 5 3 7 3 4" xfId="21237"/>
    <cellStyle name="Input 2 6 3 14 2" xfId="21238"/>
    <cellStyle name="Normal 30 11" xfId="21239"/>
    <cellStyle name="Note 2 5 3 7 4 3" xfId="21240"/>
    <cellStyle name="Input 2 6 3 14 3" xfId="21241"/>
    <cellStyle name="Normal 30 12" xfId="21242"/>
    <cellStyle name="Input 2 6 3 15" xfId="21243"/>
    <cellStyle name="Note 2 2 2 2 25" xfId="21244"/>
    <cellStyle name="Note 2 2 2 2 30" xfId="21245"/>
    <cellStyle name="Note 2 2 2 9 5 3" xfId="21246"/>
    <cellStyle name="Input 2 6 3 16" xfId="21247"/>
    <cellStyle name="Note 2 2 2 2 26" xfId="21248"/>
    <cellStyle name="Input 2 6 3 2 2" xfId="21249"/>
    <cellStyle name="Note 2 2 2 2 3 2" xfId="21250"/>
    <cellStyle name="Input 2 6 3 2 2 2" xfId="21251"/>
    <cellStyle name="Note 2 14 7 5" xfId="21252"/>
    <cellStyle name="Note 2 2 2 2 3 2 2" xfId="21253"/>
    <cellStyle name="Input 2 6 3 2 2 3" xfId="21254"/>
    <cellStyle name="Note 2 14 7 6" xfId="21255"/>
    <cellStyle name="Note 2 14 7 7" xfId="21256"/>
    <cellStyle name="Input 2 6 3 2 2 4" xfId="21257"/>
    <cellStyle name="Note 2 3 2 4 4 2" xfId="21258"/>
    <cellStyle name="Input 2 6 3 2 3" xfId="21259"/>
    <cellStyle name="Note 2 2 2 2 3 3" xfId="21260"/>
    <cellStyle name="Input 2 6 3 2 3 2" xfId="21261"/>
    <cellStyle name="Note 2 14 8 5" xfId="21262"/>
    <cellStyle name="Note 2 2 2 2 3 3 2" xfId="21263"/>
    <cellStyle name="Input 2 6 3 2 4" xfId="21264"/>
    <cellStyle name="Note 2 2 2 2 3 4" xfId="21265"/>
    <cellStyle name="Input 2 6 3 2 4 2" xfId="21266"/>
    <cellStyle name="Note 2 14 9 5" xfId="21267"/>
    <cellStyle name="Input 2 6 3 2 5" xfId="21268"/>
    <cellStyle name="Note 2 2 2 2 3 5" xfId="21269"/>
    <cellStyle name="Input 2 6 3 2 5 2" xfId="21270"/>
    <cellStyle name="Note 2 2 2 2 3 6" xfId="21271"/>
    <cellStyle name="Input 2 6 3 2 6" xfId="21272"/>
    <cellStyle name="Output 2 13 2 9 3 2" xfId="21273"/>
    <cellStyle name="Output 2 5 8 5 2" xfId="21274"/>
    <cellStyle name="Input 2 6 3 2 7" xfId="21275"/>
    <cellStyle name="Output 2 13 2 9 3 3" xfId="21276"/>
    <cellStyle name="Output 2 5 8 5 3" xfId="21277"/>
    <cellStyle name="Input 2 6 3 3 2 2" xfId="21278"/>
    <cellStyle name="Note 2 15 7 5" xfId="21279"/>
    <cellStyle name="Note 2 2 2 2 4 2 2" xfId="21280"/>
    <cellStyle name="Input 2 6 3 3 2 3" xfId="21281"/>
    <cellStyle name="Note 2 15 7 6" xfId="21282"/>
    <cellStyle name="Note 2 15 7 7" xfId="21283"/>
    <cellStyle name="Input 2 6 3 3 2 4" xfId="21284"/>
    <cellStyle name="Note 2 3 2 5 4 2" xfId="21285"/>
    <cellStyle name="Input 2 6 3 3 3 2" xfId="21286"/>
    <cellStyle name="Note 2 15 8 5" xfId="21287"/>
    <cellStyle name="Input 2 6 3 3 4" xfId="21288"/>
    <cellStyle name="Note 2 2 2 2 4 4" xfId="21289"/>
    <cellStyle name="Input 2 6 3 3 4 2" xfId="21290"/>
    <cellStyle name="Note 2 15 9 5" xfId="21291"/>
    <cellStyle name="Input 2 6 3 3 5" xfId="21292"/>
    <cellStyle name="Input 2 6 3 3 5 2" xfId="21293"/>
    <cellStyle name="Input 2 6 3 3 6" xfId="21294"/>
    <cellStyle name="Output 2 13 2 9 4 2" xfId="21295"/>
    <cellStyle name="Output 2 7 2 8 2 2" xfId="21296"/>
    <cellStyle name="Input 2 6 3 3 7" xfId="21297"/>
    <cellStyle name="Output 2 13 2 9 4 3" xfId="21298"/>
    <cellStyle name="Output 2 7 2 8 2 3" xfId="21299"/>
    <cellStyle name="Total 2 13 8 3 2" xfId="21300"/>
    <cellStyle name="Input 2 6 3 4" xfId="21301"/>
    <cellStyle name="Note 2 12 5 4 3" xfId="21302"/>
    <cellStyle name="Note 2 2 2 2 5" xfId="21303"/>
    <cellStyle name="Input 2 6 3 4 2 2" xfId="21304"/>
    <cellStyle name="Note 2 16 7 5" xfId="21305"/>
    <cellStyle name="Note 2 2 2 2 5 2 2" xfId="21306"/>
    <cellStyle name="Input 2 6 3 4 2 3" xfId="21307"/>
    <cellStyle name="Note 2 16 7 6" xfId="21308"/>
    <cellStyle name="Note 2 16 7 7" xfId="21309"/>
    <cellStyle name="Input 2 6 3 4 2 4" xfId="21310"/>
    <cellStyle name="Note 2 3 2 6 4 2" xfId="21311"/>
    <cellStyle name="Input 2 6 3 4 3" xfId="21312"/>
    <cellStyle name="Note 2 2 2 2 5 3" xfId="21313"/>
    <cellStyle name="Input 2 6 3 4 3 2" xfId="21314"/>
    <cellStyle name="Note 2 16 8 5" xfId="21315"/>
    <cellStyle name="Input 2 6 3 4 4" xfId="21316"/>
    <cellStyle name="Note 2 2 2 2 5 4" xfId="21317"/>
    <cellStyle name="Input 2 6 3 4 4 2" xfId="21318"/>
    <cellStyle name="Note 2 16 9 5" xfId="21319"/>
    <cellStyle name="Note 2 2 2 2 2 9" xfId="21320"/>
    <cellStyle name="Input 2 6 3 4 5" xfId="21321"/>
    <cellStyle name="Input 2 6 3 4 5 2" xfId="21322"/>
    <cellStyle name="Note 2 8 3 2 2 2" xfId="21323"/>
    <cellStyle name="Input 2 6 3 4 6" xfId="21324"/>
    <cellStyle name="Output 2 13 2 9 5 2" xfId="21325"/>
    <cellStyle name="Output 2 7 2 8 3 2" xfId="21326"/>
    <cellStyle name="Note 2 8 3 2 2 3" xfId="21327"/>
    <cellStyle name="Input 2 6 3 4 7" xfId="21328"/>
    <cellStyle name="Output 2 13 2 9 5 3" xfId="21329"/>
    <cellStyle name="Output 2 7 2 8 3 3" xfId="21330"/>
    <cellStyle name="Total 2 13 8 3 3" xfId="21331"/>
    <cellStyle name="Input 2 6 3 5" xfId="21332"/>
    <cellStyle name="Note 2 2 2 2 6" xfId="21333"/>
    <cellStyle name="Input 2 6 3 5 2" xfId="21334"/>
    <cellStyle name="Note 2 2 2 2 6 2" xfId="21335"/>
    <cellStyle name="Input 2 6 3 5 2 2" xfId="21336"/>
    <cellStyle name="Note 2 2 2 2 6 2 2" xfId="21337"/>
    <cellStyle name="Input 2 6 3 5 2 3" xfId="21338"/>
    <cellStyle name="Input 2 6 3 5 2 4" xfId="21339"/>
    <cellStyle name="Note 2 3 2 7 4 2" xfId="21340"/>
    <cellStyle name="Input 2 6 3 5 3" xfId="21341"/>
    <cellStyle name="Note 2 2 2 2 6 3" xfId="21342"/>
    <cellStyle name="Input 2 6 3 5 3 2" xfId="21343"/>
    <cellStyle name="Input 2 6 3 5 4" xfId="21344"/>
    <cellStyle name="Note 2 2 2 2 6 4" xfId="21345"/>
    <cellStyle name="Input 2 6 3 5 4 2" xfId="21346"/>
    <cellStyle name="Input 2 6 3 5 5" xfId="21347"/>
    <cellStyle name="Input 2 6 3 5 5 2" xfId="21348"/>
    <cellStyle name="Note 2 5 10 5" xfId="21349"/>
    <cellStyle name="Input 2 6 3 5 6" xfId="21350"/>
    <cellStyle name="Note 2 8 3 2 3 2" xfId="21351"/>
    <cellStyle name="Output 2 7 2 8 4 2" xfId="21352"/>
    <cellStyle name="Input 2 6 3 5 7" xfId="21353"/>
    <cellStyle name="Note 2 6 9 2 2" xfId="21354"/>
    <cellStyle name="Note 2 8 3 2 3 3" xfId="21355"/>
    <cellStyle name="Output 2 7 2 8 4 3" xfId="21356"/>
    <cellStyle name="Total 2 13 8 3 4" xfId="21357"/>
    <cellStyle name="Input 2 6 3 6" xfId="21358"/>
    <cellStyle name="Note 2 2 2 2 7" xfId="21359"/>
    <cellStyle name="Input 2 6 3 6 2" xfId="21360"/>
    <cellStyle name="Note 2 2 2 2 7 2" xfId="21361"/>
    <cellStyle name="Input 2 6 3 6 2 2" xfId="21362"/>
    <cellStyle name="Input 2 6 3 6 2 3" xfId="21363"/>
    <cellStyle name="Input 2 6 3 6 2 4" xfId="21364"/>
    <cellStyle name="Note 2 3 2 8 4 2" xfId="21365"/>
    <cellStyle name="Input 2 6 3 6 3" xfId="21366"/>
    <cellStyle name="Input 2 6 3 6 3 2" xfId="21367"/>
    <cellStyle name="Input 2 6 3 6 4" xfId="21368"/>
    <cellStyle name="Input 2 6 3 6 4 2" xfId="21369"/>
    <cellStyle name="Input 2 6 3 6 5" xfId="21370"/>
    <cellStyle name="Input 2 6 3 6 6" xfId="21371"/>
    <cellStyle name="Note 2 8 3 2 4 2" xfId="21372"/>
    <cellStyle name="Output 2 7 2 8 5 2" xfId="21373"/>
    <cellStyle name="Input 2 6 3 6 7" xfId="21374"/>
    <cellStyle name="Note 2 6 9 3 2" xfId="21375"/>
    <cellStyle name="Note 2 8 3 2 4 3" xfId="21376"/>
    <cellStyle name="Output 2 7 2 8 5 3" xfId="21377"/>
    <cellStyle name="Input 2 6 3 7" xfId="21378"/>
    <cellStyle name="Note 2 2 2 2 8" xfId="21379"/>
    <cellStyle name="Input 2 6 3 7 2" xfId="21380"/>
    <cellStyle name="Note 2 2 2 2 8 2" xfId="21381"/>
    <cellStyle name="Input 2 6 3 7 2 2" xfId="21382"/>
    <cellStyle name="Input 2 6 3 7 2 3" xfId="21383"/>
    <cellStyle name="Input 2 6 3 7 2 4" xfId="21384"/>
    <cellStyle name="Note 2 3 2 9 4 2" xfId="21385"/>
    <cellStyle name="Input 2 6 3 7 3" xfId="21386"/>
    <cellStyle name="Input 2 6 3 7 3 2" xfId="21387"/>
    <cellStyle name="Input 2 6 3 7 4" xfId="21388"/>
    <cellStyle name="Input 2 6 3 7 4 2" xfId="21389"/>
    <cellStyle name="Input 2 6 3 7 5" xfId="21390"/>
    <cellStyle name="Input 2 6 3 7 5 2" xfId="21391"/>
    <cellStyle name="Input 2 6 3 7 6" xfId="21392"/>
    <cellStyle name="Note 2 8 3 2 5 2" xfId="21393"/>
    <cellStyle name="Input 2 6 3 7 7" xfId="21394"/>
    <cellStyle name="Note 2 6 9 4 2" xfId="21395"/>
    <cellStyle name="Note 2 8 3 2 5 3" xfId="21396"/>
    <cellStyle name="Input 2 6 3 8" xfId="21397"/>
    <cellStyle name="Note 2 2 2 2 9" xfId="21398"/>
    <cellStyle name="Input 2 6 3 8 2" xfId="21399"/>
    <cellStyle name="Note 2 2 2 2 9 2" xfId="21400"/>
    <cellStyle name="Input 2 6 3 8 2 2" xfId="21401"/>
    <cellStyle name="Input 2 6 3 8 2 3" xfId="21402"/>
    <cellStyle name="Input 2 6 3 8 2 4" xfId="21403"/>
    <cellStyle name="Input 2 6 3 8 3" xfId="21404"/>
    <cellStyle name="Input 2 6 3 8 3 2" xfId="21405"/>
    <cellStyle name="Input 2 6 3 8 3 3" xfId="21406"/>
    <cellStyle name="Input 2 6 3 8 3 4" xfId="21407"/>
    <cellStyle name="Input 2 6 3 8 4" xfId="21408"/>
    <cellStyle name="Input 2 6 3 8 4 2" xfId="21409"/>
    <cellStyle name="Input 2 6 3 8 4 3" xfId="21410"/>
    <cellStyle name="Input 2 6 3 8 5" xfId="21411"/>
    <cellStyle name="Input 2 6 3 8 5 2" xfId="21412"/>
    <cellStyle name="Input 2 6 3 8 5 3" xfId="21413"/>
    <cellStyle name="Input 2 6 3 8 6" xfId="21414"/>
    <cellStyle name="Input 2 6 3 8 7" xfId="21415"/>
    <cellStyle name="Note 2 6 9 5 2" xfId="21416"/>
    <cellStyle name="Input 2 6 3 9" xfId="21417"/>
    <cellStyle name="Input 2 6 3 9 2" xfId="21418"/>
    <cellStyle name="Input 2 6 3 9 2 2" xfId="21419"/>
    <cellStyle name="Input 2 6 3 9 2 3" xfId="21420"/>
    <cellStyle name="Input 2 6 3 9 2 4" xfId="21421"/>
    <cellStyle name="Input 2 6 3 9 3" xfId="21422"/>
    <cellStyle name="Input 2 6 3 9 3 2" xfId="21423"/>
    <cellStyle name="Input 2 6 3 9 3 3" xfId="21424"/>
    <cellStyle name="Input 2 6 3 9 3 4" xfId="21425"/>
    <cellStyle name="Input 2 6 3 9 4" xfId="21426"/>
    <cellStyle name="Input 2 6 3 9 4 2" xfId="21427"/>
    <cellStyle name="Input 2 6 3 9 4 3" xfId="21428"/>
    <cellStyle name="Input 2 6 3 9 5" xfId="21429"/>
    <cellStyle name="Input 2 6 3 9 5 2" xfId="21430"/>
    <cellStyle name="Input 2 6 3 9 5 3" xfId="21431"/>
    <cellStyle name="Input 2 6 3 9 6" xfId="21432"/>
    <cellStyle name="Input 2 6 3 9 7" xfId="21433"/>
    <cellStyle name="Input 2 6 4" xfId="21434"/>
    <cellStyle name="Input 2 6 4 2 2" xfId="21435"/>
    <cellStyle name="Note 2 13 13 4" xfId="21436"/>
    <cellStyle name="Note 2 2 2 3 3 2" xfId="21437"/>
    <cellStyle name="Input 2 6 4 2 3" xfId="21438"/>
    <cellStyle name="Note 2 2 2 3 3 3" xfId="21439"/>
    <cellStyle name="Input 2 6 4 2 4" xfId="21440"/>
    <cellStyle name="Note 2 2 2 3 3 4" xfId="21441"/>
    <cellStyle name="Total 2 2 2 3" xfId="21442"/>
    <cellStyle name="Input 2 6 4 3 2" xfId="21443"/>
    <cellStyle name="Note 2 13 14 4" xfId="21444"/>
    <cellStyle name="Note 2 2 2 3 4 2" xfId="21445"/>
    <cellStyle name="Total 2 2 2 5" xfId="21446"/>
    <cellStyle name="Input 2 6 4 3 4" xfId="21447"/>
    <cellStyle name="Total 2 13 8 4 2" xfId="21448"/>
    <cellStyle name="Input 2 6 4 4" xfId="21449"/>
    <cellStyle name="Note 2 12 5 5 3" xfId="21450"/>
    <cellStyle name="Note 2 2 2 3 5" xfId="21451"/>
    <cellStyle name="Total 2 2 3 3" xfId="21452"/>
    <cellStyle name="Input 2 6 4 4 2" xfId="21453"/>
    <cellStyle name="Note 2 2 2 3 5 2" xfId="21454"/>
    <cellStyle name="Total 2 2 3 4" xfId="21455"/>
    <cellStyle name="Input 2 6 4 4 3" xfId="21456"/>
    <cellStyle name="Note 2 2 2 3 5 3" xfId="21457"/>
    <cellStyle name="Total 2 13 8 4 3" xfId="21458"/>
    <cellStyle name="Input 2 6 4 5" xfId="21459"/>
    <cellStyle name="Note 2 2 2 3 6" xfId="21460"/>
    <cellStyle name="Total 2 2 4 3" xfId="21461"/>
    <cellStyle name="Input 2 6 4 5 2" xfId="21462"/>
    <cellStyle name="Note 2 2 2 3 6 2" xfId="21463"/>
    <cellStyle name="Total 2 2 4 4" xfId="21464"/>
    <cellStyle name="Input 2 6 4 5 3" xfId="21465"/>
    <cellStyle name="Note 2 2 2 3 6 3" xfId="21466"/>
    <cellStyle name="Input 2 6 4 6" xfId="21467"/>
    <cellStyle name="Note 2 2 2 3 7" xfId="21468"/>
    <cellStyle name="Input 2 6 5 2 2" xfId="21469"/>
    <cellStyle name="Note 2 2 2 4 3 2" xfId="21470"/>
    <cellStyle name="Total 2 3 2 4" xfId="21471"/>
    <cellStyle name="Input 2 6 5 3 3" xfId="21472"/>
    <cellStyle name="Note 2 2 2 4 4 3" xfId="21473"/>
    <cellStyle name="Total 2 3 2 5" xfId="21474"/>
    <cellStyle name="Input 2 6 5 3 4" xfId="21475"/>
    <cellStyle name="Total 2 13 8 5 2" xfId="21476"/>
    <cellStyle name="Input 2 6 5 4" xfId="21477"/>
    <cellStyle name="Note 2 2 2 4 5" xfId="21478"/>
    <cellStyle name="Total 2 13 8 5 3" xfId="21479"/>
    <cellStyle name="Input 2 6 5 5" xfId="21480"/>
    <cellStyle name="Note 2 2 2 4 6" xfId="21481"/>
    <cellStyle name="Total 2 3 4 3" xfId="21482"/>
    <cellStyle name="Input 2 6 5 5 2" xfId="21483"/>
    <cellStyle name="Note 2 2 2 4 6 2" xfId="21484"/>
    <cellStyle name="Total 2 3 4 4" xfId="21485"/>
    <cellStyle name="Input 2 6 5 5 3" xfId="21486"/>
    <cellStyle name="Input 2 6 5 6" xfId="21487"/>
    <cellStyle name="Note 2 2 2 4 7" xfId="21488"/>
    <cellStyle name="Input 2 6 6 2 2" xfId="21489"/>
    <cellStyle name="Note 2 2 2 5 3 2" xfId="21490"/>
    <cellStyle name="Input 2 6 6 2 3" xfId="21491"/>
    <cellStyle name="Note 2 2 2 5 3 3" xfId="21492"/>
    <cellStyle name="Input 2 6 6 2 4" xfId="21493"/>
    <cellStyle name="Note 2 2 2 5 3 4" xfId="21494"/>
    <cellStyle name="Input 2 6 6 4" xfId="21495"/>
    <cellStyle name="Note 2 2 2 5 5" xfId="21496"/>
    <cellStyle name="Total 2 4 3 4" xfId="21497"/>
    <cellStyle name="Input 2 6 6 4 3" xfId="21498"/>
    <cellStyle name="Note 2 2 2 5 5 3" xfId="21499"/>
    <cellStyle name="Input 2 6 6 5" xfId="21500"/>
    <cellStyle name="Note 2 2 2 5 6" xfId="21501"/>
    <cellStyle name="Output 2 12 2 3 2 2" xfId="21502"/>
    <cellStyle name="Total 2 4 4 3" xfId="21503"/>
    <cellStyle name="Input 2 6 6 5 2" xfId="21504"/>
    <cellStyle name="Note 2 2 2 5 6 2" xfId="21505"/>
    <cellStyle name="Input 2 6 6 6" xfId="21506"/>
    <cellStyle name="Note 2 2 2 5 7" xfId="21507"/>
    <cellStyle name="Output 2 12 2 3 2 3" xfId="21508"/>
    <cellStyle name="Input 2 6 7" xfId="21509"/>
    <cellStyle name="Input 2 6 7 2 2" xfId="21510"/>
    <cellStyle name="Note 2 2 2 6 3 2" xfId="21511"/>
    <cellStyle name="Input 2 6 7 2 3" xfId="21512"/>
    <cellStyle name="Note 2 2 2 6 3 3" xfId="21513"/>
    <cellStyle name="Input 2 6 7 2 4" xfId="21514"/>
    <cellStyle name="Note 2 2 2 6 3 4" xfId="21515"/>
    <cellStyle name="Total 2 5 2 4" xfId="21516"/>
    <cellStyle name="Input 2 6 7 3 3" xfId="21517"/>
    <cellStyle name="Note 2 2 2 6 4 3" xfId="21518"/>
    <cellStyle name="Input 2 6 7 4" xfId="21519"/>
    <cellStyle name="Note 2 2 2 6 5" xfId="21520"/>
    <cellStyle name="Total 2 5 3 4" xfId="21521"/>
    <cellStyle name="Input 2 6 7 4 3" xfId="21522"/>
    <cellStyle name="Note 2 2 2 6 5 3" xfId="21523"/>
    <cellStyle name="Input 2 6 7 5" xfId="21524"/>
    <cellStyle name="Note 2 2 2 6 6" xfId="21525"/>
    <cellStyle name="Output 2 12 2 3 3 2" xfId="21526"/>
    <cellStyle name="Total 2 5 4 3" xfId="21527"/>
    <cellStyle name="Input 2 6 7 5 2" xfId="21528"/>
    <cellStyle name="Note 2 2 2 6 6 2" xfId="21529"/>
    <cellStyle name="Total 2 5 4 4" xfId="21530"/>
    <cellStyle name="Input 2 6 7 5 3" xfId="21531"/>
    <cellStyle name="Input 2 6 7 6" xfId="21532"/>
    <cellStyle name="Note 2 2 2 6 7" xfId="21533"/>
    <cellStyle name="Output 2 12 2 3 3 3" xfId="21534"/>
    <cellStyle name="Input 2 6 8 2" xfId="21535"/>
    <cellStyle name="Note 2 2 2 7 3" xfId="21536"/>
    <cellStyle name="Input 2 6 8 2 2" xfId="21537"/>
    <cellStyle name="Note 2 2 2 7 3 2" xfId="21538"/>
    <cellStyle name="Input 2 6 8 2 3" xfId="21539"/>
    <cellStyle name="Note 2 2 2 7 3 3" xfId="21540"/>
    <cellStyle name="Input 2 6 8 2 4" xfId="21541"/>
    <cellStyle name="Note 2 2 2 7 3 4" xfId="21542"/>
    <cellStyle name="Input 2 6 8 3" xfId="21543"/>
    <cellStyle name="Note 2 2 2 7 4" xfId="21544"/>
    <cellStyle name="Total 2 6 2 4" xfId="21545"/>
    <cellStyle name="Input 2 6 8 3 3" xfId="21546"/>
    <cellStyle name="Note 2 2 2 7 4 3" xfId="21547"/>
    <cellStyle name="Input 2 6 8 4" xfId="21548"/>
    <cellStyle name="Note 2 2 2 7 5" xfId="21549"/>
    <cellStyle name="Total 2 6 3 4" xfId="21550"/>
    <cellStyle name="Input 2 6 8 4 3" xfId="21551"/>
    <cellStyle name="Note 2 2 2 7 5 3" xfId="21552"/>
    <cellStyle name="Input 2 6 8 5" xfId="21553"/>
    <cellStyle name="Note 2 2 2 7 6" xfId="21554"/>
    <cellStyle name="Output 2 12 2 3 4 2" xfId="21555"/>
    <cellStyle name="Output 2 6 2 2 2 2" xfId="21556"/>
    <cellStyle name="Total 2 6 4 3" xfId="21557"/>
    <cellStyle name="Input 2 6 8 5 2" xfId="21558"/>
    <cellStyle name="Note 2 2 2 7 6 2" xfId="21559"/>
    <cellStyle name="Total 2 6 4 4" xfId="21560"/>
    <cellStyle name="Input 2 6 8 5 3" xfId="21561"/>
    <cellStyle name="Input 2 6 8 6" xfId="21562"/>
    <cellStyle name="Note 2 2 2 7 7" xfId="21563"/>
    <cellStyle name="Output 2 12 2 3 4 3" xfId="21564"/>
    <cellStyle name="Output 2 6 2 2 2 3" xfId="21565"/>
    <cellStyle name="Input 2 6 8 7" xfId="21566"/>
    <cellStyle name="Note 2 2 2 7 8" xfId="21567"/>
    <cellStyle name="Output 2 6 2 2 2 4" xfId="21568"/>
    <cellStyle name="Total 2 7 2 4" xfId="21569"/>
    <cellStyle name="Input 2 6 9 3 3" xfId="21570"/>
    <cellStyle name="Note 2 2 2 8 4 3" xfId="21571"/>
    <cellStyle name="Total 2 7 2 5" xfId="21572"/>
    <cellStyle name="Input 2 6 9 3 4" xfId="21573"/>
    <cellStyle name="Total 2 7 4 3" xfId="21574"/>
    <cellStyle name="Input 2 6 9 5 2" xfId="21575"/>
    <cellStyle name="Note 2 2 2 8 6 2" xfId="21576"/>
    <cellStyle name="Total 2 7 4 4" xfId="21577"/>
    <cellStyle name="Input 2 6 9 5 3" xfId="21578"/>
    <cellStyle name="Input 2 7 10" xfId="21579"/>
    <cellStyle name="Input 2 7 10 2" xfId="21580"/>
    <cellStyle name="Output 2 6 3 14 3" xfId="21581"/>
    <cellStyle name="Input 2 7 10 2 3" xfId="21582"/>
    <cellStyle name="Note 2 10 2 6 4 2" xfId="21583"/>
    <cellStyle name="Input 2 7 10 2 4" xfId="21584"/>
    <cellStyle name="Note 2 10 2 6 4 3" xfId="21585"/>
    <cellStyle name="Input 2 7 10 3 3" xfId="21586"/>
    <cellStyle name="Note 2 10 2 6 5 2" xfId="21587"/>
    <cellStyle name="Input 2 7 10 3 4" xfId="21588"/>
    <cellStyle name="Note 2 10 2 6 5 3" xfId="21589"/>
    <cellStyle name="Input 2 7 10 4 2" xfId="21590"/>
    <cellStyle name="Input 2 7 10 4 3" xfId="21591"/>
    <cellStyle name="Input 2 7 10 5 2" xfId="21592"/>
    <cellStyle name="Input 2 7 10 5 3" xfId="21593"/>
    <cellStyle name="Input 2 7 10 6" xfId="21594"/>
    <cellStyle name="Input 2 7 11" xfId="21595"/>
    <cellStyle name="Input 2 7 11 2" xfId="21596"/>
    <cellStyle name="Input 2 7 11 2 3" xfId="21597"/>
    <cellStyle name="Note 2 10 2 7 4 2" xfId="21598"/>
    <cellStyle name="Input 2 7 11 2 4" xfId="21599"/>
    <cellStyle name="Note 2 10 2 7 4 3" xfId="21600"/>
    <cellStyle name="Input 2 7 11 3 3" xfId="21601"/>
    <cellStyle name="Note 2 10 2 7 5 2" xfId="21602"/>
    <cellStyle name="Input 2 7 11 3 4" xfId="21603"/>
    <cellStyle name="Note 2 10 2 7 5 3" xfId="21604"/>
    <cellStyle name="Input 2 7 11 4 2" xfId="21605"/>
    <cellStyle name="Input 2 7 11 4 3" xfId="21606"/>
    <cellStyle name="Input 2 7 11 5 2" xfId="21607"/>
    <cellStyle name="Input 2 7 11 5 3" xfId="21608"/>
    <cellStyle name="Input 2 7 11 6" xfId="21609"/>
    <cellStyle name="Input 2 7 12" xfId="21610"/>
    <cellStyle name="Input 2 7 12 2" xfId="21611"/>
    <cellStyle name="Input 2 7 12 2 3" xfId="21612"/>
    <cellStyle name="Note 2 10 2 8 4 2" xfId="21613"/>
    <cellStyle name="Input 2 7 12 2 4" xfId="21614"/>
    <cellStyle name="Note 2 10 2 8 4 3" xfId="21615"/>
    <cellStyle name="Input 2 7 12 3 3" xfId="21616"/>
    <cellStyle name="Note 2 10 2 8 5 2" xfId="21617"/>
    <cellStyle name="Input 2 7 12 3 4" xfId="21618"/>
    <cellStyle name="Note 2 10 2 8 5 3" xfId="21619"/>
    <cellStyle name="Input 2 7 12 4 2" xfId="21620"/>
    <cellStyle name="Input 2 7 12 4 3" xfId="21621"/>
    <cellStyle name="Input 2 7 12 5" xfId="21622"/>
    <cellStyle name="Input 2 7 12 6" xfId="21623"/>
    <cellStyle name="Input 2 7 13" xfId="21624"/>
    <cellStyle name="Input 2 7 13 2" xfId="21625"/>
    <cellStyle name="Input 2 7 14 2" xfId="21626"/>
    <cellStyle name="Input 2 7 14 3" xfId="21627"/>
    <cellStyle name="Input 2 7 14 4" xfId="21628"/>
    <cellStyle name="Input 2 7 15 2" xfId="21629"/>
    <cellStyle name="Note 2 2 3 10 7" xfId="21630"/>
    <cellStyle name="Note 2 6 3 6 2 4" xfId="21631"/>
    <cellStyle name="Input 2 7 15 3" xfId="21632"/>
    <cellStyle name="Note 2 2 3 10 8" xfId="21633"/>
    <cellStyle name="Input 2 7 16 2" xfId="21634"/>
    <cellStyle name="Note 2 6 3 6 3 4" xfId="21635"/>
    <cellStyle name="Input 2 7 16 3" xfId="21636"/>
    <cellStyle name="Input 2 7 17 2" xfId="21637"/>
    <cellStyle name="Input 2 7 17 2 2" xfId="21638"/>
    <cellStyle name="Input 2 7 2" xfId="21639"/>
    <cellStyle name="Input 2 7 2 10" xfId="21640"/>
    <cellStyle name="Input 2 7 2 10 2 2" xfId="21641"/>
    <cellStyle name="Input 2 7 2 10 2 3" xfId="21642"/>
    <cellStyle name="Input 2 7 2 10 2 4" xfId="21643"/>
    <cellStyle name="Note 2 7 2 10 2 2" xfId="21644"/>
    <cellStyle name="Input 2 7 2 10 3 2" xfId="21645"/>
    <cellStyle name="Note 2 3 2 8" xfId="21646"/>
    <cellStyle name="Note 2 3 3 12 2" xfId="21647"/>
    <cellStyle name="Input 2 7 2 10 7" xfId="21648"/>
    <cellStyle name="Note 2 8 2 7 4 2" xfId="21649"/>
    <cellStyle name="Output 2 10 16 2" xfId="21650"/>
    <cellStyle name="Input 2 7 2 11" xfId="21651"/>
    <cellStyle name="Output 2 9 3 3 5 2" xfId="21652"/>
    <cellStyle name="Input 2 7 2 11 2" xfId="21653"/>
    <cellStyle name="Input 2 7 2 11 3" xfId="21654"/>
    <cellStyle name="Input 2 7 2 11 4" xfId="21655"/>
    <cellStyle name="Input 2 7 2 12 2" xfId="21656"/>
    <cellStyle name="Input 2 7 2 12 3" xfId="21657"/>
    <cellStyle name="Input 2 7 2 12 4" xfId="21658"/>
    <cellStyle name="Input 2 7 2 13 2" xfId="21659"/>
    <cellStyle name="Input 2 7 2 13 3" xfId="21660"/>
    <cellStyle name="Input 2 7 2 14" xfId="21661"/>
    <cellStyle name="Note 2 10 3 5 5 2" xfId="21662"/>
    <cellStyle name="Note 2 2 2 4 6 2 2 2" xfId="21663"/>
    <cellStyle name="Input 2 7 2 14 2" xfId="21664"/>
    <cellStyle name="Input 2 7 2 14 3" xfId="21665"/>
    <cellStyle name="Input 2 7 2 15" xfId="21666"/>
    <cellStyle name="Note 2 10 3 5 5 3" xfId="21667"/>
    <cellStyle name="Input 2 7 2 16" xfId="21668"/>
    <cellStyle name="Output 2 12 3 12 2" xfId="21669"/>
    <cellStyle name="Input 2 7 2 2 2" xfId="21670"/>
    <cellStyle name="Input 2 7 2 2 2 2" xfId="21671"/>
    <cellStyle name="Input 2 7 2 2 2 3" xfId="21672"/>
    <cellStyle name="Input 2 7 2 2 2 4" xfId="21673"/>
    <cellStyle name="Input 2 7 2 2 3" xfId="21674"/>
    <cellStyle name="Input 2 7 2 2 3 2" xfId="21675"/>
    <cellStyle name="Input 2 7 2 2 3 3" xfId="21676"/>
    <cellStyle name="Input 2 7 2 2 4" xfId="21677"/>
    <cellStyle name="Input 2 7 2 2 4 2" xfId="21678"/>
    <cellStyle name="Input 2 7 2 2 4 3" xfId="21679"/>
    <cellStyle name="Input 2 7 2 2 5" xfId="21680"/>
    <cellStyle name="Input 2 7 2 2 5 2" xfId="21681"/>
    <cellStyle name="Input 2 7 2 2 5 3" xfId="21682"/>
    <cellStyle name="Input 2 7 2 2 6" xfId="21683"/>
    <cellStyle name="Output 2 13 3 8 3 2" xfId="21684"/>
    <cellStyle name="Output 2 6 7 5 2" xfId="21685"/>
    <cellStyle name="Input 2 7 2 2 7" xfId="21686"/>
    <cellStyle name="Output 2 13 3 8 3 3" xfId="21687"/>
    <cellStyle name="Output 2 6 7 5 3" xfId="21688"/>
    <cellStyle name="Input 2 7 2 3 2" xfId="21689"/>
    <cellStyle name="Input 2 7 2 3 2 2" xfId="21690"/>
    <cellStyle name="Output 2 4 11 5" xfId="21691"/>
    <cellStyle name="Input 2 7 2 3 2 3" xfId="21692"/>
    <cellStyle name="Output 2 4 11 6" xfId="21693"/>
    <cellStyle name="Input 2 7 2 3 2 4" xfId="21694"/>
    <cellStyle name="Output 2 4 11 7" xfId="21695"/>
    <cellStyle name="Input 2 7 2 3 3" xfId="21696"/>
    <cellStyle name="Input 2 7 2 3 3 2" xfId="21697"/>
    <cellStyle name="Input 2 7 2 3 3 3" xfId="21698"/>
    <cellStyle name="Input 2 7 2 3 4" xfId="21699"/>
    <cellStyle name="Input 2 7 2 3 4 2" xfId="21700"/>
    <cellStyle name="Input 2 7 2 3 4 3" xfId="21701"/>
    <cellStyle name="Input 2 7 2 3 5" xfId="21702"/>
    <cellStyle name="Input 2 7 2 3 5 2" xfId="21703"/>
    <cellStyle name="Input 2 7 2 3 5 3" xfId="21704"/>
    <cellStyle name="Input 2 7 2 3 6" xfId="21705"/>
    <cellStyle name="Output 2 13 3 8 4 2" xfId="21706"/>
    <cellStyle name="Output 2 7 3 7 2 2" xfId="21707"/>
    <cellStyle name="Input 2 7 2 3 7" xfId="21708"/>
    <cellStyle name="Output 2 13 3 8 4 3" xfId="21709"/>
    <cellStyle name="Output 2 7 3 7 2 3" xfId="21710"/>
    <cellStyle name="Total 2 13 9 2 2" xfId="21711"/>
    <cellStyle name="Input 2 7 2 4" xfId="21712"/>
    <cellStyle name="Note 2 12 6 3 3" xfId="21713"/>
    <cellStyle name="Input 2 7 2 4 2" xfId="21714"/>
    <cellStyle name="Input 2 7 2 4 2 2" xfId="21715"/>
    <cellStyle name="Input 2 7 2 4 2 3" xfId="21716"/>
    <cellStyle name="Input 2 7 2 4 2 4" xfId="21717"/>
    <cellStyle name="Input 2 7 2 4 3" xfId="21718"/>
    <cellStyle name="Input 2 7 2 4 3 2" xfId="21719"/>
    <cellStyle name="Input 2 7 2 4 3 3" xfId="21720"/>
    <cellStyle name="Input 2 7 2 4 4" xfId="21721"/>
    <cellStyle name="Input 2 7 2 4 4 2" xfId="21722"/>
    <cellStyle name="Input 2 7 2 4 4 3" xfId="21723"/>
    <cellStyle name="Input 2 7 2 4 5" xfId="21724"/>
    <cellStyle name="Input 2 7 2 4 5 2" xfId="21725"/>
    <cellStyle name="Input 2 7 2 4 5 3" xfId="21726"/>
    <cellStyle name="Input 2 7 2 4 6" xfId="21727"/>
    <cellStyle name="Output 2 13 3 8 5 2" xfId="21728"/>
    <cellStyle name="Output 2 7 3 7 3 2" xfId="21729"/>
    <cellStyle name="Input 2 7 2 4 7" xfId="21730"/>
    <cellStyle name="Output 2 13 3 8 5 3" xfId="21731"/>
    <cellStyle name="Output 2 7 3 7 3 3" xfId="21732"/>
    <cellStyle name="Total 2 13 9 2 3" xfId="21733"/>
    <cellStyle name="Input 2 7 2 5" xfId="21734"/>
    <cellStyle name="Note 2 12 6 3 4" xfId="21735"/>
    <cellStyle name="Input 2 7 2 5 2" xfId="21736"/>
    <cellStyle name="Input 2 7 2 5 2 2" xfId="21737"/>
    <cellStyle name="Input 2 7 2 5 2 3" xfId="21738"/>
    <cellStyle name="Input 2 7 2 5 2 4" xfId="21739"/>
    <cellStyle name="Input 2 7 2 5 3" xfId="21740"/>
    <cellStyle name="Input 2 7 2 5 3 2" xfId="21741"/>
    <cellStyle name="Input 2 7 2 5 3 3" xfId="21742"/>
    <cellStyle name="Input 2 7 2 5 4" xfId="21743"/>
    <cellStyle name="Input 2 7 2 5 4 2" xfId="21744"/>
    <cellStyle name="Input 2 7 2 5 4 3" xfId="21745"/>
    <cellStyle name="Input 2 7 2 5 5" xfId="21746"/>
    <cellStyle name="Input 2 7 2 5 5 2" xfId="21747"/>
    <cellStyle name="Input 2 7 2 5 5 3" xfId="21748"/>
    <cellStyle name="Input 2 7 2 5 6" xfId="21749"/>
    <cellStyle name="Output 2 7 3 7 4 2" xfId="21750"/>
    <cellStyle name="Input 2 7 2 5 7" xfId="21751"/>
    <cellStyle name="Note 2 7 8 2 2" xfId="21752"/>
    <cellStyle name="Output 2 7 3 7 4 3" xfId="21753"/>
    <cellStyle name="Total 2 13 9 2 4" xfId="21754"/>
    <cellStyle name="Input 2 7 2 6" xfId="21755"/>
    <cellStyle name="Input 2 7 2 6 2" xfId="21756"/>
    <cellStyle name="Input 2 7 2 6 2 2" xfId="21757"/>
    <cellStyle name="Note 2 2 2 5" xfId="21758"/>
    <cellStyle name="Input 2 7 2 6 2 3" xfId="21759"/>
    <cellStyle name="Note 2 2 2 6" xfId="21760"/>
    <cellStyle name="Input 2 7 2 6 2 4" xfId="21761"/>
    <cellStyle name="Note 2 2 2 7" xfId="21762"/>
    <cellStyle name="Input 2 7 2 6 3" xfId="21763"/>
    <cellStyle name="Input 2 7 2 6 3 2" xfId="21764"/>
    <cellStyle name="Note 2 2 3 5" xfId="21765"/>
    <cellStyle name="Input 2 7 2 6 3 3" xfId="21766"/>
    <cellStyle name="Note 2 2 3 6" xfId="21767"/>
    <cellStyle name="Input 2 7 2 6 4" xfId="21768"/>
    <cellStyle name="Output 2 4 3 10 2" xfId="21769"/>
    <cellStyle name="Input 2 7 2 6 4 2" xfId="21770"/>
    <cellStyle name="Note 2 2 4 5" xfId="21771"/>
    <cellStyle name="Output 2 4 3 10 2 2" xfId="21772"/>
    <cellStyle name="Input 2 7 2 6 4 3" xfId="21773"/>
    <cellStyle name="Note 2 2 4 6" xfId="21774"/>
    <cellStyle name="Output 2 4 3 10 2 3" xfId="21775"/>
    <cellStyle name="Input 2 7 2 6 5" xfId="21776"/>
    <cellStyle name="Output 2 4 3 10 3" xfId="21777"/>
    <cellStyle name="Input 2 7 2 6 5 2" xfId="21778"/>
    <cellStyle name="Note 2 2 5 5" xfId="21779"/>
    <cellStyle name="Output 2 4 3 10 3 2" xfId="21780"/>
    <cellStyle name="Input 2 7 2 6 6" xfId="21781"/>
    <cellStyle name="Output 2 4 3 10 4" xfId="21782"/>
    <cellStyle name="Output 2 7 3 7 5 2" xfId="21783"/>
    <cellStyle name="Input 2 7 2 6 7" xfId="21784"/>
    <cellStyle name="Note 2 7 8 3 2" xfId="21785"/>
    <cellStyle name="Output 2 4 3 10 5" xfId="21786"/>
    <cellStyle name="Output 2 7 3 7 5 3" xfId="21787"/>
    <cellStyle name="Input 2 7 2 7" xfId="21788"/>
    <cellStyle name="Input 2 7 2 7 2" xfId="21789"/>
    <cellStyle name="Input 2 7 2 7 2 2" xfId="21790"/>
    <cellStyle name="Note 2 3 2 5" xfId="21791"/>
    <cellStyle name="Input 2 7 2 7 2 3" xfId="21792"/>
    <cellStyle name="Note 2 3 2 6" xfId="21793"/>
    <cellStyle name="Input 2 7 2 7 2 4" xfId="21794"/>
    <cellStyle name="Note 2 3 2 7" xfId="21795"/>
    <cellStyle name="Input 2 7 2 7 3" xfId="21796"/>
    <cellStyle name="Input 2 7 2 7 3 3" xfId="21797"/>
    <cellStyle name="Note 2 3 3 6" xfId="21798"/>
    <cellStyle name="Input 2 7 2 7 4" xfId="21799"/>
    <cellStyle name="Output 2 4 3 11 2" xfId="21800"/>
    <cellStyle name="Input 2 7 2 7 4 2" xfId="21801"/>
    <cellStyle name="Note 2 3 4 5" xfId="21802"/>
    <cellStyle name="Input 2 7 2 7 4 3" xfId="21803"/>
    <cellStyle name="Note 2 3 4 6" xfId="21804"/>
    <cellStyle name="Input 2 7 2 7 5" xfId="21805"/>
    <cellStyle name="Output 2 4 3 11 3" xfId="21806"/>
    <cellStyle name="Input 2 7 2 7 5 2" xfId="21807"/>
    <cellStyle name="Note 2 3 5 5" xfId="21808"/>
    <cellStyle name="Input 2 7 2 7 5 3" xfId="21809"/>
    <cellStyle name="Note 2 3 5 6" xfId="21810"/>
    <cellStyle name="Input 2 7 2 7 6" xfId="21811"/>
    <cellStyle name="Output 2 4 3 11 4" xfId="21812"/>
    <cellStyle name="Input 2 7 2 7 7" xfId="21813"/>
    <cellStyle name="Note 2 7 8 4 2" xfId="21814"/>
    <cellStyle name="Input 2 7 2 8" xfId="21815"/>
    <cellStyle name="Input 2 7 2 8 2" xfId="21816"/>
    <cellStyle name="Input 2 7 2 8 2 2" xfId="21817"/>
    <cellStyle name="Note 2 4 2 5" xfId="21818"/>
    <cellStyle name="Output 2 5 11 5" xfId="21819"/>
    <cellStyle name="Input 2 7 2 8 2 3" xfId="21820"/>
    <cellStyle name="Note 2 4 2 6" xfId="21821"/>
    <cellStyle name="Output 2 5 11 6" xfId="21822"/>
    <cellStyle name="Input 2 7 2 8 2 4" xfId="21823"/>
    <cellStyle name="Note 2 4 2 7" xfId="21824"/>
    <cellStyle name="Output 2 5 11 7" xfId="21825"/>
    <cellStyle name="Output 2 8 2 10 5 2" xfId="21826"/>
    <cellStyle name="Input 2 7 2 8 3" xfId="21827"/>
    <cellStyle name="Input 2 7 2 8 3 2" xfId="21828"/>
    <cellStyle name="Note 2 4 3 5" xfId="21829"/>
    <cellStyle name="Output 2 5 12 5" xfId="21830"/>
    <cellStyle name="Input 2 7 2 8 3 3" xfId="21831"/>
    <cellStyle name="Note 2 4 3 6" xfId="21832"/>
    <cellStyle name="Output 2 5 12 6" xfId="21833"/>
    <cellStyle name="Input 2 7 2 8 3 4" xfId="21834"/>
    <cellStyle name="Note 2 4 3 7" xfId="21835"/>
    <cellStyle name="Output 2 5 12 7" xfId="21836"/>
    <cellStyle name="Input 2 7 2 8 4" xfId="21837"/>
    <cellStyle name="Output 2 4 3 12 2" xfId="21838"/>
    <cellStyle name="Input 2 7 2 8 4 2" xfId="21839"/>
    <cellStyle name="Note 2 4 4 5" xfId="21840"/>
    <cellStyle name="Input 2 7 2 8 4 3" xfId="21841"/>
    <cellStyle name="Note 2 4 4 6" xfId="21842"/>
    <cellStyle name="Input 2 7 2 8 5" xfId="21843"/>
    <cellStyle name="Output 2 4 3 12 3" xfId="21844"/>
    <cellStyle name="Input 2 7 2 8 5 2" xfId="21845"/>
    <cellStyle name="Note 2 4 5 5" xfId="21846"/>
    <cellStyle name="Input 2 7 2 8 5 3" xfId="21847"/>
    <cellStyle name="Note 2 4 5 6" xfId="21848"/>
    <cellStyle name="Input 2 7 2 8 6" xfId="21849"/>
    <cellStyle name="Output 2 4 3 12 4" xfId="21850"/>
    <cellStyle name="Input 2 7 2 8 7" xfId="21851"/>
    <cellStyle name="Note 2 7 8 5 2" xfId="21852"/>
    <cellStyle name="Input 2 7 2 9" xfId="21853"/>
    <cellStyle name="Input 2 7 2 9 2" xfId="21854"/>
    <cellStyle name="Note 2 11 2 10 5" xfId="21855"/>
    <cellStyle name="Input 2 7 2 9 2 2" xfId="21856"/>
    <cellStyle name="Note 2 11 2 10 5 2" xfId="21857"/>
    <cellStyle name="Note 2 5 2 5" xfId="21858"/>
    <cellStyle name="Input 2 7 2 9 2 3" xfId="21859"/>
    <cellStyle name="Note 2 11 2 10 5 3" xfId="21860"/>
    <cellStyle name="Note 2 5 2 6" xfId="21861"/>
    <cellStyle name="Input 2 7 2 9 2 4" xfId="21862"/>
    <cellStyle name="Note 2 5 2 7" xfId="21863"/>
    <cellStyle name="Input 2 7 2 9 3" xfId="21864"/>
    <cellStyle name="Note 2 11 2 10 6" xfId="21865"/>
    <cellStyle name="Input 2 7 2 9 3 2" xfId="21866"/>
    <cellStyle name="Note 2 5 3 5" xfId="21867"/>
    <cellStyle name="Input 2 7 2 9 3 3" xfId="21868"/>
    <cellStyle name="Note 2 5 3 6" xfId="21869"/>
    <cellStyle name="Input 2 7 2 9 3 4" xfId="21870"/>
    <cellStyle name="Note 2 5 3 7" xfId="21871"/>
    <cellStyle name="Input 2 7 2 9 4" xfId="21872"/>
    <cellStyle name="Note 2 11 2 10 7" xfId="21873"/>
    <cellStyle name="Output 2 4 3 13 2" xfId="21874"/>
    <cellStyle name="Input 2 7 2 9 4 2" xfId="21875"/>
    <cellStyle name="Note 2 5 4 5" xfId="21876"/>
    <cellStyle name="Input 2 7 2 9 4 3" xfId="21877"/>
    <cellStyle name="Note 2 5 4 6" xfId="21878"/>
    <cellStyle name="Input 2 7 2 9 5" xfId="21879"/>
    <cellStyle name="Output 2 4 3 13 3" xfId="21880"/>
    <cellStyle name="Input 2 7 2 9 5 2" xfId="21881"/>
    <cellStyle name="Note 2 5 5 5" xfId="21882"/>
    <cellStyle name="Input 2 7 2 9 5 3" xfId="21883"/>
    <cellStyle name="Note 2 5 5 6" xfId="21884"/>
    <cellStyle name="Input 2 7 2 9 6" xfId="21885"/>
    <cellStyle name="Input 2 7 2 9 7" xfId="21886"/>
    <cellStyle name="Input 2 7 3" xfId="21887"/>
    <cellStyle name="Input 2 7 3 10" xfId="21888"/>
    <cellStyle name="Note 2 2 3 2 15" xfId="21889"/>
    <cellStyle name="Note 2 2 3 2 20" xfId="21890"/>
    <cellStyle name="Input 2 7 3 10 2 2" xfId="21891"/>
    <cellStyle name="Note 2 10 6 6" xfId="21892"/>
    <cellStyle name="Input 2 7 3 10 2 3" xfId="21893"/>
    <cellStyle name="Note 2 10 6 7" xfId="21894"/>
    <cellStyle name="Input 2 7 3 10 2 4" xfId="21895"/>
    <cellStyle name="Note 2 7 3 10 2 2" xfId="21896"/>
    <cellStyle name="Input 2 7 3 10 3" xfId="21897"/>
    <cellStyle name="Input 2 7 3 10 3 3" xfId="21898"/>
    <cellStyle name="Note 2 10 7 7" xfId="21899"/>
    <cellStyle name="Output 2 5 2 2 7" xfId="21900"/>
    <cellStyle name="Input 2 7 3 11" xfId="21901"/>
    <cellStyle name="Note 2 2 3 2 16" xfId="21902"/>
    <cellStyle name="Note 2 2 3 2 21" xfId="21903"/>
    <cellStyle name="Input 2 7 3 11 2" xfId="21904"/>
    <cellStyle name="Input 2 7 3 11 3" xfId="21905"/>
    <cellStyle name="Output 2 3 3 4 2 2" xfId="21906"/>
    <cellStyle name="Input 2 7 3 12" xfId="21907"/>
    <cellStyle name="Note 2 2 3 2 17" xfId="21908"/>
    <cellStyle name="Note 2 2 3 2 22" xfId="21909"/>
    <cellStyle name="Input 2 7 3 12 2" xfId="21910"/>
    <cellStyle name="Input 2 7 3 12 3" xfId="21911"/>
    <cellStyle name="Output 2 3 3 4 3 2" xfId="21912"/>
    <cellStyle name="Input 2 7 3 13" xfId="21913"/>
    <cellStyle name="Note 2 2 3 2 18" xfId="21914"/>
    <cellStyle name="Note 2 2 3 2 23" xfId="21915"/>
    <cellStyle name="Input 2 7 3 13 2" xfId="21916"/>
    <cellStyle name="Input 2 7 3 13 3" xfId="21917"/>
    <cellStyle name="Output 2 3 3 4 4 2" xfId="21918"/>
    <cellStyle name="Input 2 7 3 14" xfId="21919"/>
    <cellStyle name="Note 2 2 3 2 19" xfId="21920"/>
    <cellStyle name="Note 2 2 3 2 24" xfId="21921"/>
    <cellStyle name="Input 2 7 3 14 2" xfId="21922"/>
    <cellStyle name="Input 2 7 3 14 3" xfId="21923"/>
    <cellStyle name="Output 2 3 3 4 5 2" xfId="21924"/>
    <cellStyle name="Input 2 7 3 15" xfId="21925"/>
    <cellStyle name="Note 2 2 3 2 25" xfId="21926"/>
    <cellStyle name="Note 2 2 3 2 30" xfId="21927"/>
    <cellStyle name="Input 2 7 3 16" xfId="21928"/>
    <cellStyle name="Note 2 2 3 2 26" xfId="21929"/>
    <cellStyle name="Input 2 7 3 2 2" xfId="21930"/>
    <cellStyle name="Note 2 2 3 2 3 2" xfId="21931"/>
    <cellStyle name="Input 2 7 3 2 2 2" xfId="21932"/>
    <cellStyle name="Input 2 7 3 2 2 3" xfId="21933"/>
    <cellStyle name="Input 2 7 3 2 2 4" xfId="21934"/>
    <cellStyle name="Note 2 4 2 4 4 2" xfId="21935"/>
    <cellStyle name="Input 2 7 3 2 3 2" xfId="21936"/>
    <cellStyle name="Input 2 7 3 2 3 3" xfId="21937"/>
    <cellStyle name="Input 2 7 3 2 4 2" xfId="21938"/>
    <cellStyle name="Input 2 7 3 2 4 3" xfId="21939"/>
    <cellStyle name="Input 2 7 3 2 5 2" xfId="21940"/>
    <cellStyle name="Input 2 7 3 2 5 3" xfId="21941"/>
    <cellStyle name="Input 2 7 3 3 2" xfId="21942"/>
    <cellStyle name="Note 2 2 3 2 4 2" xfId="21943"/>
    <cellStyle name="Input 2 7 3 3 2 2" xfId="21944"/>
    <cellStyle name="Output 2 9 11 5" xfId="21945"/>
    <cellStyle name="Input 2 7 3 3 2 3" xfId="21946"/>
    <cellStyle name="Output 2 9 11 6" xfId="21947"/>
    <cellStyle name="Input 2 7 3 3 2 4" xfId="21948"/>
    <cellStyle name="Note 2 4 2 5 4 2" xfId="21949"/>
    <cellStyle name="Output 2 9 11 7" xfId="21950"/>
    <cellStyle name="Input 2 7 3 3 3 2" xfId="21951"/>
    <cellStyle name="Output 2 9 12 5" xfId="21952"/>
    <cellStyle name="Input 2 7 3 3 3 3" xfId="21953"/>
    <cellStyle name="Output 2 9 12 6" xfId="21954"/>
    <cellStyle name="Input 2 7 3 3 4 2" xfId="21955"/>
    <cellStyle name="Input 2 7 3 3 4 3" xfId="21956"/>
    <cellStyle name="Input 2 7 3 3 5" xfId="21957"/>
    <cellStyle name="Note 2 2 2 10 5 2" xfId="21958"/>
    <cellStyle name="Note 2 2 2 10 5 3" xfId="21959"/>
    <cellStyle name="Input 2 7 3 3 6" xfId="21960"/>
    <cellStyle name="Output 2 13 3 9 4 2" xfId="21961"/>
    <cellStyle name="Output 2 7 3 8 2 2" xfId="21962"/>
    <cellStyle name="Input 2 7 3 3 7" xfId="21963"/>
    <cellStyle name="Output 2 13 3 9 4 3" xfId="21964"/>
    <cellStyle name="Output 2 7 3 8 2 3" xfId="21965"/>
    <cellStyle name="Total 2 13 9 3 2" xfId="21966"/>
    <cellStyle name="Input 2 7 3 4" xfId="21967"/>
    <cellStyle name="Note 2 12 6 4 3" xfId="21968"/>
    <cellStyle name="Note 2 2 3 2 5" xfId="21969"/>
    <cellStyle name="Input 2 7 3 4 2" xfId="21970"/>
    <cellStyle name="Note 2 2 3 2 5 2" xfId="21971"/>
    <cellStyle name="Input 2 7 3 4 2 2" xfId="21972"/>
    <cellStyle name="Input 2 7 3 4 2 3" xfId="21973"/>
    <cellStyle name="Input 2 7 3 4 2 4" xfId="21974"/>
    <cellStyle name="Note 2 4 2 6 4 2" xfId="21975"/>
    <cellStyle name="Input 2 7 3 4 3" xfId="21976"/>
    <cellStyle name="Note 2 2 3 2 5 3" xfId="21977"/>
    <cellStyle name="Input 2 7 3 4 4" xfId="21978"/>
    <cellStyle name="Note 2 2 3 2 5 4" xfId="21979"/>
    <cellStyle name="Input 2 7 3 4 4 2" xfId="21980"/>
    <cellStyle name="Input 2 7 3 4 4 3" xfId="21981"/>
    <cellStyle name="Input 2 7 3 4 5" xfId="21982"/>
    <cellStyle name="Input 2 7 3 4 6" xfId="21983"/>
    <cellStyle name="Output 2 13 3 9 5 2" xfId="21984"/>
    <cellStyle name="Output 2 7 3 8 3 2" xfId="21985"/>
    <cellStyle name="Input 2 7 3 4 7" xfId="21986"/>
    <cellStyle name="Output 2 13 3 9 5 3" xfId="21987"/>
    <cellStyle name="Output 2 7 3 8 3 3" xfId="21988"/>
    <cellStyle name="Total 2 13 9 3 3" xfId="21989"/>
    <cellStyle name="Input 2 7 3 5" xfId="21990"/>
    <cellStyle name="Note 2 2 3 2 6" xfId="21991"/>
    <cellStyle name="Input 2 7 3 5 2" xfId="21992"/>
    <cellStyle name="Note 2 2 3 2 6 2" xfId="21993"/>
    <cellStyle name="Input 2 7 3 5 2 2" xfId="21994"/>
    <cellStyle name="Note 2 2 3 2 6 2 2" xfId="21995"/>
    <cellStyle name="Input 2 7 3 5 2 3" xfId="21996"/>
    <cellStyle name="Input 2 7 3 5 3" xfId="21997"/>
    <cellStyle name="Note 2 2 3 2 6 3" xfId="21998"/>
    <cellStyle name="Input 2 7 3 5 3 2" xfId="21999"/>
    <cellStyle name="Input 2 7 3 5 3 3" xfId="22000"/>
    <cellStyle name="Input 2 7 3 5 4" xfId="22001"/>
    <cellStyle name="Input 2 7 3 5 4 2" xfId="22002"/>
    <cellStyle name="Input 2 7 3 5 4 3" xfId="22003"/>
    <cellStyle name="Input 2 7 3 5 5" xfId="22004"/>
    <cellStyle name="Input 2 7 3 5 6" xfId="22005"/>
    <cellStyle name="Output 2 7 3 8 4 2" xfId="22006"/>
    <cellStyle name="Input 2 7 3 5 7" xfId="22007"/>
    <cellStyle name="Note 2 7 9 2 2" xfId="22008"/>
    <cellStyle name="Output 2 7 3 8 4 3" xfId="22009"/>
    <cellStyle name="Total 2 13 9 3 4" xfId="22010"/>
    <cellStyle name="Input 2 7 3 6" xfId="22011"/>
    <cellStyle name="Note 2 2 3 2 7" xfId="22012"/>
    <cellStyle name="Input 2 7 3 6 2" xfId="22013"/>
    <cellStyle name="Note 2 2 3 2 7 2" xfId="22014"/>
    <cellStyle name="Input 2 7 3 6 2 2" xfId="22015"/>
    <cellStyle name="Input 2 7 3 6 2 3" xfId="22016"/>
    <cellStyle name="Input 2 7 3 6 2 4" xfId="22017"/>
    <cellStyle name="Note 2 4 2 8 4 2" xfId="22018"/>
    <cellStyle name="Input 2 7 3 6 3" xfId="22019"/>
    <cellStyle name="Input 2 7 3 6 3 2" xfId="22020"/>
    <cellStyle name="Input 2 7 3 6 3 3" xfId="22021"/>
    <cellStyle name="Input 2 7 3 6 4" xfId="22022"/>
    <cellStyle name="Input 2 7 3 6 4 2" xfId="22023"/>
    <cellStyle name="Input 2 7 3 6 4 3" xfId="22024"/>
    <cellStyle name="Input 2 7 3 6 5" xfId="22025"/>
    <cellStyle name="Input 2 7 3 6 6" xfId="22026"/>
    <cellStyle name="Output 2 7 3 8 5 2" xfId="22027"/>
    <cellStyle name="Input 2 7 3 6 7" xfId="22028"/>
    <cellStyle name="Note 2 7 9 3 2" xfId="22029"/>
    <cellStyle name="Output 2 7 3 8 5 3" xfId="22030"/>
    <cellStyle name="Input 2 7 3 7" xfId="22031"/>
    <cellStyle name="Note 2 2 3 2 8" xfId="22032"/>
    <cellStyle name="Input 2 7 3 7 2 2" xfId="22033"/>
    <cellStyle name="Input 2 7 3 7 2 3" xfId="22034"/>
    <cellStyle name="Input 2 7 3 7 2 4" xfId="22035"/>
    <cellStyle name="Note 2 4 2 9 4 2" xfId="22036"/>
    <cellStyle name="Output 2 2 2 4 2 2 2 2 2" xfId="22037"/>
    <cellStyle name="Input 2 7 3 7 3 2" xfId="22038"/>
    <cellStyle name="Input 2 7 3 7 3 3" xfId="22039"/>
    <cellStyle name="Input 2 7 3 7 4 3" xfId="22040"/>
    <cellStyle name="Input 2 7 3 7 5" xfId="22041"/>
    <cellStyle name="Input 2 7 3 7 6" xfId="22042"/>
    <cellStyle name="Input 2 7 3 7 7" xfId="22043"/>
    <cellStyle name="Note 2 7 9 4 2" xfId="22044"/>
    <cellStyle name="Input 2 7 3 8" xfId="22045"/>
    <cellStyle name="Note 2 2 3 2 9" xfId="22046"/>
    <cellStyle name="Input 2 7 3 8 2 2" xfId="22047"/>
    <cellStyle name="Output 2 5 4" xfId="22048"/>
    <cellStyle name="Input 2 7 3 8 2 3" xfId="22049"/>
    <cellStyle name="Output 2 5 5" xfId="22050"/>
    <cellStyle name="Input 2 7 3 8 2 4" xfId="22051"/>
    <cellStyle name="Note 2 12 10 4 2" xfId="22052"/>
    <cellStyle name="Output 2 5 6" xfId="22053"/>
    <cellStyle name="Input 2 7 3 8 3 2" xfId="22054"/>
    <cellStyle name="Output 2 6 4" xfId="22055"/>
    <cellStyle name="Input 2 7 3 8 3 3" xfId="22056"/>
    <cellStyle name="Output 2 6 5" xfId="22057"/>
    <cellStyle name="Input 2 7 3 8 3 4" xfId="22058"/>
    <cellStyle name="Note 2 12 10 5 2" xfId="22059"/>
    <cellStyle name="Output 2 6 6" xfId="22060"/>
    <cellStyle name="Input 2 7 3 8 4" xfId="22061"/>
    <cellStyle name="Total 2 15 10 4 3" xfId="22062"/>
    <cellStyle name="Normal 2 2 2 10" xfId="22063"/>
    <cellStyle name="Input 2 7 3 8 4 2" xfId="22064"/>
    <cellStyle name="Output 2 7 4" xfId="22065"/>
    <cellStyle name="Input 2 7 3 8 4 3" xfId="22066"/>
    <cellStyle name="Output 2 7 5" xfId="22067"/>
    <cellStyle name="Input 2 7 3 8 5" xfId="22068"/>
    <cellStyle name="Input 2 7 3 8 6" xfId="22069"/>
    <cellStyle name="Input 2 7 3 8 7" xfId="22070"/>
    <cellStyle name="Note 2 7 9 5 2" xfId="22071"/>
    <cellStyle name="Input 2 7 3 9" xfId="22072"/>
    <cellStyle name="Input 2 7 3 9 2 2" xfId="22073"/>
    <cellStyle name="Input 2 7 3 9 2 3" xfId="22074"/>
    <cellStyle name="Input 2 7 3 9 2 4" xfId="22075"/>
    <cellStyle name="Note 2 12 11 4 2" xfId="22076"/>
    <cellStyle name="Input 2 7 3 9 3" xfId="22077"/>
    <cellStyle name="Input 2 7 3 9 3 2" xfId="22078"/>
    <cellStyle name="Input 2 7 3 9 3 3" xfId="22079"/>
    <cellStyle name="Input 2 7 3 9 3 4" xfId="22080"/>
    <cellStyle name="Note 2 12 11 5 2" xfId="22081"/>
    <cellStyle name="Input 2 7 3 9 4" xfId="22082"/>
    <cellStyle name="Input 2 7 3 9 4 2" xfId="22083"/>
    <cellStyle name="Input 2 7 3 9 4 3" xfId="22084"/>
    <cellStyle name="Input 2 7 3 9 5" xfId="22085"/>
    <cellStyle name="Input 2 7 3 9 6" xfId="22086"/>
    <cellStyle name="Input 2 7 3 9 7" xfId="22087"/>
    <cellStyle name="Input 2 7 4" xfId="22088"/>
    <cellStyle name="Input 2 7 4 2 2" xfId="22089"/>
    <cellStyle name="Note 2 2 3 3 3 2" xfId="22090"/>
    <cellStyle name="Input 2 7 4 2 3" xfId="22091"/>
    <cellStyle name="Note 2 2 3 3 3 3" xfId="22092"/>
    <cellStyle name="Input 2 7 4 2 4" xfId="22093"/>
    <cellStyle name="Note 2 2 3 3 3 4" xfId="22094"/>
    <cellStyle name="Input 2 7 4 3 2" xfId="22095"/>
    <cellStyle name="Note 2 2 3 3 4 2" xfId="22096"/>
    <cellStyle name="Input 2 7 4 3 3" xfId="22097"/>
    <cellStyle name="Note 2 2 3 3 4 3" xfId="22098"/>
    <cellStyle name="Input 2 7 4 3 4" xfId="22099"/>
    <cellStyle name="Total 2 13 9 4 2" xfId="22100"/>
    <cellStyle name="Input 2 7 4 4" xfId="22101"/>
    <cellStyle name="Note 2 12 6 5 3" xfId="22102"/>
    <cellStyle name="Note 2 2 3 3 5" xfId="22103"/>
    <cellStyle name="Input 2 7 4 4 2" xfId="22104"/>
    <cellStyle name="Note 2 2 3 3 5 2" xfId="22105"/>
    <cellStyle name="Input 2 7 4 4 3" xfId="22106"/>
    <cellStyle name="Note 2 2 3 3 5 3" xfId="22107"/>
    <cellStyle name="Total 2 13 9 4 3" xfId="22108"/>
    <cellStyle name="Input 2 7 4 5" xfId="22109"/>
    <cellStyle name="Note 2 2 3 3 6" xfId="22110"/>
    <cellStyle name="Input 2 7 4 5 2" xfId="22111"/>
    <cellStyle name="Note 2 2 3 3 6 2" xfId="22112"/>
    <cellStyle name="Input 2 7 4 5 3" xfId="22113"/>
    <cellStyle name="Input 2 7 4 6" xfId="22114"/>
    <cellStyle name="Note 2 2 3 3 7" xfId="22115"/>
    <cellStyle name="Input 2 7 5 2 2" xfId="22116"/>
    <cellStyle name="Note 2 2 3 4 3 2" xfId="22117"/>
    <cellStyle name="Input 2 7 5 3 2" xfId="22118"/>
    <cellStyle name="Note 2 2 3 4 4 2" xfId="22119"/>
    <cellStyle name="Total 2 13 9 5 2" xfId="22120"/>
    <cellStyle name="Input 2 7 5 4" xfId="22121"/>
    <cellStyle name="Note 2 2 3 4 5" xfId="22122"/>
    <cellStyle name="Input 2 7 5 4 2" xfId="22123"/>
    <cellStyle name="Note 2 2 3 4 5 2" xfId="22124"/>
    <cellStyle name="Total 2 13 9 5 3" xfId="22125"/>
    <cellStyle name="Input 2 7 5 5" xfId="22126"/>
    <cellStyle name="Note 2 2 3 4 6" xfId="22127"/>
    <cellStyle name="Input 2 7 5 5 2" xfId="22128"/>
    <cellStyle name="Note 2 2 3 4 6 2" xfId="22129"/>
    <cellStyle name="Input 2 7 5 6" xfId="22130"/>
    <cellStyle name="Note 2 2 3 4 7" xfId="22131"/>
    <cellStyle name="Input 2 7 6" xfId="22132"/>
    <cellStyle name="Input 2 7 6 2 2" xfId="22133"/>
    <cellStyle name="Note 2 2 3 5 3 2" xfId="22134"/>
    <cellStyle name="Input 2 7 6 2 3" xfId="22135"/>
    <cellStyle name="Note 2 2 3 5 3 3" xfId="22136"/>
    <cellStyle name="Input 2 7 6 2 4" xfId="22137"/>
    <cellStyle name="Note 2 2 3 5 3 4" xfId="22138"/>
    <cellStyle name="Input 2 7 6 3 4" xfId="22139"/>
    <cellStyle name="Input 2 7 6 4" xfId="22140"/>
    <cellStyle name="Note 2 2 3 5 5" xfId="22141"/>
    <cellStyle name="Input 2 7 6 5" xfId="22142"/>
    <cellStyle name="Note 2 2 3 5 6" xfId="22143"/>
    <cellStyle name="Output 2 12 2 4 2 2" xfId="22144"/>
    <cellStyle name="Input 2 7 6 5 3" xfId="22145"/>
    <cellStyle name="Input 2 7 6 6" xfId="22146"/>
    <cellStyle name="Note 2 2 3 5 7" xfId="22147"/>
    <cellStyle name="Output 2 12 2 4 2 3" xfId="22148"/>
    <cellStyle name="Input 2 7 7 2 4" xfId="22149"/>
    <cellStyle name="Total 2 26 4" xfId="22150"/>
    <cellStyle name="Note 2 2 3 6 3 4" xfId="22151"/>
    <cellStyle name="Input 2 7 7 3 2" xfId="22152"/>
    <cellStyle name="Total 2 27 2" xfId="22153"/>
    <cellStyle name="Note 2 2 3 6 4 2" xfId="22154"/>
    <cellStyle name="Input 2 7 7 3 3" xfId="22155"/>
    <cellStyle name="Total 2 27 3" xfId="22156"/>
    <cellStyle name="Note 2 2 3 6 4 3" xfId="22157"/>
    <cellStyle name="Input 2 7 7 3 4" xfId="22158"/>
    <cellStyle name="Input 2 7 7 4 2" xfId="22159"/>
    <cellStyle name="Total 2 28 2" xfId="22160"/>
    <cellStyle name="Note 2 2 3 6 5 2" xfId="22161"/>
    <cellStyle name="Input 2 7 7 4 3" xfId="22162"/>
    <cellStyle name="Total 2 28 3" xfId="22163"/>
    <cellStyle name="Note 2 2 3 6 5 3" xfId="22164"/>
    <cellStyle name="Input 2 7 7 5 2" xfId="22165"/>
    <cellStyle name="Total 2 29 2" xfId="22166"/>
    <cellStyle name="Note 2 2 3 6 6 2" xfId="22167"/>
    <cellStyle name="Input 2 7 7 5 3" xfId="22168"/>
    <cellStyle name="Input 2 7 8 2" xfId="22169"/>
    <cellStyle name="Note 2 2 3 7 3" xfId="22170"/>
    <cellStyle name="Input 2 7 8 2 2" xfId="22171"/>
    <cellStyle name="Note 2 2 3 7 3 2" xfId="22172"/>
    <cellStyle name="Input 2 7 8 2 3" xfId="22173"/>
    <cellStyle name="Note 2 2 3 7 3 3" xfId="22174"/>
    <cellStyle name="Input 2 7 8 2 4" xfId="22175"/>
    <cellStyle name="Note 2 2 3 7 3 4" xfId="22176"/>
    <cellStyle name="Input 2 7 8 3" xfId="22177"/>
    <cellStyle name="Note 2 2 3 7 4" xfId="22178"/>
    <cellStyle name="Input 2 7 8 3 2" xfId="22179"/>
    <cellStyle name="Note 2 2 3 7 4 2" xfId="22180"/>
    <cellStyle name="Input 2 7 8 3 3" xfId="22181"/>
    <cellStyle name="Note 2 2 3 7 4 3" xfId="22182"/>
    <cellStyle name="Input 2 7 8 3 4" xfId="22183"/>
    <cellStyle name="Input 2 7 8 4" xfId="22184"/>
    <cellStyle name="Note 2 2 3 7 5" xfId="22185"/>
    <cellStyle name="Input 2 7 8 4 2" xfId="22186"/>
    <cellStyle name="Note 2 2 3 7 5 2" xfId="22187"/>
    <cellStyle name="Input 2 7 8 4 3" xfId="22188"/>
    <cellStyle name="Note 2 2 3 7 5 3" xfId="22189"/>
    <cellStyle name="Input 2 7 8 5" xfId="22190"/>
    <cellStyle name="Note 2 2 3 7 6" xfId="22191"/>
    <cellStyle name="Output 2 12 2 4 4 2" xfId="22192"/>
    <cellStyle name="Output 2 6 2 3 2 2" xfId="22193"/>
    <cellStyle name="Input 2 7 8 5 2" xfId="22194"/>
    <cellStyle name="Note 2 2 3 7 6 2" xfId="22195"/>
    <cellStyle name="Input 2 7 8 5 3" xfId="22196"/>
    <cellStyle name="Input 2 7 8 6" xfId="22197"/>
    <cellStyle name="Note 2 2 3 7 7" xfId="22198"/>
    <cellStyle name="Output 2 12 2 4 4 3" xfId="22199"/>
    <cellStyle name="Output 2 6 2 3 2 3" xfId="22200"/>
    <cellStyle name="Input 2 7 8 7" xfId="22201"/>
    <cellStyle name="Note 2 2 3 7 8" xfId="22202"/>
    <cellStyle name="Output 2 6 2 3 2 4" xfId="22203"/>
    <cellStyle name="Input 2 7 9 5 2" xfId="22204"/>
    <cellStyle name="Note 2 2 3 8 6 2" xfId="22205"/>
    <cellStyle name="Input 2 7 9 5 3" xfId="22206"/>
    <cellStyle name="Input 2 8" xfId="22207"/>
    <cellStyle name="Input 2 8 10" xfId="22208"/>
    <cellStyle name="Input 2 8 10 2" xfId="22209"/>
    <cellStyle name="Input 2 8 10 2 2" xfId="22210"/>
    <cellStyle name="Input 2 8 10 2 3" xfId="22211"/>
    <cellStyle name="Input 2 8 10 2 4" xfId="22212"/>
    <cellStyle name="Input 2 8 10 3" xfId="22213"/>
    <cellStyle name="Input 2 8 10 3 2" xfId="22214"/>
    <cellStyle name="Input 2 8 10 3 3" xfId="22215"/>
    <cellStyle name="Input 2 8 10 3 4" xfId="22216"/>
    <cellStyle name="Input 2 8 10 4" xfId="22217"/>
    <cellStyle name="Input 2 8 10 4 2" xfId="22218"/>
    <cellStyle name="Input 2 8 10 4 3" xfId="22219"/>
    <cellStyle name="Input 2 8 10 5" xfId="22220"/>
    <cellStyle name="Input 2 8 10 5 2" xfId="22221"/>
    <cellStyle name="Input 2 8 10 5 3" xfId="22222"/>
    <cellStyle name="Input 2 8 10 6" xfId="22223"/>
    <cellStyle name="Input 2 8 10 7" xfId="22224"/>
    <cellStyle name="Input 2 8 11" xfId="22225"/>
    <cellStyle name="Input 2 8 11 2" xfId="22226"/>
    <cellStyle name="Input 2 8 11 2 3" xfId="22227"/>
    <cellStyle name="Input 2 8 11 2 4" xfId="22228"/>
    <cellStyle name="Input 2 8 11 3" xfId="22229"/>
    <cellStyle name="Input 2 8 11 3 2" xfId="22230"/>
    <cellStyle name="Input 2 8 11 3 3" xfId="22231"/>
    <cellStyle name="Input 2 8 11 3 4" xfId="22232"/>
    <cellStyle name="Input 2 8 11 4" xfId="22233"/>
    <cellStyle name="Input 2 8 11 4 2" xfId="22234"/>
    <cellStyle name="Input 2 8 11 4 3" xfId="22235"/>
    <cellStyle name="Input 2 8 11 5" xfId="22236"/>
    <cellStyle name="Input 2 8 11 5 2" xfId="22237"/>
    <cellStyle name="Input 2 8 11 5 3" xfId="22238"/>
    <cellStyle name="Input 2 8 11 6" xfId="22239"/>
    <cellStyle name="Input 2 8 11 7" xfId="22240"/>
    <cellStyle name="Input 2 8 12" xfId="22241"/>
    <cellStyle name="Input 2 8 12 2" xfId="22242"/>
    <cellStyle name="Input 2 8 12 2 2" xfId="22243"/>
    <cellStyle name="Input 2 8 12 2 3" xfId="22244"/>
    <cellStyle name="Input 2 8 12 2 4" xfId="22245"/>
    <cellStyle name="Input 2 8 12 3" xfId="22246"/>
    <cellStyle name="Input 2 8 12 3 2" xfId="22247"/>
    <cellStyle name="Input 2 8 12 3 3" xfId="22248"/>
    <cellStyle name="Input 2 8 12 3 4" xfId="22249"/>
    <cellStyle name="Input 2 8 12 4" xfId="22250"/>
    <cellStyle name="Input 2 8 12 4 2" xfId="22251"/>
    <cellStyle name="Input 2 8 12 4 3" xfId="22252"/>
    <cellStyle name="Input 2 8 12 5" xfId="22253"/>
    <cellStyle name="Input 2 8 12 5 2" xfId="22254"/>
    <cellStyle name="Output 2 13 3 10 2 3" xfId="22255"/>
    <cellStyle name="Input 2 8 12 5 3" xfId="22256"/>
    <cellStyle name="Output 2 13 3 10 2 4" xfId="22257"/>
    <cellStyle name="Input 2 8 12 6" xfId="22258"/>
    <cellStyle name="Input 2 8 12 7" xfId="22259"/>
    <cellStyle name="Input 2 8 14 2" xfId="22260"/>
    <cellStyle name="Input 2 8 14 3" xfId="22261"/>
    <cellStyle name="Input 2 8 14 4" xfId="22262"/>
    <cellStyle name="Input 2 8 15" xfId="22263"/>
    <cellStyle name="Input 2 8 20" xfId="22264"/>
    <cellStyle name="Input 2 8 15 2" xfId="22265"/>
    <cellStyle name="Input 2 8 15 3" xfId="22266"/>
    <cellStyle name="Input 2 8 16" xfId="22267"/>
    <cellStyle name="Input 2 8 16 2" xfId="22268"/>
    <cellStyle name="Output 2 14 3 2 6" xfId="22269"/>
    <cellStyle name="Input 2 8 16 3" xfId="22270"/>
    <cellStyle name="Output 2 14 3 2 7" xfId="22271"/>
    <cellStyle name="Input 2 8 17" xfId="22272"/>
    <cellStyle name="Note 2 15 2 4 2" xfId="22273"/>
    <cellStyle name="Input 2 8 17 2" xfId="22274"/>
    <cellStyle name="Output 2 14 3 3 6" xfId="22275"/>
    <cellStyle name="Output 2 8 3 2 4" xfId="22276"/>
    <cellStyle name="Input 2 8 17 2 2" xfId="22277"/>
    <cellStyle name="Output 2 8 3 2 4 2" xfId="22278"/>
    <cellStyle name="Input 2 8 18" xfId="22279"/>
    <cellStyle name="Note 2 15 2 4 3" xfId="22280"/>
    <cellStyle name="Input 2 8 19" xfId="22281"/>
    <cellStyle name="Note 2 5 3 7 3 2" xfId="22282"/>
    <cellStyle name="Input 2 8 2" xfId="22283"/>
    <cellStyle name="Input 2 8 2 10 2 2" xfId="22284"/>
    <cellStyle name="Input 2 8 2 10 3 2" xfId="22285"/>
    <cellStyle name="Input 2 8 2 10 4 2" xfId="22286"/>
    <cellStyle name="Input 2 8 2 10 5" xfId="22287"/>
    <cellStyle name="Input 2 8 2 10 5 2" xfId="22288"/>
    <cellStyle name="Input 2 8 2 10 6" xfId="22289"/>
    <cellStyle name="Input 2 8 2 11 4" xfId="22290"/>
    <cellStyle name="Input 2 8 2 12 2" xfId="22291"/>
    <cellStyle name="Note 2 10 5 3 4" xfId="22292"/>
    <cellStyle name="Input 2 8 2 12 3" xfId="22293"/>
    <cellStyle name="Input 2 8 2 12 4" xfId="22294"/>
    <cellStyle name="Input 2 8 2 13" xfId="22295"/>
    <cellStyle name="Input 2 8 2 13 2" xfId="22296"/>
    <cellStyle name="Input 2 8 2 13 3" xfId="22297"/>
    <cellStyle name="Input 2 8 2 14" xfId="22298"/>
    <cellStyle name="Input 2 8 2 14 2" xfId="22299"/>
    <cellStyle name="Input 2 8 2 14 3" xfId="22300"/>
    <cellStyle name="Input 2 8 2 15" xfId="22301"/>
    <cellStyle name="Input 2 8 2 16" xfId="22302"/>
    <cellStyle name="Input 2 9 2 6 2 2" xfId="22303"/>
    <cellStyle name="Input 2 8 2 2 4 2" xfId="22304"/>
    <cellStyle name="Input 2 8 2 2 4 3" xfId="22305"/>
    <cellStyle name="Input 2 8 2 2 5" xfId="22306"/>
    <cellStyle name="Input 2 8 2 2 6" xfId="22307"/>
    <cellStyle name="Output 2 7 7 5 2" xfId="22308"/>
    <cellStyle name="Input 2 8 2 2 7" xfId="22309"/>
    <cellStyle name="Output 2 7 7 5 3" xfId="22310"/>
    <cellStyle name="Input 2 8 2 3 4 2" xfId="22311"/>
    <cellStyle name="Input 2 8 2 3 4 3" xfId="22312"/>
    <cellStyle name="Input 2 8 2 3 5" xfId="22313"/>
    <cellStyle name="Input 2 8 2 3 5 2" xfId="22314"/>
    <cellStyle name="Input 2 8 2 3 5 3" xfId="22315"/>
    <cellStyle name="Input 2 8 2 3 6" xfId="22316"/>
    <cellStyle name="Input 2 8 2 3 7" xfId="22317"/>
    <cellStyle name="Input 2 8 2 4 2 2" xfId="22318"/>
    <cellStyle name="Output 2 10 2 12 3" xfId="22319"/>
    <cellStyle name="Output 2 16 7 3 4" xfId="22320"/>
    <cellStyle name="Input 2 8 2 4 2 3" xfId="22321"/>
    <cellStyle name="Output 2 10 2 12 4" xfId="22322"/>
    <cellStyle name="Input 2 8 2 4 2 4" xfId="22323"/>
    <cellStyle name="Input 2 8 2 4 3 2" xfId="22324"/>
    <cellStyle name="Output 2 10 2 13 3" xfId="22325"/>
    <cellStyle name="Input 2 8 2 4 3 3" xfId="22326"/>
    <cellStyle name="Input 2 8 2 4 3 4" xfId="22327"/>
    <cellStyle name="Input 2 8 2 4 4" xfId="22328"/>
    <cellStyle name="Input 2 8 2 4 4 3" xfId="22329"/>
    <cellStyle name="Input 2 8 2 4 5" xfId="22330"/>
    <cellStyle name="Input 2 8 2 4 5 2" xfId="22331"/>
    <cellStyle name="Input 2 8 2 4 5 3" xfId="22332"/>
    <cellStyle name="Input 2 8 2 4 6" xfId="22333"/>
    <cellStyle name="Input 2 8 2 4 7" xfId="22334"/>
    <cellStyle name="Input 2 8 2 5 2 2" xfId="22335"/>
    <cellStyle name="Note 2 13 2 5 2" xfId="22336"/>
    <cellStyle name="Output 2 16 8 3 4" xfId="22337"/>
    <cellStyle name="Input 2 8 2 5 2 3" xfId="22338"/>
    <cellStyle name="Note 2 13 2 5 3" xfId="22339"/>
    <cellStyle name="Input 2 8 2 5 2 4" xfId="22340"/>
    <cellStyle name="Note 2 13 2 5 4" xfId="22341"/>
    <cellStyle name="Input 2 8 2 5 3 2" xfId="22342"/>
    <cellStyle name="Note 2 13 2 6 2" xfId="22343"/>
    <cellStyle name="Input 2 8 2 5 3 3" xfId="22344"/>
    <cellStyle name="Note 2 13 2 6 3" xfId="22345"/>
    <cellStyle name="Input 2 8 2 5 3 4" xfId="22346"/>
    <cellStyle name="Note 2 13 2 6 4" xfId="22347"/>
    <cellStyle name="Input 2 8 2 5 4" xfId="22348"/>
    <cellStyle name="Note 2 13 2 7" xfId="22349"/>
    <cellStyle name="Input 2 8 2 5 4 2" xfId="22350"/>
    <cellStyle name="Note 2 13 2 7 2" xfId="22351"/>
    <cellStyle name="Input 2 8 2 5 4 3" xfId="22352"/>
    <cellStyle name="Note 2 13 2 7 3" xfId="22353"/>
    <cellStyle name="Input 2 8 2 5 5" xfId="22354"/>
    <cellStyle name="Note 2 13 2 8" xfId="22355"/>
    <cellStyle name="Input 2 8 2 5 6" xfId="22356"/>
    <cellStyle name="Note 2 13 2 9" xfId="22357"/>
    <cellStyle name="Input 2 8 2 5 7" xfId="22358"/>
    <cellStyle name="Note 2 8 8 2 2" xfId="22359"/>
    <cellStyle name="Input 2 8 2 6 2 2" xfId="22360"/>
    <cellStyle name="Note 2 13 3 5 2" xfId="22361"/>
    <cellStyle name="Output 2 16 9 3 4" xfId="22362"/>
    <cellStyle name="Input 2 8 2 6 2 3" xfId="22363"/>
    <cellStyle name="Note 2 13 3 5 3" xfId="22364"/>
    <cellStyle name="Input 2 8 2 6 2 4" xfId="22365"/>
    <cellStyle name="Note 2 13 3 5 4" xfId="22366"/>
    <cellStyle name="Input 2 8 2 6 3" xfId="22367"/>
    <cellStyle name="Note 2 13 3 6" xfId="22368"/>
    <cellStyle name="Input 2 8 2 6 3 2" xfId="22369"/>
    <cellStyle name="Note 2 13 3 6 2" xfId="22370"/>
    <cellStyle name="Input 2 8 2 6 3 3" xfId="22371"/>
    <cellStyle name="Note 2 13 3 6 3" xfId="22372"/>
    <cellStyle name="Input 2 8 2 6 3 4" xfId="22373"/>
    <cellStyle name="Note 2 13 3 6 4" xfId="22374"/>
    <cellStyle name="Input 2 8 2 6 4" xfId="22375"/>
    <cellStyle name="Note 2 13 3 7" xfId="22376"/>
    <cellStyle name="Input 2 8 2 6 4 2" xfId="22377"/>
    <cellStyle name="Note 2 13 3 7 2" xfId="22378"/>
    <cellStyle name="Input 2 8 2 6 4 3" xfId="22379"/>
    <cellStyle name="Note 2 13 3 7 3" xfId="22380"/>
    <cellStyle name="Input 2 8 2 6 5" xfId="22381"/>
    <cellStyle name="Note 2 13 3 8" xfId="22382"/>
    <cellStyle name="Input 2 8 2 6 5 2" xfId="22383"/>
    <cellStyle name="Note 2 13 3 8 2" xfId="22384"/>
    <cellStyle name="Input 2 8 2 6 5 3" xfId="22385"/>
    <cellStyle name="Note 2 13 3 8 3" xfId="22386"/>
    <cellStyle name="Input 2 8 2 6 6" xfId="22387"/>
    <cellStyle name="Note 2 13 3 9" xfId="22388"/>
    <cellStyle name="Input 2 8 2 6 7" xfId="22389"/>
    <cellStyle name="Note 2 8 8 3 2" xfId="22390"/>
    <cellStyle name="Input 2 8 2 7 2 2" xfId="22391"/>
    <cellStyle name="Note 2 13 4 5 2" xfId="22392"/>
    <cellStyle name="Output 2 4 3 14" xfId="22393"/>
    <cellStyle name="Input 2 8 2 7 2 3" xfId="22394"/>
    <cellStyle name="Note 2 13 4 5 3" xfId="22395"/>
    <cellStyle name="Total 2 14 7 4 2" xfId="22396"/>
    <cellStyle name="Output 2 4 3 15" xfId="22397"/>
    <cellStyle name="Input 2 8 2 7 2 4" xfId="22398"/>
    <cellStyle name="Total 2 14 7 4 3" xfId="22399"/>
    <cellStyle name="Output 2 4 3 16" xfId="22400"/>
    <cellStyle name="Input 2 8 2 7 3" xfId="22401"/>
    <cellStyle name="Note 2 13 4 6" xfId="22402"/>
    <cellStyle name="Input 2 8 2 7 3 2" xfId="22403"/>
    <cellStyle name="Input 2 8 2 7 3 3" xfId="22404"/>
    <cellStyle name="Input 2 8 2 7 3 4" xfId="22405"/>
    <cellStyle name="Input 2 8 2 7 4" xfId="22406"/>
    <cellStyle name="Note 2 13 4 7" xfId="22407"/>
    <cellStyle name="Input 2 8 2 7 4 2" xfId="22408"/>
    <cellStyle name="Input 2 8 2 7 4 3" xfId="22409"/>
    <cellStyle name="Input 2 8 2 7 5" xfId="22410"/>
    <cellStyle name="Input 2 8 2 7 5 2" xfId="22411"/>
    <cellStyle name="Input 2 8 2 7 5 3" xfId="22412"/>
    <cellStyle name="Input 2 8 2 7 6" xfId="22413"/>
    <cellStyle name="Input 2 8 2 7 7" xfId="22414"/>
    <cellStyle name="Note 2 8 8 4 2" xfId="22415"/>
    <cellStyle name="Input 2 8 2 8 2 2" xfId="22416"/>
    <cellStyle name="Note 2 13 5 5 2" xfId="22417"/>
    <cellStyle name="Note 2 3 2 3 4" xfId="22418"/>
    <cellStyle name="Input 2 8 2 8 2 3" xfId="22419"/>
    <cellStyle name="Note 2 13 5 5 3" xfId="22420"/>
    <cellStyle name="Note 2 3 2 3 5" xfId="22421"/>
    <cellStyle name="Input 2 8 2 8 2 4" xfId="22422"/>
    <cellStyle name="Note 2 3 2 3 6" xfId="22423"/>
    <cellStyle name="Input 2 8 2 8 3" xfId="22424"/>
    <cellStyle name="Note 2 13 5 6" xfId="22425"/>
    <cellStyle name="Input 2 8 2 8 3 2" xfId="22426"/>
    <cellStyle name="Note 2 3 2 4 4" xfId="22427"/>
    <cellStyle name="Input 2 8 2 8 3 3" xfId="22428"/>
    <cellStyle name="Note 2 3 2 4 5" xfId="22429"/>
    <cellStyle name="Input 2 8 2 8 3 4" xfId="22430"/>
    <cellStyle name="Note 2 3 2 4 6" xfId="22431"/>
    <cellStyle name="Input 2 8 2 8 4" xfId="22432"/>
    <cellStyle name="Note 2 13 5 7" xfId="22433"/>
    <cellStyle name="Note 2 3 2 3 2 2" xfId="22434"/>
    <cellStyle name="Input 2 8 2 8 4 2" xfId="22435"/>
    <cellStyle name="Note 2 3 2 5 4" xfId="22436"/>
    <cellStyle name="Input 2 8 2 8 4 3" xfId="22437"/>
    <cellStyle name="Note 2 3 2 5 5" xfId="22438"/>
    <cellStyle name="Input 2 8 2 8 5" xfId="22439"/>
    <cellStyle name="Note 2 3 2 3 2 3" xfId="22440"/>
    <cellStyle name="Input 2 8 2 8 5 2" xfId="22441"/>
    <cellStyle name="Note 2 3 2 6 4" xfId="22442"/>
    <cellStyle name="Input 2 8 2 8 5 3" xfId="22443"/>
    <cellStyle name="Note 2 3 2 6 5" xfId="22444"/>
    <cellStyle name="Input 2 8 2 8 6" xfId="22445"/>
    <cellStyle name="Note 2 3 2 3 2 4" xfId="22446"/>
    <cellStyle name="Input 2 8 2 8 7" xfId="22447"/>
    <cellStyle name="Note 2 8 8 5 2" xfId="22448"/>
    <cellStyle name="Input 2 8 2 9" xfId="22449"/>
    <cellStyle name="Output 2 8 3 12 4" xfId="22450"/>
    <cellStyle name="Note 2 3 3 3 4" xfId="22451"/>
    <cellStyle name="Output 2 10 3 12 3" xfId="22452"/>
    <cellStyle name="Input 2 8 2 9 2 2" xfId="22453"/>
    <cellStyle name="Note 2 13 6 5 2" xfId="22454"/>
    <cellStyle name="Output 2 2 2 9 5" xfId="22455"/>
    <cellStyle name="Note 2 3 3 3 5" xfId="22456"/>
    <cellStyle name="Output 2 10 3 12 4" xfId="22457"/>
    <cellStyle name="Input 2 8 2 9 2 3" xfId="22458"/>
    <cellStyle name="Note 2 13 6 5 3" xfId="22459"/>
    <cellStyle name="Output 2 2 2 9 6" xfId="22460"/>
    <cellStyle name="Note 2 3 3 3 6" xfId="22461"/>
    <cellStyle name="Input 2 8 2 9 2 4" xfId="22462"/>
    <cellStyle name="Output 2 2 2 9 7" xfId="22463"/>
    <cellStyle name="Input 2 8 2 9 3" xfId="22464"/>
    <cellStyle name="Note 2 13 6 6" xfId="22465"/>
    <cellStyle name="Input 2 8 2 9 3 2" xfId="22466"/>
    <cellStyle name="Note 2 3 3 4 4" xfId="22467"/>
    <cellStyle name="Output 2 10 3 13 3" xfId="22468"/>
    <cellStyle name="Input 2 8 2 9 3 3" xfId="22469"/>
    <cellStyle name="Note 2 3 3 4 5" xfId="22470"/>
    <cellStyle name="Input 2 8 2 9 3 4" xfId="22471"/>
    <cellStyle name="Note 2 3 3 4 6" xfId="22472"/>
    <cellStyle name="Input 2 8 2 9 4" xfId="22473"/>
    <cellStyle name="Note 2 13 6 7" xfId="22474"/>
    <cellStyle name="Note 2 3 2 3 3 2" xfId="22475"/>
    <cellStyle name="Input 2 8 2 9 4 2" xfId="22476"/>
    <cellStyle name="Note 2 3 3 5 4" xfId="22477"/>
    <cellStyle name="Output 2 10 3 14 3" xfId="22478"/>
    <cellStyle name="Input 2 8 2 9 4 3" xfId="22479"/>
    <cellStyle name="Note 2 3 3 5 5" xfId="22480"/>
    <cellStyle name="Input 2 8 2 9 5" xfId="22481"/>
    <cellStyle name="Note 2 3 2 3 3 3" xfId="22482"/>
    <cellStyle name="Input 2 8 2 9 6" xfId="22483"/>
    <cellStyle name="Note 2 3 2 3 3 4" xfId="22484"/>
    <cellStyle name="Input 2 8 2 9 7" xfId="22485"/>
    <cellStyle name="Input 2 8 3" xfId="22486"/>
    <cellStyle name="Input 2 8 3 10 3 2" xfId="22487"/>
    <cellStyle name="Input 2 8 3 10 3 3" xfId="22488"/>
    <cellStyle name="Input 2 8 3 10 3 4" xfId="22489"/>
    <cellStyle name="Note 2 5 7 3 2" xfId="22490"/>
    <cellStyle name="Note 2 8 3 10 3 2" xfId="22491"/>
    <cellStyle name="Input 2 8 3 10 4" xfId="22492"/>
    <cellStyle name="Input 2 8 3 10 4 2" xfId="22493"/>
    <cellStyle name="Input 2 8 3 10 4 3" xfId="22494"/>
    <cellStyle name="Input 2 8 3 10 5" xfId="22495"/>
    <cellStyle name="Input 2 8 3 10 5 2" xfId="22496"/>
    <cellStyle name="Input 2 8 3 10 5 3" xfId="22497"/>
    <cellStyle name="Input 2 8 3 10 6" xfId="22498"/>
    <cellStyle name="Input 2 8 3 11 3" xfId="22499"/>
    <cellStyle name="Input 2 8 3 11 4" xfId="22500"/>
    <cellStyle name="Input 2 8 3 12 2" xfId="22501"/>
    <cellStyle name="Output 2 5 2 5 3 4" xfId="22502"/>
    <cellStyle name="Input 2 8 3 12 3" xfId="22503"/>
    <cellStyle name="Input 2 8 3 12 4" xfId="22504"/>
    <cellStyle name="Input 2 8 3 13" xfId="22505"/>
    <cellStyle name="Input 2 8 3 13 2" xfId="22506"/>
    <cellStyle name="Input 2 8 3 13 3" xfId="22507"/>
    <cellStyle name="Input 2 8 3 14" xfId="22508"/>
    <cellStyle name="Input 2 8 3 14 2" xfId="22509"/>
    <cellStyle name="Input 2 8 3 14 3" xfId="22510"/>
    <cellStyle name="Input 2 8 3 15" xfId="22511"/>
    <cellStyle name="Input 2 8 3 16" xfId="22512"/>
    <cellStyle name="Input 2 8 3 2 4" xfId="22513"/>
    <cellStyle name="Input 2 8 3 2 4 2" xfId="22514"/>
    <cellStyle name="Input 2 8 3 2 4 3" xfId="22515"/>
    <cellStyle name="Input 2 8 3 2 5" xfId="22516"/>
    <cellStyle name="Input 2 8 3 2 5 2" xfId="22517"/>
    <cellStyle name="Input 2 8 3 2 5 3" xfId="22518"/>
    <cellStyle name="Input 2 8 3 2 6" xfId="22519"/>
    <cellStyle name="Note 2 10 2 8 2" xfId="22520"/>
    <cellStyle name="Output 2 7 8 5 2" xfId="22521"/>
    <cellStyle name="Input 2 8 3 2 7" xfId="22522"/>
    <cellStyle name="Note 2 10 2 8 3" xfId="22523"/>
    <cellStyle name="Output 2 7 8 5 3" xfId="22524"/>
    <cellStyle name="Input 2 8 3 3 4" xfId="22525"/>
    <cellStyle name="Input 2 8 3 3 4 2" xfId="22526"/>
    <cellStyle name="Input 2 8 3 3 4 3" xfId="22527"/>
    <cellStyle name="Input 2 8 3 3 5" xfId="22528"/>
    <cellStyle name="Input 2 8 3 3 5 2" xfId="22529"/>
    <cellStyle name="Note 2 3 2 28" xfId="22530"/>
    <cellStyle name="Input 2 8 3 3 5 3" xfId="22531"/>
    <cellStyle name="Note 2 3 2 29" xfId="22532"/>
    <cellStyle name="Input 2 8 3 3 6" xfId="22533"/>
    <cellStyle name="Note 2 10 2 9 2" xfId="22534"/>
    <cellStyle name="Input 2 8 3 3 7" xfId="22535"/>
    <cellStyle name="Note 2 10 2 9 3" xfId="22536"/>
    <cellStyle name="Input 2 8 3 4" xfId="22537"/>
    <cellStyle name="Note 2 12 7 4 3" xfId="22538"/>
    <cellStyle name="Note 2 2 4 2 5" xfId="22539"/>
    <cellStyle name="Input 2 8 3 4 2" xfId="22540"/>
    <cellStyle name="Input 2 8 3 4 2 2" xfId="22541"/>
    <cellStyle name="Input 2 8 3 4 2 3" xfId="22542"/>
    <cellStyle name="Note 2 14 2" xfId="22543"/>
    <cellStyle name="Input 2 8 3 4 2 4" xfId="22544"/>
    <cellStyle name="Note 2 5 2 6 4 2" xfId="22545"/>
    <cellStyle name="Input 2 8 3 4 3" xfId="22546"/>
    <cellStyle name="Input 2 8 3 4 3 2" xfId="22547"/>
    <cellStyle name="Input 2 8 3 4 4" xfId="22548"/>
    <cellStyle name="Input 2 8 3 4 4 2" xfId="22549"/>
    <cellStyle name="Input 2 8 3 4 4 3" xfId="22550"/>
    <cellStyle name="Input 2 8 3 4 5" xfId="22551"/>
    <cellStyle name="Input 2 8 3 4 5 2" xfId="22552"/>
    <cellStyle name="Input 2 8 3 4 5 3" xfId="22553"/>
    <cellStyle name="Input 2 8 3 4 6" xfId="22554"/>
    <cellStyle name="Input 2 8 3 4 7" xfId="22555"/>
    <cellStyle name="Input 2 8 3 5" xfId="22556"/>
    <cellStyle name="Note 2 2 4 2 6" xfId="22557"/>
    <cellStyle name="Input 2 8 3 5 2" xfId="22558"/>
    <cellStyle name="Note 2 14 2 5" xfId="22559"/>
    <cellStyle name="Input 2 8 3 5 2 2" xfId="22560"/>
    <cellStyle name="Note 2 14 2 5 2" xfId="22561"/>
    <cellStyle name="Input 2 8 3 5 2 3" xfId="22562"/>
    <cellStyle name="Note 2 14 2 5 3" xfId="22563"/>
    <cellStyle name="Input 2 8 3 5 2 4" xfId="22564"/>
    <cellStyle name="Note 2 14 2 5 4" xfId="22565"/>
    <cellStyle name="Note 2 5 2 7 4 2" xfId="22566"/>
    <cellStyle name="Input 2 8 3 5 3" xfId="22567"/>
    <cellStyle name="Note 2 14 2 6" xfId="22568"/>
    <cellStyle name="Input 2 8 3 5 3 2" xfId="22569"/>
    <cellStyle name="Note 2 14 2 6 2" xfId="22570"/>
    <cellStyle name="Note 2 2 3 10 2 3" xfId="22571"/>
    <cellStyle name="Input 2 8 3 5 3 3" xfId="22572"/>
    <cellStyle name="Note 2 14 2 6 3" xfId="22573"/>
    <cellStyle name="Note 2 2 3 10 2 4" xfId="22574"/>
    <cellStyle name="Input 2 8 3 5 3 4" xfId="22575"/>
    <cellStyle name="Note 2 14 2 6 4" xfId="22576"/>
    <cellStyle name="Note 2 5 2 7 5 2" xfId="22577"/>
    <cellStyle name="Input 2 8 3 5 4" xfId="22578"/>
    <cellStyle name="Note 2 14 2 7" xfId="22579"/>
    <cellStyle name="Input 2 8 3 5 4 2" xfId="22580"/>
    <cellStyle name="Note 2 14 2 7 2" xfId="22581"/>
    <cellStyle name="Note 2 2 3 10 3 3" xfId="22582"/>
    <cellStyle name="Input 2 8 3 5 4 3" xfId="22583"/>
    <cellStyle name="Note 2 14 2 7 3" xfId="22584"/>
    <cellStyle name="Note 2 2 3 10 3 4" xfId="22585"/>
    <cellStyle name="Input 2 8 3 5 5" xfId="22586"/>
    <cellStyle name="Note 2 14 2 8" xfId="22587"/>
    <cellStyle name="Input 2 8 3 5 5 2" xfId="22588"/>
    <cellStyle name="Note 2 14 2 8 2" xfId="22589"/>
    <cellStyle name="Note 2 2 3 10 4 3" xfId="22590"/>
    <cellStyle name="Input 2 8 3 5 5 3" xfId="22591"/>
    <cellStyle name="Note 2 14 2 8 3" xfId="22592"/>
    <cellStyle name="Input 2 8 3 5 6" xfId="22593"/>
    <cellStyle name="Note 2 14 2 9" xfId="22594"/>
    <cellStyle name="Input 2 8 3 5 7" xfId="22595"/>
    <cellStyle name="Note 2 8 9 2 2" xfId="22596"/>
    <cellStyle name="Input 2 8 3 6" xfId="22597"/>
    <cellStyle name="Input 2 8 3 6 2" xfId="22598"/>
    <cellStyle name="Note 2 14 3 5" xfId="22599"/>
    <cellStyle name="Input 2 8 3 6 2 2" xfId="22600"/>
    <cellStyle name="Note 2 14 3 5 2" xfId="22601"/>
    <cellStyle name="Input 2 8 3 6 3" xfId="22602"/>
    <cellStyle name="Note 2 14 3 6" xfId="22603"/>
    <cellStyle name="Input 2 8 3 6 3 2" xfId="22604"/>
    <cellStyle name="Note 2 14 3 6 2" xfId="22605"/>
    <cellStyle name="Input 2 8 3 6 4" xfId="22606"/>
    <cellStyle name="Note 2 14 3 7" xfId="22607"/>
    <cellStyle name="Input 2 8 3 6 4 2" xfId="22608"/>
    <cellStyle name="Note 2 14 3 7 2" xfId="22609"/>
    <cellStyle name="Input 2 8 3 6 5" xfId="22610"/>
    <cellStyle name="Note 2 14 3 8" xfId="22611"/>
    <cellStyle name="Input 2 8 3 6 5 2" xfId="22612"/>
    <cellStyle name="Note 2 14 3 8 2" xfId="22613"/>
    <cellStyle name="Input 2 8 3 6 6" xfId="22614"/>
    <cellStyle name="Note 2 14 3 9" xfId="22615"/>
    <cellStyle name="Input 2 8 3 6 7" xfId="22616"/>
    <cellStyle name="Note 2 8 9 3 2" xfId="22617"/>
    <cellStyle name="Input 2 8 3 7" xfId="22618"/>
    <cellStyle name="Output 2 8 3 13 2" xfId="22619"/>
    <cellStyle name="Input 2 8 3 7 2" xfId="22620"/>
    <cellStyle name="Note 2 14 4 5" xfId="22621"/>
    <cellStyle name="Input 2 8 3 7 2 2" xfId="22622"/>
    <cellStyle name="Note 2 14 4 5 2" xfId="22623"/>
    <cellStyle name="Output 2 5 10 3 4" xfId="22624"/>
    <cellStyle name="Output 2 9 3 14" xfId="22625"/>
    <cellStyle name="Input 2 8 3 7 3" xfId="22626"/>
    <cellStyle name="Note 2 14 4 6" xfId="22627"/>
    <cellStyle name="Input 2 8 3 7 3 2" xfId="22628"/>
    <cellStyle name="Input 2 8 3 7 4" xfId="22629"/>
    <cellStyle name="Note 2 14 4 7" xfId="22630"/>
    <cellStyle name="Input 2 8 3 7 4 2" xfId="22631"/>
    <cellStyle name="Input 2 8 3 7 5" xfId="22632"/>
    <cellStyle name="Input 2 8 3 7 5 2" xfId="22633"/>
    <cellStyle name="Input 2 8 3 7 6" xfId="22634"/>
    <cellStyle name="Input 2 8 3 7 7" xfId="22635"/>
    <cellStyle name="Note 2 8 9 4 2" xfId="22636"/>
    <cellStyle name="Input 2 8 3 8" xfId="22637"/>
    <cellStyle name="Output 2 8 3 13 3" xfId="22638"/>
    <cellStyle name="Input 2 8 3 8 2" xfId="22639"/>
    <cellStyle name="Note 2 14 5 5" xfId="22640"/>
    <cellStyle name="Input 2 8 3 8 2 2" xfId="22641"/>
    <cellStyle name="Note 2 14 5 5 2" xfId="22642"/>
    <cellStyle name="Note 2 4 2 3 4" xfId="22643"/>
    <cellStyle name="Output 2 5 11 3 4" xfId="22644"/>
    <cellStyle name="Input 2 8 3 8 3" xfId="22645"/>
    <cellStyle name="Note 2 14 5 6" xfId="22646"/>
    <cellStyle name="Input 2 8 3 8 3 2" xfId="22647"/>
    <cellStyle name="Note 2 4 2 4 4" xfId="22648"/>
    <cellStyle name="Input 2 8 3 8 4" xfId="22649"/>
    <cellStyle name="Note 2 14 5 7" xfId="22650"/>
    <cellStyle name="Note 2 3 2 4 2 2" xfId="22651"/>
    <cellStyle name="Input 2 8 3 8 4 2" xfId="22652"/>
    <cellStyle name="Note 2 4 2 5 4" xfId="22653"/>
    <cellStyle name="Input 2 8 3 8 5" xfId="22654"/>
    <cellStyle name="Note 2 3 2 4 2 3" xfId="22655"/>
    <cellStyle name="Input 2 8 3 8 5 2" xfId="22656"/>
    <cellStyle name="Note 2 4 2 28" xfId="22657"/>
    <cellStyle name="Note 2 4 2 6 4" xfId="22658"/>
    <cellStyle name="Input 2 8 3 8 6" xfId="22659"/>
    <cellStyle name="Note 2 3 2 4 2 4" xfId="22660"/>
    <cellStyle name="Input 2 8 3 8 7" xfId="22661"/>
    <cellStyle name="Note 2 8 9 5 2" xfId="22662"/>
    <cellStyle name="Input 2 8 3 9" xfId="22663"/>
    <cellStyle name="Input 2 8 3 9 2" xfId="22664"/>
    <cellStyle name="Note 2 14 6 5" xfId="22665"/>
    <cellStyle name="Input 2 8 3 9 2 2" xfId="22666"/>
    <cellStyle name="Note 2 14 6 5 2" xfId="22667"/>
    <cellStyle name="Output 2 3 2 9 5" xfId="22668"/>
    <cellStyle name="Note 2 4 3 3 4" xfId="22669"/>
    <cellStyle name="Output 2 5 12 3 4" xfId="22670"/>
    <cellStyle name="Input 2 8 3 9 3" xfId="22671"/>
    <cellStyle name="Note 2 14 6 6" xfId="22672"/>
    <cellStyle name="Input 2 8 3 9 3 2" xfId="22673"/>
    <cellStyle name="Note 2 4 3 4 4" xfId="22674"/>
    <cellStyle name="Input 2 8 3 9 4" xfId="22675"/>
    <cellStyle name="Note 2 14 6 7" xfId="22676"/>
    <cellStyle name="Note 2 3 2 4 3 2" xfId="22677"/>
    <cellStyle name="Input 2 8 3 9 4 2" xfId="22678"/>
    <cellStyle name="Note 2 4 3 5 4" xfId="22679"/>
    <cellStyle name="Input 2 8 3 9 5" xfId="22680"/>
    <cellStyle name="Note 2 3 2 4 3 3" xfId="22681"/>
    <cellStyle name="Input 2 8 3 9 6" xfId="22682"/>
    <cellStyle name="Note 2 3 2 4 3 4" xfId="22683"/>
    <cellStyle name="Input 2 8 3 9 7" xfId="22684"/>
    <cellStyle name="Input 2 8 4" xfId="22685"/>
    <cellStyle name="Input 2 8 4 2 4" xfId="22686"/>
    <cellStyle name="Input 2 8 4 3 4" xfId="22687"/>
    <cellStyle name="Input 2 8 4 4" xfId="22688"/>
    <cellStyle name="Note 2 12 7 5 3" xfId="22689"/>
    <cellStyle name="Note 2 2 4 3 5" xfId="22690"/>
    <cellStyle name="Input 2 8 4 5" xfId="22691"/>
    <cellStyle name="Note 2 2 4 3 6" xfId="22692"/>
    <cellStyle name="Input 2 8 4 5 2" xfId="22693"/>
    <cellStyle name="Note 2 15 2 5" xfId="22694"/>
    <cellStyle name="Input 2 8 4 5 3" xfId="22695"/>
    <cellStyle name="Note 2 15 2 6" xfId="22696"/>
    <cellStyle name="Input 2 8 4 6" xfId="22697"/>
    <cellStyle name="Input 2 8 5" xfId="22698"/>
    <cellStyle name="Input 2 8 5 2 4" xfId="22699"/>
    <cellStyle name="Input 2 8 5 3 4" xfId="22700"/>
    <cellStyle name="Input 2 8 5 4" xfId="22701"/>
    <cellStyle name="Input 2 8 5 4 2" xfId="22702"/>
    <cellStyle name="Input 2 8 5 4 3" xfId="22703"/>
    <cellStyle name="Input 2 8 5 5" xfId="22704"/>
    <cellStyle name="Input 2 8 5 5 2" xfId="22705"/>
    <cellStyle name="Note 2 16 2 5" xfId="22706"/>
    <cellStyle name="Input 2 8 5 5 3" xfId="22707"/>
    <cellStyle name="Note 2 16 2 6" xfId="22708"/>
    <cellStyle name="Input 2 8 5 6" xfId="22709"/>
    <cellStyle name="Input 2 8 6" xfId="22710"/>
    <cellStyle name="Input 2 8 6 2 4" xfId="22711"/>
    <cellStyle name="Note 2 13 2 13" xfId="22712"/>
    <cellStyle name="Input 2 8 6 3 4" xfId="22713"/>
    <cellStyle name="Input 2 8 6 4" xfId="22714"/>
    <cellStyle name="Input 2 8 6 5" xfId="22715"/>
    <cellStyle name="Output 2 12 2 5 2 2" xfId="22716"/>
    <cellStyle name="Input 2 8 6 6" xfId="22717"/>
    <cellStyle name="Output 2 12 2 5 2 3" xfId="22718"/>
    <cellStyle name="Input 2 8 7" xfId="22719"/>
    <cellStyle name="Input 2 8 8 2" xfId="22720"/>
    <cellStyle name="Input 2 8 8 2 2" xfId="22721"/>
    <cellStyle name="Input 2 8 8 2 3" xfId="22722"/>
    <cellStyle name="Input 2 8 8 2 4" xfId="22723"/>
    <cellStyle name="Input 2 8 8 3" xfId="22724"/>
    <cellStyle name="Input 2 8 8 3 3" xfId="22725"/>
    <cellStyle name="Input 2 8 8 4" xfId="22726"/>
    <cellStyle name="Input 2 8 8 5" xfId="22727"/>
    <cellStyle name="Output 2 12 2 5 4 2" xfId="22728"/>
    <cellStyle name="Output 2 6 2 4 2 2" xfId="22729"/>
    <cellStyle name="Input 2 8 8 5 2" xfId="22730"/>
    <cellStyle name="Input 2 8 8 5 3" xfId="22731"/>
    <cellStyle name="Input 2 8 8 6" xfId="22732"/>
    <cellStyle name="Output 2 12 2 5 4 3" xfId="22733"/>
    <cellStyle name="Output 2 6 2 4 2 3" xfId="22734"/>
    <cellStyle name="Input 2 8 8 7" xfId="22735"/>
    <cellStyle name="Output 2 6 2 4 2 4" xfId="22736"/>
    <cellStyle name="Input 2 8 9 2" xfId="22737"/>
    <cellStyle name="Input 2 8 9 2 2" xfId="22738"/>
    <cellStyle name="Input 2 8 9 2 3" xfId="22739"/>
    <cellStyle name="Input 2 8 9 2 4" xfId="22740"/>
    <cellStyle name="Input 2 8 9 3" xfId="22741"/>
    <cellStyle name="Note 2 4 3 10 2" xfId="22742"/>
    <cellStyle name="Input 2 8 9 3 3" xfId="22743"/>
    <cellStyle name="Note 2 4 3 10 2 3" xfId="22744"/>
    <cellStyle name="Input 2 8 9 3 4" xfId="22745"/>
    <cellStyle name="Note 2 4 3 10 2 4" xfId="22746"/>
    <cellStyle name="Input 2 8 9 4" xfId="22747"/>
    <cellStyle name="Note 2 4 3 10 3" xfId="22748"/>
    <cellStyle name="Input 2 8 9 4 3" xfId="22749"/>
    <cellStyle name="Note 2 4 3 10 3 3" xfId="22750"/>
    <cellStyle name="Input 2 8 9 5" xfId="22751"/>
    <cellStyle name="Note 2 4 3 10 4" xfId="22752"/>
    <cellStyle name="Output 2 12 2 5 5 2" xfId="22753"/>
    <cellStyle name="Output 2 6 2 4 3 2" xfId="22754"/>
    <cellStyle name="Input 2 8 9 5 2" xfId="22755"/>
    <cellStyle name="Note 2 4 3 10 4 2" xfId="22756"/>
    <cellStyle name="Input 2 8 9 6" xfId="22757"/>
    <cellStyle name="Note 2 4 3 10 5" xfId="22758"/>
    <cellStyle name="Output 2 12 2 5 5 3" xfId="22759"/>
    <cellStyle name="Output 2 6 2 4 3 3" xfId="22760"/>
    <cellStyle name="Input 2 8 9 7" xfId="22761"/>
    <cellStyle name="Note 2 4 3 10 6" xfId="22762"/>
    <cellStyle name="Output 2 6 2 4 3 4" xfId="22763"/>
    <cellStyle name="Note 2 4 3 3 4 2" xfId="22764"/>
    <cellStyle name="Input 2 9 10" xfId="22765"/>
    <cellStyle name="Output 2 3 2 9 5 2" xfId="22766"/>
    <cellStyle name="Input 2 9 10 2" xfId="22767"/>
    <cellStyle name="Input 2 9 10 2 2" xfId="22768"/>
    <cellStyle name="Input 2 9 10 2 3" xfId="22769"/>
    <cellStyle name="Input 2 9 10 2 4" xfId="22770"/>
    <cellStyle name="Input 2 9 10 3" xfId="22771"/>
    <cellStyle name="Input 2 9 10 3 2" xfId="22772"/>
    <cellStyle name="Input 2 9 10 3 3" xfId="22773"/>
    <cellStyle name="Input 2 9 10 3 4" xfId="22774"/>
    <cellStyle name="Input 2 9 10 4" xfId="22775"/>
    <cellStyle name="Input 2 9 10 4 2" xfId="22776"/>
    <cellStyle name="Input 2 9 10 4 3" xfId="22777"/>
    <cellStyle name="Input 2 9 10 5" xfId="22778"/>
    <cellStyle name="Input 2 9 10 5 2" xfId="22779"/>
    <cellStyle name="Input 2 9 10 5 3" xfId="22780"/>
    <cellStyle name="Input 2 9 10 6" xfId="22781"/>
    <cellStyle name="Input 2 9 10 7" xfId="22782"/>
    <cellStyle name="Note 2 4 3 3 4 3" xfId="22783"/>
    <cellStyle name="Input 2 9 11" xfId="22784"/>
    <cellStyle name="Output 2 3 2 9 5 3" xfId="22785"/>
    <cellStyle name="Input 2 9 11 2 2" xfId="22786"/>
    <cellStyle name="Input 2 9 11 2 3" xfId="22787"/>
    <cellStyle name="Input 2 9 11 2 4" xfId="22788"/>
    <cellStyle name="Input 2 9 11 3" xfId="22789"/>
    <cellStyle name="Input 2 9 11 3 2" xfId="22790"/>
    <cellStyle name="Input 2 9 11 3 3" xfId="22791"/>
    <cellStyle name="Input 2 9 11 3 4" xfId="22792"/>
    <cellStyle name="Input 2 9 11 4" xfId="22793"/>
    <cellStyle name="Input 2 9 11 4 2" xfId="22794"/>
    <cellStyle name="Input 2 9 11 4 3" xfId="22795"/>
    <cellStyle name="Input 2 9 11 5" xfId="22796"/>
    <cellStyle name="Input 2 9 11 5 2" xfId="22797"/>
    <cellStyle name="Input 2 9 11 5 3" xfId="22798"/>
    <cellStyle name="Input 2 9 11 6" xfId="22799"/>
    <cellStyle name="Input 2 9 11 7" xfId="22800"/>
    <cellStyle name="Input 2 9 12" xfId="22801"/>
    <cellStyle name="Input 2 9 12 2 2" xfId="22802"/>
    <cellStyle name="Input 2 9 12 2 3" xfId="22803"/>
    <cellStyle name="Input 2 9 12 2 4" xfId="22804"/>
    <cellStyle name="Input 2 9 12 3" xfId="22805"/>
    <cellStyle name="Input 2 9 12 3 2" xfId="22806"/>
    <cellStyle name="Input 2 9 12 3 3" xfId="22807"/>
    <cellStyle name="Input 2 9 12 3 4" xfId="22808"/>
    <cellStyle name="Input 2 9 12 4" xfId="22809"/>
    <cellStyle name="Input 2 9 12 4 2" xfId="22810"/>
    <cellStyle name="Input 2 9 12 4 3" xfId="22811"/>
    <cellStyle name="Input 2 9 12 5" xfId="22812"/>
    <cellStyle name="Input 2 9 12 5 2" xfId="22813"/>
    <cellStyle name="Normal 2 3 2 10" xfId="22814"/>
    <cellStyle name="Input 2 9 12 5 3" xfId="22815"/>
    <cellStyle name="Input 2 9 12 6" xfId="22816"/>
    <cellStyle name="Input 2 9 12 7" xfId="22817"/>
    <cellStyle name="Input 2 9 13" xfId="22818"/>
    <cellStyle name="Input 2 9 13 2" xfId="22819"/>
    <cellStyle name="Input 2 9 13 3" xfId="22820"/>
    <cellStyle name="Input 2 9 13 4" xfId="22821"/>
    <cellStyle name="Input 2 9 14" xfId="22822"/>
    <cellStyle name="Output 2 9 3 9 2 2" xfId="22823"/>
    <cellStyle name="Input 2 9 14 2" xfId="22824"/>
    <cellStyle name="Note 2 11 2 2 4" xfId="22825"/>
    <cellStyle name="Input 2 9 14 3" xfId="22826"/>
    <cellStyle name="Note 2 11 2 2 5" xfId="22827"/>
    <cellStyle name="Input 2 9 14 4" xfId="22828"/>
    <cellStyle name="Note 2 11 2 2 6" xfId="22829"/>
    <cellStyle name="Input 2 9 15" xfId="22830"/>
    <cellStyle name="Input 2 9 20" xfId="22831"/>
    <cellStyle name="Output 2 9 3 9 2 3" xfId="22832"/>
    <cellStyle name="Input 2 9 15 2" xfId="22833"/>
    <cellStyle name="Note 2 11 2 3 4" xfId="22834"/>
    <cellStyle name="Input 2 9 15 3" xfId="22835"/>
    <cellStyle name="Note 2 11 2 3 5" xfId="22836"/>
    <cellStyle name="Input 2 9 16" xfId="22837"/>
    <cellStyle name="Output 2 9 3 9 2 4" xfId="22838"/>
    <cellStyle name="Input 2 9 16 2" xfId="22839"/>
    <cellStyle name="Note 2 11 2 4 4" xfId="22840"/>
    <cellStyle name="Input 2 9 16 3" xfId="22841"/>
    <cellStyle name="Note 2 11 2 4 5" xfId="22842"/>
    <cellStyle name="Input 2 9 17" xfId="22843"/>
    <cellStyle name="Input 2 9 17 2" xfId="22844"/>
    <cellStyle name="Note 2 11 2 5 4" xfId="22845"/>
    <cellStyle name="Output 2 8 8 2 4" xfId="22846"/>
    <cellStyle name="Normal 2 4 3 5" xfId="22847"/>
    <cellStyle name="Input 2 9 17 2 2" xfId="22848"/>
    <cellStyle name="Note 2 11 2 5 4 2" xfId="22849"/>
    <cellStyle name="Input 2 9 18" xfId="22850"/>
    <cellStyle name="Input 2 9 19" xfId="22851"/>
    <cellStyle name="Input 2 9 2" xfId="22852"/>
    <cellStyle name="Input 2 9 2 10 2" xfId="22853"/>
    <cellStyle name="Input 2 9 2 10 2 2" xfId="22854"/>
    <cellStyle name="Normal 2 4 3 5 3" xfId="22855"/>
    <cellStyle name="Input 2 9 2 10 2 3" xfId="22856"/>
    <cellStyle name="Input 2 9 2 10 2 4" xfId="22857"/>
    <cellStyle name="Note 2 9 2 10 2 2" xfId="22858"/>
    <cellStyle name="Input 2 9 2 10 3" xfId="22859"/>
    <cellStyle name="Input 2 9 2 10 3 2" xfId="22860"/>
    <cellStyle name="Normal 2 4 3 6 3" xfId="22861"/>
    <cellStyle name="Input 2 9 2 10 3 3" xfId="22862"/>
    <cellStyle name="Input 2 9 2 10 3 4" xfId="22863"/>
    <cellStyle name="Note 2 9 2 10 3 2" xfId="22864"/>
    <cellStyle name="Input 2 9 2 10 4 2" xfId="22865"/>
    <cellStyle name="Normal 2 4 3 7 3" xfId="22866"/>
    <cellStyle name="Note 2 10 2 3 2 4" xfId="22867"/>
    <cellStyle name="Input 2 9 2 10 4 3" xfId="22868"/>
    <cellStyle name="Input 2 9 2 10 5" xfId="22869"/>
    <cellStyle name="Input 2 9 2 10 5 2" xfId="22870"/>
    <cellStyle name="Normal 2 4 3 8 3" xfId="22871"/>
    <cellStyle name="Note 2 10 2 3 3 4" xfId="22872"/>
    <cellStyle name="Input 2 9 2 10 5 3" xfId="22873"/>
    <cellStyle name="Input 2 9 2 10 6" xfId="22874"/>
    <cellStyle name="Input 2 9 2 11" xfId="22875"/>
    <cellStyle name="Output 2 12 16 2" xfId="22876"/>
    <cellStyle name="Input 2 9 2 11 2" xfId="22877"/>
    <cellStyle name="Note 2 15 5 2 4" xfId="22878"/>
    <cellStyle name="Input 2 9 2 11 3" xfId="22879"/>
    <cellStyle name="Input 2 9 2 11 4" xfId="22880"/>
    <cellStyle name="Input 2 9 2 12" xfId="22881"/>
    <cellStyle name="Output 2 12 16 3" xfId="22882"/>
    <cellStyle name="Input 2 9 2 12 2" xfId="22883"/>
    <cellStyle name="Note 2 15 5 3 4" xfId="22884"/>
    <cellStyle name="Input 2 9 2 12 3" xfId="22885"/>
    <cellStyle name="Input 2 9 2 12 4" xfId="22886"/>
    <cellStyle name="Input 2 9 2 13" xfId="22887"/>
    <cellStyle name="Input 2 9 2 13 2" xfId="22888"/>
    <cellStyle name="Note 2 5 2 2 6" xfId="22889"/>
    <cellStyle name="Input 2 9 2 13 3" xfId="22890"/>
    <cellStyle name="Note 2 5 2 2 7" xfId="22891"/>
    <cellStyle name="Input 2 9 2 2 2" xfId="22892"/>
    <cellStyle name="Input 2 9 2 2 2 2" xfId="22893"/>
    <cellStyle name="Input 2 9 2 2 2 3" xfId="22894"/>
    <cellStyle name="Input 2 9 2 2 2 4" xfId="22895"/>
    <cellStyle name="Input 2 9 2 2 3" xfId="22896"/>
    <cellStyle name="Input 2 9 2 2 3 2" xfId="22897"/>
    <cellStyle name="Input 2 9 2 2 3 3" xfId="22898"/>
    <cellStyle name="Input 2 9 2 2 3 4" xfId="22899"/>
    <cellStyle name="Input 2 9 2 2 4" xfId="22900"/>
    <cellStyle name="Input 2 9 2 2 4 2" xfId="22901"/>
    <cellStyle name="Input 2 9 2 2 4 3" xfId="22902"/>
    <cellStyle name="Input 2 9 2 2 5" xfId="22903"/>
    <cellStyle name="Input 2 9 2 2 5 2" xfId="22904"/>
    <cellStyle name="Input 2 9 2 2 5 3" xfId="22905"/>
    <cellStyle name="Input 2 9 2 2 6" xfId="22906"/>
    <cellStyle name="Output 2 8 7 5 2" xfId="22907"/>
    <cellStyle name="Input 2 9 2 2 7" xfId="22908"/>
    <cellStyle name="Output 2 8 7 5 3" xfId="22909"/>
    <cellStyle name="Input 2 9 2 3 2" xfId="22910"/>
    <cellStyle name="Input 2 9 2 3 2 2" xfId="22911"/>
    <cellStyle name="Input 2 9 2 3 2 3" xfId="22912"/>
    <cellStyle name="Input 2 9 2 3 2 4" xfId="22913"/>
    <cellStyle name="Input 2 9 2 3 3" xfId="22914"/>
    <cellStyle name="Input 2 9 2 3 3 2" xfId="22915"/>
    <cellStyle name="Input 2 9 2 3 3 3" xfId="22916"/>
    <cellStyle name="Input 2 9 2 3 3 4" xfId="22917"/>
    <cellStyle name="Input 2 9 2 3 4" xfId="22918"/>
    <cellStyle name="Input 2 9 2 3 4 2" xfId="22919"/>
    <cellStyle name="Input 2 9 2 3 4 3" xfId="22920"/>
    <cellStyle name="Input 2 9 2 3 5" xfId="22921"/>
    <cellStyle name="Input 2 9 2 3 5 2" xfId="22922"/>
    <cellStyle name="Input 2 9 2 3 5 3" xfId="22923"/>
    <cellStyle name="Input 2 9 2 3 6" xfId="22924"/>
    <cellStyle name="Input 2 9 2 3 7" xfId="22925"/>
    <cellStyle name="Input 2 9 2 4" xfId="22926"/>
    <cellStyle name="Note 2 12 8 3 3" xfId="22927"/>
    <cellStyle name="Input 2 9 2 4 2" xfId="22928"/>
    <cellStyle name="Input 2 9 2 4 2 2" xfId="22929"/>
    <cellStyle name="Input 2 9 2 4 2 3" xfId="22930"/>
    <cellStyle name="Input 2 9 2 4 2 4" xfId="22931"/>
    <cellStyle name="Input 2 9 2 4 3" xfId="22932"/>
    <cellStyle name="Input 2 9 2 4 3 2" xfId="22933"/>
    <cellStyle name="Input 2 9 2 4 3 3" xfId="22934"/>
    <cellStyle name="Input 2 9 2 4 3 4" xfId="22935"/>
    <cellStyle name="Input 2 9 2 4 4" xfId="22936"/>
    <cellStyle name="Input 2 9 2 4 4 2" xfId="22937"/>
    <cellStyle name="Input 2 9 2 4 4 3" xfId="22938"/>
    <cellStyle name="Input 2 9 2 4 5" xfId="22939"/>
    <cellStyle name="Input 2 9 2 4 5 2" xfId="22940"/>
    <cellStyle name="Input 2 9 2 4 5 3" xfId="22941"/>
    <cellStyle name="Input 2 9 2 4 6" xfId="22942"/>
    <cellStyle name="Output 2 14 2 10 2 2" xfId="22943"/>
    <cellStyle name="Total 2 11 2 9 2 2" xfId="22944"/>
    <cellStyle name="Input 2 9 2 4 7" xfId="22945"/>
    <cellStyle name="Output 2 14 2 10 2 3" xfId="22946"/>
    <cellStyle name="Total 2 11 2 9 2 3" xfId="22947"/>
    <cellStyle name="Input 2 9 2 5" xfId="22948"/>
    <cellStyle name="Note 2 12 8 3 4" xfId="22949"/>
    <cellStyle name="Input 2 9 2 5 2" xfId="22950"/>
    <cellStyle name="Input 2 9 2 5 2 2" xfId="22951"/>
    <cellStyle name="Note 2 16 10 6" xfId="22952"/>
    <cellStyle name="Output 2 18 6" xfId="22953"/>
    <cellStyle name="Output 2 23 6" xfId="22954"/>
    <cellStyle name="Input 2 9 2 5 2 3" xfId="22955"/>
    <cellStyle name="Note 2 16 10 7" xfId="22956"/>
    <cellStyle name="Output 2 18 7" xfId="22957"/>
    <cellStyle name="Output 2 23 7" xfId="22958"/>
    <cellStyle name="Input 2 9 2 5 2 4" xfId="22959"/>
    <cellStyle name="Output 2 18 8" xfId="22960"/>
    <cellStyle name="Output 2 23 8" xfId="22961"/>
    <cellStyle name="Input 2 9 2 5 3" xfId="22962"/>
    <cellStyle name="Input 2 9 2 5 3 2" xfId="22963"/>
    <cellStyle name="Output 2 19 6" xfId="22964"/>
    <cellStyle name="Output 2 24 6" xfId="22965"/>
    <cellStyle name="Input 2 9 2 5 3 3" xfId="22966"/>
    <cellStyle name="Output 2 19 7" xfId="22967"/>
    <cellStyle name="Output 2 24 7" xfId="22968"/>
    <cellStyle name="Input 2 9 2 5 3 4" xfId="22969"/>
    <cellStyle name="Output 2 19 8" xfId="22970"/>
    <cellStyle name="Output 2 24 8" xfId="22971"/>
    <cellStyle name="Input 2 9 2 5 4" xfId="22972"/>
    <cellStyle name="Input 2 9 2 5 4 2" xfId="22973"/>
    <cellStyle name="Output 2 25 6" xfId="22974"/>
    <cellStyle name="Input 2 9 2 5 4 3" xfId="22975"/>
    <cellStyle name="Output 2 25 7" xfId="22976"/>
    <cellStyle name="Input 2 9 2 5 5" xfId="22977"/>
    <cellStyle name="Input 2 9 2 5 5 2" xfId="22978"/>
    <cellStyle name="Input 2 9 2 5 5 3" xfId="22979"/>
    <cellStyle name="Input 2 9 2 5 6" xfId="22980"/>
    <cellStyle name="Output 2 14 2 10 3 2" xfId="22981"/>
    <cellStyle name="Total 2 11 2 9 3 2" xfId="22982"/>
    <cellStyle name="Input 2 9 2 5 7" xfId="22983"/>
    <cellStyle name="Output 2 14 2 10 3 3" xfId="22984"/>
    <cellStyle name="Note 2 9 8 2 2" xfId="22985"/>
    <cellStyle name="Output 2 6 17 2 2" xfId="22986"/>
    <cellStyle name="Total 2 11 2 9 3 3" xfId="22987"/>
    <cellStyle name="Input 2 9 2 6" xfId="22988"/>
    <cellStyle name="Input 2 9 2 6 2" xfId="22989"/>
    <cellStyle name="Input 2 9 2 6 2 3" xfId="22990"/>
    <cellStyle name="Input 2 9 2 6 2 4" xfId="22991"/>
    <cellStyle name="Input 2 9 2 6 3" xfId="22992"/>
    <cellStyle name="Input 2 9 2 6 3 2" xfId="22993"/>
    <cellStyle name="Input 2 9 2 6 3 3" xfId="22994"/>
    <cellStyle name="Input 2 9 2 6 3 4" xfId="22995"/>
    <cellStyle name="Input 2 9 2 6 4" xfId="22996"/>
    <cellStyle name="Input 2 9 2 6 5" xfId="22997"/>
    <cellStyle name="Input 2 9 2 6 5 2" xfId="22998"/>
    <cellStyle name="Input 2 9 2 6 5 3" xfId="22999"/>
    <cellStyle name="Input 2 9 2 6 6" xfId="23000"/>
    <cellStyle name="Output 2 14 2 10 4 2" xfId="23001"/>
    <cellStyle name="Total 2 11 2 9 4 2" xfId="23002"/>
    <cellStyle name="Input 2 9 2 6 7" xfId="23003"/>
    <cellStyle name="Note 2 9 8 3 2" xfId="23004"/>
    <cellStyle name="Output 2 14 2 10 4 3" xfId="23005"/>
    <cellStyle name="Total 2 11 2 9 4 3" xfId="23006"/>
    <cellStyle name="Input 2 9 2 7" xfId="23007"/>
    <cellStyle name="Input 2 9 2 7 2" xfId="23008"/>
    <cellStyle name="Input 2 9 2 7 2 2" xfId="23009"/>
    <cellStyle name="Input 2 9 2 7 2 3" xfId="23010"/>
    <cellStyle name="Input 2 9 2 7 2 4" xfId="23011"/>
    <cellStyle name="Input 2 9 2 7 3" xfId="23012"/>
    <cellStyle name="Input 2 9 2 7 3 2" xfId="23013"/>
    <cellStyle name="Input 2 9 2 7 3 3" xfId="23014"/>
    <cellStyle name="Input 2 9 2 7 3 4" xfId="23015"/>
    <cellStyle name="Input 2 9 2 7 4" xfId="23016"/>
    <cellStyle name="Output 2 2 2 9 2 2" xfId="23017"/>
    <cellStyle name="Input 2 9 2 7 4 2" xfId="23018"/>
    <cellStyle name="Input 2 9 2 7 4 3" xfId="23019"/>
    <cellStyle name="Input 2 9 2 7 5" xfId="23020"/>
    <cellStyle name="Output 2 2 2 9 2 3" xfId="23021"/>
    <cellStyle name="Input 2 9 2 7 5 2" xfId="23022"/>
    <cellStyle name="Input 2 9 2 7 5 3" xfId="23023"/>
    <cellStyle name="Input 2 9 2 7 6" xfId="23024"/>
    <cellStyle name="Output 2 14 2 10 5 2" xfId="23025"/>
    <cellStyle name="Output 2 2 2 9 2 4" xfId="23026"/>
    <cellStyle name="Total 2 11 2 9 5 2" xfId="23027"/>
    <cellStyle name="Input 2 9 2 7 7" xfId="23028"/>
    <cellStyle name="Note 2 9 8 4 2" xfId="23029"/>
    <cellStyle name="Output 2 14 2 10 5 3" xfId="23030"/>
    <cellStyle name="Total 2 11 2 9 5 3" xfId="23031"/>
    <cellStyle name="Input 2 9 2 8" xfId="23032"/>
    <cellStyle name="Note 2 13 12 2" xfId="23033"/>
    <cellStyle name="Note 2 13 12 2 2" xfId="23034"/>
    <cellStyle name="Input 2 9 2 8 2" xfId="23035"/>
    <cellStyle name="Output 2 12 2 3" xfId="23036"/>
    <cellStyle name="Total 2 10 2 2 4" xfId="23037"/>
    <cellStyle name="Input 2 9 2 8 2 2" xfId="23038"/>
    <cellStyle name="Output 2 12 2 3 2" xfId="23039"/>
    <cellStyle name="Total 2 10 2 2 4 2" xfId="23040"/>
    <cellStyle name="Input 2 9 2 8 2 3" xfId="23041"/>
    <cellStyle name="Output 2 12 2 3 3" xfId="23042"/>
    <cellStyle name="Total 2 10 2 2 4 3" xfId="23043"/>
    <cellStyle name="Input 2 9 2 8 2 4" xfId="23044"/>
    <cellStyle name="Output 2 12 2 3 4" xfId="23045"/>
    <cellStyle name="Output 2 6 2 2 2" xfId="23046"/>
    <cellStyle name="Note 2 13 12 2 3" xfId="23047"/>
    <cellStyle name="Input 2 9 2 8 3" xfId="23048"/>
    <cellStyle name="Output 2 12 2 4" xfId="23049"/>
    <cellStyle name="Total 2 10 2 2 5" xfId="23050"/>
    <cellStyle name="Input 2 9 2 8 3 2" xfId="23051"/>
    <cellStyle name="Output 2 12 2 4 2" xfId="23052"/>
    <cellStyle name="Total 2 10 2 2 5 2" xfId="23053"/>
    <cellStyle name="Input 2 9 2 8 3 3" xfId="23054"/>
    <cellStyle name="Output 2 12 2 4 3" xfId="23055"/>
    <cellStyle name="Total 2 10 2 2 5 3" xfId="23056"/>
    <cellStyle name="Input 2 9 2 8 3 4" xfId="23057"/>
    <cellStyle name="Output 2 12 2 4 4" xfId="23058"/>
    <cellStyle name="Output 2 6 2 3 2" xfId="23059"/>
    <cellStyle name="Note 2 13 12 2 4" xfId="23060"/>
    <cellStyle name="Note 2 3 3 3 2 2" xfId="23061"/>
    <cellStyle name="Input 2 9 2 8 4" xfId="23062"/>
    <cellStyle name="Output 2 12 2 5" xfId="23063"/>
    <cellStyle name="Output 2 2 2 9 3 2" xfId="23064"/>
    <cellStyle name="Total 2 10 2 2 6" xfId="23065"/>
    <cellStyle name="Input 2 9 2 8 4 2" xfId="23066"/>
    <cellStyle name="Output 2 12 2 5 2" xfId="23067"/>
    <cellStyle name="Input 2 9 2 8 4 3" xfId="23068"/>
    <cellStyle name="Output 2 12 2 5 3" xfId="23069"/>
    <cellStyle name="Note 2 3 3 3 2 3" xfId="23070"/>
    <cellStyle name="Input 2 9 2 8 5" xfId="23071"/>
    <cellStyle name="Output 2 12 2 6" xfId="23072"/>
    <cellStyle name="Output 2 2 2 9 3 3" xfId="23073"/>
    <cellStyle name="Total 2 10 2 2 7" xfId="23074"/>
    <cellStyle name="Input 2 9 2 8 5 2" xfId="23075"/>
    <cellStyle name="Output 2 12 2 6 2" xfId="23076"/>
    <cellStyle name="Input 2 9 2 8 5 3" xfId="23077"/>
    <cellStyle name="Output 2 12 2 6 3" xfId="23078"/>
    <cellStyle name="Note 2 3 3 3 2 4" xfId="23079"/>
    <cellStyle name="Input 2 9 2 8 6" xfId="23080"/>
    <cellStyle name="Output 2 12 2 7" xfId="23081"/>
    <cellStyle name="Output 2 2 2 9 3 4" xfId="23082"/>
    <cellStyle name="Note 2 9 8 5 2" xfId="23083"/>
    <cellStyle name="Input 2 9 2 8 7" xfId="23084"/>
    <cellStyle name="Output 2 12 2 8" xfId="23085"/>
    <cellStyle name="Input 2 9 2 9" xfId="23086"/>
    <cellStyle name="Note 2 13 12 3" xfId="23087"/>
    <cellStyle name="Input 2 9 2 9 2 2" xfId="23088"/>
    <cellStyle name="Output 2 12 3 3 2" xfId="23089"/>
    <cellStyle name="Total 2 10 2 3 4 2" xfId="23090"/>
    <cellStyle name="Input 2 9 2 9 2 3" xfId="23091"/>
    <cellStyle name="Output 2 12 3 3 3" xfId="23092"/>
    <cellStyle name="Total 2 10 2 3 4 3" xfId="23093"/>
    <cellStyle name="Input 2 9 2 9 2 4" xfId="23094"/>
    <cellStyle name="Output 2 12 3 3 4" xfId="23095"/>
    <cellStyle name="Output 2 6 3 2 2" xfId="23096"/>
    <cellStyle name="Input 2 9 2 9 3 2" xfId="23097"/>
    <cellStyle name="Output 2 12 3 4 2" xfId="23098"/>
    <cellStyle name="Total 2 10 2 3 5 2" xfId="23099"/>
    <cellStyle name="Input 2 9 2 9 3 3" xfId="23100"/>
    <cellStyle name="Output 2 12 3 4 3" xfId="23101"/>
    <cellStyle name="Total 2 10 2 3 5 3" xfId="23102"/>
    <cellStyle name="Input 2 9 2 9 3 4" xfId="23103"/>
    <cellStyle name="Output 2 12 3 4 4" xfId="23104"/>
    <cellStyle name="Output 2 6 3 3 2" xfId="23105"/>
    <cellStyle name="Input 2 9 2 9 4 2" xfId="23106"/>
    <cellStyle name="Output 2 12 3 5 2" xfId="23107"/>
    <cellStyle name="Input 2 9 2 9 4 3" xfId="23108"/>
    <cellStyle name="Output 2 12 3 5 3" xfId="23109"/>
    <cellStyle name="Note 2 3 3 3 3 3" xfId="23110"/>
    <cellStyle name="Input 2 9 2 9 5" xfId="23111"/>
    <cellStyle name="Output 2 12 3 6" xfId="23112"/>
    <cellStyle name="Output 2 2 2 9 4 3" xfId="23113"/>
    <cellStyle name="Total 2 10 2 3 7" xfId="23114"/>
    <cellStyle name="Input 2 9 2 9 5 2" xfId="23115"/>
    <cellStyle name="Output 2 12 3 6 2" xfId="23116"/>
    <cellStyle name="Input 2 9 2 9 5 3" xfId="23117"/>
    <cellStyle name="Output 2 12 3 6 3" xfId="23118"/>
    <cellStyle name="Note 2 3 3 3 3 4" xfId="23119"/>
    <cellStyle name="Input 2 9 2 9 6" xfId="23120"/>
    <cellStyle name="Output 2 12 3 7" xfId="23121"/>
    <cellStyle name="Input 2 9 2 9 7" xfId="23122"/>
    <cellStyle name="Output 2 12 3 8" xfId="23123"/>
    <cellStyle name="Input 2 9 3" xfId="23124"/>
    <cellStyle name="Input 2 9 3 10" xfId="23125"/>
    <cellStyle name="Input 2 9 3 10 2" xfId="23126"/>
    <cellStyle name="Normal 2 2 3 10" xfId="23127"/>
    <cellStyle name="Input 2 9 3 10 2 2" xfId="23128"/>
    <cellStyle name="Input 2 9 3 10 2 3" xfId="23129"/>
    <cellStyle name="Input 2 9 3 10 2 4" xfId="23130"/>
    <cellStyle name="Note 2 9 3 10 2 2" xfId="23131"/>
    <cellStyle name="Input 2 9 3 10 3" xfId="23132"/>
    <cellStyle name="Input 2 9 3 10 3 4" xfId="23133"/>
    <cellStyle name="Note 2 9 3 10 3 2" xfId="23134"/>
    <cellStyle name="Input 2 9 3 10 4" xfId="23135"/>
    <cellStyle name="Input 2 9 3 10 4 3" xfId="23136"/>
    <cellStyle name="Input 2 9 3 10 5" xfId="23137"/>
    <cellStyle name="Input 2 9 3 10 6" xfId="23138"/>
    <cellStyle name="Note 2 2 9 2" xfId="23139"/>
    <cellStyle name="Note 2 9 2 4 4 2" xfId="23140"/>
    <cellStyle name="Input 2 9 3 11 2" xfId="23141"/>
    <cellStyle name="Input 2 9 3 11 3" xfId="23142"/>
    <cellStyle name="Input 2 9 3 11 4" xfId="23143"/>
    <cellStyle name="Input 2 9 3 12 2" xfId="23144"/>
    <cellStyle name="Input 2 9 3 12 3" xfId="23145"/>
    <cellStyle name="Input 2 9 3 12 4" xfId="23146"/>
    <cellStyle name="Input 2 9 3 13 2" xfId="23147"/>
    <cellStyle name="Input 2 9 3 13 3" xfId="23148"/>
    <cellStyle name="Input 2 9 3 2 2" xfId="23149"/>
    <cellStyle name="Input 2 9 3 2 2 4" xfId="23150"/>
    <cellStyle name="Note 2 6 2 4 4 2" xfId="23151"/>
    <cellStyle name="Input 2 9 3 2 3" xfId="23152"/>
    <cellStyle name="Input 2 9 3 2 4 2" xfId="23153"/>
    <cellStyle name="Input 2 9 3 2 4 3" xfId="23154"/>
    <cellStyle name="Input 2 9 3 2 5" xfId="23155"/>
    <cellStyle name="Input 2 9 3 2 5 2" xfId="23156"/>
    <cellStyle name="Note 2 10 2 13" xfId="23157"/>
    <cellStyle name="Input 2 9 3 2 5 3" xfId="23158"/>
    <cellStyle name="Note 2 10 2 14" xfId="23159"/>
    <cellStyle name="Input 2 9 3 2 6" xfId="23160"/>
    <cellStyle name="Note 2 11 2 8 2" xfId="23161"/>
    <cellStyle name="Output 2 8 8 5 2" xfId="23162"/>
    <cellStyle name="Input 2 9 3 2 7" xfId="23163"/>
    <cellStyle name="Note 2 11 2 8 3" xfId="23164"/>
    <cellStyle name="Output 2 8 8 5 3" xfId="23165"/>
    <cellStyle name="Input 2 9 3 3 2" xfId="23166"/>
    <cellStyle name="Input 2 9 3 3 2 3" xfId="23167"/>
    <cellStyle name="Input 2 9 3 3 2 4" xfId="23168"/>
    <cellStyle name="Note 2 6 2 5 4 2" xfId="23169"/>
    <cellStyle name="Input 2 9 3 3 3" xfId="23170"/>
    <cellStyle name="Input 2 9 3 3 3 2" xfId="23171"/>
    <cellStyle name="Input 2 9 3 3 3 3" xfId="23172"/>
    <cellStyle name="Input 2 9 3 3 3 4" xfId="23173"/>
    <cellStyle name="Note 2 6 2 5 5 2" xfId="23174"/>
    <cellStyle name="Input 2 9 3 3 4" xfId="23175"/>
    <cellStyle name="Input 2 9 3 3 4 2" xfId="23176"/>
    <cellStyle name="Input 2 9 3 3 4 3" xfId="23177"/>
    <cellStyle name="Input 2 9 3 3 5" xfId="23178"/>
    <cellStyle name="Input 2 9 3 3 5 2" xfId="23179"/>
    <cellStyle name="Input 2 9 3 3 5 3" xfId="23180"/>
    <cellStyle name="Input 2 9 3 3 6" xfId="23181"/>
    <cellStyle name="Note 2 11 2 9 2" xfId="23182"/>
    <cellStyle name="Input 2 9 3 3 7" xfId="23183"/>
    <cellStyle name="Note 2 11 2 9 3" xfId="23184"/>
    <cellStyle name="Input 2 9 3 4" xfId="23185"/>
    <cellStyle name="Note 2 12 8 4 3" xfId="23186"/>
    <cellStyle name="Note 2 2 5 2 5" xfId="23187"/>
    <cellStyle name="Input 2 9 3 4 2" xfId="23188"/>
    <cellStyle name="Input 2 9 3 4 2 2" xfId="23189"/>
    <cellStyle name="Input 2 9 3 4 2 4" xfId="23190"/>
    <cellStyle name="Note 2 6 2 6 4 2" xfId="23191"/>
    <cellStyle name="Input 2 9 3 4 3" xfId="23192"/>
    <cellStyle name="Input 2 9 3 4 3 2" xfId="23193"/>
    <cellStyle name="Input 2 9 3 4 3 3" xfId="23194"/>
    <cellStyle name="Input 2 9 3 4 3 4" xfId="23195"/>
    <cellStyle name="Note 2 6 2 6 5 2" xfId="23196"/>
    <cellStyle name="Input 2 9 3 4 4" xfId="23197"/>
    <cellStyle name="Input 2 9 3 4 4 2" xfId="23198"/>
    <cellStyle name="Input 2 9 3 4 4 3" xfId="23199"/>
    <cellStyle name="Input 2 9 3 4 5" xfId="23200"/>
    <cellStyle name="Input 2 9 3 4 5 2" xfId="23201"/>
    <cellStyle name="Input 2 9 3 4 5 3" xfId="23202"/>
    <cellStyle name="Input 2 9 3 4 6" xfId="23203"/>
    <cellStyle name="Input 2 9 3 4 7" xfId="23204"/>
    <cellStyle name="Input 2 9 3 5" xfId="23205"/>
    <cellStyle name="Input 2 9 3 5 2" xfId="23206"/>
    <cellStyle name="Input 2 9 3 5 2 2" xfId="23207"/>
    <cellStyle name="Output 2 2 2 4" xfId="23208"/>
    <cellStyle name="Input 2 9 3 5 2 3" xfId="23209"/>
    <cellStyle name="Output 2 2 2 5" xfId="23210"/>
    <cellStyle name="Input 2 9 3 5 2 4" xfId="23211"/>
    <cellStyle name="Note 2 6 2 7 4 2" xfId="23212"/>
    <cellStyle name="Output 2 2 2 6" xfId="23213"/>
    <cellStyle name="Input 2 9 3 5 3" xfId="23214"/>
    <cellStyle name="Input 2 9 3 5 3 2" xfId="23215"/>
    <cellStyle name="Output 2 2 3 4" xfId="23216"/>
    <cellStyle name="Input 2 9 3 5 3 3" xfId="23217"/>
    <cellStyle name="Output 2 2 3 5" xfId="23218"/>
    <cellStyle name="Input 2 9 3 5 3 4" xfId="23219"/>
    <cellStyle name="Note 2 6 2 7 5 2" xfId="23220"/>
    <cellStyle name="Output 2 2 3 6" xfId="23221"/>
    <cellStyle name="Input 2 9 3 5 4" xfId="23222"/>
    <cellStyle name="Input 2 9 3 5 5" xfId="23223"/>
    <cellStyle name="Input 2 9 3 5 6" xfId="23224"/>
    <cellStyle name="Output 2 9 10 2 2" xfId="23225"/>
    <cellStyle name="Input 2 9 3 5 7" xfId="23226"/>
    <cellStyle name="Note 2 9 9 2 2" xfId="23227"/>
    <cellStyle name="Output 2 9 10 2 3" xfId="23228"/>
    <cellStyle name="Input 2 9 3 6" xfId="23229"/>
    <cellStyle name="Input 2 9 3 6 2" xfId="23230"/>
    <cellStyle name="Input 2 9 3 6 2 2" xfId="23231"/>
    <cellStyle name="Output 2 3 2 4" xfId="23232"/>
    <cellStyle name="Input 2 9 3 6 2 3" xfId="23233"/>
    <cellStyle name="Output 2 3 2 5" xfId="23234"/>
    <cellStyle name="Input 2 9 3 6 2 4" xfId="23235"/>
    <cellStyle name="Note 2 6 2 8 4 2" xfId="23236"/>
    <cellStyle name="Output 2 3 2 6" xfId="23237"/>
    <cellStyle name="Input 2 9 3 6 3" xfId="23238"/>
    <cellStyle name="Input 2 9 3 6 3 2" xfId="23239"/>
    <cellStyle name="Output 2 3 3 4" xfId="23240"/>
    <cellStyle name="Input 2 9 3 6 3 3" xfId="23241"/>
    <cellStyle name="Output 2 3 3 5" xfId="23242"/>
    <cellStyle name="Input 2 9 3 6 3 4" xfId="23243"/>
    <cellStyle name="Note 2 6 2 8 5 2" xfId="23244"/>
    <cellStyle name="Output 2 3 3 6" xfId="23245"/>
    <cellStyle name="Input 2 9 3 6 4" xfId="23246"/>
    <cellStyle name="Input 2 9 3 6 4 2" xfId="23247"/>
    <cellStyle name="Output 2 3 4 4" xfId="23248"/>
    <cellStyle name="Input 2 9 3 6 4 3" xfId="23249"/>
    <cellStyle name="Output 2 3 4 5" xfId="23250"/>
    <cellStyle name="Input 2 9 3 6 5" xfId="23251"/>
    <cellStyle name="Input 2 9 3 6 5 2" xfId="23252"/>
    <cellStyle name="Output 2 3 5 4" xfId="23253"/>
    <cellStyle name="Input 2 9 3 6 5 3" xfId="23254"/>
    <cellStyle name="Output 2 3 5 5" xfId="23255"/>
    <cellStyle name="Input 2 9 3 6 6" xfId="23256"/>
    <cellStyle name="Output 2 9 10 3 2" xfId="23257"/>
    <cellStyle name="Input 2 9 3 6 7" xfId="23258"/>
    <cellStyle name="Note 2 9 9 3 2" xfId="23259"/>
    <cellStyle name="Output 2 9 10 3 3" xfId="23260"/>
    <cellStyle name="Input 2 9 3 7" xfId="23261"/>
    <cellStyle name="Input 2 9 3 7 2" xfId="23262"/>
    <cellStyle name="Input 2 9 3 7 2 4" xfId="23263"/>
    <cellStyle name="Note 2 6 2 9 4 2" xfId="23264"/>
    <cellStyle name="Output 2 4 2 6" xfId="23265"/>
    <cellStyle name="Input 2 9 3 7 3" xfId="23266"/>
    <cellStyle name="Input 2 9 3 7 3 4" xfId="23267"/>
    <cellStyle name="Note 2 6 2 9 5 2" xfId="23268"/>
    <cellStyle name="Output 2 4 3 6" xfId="23269"/>
    <cellStyle name="Input 2 9 3 7 4" xfId="23270"/>
    <cellStyle name="Input 2 9 3 7 4 2" xfId="23271"/>
    <cellStyle name="Output 2 4 4 4" xfId="23272"/>
    <cellStyle name="Input 2 9 3 7 4 3" xfId="23273"/>
    <cellStyle name="Output 2 4 4 5" xfId="23274"/>
    <cellStyle name="Input 2 9 3 7 5" xfId="23275"/>
    <cellStyle name="Input 2 9 3 7 5 2" xfId="23276"/>
    <cellStyle name="Note 2 11 2 13" xfId="23277"/>
    <cellStyle name="Output 2 4 5 4" xfId="23278"/>
    <cellStyle name="Input 2 9 3 7 5 3" xfId="23279"/>
    <cellStyle name="Note 2 11 2 14" xfId="23280"/>
    <cellStyle name="Output 2 4 5 5" xfId="23281"/>
    <cellStyle name="Input 2 9 3 7 6" xfId="23282"/>
    <cellStyle name="Output 2 9 10 4 2" xfId="23283"/>
    <cellStyle name="Input 2 9 3 7 7" xfId="23284"/>
    <cellStyle name="Note 2 9 9 4 2" xfId="23285"/>
    <cellStyle name="Output 2 9 10 4 3" xfId="23286"/>
    <cellStyle name="Input 2 9 3 8" xfId="23287"/>
    <cellStyle name="Note 2 13 13 2" xfId="23288"/>
    <cellStyle name="Input 2 9 3 8 2" xfId="23289"/>
    <cellStyle name="Output 2 13 2 3" xfId="23290"/>
    <cellStyle name="Total 2 10 3 2 4" xfId="23291"/>
    <cellStyle name="Input 2 9 3 8 2 2" xfId="23292"/>
    <cellStyle name="Output 2 13 2 3 2" xfId="23293"/>
    <cellStyle name="Note 2 10 9" xfId="23294"/>
    <cellStyle name="Output 2 5 2 4" xfId="23295"/>
    <cellStyle name="Total 2 10 3 2 4 2" xfId="23296"/>
    <cellStyle name="Input 2 9 3 8 2 3" xfId="23297"/>
    <cellStyle name="Output 2 13 2 3 3" xfId="23298"/>
    <cellStyle name="Output 2 5 2 5" xfId="23299"/>
    <cellStyle name="Total 2 10 3 2 4 3" xfId="23300"/>
    <cellStyle name="Input 2 9 3 8 2 4" xfId="23301"/>
    <cellStyle name="Output 2 13 2 3 4" xfId="23302"/>
    <cellStyle name="Output 2 5 2 6" xfId="23303"/>
    <cellStyle name="Output 2 7 2 2 2" xfId="23304"/>
    <cellStyle name="Input 2 9 3 8 3" xfId="23305"/>
    <cellStyle name="Output 2 13 2 4" xfId="23306"/>
    <cellStyle name="Total 2 10 3 2 5" xfId="23307"/>
    <cellStyle name="Input 2 9 3 8 3 2" xfId="23308"/>
    <cellStyle name="Output 2 13 2 4 2" xfId="23309"/>
    <cellStyle name="Note 2 11 9" xfId="23310"/>
    <cellStyle name="Output 2 5 3 4" xfId="23311"/>
    <cellStyle name="Total 2 10 3 2 5 2" xfId="23312"/>
    <cellStyle name="Input 2 9 3 8 3 3" xfId="23313"/>
    <cellStyle name="Output 2 13 2 4 3" xfId="23314"/>
    <cellStyle name="Output 2 5 3 5" xfId="23315"/>
    <cellStyle name="Total 2 10 3 2 5 3" xfId="23316"/>
    <cellStyle name="Input 2 9 3 8 3 4" xfId="23317"/>
    <cellStyle name="Output 2 13 2 4 4" xfId="23318"/>
    <cellStyle name="Output 2 5 3 6" xfId="23319"/>
    <cellStyle name="Output 2 7 2 3 2" xfId="23320"/>
    <cellStyle name="Input 2 9 3 8 4 2" xfId="23321"/>
    <cellStyle name="Output 2 13 2 5 2" xfId="23322"/>
    <cellStyle name="Note 2 12 9" xfId="23323"/>
    <cellStyle name="Output 2 5 4 4" xfId="23324"/>
    <cellStyle name="Input 2 9 3 8 4 3" xfId="23325"/>
    <cellStyle name="Output 2 13 2 5 3" xfId="23326"/>
    <cellStyle name="Note 2 4 10" xfId="23327"/>
    <cellStyle name="Output 2 5 4 5" xfId="23328"/>
    <cellStyle name="Note 2 3 3 4 2 3" xfId="23329"/>
    <cellStyle name="Input 2 9 3 8 5" xfId="23330"/>
    <cellStyle name="Output 2 13 2 6" xfId="23331"/>
    <cellStyle name="Total 2 10 3 2 7" xfId="23332"/>
    <cellStyle name="Input 2 9 3 8 5 2" xfId="23333"/>
    <cellStyle name="Output 2 13 2 6 2" xfId="23334"/>
    <cellStyle name="Note 2 13 9" xfId="23335"/>
    <cellStyle name="Output 2 5 5 4" xfId="23336"/>
    <cellStyle name="Input 2 9 3 8 5 3" xfId="23337"/>
    <cellStyle name="Output 2 13 2 6 3" xfId="23338"/>
    <cellStyle name="Output 2 5 5 5" xfId="23339"/>
    <cellStyle name="Note 2 3 3 4 2 4" xfId="23340"/>
    <cellStyle name="Input 2 9 3 8 6" xfId="23341"/>
    <cellStyle name="Output 2 13 2 7" xfId="23342"/>
    <cellStyle name="Output 2 9 10 5 2" xfId="23343"/>
    <cellStyle name="Note 2 9 9 5 2" xfId="23344"/>
    <cellStyle name="Input 2 9 3 8 7" xfId="23345"/>
    <cellStyle name="Output 2 13 2 8" xfId="23346"/>
    <cellStyle name="Output 2 9 10 5 3" xfId="23347"/>
    <cellStyle name="Input 2 9 3 9" xfId="23348"/>
    <cellStyle name="Note 2 13 13 3" xfId="23349"/>
    <cellStyle name="Input 2 9 3 9 2 2" xfId="23350"/>
    <cellStyle name="Output 2 13 3 3 2" xfId="23351"/>
    <cellStyle name="Output 2 6 2 4" xfId="23352"/>
    <cellStyle name="Total 2 10 3 3 4 2" xfId="23353"/>
    <cellStyle name="Input 2 9 3 9 2 3" xfId="23354"/>
    <cellStyle name="Output 2 13 3 3 3" xfId="23355"/>
    <cellStyle name="Output 2 6 2 5" xfId="23356"/>
    <cellStyle name="Total 2 10 3 3 4 3" xfId="23357"/>
    <cellStyle name="Input 2 9 3 9 2 4" xfId="23358"/>
    <cellStyle name="Output 2 13 3 3 4" xfId="23359"/>
    <cellStyle name="Output 2 6 2 6" xfId="23360"/>
    <cellStyle name="Output 2 7 3 2 2" xfId="23361"/>
    <cellStyle name="Input 2 9 3 9 3 2" xfId="23362"/>
    <cellStyle name="Output 2 13 3 4 2" xfId="23363"/>
    <cellStyle name="Output 2 6 3 4" xfId="23364"/>
    <cellStyle name="Total 2 10 3 3 5 2" xfId="23365"/>
    <cellStyle name="Input 2 9 3 9 3 3" xfId="23366"/>
    <cellStyle name="Output 2 13 3 4 3" xfId="23367"/>
    <cellStyle name="Output 2 6 3 5" xfId="23368"/>
    <cellStyle name="Total 2 10 3 3 5 3" xfId="23369"/>
    <cellStyle name="Input 2 9 3 9 3 4" xfId="23370"/>
    <cellStyle name="Output 2 13 3 4 4" xfId="23371"/>
    <cellStyle name="Output 2 6 3 6" xfId="23372"/>
    <cellStyle name="Output 2 7 3 3 2" xfId="23373"/>
    <cellStyle name="Input 2 9 3 9 4 2" xfId="23374"/>
    <cellStyle name="Output 2 13 3 5 2" xfId="23375"/>
    <cellStyle name="Output 2 6 4 4" xfId="23376"/>
    <cellStyle name="Input 2 9 3 9 4 3" xfId="23377"/>
    <cellStyle name="Output 2 13 3 5 3" xfId="23378"/>
    <cellStyle name="Note 2 9 10" xfId="23379"/>
    <cellStyle name="Output 2 6 4 5" xfId="23380"/>
    <cellStyle name="Note 2 3 3 4 3 3" xfId="23381"/>
    <cellStyle name="Input 2 9 3 9 5" xfId="23382"/>
    <cellStyle name="Output 2 13 3 6" xfId="23383"/>
    <cellStyle name="Total 2 10 3 3 7" xfId="23384"/>
    <cellStyle name="Input 2 9 3 9 5 2" xfId="23385"/>
    <cellStyle name="Output 2 13 3 6 2" xfId="23386"/>
    <cellStyle name="Output 2 6 5 4" xfId="23387"/>
    <cellStyle name="Input 2 9 3 9 5 3" xfId="23388"/>
    <cellStyle name="Output 2 13 3 6 3" xfId="23389"/>
    <cellStyle name="Output 2 6 5 5" xfId="23390"/>
    <cellStyle name="Note 2 3 3 4 3 4" xfId="23391"/>
    <cellStyle name="Input 2 9 3 9 6" xfId="23392"/>
    <cellStyle name="Output 2 13 3 7" xfId="23393"/>
    <cellStyle name="Input 2 9 3 9 7" xfId="23394"/>
    <cellStyle name="Output 2 13 3 8" xfId="23395"/>
    <cellStyle name="Input 2 9 4 2 2" xfId="23396"/>
    <cellStyle name="Input 2 9 4 2 3" xfId="23397"/>
    <cellStyle name="Input 2 9 4 2 4" xfId="23398"/>
    <cellStyle name="Input 2 9 4 3 2" xfId="23399"/>
    <cellStyle name="Input 2 9 4 3 4" xfId="23400"/>
    <cellStyle name="Input 2 9 4 4" xfId="23401"/>
    <cellStyle name="Note 2 12 8 5 3" xfId="23402"/>
    <cellStyle name="Note 2 2 5 3 5" xfId="23403"/>
    <cellStyle name="Input 2 9 4 4 2" xfId="23404"/>
    <cellStyle name="Input 2 9 4 4 3" xfId="23405"/>
    <cellStyle name="Input 2 9 4 5" xfId="23406"/>
    <cellStyle name="Input 2 9 4 5 2" xfId="23407"/>
    <cellStyle name="Input 2 9 4 5 3" xfId="23408"/>
    <cellStyle name="Input 2 9 4 6" xfId="23409"/>
    <cellStyle name="Input 2 9 5 2 2" xfId="23410"/>
    <cellStyle name="Input 2 9 5 2 3" xfId="23411"/>
    <cellStyle name="Input 2 9 6 2 2" xfId="23412"/>
    <cellStyle name="Input 2 9 6 2 3" xfId="23413"/>
    <cellStyle name="Input 2 9 6 2 4" xfId="23414"/>
    <cellStyle name="Input 2 9 7 2 2" xfId="23415"/>
    <cellStyle name="Input 2 9 7 2 3" xfId="23416"/>
    <cellStyle name="Input 2 9 7 2 4" xfId="23417"/>
    <cellStyle name="Input 2 9 9 2 3" xfId="23418"/>
    <cellStyle name="Input 2 9 9 2 4" xfId="23419"/>
    <cellStyle name="Ledger 17 x 11 in" xfId="23420"/>
    <cellStyle name="Linked Cell 2" xfId="23421"/>
    <cellStyle name="Linked Cell 2 2" xfId="23422"/>
    <cellStyle name="Note 2 13 2 9 4" xfId="23423"/>
    <cellStyle name="Linked Cell 2 2 2" xfId="23424"/>
    <cellStyle name="Note 2 13 2 9 4 2" xfId="23425"/>
    <cellStyle name="Linked Cell 2 2 2 2" xfId="23426"/>
    <cellStyle name="Linked Cell 2 2 2 2 2 2 2" xfId="23427"/>
    <cellStyle name="Linked Cell 2 2 2 3" xfId="23428"/>
    <cellStyle name="Linked Cell 2 2 3" xfId="23429"/>
    <cellStyle name="Note 2 13 2 9 4 3" xfId="23430"/>
    <cellStyle name="Linked Cell 2 2 4" xfId="23431"/>
    <cellStyle name="Linked Cell 2 2 7" xfId="23432"/>
    <cellStyle name="Linked Cell 2 2 8" xfId="23433"/>
    <cellStyle name="Linked Cell 2 3" xfId="23434"/>
    <cellStyle name="Note 2 13 2 9 5" xfId="23435"/>
    <cellStyle name="Linked Cell 2 4" xfId="23436"/>
    <cellStyle name="Note 2 13 2 9 6" xfId="23437"/>
    <cellStyle name="Linked Cell 2 5" xfId="23438"/>
    <cellStyle name="Note 2 13 2 9 7" xfId="23439"/>
    <cellStyle name="Linked Cell 2 5 2" xfId="23440"/>
    <cellStyle name="Linked Cell 2 5 3" xfId="23441"/>
    <cellStyle name="Linked Cell 2 6" xfId="23442"/>
    <cellStyle name="Linked Cell 2 7" xfId="23443"/>
    <cellStyle name="Linked Cell 2 8" xfId="23444"/>
    <cellStyle name="Linked Cell 2 9" xfId="23445"/>
    <cellStyle name="Linked Cell 3" xfId="23446"/>
    <cellStyle name="Linked Cell 4" xfId="23447"/>
    <cellStyle name="Linked Cell 4 2" xfId="23448"/>
    <cellStyle name="Linked Cell 6" xfId="23449"/>
    <cellStyle name="Linked Cell 7" xfId="23450"/>
    <cellStyle name="Output 2 2 2 7 2 2" xfId="23451"/>
    <cellStyle name="Migliaia (0)_results" xfId="23452"/>
    <cellStyle name="Migliaia_results" xfId="23453"/>
    <cellStyle name="Neutral 2" xfId="23454"/>
    <cellStyle name="Neutral 2 2" xfId="23455"/>
    <cellStyle name="Neutral 2 2 2" xfId="23456"/>
    <cellStyle name="Neutral 2 2 3" xfId="23457"/>
    <cellStyle name="Neutral 2 2 4" xfId="23458"/>
    <cellStyle name="Neutral 2 3" xfId="23459"/>
    <cellStyle name="Neutral 2 4" xfId="23460"/>
    <cellStyle name="Neutral 2 5" xfId="23461"/>
    <cellStyle name="Neutral 2 5 2" xfId="23462"/>
    <cellStyle name="Neutral 2 5 2 2" xfId="23463"/>
    <cellStyle name="Neutral 2 5 2 2 2" xfId="23464"/>
    <cellStyle name="Output 2 8 2 3 5 3" xfId="23465"/>
    <cellStyle name="Neutral 2 5 3" xfId="23466"/>
    <cellStyle name="Neutral 2 6" xfId="23467"/>
    <cellStyle name="Neutral 2 7" xfId="23468"/>
    <cellStyle name="Neutral 2 8" xfId="23469"/>
    <cellStyle name="Note 2 7 7 5 2" xfId="23470"/>
    <cellStyle name="Neutral 2 9" xfId="23471"/>
    <cellStyle name="Note 2 7 7 5 3" xfId="23472"/>
    <cellStyle name="Neutral 6" xfId="23473"/>
    <cellStyle name="Note 2 5 3 3 4 2" xfId="23474"/>
    <cellStyle name="Output 2 4 2 9 5 2" xfId="23475"/>
    <cellStyle name="Neutral 7" xfId="23476"/>
    <cellStyle name="Note 2 5 3 3 4 3" xfId="23477"/>
    <cellStyle name="Output 2 4 2 9 5 3" xfId="23478"/>
    <cellStyle name="Normal - Style1" xfId="23479"/>
    <cellStyle name="Normal 10" xfId="23480"/>
    <cellStyle name="Output 2 7 10 3 4" xfId="23481"/>
    <cellStyle name="Normal 11" xfId="23482"/>
    <cellStyle name="Normal 12" xfId="23483"/>
    <cellStyle name="Normal 13" xfId="23484"/>
    <cellStyle name="Normal 2" xfId="23485"/>
    <cellStyle name="Normal 2 3 5" xfId="23486"/>
    <cellStyle name="Normal 2 10" xfId="23487"/>
    <cellStyle name="Normal 2 11" xfId="23488"/>
    <cellStyle name="Normal 2 12" xfId="23489"/>
    <cellStyle name="Normal 2 13" xfId="23490"/>
    <cellStyle name="Normal 2 14" xfId="23491"/>
    <cellStyle name="Normal 2 15" xfId="23492"/>
    <cellStyle name="Normal 2 20" xfId="23493"/>
    <cellStyle name="Normal 2 16" xfId="23494"/>
    <cellStyle name="Normal 2 21" xfId="23495"/>
    <cellStyle name="Normal 2 17" xfId="23496"/>
    <cellStyle name="Normal 2 22" xfId="23497"/>
    <cellStyle name="Normal 2 18" xfId="23498"/>
    <cellStyle name="Normal 2 23" xfId="23499"/>
    <cellStyle name="Normal 2 2" xfId="23500"/>
    <cellStyle name="Normal 2 3 5 2" xfId="23501"/>
    <cellStyle name="Normal 2 2 11" xfId="23502"/>
    <cellStyle name="Note 2 7 2 5 2 3" xfId="23503"/>
    <cellStyle name="Normal 2 2 11 2" xfId="23504"/>
    <cellStyle name="Normal 2 2 2" xfId="23505"/>
    <cellStyle name="Normal 2 3 5 2 2" xfId="23506"/>
    <cellStyle name="Normal 2 2 2 2" xfId="23507"/>
    <cellStyle name="Normal 2 2 2 2 2" xfId="23508"/>
    <cellStyle name="Normal 2 2 2 2 2 2" xfId="23509"/>
    <cellStyle name="Normal 2 2 2 2 3" xfId="23510"/>
    <cellStyle name="Normal 2 2 2 3 2" xfId="23511"/>
    <cellStyle name="Normal 2 2 2 3 2 2" xfId="23512"/>
    <cellStyle name="Output 2 4 12" xfId="23513"/>
    <cellStyle name="Normal 2 2 2 3 3" xfId="23514"/>
    <cellStyle name="Normal 2 2 2 4 2 2" xfId="23515"/>
    <cellStyle name="Output 2 9 12" xfId="23516"/>
    <cellStyle name="Normal 2 2 2 5 2 2" xfId="23517"/>
    <cellStyle name="Normal 2 2 2 6" xfId="23518"/>
    <cellStyle name="Note 2 11 2 3 3 3" xfId="23519"/>
    <cellStyle name="Normal 2 2 2 6 2 2" xfId="23520"/>
    <cellStyle name="Normal 2 2 2 6 3" xfId="23521"/>
    <cellStyle name="Normal 2 2 2 7" xfId="23522"/>
    <cellStyle name="Note 2 11 2 3 3 4" xfId="23523"/>
    <cellStyle name="Normal 2 2 2 7 2 2" xfId="23524"/>
    <cellStyle name="Normal 2 2 2 8" xfId="23525"/>
    <cellStyle name="Normal 2 2 2 8 2 2" xfId="23526"/>
    <cellStyle name="Normal 2 2 2 9" xfId="23527"/>
    <cellStyle name="Note 2 8 12 3 2" xfId="23528"/>
    <cellStyle name="Normal 2 2 3" xfId="23529"/>
    <cellStyle name="Normal 2 2 3 2" xfId="23530"/>
    <cellStyle name="Normal 2 2 3 2 2" xfId="23531"/>
    <cellStyle name="Normal 2 2 3 2 3" xfId="23532"/>
    <cellStyle name="Normal 2 2 3 3 2" xfId="23533"/>
    <cellStyle name="Normal 2 2 3 3 3" xfId="23534"/>
    <cellStyle name="Normal 2 2 3 4 2" xfId="23535"/>
    <cellStyle name="Normal 2 2 3 4 3" xfId="23536"/>
    <cellStyle name="Normal 2 2 3 5" xfId="23537"/>
    <cellStyle name="Note 2 11 2 3 4 2" xfId="23538"/>
    <cellStyle name="Normal 2 2 3 6" xfId="23539"/>
    <cellStyle name="Note 2 11 2 3 4 3" xfId="23540"/>
    <cellStyle name="Normal 2 2 3 7" xfId="23541"/>
    <cellStyle name="Normal 2 2 3 8" xfId="23542"/>
    <cellStyle name="Normal 2 2 3 8 2 2" xfId="23543"/>
    <cellStyle name="Normal 2 2 3 9" xfId="23544"/>
    <cellStyle name="Note 2 8 12 4 2" xfId="23545"/>
    <cellStyle name="Normal 2 2 4" xfId="23546"/>
    <cellStyle name="Normal 2 2 4 2" xfId="23547"/>
    <cellStyle name="Normal 2 2 4 2 2" xfId="23548"/>
    <cellStyle name="Normal 2 2 5" xfId="23549"/>
    <cellStyle name="Normal 2 2 5 2" xfId="23550"/>
    <cellStyle name="Normal 2 2 5 2 2" xfId="23551"/>
    <cellStyle name="Normal 2 2 5 3" xfId="23552"/>
    <cellStyle name="Normal 2 2 6" xfId="23553"/>
    <cellStyle name="Normal 2 2 6 2" xfId="23554"/>
    <cellStyle name="Normal 2 2 6 2 2" xfId="23555"/>
    <cellStyle name="Normal 2 2 6 3" xfId="23556"/>
    <cellStyle name="Normal 2 2 7" xfId="23557"/>
    <cellStyle name="Normal 2 2 7 2" xfId="23558"/>
    <cellStyle name="Normal 2 2 7 2 2" xfId="23559"/>
    <cellStyle name="Normal 2 2 7 3" xfId="23560"/>
    <cellStyle name="Normal 2 2 8" xfId="23561"/>
    <cellStyle name="Normal 2 2 8 2" xfId="23562"/>
    <cellStyle name="Normal 2 2 8 3" xfId="23563"/>
    <cellStyle name="Normal 2 2 9" xfId="23564"/>
    <cellStyle name="Normal 2 2 9 2" xfId="23565"/>
    <cellStyle name="Normal 2 2 9 3" xfId="23566"/>
    <cellStyle name="Normal 2 27" xfId="23567"/>
    <cellStyle name="Normal 2 32" xfId="23568"/>
    <cellStyle name="Normal 2 28" xfId="23569"/>
    <cellStyle name="Normal 2 33" xfId="23570"/>
    <cellStyle name="Output 2 2 9 5 2" xfId="23571"/>
    <cellStyle name="Normal 2 29" xfId="23572"/>
    <cellStyle name="Normal 2 34" xfId="23573"/>
    <cellStyle name="Output 2 2 9 5 3" xfId="23574"/>
    <cellStyle name="Normal 2 3" xfId="23575"/>
    <cellStyle name="Normal 2 3 5 3" xfId="23576"/>
    <cellStyle name="Normal 2 3 10 2 2" xfId="23577"/>
    <cellStyle name="Normal 2 3 10 3" xfId="23578"/>
    <cellStyle name="Normal 2 3 11" xfId="23579"/>
    <cellStyle name="Normal 2 3 12" xfId="23580"/>
    <cellStyle name="Normal 2 3 2" xfId="23581"/>
    <cellStyle name="Normal 2 3 2 2" xfId="23582"/>
    <cellStyle name="Normal 2 3 2 2 2" xfId="23583"/>
    <cellStyle name="Normal 2 3 2 2 2 2" xfId="23584"/>
    <cellStyle name="Normal 2 3 2 2 3" xfId="23585"/>
    <cellStyle name="Normal 2 3 2 3 2" xfId="23586"/>
    <cellStyle name="Normal 2 3 2 3 2 2" xfId="23587"/>
    <cellStyle name="Normal 2 3 2 3 3" xfId="23588"/>
    <cellStyle name="Normal 2 3 2 4 2" xfId="23589"/>
    <cellStyle name="Normal 2 3 2 4 2 2" xfId="23590"/>
    <cellStyle name="Normal 2 3 2 4 3" xfId="23591"/>
    <cellStyle name="Normal 2 3 2 5 2" xfId="23592"/>
    <cellStyle name="Normal 2 3 2 5 2 2" xfId="23593"/>
    <cellStyle name="Normal 2 3 2 5 3" xfId="23594"/>
    <cellStyle name="Normal 2 3 2 6" xfId="23595"/>
    <cellStyle name="Note 2 11 2 4 3 3" xfId="23596"/>
    <cellStyle name="Normal 2 3 2 6 2" xfId="23597"/>
    <cellStyle name="Normal 2 3 2 6 2 2" xfId="23598"/>
    <cellStyle name="Normal 2 3 2 6 3" xfId="23599"/>
    <cellStyle name="Normal 2 3 2 7" xfId="23600"/>
    <cellStyle name="Note 2 11 2 4 3 4" xfId="23601"/>
    <cellStyle name="Normal 2 3 2 7 2" xfId="23602"/>
    <cellStyle name="Normal 2 3 2 7 2 2" xfId="23603"/>
    <cellStyle name="Normal 2 3 2 7 3" xfId="23604"/>
    <cellStyle name="Normal 2 3 2 8" xfId="23605"/>
    <cellStyle name="Normal 2 3 2 8 2" xfId="23606"/>
    <cellStyle name="Normal 2 3 2 8 2 2" xfId="23607"/>
    <cellStyle name="Normal 2 3 2 8 3" xfId="23608"/>
    <cellStyle name="Note 2 7 3 9 2 2" xfId="23609"/>
    <cellStyle name="Normal 2 3 2 9" xfId="23610"/>
    <cellStyle name="Normal 2 3 2 9 2" xfId="23611"/>
    <cellStyle name="Normal 2 3 3" xfId="23612"/>
    <cellStyle name="Normal 2 3 3 10" xfId="23613"/>
    <cellStyle name="Output 2 10 3 2 3 2" xfId="23614"/>
    <cellStyle name="Total 2 10 5 6" xfId="23615"/>
    <cellStyle name="Normal 2 3 3 2" xfId="23616"/>
    <cellStyle name="Normal 2 3 3 3 2" xfId="23617"/>
    <cellStyle name="Output 2 2 3 15" xfId="23618"/>
    <cellStyle name="Normal 2 3 3 3 3" xfId="23619"/>
    <cellStyle name="Output 2 2 3 16" xfId="23620"/>
    <cellStyle name="Normal 2 3 3 4 2" xfId="23621"/>
    <cellStyle name="Note 2 2 3 2 13" xfId="23622"/>
    <cellStyle name="Normal 2 3 3 4 2 2" xfId="23623"/>
    <cellStyle name="Normal 2 3 3 4 3" xfId="23624"/>
    <cellStyle name="Note 2 2 3 2 14" xfId="23625"/>
    <cellStyle name="Normal 2 3 3 5" xfId="23626"/>
    <cellStyle name="Note 2 11 2 4 4 2" xfId="23627"/>
    <cellStyle name="Normal 2 3 3 6" xfId="23628"/>
    <cellStyle name="Note 2 11 2 4 4 3" xfId="23629"/>
    <cellStyle name="Normal 2 3 3 7" xfId="23630"/>
    <cellStyle name="Normal 2 3 3 7 2 2" xfId="23631"/>
    <cellStyle name="Normal 2 3 3 8" xfId="23632"/>
    <cellStyle name="Normal 2 3 3 8 2 2" xfId="23633"/>
    <cellStyle name="Normal 2 3 3 8 3" xfId="23634"/>
    <cellStyle name="Normal 2 3 3 9" xfId="23635"/>
    <cellStyle name="Normal 2 3 4" xfId="23636"/>
    <cellStyle name="Normal 2 3 4 2" xfId="23637"/>
    <cellStyle name="Normal 2 3 4 2 2" xfId="23638"/>
    <cellStyle name="Normal 2 3 6" xfId="23639"/>
    <cellStyle name="Normal 3" xfId="23640"/>
    <cellStyle name="Normal 2 3 6 2 2" xfId="23641"/>
    <cellStyle name="Normal 3 2 2" xfId="23642"/>
    <cellStyle name="Normal 2 3 7" xfId="23643"/>
    <cellStyle name="Normal 4" xfId="23644"/>
    <cellStyle name="Normal 2 3 7 2" xfId="23645"/>
    <cellStyle name="Normal 4 2" xfId="23646"/>
    <cellStyle name="Normal 2 3 7 2 2" xfId="23647"/>
    <cellStyle name="Normal 2 3 7 3" xfId="23648"/>
    <cellStyle name="Normal 4 3" xfId="23649"/>
    <cellStyle name="Normal 2 3 8" xfId="23650"/>
    <cellStyle name="Normal 5" xfId="23651"/>
    <cellStyle name="Normal 2 3 8 2" xfId="23652"/>
    <cellStyle name="Normal 5 2" xfId="23653"/>
    <cellStyle name="Normal 2 3 8 3" xfId="23654"/>
    <cellStyle name="Normal 5 3" xfId="23655"/>
    <cellStyle name="Normal 2 3 9" xfId="23656"/>
    <cellStyle name="Normal 6" xfId="23657"/>
    <cellStyle name="Normal 2 3 9 2" xfId="23658"/>
    <cellStyle name="Normal 6 2" xfId="23659"/>
    <cellStyle name="Normal 2 3 9 3" xfId="23660"/>
    <cellStyle name="Normal 6 3" xfId="23661"/>
    <cellStyle name="Normal 2 35" xfId="23662"/>
    <cellStyle name="Normal 2 40" xfId="23663"/>
    <cellStyle name="Output 2 12 3 10 3 2" xfId="23664"/>
    <cellStyle name="Normal 2 38" xfId="23665"/>
    <cellStyle name="Note 2 13 2 9 5 2" xfId="23666"/>
    <cellStyle name="Normal 2 39" xfId="23667"/>
    <cellStyle name="Note 2 13 2 9 5 3" xfId="23668"/>
    <cellStyle name="Normal 2 4" xfId="23669"/>
    <cellStyle name="Normal 2 4 10" xfId="23670"/>
    <cellStyle name="Normal 2 4 10 2" xfId="23671"/>
    <cellStyle name="Normal 2 4 11" xfId="23672"/>
    <cellStyle name="Normal 2 4 11 2" xfId="23673"/>
    <cellStyle name="Normal 2 4 12" xfId="23674"/>
    <cellStyle name="Normal 2 4 2" xfId="23675"/>
    <cellStyle name="Normal 2 4 2 10" xfId="23676"/>
    <cellStyle name="Normal 2 4 2 2" xfId="23677"/>
    <cellStyle name="Normal 2 4 2 2 2" xfId="23678"/>
    <cellStyle name="Normal 2 4 2 2 2 2" xfId="23679"/>
    <cellStyle name="Normal 2 4 2 2 3" xfId="23680"/>
    <cellStyle name="Normal 2 4 2 3 2 2" xfId="23681"/>
    <cellStyle name="Normal 2 4 2 3 3" xfId="23682"/>
    <cellStyle name="Normal 2 4 2 4 2 2" xfId="23683"/>
    <cellStyle name="Normal 2 4 2 4 3" xfId="23684"/>
    <cellStyle name="Normal 2 4 2 5 2" xfId="23685"/>
    <cellStyle name="Normal 2 4 2 5 2 2" xfId="23686"/>
    <cellStyle name="Normal 2 4 2 5 3" xfId="23687"/>
    <cellStyle name="Normal 2 4 2 6" xfId="23688"/>
    <cellStyle name="Note 2 11 2 5 3 3" xfId="23689"/>
    <cellStyle name="Normal 2 4 2 6 2" xfId="23690"/>
    <cellStyle name="Normal 2 4 2 6 2 2" xfId="23691"/>
    <cellStyle name="Normal 2 4 2 6 3" xfId="23692"/>
    <cellStyle name="Normal 2 4 2 7" xfId="23693"/>
    <cellStyle name="Note 2 11 2 5 3 4" xfId="23694"/>
    <cellStyle name="Normal 2 4 2 7 2" xfId="23695"/>
    <cellStyle name="Note 2 10 2 2 2 3" xfId="23696"/>
    <cellStyle name="Normal 2 4 2 7 2 2" xfId="23697"/>
    <cellStyle name="Normal 2 4 2 7 3" xfId="23698"/>
    <cellStyle name="Note 2 10 2 2 2 4" xfId="23699"/>
    <cellStyle name="Normal 2 4 2 8" xfId="23700"/>
    <cellStyle name="Total 2 14 2 10 2 3" xfId="23701"/>
    <cellStyle name="Normal 2 4 2 8 2" xfId="23702"/>
    <cellStyle name="Note 2 10 2 2 3 3" xfId="23703"/>
    <cellStyle name="Output 2 6 3 10 2 4" xfId="23704"/>
    <cellStyle name="Normal 2 4 2 8 2 2" xfId="23705"/>
    <cellStyle name="Total 2 14 2 10 2 4" xfId="23706"/>
    <cellStyle name="Normal 2 4 2 8 3" xfId="23707"/>
    <cellStyle name="Note 2 10 2 2 3 4" xfId="23708"/>
    <cellStyle name="Normal 2 4 2 9" xfId="23709"/>
    <cellStyle name="Total 2 14 2 10 3 3" xfId="23710"/>
    <cellStyle name="Normal 2 4 2 9 2" xfId="23711"/>
    <cellStyle name="Note 2 10 2 2 4 3" xfId="23712"/>
    <cellStyle name="Output 2 6 3 10 3 4" xfId="23713"/>
    <cellStyle name="Normal 2 4 3" xfId="23714"/>
    <cellStyle name="Normal 2 4 3 10" xfId="23715"/>
    <cellStyle name="Output 2 10 3 7 3 2" xfId="23716"/>
    <cellStyle name="Normal 2 4 3 2" xfId="23717"/>
    <cellStyle name="Normal 2 4 3 2 2" xfId="23718"/>
    <cellStyle name="Normal 2 4 3 2 3" xfId="23719"/>
    <cellStyle name="Normal 2 4 3 3 3" xfId="23720"/>
    <cellStyle name="Output 2 7 3 16" xfId="23721"/>
    <cellStyle name="Normal 2 4 3 4 2 2" xfId="23722"/>
    <cellStyle name="Normal 2 4 3 4 3" xfId="23723"/>
    <cellStyle name="Normal 2 4 3 5 2" xfId="23724"/>
    <cellStyle name="Normal 2 4 3 5 2 2" xfId="23725"/>
    <cellStyle name="Normal 6 4" xfId="23726"/>
    <cellStyle name="Normal 2 4 3 6" xfId="23727"/>
    <cellStyle name="Note 2 11 2 5 4 3" xfId="23728"/>
    <cellStyle name="Normal 2 4 3 6 2" xfId="23729"/>
    <cellStyle name="Normal 2 4 3 6 2 2" xfId="23730"/>
    <cellStyle name="Normal 2 4 3 7" xfId="23731"/>
    <cellStyle name="Normal 2 4 3 7 2" xfId="23732"/>
    <cellStyle name="Note 2 10 2 3 2 3" xfId="23733"/>
    <cellStyle name="Normal 2 4 3 7 2 2" xfId="23734"/>
    <cellStyle name="Normal 2 4 3 8" xfId="23735"/>
    <cellStyle name="Normal 2 4 3 8 2" xfId="23736"/>
    <cellStyle name="Note 2 10 2 3 3 3" xfId="23737"/>
    <cellStyle name="Normal 2 4 3 8 2 2" xfId="23738"/>
    <cellStyle name="Normal 2 4 3 9" xfId="23739"/>
    <cellStyle name="Normal 2 4 3 9 2" xfId="23740"/>
    <cellStyle name="Note 2 10 2 3 4 3" xfId="23741"/>
    <cellStyle name="Normal 2 4 4" xfId="23742"/>
    <cellStyle name="Normal 2 4 5" xfId="23743"/>
    <cellStyle name="Normal 2 4 5 2" xfId="23744"/>
    <cellStyle name="Note 2 3 10 2 4" xfId="23745"/>
    <cellStyle name="Normal 2 4 5 2 2" xfId="23746"/>
    <cellStyle name="Output 2 2 10 2 4" xfId="23747"/>
    <cellStyle name="Normal 2 4 5 3" xfId="23748"/>
    <cellStyle name="Normal 2 4 6" xfId="23749"/>
    <cellStyle name="Normal 2 4 6 2" xfId="23750"/>
    <cellStyle name="Note 2 3 10 3 4" xfId="23751"/>
    <cellStyle name="Normal 2 4 6 2 2" xfId="23752"/>
    <cellStyle name="Output 2 2 11 2 4" xfId="23753"/>
    <cellStyle name="Normal 2 4 6 3" xfId="23754"/>
    <cellStyle name="Normal 2 4 7" xfId="23755"/>
    <cellStyle name="Normal 2 4 7 2" xfId="23756"/>
    <cellStyle name="Normal 2 4 7 2 2" xfId="23757"/>
    <cellStyle name="Normal 2 4 7 3" xfId="23758"/>
    <cellStyle name="Normal 2 4 8" xfId="23759"/>
    <cellStyle name="Normal 2 4 8 2" xfId="23760"/>
    <cellStyle name="Normal 2 4 8 3" xfId="23761"/>
    <cellStyle name="Normal 2 4 9" xfId="23762"/>
    <cellStyle name="Normal 2 4 9 2" xfId="23763"/>
    <cellStyle name="Normal 2 4 9 3" xfId="23764"/>
    <cellStyle name="Normal 2 5" xfId="23765"/>
    <cellStyle name="Normal 2 5 2" xfId="23766"/>
    <cellStyle name="Normal 2 6" xfId="23767"/>
    <cellStyle name="Normal 2 6 2" xfId="23768"/>
    <cellStyle name="Normal 2 7" xfId="23769"/>
    <cellStyle name="Normal 2 7 2" xfId="23770"/>
    <cellStyle name="Normal 2 8" xfId="23771"/>
    <cellStyle name="Normal 2 8 2" xfId="23772"/>
    <cellStyle name="Normal 2 9" xfId="23773"/>
    <cellStyle name="Normal 2 9 2" xfId="23774"/>
    <cellStyle name="Normal 21 10" xfId="23775"/>
    <cellStyle name="Normal 21 11" xfId="23776"/>
    <cellStyle name="Normal 21 12" xfId="23777"/>
    <cellStyle name="Normal 21 13" xfId="23778"/>
    <cellStyle name="Normal 21 14" xfId="23779"/>
    <cellStyle name="Normal 21 3" xfId="23780"/>
    <cellStyle name="Normal 21 4" xfId="23781"/>
    <cellStyle name="Normal 21 5" xfId="23782"/>
    <cellStyle name="Normal 21 6" xfId="23783"/>
    <cellStyle name="Normal 21 7" xfId="23784"/>
    <cellStyle name="Normal 3 2 2 2" xfId="23785"/>
    <cellStyle name="Normal 3 2 2 2 2" xfId="23786"/>
    <cellStyle name="Normal 3 2 2 2 2 2" xfId="23787"/>
    <cellStyle name="Normal 3 2 2 2 2 2 2" xfId="23788"/>
    <cellStyle name="Normal 3 2 2 2 3" xfId="23789"/>
    <cellStyle name="Normal 3 2 3" xfId="23790"/>
    <cellStyle name="Normal 3 2 4" xfId="23791"/>
    <cellStyle name="Normal 3 2 5" xfId="23792"/>
    <cellStyle name="Normal 3 2 6" xfId="23793"/>
    <cellStyle name="Normal 3 2 7" xfId="23794"/>
    <cellStyle name="Normal 3 2 8" xfId="23795"/>
    <cellStyle name="Normal 3 3 2" xfId="23796"/>
    <cellStyle name="Normal 3 3 3" xfId="23797"/>
    <cellStyle name="Normal 3 4" xfId="23798"/>
    <cellStyle name="Normal 3 5" xfId="23799"/>
    <cellStyle name="Normal 3 6" xfId="23800"/>
    <cellStyle name="Normal 3 7" xfId="23801"/>
    <cellStyle name="Normal 30 10" xfId="23802"/>
    <cellStyle name="Note 2 5 3 7 4 2" xfId="23803"/>
    <cellStyle name="Normal 30 13" xfId="23804"/>
    <cellStyle name="Normal 30 14" xfId="23805"/>
    <cellStyle name="Normal 30 5" xfId="23806"/>
    <cellStyle name="Note 2 8 2 6 3 2" xfId="23807"/>
    <cellStyle name="Normal 30 6" xfId="23808"/>
    <cellStyle name="Note 2 8 2 6 3 3" xfId="23809"/>
    <cellStyle name="Normal 30 7" xfId="23810"/>
    <cellStyle name="Note 2 8 2 6 3 4" xfId="23811"/>
    <cellStyle name="Normal 30 8" xfId="23812"/>
    <cellStyle name="Normal 30 9" xfId="23813"/>
    <cellStyle name="Normal 4 3 2 2" xfId="23814"/>
    <cellStyle name="Normal 4 3 2 2 2" xfId="23815"/>
    <cellStyle name="Normal 5 2 2 2 2" xfId="23816"/>
    <cellStyle name="Normal 5 2 2 2 2 2" xfId="23817"/>
    <cellStyle name="Normal 5 2 2 2 2 2 2" xfId="23818"/>
    <cellStyle name="Normal 5 2 2 2 3" xfId="23819"/>
    <cellStyle name="Normal 5 2 7" xfId="23820"/>
    <cellStyle name="Normal 5 2 8" xfId="23821"/>
    <cellStyle name="Normal 5 3 2 2 2" xfId="23822"/>
    <cellStyle name="Normal 5 4" xfId="23823"/>
    <cellStyle name="Normal 5 5" xfId="23824"/>
    <cellStyle name="Normal 5 6" xfId="23825"/>
    <cellStyle name="Normal 6 2 2 2 2" xfId="23826"/>
    <cellStyle name="Note 2 5 3 9 2" xfId="23827"/>
    <cellStyle name="Output 2 12 15 3" xfId="23828"/>
    <cellStyle name="Normal 6 2 2 2 2 2" xfId="23829"/>
    <cellStyle name="Note 2 15 4 3 4" xfId="23830"/>
    <cellStyle name="Note 2 5 3 9 2 2" xfId="23831"/>
    <cellStyle name="Normal 6 2 2 2 2 2 2" xfId="23832"/>
    <cellStyle name="Normal 6 2 2 2 3" xfId="23833"/>
    <cellStyle name="Note 2 5 3 9 3" xfId="23834"/>
    <cellStyle name="Normal 6 2 7" xfId="23835"/>
    <cellStyle name="Normal 6 2 8" xfId="23836"/>
    <cellStyle name="Normal 6 3 2 2 2" xfId="23837"/>
    <cellStyle name="Note 2 6 3 9 2" xfId="23838"/>
    <cellStyle name="Normal 6 5" xfId="23839"/>
    <cellStyle name="Normal 6 6" xfId="23840"/>
    <cellStyle name="Normal 7" xfId="23841"/>
    <cellStyle name="Normal 8" xfId="23842"/>
    <cellStyle name="Normal 9" xfId="23843"/>
    <cellStyle name="Normale_RESULTS" xfId="23844"/>
    <cellStyle name="Note 2" xfId="23845"/>
    <cellStyle name="Note 2 10" xfId="23846"/>
    <cellStyle name="Note 2 10 10 2 2" xfId="23847"/>
    <cellStyle name="Note 2 10 10 2 3" xfId="23848"/>
    <cellStyle name="Note 2 10 10 2 4" xfId="23849"/>
    <cellStyle name="Note 2 10 10 3 2" xfId="23850"/>
    <cellStyle name="Note 2 10 10 3 3" xfId="23851"/>
    <cellStyle name="Note 2 10 10 3 4" xfId="23852"/>
    <cellStyle name="Total 2 13 11 2 4" xfId="23853"/>
    <cellStyle name="Note 2 10 10 4" xfId="23854"/>
    <cellStyle name="Note 2 10 2 4 5 2" xfId="23855"/>
    <cellStyle name="Note 2 10 10 4 2" xfId="23856"/>
    <cellStyle name="Note 2 10 10 4 3" xfId="23857"/>
    <cellStyle name="Note 2 10 10 5" xfId="23858"/>
    <cellStyle name="Note 2 10 2 4 5 3" xfId="23859"/>
    <cellStyle name="Note 2 10 10 6" xfId="23860"/>
    <cellStyle name="Note 2 10 10 7" xfId="23861"/>
    <cellStyle name="Total 2 13 11 3 2" xfId="23862"/>
    <cellStyle name="Note 2 10 11 2" xfId="23863"/>
    <cellStyle name="Note 2 2 3 26" xfId="23864"/>
    <cellStyle name="Note 2 2 3 31" xfId="23865"/>
    <cellStyle name="Output 2 2 5 3 2 2" xfId="23866"/>
    <cellStyle name="Note 2 10 11 2 2" xfId="23867"/>
    <cellStyle name="Note 2 10 11 2 3" xfId="23868"/>
    <cellStyle name="Note 2 10 11 2 4" xfId="23869"/>
    <cellStyle name="Total 2 13 11 3 3" xfId="23870"/>
    <cellStyle name="Note 2 10 11 3" xfId="23871"/>
    <cellStyle name="Note 2 2 3 27" xfId="23872"/>
    <cellStyle name="Note 2 2 3 32" xfId="23873"/>
    <cellStyle name="Note 2 10 11 3 2" xfId="23874"/>
    <cellStyle name="Note 2 10 11 3 3" xfId="23875"/>
    <cellStyle name="Note 2 10 11 3 4" xfId="23876"/>
    <cellStyle name="Total 2 13 11 3 4" xfId="23877"/>
    <cellStyle name="Note 2 10 11 4" xfId="23878"/>
    <cellStyle name="Note 2 2 3 28" xfId="23879"/>
    <cellStyle name="Note 2 10 11 4 2" xfId="23880"/>
    <cellStyle name="Note 2 10 11 4 3" xfId="23881"/>
    <cellStyle name="Note 2 10 11 5" xfId="23882"/>
    <cellStyle name="Note 2 2 3 29" xfId="23883"/>
    <cellStyle name="Note 2 10 11 6" xfId="23884"/>
    <cellStyle name="Note 2 10 11 7" xfId="23885"/>
    <cellStyle name="Total 2 13 11 4 2" xfId="23886"/>
    <cellStyle name="Note 2 10 12 2" xfId="23887"/>
    <cellStyle name="Note 2 10 12 2 2" xfId="23888"/>
    <cellStyle name="Note 2 10 12 2 3" xfId="23889"/>
    <cellStyle name="Note 2 10 12 2 4" xfId="23890"/>
    <cellStyle name="Total 2 13 11 4 3" xfId="23891"/>
    <cellStyle name="Note 2 10 12 3" xfId="23892"/>
    <cellStyle name="Note 2 10 12 3 2" xfId="23893"/>
    <cellStyle name="Note 2 10 12 3 3" xfId="23894"/>
    <cellStyle name="Note 2 10 12 3 4" xfId="23895"/>
    <cellStyle name="Note 2 10 12 4" xfId="23896"/>
    <cellStyle name="Note 2 10 12 4 2" xfId="23897"/>
    <cellStyle name="Note 2 10 12 4 3" xfId="23898"/>
    <cellStyle name="Note 2 10 12 5" xfId="23899"/>
    <cellStyle name="Note 2 10 19" xfId="23900"/>
    <cellStyle name="Output 2 13 14 3" xfId="23901"/>
    <cellStyle name="Note 2 10 2 10" xfId="23902"/>
    <cellStyle name="Note 2 10 2 10 2" xfId="23903"/>
    <cellStyle name="Output 2 2 2 2 2 2 2 3" xfId="23904"/>
    <cellStyle name="Note 2 10 2 10 2 2" xfId="23905"/>
    <cellStyle name="Note 2 10 2 10 2 3" xfId="23906"/>
    <cellStyle name="Output 2 3 2 3 2" xfId="23907"/>
    <cellStyle name="Note 2 10 2 10 2 4" xfId="23908"/>
    <cellStyle name="Output 2 3 2 3 3" xfId="23909"/>
    <cellStyle name="Note 2 10 2 10 3" xfId="23910"/>
    <cellStyle name="Note 2 10 2 10 3 2" xfId="23911"/>
    <cellStyle name="Note 2 10 2 10 3 3" xfId="23912"/>
    <cellStyle name="Output 2 3 2 4 2" xfId="23913"/>
    <cellStyle name="Note 2 10 2 10 3 4" xfId="23914"/>
    <cellStyle name="Output 2 3 2 4 3" xfId="23915"/>
    <cellStyle name="Note 2 10 2 10 4" xfId="23916"/>
    <cellStyle name="Note 2 10 2 10 4 2" xfId="23917"/>
    <cellStyle name="Note 2 10 2 10 4 3" xfId="23918"/>
    <cellStyle name="Output 2 3 2 5 2" xfId="23919"/>
    <cellStyle name="Note 2 10 2 11" xfId="23920"/>
    <cellStyle name="Note 2 10 2 11 2" xfId="23921"/>
    <cellStyle name="Note 2 10 2 11 3" xfId="23922"/>
    <cellStyle name="Note 2 10 2 11 4" xfId="23923"/>
    <cellStyle name="Note 2 10 2 12 4" xfId="23924"/>
    <cellStyle name="Note 2 10 2 14 3" xfId="23925"/>
    <cellStyle name="Note 2 10 2 2 4 2" xfId="23926"/>
    <cellStyle name="Output 2 6 3 10 3 3" xfId="23927"/>
    <cellStyle name="Note 2 10 2 2 5 2" xfId="23928"/>
    <cellStyle name="Total 2 14 2 10 4 2" xfId="23929"/>
    <cellStyle name="Output 2 2 3 10 3" xfId="23930"/>
    <cellStyle name="Output 2 6 3 10 4 3" xfId="23931"/>
    <cellStyle name="Note 2 10 2 2 5 3" xfId="23932"/>
    <cellStyle name="Total 2 14 2 10 4 3" xfId="23933"/>
    <cellStyle name="Output 2 2 3 10 4" xfId="23934"/>
    <cellStyle name="Note 2 10 2 3 3" xfId="23935"/>
    <cellStyle name="Note 2 10 2 3 4 2" xfId="23936"/>
    <cellStyle name="Note 2 10 2 3 5 2" xfId="23937"/>
    <cellStyle name="Note 2 10 2 3 5 3" xfId="23938"/>
    <cellStyle name="Note 2 10 2 4 2" xfId="23939"/>
    <cellStyle name="Output 2 13 8 2 4" xfId="23940"/>
    <cellStyle name="Total 2 10 3 8 3 4" xfId="23941"/>
    <cellStyle name="Note 2 10 2 4 2 3" xfId="23942"/>
    <cellStyle name="Note 2 10 2 4 2 4" xfId="23943"/>
    <cellStyle name="Note 2 10 2 4 3" xfId="23944"/>
    <cellStyle name="Note 2 10 2 4 3 3" xfId="23945"/>
    <cellStyle name="Note 2 10 2 4 3 4" xfId="23946"/>
    <cellStyle name="Note 2 10 2 4 4 2" xfId="23947"/>
    <cellStyle name="Note 2 10 2 4 4 3" xfId="23948"/>
    <cellStyle name="Note 2 10 2 4 7" xfId="23949"/>
    <cellStyle name="Note 2 10 2 5 2" xfId="23950"/>
    <cellStyle name="Output 2 13 8 3 4" xfId="23951"/>
    <cellStyle name="Output 2 7 8 2 2" xfId="23952"/>
    <cellStyle name="Note 2 10 2 5 2 3" xfId="23953"/>
    <cellStyle name="Note 2 10 2 5 2 4" xfId="23954"/>
    <cellStyle name="Note 2 10 2 5 3" xfId="23955"/>
    <cellStyle name="Output 2 7 8 2 3" xfId="23956"/>
    <cellStyle name="Note 2 10 2 5 4 2" xfId="23957"/>
    <cellStyle name="Note 2 10 2 5 4 3" xfId="23958"/>
    <cellStyle name="Note 2 10 2 5 7" xfId="23959"/>
    <cellStyle name="Note 2 10 2 6 2" xfId="23960"/>
    <cellStyle name="Output 2 7 8 3 2" xfId="23961"/>
    <cellStyle name="Note 2 10 2 6 2 3" xfId="23962"/>
    <cellStyle name="Note 2 10 2 6 2 4" xfId="23963"/>
    <cellStyle name="Note 2 10 2 6 3" xfId="23964"/>
    <cellStyle name="Output 2 7 8 3 3" xfId="23965"/>
    <cellStyle name="Note 2 10 2 6 3 3" xfId="23966"/>
    <cellStyle name="Note 2 10 2 6 3 4" xfId="23967"/>
    <cellStyle name="Note 2 10 2 6 5" xfId="23968"/>
    <cellStyle name="Note 2 10 2 6 6" xfId="23969"/>
    <cellStyle name="Note 2 10 2 6 7" xfId="23970"/>
    <cellStyle name="Note 2 10 2 7 2" xfId="23971"/>
    <cellStyle name="Output 2 7 8 4 2" xfId="23972"/>
    <cellStyle name="Note 2 10 2 7 2 3" xfId="23973"/>
    <cellStyle name="Note 2 10 2 7 2 4" xfId="23974"/>
    <cellStyle name="Note 2 10 2 7 3" xfId="23975"/>
    <cellStyle name="Output 2 7 8 4 3" xfId="23976"/>
    <cellStyle name="Note 2 10 2 7 3 3" xfId="23977"/>
    <cellStyle name="Note 2 10 2 7 3 4" xfId="23978"/>
    <cellStyle name="Note 2 10 2 7 5" xfId="23979"/>
    <cellStyle name="Note 2 10 2 7 6" xfId="23980"/>
    <cellStyle name="Note 2 10 2 7 7" xfId="23981"/>
    <cellStyle name="Note 2 10 2 8" xfId="23982"/>
    <cellStyle name="Output 2 7 8 5" xfId="23983"/>
    <cellStyle name="Note 2 10 2 8 2 3" xfId="23984"/>
    <cellStyle name="Note 2 10 2 8 2 4" xfId="23985"/>
    <cellStyle name="Note 2 10 2 8 4" xfId="23986"/>
    <cellStyle name="Note 2 10 2 8 5" xfId="23987"/>
    <cellStyle name="Note 2 10 2 8 6" xfId="23988"/>
    <cellStyle name="Note 2 10 2 8 7" xfId="23989"/>
    <cellStyle name="Note 2 10 2 9" xfId="23990"/>
    <cellStyle name="Output 2 7 8 6" xfId="23991"/>
    <cellStyle name="Note 2 10 2 9 2 3" xfId="23992"/>
    <cellStyle name="Note 2 10 2 9 2 4" xfId="23993"/>
    <cellStyle name="Note 2 10 2 9 3 4" xfId="23994"/>
    <cellStyle name="Note 2 10 2 9 4" xfId="23995"/>
    <cellStyle name="Note 2 10 2 9 4 2" xfId="23996"/>
    <cellStyle name="Note 2 10 2 9 4 3" xfId="23997"/>
    <cellStyle name="Note 2 10 2 9 5" xfId="23998"/>
    <cellStyle name="Note 2 10 2 9 5 2" xfId="23999"/>
    <cellStyle name="Note 2 11 10 4" xfId="24000"/>
    <cellStyle name="Note 2 10 2 9 5 3" xfId="24001"/>
    <cellStyle name="Note 2 11 10 5" xfId="24002"/>
    <cellStyle name="Note 2 10 2 9 6" xfId="24003"/>
    <cellStyle name="Note 2 10 3 10" xfId="24004"/>
    <cellStyle name="Note 2 10 3 10 2" xfId="24005"/>
    <cellStyle name="Note 2 10 3 10 2 2" xfId="24006"/>
    <cellStyle name="Output 2 14 2 4 3" xfId="24007"/>
    <cellStyle name="Note 2 10 3 10 2 3" xfId="24008"/>
    <cellStyle name="Output 2 14 2 4 4" xfId="24009"/>
    <cellStyle name="Output 2 8 2 3 2" xfId="24010"/>
    <cellStyle name="Note 2 10 3 10 2 4" xfId="24011"/>
    <cellStyle name="Output 2 14 2 4 5" xfId="24012"/>
    <cellStyle name="Output 2 8 2 3 3" xfId="24013"/>
    <cellStyle name="Note 2 10 3 10 3" xfId="24014"/>
    <cellStyle name="Note 2 10 3 10 3 2" xfId="24015"/>
    <cellStyle name="Output 2 11 3 15" xfId="24016"/>
    <cellStyle name="Output 2 14 2 5 3" xfId="24017"/>
    <cellStyle name="Note 2 10 3 10 3 3" xfId="24018"/>
    <cellStyle name="Output 2 11 3 16" xfId="24019"/>
    <cellStyle name="Output 2 14 2 5 4" xfId="24020"/>
    <cellStyle name="Output 2 8 2 4 2" xfId="24021"/>
    <cellStyle name="Note 2 10 3 10 3 4" xfId="24022"/>
    <cellStyle name="Output 2 14 2 5 5" xfId="24023"/>
    <cellStyle name="Output 2 8 2 4 3" xfId="24024"/>
    <cellStyle name="Note 2 10 3 10 4" xfId="24025"/>
    <cellStyle name="Note 2 10 3 10 4 2" xfId="24026"/>
    <cellStyle name="Output 2 14 2 6 3" xfId="24027"/>
    <cellStyle name="Note 2 10 3 10 4 3" xfId="24028"/>
    <cellStyle name="Output 2 14 2 6 4" xfId="24029"/>
    <cellStyle name="Output 2 8 2 5 2" xfId="24030"/>
    <cellStyle name="Total 2 5 2 6 5 2" xfId="24031"/>
    <cellStyle name="Note 2 10 3 10 5" xfId="24032"/>
    <cellStyle name="Note 2 10 3 10 5 2" xfId="24033"/>
    <cellStyle name="Output 2 14 2 7 3" xfId="24034"/>
    <cellStyle name="Note 2 10 3 11" xfId="24035"/>
    <cellStyle name="Note 2 10 3 11 2" xfId="24036"/>
    <cellStyle name="Note 2 10 3 11 3" xfId="24037"/>
    <cellStyle name="Note 2 10 3 11 4" xfId="24038"/>
    <cellStyle name="Note 2 10 3 12" xfId="24039"/>
    <cellStyle name="Note 2 10 3 12 2" xfId="24040"/>
    <cellStyle name="Note 2 10 3 12 3" xfId="24041"/>
    <cellStyle name="Note 2 10 3 12 4" xfId="24042"/>
    <cellStyle name="Note 2 10 3 13" xfId="24043"/>
    <cellStyle name="Note 2 10 3 13 2" xfId="24044"/>
    <cellStyle name="Note 2 10 3 13 3" xfId="24045"/>
    <cellStyle name="Note 2 10 3 14" xfId="24046"/>
    <cellStyle name="Note 2 10 3 14 2" xfId="24047"/>
    <cellStyle name="Note 2 10 3 14 3" xfId="24048"/>
    <cellStyle name="Note 2 10 3 15" xfId="24049"/>
    <cellStyle name="Note 2 10 3 16" xfId="24050"/>
    <cellStyle name="Note 2 10 3 2 2 3" xfId="24051"/>
    <cellStyle name="Note 2 10 3 2 2 4" xfId="24052"/>
    <cellStyle name="Note 2 10 3 2 3 3" xfId="24053"/>
    <cellStyle name="Note 2 10 3 2 3 4" xfId="24054"/>
    <cellStyle name="Note 2 10 3 2 4" xfId="24055"/>
    <cellStyle name="Note 2 10 3 2 4 2" xfId="24056"/>
    <cellStyle name="Note 2 10 3 2 4 3" xfId="24057"/>
    <cellStyle name="Note 2 10 3 2 5" xfId="24058"/>
    <cellStyle name="Note 2 10 3 2 5 2" xfId="24059"/>
    <cellStyle name="Note 2 10 3 2 5 3" xfId="24060"/>
    <cellStyle name="Note 2 10 3 2 6" xfId="24061"/>
    <cellStyle name="Note 2 10 3 2 7" xfId="24062"/>
    <cellStyle name="Note 2 10 3 3 2 3" xfId="24063"/>
    <cellStyle name="Note 2 10 3 3 2 4" xfId="24064"/>
    <cellStyle name="Note 2 10 3 3 3" xfId="24065"/>
    <cellStyle name="Note 2 10 3 3 3 3" xfId="24066"/>
    <cellStyle name="Note 2 10 3 3 3 4" xfId="24067"/>
    <cellStyle name="Note 2 10 3 3 4" xfId="24068"/>
    <cellStyle name="Note 2 10 3 3 4 2" xfId="24069"/>
    <cellStyle name="Note 2 10 3 3 4 3" xfId="24070"/>
    <cellStyle name="Note 2 10 3 3 5" xfId="24071"/>
    <cellStyle name="Note 2 10 3 3 5 2" xfId="24072"/>
    <cellStyle name="Note 2 10 3 3 5 3" xfId="24073"/>
    <cellStyle name="Note 2 10 3 3 6" xfId="24074"/>
    <cellStyle name="Note 2 10 3 3 7" xfId="24075"/>
    <cellStyle name="Note 2 10 3 4 2" xfId="24076"/>
    <cellStyle name="Output 2 13 9 2 4" xfId="24077"/>
    <cellStyle name="Total 2 10 3 9 3 4" xfId="24078"/>
    <cellStyle name="Note 2 10 3 4 2 3" xfId="24079"/>
    <cellStyle name="Note 2 10 3 4 2 4" xfId="24080"/>
    <cellStyle name="Note 2 10 3 4 3" xfId="24081"/>
    <cellStyle name="Note 2 10 3 4 3 3" xfId="24082"/>
    <cellStyle name="Note 2 10 3 4 3 4" xfId="24083"/>
    <cellStyle name="Note 2 10 3 4 4" xfId="24084"/>
    <cellStyle name="Note 2 10 3 4 4 2" xfId="24085"/>
    <cellStyle name="Note 2 10 3 4 4 3" xfId="24086"/>
    <cellStyle name="Note 2 10 3 4 5" xfId="24087"/>
    <cellStyle name="Note 2 10 3 4 5 2" xfId="24088"/>
    <cellStyle name="Note 2 15 10 4" xfId="24089"/>
    <cellStyle name="Note 2 10 3 4 5 3" xfId="24090"/>
    <cellStyle name="Note 2 15 10 5" xfId="24091"/>
    <cellStyle name="Note 2 10 3 4 6" xfId="24092"/>
    <cellStyle name="Note 2 10 3 4 7" xfId="24093"/>
    <cellStyle name="Note 2 10 3 5 2" xfId="24094"/>
    <cellStyle name="Output 2 13 9 3 4" xfId="24095"/>
    <cellStyle name="Output 2 7 9 2 2" xfId="24096"/>
    <cellStyle name="Note 2 10 3 5 2 3" xfId="24097"/>
    <cellStyle name="Note 2 10 3 5 2 4" xfId="24098"/>
    <cellStyle name="Note 2 10 3 5 3" xfId="24099"/>
    <cellStyle name="Output 2 7 9 2 3" xfId="24100"/>
    <cellStyle name="Note 2 10 3 5 3 3" xfId="24101"/>
    <cellStyle name="Note 2 10 3 5 3 4" xfId="24102"/>
    <cellStyle name="Output 2 12 3 10 2" xfId="24103"/>
    <cellStyle name="Note 2 10 3 5 4" xfId="24104"/>
    <cellStyle name="Output 2 7 9 2 4" xfId="24105"/>
    <cellStyle name="Note 2 10 3 5 4 2" xfId="24106"/>
    <cellStyle name="Note 2 10 3 5 4 3" xfId="24107"/>
    <cellStyle name="Note 2 10 3 5 5" xfId="24108"/>
    <cellStyle name="Note 2 2 2 4 6 2 2" xfId="24109"/>
    <cellStyle name="Note 2 10 3 5 6" xfId="24110"/>
    <cellStyle name="Note 2 10 3 5 7" xfId="24111"/>
    <cellStyle name="Note 2 10 3 6" xfId="24112"/>
    <cellStyle name="Output 2 7 9 3" xfId="24113"/>
    <cellStyle name="Note 2 10 3 6 2" xfId="24114"/>
    <cellStyle name="Output 2 7 9 3 2" xfId="24115"/>
    <cellStyle name="Note 2 10 3 6 2 3" xfId="24116"/>
    <cellStyle name="Note 2 10 3 6 2 4" xfId="24117"/>
    <cellStyle name="Note 2 10 3 6 3" xfId="24118"/>
    <cellStyle name="Output 2 7 9 3 3" xfId="24119"/>
    <cellStyle name="Note 2 10 3 6 3 3" xfId="24120"/>
    <cellStyle name="Note 2 10 3 6 3 4" xfId="24121"/>
    <cellStyle name="Note 2 10 3 6 4" xfId="24122"/>
    <cellStyle name="Output 2 7 9 3 4" xfId="24123"/>
    <cellStyle name="Note 2 10 3 6 4 2" xfId="24124"/>
    <cellStyle name="Note 2 10 3 6 4 3" xfId="24125"/>
    <cellStyle name="Note 2 10 3 6 5" xfId="24126"/>
    <cellStyle name="Note 2 10 3 6 5 2" xfId="24127"/>
    <cellStyle name="Note 2 10 3 6 5 3" xfId="24128"/>
    <cellStyle name="Note 2 10 3 6 6" xfId="24129"/>
    <cellStyle name="Note 2 10 3 6 7" xfId="24130"/>
    <cellStyle name="Note 2 10 3 7" xfId="24131"/>
    <cellStyle name="Output 2 7 9 4" xfId="24132"/>
    <cellStyle name="Note 2 10 3 7 2" xfId="24133"/>
    <cellStyle name="Output 2 7 9 4 2" xfId="24134"/>
    <cellStyle name="Note 2 10 3 7 2 3" xfId="24135"/>
    <cellStyle name="Note 2 10 3 7 2 4" xfId="24136"/>
    <cellStyle name="Note 2 10 3 7 3" xfId="24137"/>
    <cellStyle name="Output 2 7 9 4 3" xfId="24138"/>
    <cellStyle name="Note 2 10 3 7 3 3" xfId="24139"/>
    <cellStyle name="Note 2 10 3 7 3 4" xfId="24140"/>
    <cellStyle name="Note 2 10 3 7 4" xfId="24141"/>
    <cellStyle name="Note 2 10 3 7 4 2" xfId="24142"/>
    <cellStyle name="Note 2 10 3 7 4 3" xfId="24143"/>
    <cellStyle name="Note 2 10 3 7 5" xfId="24144"/>
    <cellStyle name="Note 2 10 3 7 5 2" xfId="24145"/>
    <cellStyle name="Note 2 10 3 7 5 3" xfId="24146"/>
    <cellStyle name="Note 2 10 3 7 6" xfId="24147"/>
    <cellStyle name="Note 2 10 3 7 7" xfId="24148"/>
    <cellStyle name="Note 2 10 3 8" xfId="24149"/>
    <cellStyle name="Output 2 7 9 5" xfId="24150"/>
    <cellStyle name="Note 2 10 3 8 2" xfId="24151"/>
    <cellStyle name="Output 2 7 9 5 2" xfId="24152"/>
    <cellStyle name="Note 2 10 3 8 2 3" xfId="24153"/>
    <cellStyle name="Note 2 10 3 8 2 4" xfId="24154"/>
    <cellStyle name="Note 2 10 3 8 3" xfId="24155"/>
    <cellStyle name="Output 2 7 9 5 3" xfId="24156"/>
    <cellStyle name="Note 2 10 3 8 3 3" xfId="24157"/>
    <cellStyle name="Note 2 10 3 8 3 4" xfId="24158"/>
    <cellStyle name="Note 2 10 3 8 4" xfId="24159"/>
    <cellStyle name="Note 2 10 3 8 4 2" xfId="24160"/>
    <cellStyle name="Note 2 10 3 8 4 3" xfId="24161"/>
    <cellStyle name="Note 2 10 3 8 5" xfId="24162"/>
    <cellStyle name="Note 2 10 3 8 5 2" xfId="24163"/>
    <cellStyle name="Note 2 10 3 8 5 3" xfId="24164"/>
    <cellStyle name="Note 2 10 3 8 6" xfId="24165"/>
    <cellStyle name="Note 2 10 3 8 7" xfId="24166"/>
    <cellStyle name="Note 2 10 3 9" xfId="24167"/>
    <cellStyle name="Output 2 7 9 6" xfId="24168"/>
    <cellStyle name="Note 2 10 3 9 2" xfId="24169"/>
    <cellStyle name="Note 2 10 3 9 2 3" xfId="24170"/>
    <cellStyle name="Output 2 15 5" xfId="24171"/>
    <cellStyle name="Output 2 20 5" xfId="24172"/>
    <cellStyle name="Note 2 10 3 9 2 4" xfId="24173"/>
    <cellStyle name="Output 2 15 6" xfId="24174"/>
    <cellStyle name="Output 2 20 6" xfId="24175"/>
    <cellStyle name="Note 2 10 3 9 3" xfId="24176"/>
    <cellStyle name="Note 2 10 3 9 3 3" xfId="24177"/>
    <cellStyle name="Output 2 16 5" xfId="24178"/>
    <cellStyle name="Output 2 21 5" xfId="24179"/>
    <cellStyle name="Note 2 10 3 9 3 4" xfId="24180"/>
    <cellStyle name="Output 2 16 6" xfId="24181"/>
    <cellStyle name="Output 2 21 6" xfId="24182"/>
    <cellStyle name="Note 2 10 3 9 4" xfId="24183"/>
    <cellStyle name="Note 2 10 3 9 4 2" xfId="24184"/>
    <cellStyle name="Output 2 17 4" xfId="24185"/>
    <cellStyle name="Output 2 22 4" xfId="24186"/>
    <cellStyle name="Note 2 10 3 9 4 3" xfId="24187"/>
    <cellStyle name="Output 2 17 5" xfId="24188"/>
    <cellStyle name="Output 2 22 5" xfId="24189"/>
    <cellStyle name="Note 2 10 3 9 5" xfId="24190"/>
    <cellStyle name="Note 2 10 3 9 5 2" xfId="24191"/>
    <cellStyle name="Note 2 16 10 4" xfId="24192"/>
    <cellStyle name="Output 2 18 4" xfId="24193"/>
    <cellStyle name="Output 2 23 4" xfId="24194"/>
    <cellStyle name="Note 2 10 3 9 5 3" xfId="24195"/>
    <cellStyle name="Note 2 16 10 5" xfId="24196"/>
    <cellStyle name="Output 2 18 5" xfId="24197"/>
    <cellStyle name="Output 2 23 5" xfId="24198"/>
    <cellStyle name="Note 2 10 3 9 6" xfId="24199"/>
    <cellStyle name="Note 2 10 3 9 7" xfId="24200"/>
    <cellStyle name="Note 2 10 4 2 4" xfId="24201"/>
    <cellStyle name="Note 2 10 4 4 2" xfId="24202"/>
    <cellStyle name="Note 2 10 4 4 3" xfId="24203"/>
    <cellStyle name="Note 2 10 4 5 2" xfId="24204"/>
    <cellStyle name="Note 2 10 4 5 3" xfId="24205"/>
    <cellStyle name="Note 2 10 4 6" xfId="24206"/>
    <cellStyle name="Note 2 10 4 7" xfId="24207"/>
    <cellStyle name="Note 2 10 5 3 3" xfId="24208"/>
    <cellStyle name="Note 2 10 5 4 3" xfId="24209"/>
    <cellStyle name="Note 2 10 5 5 2" xfId="24210"/>
    <cellStyle name="Note 2 10 5 5 3" xfId="24211"/>
    <cellStyle name="Note 2 10 5 6" xfId="24212"/>
    <cellStyle name="Note 2 10 5 7" xfId="24213"/>
    <cellStyle name="Note 2 10 6 2 4" xfId="24214"/>
    <cellStyle name="Note 2 10 6 3 3" xfId="24215"/>
    <cellStyle name="Total 2 11 9 2 2" xfId="24216"/>
    <cellStyle name="Output 2 11 2 2 5 3" xfId="24217"/>
    <cellStyle name="Note 2 10 6 3 4" xfId="24218"/>
    <cellStyle name="Note 2 10 6 4 2" xfId="24219"/>
    <cellStyle name="Note 2 10 6 4 3" xfId="24220"/>
    <cellStyle name="Note 2 10 6 5 2" xfId="24221"/>
    <cellStyle name="Note 2 10 6 5 3" xfId="24222"/>
    <cellStyle name="Output 2 11 2 3 4" xfId="24223"/>
    <cellStyle name="Note 2 10 7 2" xfId="24224"/>
    <cellStyle name="Output 2 5 2 2 2" xfId="24225"/>
    <cellStyle name="Output 2 11 2 3 4 2" xfId="24226"/>
    <cellStyle name="Note 2 10 7 2 2" xfId="24227"/>
    <cellStyle name="Output 2 5 2 2 2 2" xfId="24228"/>
    <cellStyle name="Total 2 14 3 10 2" xfId="24229"/>
    <cellStyle name="Output 2 11 2 3 4 3" xfId="24230"/>
    <cellStyle name="Output 2 14 10 2 2" xfId="24231"/>
    <cellStyle name="Note 2 10 7 2 3" xfId="24232"/>
    <cellStyle name="Output 2 5 2 2 2 3" xfId="24233"/>
    <cellStyle name="Output 2 11 2 3 5" xfId="24234"/>
    <cellStyle name="Note 2 10 7 3" xfId="24235"/>
    <cellStyle name="Output 2 5 2 2 3" xfId="24236"/>
    <cellStyle name="Output 2 11 2 3 5 2" xfId="24237"/>
    <cellStyle name="Note 2 10 7 3 2" xfId="24238"/>
    <cellStyle name="Output 2 5 2 2 3 2" xfId="24239"/>
    <cellStyle name="Total 2 14 3 11 2" xfId="24240"/>
    <cellStyle name="Output 2 11 2 3 5 3" xfId="24241"/>
    <cellStyle name="Output 2 14 10 3 2" xfId="24242"/>
    <cellStyle name="Note 2 10 7 3 3" xfId="24243"/>
    <cellStyle name="Output 2 5 2 2 3 3" xfId="24244"/>
    <cellStyle name="Note 2 10 7 4 2" xfId="24245"/>
    <cellStyle name="Output 2 5 2 2 4 2" xfId="24246"/>
    <cellStyle name="Output 2 14 10 4 2" xfId="24247"/>
    <cellStyle name="Note 2 10 7 4 3" xfId="24248"/>
    <cellStyle name="Output 2 5 2 2 4 3" xfId="24249"/>
    <cellStyle name="Note 2 10 7 5 2" xfId="24250"/>
    <cellStyle name="Output 2 5 2 2 5 2" xfId="24251"/>
    <cellStyle name="Output 2 14 10 5 2" xfId="24252"/>
    <cellStyle name="Note 2 10 7 5 3" xfId="24253"/>
    <cellStyle name="Output 2 5 2 2 5 3" xfId="24254"/>
    <cellStyle name="Note 2 10 8" xfId="24255"/>
    <cellStyle name="Output 2 5 2 3" xfId="24256"/>
    <cellStyle name="Output 2 11 2 4 4" xfId="24257"/>
    <cellStyle name="Note 2 10 8 2" xfId="24258"/>
    <cellStyle name="Output 2 5 2 3 2" xfId="24259"/>
    <cellStyle name="Output 2 11 2 4 4 2" xfId="24260"/>
    <cellStyle name="Note 2 10 8 2 2" xfId="24261"/>
    <cellStyle name="Output 2 5 2 3 2 2" xfId="24262"/>
    <cellStyle name="Output 2 11 2 4 4 3" xfId="24263"/>
    <cellStyle name="Output 2 14 11 2 2" xfId="24264"/>
    <cellStyle name="Note 2 10 8 2 3" xfId="24265"/>
    <cellStyle name="Output 2 5 2 3 2 3" xfId="24266"/>
    <cellStyle name="Output 2 14 11 2 3" xfId="24267"/>
    <cellStyle name="Note 2 10 8 2 4" xfId="24268"/>
    <cellStyle name="Output 2 5 2 3 2 4" xfId="24269"/>
    <cellStyle name="Output 2 11 2 4 5" xfId="24270"/>
    <cellStyle name="Note 2 10 8 3" xfId="24271"/>
    <cellStyle name="Output 2 5 2 3 3" xfId="24272"/>
    <cellStyle name="Output 2 11 2 4 5 2" xfId="24273"/>
    <cellStyle name="Note 2 10 8 3 2" xfId="24274"/>
    <cellStyle name="Output 2 5 2 3 3 2" xfId="24275"/>
    <cellStyle name="Output 2 11 2 4 5 3" xfId="24276"/>
    <cellStyle name="Output 2 14 11 3 2" xfId="24277"/>
    <cellStyle name="Note 2 10 8 3 3" xfId="24278"/>
    <cellStyle name="Output 2 5 2 3 3 3" xfId="24279"/>
    <cellStyle name="Output 2 14 11 3 3" xfId="24280"/>
    <cellStyle name="Note 2 10 8 3 4" xfId="24281"/>
    <cellStyle name="Output 2 5 2 3 3 4" xfId="24282"/>
    <cellStyle name="Note 2 10 8 4 2" xfId="24283"/>
    <cellStyle name="Output 2 5 2 3 4 2" xfId="24284"/>
    <cellStyle name="Output 2 14 11 4 2" xfId="24285"/>
    <cellStyle name="Note 2 10 8 4 3" xfId="24286"/>
    <cellStyle name="Output 2 5 2 3 4 3" xfId="24287"/>
    <cellStyle name="Note 2 10 8 5 2" xfId="24288"/>
    <cellStyle name="Output 2 5 2 3 5 2" xfId="24289"/>
    <cellStyle name="Output 2 14 11 5 2" xfId="24290"/>
    <cellStyle name="Note 2 10 8 5 3" xfId="24291"/>
    <cellStyle name="Output 2 5 2 3 5 3" xfId="24292"/>
    <cellStyle name="Output 2 11 2 5 4" xfId="24293"/>
    <cellStyle name="Output 2 13 2 3 2 2" xfId="24294"/>
    <cellStyle name="Note 2 10 9 2" xfId="24295"/>
    <cellStyle name="Output 2 5 2 4 2" xfId="24296"/>
    <cellStyle name="Output 2 11 2 5 4 2" xfId="24297"/>
    <cellStyle name="Note 2 10 9 2 2" xfId="24298"/>
    <cellStyle name="Output 2 5 2 4 2 2" xfId="24299"/>
    <cellStyle name="Output 2 11 2 5 4 3" xfId="24300"/>
    <cellStyle name="Output 2 14 12 2 2" xfId="24301"/>
    <cellStyle name="Note 2 10 9 2 3" xfId="24302"/>
    <cellStyle name="Output 2 5 2 4 2 3" xfId="24303"/>
    <cellStyle name="Output 2 14 12 2 3" xfId="24304"/>
    <cellStyle name="Note 2 10 9 2 4" xfId="24305"/>
    <cellStyle name="Output 2 5 2 4 2 4" xfId="24306"/>
    <cellStyle name="Output 2 11 2 5 5" xfId="24307"/>
    <cellStyle name="Output 2 13 2 3 2 3" xfId="24308"/>
    <cellStyle name="Note 2 10 9 3" xfId="24309"/>
    <cellStyle name="Output 2 5 2 4 3" xfId="24310"/>
    <cellStyle name="Output 2 11 2 5 5 2" xfId="24311"/>
    <cellStyle name="Note 2 10 9 3 2" xfId="24312"/>
    <cellStyle name="Output 2 5 2 4 3 2" xfId="24313"/>
    <cellStyle name="Output 2 11 2 5 5 3" xfId="24314"/>
    <cellStyle name="Output 2 14 12 3 2" xfId="24315"/>
    <cellStyle name="Note 2 10 9 3 3" xfId="24316"/>
    <cellStyle name="Output 2 5 2 4 3 3" xfId="24317"/>
    <cellStyle name="Output 2 14 12 3 3" xfId="24318"/>
    <cellStyle name="Note 2 10 9 3 4" xfId="24319"/>
    <cellStyle name="Output 2 5 2 4 3 4" xfId="24320"/>
    <cellStyle name="Note 2 10 9 4 2" xfId="24321"/>
    <cellStyle name="Output 2 5 2 4 4 2" xfId="24322"/>
    <cellStyle name="Output 2 14 12 4 2" xfId="24323"/>
    <cellStyle name="Note 2 10 9 4 3" xfId="24324"/>
    <cellStyle name="Output 2 5 2 4 4 3" xfId="24325"/>
    <cellStyle name="Note 2 10 9 5 2" xfId="24326"/>
    <cellStyle name="Output 2 5 2 4 5 2" xfId="24327"/>
    <cellStyle name="Output 2 14 12 5 2" xfId="24328"/>
    <cellStyle name="Note 2 10 9 5 3" xfId="24329"/>
    <cellStyle name="Output 2 5 2 4 5 3" xfId="24330"/>
    <cellStyle name="Note 2 11" xfId="24331"/>
    <cellStyle name="Note 2 11 10 3 2" xfId="24332"/>
    <cellStyle name="Note 2 11 10 3 3" xfId="24333"/>
    <cellStyle name="Note 2 11 10 3 4" xfId="24334"/>
    <cellStyle name="Note 2 11 10 4 2" xfId="24335"/>
    <cellStyle name="Note 2 11 10 4 3" xfId="24336"/>
    <cellStyle name="Note 2 11 10 5 2" xfId="24337"/>
    <cellStyle name="Note 2 11 10 5 3" xfId="24338"/>
    <cellStyle name="Note 2 11 10 6" xfId="24339"/>
    <cellStyle name="Note 2 11 10 7" xfId="24340"/>
    <cellStyle name="Note 2 6 10 5 2" xfId="24341"/>
    <cellStyle name="Note 2 11 11 2" xfId="24342"/>
    <cellStyle name="Note 2 11 11 2 3" xfId="24343"/>
    <cellStyle name="Note 2 11 11 2 4" xfId="24344"/>
    <cellStyle name="Note 2 11 11 3" xfId="24345"/>
    <cellStyle name="Note 2 11 11 3 2" xfId="24346"/>
    <cellStyle name="Note 2 11 11 3 3" xfId="24347"/>
    <cellStyle name="Note 2 11 11 3 4" xfId="24348"/>
    <cellStyle name="Note 2 11 11 4" xfId="24349"/>
    <cellStyle name="Note 2 11 11 4 2" xfId="24350"/>
    <cellStyle name="Note 2 11 11 4 3" xfId="24351"/>
    <cellStyle name="Note 2 11 11 5" xfId="24352"/>
    <cellStyle name="Note 2 11 11 5 2" xfId="24353"/>
    <cellStyle name="Note 2 11 11 5 3" xfId="24354"/>
    <cellStyle name="Note 2 11 11 6" xfId="24355"/>
    <cellStyle name="Note 2 11 11 7" xfId="24356"/>
    <cellStyle name="Note 2 11 12 2" xfId="24357"/>
    <cellStyle name="Note 2 11 12 2 2" xfId="24358"/>
    <cellStyle name="Note 2 11 12 2 3" xfId="24359"/>
    <cellStyle name="Note 2 11 12 2 4" xfId="24360"/>
    <cellStyle name="Note 2 11 12 3" xfId="24361"/>
    <cellStyle name="Note 2 11 12 3 2" xfId="24362"/>
    <cellStyle name="Note 2 11 12 3 3" xfId="24363"/>
    <cellStyle name="Note 2 11 12 3 4" xfId="24364"/>
    <cellStyle name="Note 2 11 12 4 2" xfId="24365"/>
    <cellStyle name="Note 2 11 12 4 3" xfId="24366"/>
    <cellStyle name="Note 2 11 12 5" xfId="24367"/>
    <cellStyle name="Note 2 11 12 5 2" xfId="24368"/>
    <cellStyle name="Note 2 11 12 5 3" xfId="24369"/>
    <cellStyle name="Note 2 11 12 6" xfId="24370"/>
    <cellStyle name="Note 2 11 12 7" xfId="24371"/>
    <cellStyle name="Note 2 11 13" xfId="24372"/>
    <cellStyle name="Note 2 3 6 2 3" xfId="24373"/>
    <cellStyle name="Output 2 13 2 11 3" xfId="24374"/>
    <cellStyle name="Note 2 11 13 2" xfId="24375"/>
    <cellStyle name="Note 2 11 13 3" xfId="24376"/>
    <cellStyle name="Note 2 11 13 4" xfId="24377"/>
    <cellStyle name="Note 2 11 14" xfId="24378"/>
    <cellStyle name="Note 2 13 9 4 2" xfId="24379"/>
    <cellStyle name="Note 2 3 6 2 4" xfId="24380"/>
    <cellStyle name="Output 2 13 2 11 4" xfId="24381"/>
    <cellStyle name="Note 2 11 14 2" xfId="24382"/>
    <cellStyle name="Note 2 11 14 3" xfId="24383"/>
    <cellStyle name="Note 2 11 14 4" xfId="24384"/>
    <cellStyle name="Note 2 11 15" xfId="24385"/>
    <cellStyle name="Note 2 11 20" xfId="24386"/>
    <cellStyle name="Note 2 13 9 4 3" xfId="24387"/>
    <cellStyle name="Note 2 11 15 2" xfId="24388"/>
    <cellStyle name="Note 2 11 15 3" xfId="24389"/>
    <cellStyle name="Note 2 11 16" xfId="24390"/>
    <cellStyle name="Note 2 11 16 2" xfId="24391"/>
    <cellStyle name="Note 2 11 16 3" xfId="24392"/>
    <cellStyle name="Note 2 11 17" xfId="24393"/>
    <cellStyle name="Note 2 11 18" xfId="24394"/>
    <cellStyle name="Note 2 11 19" xfId="24395"/>
    <cellStyle name="Note 2 11 2" xfId="24396"/>
    <cellStyle name="Note 2 11 2 10" xfId="24397"/>
    <cellStyle name="Note 2 11 2 10 2 2" xfId="24398"/>
    <cellStyle name="Note 2 11 2 10 2 3" xfId="24399"/>
    <cellStyle name="Note 2 11 2 10 2 4" xfId="24400"/>
    <cellStyle name="Note 2 11 2 10 3 2" xfId="24401"/>
    <cellStyle name="Note 2 11 2 10 3 3" xfId="24402"/>
    <cellStyle name="Note 2 11 2 10 3 4" xfId="24403"/>
    <cellStyle name="Note 2 11 2 10 4" xfId="24404"/>
    <cellStyle name="Note 2 11 2 10 4 2" xfId="24405"/>
    <cellStyle name="Note 2 11 2 10 4 3" xfId="24406"/>
    <cellStyle name="Note 2 11 2 11" xfId="24407"/>
    <cellStyle name="Output 2 4 5 2" xfId="24408"/>
    <cellStyle name="Note 2 11 2 11 4" xfId="24409"/>
    <cellStyle name="Output 2 4 5 2 4" xfId="24410"/>
    <cellStyle name="Note 2 11 2 12 4" xfId="24411"/>
    <cellStyle name="Output 2 4 5 3 4" xfId="24412"/>
    <cellStyle name="Note 2 11 2 15" xfId="24413"/>
    <cellStyle name="Output 2 4 5 6" xfId="24414"/>
    <cellStyle name="Note 2 11 2 16" xfId="24415"/>
    <cellStyle name="Output 2 4 5 7" xfId="24416"/>
    <cellStyle name="Note 2 11 2 2 2 3" xfId="24417"/>
    <cellStyle name="Note 2 11 2 2 3 3" xfId="24418"/>
    <cellStyle name="Note 2 11 2 2 4 2" xfId="24419"/>
    <cellStyle name="Note 2 11 2 2 4 3" xfId="24420"/>
    <cellStyle name="Note 2 11 2 2 5 2" xfId="24421"/>
    <cellStyle name="Output 2 7 3 10 3" xfId="24422"/>
    <cellStyle name="Note 2 11 2 2 5 3" xfId="24423"/>
    <cellStyle name="Output 2 7 3 10 4" xfId="24424"/>
    <cellStyle name="Note 2 11 2 2 7" xfId="24425"/>
    <cellStyle name="Note 2 11 2 3 2 3" xfId="24426"/>
    <cellStyle name="Note 2 11 2 3 3" xfId="24427"/>
    <cellStyle name="Note 2 11 2 3 5 2" xfId="24428"/>
    <cellStyle name="Note 2 11 2 3 5 3" xfId="24429"/>
    <cellStyle name="Note 2 11 2 3 6" xfId="24430"/>
    <cellStyle name="Note 2 11 2 3 7" xfId="24431"/>
    <cellStyle name="Note 2 11 2 4 2" xfId="24432"/>
    <cellStyle name="Output 2 14 8 2 4" xfId="24433"/>
    <cellStyle name="Note 2 11 2 4 2 3" xfId="24434"/>
    <cellStyle name="Note 2 11 2 4 3" xfId="24435"/>
    <cellStyle name="Note 2 11 2 4 5 2" xfId="24436"/>
    <cellStyle name="Note 2 11 2 4 5 3" xfId="24437"/>
    <cellStyle name="Note 2 11 2 4 6" xfId="24438"/>
    <cellStyle name="Note 2 11 2 4 7" xfId="24439"/>
    <cellStyle name="Note 2 11 2 5 2" xfId="24440"/>
    <cellStyle name="Output 2 14 8 3 4" xfId="24441"/>
    <cellStyle name="Output 2 8 8 2 2" xfId="24442"/>
    <cellStyle name="Note 2 11 2 5 2 3" xfId="24443"/>
    <cellStyle name="Note 2 11 2 5 3" xfId="24444"/>
    <cellStyle name="Output 2 8 8 2 3" xfId="24445"/>
    <cellStyle name="Note 2 11 2 5 5" xfId="24446"/>
    <cellStyle name="Note 2 11 2 5 5 3" xfId="24447"/>
    <cellStyle name="Note 2 11 2 5 6" xfId="24448"/>
    <cellStyle name="Note 2 11 2 6" xfId="24449"/>
    <cellStyle name="Output 2 8 8 3" xfId="24450"/>
    <cellStyle name="Note 2 11 2 6 2 3" xfId="24451"/>
    <cellStyle name="Note 2 11 2 6 3 4" xfId="24452"/>
    <cellStyle name="Note 2 11 2 6 4 2" xfId="24453"/>
    <cellStyle name="Note 2 11 2 6 4 3" xfId="24454"/>
    <cellStyle name="Note 2 11 2 6 5 2" xfId="24455"/>
    <cellStyle name="Note 2 11 2 6 5 3" xfId="24456"/>
    <cellStyle name="Note 2 11 2 7" xfId="24457"/>
    <cellStyle name="Output 2 8 8 4" xfId="24458"/>
    <cellStyle name="Note 2 11 2 7 2" xfId="24459"/>
    <cellStyle name="Output 2 8 8 4 2" xfId="24460"/>
    <cellStyle name="Note 2 11 2 7 2 3" xfId="24461"/>
    <cellStyle name="Note 2 11 2 7 3" xfId="24462"/>
    <cellStyle name="Output 2 8 8 4 3" xfId="24463"/>
    <cellStyle name="Note 2 11 2 7 3 3" xfId="24464"/>
    <cellStyle name="Note 2 11 2 7 3 4" xfId="24465"/>
    <cellStyle name="Note 2 11 2 7 4" xfId="24466"/>
    <cellStyle name="Note 2 11 2 7 4 2" xfId="24467"/>
    <cellStyle name="Note 2 11 2 7 4 3" xfId="24468"/>
    <cellStyle name="Note 2 11 2 7 5" xfId="24469"/>
    <cellStyle name="Note 2 11 2 7 5 2" xfId="24470"/>
    <cellStyle name="Note 2 11 2 7 5 3" xfId="24471"/>
    <cellStyle name="Note 2 11 2 7 6" xfId="24472"/>
    <cellStyle name="Note 2 11 2 8" xfId="24473"/>
    <cellStyle name="Output 2 8 8 5" xfId="24474"/>
    <cellStyle name="Note 2 11 2 8 3 3" xfId="24475"/>
    <cellStyle name="Note 2 11 2 8 3 4" xfId="24476"/>
    <cellStyle name="Note 2 11 2 8 4" xfId="24477"/>
    <cellStyle name="Note 2 11 2 8 4 2" xfId="24478"/>
    <cellStyle name="Note 2 11 2 8 4 3" xfId="24479"/>
    <cellStyle name="Note 2 11 2 8 5" xfId="24480"/>
    <cellStyle name="Note 2 11 2 8 5 2" xfId="24481"/>
    <cellStyle name="Note 2 11 2 8 5 3" xfId="24482"/>
    <cellStyle name="Note 2 11 2 8 6" xfId="24483"/>
    <cellStyle name="Note 2 11 2 9" xfId="24484"/>
    <cellStyle name="Output 2 8 8 6" xfId="24485"/>
    <cellStyle name="Note 2 11 2 9 2 3" xfId="24486"/>
    <cellStyle name="Note 2 11 2 9 2 4" xfId="24487"/>
    <cellStyle name="Note 2 11 2 9 3 3" xfId="24488"/>
    <cellStyle name="Note 2 11 2 9 3 4" xfId="24489"/>
    <cellStyle name="Note 2 11 2 9 4" xfId="24490"/>
    <cellStyle name="Note 2 11 2 9 4 2" xfId="24491"/>
    <cellStyle name="Note 2 11 2 9 4 3" xfId="24492"/>
    <cellStyle name="Note 2 11 2 9 5" xfId="24493"/>
    <cellStyle name="Note 2 11 2 9 5 2" xfId="24494"/>
    <cellStyle name="Note 2 11 2 9 5 3" xfId="24495"/>
    <cellStyle name="Note 2 11 2 9 6" xfId="24496"/>
    <cellStyle name="Note 2 11 2 9 7" xfId="24497"/>
    <cellStyle name="Note 2 11 3" xfId="24498"/>
    <cellStyle name="Note 2 11 3 10" xfId="24499"/>
    <cellStyle name="Note 2 11 3 10 2" xfId="24500"/>
    <cellStyle name="Note 2 11 3 10 3" xfId="24501"/>
    <cellStyle name="Note 2 11 3 10 4" xfId="24502"/>
    <cellStyle name="Note 2 11 3 10 5" xfId="24503"/>
    <cellStyle name="Note 2 11 3 10 5 2" xfId="24504"/>
    <cellStyle name="Note 2 12 7 3" xfId="24505"/>
    <cellStyle name="Output 2 5 4 2 3" xfId="24506"/>
    <cellStyle name="Note 2 11 3 10 6" xfId="24507"/>
    <cellStyle name="Note 2 11 3 10 7" xfId="24508"/>
    <cellStyle name="Note 2 11 3 11" xfId="24509"/>
    <cellStyle name="Note 2 11 3 11 2" xfId="24510"/>
    <cellStyle name="Note 2 11 3 11 3" xfId="24511"/>
    <cellStyle name="Note 2 11 3 11 4" xfId="24512"/>
    <cellStyle name="Note 2 11 3 12" xfId="24513"/>
    <cellStyle name="Note 2 11 3 12 2" xfId="24514"/>
    <cellStyle name="Note 2 11 3 12 3" xfId="24515"/>
    <cellStyle name="Note 2 11 3 12 4" xfId="24516"/>
    <cellStyle name="Note 2 11 3 13" xfId="24517"/>
    <cellStyle name="Note 2 11 3 13 2" xfId="24518"/>
    <cellStyle name="Note 2 11 3 13 3" xfId="24519"/>
    <cellStyle name="Note 2 11 3 14" xfId="24520"/>
    <cellStyle name="Note 2 11 3 14 2" xfId="24521"/>
    <cellStyle name="Note 2 11 3 14 3" xfId="24522"/>
    <cellStyle name="Note 2 11 3 15" xfId="24523"/>
    <cellStyle name="Note 2 11 3 16" xfId="24524"/>
    <cellStyle name="Note 2 8 2 4 2" xfId="24525"/>
    <cellStyle name="Note 2 11 3 2 2 3" xfId="24526"/>
    <cellStyle name="Note 2 11 3 2 4" xfId="24527"/>
    <cellStyle name="Note 2 11 3 2 4 2" xfId="24528"/>
    <cellStyle name="Note 2 11 3 2 4 3" xfId="24529"/>
    <cellStyle name="Note 2 11 3 2 5" xfId="24530"/>
    <cellStyle name="Note 2 11 3 2 5 2" xfId="24531"/>
    <cellStyle name="Note 2 11 3 2 5 3" xfId="24532"/>
    <cellStyle name="Note 2 11 3 2 6" xfId="24533"/>
    <cellStyle name="Note 2 11 3 2 7" xfId="24534"/>
    <cellStyle name="Note 2 11 3 3 2 3" xfId="24535"/>
    <cellStyle name="Note 2 11 3 3 3" xfId="24536"/>
    <cellStyle name="Note 2 11 3 3 3 3" xfId="24537"/>
    <cellStyle name="Note 2 11 3 3 3 4" xfId="24538"/>
    <cellStyle name="Note 2 11 3 3 4" xfId="24539"/>
    <cellStyle name="Note 2 11 3 3 4 2" xfId="24540"/>
    <cellStyle name="Note 2 11 3 3 4 3" xfId="24541"/>
    <cellStyle name="Note 2 11 3 3 5" xfId="24542"/>
    <cellStyle name="Note 2 11 3 3 5 2" xfId="24543"/>
    <cellStyle name="Note 2 11 3 3 6" xfId="24544"/>
    <cellStyle name="Note 2 11 3 3 7" xfId="24545"/>
    <cellStyle name="Note 2 11 3 4 2" xfId="24546"/>
    <cellStyle name="Output 2 14 9 2 4" xfId="24547"/>
    <cellStyle name="Note 2 11 3 4 2 3" xfId="24548"/>
    <cellStyle name="Note 2 11 3 4 3" xfId="24549"/>
    <cellStyle name="Note 2 11 3 4 3 3" xfId="24550"/>
    <cellStyle name="Note 2 11 3 4 3 4" xfId="24551"/>
    <cellStyle name="Note 2 11 3 4 4" xfId="24552"/>
    <cellStyle name="Note 2 11 3 4 4 2" xfId="24553"/>
    <cellStyle name="Note 2 11 3 4 4 3" xfId="24554"/>
    <cellStyle name="Note 2 11 3 4 5" xfId="24555"/>
    <cellStyle name="Note 2 11 3 4 5 2" xfId="24556"/>
    <cellStyle name="Note 2 11 3 4 5 3" xfId="24557"/>
    <cellStyle name="Note 2 11 3 4 6" xfId="24558"/>
    <cellStyle name="Note 2 11 3 4 7" xfId="24559"/>
    <cellStyle name="Note 2 11 3 5 2" xfId="24560"/>
    <cellStyle name="Output 2 14 9 3 4" xfId="24561"/>
    <cellStyle name="Output 2 8 9 2 2" xfId="24562"/>
    <cellStyle name="Note 2 11 3 5 3" xfId="24563"/>
    <cellStyle name="Output 2 8 9 2 3" xfId="24564"/>
    <cellStyle name="Note 2 11 3 5 3 3" xfId="24565"/>
    <cellStyle name="Note 2 11 3 5 3 4" xfId="24566"/>
    <cellStyle name="Note 2 11 3 5 4" xfId="24567"/>
    <cellStyle name="Output 2 8 9 2 4" xfId="24568"/>
    <cellStyle name="Note 2 11 3 5 4 2" xfId="24569"/>
    <cellStyle name="Note 2 11 3 5 4 3" xfId="24570"/>
    <cellStyle name="Note 2 11 3 5 5" xfId="24571"/>
    <cellStyle name="Note 2 11 3 5 5 2" xfId="24572"/>
    <cellStyle name="Note 2 11 3 5 5 3" xfId="24573"/>
    <cellStyle name="Note 2 11 3 5 6" xfId="24574"/>
    <cellStyle name="Note 2 11 3 6 2" xfId="24575"/>
    <cellStyle name="Output 2 8 9 3 2" xfId="24576"/>
    <cellStyle name="Note 2 11 3 6 3" xfId="24577"/>
    <cellStyle name="Output 2 8 9 3 3" xfId="24578"/>
    <cellStyle name="Note 2 11 3 6 4" xfId="24579"/>
    <cellStyle name="Output 2 8 9 3 4" xfId="24580"/>
    <cellStyle name="Note 2 11 3 6 4 2" xfId="24581"/>
    <cellStyle name="Note 2 11 3 6 5 3" xfId="24582"/>
    <cellStyle name="Note 2 11 3 7 2" xfId="24583"/>
    <cellStyle name="Output 2 8 9 4 2" xfId="24584"/>
    <cellStyle name="Note 2 11 3 7 3" xfId="24585"/>
    <cellStyle name="Output 2 8 9 4 3" xfId="24586"/>
    <cellStyle name="Note 2 11 3 7 3 3" xfId="24587"/>
    <cellStyle name="Note 2 11 3 7 3 4" xfId="24588"/>
    <cellStyle name="Note 2 11 3 7 4" xfId="24589"/>
    <cellStyle name="Note 2 11 3 7 4 2" xfId="24590"/>
    <cellStyle name="Note 2 11 3 7 4 3" xfId="24591"/>
    <cellStyle name="Note 2 11 3 7 5" xfId="24592"/>
    <cellStyle name="Note 2 11 3 7 5 2" xfId="24593"/>
    <cellStyle name="Note 2 11 3 7 5 3" xfId="24594"/>
    <cellStyle name="Note 2 11 3 7 6" xfId="24595"/>
    <cellStyle name="Note 2 11 3 8" xfId="24596"/>
    <cellStyle name="Output 2 8 9 5" xfId="24597"/>
    <cellStyle name="Note 2 11 3 8 2" xfId="24598"/>
    <cellStyle name="Output 2 8 9 5 2" xfId="24599"/>
    <cellStyle name="Note 2 11 3 8 3" xfId="24600"/>
    <cellStyle name="Output 2 8 9 5 3" xfId="24601"/>
    <cellStyle name="Note 2 11 3 8 3 3" xfId="24602"/>
    <cellStyle name="Note 2 11 3 8 4" xfId="24603"/>
    <cellStyle name="Note 2 11 3 8 4 2" xfId="24604"/>
    <cellStyle name="Note 2 11 3 8 4 3" xfId="24605"/>
    <cellStyle name="Note 2 11 3 8 5" xfId="24606"/>
    <cellStyle name="Note 2 11 3 8 5 2" xfId="24607"/>
    <cellStyle name="Note 2 11 3 8 5 3" xfId="24608"/>
    <cellStyle name="Note 2 11 3 8 6" xfId="24609"/>
    <cellStyle name="Note 2 11 3 9" xfId="24610"/>
    <cellStyle name="Output 2 8 9 6" xfId="24611"/>
    <cellStyle name="Note 2 11 3 9 2" xfId="24612"/>
    <cellStyle name="Note 2 11 3 9 2 3" xfId="24613"/>
    <cellStyle name="Note 2 11 3 9 3" xfId="24614"/>
    <cellStyle name="Note 2 11 3 9 3 3" xfId="24615"/>
    <cellStyle name="Note 2 11 3 9 4" xfId="24616"/>
    <cellStyle name="Note 2 11 3 9 4 2" xfId="24617"/>
    <cellStyle name="Note 2 11 3 9 4 3" xfId="24618"/>
    <cellStyle name="Note 2 11 3 9 5" xfId="24619"/>
    <cellStyle name="Note 2 11 3 9 5 2" xfId="24620"/>
    <cellStyle name="Note 2 11 3 9 5 3" xfId="24621"/>
    <cellStyle name="Note 2 11 3 9 6" xfId="24622"/>
    <cellStyle name="Note 2 11 3 9 7" xfId="24623"/>
    <cellStyle name="Note 2 11 4" xfId="24624"/>
    <cellStyle name="Note 2 11 4 2 4" xfId="24625"/>
    <cellStyle name="Note 2 3 3 10 2 3" xfId="24626"/>
    <cellStyle name="Note 2 11 4 4 3" xfId="24627"/>
    <cellStyle name="Note 2 3 3 10 4 2" xfId="24628"/>
    <cellStyle name="Note 2 11 4 5 3" xfId="24629"/>
    <cellStyle name="Note 2 3 3 10 5 2" xfId="24630"/>
    <cellStyle name="Note 2 11 4 6" xfId="24631"/>
    <cellStyle name="Output 2 8 3 10 2 3" xfId="24632"/>
    <cellStyle name="Note 2 11 4 7" xfId="24633"/>
    <cellStyle name="Output 2 8 3 10 2 4" xfId="24634"/>
    <cellStyle name="Note 2 11 5" xfId="24635"/>
    <cellStyle name="Note 2 11 5 2 4" xfId="24636"/>
    <cellStyle name="Note 2 2 6 9" xfId="24637"/>
    <cellStyle name="Note 2 11 5 3 3" xfId="24638"/>
    <cellStyle name="Note 2 2 7 8" xfId="24639"/>
    <cellStyle name="Note 2 11 5 3 4" xfId="24640"/>
    <cellStyle name="Note 2 2 7 9" xfId="24641"/>
    <cellStyle name="Note 2 11 5 4 2" xfId="24642"/>
    <cellStyle name="Note 2 2 8 7" xfId="24643"/>
    <cellStyle name="Note 2 11 5 4 3" xfId="24644"/>
    <cellStyle name="Note 2 2 8 8" xfId="24645"/>
    <cellStyle name="Note 2 11 5 5 2" xfId="24646"/>
    <cellStyle name="Note 2 2 9 7" xfId="24647"/>
    <cellStyle name="Note 2 11 5 5 3" xfId="24648"/>
    <cellStyle name="Note 2 2 9 8" xfId="24649"/>
    <cellStyle name="Note 2 11 5 6" xfId="24650"/>
    <cellStyle name="Output 2 8 3 10 3 3" xfId="24651"/>
    <cellStyle name="Note 2 11 5 7" xfId="24652"/>
    <cellStyle name="Output 2 8 3 10 3 4" xfId="24653"/>
    <cellStyle name="Note 2 11 6" xfId="24654"/>
    <cellStyle name="Note 2 11 6 2 4" xfId="24655"/>
    <cellStyle name="Note 2 11 6 3 3" xfId="24656"/>
    <cellStyle name="Note 2 3 7 8" xfId="24657"/>
    <cellStyle name="Total 2 12 9 2 2" xfId="24658"/>
    <cellStyle name="Output 2 11 3 2 5 3" xfId="24659"/>
    <cellStyle name="Note 2 11 6 3 4" xfId="24660"/>
    <cellStyle name="Note 2 11 6 6" xfId="24661"/>
    <cellStyle name="Output 2 8 3 10 4 3" xfId="24662"/>
    <cellStyle name="Note 2 11 6 7" xfId="24663"/>
    <cellStyle name="Note 2 11 7" xfId="24664"/>
    <cellStyle name="Output 2 5 3 2" xfId="24665"/>
    <cellStyle name="Output 2 11 3 3 4" xfId="24666"/>
    <cellStyle name="Note 2 11 7 2" xfId="24667"/>
    <cellStyle name="Output 2 5 3 2 2" xfId="24668"/>
    <cellStyle name="Total 2 3 2 15" xfId="24669"/>
    <cellStyle name="Note 2 4 6 7" xfId="24670"/>
    <cellStyle name="Output 2 11 3 3 4 2" xfId="24671"/>
    <cellStyle name="Note 2 11 7 2 2" xfId="24672"/>
    <cellStyle name="Output 2 5 3 2 2 2" xfId="24673"/>
    <cellStyle name="Total 2 3 2 16" xfId="24674"/>
    <cellStyle name="Note 2 4 6 8" xfId="24675"/>
    <cellStyle name="Output 2 11 3 3 4 3" xfId="24676"/>
    <cellStyle name="Note 2 11 7 2 3" xfId="24677"/>
    <cellStyle name="Output 2 5 3 2 2 3" xfId="24678"/>
    <cellStyle name="Note 2 2 3 4 2 2 2 2 2" xfId="24679"/>
    <cellStyle name="Note 2 11 7 2 4" xfId="24680"/>
    <cellStyle name="Output 2 5 3 2 2 4" xfId="24681"/>
    <cellStyle name="Output 2 11 3 3 5" xfId="24682"/>
    <cellStyle name="Note 2 11 7 3" xfId="24683"/>
    <cellStyle name="Output 2 5 3 2 3" xfId="24684"/>
    <cellStyle name="Note 2 4 7 7" xfId="24685"/>
    <cellStyle name="Output 2 11 3 3 5 2" xfId="24686"/>
    <cellStyle name="Note 2 11 7 3 2" xfId="24687"/>
    <cellStyle name="Output 2 5 3 2 3 2" xfId="24688"/>
    <cellStyle name="Note 2 4 7 8" xfId="24689"/>
    <cellStyle name="Total 2 4 10 2 2" xfId="24690"/>
    <cellStyle name="Output 2 11 3 3 5 3" xfId="24691"/>
    <cellStyle name="Note 2 11 7 3 3" xfId="24692"/>
    <cellStyle name="Output 2 5 3 2 3 3" xfId="24693"/>
    <cellStyle name="Note 2 4 8 7" xfId="24694"/>
    <cellStyle name="Note 2 11 7 4 2" xfId="24695"/>
    <cellStyle name="Output 2 5 3 2 4 2" xfId="24696"/>
    <cellStyle name="Note 2 4 8 8" xfId="24697"/>
    <cellStyle name="Note 2 11 7 4 3" xfId="24698"/>
    <cellStyle name="Output 2 5 3 2 4 3" xfId="24699"/>
    <cellStyle name="Note 2 4 9 7" xfId="24700"/>
    <cellStyle name="Note 2 11 7 5 2" xfId="24701"/>
    <cellStyle name="Output 2 5 3 2 5 2" xfId="24702"/>
    <cellStyle name="Note 2 4 9 8" xfId="24703"/>
    <cellStyle name="Note 2 11 7 5 3" xfId="24704"/>
    <cellStyle name="Output 2 5 3 2 5 3" xfId="24705"/>
    <cellStyle name="Note 2 11 7 7" xfId="24706"/>
    <cellStyle name="Output 2 5 3 2 7" xfId="24707"/>
    <cellStyle name="Note 2 11 8" xfId="24708"/>
    <cellStyle name="Output 2 5 3 3" xfId="24709"/>
    <cellStyle name="Output 2 11 3 4 4" xfId="24710"/>
    <cellStyle name="Note 2 11 8 2" xfId="24711"/>
    <cellStyle name="Output 2 5 3 3 2" xfId="24712"/>
    <cellStyle name="Note 2 5 6 7" xfId="24713"/>
    <cellStyle name="Output 2 11 3 4 4 2" xfId="24714"/>
    <cellStyle name="Note 2 11 8 2 2" xfId="24715"/>
    <cellStyle name="Output 2 5 3 3 2 2" xfId="24716"/>
    <cellStyle name="Note 2 5 6 8" xfId="24717"/>
    <cellStyle name="Output 2 11 3 4 4 3" xfId="24718"/>
    <cellStyle name="Note 2 11 8 2 3" xfId="24719"/>
    <cellStyle name="Output 2 5 3 3 2 3" xfId="24720"/>
    <cellStyle name="Note 2 11 8 2 4" xfId="24721"/>
    <cellStyle name="Output 2 5 3 3 2 4" xfId="24722"/>
    <cellStyle name="Output 2 11 3 4 5" xfId="24723"/>
    <cellStyle name="Note 2 11 8 3" xfId="24724"/>
    <cellStyle name="Output 2 5 3 3 3" xfId="24725"/>
    <cellStyle name="Note 2 5 7 7" xfId="24726"/>
    <cellStyle name="Note 2 8 3 10 7" xfId="24727"/>
    <cellStyle name="Output 2 11 3 4 5 2" xfId="24728"/>
    <cellStyle name="Note 2 11 8 3 2" xfId="24729"/>
    <cellStyle name="Output 2 5 3 3 3 2" xfId="24730"/>
    <cellStyle name="Note 2 5 7 8" xfId="24731"/>
    <cellStyle name="Total 2 4 11 2 2" xfId="24732"/>
    <cellStyle name="Output 2 11 3 4 5 3" xfId="24733"/>
    <cellStyle name="Note 2 11 8 3 3" xfId="24734"/>
    <cellStyle name="Output 2 5 3 3 3 3" xfId="24735"/>
    <cellStyle name="Note 2 11 8 3 4" xfId="24736"/>
    <cellStyle name="Output 2 5 3 3 3 4" xfId="24737"/>
    <cellStyle name="Note 2 5 8 7" xfId="24738"/>
    <cellStyle name="Note 2 11 8 4 2" xfId="24739"/>
    <cellStyle name="Output 2 5 3 3 4 2" xfId="24740"/>
    <cellStyle name="Note 2 5 8 8" xfId="24741"/>
    <cellStyle name="Note 2 11 8 4 3" xfId="24742"/>
    <cellStyle name="Output 2 5 3 3 4 3" xfId="24743"/>
    <cellStyle name="Note 2 5 9 7" xfId="24744"/>
    <cellStyle name="Note 2 11 8 5 2" xfId="24745"/>
    <cellStyle name="Output 2 5 3 3 5 2" xfId="24746"/>
    <cellStyle name="Note 2 5 9 8" xfId="24747"/>
    <cellStyle name="Note 2 11 8 5 3" xfId="24748"/>
    <cellStyle name="Output 2 5 3 3 5 3" xfId="24749"/>
    <cellStyle name="Output 2 11 3 5 4" xfId="24750"/>
    <cellStyle name="Output 2 13 2 4 2 2" xfId="24751"/>
    <cellStyle name="Note 2 11 9 2" xfId="24752"/>
    <cellStyle name="Output 2 5 3 4 2" xfId="24753"/>
    <cellStyle name="Note 2 6 6 7" xfId="24754"/>
    <cellStyle name="Output 2 11 3 5 4 2" xfId="24755"/>
    <cellStyle name="Note 2 11 9 2 2" xfId="24756"/>
    <cellStyle name="Output 2 5 3 4 2 2" xfId="24757"/>
    <cellStyle name="Note 2 6 6 8" xfId="24758"/>
    <cellStyle name="Output 2 11 3 5 4 3" xfId="24759"/>
    <cellStyle name="Note 2 11 9 2 3" xfId="24760"/>
    <cellStyle name="Output 2 5 3 4 2 3" xfId="24761"/>
    <cellStyle name="Note 2 2 2 2 3 2 2 2 2 2 2" xfId="24762"/>
    <cellStyle name="Note 2 11 9 2 4" xfId="24763"/>
    <cellStyle name="Output 2 5 3 4 2 4" xfId="24764"/>
    <cellStyle name="Output 2 11 3 5 5" xfId="24765"/>
    <cellStyle name="Output 2 13 2 4 2 3" xfId="24766"/>
    <cellStyle name="Note 2 11 9 3" xfId="24767"/>
    <cellStyle name="Output 2 5 3 4 3" xfId="24768"/>
    <cellStyle name="Note 2 6 7 7" xfId="24769"/>
    <cellStyle name="Output 2 11 3 5 5 2" xfId="24770"/>
    <cellStyle name="Note 2 11 9 3 2" xfId="24771"/>
    <cellStyle name="Output 2 5 3 4 3 2" xfId="24772"/>
    <cellStyle name="Note 2 6 7 8" xfId="24773"/>
    <cellStyle name="Total 2 4 12 2 2" xfId="24774"/>
    <cellStyle name="Output 2 11 3 5 5 3" xfId="24775"/>
    <cellStyle name="Note 2 11 9 3 3" xfId="24776"/>
    <cellStyle name="Output 2 5 3 4 3 3" xfId="24777"/>
    <cellStyle name="Note 2 11 9 3 4" xfId="24778"/>
    <cellStyle name="Output 2 5 3 4 3 4" xfId="24779"/>
    <cellStyle name="Note 2 6 8 7" xfId="24780"/>
    <cellStyle name="Note 2 11 9 4 2" xfId="24781"/>
    <cellStyle name="Output 2 5 3 4 4 2" xfId="24782"/>
    <cellStyle name="Note 2 6 8 8" xfId="24783"/>
    <cellStyle name="Note 2 11 9 4 3" xfId="24784"/>
    <cellStyle name="Output 2 5 3 4 4 3" xfId="24785"/>
    <cellStyle name="Note 2 6 9 7" xfId="24786"/>
    <cellStyle name="Note 2 11 9 5 2" xfId="24787"/>
    <cellStyle name="Output 2 5 3 4 5 2" xfId="24788"/>
    <cellStyle name="Note 2 6 9 8" xfId="24789"/>
    <cellStyle name="Note 2 11 9 5 3" xfId="24790"/>
    <cellStyle name="Output 2 5 3 4 5 3" xfId="24791"/>
    <cellStyle name="Note 2 12" xfId="24792"/>
    <cellStyle name="Note 2 5 2 6 2" xfId="24793"/>
    <cellStyle name="Note 2 12 10 2" xfId="24794"/>
    <cellStyle name="Note 2 12 10 2 2" xfId="24795"/>
    <cellStyle name="Output 2 3 6" xfId="24796"/>
    <cellStyle name="Note 2 12 10 2 3" xfId="24797"/>
    <cellStyle name="Output 2 3 7" xfId="24798"/>
    <cellStyle name="Note 2 12 10 2 4" xfId="24799"/>
    <cellStyle name="Output 2 3 8" xfId="24800"/>
    <cellStyle name="Note 2 12 10 3" xfId="24801"/>
    <cellStyle name="Note 2 12 10 3 2" xfId="24802"/>
    <cellStyle name="Output 2 4 6" xfId="24803"/>
    <cellStyle name="Note 2 12 10 3 3" xfId="24804"/>
    <cellStyle name="Output 2 4 7" xfId="24805"/>
    <cellStyle name="Note 2 12 10 3 4" xfId="24806"/>
    <cellStyle name="Output 2 10 2 10 2 2" xfId="24807"/>
    <cellStyle name="Output 2 4 8" xfId="24808"/>
    <cellStyle name="Note 2 12 10 4" xfId="24809"/>
    <cellStyle name="Note 2 12 10 4 3" xfId="24810"/>
    <cellStyle name="Output 2 5 7" xfId="24811"/>
    <cellStyle name="Note 2 12 10 5" xfId="24812"/>
    <cellStyle name="Note 2 12 10 5 3" xfId="24813"/>
    <cellStyle name="Output 2 6 7" xfId="24814"/>
    <cellStyle name="Note 2 12 10 6" xfId="24815"/>
    <cellStyle name="Output 2 11 4 3 2" xfId="24816"/>
    <cellStyle name="Note 2 12 10 7" xfId="24817"/>
    <cellStyle name="Output 2 11 4 3 3" xfId="24818"/>
    <cellStyle name="Note 2 12 11 2" xfId="24819"/>
    <cellStyle name="Note 2 12 3 2 7" xfId="24820"/>
    <cellStyle name="Note 2 12 11 2 2" xfId="24821"/>
    <cellStyle name="Note 2 12 11 2 3" xfId="24822"/>
    <cellStyle name="Note 2 12 11 2 4" xfId="24823"/>
    <cellStyle name="Note 2 12 11 3" xfId="24824"/>
    <cellStyle name="Note 2 12 11 3 2" xfId="24825"/>
    <cellStyle name="Note 2 5 2 16" xfId="24826"/>
    <cellStyle name="Note 2 12 11 3 3" xfId="24827"/>
    <cellStyle name="Note 2 5 2 17" xfId="24828"/>
    <cellStyle name="Note 2 12 11 3 4" xfId="24829"/>
    <cellStyle name="Note 2 5 2 18" xfId="24830"/>
    <cellStyle name="Note 2 12 11 4" xfId="24831"/>
    <cellStyle name="Note 2 12 11 4 3" xfId="24832"/>
    <cellStyle name="Note 2 12 11 5" xfId="24833"/>
    <cellStyle name="Note 2 12 11 5 3" xfId="24834"/>
    <cellStyle name="Note 2 12 11 6" xfId="24835"/>
    <cellStyle name="Output 2 11 4 4 2" xfId="24836"/>
    <cellStyle name="Note 2 12 11 7" xfId="24837"/>
    <cellStyle name="Output 2 11 4 4 3" xfId="24838"/>
    <cellStyle name="Note 2 12 12" xfId="24839"/>
    <cellStyle name="Note 2 12 13" xfId="24840"/>
    <cellStyle name="Note 2 12 13 4" xfId="24841"/>
    <cellStyle name="Note 2 12 2" xfId="24842"/>
    <cellStyle name="Note 2 5 2 6 2 2" xfId="24843"/>
    <cellStyle name="Note 2 12 2 2 5" xfId="24844"/>
    <cellStyle name="Note 2 12 2 2 5 2" xfId="24845"/>
    <cellStyle name="Note 2 12 2 2 5 3" xfId="24846"/>
    <cellStyle name="Note 2 12 2 2 6" xfId="24847"/>
    <cellStyle name="Output 2 8 2 11 2" xfId="24848"/>
    <cellStyle name="Note 2 12 2 2 7" xfId="24849"/>
    <cellStyle name="Output 2 8 2 11 3" xfId="24850"/>
    <cellStyle name="Note 2 12 2 5 3 4" xfId="24851"/>
    <cellStyle name="Note 2 12 2 5 5 3" xfId="24852"/>
    <cellStyle name="Note 2 12 2 6" xfId="24853"/>
    <cellStyle name="Output 2 9 8 3" xfId="24854"/>
    <cellStyle name="Note 2 12 2 6 3 4" xfId="24855"/>
    <cellStyle name="Note 2 12 2 6 5 3" xfId="24856"/>
    <cellStyle name="Note 2 12 2 7" xfId="24857"/>
    <cellStyle name="Output 2 9 8 4" xfId="24858"/>
    <cellStyle name="Note 2 12 2 7 3 4" xfId="24859"/>
    <cellStyle name="Note 2 12 2 7 5 3" xfId="24860"/>
    <cellStyle name="Note 2 12 2 8" xfId="24861"/>
    <cellStyle name="Output 2 9 8 5" xfId="24862"/>
    <cellStyle name="Note 2 12 2 8 3 4" xfId="24863"/>
    <cellStyle name="Note 2 12 2 8 5 3" xfId="24864"/>
    <cellStyle name="Note 2 12 2 9" xfId="24865"/>
    <cellStyle name="Output 2 9 8 6" xfId="24866"/>
    <cellStyle name="Note 2 12 2 9 5 3" xfId="24867"/>
    <cellStyle name="Note 2 12 3" xfId="24868"/>
    <cellStyle name="Note 2 5 2 6 2 3" xfId="24869"/>
    <cellStyle name="Note 2 12 3 2 5" xfId="24870"/>
    <cellStyle name="Note 2 12 3 2 5 2" xfId="24871"/>
    <cellStyle name="Note 2 12 3 2 5 3" xfId="24872"/>
    <cellStyle name="Note 2 12 3 2 6" xfId="24873"/>
    <cellStyle name="Note 2 12 3 5 3 4" xfId="24874"/>
    <cellStyle name="Note 2 12 3 5 5 2" xfId="24875"/>
    <cellStyle name="Note 2 12 3 5 5 3" xfId="24876"/>
    <cellStyle name="Note 2 12 3 6" xfId="24877"/>
    <cellStyle name="Output 2 9 9 3" xfId="24878"/>
    <cellStyle name="Note 2 12 3 6 5 2" xfId="24879"/>
    <cellStyle name="Note 2 12 3 7" xfId="24880"/>
    <cellStyle name="Output 2 9 9 4" xfId="24881"/>
    <cellStyle name="Note 2 12 3 7 3 4" xfId="24882"/>
    <cellStyle name="Note 2 12 3 7 5 2" xfId="24883"/>
    <cellStyle name="Note 2 12 3 7 5 3" xfId="24884"/>
    <cellStyle name="Note 2 12 3 8" xfId="24885"/>
    <cellStyle name="Output 2 9 9 5" xfId="24886"/>
    <cellStyle name="Note 2 12 3 8 5 2" xfId="24887"/>
    <cellStyle name="Note 2 12 3 8 5 3" xfId="24888"/>
    <cellStyle name="Note 2 12 3 9" xfId="24889"/>
    <cellStyle name="Output 2 9 9 6" xfId="24890"/>
    <cellStyle name="Note 2 12 3 9 5 2" xfId="24891"/>
    <cellStyle name="Note 2 12 3 9 5 3" xfId="24892"/>
    <cellStyle name="Note 2 12 4" xfId="24893"/>
    <cellStyle name="Note 2 5 2 6 2 4" xfId="24894"/>
    <cellStyle name="Note 2 12 5" xfId="24895"/>
    <cellStyle name="Note 2 12 5 6" xfId="24896"/>
    <cellStyle name="Note 2 12 5 7" xfId="24897"/>
    <cellStyle name="Note 2 3 2 2 2 2" xfId="24898"/>
    <cellStyle name="Note 2 12 6" xfId="24899"/>
    <cellStyle name="Note 2 12 6 6" xfId="24900"/>
    <cellStyle name="Note 2 12 6 7" xfId="24901"/>
    <cellStyle name="Note 2 3 2 2 3 2" xfId="24902"/>
    <cellStyle name="Note 2 12 7" xfId="24903"/>
    <cellStyle name="Output 2 5 4 2" xfId="24904"/>
    <cellStyle name="Output 2 11 4 3 4" xfId="24905"/>
    <cellStyle name="Note 2 12 7 2" xfId="24906"/>
    <cellStyle name="Output 2 5 4 2 2" xfId="24907"/>
    <cellStyle name="Note 2 12 7 2 3" xfId="24908"/>
    <cellStyle name="Output 2 9 7" xfId="24909"/>
    <cellStyle name="Note 2 12 7 2 4" xfId="24910"/>
    <cellStyle name="Output 2 9 8" xfId="24911"/>
    <cellStyle name="Note 2 12 7 7" xfId="24912"/>
    <cellStyle name="Note 2 3 2 2 4 2" xfId="24913"/>
    <cellStyle name="Note 2 12 8" xfId="24914"/>
    <cellStyle name="Output 2 5 4 3" xfId="24915"/>
    <cellStyle name="Note 2 12 8 2" xfId="24916"/>
    <cellStyle name="Output 2 5 4 3 2" xfId="24917"/>
    <cellStyle name="Note 2 12 8 2 3" xfId="24918"/>
    <cellStyle name="Note 2 5 3 17" xfId="24919"/>
    <cellStyle name="Note 2 12 8 2 4" xfId="24920"/>
    <cellStyle name="Note 2 5 3 18" xfId="24921"/>
    <cellStyle name="Note 2 12 8 3" xfId="24922"/>
    <cellStyle name="Output 2 5 4 3 3" xfId="24923"/>
    <cellStyle name="Note 2 12 9 3 4" xfId="24924"/>
    <cellStyle name="Note 2 12 9 5 2" xfId="24925"/>
    <cellStyle name="Note 2 2 6 3 4" xfId="24926"/>
    <cellStyle name="Note 2 12 9 5 3" xfId="24927"/>
    <cellStyle name="Note 2 13" xfId="24928"/>
    <cellStyle name="Note 2 5 2 6 3" xfId="24929"/>
    <cellStyle name="Note 2 13 10" xfId="24930"/>
    <cellStyle name="Note 2 13 10 2" xfId="24931"/>
    <cellStyle name="Note 2 13 10 2 2" xfId="24932"/>
    <cellStyle name="Output 2 10 2 3" xfId="24933"/>
    <cellStyle name="Note 2 13 10 2 3" xfId="24934"/>
    <cellStyle name="Output 2 10 2 4" xfId="24935"/>
    <cellStyle name="Note 2 13 10 2 4" xfId="24936"/>
    <cellStyle name="Output 2 10 2 5" xfId="24937"/>
    <cellStyle name="Output 2 2 2 7 3 2" xfId="24938"/>
    <cellStyle name="Note 2 13 10 3" xfId="24939"/>
    <cellStyle name="Note 2 13 10 3 2" xfId="24940"/>
    <cellStyle name="Output 2 10 3 3" xfId="24941"/>
    <cellStyle name="Total 2 9 2 10 5 3" xfId="24942"/>
    <cellStyle name="Output 2 12 3 2 7" xfId="24943"/>
    <cellStyle name="Note 2 13 10 3 3" xfId="24944"/>
    <cellStyle name="Output 2 10 3 4" xfId="24945"/>
    <cellStyle name="Note 2 13 10 3 4" xfId="24946"/>
    <cellStyle name="Output 2 10 3 10 2 2" xfId="24947"/>
    <cellStyle name="Output 2 10 3 5" xfId="24948"/>
    <cellStyle name="Output 2 2 2 7 4 2" xfId="24949"/>
    <cellStyle name="Note 2 13 10 7" xfId="24950"/>
    <cellStyle name="Note 2 9 12 5 3" xfId="24951"/>
    <cellStyle name="Output 2 11 9 3 3" xfId="24952"/>
    <cellStyle name="Note 2 13 11" xfId="24953"/>
    <cellStyle name="Note 2 13 11 2" xfId="24954"/>
    <cellStyle name="Note 2 13 11 2 2" xfId="24955"/>
    <cellStyle name="Output 2 11 2 3" xfId="24956"/>
    <cellStyle name="Note 2 13 11 2 3" xfId="24957"/>
    <cellStyle name="Output 2 11 2 4" xfId="24958"/>
    <cellStyle name="Note 2 13 11 2 4" xfId="24959"/>
    <cellStyle name="Note 2 3 3 2 2 2" xfId="24960"/>
    <cellStyle name="Output 2 11 2 5" xfId="24961"/>
    <cellStyle name="Output 2 2 2 8 3 2" xfId="24962"/>
    <cellStyle name="Note 2 13 11 3" xfId="24963"/>
    <cellStyle name="Note 2 13 11 6" xfId="24964"/>
    <cellStyle name="Output 2 11 9 4 2" xfId="24965"/>
    <cellStyle name="Note 2 13 11 7" xfId="24966"/>
    <cellStyle name="Output 2 11 9 4 3" xfId="24967"/>
    <cellStyle name="Note 2 13 12" xfId="24968"/>
    <cellStyle name="Note 2 13 12 6" xfId="24969"/>
    <cellStyle name="Note 2 2 2 3 2 4" xfId="24970"/>
    <cellStyle name="Output 2 11 9 5 2" xfId="24971"/>
    <cellStyle name="Note 2 13 12 7" xfId="24972"/>
    <cellStyle name="Note 2 2 2 3 2 5" xfId="24973"/>
    <cellStyle name="Output 2 11 9 5 3" xfId="24974"/>
    <cellStyle name="Note 2 13 13" xfId="24975"/>
    <cellStyle name="Note 2 13 16" xfId="24976"/>
    <cellStyle name="Output 2 10 8 5 2" xfId="24977"/>
    <cellStyle name="Note 2 13 16 3" xfId="24978"/>
    <cellStyle name="Note 2 13 17" xfId="24979"/>
    <cellStyle name="Output 2 10 8 5 3" xfId="24980"/>
    <cellStyle name="Note 2 13 18" xfId="24981"/>
    <cellStyle name="Output 2 4 8 4 2" xfId="24982"/>
    <cellStyle name="Note 2 13 19" xfId="24983"/>
    <cellStyle name="Output 2 4 8 4 3" xfId="24984"/>
    <cellStyle name="Note 2 13 2" xfId="24985"/>
    <cellStyle name="Note 2 5 2 6 3 2" xfId="24986"/>
    <cellStyle name="Note 2 13 2 14" xfId="24987"/>
    <cellStyle name="Note 2 13 2 14 3" xfId="24988"/>
    <cellStyle name="Note 2 13 2 15" xfId="24989"/>
    <cellStyle name="Note 2 13 2 16" xfId="24990"/>
    <cellStyle name="Note 2 13 2 2 2 3" xfId="24991"/>
    <cellStyle name="Output 2 2 2 2 8" xfId="24992"/>
    <cellStyle name="Note 2 13 2 2 2 4" xfId="24993"/>
    <cellStyle name="Output 2 2 2 2 9" xfId="24994"/>
    <cellStyle name="Note 2 13 2 2 3 3" xfId="24995"/>
    <cellStyle name="Note 2 13 2 2 3 4" xfId="24996"/>
    <cellStyle name="Note 2 13 2 2 4 3" xfId="24997"/>
    <cellStyle name="Note 2 13 2 2 5 3" xfId="24998"/>
    <cellStyle name="Note 2 13 2 2 6" xfId="24999"/>
    <cellStyle name="Note 2 13 2 2 7" xfId="25000"/>
    <cellStyle name="Note 2 13 2 3 3 4" xfId="25001"/>
    <cellStyle name="Note 2 13 2 3 5 2" xfId="25002"/>
    <cellStyle name="Output 2 2 3 5 7" xfId="25003"/>
    <cellStyle name="Note 2 13 2 3 5 3" xfId="25004"/>
    <cellStyle name="Note 2 13 2 3 7" xfId="25005"/>
    <cellStyle name="Note 2 13 2 4 2" xfId="25006"/>
    <cellStyle name="Output 2 16 8 2 4" xfId="25007"/>
    <cellStyle name="Note 2 13 2 4 2 3" xfId="25008"/>
    <cellStyle name="Note 2 13 2 4 2 4" xfId="25009"/>
    <cellStyle name="Note 2 13 2 4 3" xfId="25010"/>
    <cellStyle name="Note 2 13 2 4 3 3" xfId="25011"/>
    <cellStyle name="Note 2 13 2 4 3 4" xfId="25012"/>
    <cellStyle name="Note 2 13 2 4 4" xfId="25013"/>
    <cellStyle name="Note 2 13 2 4 4 2" xfId="25014"/>
    <cellStyle name="Note 2 13 2 4 4 3" xfId="25015"/>
    <cellStyle name="Note 2 13 2 4 5" xfId="25016"/>
    <cellStyle name="Note 2 13 2 4 5 2" xfId="25017"/>
    <cellStyle name="Note 2 13 2 4 5 3" xfId="25018"/>
    <cellStyle name="Note 2 13 2 4 6" xfId="25019"/>
    <cellStyle name="Note 2 13 2 4 7" xfId="25020"/>
    <cellStyle name="Note 2 13 2 5 2 3" xfId="25021"/>
    <cellStyle name="Note 2 13 2 5 2 4" xfId="25022"/>
    <cellStyle name="Output 2 13 13 2" xfId="25023"/>
    <cellStyle name="Note 2 13 2 5 4 2" xfId="25024"/>
    <cellStyle name="Output 2 5 2 16" xfId="25025"/>
    <cellStyle name="Note 2 13 2 5 4 3" xfId="25026"/>
    <cellStyle name="Output 2 5 2 17" xfId="25027"/>
    <cellStyle name="Note 2 13 2 5 5" xfId="25028"/>
    <cellStyle name="Note 2 13 2 5 5 2" xfId="25029"/>
    <cellStyle name="Note 2 13 2 5 5 3" xfId="25030"/>
    <cellStyle name="Note 2 13 2 6 2 3" xfId="25031"/>
    <cellStyle name="Note 2 13 2 6 2 4" xfId="25032"/>
    <cellStyle name="Note 2 3 2 16 2" xfId="25033"/>
    <cellStyle name="Note 2 13 2 6 4 3" xfId="25034"/>
    <cellStyle name="Note 2 13 2 6 5" xfId="25035"/>
    <cellStyle name="Note 2 13 2 6 5 3" xfId="25036"/>
    <cellStyle name="Note 2 13 2 7 2 3" xfId="25037"/>
    <cellStyle name="Note 2 13 2 7 2 4" xfId="25038"/>
    <cellStyle name="Note 2 13 2 7 3 3" xfId="25039"/>
    <cellStyle name="Note 2 13 2 7 3 4" xfId="25040"/>
    <cellStyle name="Note 2 13 2 7 4" xfId="25041"/>
    <cellStyle name="Note 2 13 2 7 4 2" xfId="25042"/>
    <cellStyle name="Note 2 13 2 7 4 3" xfId="25043"/>
    <cellStyle name="Note 2 13 2 7 5" xfId="25044"/>
    <cellStyle name="Note 2 13 2 7 5 2" xfId="25045"/>
    <cellStyle name="Note 2 13 2 7 5 3" xfId="25046"/>
    <cellStyle name="Note 2 13 2 8 3 4" xfId="25047"/>
    <cellStyle name="Note 2 13 2 8 5 2" xfId="25048"/>
    <cellStyle name="Note 2 13 2 8 5 3" xfId="25049"/>
    <cellStyle name="Note 2 13 2 9 2" xfId="25050"/>
    <cellStyle name="Note 2 13 2 9 2 3" xfId="25051"/>
    <cellStyle name="Note 2 13 2 9 2 4" xfId="25052"/>
    <cellStyle name="Note 2 13 2 9 3" xfId="25053"/>
    <cellStyle name="Note 2 13 2 9 3 3" xfId="25054"/>
    <cellStyle name="Note 2 13 2 9 3 4" xfId="25055"/>
    <cellStyle name="Note 2 13 3" xfId="25056"/>
    <cellStyle name="Note 2 5 2 6 3 3" xfId="25057"/>
    <cellStyle name="Note 2 13 3 10 2" xfId="25058"/>
    <cellStyle name="Output 2 3 10 3" xfId="25059"/>
    <cellStyle name="Note 2 13 3 10 2 2" xfId="25060"/>
    <cellStyle name="Output 2 3 10 3 2" xfId="25061"/>
    <cellStyle name="Note 2 13 3 10 2 3" xfId="25062"/>
    <cellStyle name="Output 2 3 10 3 3" xfId="25063"/>
    <cellStyle name="Note 2 13 3 10 2 4" xfId="25064"/>
    <cellStyle name="Output 2 3 10 3 4" xfId="25065"/>
    <cellStyle name="Note 2 13 3 10 3" xfId="25066"/>
    <cellStyle name="Note 2 2 12 4 2" xfId="25067"/>
    <cellStyle name="Output 2 3 10 4" xfId="25068"/>
    <cellStyle name="Note 2 13 3 10 3 2" xfId="25069"/>
    <cellStyle name="Output 2 3 10 4 2" xfId="25070"/>
    <cellStyle name="Note 2 13 3 10 3 3" xfId="25071"/>
    <cellStyle name="Output 2 3 10 4 3" xfId="25072"/>
    <cellStyle name="Note 2 13 3 10 3 4" xfId="25073"/>
    <cellStyle name="Note 2 13 3 10 4" xfId="25074"/>
    <cellStyle name="Note 2 2 12 4 3" xfId="25075"/>
    <cellStyle name="Output 2 3 10 5" xfId="25076"/>
    <cellStyle name="Note 2 13 3 10 4 2" xfId="25077"/>
    <cellStyle name="Output 2 3 10 5 2" xfId="25078"/>
    <cellStyle name="Note 2 13 3 10 4 3" xfId="25079"/>
    <cellStyle name="Output 2 3 10 5 3" xfId="25080"/>
    <cellStyle name="Note 2 13 3 10 5 3" xfId="25081"/>
    <cellStyle name="Note 2 13 3 11 2" xfId="25082"/>
    <cellStyle name="Output 2 3 11 3" xfId="25083"/>
    <cellStyle name="Note 2 13 3 11 3" xfId="25084"/>
    <cellStyle name="Note 2 2 12 5 2" xfId="25085"/>
    <cellStyle name="Output 2 3 11 4" xfId="25086"/>
    <cellStyle name="Note 2 13 3 11 4" xfId="25087"/>
    <cellStyle name="Note 2 2 12 5 3" xfId="25088"/>
    <cellStyle name="Output 2 3 11 5" xfId="25089"/>
    <cellStyle name="Note 2 13 3 12" xfId="25090"/>
    <cellStyle name="Note 2 13 3 12 2" xfId="25091"/>
    <cellStyle name="Output 2 3 12 3" xfId="25092"/>
    <cellStyle name="Note 2 13 3 12 3" xfId="25093"/>
    <cellStyle name="Output 2 3 12 4" xfId="25094"/>
    <cellStyle name="Note 2 13 3 12 4" xfId="25095"/>
    <cellStyle name="Note 2 13 3 13" xfId="25096"/>
    <cellStyle name="Note 2 13 3 13 2" xfId="25097"/>
    <cellStyle name="Output 2 3 13 3" xfId="25098"/>
    <cellStyle name="Note 2 13 3 13 3" xfId="25099"/>
    <cellStyle name="Output 2 3 13 4" xfId="25100"/>
    <cellStyle name="Note 2 13 3 14" xfId="25101"/>
    <cellStyle name="Note 2 13 3 14 2" xfId="25102"/>
    <cellStyle name="Output 2 3 14 3" xfId="25103"/>
    <cellStyle name="Note 2 13 3 14 3" xfId="25104"/>
    <cellStyle name="Note 2 13 3 15" xfId="25105"/>
    <cellStyle name="Note 2 13 3 16" xfId="25106"/>
    <cellStyle name="Note 2 13 3 2 2 3" xfId="25107"/>
    <cellStyle name="Note 2 13 3 2 2 4" xfId="25108"/>
    <cellStyle name="Note 2 4 18 2" xfId="25109"/>
    <cellStyle name="Note 2 13 3 2 4 3" xfId="25110"/>
    <cellStyle name="Note 2 13 3 2 6" xfId="25111"/>
    <cellStyle name="Note 2 13 3 2 7" xfId="25112"/>
    <cellStyle name="Note 2 13 3 3 2" xfId="25113"/>
    <cellStyle name="Note 2 13 3 3 2 3" xfId="25114"/>
    <cellStyle name="Note 2 13 3 3 2 4" xfId="25115"/>
    <cellStyle name="Note 2 13 3 3 3" xfId="25116"/>
    <cellStyle name="Note 2 13 3 3 3 3" xfId="25117"/>
    <cellStyle name="Note 2 13 3 3 3 4" xfId="25118"/>
    <cellStyle name="Note 2 13 3 3 4" xfId="25119"/>
    <cellStyle name="Note 2 13 3 3 4 2" xfId="25120"/>
    <cellStyle name="Output 2 3 3 4 7" xfId="25121"/>
    <cellStyle name="Note 2 13 3 3 4 3" xfId="25122"/>
    <cellStyle name="Note 2 13 3 3 5" xfId="25123"/>
    <cellStyle name="Note 2 13 3 3 5 2" xfId="25124"/>
    <cellStyle name="Output 2 3 3 5 7" xfId="25125"/>
    <cellStyle name="Note 2 13 3 3 5 3" xfId="25126"/>
    <cellStyle name="Note 2 13 3 3 6" xfId="25127"/>
    <cellStyle name="Note 2 13 3 3 7" xfId="25128"/>
    <cellStyle name="Note 2 13 3 4 2 3" xfId="25129"/>
    <cellStyle name="Note 2 13 3 4 2 4" xfId="25130"/>
    <cellStyle name="Note 2 13 3 4 3" xfId="25131"/>
    <cellStyle name="Note 2 13 3 4 3 3" xfId="25132"/>
    <cellStyle name="Note 2 13 3 4 3 4" xfId="25133"/>
    <cellStyle name="Note 2 13 3 4 4" xfId="25134"/>
    <cellStyle name="Note 2 13 3 4 4 2" xfId="25135"/>
    <cellStyle name="Note 2 13 3 4 4 3" xfId="25136"/>
    <cellStyle name="Note 2 13 3 4 5" xfId="25137"/>
    <cellStyle name="Note 2 13 3 4 5 2" xfId="25138"/>
    <cellStyle name="Note 2 13 3 4 5 3" xfId="25139"/>
    <cellStyle name="Note 2 13 3 4 6" xfId="25140"/>
    <cellStyle name="Note 2 13 3 4 7" xfId="25141"/>
    <cellStyle name="Note 2 13 3 5 2 3" xfId="25142"/>
    <cellStyle name="Note 2 13 3 5 2 4" xfId="25143"/>
    <cellStyle name="Note 2 13 3 5 3 3" xfId="25144"/>
    <cellStyle name="Note 2 13 3 5 3 4" xfId="25145"/>
    <cellStyle name="Note 2 13 3 5 4 2" xfId="25146"/>
    <cellStyle name="Note 2 13 3 5 4 3" xfId="25147"/>
    <cellStyle name="Note 2 13 3 5 5" xfId="25148"/>
    <cellStyle name="Note 2 13 3 5 5 2" xfId="25149"/>
    <cellStyle name="Note 2 13 3 5 5 3" xfId="25150"/>
    <cellStyle name="Note 2 13 3 6 2 3" xfId="25151"/>
    <cellStyle name="Note 2 13 3 6 2 4" xfId="25152"/>
    <cellStyle name="Note 2 13 3 6 3 3" xfId="25153"/>
    <cellStyle name="Note 2 13 3 6 3 4" xfId="25154"/>
    <cellStyle name="Note 2 13 3 6 4 2" xfId="25155"/>
    <cellStyle name="Note 2 13 3 6 4 3" xfId="25156"/>
    <cellStyle name="Note 2 13 3 6 5" xfId="25157"/>
    <cellStyle name="Note 2 13 3 6 5 2" xfId="25158"/>
    <cellStyle name="Note 2 13 3 6 5 3" xfId="25159"/>
    <cellStyle name="Note 2 13 3 7 2 3" xfId="25160"/>
    <cellStyle name="Note 2 13 3 7 3 3" xfId="25161"/>
    <cellStyle name="Note 2 13 3 7 4 3" xfId="25162"/>
    <cellStyle name="Note 2 13 3 7 5" xfId="25163"/>
    <cellStyle name="Note 2 13 3 8 2 3" xfId="25164"/>
    <cellStyle name="Note 2 13 3 8 3 3" xfId="25165"/>
    <cellStyle name="Note 2 13 3 8 4" xfId="25166"/>
    <cellStyle name="Note 2 13 3 8 4 2" xfId="25167"/>
    <cellStyle name="Note 2 13 3 8 4 3" xfId="25168"/>
    <cellStyle name="Note 2 13 3 8 5" xfId="25169"/>
    <cellStyle name="Note 2 13 3 8 5 2" xfId="25170"/>
    <cellStyle name="Note 2 13 3 8 5 3" xfId="25171"/>
    <cellStyle name="Note 2 13 3 9 2" xfId="25172"/>
    <cellStyle name="Note 2 13 3 9 2 3" xfId="25173"/>
    <cellStyle name="Note 2 13 3 9 3" xfId="25174"/>
    <cellStyle name="Note 2 13 3 9 3 3" xfId="25175"/>
    <cellStyle name="Note 2 13 3 9 4" xfId="25176"/>
    <cellStyle name="Note 2 13 3 9 4 2" xfId="25177"/>
    <cellStyle name="Note 2 13 3 9 4 3" xfId="25178"/>
    <cellStyle name="Note 2 13 3 9 5" xfId="25179"/>
    <cellStyle name="Note 2 13 3 9 5 2" xfId="25180"/>
    <cellStyle name="Note 2 13 3 9 5 3" xfId="25181"/>
    <cellStyle name="Note 2 13 3 9 6" xfId="25182"/>
    <cellStyle name="Note 2 13 3 9 7" xfId="25183"/>
    <cellStyle name="Note 2 13 4" xfId="25184"/>
    <cellStyle name="Note 2 5 2 6 3 4" xfId="25185"/>
    <cellStyle name="Note 2 13 4 2 4" xfId="25186"/>
    <cellStyle name="Note 2 13 4 4 2" xfId="25187"/>
    <cellStyle name="Note 2 13 5" xfId="25188"/>
    <cellStyle name="Note 2 13 5 2 4" xfId="25189"/>
    <cellStyle name="Note 2 13 5 3 4" xfId="25190"/>
    <cellStyle name="Note 2 13 5 4 2" xfId="25191"/>
    <cellStyle name="Note 2 3 2 2 4" xfId="25192"/>
    <cellStyle name="Note 2 13 5 4 3" xfId="25193"/>
    <cellStyle name="Note 2 3 2 2 5" xfId="25194"/>
    <cellStyle name="Note 2 13 6" xfId="25195"/>
    <cellStyle name="Note 2 13 6 2 4" xfId="25196"/>
    <cellStyle name="Output 2 2 2 6 7" xfId="25197"/>
    <cellStyle name="Output 2 10 3 10 3" xfId="25198"/>
    <cellStyle name="Note 2 13 6 3 2" xfId="25199"/>
    <cellStyle name="Output 2 2 2 7 5" xfId="25200"/>
    <cellStyle name="Output 2 10 3 10 4" xfId="25201"/>
    <cellStyle name="Note 2 13 6 3 3" xfId="25202"/>
    <cellStyle name="Output 2 2 2 7 6" xfId="25203"/>
    <cellStyle name="Output 2 10 3 10 5" xfId="25204"/>
    <cellStyle name="Note 2 13 6 3 4" xfId="25205"/>
    <cellStyle name="Output 2 2 2 7 7" xfId="25206"/>
    <cellStyle name="Note 2 3 3 2 4" xfId="25207"/>
    <cellStyle name="Output 2 10 3 11 3" xfId="25208"/>
    <cellStyle name="Note 2 13 6 4 2" xfId="25209"/>
    <cellStyle name="Output 2 2 2 8 5" xfId="25210"/>
    <cellStyle name="Note 2 3 3 2 5" xfId="25211"/>
    <cellStyle name="Output 2 10 3 11 4" xfId="25212"/>
    <cellStyle name="Note 2 13 6 4 3" xfId="25213"/>
    <cellStyle name="Output 2 2 2 8 6" xfId="25214"/>
    <cellStyle name="Note 2 13 7" xfId="25215"/>
    <cellStyle name="Output 2 5 5 2" xfId="25216"/>
    <cellStyle name="Note 2 13 7 2 2" xfId="25217"/>
    <cellStyle name="Output 2 2 3 6 5" xfId="25218"/>
    <cellStyle name="Note 2 13 7 2 3" xfId="25219"/>
    <cellStyle name="Output 2 2 3 6 6" xfId="25220"/>
    <cellStyle name="Note 2 13 7 2 4" xfId="25221"/>
    <cellStyle name="Output 2 2 3 6 7" xfId="25222"/>
    <cellStyle name="Note 2 13 7 3 2" xfId="25223"/>
    <cellStyle name="Output 2 2 3 7 5" xfId="25224"/>
    <cellStyle name="Note 2 13 7 3 3" xfId="25225"/>
    <cellStyle name="Output 2 2 3 7 6" xfId="25226"/>
    <cellStyle name="Note 2 13 7 3 4" xfId="25227"/>
    <cellStyle name="Output 2 2 3 7 7" xfId="25228"/>
    <cellStyle name="Note 2 3 4 2 4" xfId="25229"/>
    <cellStyle name="Note 2 13 7 4 2" xfId="25230"/>
    <cellStyle name="Output 2 2 3 8 5" xfId="25231"/>
    <cellStyle name="Note 2 13 7 4 3" xfId="25232"/>
    <cellStyle name="Output 2 2 3 8 6" xfId="25233"/>
    <cellStyle name="Note 2 2 2 2 2 2 2 2" xfId="25234"/>
    <cellStyle name="Note 2 3 4 3 4" xfId="25235"/>
    <cellStyle name="Note 2 13 7 5 2" xfId="25236"/>
    <cellStyle name="Output 2 2 3 9 5" xfId="25237"/>
    <cellStyle name="Note 2 13 7 7" xfId="25238"/>
    <cellStyle name="Note 2 3 2 3 4 2" xfId="25239"/>
    <cellStyle name="Note 2 13 8" xfId="25240"/>
    <cellStyle name="Output 2 5 5 3" xfId="25241"/>
    <cellStyle name="Note 2 13 8 2 2" xfId="25242"/>
    <cellStyle name="Note 2 13 8 2 3" xfId="25243"/>
    <cellStyle name="Note 2 13 8 2 4" xfId="25244"/>
    <cellStyle name="Note 2 13 8 3 2" xfId="25245"/>
    <cellStyle name="Note 2 13 8 3 3" xfId="25246"/>
    <cellStyle name="Note 2 13 8 3 4" xfId="25247"/>
    <cellStyle name="Note 2 13 8 4 2" xfId="25248"/>
    <cellStyle name="Note 2 3 5 2 4" xfId="25249"/>
    <cellStyle name="Note 2 13 8 4 3" xfId="25250"/>
    <cellStyle name="Note 2 13 8 5 2" xfId="25251"/>
    <cellStyle name="Note 2 2 2 2 2 3 2 2" xfId="25252"/>
    <cellStyle name="Note 2 3 5 3 4" xfId="25253"/>
    <cellStyle name="Note 2 13 8 5 3" xfId="25254"/>
    <cellStyle name="Note 2 13 9 2 3" xfId="25255"/>
    <cellStyle name="Note 2 13 9 2 4" xfId="25256"/>
    <cellStyle name="Note 2 13 9 3 3" xfId="25257"/>
    <cellStyle name="Output 2 13 2 10 5" xfId="25258"/>
    <cellStyle name="Note 2 13 9 3 4" xfId="25259"/>
    <cellStyle name="Output 2 13 2 10 6" xfId="25260"/>
    <cellStyle name="Note 2 13 9 5 2" xfId="25261"/>
    <cellStyle name="Note 2 2 2 2 2 4 2 2" xfId="25262"/>
    <cellStyle name="Note 2 3 6 3 4" xfId="25263"/>
    <cellStyle name="Output 2 13 2 12 4" xfId="25264"/>
    <cellStyle name="Output 2 5 3 14" xfId="25265"/>
    <cellStyle name="Note 2 13 9 5 3" xfId="25266"/>
    <cellStyle name="Output 2 5 3 15" xfId="25267"/>
    <cellStyle name="Note 2 14" xfId="25268"/>
    <cellStyle name="Note 2 5 2 6 4" xfId="25269"/>
    <cellStyle name="Note 2 14 10" xfId="25270"/>
    <cellStyle name="Note 2 14 10 2" xfId="25271"/>
    <cellStyle name="Note 2 14 10 2 2" xfId="25272"/>
    <cellStyle name="Note 2 5 2 2 2 3" xfId="25273"/>
    <cellStyle name="Note 2 14 10 2 3" xfId="25274"/>
    <cellStyle name="Note 2 5 2 2 2 4" xfId="25275"/>
    <cellStyle name="Note 2 14 10 2 4" xfId="25276"/>
    <cellStyle name="Note 2 14 10 3" xfId="25277"/>
    <cellStyle name="Note 2 14 10 3 2" xfId="25278"/>
    <cellStyle name="Note 2 5 2 2 3 3" xfId="25279"/>
    <cellStyle name="Note 2 14 10 3 3" xfId="25280"/>
    <cellStyle name="Note 2 5 2 2 3 4" xfId="25281"/>
    <cellStyle name="Note 2 14 10 3 4" xfId="25282"/>
    <cellStyle name="Note 2 14 10 4" xfId="25283"/>
    <cellStyle name="Note 2 14 10 4 2" xfId="25284"/>
    <cellStyle name="Note 2 5 2 2 4 3" xfId="25285"/>
    <cellStyle name="Note 2 14 10 4 3" xfId="25286"/>
    <cellStyle name="Note 2 14 10 5" xfId="25287"/>
    <cellStyle name="Note 2 14 10 5 2" xfId="25288"/>
    <cellStyle name="Note 2 5 2 2 5 3" xfId="25289"/>
    <cellStyle name="Note 2 14 10 5 3" xfId="25290"/>
    <cellStyle name="Note 2 14 10 6" xfId="25291"/>
    <cellStyle name="Note 2 14 10 7" xfId="25292"/>
    <cellStyle name="Note 2 14 11" xfId="25293"/>
    <cellStyle name="Note 2 14 11 2" xfId="25294"/>
    <cellStyle name="Note 2 14 11 2 2" xfId="25295"/>
    <cellStyle name="Note 2 5 2 3 2 3" xfId="25296"/>
    <cellStyle name="Note 2 14 11 2 3" xfId="25297"/>
    <cellStyle name="Note 2 5 2 3 2 4" xfId="25298"/>
    <cellStyle name="Note 2 14 11 2 4" xfId="25299"/>
    <cellStyle name="Note 2 14 11 3" xfId="25300"/>
    <cellStyle name="Note 2 14 11 3 2" xfId="25301"/>
    <cellStyle name="Note 2 5 2 3 3 3" xfId="25302"/>
    <cellStyle name="Note 2 14 11 3 3" xfId="25303"/>
    <cellStyle name="Note 2 5 2 3 3 4" xfId="25304"/>
    <cellStyle name="Note 2 14 11 3 4" xfId="25305"/>
    <cellStyle name="Note 2 14 11 4" xfId="25306"/>
    <cellStyle name="Note 2 14 11 4 2" xfId="25307"/>
    <cellStyle name="Note 2 5 2 3 4 3" xfId="25308"/>
    <cellStyle name="Note 2 14 11 4 3" xfId="25309"/>
    <cellStyle name="Note 2 14 11 5" xfId="25310"/>
    <cellStyle name="Note 2 14 11 5 2" xfId="25311"/>
    <cellStyle name="Note 2 5 2 3 5 3" xfId="25312"/>
    <cellStyle name="Note 2 14 11 5 3" xfId="25313"/>
    <cellStyle name="Note 2 14 11 6" xfId="25314"/>
    <cellStyle name="Note 2 14 11 7" xfId="25315"/>
    <cellStyle name="Note 2 14 12 2" xfId="25316"/>
    <cellStyle name="Note 2 14 12 3" xfId="25317"/>
    <cellStyle name="Note 2 14 12 4" xfId="25318"/>
    <cellStyle name="Note 2 2 2 8 2 2" xfId="25319"/>
    <cellStyle name="Note 2 14 12 5" xfId="25320"/>
    <cellStyle name="Note 2 2 2 8 2 3" xfId="25321"/>
    <cellStyle name="Note 2 14 12 6" xfId="25322"/>
    <cellStyle name="Note 2 2 2 8 2 4" xfId="25323"/>
    <cellStyle name="Note 2 14 12 7" xfId="25324"/>
    <cellStyle name="Note 2 14 13 2" xfId="25325"/>
    <cellStyle name="Note 2 14 13 3" xfId="25326"/>
    <cellStyle name="Note 2 14 2 10" xfId="25327"/>
    <cellStyle name="Note 2 14 2 10 2" xfId="25328"/>
    <cellStyle name="Note 2 14 2 10 2 2" xfId="25329"/>
    <cellStyle name="Note 2 14 2 10 2 3" xfId="25330"/>
    <cellStyle name="Note 2 14 2 10 2 4" xfId="25331"/>
    <cellStyle name="Note 2 14 2 10 3" xfId="25332"/>
    <cellStyle name="Note 2 14 2 10 3 2" xfId="25333"/>
    <cellStyle name="Note 2 14 2 10 3 3" xfId="25334"/>
    <cellStyle name="Note 2 14 2 10 3 4" xfId="25335"/>
    <cellStyle name="Note 2 14 2 10 4" xfId="25336"/>
    <cellStyle name="Note 2 14 2 10 4 2" xfId="25337"/>
    <cellStyle name="Note 2 14 2 10 4 3" xfId="25338"/>
    <cellStyle name="Note 2 14 2 10 5" xfId="25339"/>
    <cellStyle name="Note 2 14 2 10 5 2" xfId="25340"/>
    <cellStyle name="Note 2 14 2 10 5 3" xfId="25341"/>
    <cellStyle name="Note 2 14 2 10 6" xfId="25342"/>
    <cellStyle name="Note 2 14 2 10 7" xfId="25343"/>
    <cellStyle name="Output 2 7 3 13 2" xfId="25344"/>
    <cellStyle name="Note 2 14 2 11" xfId="25345"/>
    <cellStyle name="Note 2 14 2 11 2" xfId="25346"/>
    <cellStyle name="Note 2 14 2 11 3" xfId="25347"/>
    <cellStyle name="Note 2 14 2 11 4" xfId="25348"/>
    <cellStyle name="Note 2 14 2 12" xfId="25349"/>
    <cellStyle name="Note 2 14 2 13" xfId="25350"/>
    <cellStyle name="Note 2 14 2 14" xfId="25351"/>
    <cellStyle name="Note 2 14 2 14 3" xfId="25352"/>
    <cellStyle name="Note 2 14 2 2 2 3" xfId="25353"/>
    <cellStyle name="Note 2 14 2 2 2 4" xfId="25354"/>
    <cellStyle name="Note 2 14 2 2 3 3" xfId="25355"/>
    <cellStyle name="Note 2 14 2 2 3 4" xfId="25356"/>
    <cellStyle name="Note 2 14 2 2 4" xfId="25357"/>
    <cellStyle name="Note 2 14 2 2 4 2" xfId="25358"/>
    <cellStyle name="Note 2 14 2 2 4 3" xfId="25359"/>
    <cellStyle name="Note 2 14 2 2 5" xfId="25360"/>
    <cellStyle name="Note 2 14 2 2 7" xfId="25361"/>
    <cellStyle name="Note 2 14 2 3 2" xfId="25362"/>
    <cellStyle name="Note 2 14 2 3 2 3" xfId="25363"/>
    <cellStyle name="Note 2 14 2 3 2 4" xfId="25364"/>
    <cellStyle name="Note 2 14 2 3 3" xfId="25365"/>
    <cellStyle name="Note 2 14 2 3 3 3" xfId="25366"/>
    <cellStyle name="Note 2 14 2 3 3 4" xfId="25367"/>
    <cellStyle name="Note 2 14 2 3 4" xfId="25368"/>
    <cellStyle name="Note 2 5 2 7 2 2" xfId="25369"/>
    <cellStyle name="Note 2 14 2 3 4 2" xfId="25370"/>
    <cellStyle name="Note 2 14 2 3 4 3" xfId="25371"/>
    <cellStyle name="Note 2 14 2 3 5" xfId="25372"/>
    <cellStyle name="Note 2 5 2 7 2 3" xfId="25373"/>
    <cellStyle name="Note 2 14 2 3 5 2" xfId="25374"/>
    <cellStyle name="Note 2 18" xfId="25375"/>
    <cellStyle name="Note 2 23" xfId="25376"/>
    <cellStyle name="Note 2 14 2 3 5 3" xfId="25377"/>
    <cellStyle name="Note 2 19" xfId="25378"/>
    <cellStyle name="Note 2 24" xfId="25379"/>
    <cellStyle name="Note 2 14 2 3 6" xfId="25380"/>
    <cellStyle name="Note 2 5 2 7 2 4" xfId="25381"/>
    <cellStyle name="Note 2 14 2 3 7" xfId="25382"/>
    <cellStyle name="Note 2 14 2 4 2" xfId="25383"/>
    <cellStyle name="Note 2 14 2 4 2 3" xfId="25384"/>
    <cellStyle name="Note 2 14 2 4 2 4" xfId="25385"/>
    <cellStyle name="Note 2 14 2 4 3" xfId="25386"/>
    <cellStyle name="Note 2 14 2 4 3 3" xfId="25387"/>
    <cellStyle name="Note 2 14 2 4 3 4" xfId="25388"/>
    <cellStyle name="Note 2 14 2 4 4" xfId="25389"/>
    <cellStyle name="Note 2 5 2 7 3 2" xfId="25390"/>
    <cellStyle name="Note 2 14 2 4 4 2" xfId="25391"/>
    <cellStyle name="Note 2 14 2 4 4 3" xfId="25392"/>
    <cellStyle name="Note 2 14 2 4 5" xfId="25393"/>
    <cellStyle name="Note 2 5 2 7 3 3" xfId="25394"/>
    <cellStyle name="Note 2 14 2 4 5 2" xfId="25395"/>
    <cellStyle name="Note 2 14 2 4 5 3" xfId="25396"/>
    <cellStyle name="Note 2 14 2 4 6" xfId="25397"/>
    <cellStyle name="Note 2 5 2 7 3 4" xfId="25398"/>
    <cellStyle name="Note 2 14 2 4 7" xfId="25399"/>
    <cellStyle name="Note 2 14 2 5 2 3" xfId="25400"/>
    <cellStyle name="Note 2 14 2 5 2 4" xfId="25401"/>
    <cellStyle name="Note 2 14 2 5 3 3" xfId="25402"/>
    <cellStyle name="Note 2 14 2 5 3 4" xfId="25403"/>
    <cellStyle name="Note 2 14 2 5 4 2" xfId="25404"/>
    <cellStyle name="Note 2 14 2 5 4 3" xfId="25405"/>
    <cellStyle name="Note 2 14 2 5 5 3" xfId="25406"/>
    <cellStyle name="Note 2 14 2 5 6" xfId="25407"/>
    <cellStyle name="Note 2 14 2 5 7" xfId="25408"/>
    <cellStyle name="Note 2 14 2 6 2 3" xfId="25409"/>
    <cellStyle name="Note 2 14 2 6 2 4" xfId="25410"/>
    <cellStyle name="Note 2 14 2 6 3 3" xfId="25411"/>
    <cellStyle name="Note 2 14 2 6 3 4" xfId="25412"/>
    <cellStyle name="Note 2 14 2 6 4 2" xfId="25413"/>
    <cellStyle name="Note 2 14 2 6 4 3" xfId="25414"/>
    <cellStyle name="Note 2 14 2 6 5" xfId="25415"/>
    <cellStyle name="Note 2 5 2 7 5 3" xfId="25416"/>
    <cellStyle name="Note 2 14 2 6 5 2" xfId="25417"/>
    <cellStyle name="Note 2 14 2 6 5 3" xfId="25418"/>
    <cellStyle name="Note 2 14 2 6 6" xfId="25419"/>
    <cellStyle name="Note 2 14 2 6 7" xfId="25420"/>
    <cellStyle name="Note 2 14 2 7 2 3" xfId="25421"/>
    <cellStyle name="Note 2 14 2 7 2 4" xfId="25422"/>
    <cellStyle name="Note 2 14 2 7 3 3" xfId="25423"/>
    <cellStyle name="Note 2 14 2 7 3 4" xfId="25424"/>
    <cellStyle name="Note 2 14 2 7 4" xfId="25425"/>
    <cellStyle name="Note 2 14 2 7 4 2" xfId="25426"/>
    <cellStyle name="Note 2 14 2 7 4 3" xfId="25427"/>
    <cellStyle name="Note 2 14 2 7 5" xfId="25428"/>
    <cellStyle name="Note 2 14 2 7 5 2" xfId="25429"/>
    <cellStyle name="Note 2 14 2 7 5 3" xfId="25430"/>
    <cellStyle name="Note 2 14 2 7 6" xfId="25431"/>
    <cellStyle name="Note 2 14 2 7 7" xfId="25432"/>
    <cellStyle name="Note 2 14 2 8 2 3" xfId="25433"/>
    <cellStyle name="Note 2 14 2 8 2 4" xfId="25434"/>
    <cellStyle name="Note 2 14 2 8 3 3" xfId="25435"/>
    <cellStyle name="Note 2 14 2 8 3 4" xfId="25436"/>
    <cellStyle name="Note 2 14 2 8 4" xfId="25437"/>
    <cellStyle name="Note 2 14 2 8 4 2" xfId="25438"/>
    <cellStyle name="Note 2 14 2 8 4 3" xfId="25439"/>
    <cellStyle name="Note 2 14 2 8 5" xfId="25440"/>
    <cellStyle name="Note 2 14 2 8 5 2" xfId="25441"/>
    <cellStyle name="Note 2 14 2 8 5 3" xfId="25442"/>
    <cellStyle name="Note 2 14 2 8 6" xfId="25443"/>
    <cellStyle name="Note 2 14 2 8 7" xfId="25444"/>
    <cellStyle name="Note 2 14 2 9 2" xfId="25445"/>
    <cellStyle name="Note 2 2 3 10 5 3" xfId="25446"/>
    <cellStyle name="Note 2 14 2 9 2 3" xfId="25447"/>
    <cellStyle name="Note 2 14 2 9 2 4" xfId="25448"/>
    <cellStyle name="Note 2 14 2 9 3" xfId="25449"/>
    <cellStyle name="Note 2 14 2 9 3 3" xfId="25450"/>
    <cellStyle name="Note 2 14 2 9 3 4" xfId="25451"/>
    <cellStyle name="Note 2 14 2 9 4" xfId="25452"/>
    <cellStyle name="Note 2 14 2 9 4 2" xfId="25453"/>
    <cellStyle name="Note 2 14 2 9 4 3" xfId="25454"/>
    <cellStyle name="Note 2 14 2 9 5" xfId="25455"/>
    <cellStyle name="Note 2 6 12 2 2" xfId="25456"/>
    <cellStyle name="Note 2 14 2 9 5 2" xfId="25457"/>
    <cellStyle name="Note 2 14 2 9 5 3" xfId="25458"/>
    <cellStyle name="Note 2 14 2 9 6" xfId="25459"/>
    <cellStyle name="Note 2 6 12 2 3" xfId="25460"/>
    <cellStyle name="Note 2 14 2 9 7" xfId="25461"/>
    <cellStyle name="Note 2 6 12 2 4" xfId="25462"/>
    <cellStyle name="Note 2 14 3" xfId="25463"/>
    <cellStyle name="Note 2 5 2 6 4 3" xfId="25464"/>
    <cellStyle name="Note 2 14 3 10 2" xfId="25465"/>
    <cellStyle name="Note 2 14 3 10 2 2" xfId="25466"/>
    <cellStyle name="Note 2 2 10 6" xfId="25467"/>
    <cellStyle name="Note 2 14 3 10 3" xfId="25468"/>
    <cellStyle name="Note 2 3 12 4 2" xfId="25469"/>
    <cellStyle name="Note 2 14 3 10 3 2" xfId="25470"/>
    <cellStyle name="Note 2 2 11 6" xfId="25471"/>
    <cellStyle name="Note 2 14 3 10 3 3" xfId="25472"/>
    <cellStyle name="Note 2 2 11 7" xfId="25473"/>
    <cellStyle name="Output 2 4 3 9 2 2" xfId="25474"/>
    <cellStyle name="Note 2 14 3 10 3 4" xfId="25475"/>
    <cellStyle name="Note 2 2 11 8" xfId="25476"/>
    <cellStyle name="Output 2 4 3 9 2 3" xfId="25477"/>
    <cellStyle name="Note 2 14 3 10 4" xfId="25478"/>
    <cellStyle name="Note 2 3 12 4 3" xfId="25479"/>
    <cellStyle name="Note 2 14 3 10 4 2" xfId="25480"/>
    <cellStyle name="Note 2 2 12 6" xfId="25481"/>
    <cellStyle name="Note 2 14 3 10 4 3" xfId="25482"/>
    <cellStyle name="Note 2 2 12 7" xfId="25483"/>
    <cellStyle name="Output 2 4 3 9 3 2" xfId="25484"/>
    <cellStyle name="Note 2 14 3 10 5" xfId="25485"/>
    <cellStyle name="Note 2 14 3 10 5 2" xfId="25486"/>
    <cellStyle name="Note 2 14 3 10 5 3" xfId="25487"/>
    <cellStyle name="Output 2 4 3 9 4 2" xfId="25488"/>
    <cellStyle name="Note 2 14 3 10 6" xfId="25489"/>
    <cellStyle name="Note 2 14 3 10 7" xfId="25490"/>
    <cellStyle name="Note 2 14 3 11" xfId="25491"/>
    <cellStyle name="Note 2 14 3 11 2" xfId="25492"/>
    <cellStyle name="Note 2 14 3 11 3" xfId="25493"/>
    <cellStyle name="Note 2 3 12 5 2" xfId="25494"/>
    <cellStyle name="Note 2 14 3 11 4" xfId="25495"/>
    <cellStyle name="Note 2 3 12 5 3" xfId="25496"/>
    <cellStyle name="Note 2 14 3 12" xfId="25497"/>
    <cellStyle name="Note 2 14 3 12 2" xfId="25498"/>
    <cellStyle name="Note 2 14 3 12 3" xfId="25499"/>
    <cellStyle name="Note 2 14 3 12 4" xfId="25500"/>
    <cellStyle name="Note 2 14 3 13" xfId="25501"/>
    <cellStyle name="Note 2 14 3 14" xfId="25502"/>
    <cellStyle name="Note 2 14 3 14 2" xfId="25503"/>
    <cellStyle name="Note 2 14 3 14 3" xfId="25504"/>
    <cellStyle name="Note 2 14 3 15" xfId="25505"/>
    <cellStyle name="Note 2 14 3 16" xfId="25506"/>
    <cellStyle name="Note 2 14 3 2 2 3" xfId="25507"/>
    <cellStyle name="Note 2 14 3 2 4" xfId="25508"/>
    <cellStyle name="Note 2 14 3 2 4 2" xfId="25509"/>
    <cellStyle name="Note 2 14 3 2 5" xfId="25510"/>
    <cellStyle name="Note 2 14 3 2 6" xfId="25511"/>
    <cellStyle name="Note 2 14 3 2 7" xfId="25512"/>
    <cellStyle name="Note 2 14 3 3 2" xfId="25513"/>
    <cellStyle name="Note 2 14 3 3 3" xfId="25514"/>
    <cellStyle name="Note 2 14 3 3 4" xfId="25515"/>
    <cellStyle name="Note 2 5 2 8 2 2" xfId="25516"/>
    <cellStyle name="Note 2 14 3 3 4 2" xfId="25517"/>
    <cellStyle name="Note 2 14 3 3 4 3" xfId="25518"/>
    <cellStyle name="Note 2 14 3 3 5" xfId="25519"/>
    <cellStyle name="Note 2 5 2 8 2 3" xfId="25520"/>
    <cellStyle name="Note 2 14 3 3 5 2" xfId="25521"/>
    <cellStyle name="Note 2 14 3 3 5 3" xfId="25522"/>
    <cellStyle name="Note 2 14 3 3 6" xfId="25523"/>
    <cellStyle name="Note 2 5 2 8 2 4" xfId="25524"/>
    <cellStyle name="Note 2 14 3 3 7" xfId="25525"/>
    <cellStyle name="Note 2 14 3 4 2" xfId="25526"/>
    <cellStyle name="Note 2 14 3 9 2" xfId="25527"/>
    <cellStyle name="Note 2 14 4" xfId="25528"/>
    <cellStyle name="Note 2 14 4 2 4" xfId="25529"/>
    <cellStyle name="Note 2 6 2 10 3 3" xfId="25530"/>
    <cellStyle name="Note 2 14 4 3 3" xfId="25531"/>
    <cellStyle name="Note 2 6 2 10 4 2" xfId="25532"/>
    <cellStyle name="Note 2 14 4 3 4" xfId="25533"/>
    <cellStyle name="Note 2 5 2 9 2 2" xfId="25534"/>
    <cellStyle name="Note 2 6 2 10 4 3" xfId="25535"/>
    <cellStyle name="Note 2 14 5" xfId="25536"/>
    <cellStyle name="Note 2 14 5 2 4" xfId="25537"/>
    <cellStyle name="Note 2 14 5 3 2" xfId="25538"/>
    <cellStyle name="Note 2 14 5 3 3" xfId="25539"/>
    <cellStyle name="Note 2 14 5 3 4" xfId="25540"/>
    <cellStyle name="Note 2 14 6" xfId="25541"/>
    <cellStyle name="Note 2 14 6 2 4" xfId="25542"/>
    <cellStyle name="Output 2 3 2 6 7" xfId="25543"/>
    <cellStyle name="Note 2 14 6 3 2" xfId="25544"/>
    <cellStyle name="Output 2 3 2 7 5" xfId="25545"/>
    <cellStyle name="Note 2 14 6 3 3" xfId="25546"/>
    <cellStyle name="Output 2 3 2 7 6" xfId="25547"/>
    <cellStyle name="Note 2 14 6 3 4" xfId="25548"/>
    <cellStyle name="Output 2 3 2 7 7" xfId="25549"/>
    <cellStyle name="Note 2 14 7" xfId="25550"/>
    <cellStyle name="Output 2 5 6 2" xfId="25551"/>
    <cellStyle name="Note 2 14 7 2 2" xfId="25552"/>
    <cellStyle name="Output 2 3 3 6 5" xfId="25553"/>
    <cellStyle name="Note 2 14 7 2 3" xfId="25554"/>
    <cellStyle name="Output 2 3 3 6 6" xfId="25555"/>
    <cellStyle name="Note 2 14 7 2 4" xfId="25556"/>
    <cellStyle name="Output 2 3 3 6 7" xfId="25557"/>
    <cellStyle name="Note 2 14 7 3 2" xfId="25558"/>
    <cellStyle name="Output 2 3 3 7 5" xfId="25559"/>
    <cellStyle name="Note 2 14 7 3 3" xfId="25560"/>
    <cellStyle name="Output 2 3 3 7 6" xfId="25561"/>
    <cellStyle name="Note 2 14 7 3 4" xfId="25562"/>
    <cellStyle name="Output 2 3 3 7 7" xfId="25563"/>
    <cellStyle name="Note 2 14 7 4" xfId="25564"/>
    <cellStyle name="Output 2 5 6 2 4" xfId="25565"/>
    <cellStyle name="Note 2 4 4 2 4" xfId="25566"/>
    <cellStyle name="Note 2 14 7 4 2" xfId="25567"/>
    <cellStyle name="Output 2 3 3 8 5" xfId="25568"/>
    <cellStyle name="Note 2 2 2 2 3 2 2 2" xfId="25569"/>
    <cellStyle name="Note 2 4 4 3 4" xfId="25570"/>
    <cellStyle name="Note 2 14 7 5 2" xfId="25571"/>
    <cellStyle name="Output 2 3 3 9 5" xfId="25572"/>
    <cellStyle name="Note 2 14 8" xfId="25573"/>
    <cellStyle name="Output 2 5 6 3" xfId="25574"/>
    <cellStyle name="Note 2 14 8 2 2" xfId="25575"/>
    <cellStyle name="Note 2 14 8 2 3" xfId="25576"/>
    <cellStyle name="Note 2 14 8 2 4" xfId="25577"/>
    <cellStyle name="Note 2 14 8 3 2" xfId="25578"/>
    <cellStyle name="Note 2 14 8 3 3" xfId="25579"/>
    <cellStyle name="Note 2 14 8 3 4" xfId="25580"/>
    <cellStyle name="Note 2 14 8 4" xfId="25581"/>
    <cellStyle name="Output 2 5 6 3 4" xfId="25582"/>
    <cellStyle name="Note 2 14 8 4 2" xfId="25583"/>
    <cellStyle name="Note 2 4 5 2 4" xfId="25584"/>
    <cellStyle name="Note 2 14 8 5 2" xfId="25585"/>
    <cellStyle name="Note 2 2 2 2 3 3 2 2" xfId="25586"/>
    <cellStyle name="Note 2 4 5 3 4" xfId="25587"/>
    <cellStyle name="Output 2 13 2 7 2" xfId="25588"/>
    <cellStyle name="Note 2 14 9" xfId="25589"/>
    <cellStyle name="Output 2 5 6 4" xfId="25590"/>
    <cellStyle name="Note 2 14 9 2 2" xfId="25591"/>
    <cellStyle name="Note 2 14 9 2 3" xfId="25592"/>
    <cellStyle name="Note 2 14 9 2 4" xfId="25593"/>
    <cellStyle name="Note 2 14 9 3 2" xfId="25594"/>
    <cellStyle name="Note 2 14 9 3 3" xfId="25595"/>
    <cellStyle name="Note 2 14 9 3 4" xfId="25596"/>
    <cellStyle name="Note 2 14 9 4" xfId="25597"/>
    <cellStyle name="Output 2 13 2 7 2 4" xfId="25598"/>
    <cellStyle name="Note 2 14 9 4 2" xfId="25599"/>
    <cellStyle name="Total 2 3 2 10 4" xfId="25600"/>
    <cellStyle name="Note 2 4 6 2 4" xfId="25601"/>
    <cellStyle name="Note 2 14 9 5 2" xfId="25602"/>
    <cellStyle name="Total 2 3 2 11 4" xfId="25603"/>
    <cellStyle name="Note 2 4 6 3 4" xfId="25604"/>
    <cellStyle name="Note 2 15" xfId="25605"/>
    <cellStyle name="Note 2 20" xfId="25606"/>
    <cellStyle name="Note 2 5 2 6 5" xfId="25607"/>
    <cellStyle name="Note 2 15 10 2 2" xfId="25608"/>
    <cellStyle name="Note 2 15 10 2 3" xfId="25609"/>
    <cellStyle name="Note 2 15 10 2 4" xfId="25610"/>
    <cellStyle name="Note 2 15 10 3 2" xfId="25611"/>
    <cellStyle name="Note 2 15 10 3 3" xfId="25612"/>
    <cellStyle name="Note 2 15 10 3 4" xfId="25613"/>
    <cellStyle name="Note 2 15 10 4 2" xfId="25614"/>
    <cellStyle name="Note 2 15 10 4 3" xfId="25615"/>
    <cellStyle name="Note 2 15 10 5 2" xfId="25616"/>
    <cellStyle name="Note 2 15 10 5 3" xfId="25617"/>
    <cellStyle name="Note 2 15 10 6" xfId="25618"/>
    <cellStyle name="Note 2 15 10 7" xfId="25619"/>
    <cellStyle name="Note 2 15 11 2" xfId="25620"/>
    <cellStyle name="Note 2 15 11 3" xfId="25621"/>
    <cellStyle name="Note 2 15 11 4" xfId="25622"/>
    <cellStyle name="Note 2 15 12 2" xfId="25623"/>
    <cellStyle name="Note 2 15 12 3" xfId="25624"/>
    <cellStyle name="Note 2 15 12 4" xfId="25625"/>
    <cellStyle name="Note 2 15 13" xfId="25626"/>
    <cellStyle name="Output 2 2 6 3 4" xfId="25627"/>
    <cellStyle name="Note 2 15 13 2" xfId="25628"/>
    <cellStyle name="Note 2 15 13 3" xfId="25629"/>
    <cellStyle name="Note 2 15 2 2 4" xfId="25630"/>
    <cellStyle name="Note 2 15 2 3 2" xfId="25631"/>
    <cellStyle name="Note 2 15 2 3 3" xfId="25632"/>
    <cellStyle name="Note 2 15 2 3 4" xfId="25633"/>
    <cellStyle name="Note 2 5 3 7 2 2" xfId="25634"/>
    <cellStyle name="Note 2 15 2 5 2" xfId="25635"/>
    <cellStyle name="Note 2 15 2 5 3" xfId="25636"/>
    <cellStyle name="Note 2 15 2 7" xfId="25637"/>
    <cellStyle name="Note 2 15 3 2 4" xfId="25638"/>
    <cellStyle name="Note 2 15 3 3 2" xfId="25639"/>
    <cellStyle name="Note 2 15 3 3 3" xfId="25640"/>
    <cellStyle name="Note 2 15 3 3 4" xfId="25641"/>
    <cellStyle name="Note 2 5 3 8 2 2" xfId="25642"/>
    <cellStyle name="Note 2 15 3 4 2" xfId="25643"/>
    <cellStyle name="Note 2 15 3 4 3" xfId="25644"/>
    <cellStyle name="Note 2 15 3 5" xfId="25645"/>
    <cellStyle name="Note 2 15 3 5 2" xfId="25646"/>
    <cellStyle name="Note 2 15 3 5 3" xfId="25647"/>
    <cellStyle name="Note 2 15 3 6" xfId="25648"/>
    <cellStyle name="Note 2 15 3 7" xfId="25649"/>
    <cellStyle name="Note 2 15 4 2 4" xfId="25650"/>
    <cellStyle name="Note 2 15 4 3 2" xfId="25651"/>
    <cellStyle name="Note 2 15 4 3 3" xfId="25652"/>
    <cellStyle name="Note 2 15 4 4 2" xfId="25653"/>
    <cellStyle name="Note 2 15 4 4 3" xfId="25654"/>
    <cellStyle name="Note 2 15 4 5" xfId="25655"/>
    <cellStyle name="Note 2 15 4 5 2" xfId="25656"/>
    <cellStyle name="Note 2 15 4 5 3" xfId="25657"/>
    <cellStyle name="Note 2 15 4 6" xfId="25658"/>
    <cellStyle name="Note 2 15 4 7" xfId="25659"/>
    <cellStyle name="Note 2 15 5 3 2" xfId="25660"/>
    <cellStyle name="Note 2 15 5 3 3" xfId="25661"/>
    <cellStyle name="Note 2 15 5 4 2" xfId="25662"/>
    <cellStyle name="Note 2 5 2 2 4" xfId="25663"/>
    <cellStyle name="Note 2 15 5 4 3" xfId="25664"/>
    <cellStyle name="Note 2 5 2 2 5" xfId="25665"/>
    <cellStyle name="Note 2 15 5 5 3" xfId="25666"/>
    <cellStyle name="Note 2 5 2 3 5" xfId="25667"/>
    <cellStyle name="Note 2 15 5 6" xfId="25668"/>
    <cellStyle name="Note 2 15 5 7" xfId="25669"/>
    <cellStyle name="Note 2 3 2 5 2 2" xfId="25670"/>
    <cellStyle name="Note 2 15 6 2 4" xfId="25671"/>
    <cellStyle name="Output 2 4 2 6 7" xfId="25672"/>
    <cellStyle name="Output 2 10 2 8 7" xfId="25673"/>
    <cellStyle name="Note 2 15 6 3 2" xfId="25674"/>
    <cellStyle name="Output 2 4 2 7 5" xfId="25675"/>
    <cellStyle name="Note 2 15 6 3 3" xfId="25676"/>
    <cellStyle name="Output 2 4 2 7 6" xfId="25677"/>
    <cellStyle name="Note 2 15 6 3 4" xfId="25678"/>
    <cellStyle name="Output 2 4 2 7 7" xfId="25679"/>
    <cellStyle name="Note 2 5 3 2 4" xfId="25680"/>
    <cellStyle name="Output 2 10 2 9 7" xfId="25681"/>
    <cellStyle name="Note 2 15 6 4 2" xfId="25682"/>
    <cellStyle name="Output 2 4 2 8 5" xfId="25683"/>
    <cellStyle name="Note 2 5 3 2 5" xfId="25684"/>
    <cellStyle name="Note 2 15 6 4 3" xfId="25685"/>
    <cellStyle name="Output 2 4 2 8 6" xfId="25686"/>
    <cellStyle name="Note 2 15 6 5" xfId="25687"/>
    <cellStyle name="Note 2 5 3 3 4" xfId="25688"/>
    <cellStyle name="Note 2 15 6 5 2" xfId="25689"/>
    <cellStyle name="Output 2 4 2 9 5" xfId="25690"/>
    <cellStyle name="Note 2 5 3 3 5" xfId="25691"/>
    <cellStyle name="Note 2 15 6 5 3" xfId="25692"/>
    <cellStyle name="Output 2 4 2 9 6" xfId="25693"/>
    <cellStyle name="Note 2 15 6 6" xfId="25694"/>
    <cellStyle name="Note 2 15 6 7" xfId="25695"/>
    <cellStyle name="Note 2 3 2 5 3 2" xfId="25696"/>
    <cellStyle name="Output 2 11 7 3 4" xfId="25697"/>
    <cellStyle name="Note 2 15 7 2" xfId="25698"/>
    <cellStyle name="Output 2 5 7 2 2" xfId="25699"/>
    <cellStyle name="Output 2 10 3 7 7" xfId="25700"/>
    <cellStyle name="Note 2 15 7 2 2" xfId="25701"/>
    <cellStyle name="Output 2 4 3 6 5" xfId="25702"/>
    <cellStyle name="Output 2 15 10 2 2" xfId="25703"/>
    <cellStyle name="Note 2 15 7 2 3" xfId="25704"/>
    <cellStyle name="Output 2 4 3 6 6" xfId="25705"/>
    <cellStyle name="Output 2 15 10 2 3" xfId="25706"/>
    <cellStyle name="Note 2 15 7 2 4" xfId="25707"/>
    <cellStyle name="Output 2 4 3 6 7" xfId="25708"/>
    <cellStyle name="Note 2 15 7 3" xfId="25709"/>
    <cellStyle name="Output 2 5 7 2 3" xfId="25710"/>
    <cellStyle name="Output 2 10 3 8 7" xfId="25711"/>
    <cellStyle name="Note 2 15 7 3 2" xfId="25712"/>
    <cellStyle name="Output 2 4 3 7 5" xfId="25713"/>
    <cellStyle name="Output 2 15 10 3 2" xfId="25714"/>
    <cellStyle name="Note 2 15 7 3 3" xfId="25715"/>
    <cellStyle name="Output 2 4 3 7 6" xfId="25716"/>
    <cellStyle name="Output 2 15 10 3 3" xfId="25717"/>
    <cellStyle name="Note 2 15 7 3 4" xfId="25718"/>
    <cellStyle name="Output 2 4 3 7 7" xfId="25719"/>
    <cellStyle name="Note 2 15 7 4" xfId="25720"/>
    <cellStyle name="Output 2 5 7 2 4" xfId="25721"/>
    <cellStyle name="Note 2 5 4 2 4" xfId="25722"/>
    <cellStyle name="Output 2 10 3 9 7" xfId="25723"/>
    <cellStyle name="Note 2 15 7 4 2" xfId="25724"/>
    <cellStyle name="Output 2 4 3 8 5" xfId="25725"/>
    <cellStyle name="Output 2 15 10 4 2" xfId="25726"/>
    <cellStyle name="Note 2 15 7 4 3" xfId="25727"/>
    <cellStyle name="Output 2 4 3 8 6" xfId="25728"/>
    <cellStyle name="Note 2 5 4 3 4" xfId="25729"/>
    <cellStyle name="Note 2 15 7 5 2" xfId="25730"/>
    <cellStyle name="Output 2 4 3 9 5" xfId="25731"/>
    <cellStyle name="Output 2 15 10 5 2" xfId="25732"/>
    <cellStyle name="Note 2 15 7 5 3" xfId="25733"/>
    <cellStyle name="Output 2 4 3 9 6" xfId="25734"/>
    <cellStyle name="Note 2 15 8" xfId="25735"/>
    <cellStyle name="Note 2 20 8" xfId="25736"/>
    <cellStyle name="Output 2 5 7 3" xfId="25737"/>
    <cellStyle name="Note 2 15 8 2" xfId="25738"/>
    <cellStyle name="Output 2 5 7 3 2" xfId="25739"/>
    <cellStyle name="Note 2 15 8 2 2" xfId="25740"/>
    <cellStyle name="Note 2 15 8 2 3" xfId="25741"/>
    <cellStyle name="Note 2 15 8 2 4" xfId="25742"/>
    <cellStyle name="Note 2 15 8 3" xfId="25743"/>
    <cellStyle name="Output 2 5 7 3 3" xfId="25744"/>
    <cellStyle name="Note 2 15 8 3 2" xfId="25745"/>
    <cellStyle name="Note 2 15 8 3 3" xfId="25746"/>
    <cellStyle name="Note 2 15 8 3 4" xfId="25747"/>
    <cellStyle name="Note 2 15 8 4" xfId="25748"/>
    <cellStyle name="Output 2 5 7 3 4" xfId="25749"/>
    <cellStyle name="Note 2 15 8 4 2" xfId="25750"/>
    <cellStyle name="Note 2 5 5 2 4" xfId="25751"/>
    <cellStyle name="Note 2 15 8 4 3" xfId="25752"/>
    <cellStyle name="Note 2 15 8 5 2" xfId="25753"/>
    <cellStyle name="Note 2 5 5 3 4" xfId="25754"/>
    <cellStyle name="Note 2 15 8 5 3" xfId="25755"/>
    <cellStyle name="Output 2 13 2 8 2" xfId="25756"/>
    <cellStyle name="Note 2 15 9" xfId="25757"/>
    <cellStyle name="Output 2 5 7 4" xfId="25758"/>
    <cellStyle name="Output 2 13 2 8 2 2" xfId="25759"/>
    <cellStyle name="Note 2 15 9 2" xfId="25760"/>
    <cellStyle name="Output 2 5 7 4 2" xfId="25761"/>
    <cellStyle name="Note 2 15 9 2 2" xfId="25762"/>
    <cellStyle name="Note 2 15 9 2 3" xfId="25763"/>
    <cellStyle name="Note 2 15 9 2 4" xfId="25764"/>
    <cellStyle name="Output 2 13 2 8 2 3" xfId="25765"/>
    <cellStyle name="Note 2 15 9 3" xfId="25766"/>
    <cellStyle name="Output 2 5 7 4 3" xfId="25767"/>
    <cellStyle name="Note 2 15 9 3 2" xfId="25768"/>
    <cellStyle name="Note 2 15 9 3 3" xfId="25769"/>
    <cellStyle name="Note 2 15 9 3 4" xfId="25770"/>
    <cellStyle name="Note 2 15 9 4" xfId="25771"/>
    <cellStyle name="Output 2 13 2 8 2 4" xfId="25772"/>
    <cellStyle name="Note 2 15 9 4 2" xfId="25773"/>
    <cellStyle name="Note 2 5 6 2 4" xfId="25774"/>
    <cellStyle name="Note 2 15 9 4 3" xfId="25775"/>
    <cellStyle name="Note 2 15 9 5 2" xfId="25776"/>
    <cellStyle name="Note 2 5 6 3 4" xfId="25777"/>
    <cellStyle name="Note 2 15 9 5 3" xfId="25778"/>
    <cellStyle name="Note 2 16 10 2 2" xfId="25779"/>
    <cellStyle name="Output 2 18 2 2" xfId="25780"/>
    <cellStyle name="Output 2 23 2 2" xfId="25781"/>
    <cellStyle name="Total 2 10 8 2 3" xfId="25782"/>
    <cellStyle name="Note 2 16 10 2 3" xfId="25783"/>
    <cellStyle name="Output 2 18 2 3" xfId="25784"/>
    <cellStyle name="Output 2 23 2 3" xfId="25785"/>
    <cellStyle name="Total 2 10 8 2 4" xfId="25786"/>
    <cellStyle name="Note 2 16 10 2 4" xfId="25787"/>
    <cellStyle name="Output 2 18 2 4" xfId="25788"/>
    <cellStyle name="Output 2 23 2 4" xfId="25789"/>
    <cellStyle name="Note 2 16 10 3 2" xfId="25790"/>
    <cellStyle name="Output 2 18 3 2" xfId="25791"/>
    <cellStyle name="Output 2 23 3 2" xfId="25792"/>
    <cellStyle name="Total 2 10 8 3 3" xfId="25793"/>
    <cellStyle name="Note 2 16 10 3 3" xfId="25794"/>
    <cellStyle name="Output 2 18 3 3" xfId="25795"/>
    <cellStyle name="Output 2 23 3 3" xfId="25796"/>
    <cellStyle name="Total 2 10 8 3 4" xfId="25797"/>
    <cellStyle name="Note 2 16 10 3 4" xfId="25798"/>
    <cellStyle name="Output 2 18 3 4" xfId="25799"/>
    <cellStyle name="Output 2 23 3 4" xfId="25800"/>
    <cellStyle name="Note 2 16 10 4 2" xfId="25801"/>
    <cellStyle name="Output 2 18 4 2" xfId="25802"/>
    <cellStyle name="Output 2 23 4 2" xfId="25803"/>
    <cellStyle name="Total 2 10 8 4 3" xfId="25804"/>
    <cellStyle name="Note 2 16 10 5 2" xfId="25805"/>
    <cellStyle name="Output 2 18 5 2" xfId="25806"/>
    <cellStyle name="Output 2 23 5 2" xfId="25807"/>
    <cellStyle name="Total 2 10 8 5 3" xfId="25808"/>
    <cellStyle name="Note 2 16 10 5 3" xfId="25809"/>
    <cellStyle name="Output 2 18 5 3" xfId="25810"/>
    <cellStyle name="Output 2 23 5 3" xfId="25811"/>
    <cellStyle name="Note 2 16 11 2" xfId="25812"/>
    <cellStyle name="Output 2 19 2" xfId="25813"/>
    <cellStyle name="Output 2 24 2" xfId="25814"/>
    <cellStyle name="Note 2 16 11 3" xfId="25815"/>
    <cellStyle name="Output 2 19 3" xfId="25816"/>
    <cellStyle name="Output 2 24 3" xfId="25817"/>
    <cellStyle name="Note 2 16 11 4" xfId="25818"/>
    <cellStyle name="Output 2 19 4" xfId="25819"/>
    <cellStyle name="Output 2 24 4" xfId="25820"/>
    <cellStyle name="Note 2 16 12 2" xfId="25821"/>
    <cellStyle name="Output 2 25 2" xfId="25822"/>
    <cellStyle name="Output 2 30 2" xfId="25823"/>
    <cellStyle name="Note 2 16 12 3" xfId="25824"/>
    <cellStyle name="Output 2 25 3" xfId="25825"/>
    <cellStyle name="Output 2 30 3" xfId="25826"/>
    <cellStyle name="Note 2 16 12 4" xfId="25827"/>
    <cellStyle name="Output 2 25 4" xfId="25828"/>
    <cellStyle name="Note 2 16 13" xfId="25829"/>
    <cellStyle name="Note 2 3 7 2 3" xfId="25830"/>
    <cellStyle name="Output 2 26" xfId="25831"/>
    <cellStyle name="Output 2 31" xfId="25832"/>
    <cellStyle name="Note 2 16 13 2" xfId="25833"/>
    <cellStyle name="Output 2 26 2" xfId="25834"/>
    <cellStyle name="Note 2 16 13 3" xfId="25835"/>
    <cellStyle name="Output 2 26 3" xfId="25836"/>
    <cellStyle name="Note 2 16 14" xfId="25837"/>
    <cellStyle name="Note 2 3 7 2 4" xfId="25838"/>
    <cellStyle name="Output 2 27" xfId="25839"/>
    <cellStyle name="Output 2 32" xfId="25840"/>
    <cellStyle name="Note 2 16 14 2" xfId="25841"/>
    <cellStyle name="Output 2 27 2" xfId="25842"/>
    <cellStyle name="Note 2 16 14 3" xfId="25843"/>
    <cellStyle name="Output 2 27 3" xfId="25844"/>
    <cellStyle name="Note 2 16 15" xfId="25845"/>
    <cellStyle name="Output 2 28" xfId="25846"/>
    <cellStyle name="Output 2 33" xfId="25847"/>
    <cellStyle name="Note 2 16 16" xfId="25848"/>
    <cellStyle name="Output 2 29" xfId="25849"/>
    <cellStyle name="Note 2 16 17" xfId="25850"/>
    <cellStyle name="Note 2 16 2" xfId="25851"/>
    <cellStyle name="Note 2 21 2" xfId="25852"/>
    <cellStyle name="Note 2 16 2 2 4" xfId="25853"/>
    <cellStyle name="Note 2 16 2 3 2" xfId="25854"/>
    <cellStyle name="Note 2 16 2 3 3" xfId="25855"/>
    <cellStyle name="Note 2 16 2 3 4" xfId="25856"/>
    <cellStyle name="Note 2 16 2 4 2" xfId="25857"/>
    <cellStyle name="Note 2 16 2 4 3" xfId="25858"/>
    <cellStyle name="Note 2 16 2 5 2" xfId="25859"/>
    <cellStyle name="Note 2 16 2 5 3" xfId="25860"/>
    <cellStyle name="Note 2 16 2 7" xfId="25861"/>
    <cellStyle name="Note 2 16 3" xfId="25862"/>
    <cellStyle name="Note 2 21 3" xfId="25863"/>
    <cellStyle name="Note 2 16 3 2 4" xfId="25864"/>
    <cellStyle name="Note 2 3 11 7" xfId="25865"/>
    <cellStyle name="Note 2 16 3 3 2" xfId="25866"/>
    <cellStyle name="Note 2 3 12 5" xfId="25867"/>
    <cellStyle name="Note 2 9 2 10 7" xfId="25868"/>
    <cellStyle name="Note 2 16 3 3 3" xfId="25869"/>
    <cellStyle name="Note 2 3 12 6" xfId="25870"/>
    <cellStyle name="Note 2 16 3 3 4" xfId="25871"/>
    <cellStyle name="Note 2 3 12 7" xfId="25872"/>
    <cellStyle name="Note 2 16 3 4 2" xfId="25873"/>
    <cellStyle name="Note 2 3 13 5" xfId="25874"/>
    <cellStyle name="Note 2 16 3 4 3" xfId="25875"/>
    <cellStyle name="Note 2 16 3 5" xfId="25876"/>
    <cellStyle name="Note 2 16 3 5 2" xfId="25877"/>
    <cellStyle name="Note 2 3 14 5" xfId="25878"/>
    <cellStyle name="Note 2 16 3 5 3" xfId="25879"/>
    <cellStyle name="Note 2 16 3 6" xfId="25880"/>
    <cellStyle name="Note 2 16 3 7" xfId="25881"/>
    <cellStyle name="Note 2 16 4" xfId="25882"/>
    <cellStyle name="Note 2 21 4" xfId="25883"/>
    <cellStyle name="Note 2 16 4 2 4" xfId="25884"/>
    <cellStyle name="Note 2 16 4 3 2" xfId="25885"/>
    <cellStyle name="Note 2 16 4 3 3" xfId="25886"/>
    <cellStyle name="Note 2 16 4 3 4" xfId="25887"/>
    <cellStyle name="Note 2 16 4 4 2" xfId="25888"/>
    <cellStyle name="Note 2 16 4 4 3" xfId="25889"/>
    <cellStyle name="Note 2 16 4 5" xfId="25890"/>
    <cellStyle name="Note 2 16 4 5 2" xfId="25891"/>
    <cellStyle name="Note 2 16 4 5 3" xfId="25892"/>
    <cellStyle name="Note 2 16 4 6" xfId="25893"/>
    <cellStyle name="Note 2 16 4 7" xfId="25894"/>
    <cellStyle name="Note 2 16 5" xfId="25895"/>
    <cellStyle name="Note 2 21 5" xfId="25896"/>
    <cellStyle name="Note 2 16 5 3 2" xfId="25897"/>
    <cellStyle name="Note 2 16 5 4 2" xfId="25898"/>
    <cellStyle name="Note 2 6 2 2 4" xfId="25899"/>
    <cellStyle name="Note 2 16 5 5" xfId="25900"/>
    <cellStyle name="Note 2 16 5 5 2" xfId="25901"/>
    <cellStyle name="Note 2 6 2 3 4" xfId="25902"/>
    <cellStyle name="Note 2 16 5 6" xfId="25903"/>
    <cellStyle name="Note 2 16 5 7" xfId="25904"/>
    <cellStyle name="Note 2 3 2 6 2 2" xfId="25905"/>
    <cellStyle name="Note 2 16 6" xfId="25906"/>
    <cellStyle name="Note 2 21 6" xfId="25907"/>
    <cellStyle name="Output 2 11 2 8 7" xfId="25908"/>
    <cellStyle name="Note 2 16 6 3 2" xfId="25909"/>
    <cellStyle name="Output 2 5 2 7 5" xfId="25910"/>
    <cellStyle name="Note 2 6 3 2 4" xfId="25911"/>
    <cellStyle name="Output 2 11 2 9 7" xfId="25912"/>
    <cellStyle name="Note 2 16 6 4 2" xfId="25913"/>
    <cellStyle name="Output 2 5 2 8 5" xfId="25914"/>
    <cellStyle name="Note 2 16 6 5" xfId="25915"/>
    <cellStyle name="Note 2 6 3 3 4" xfId="25916"/>
    <cellStyle name="Note 2 16 6 5 2" xfId="25917"/>
    <cellStyle name="Output 2 5 2 9 5" xfId="25918"/>
    <cellStyle name="Note 2 16 6 6" xfId="25919"/>
    <cellStyle name="Note 2 16 6 7" xfId="25920"/>
    <cellStyle name="Note 2 3 2 6 3 2" xfId="25921"/>
    <cellStyle name="Note 2 16 7" xfId="25922"/>
    <cellStyle name="Note 2 21 7" xfId="25923"/>
    <cellStyle name="Output 2 5 8 2" xfId="25924"/>
    <cellStyle name="Output 2 11 8 3 4" xfId="25925"/>
    <cellStyle name="Note 2 16 7 2" xfId="25926"/>
    <cellStyle name="Output 2 5 8 2 2" xfId="25927"/>
    <cellStyle name="Output 2 11 3 7 7" xfId="25928"/>
    <cellStyle name="Note 2 16 7 2 2" xfId="25929"/>
    <cellStyle name="Output 2 5 3 6 5" xfId="25930"/>
    <cellStyle name="Note 2 16 7 3" xfId="25931"/>
    <cellStyle name="Output 2 5 8 2 3" xfId="25932"/>
    <cellStyle name="Output 2 11 3 8 7" xfId="25933"/>
    <cellStyle name="Note 2 16 7 3 2" xfId="25934"/>
    <cellStyle name="Output 2 5 3 7 5" xfId="25935"/>
    <cellStyle name="Note 2 16 7 4" xfId="25936"/>
    <cellStyle name="Output 2 5 8 2 4" xfId="25937"/>
    <cellStyle name="Note 2 6 4 2 4" xfId="25938"/>
    <cellStyle name="Output 2 11 3 9 7" xfId="25939"/>
    <cellStyle name="Note 2 16 7 4 2" xfId="25940"/>
    <cellStyle name="Output 2 5 3 8 5" xfId="25941"/>
    <cellStyle name="Note 2 6 4 3 4" xfId="25942"/>
    <cellStyle name="Note 2 16 7 5 2" xfId="25943"/>
    <cellStyle name="Output 2 5 3 9 5" xfId="25944"/>
    <cellStyle name="Note 2 16 8" xfId="25945"/>
    <cellStyle name="Note 2 21 8" xfId="25946"/>
    <cellStyle name="Output 2 5 8 3" xfId="25947"/>
    <cellStyle name="Note 2 16 8 2" xfId="25948"/>
    <cellStyle name="Output 2 5 8 3 2" xfId="25949"/>
    <cellStyle name="Note 2 16 8 2 2" xfId="25950"/>
    <cellStyle name="Note 2 4 11 5" xfId="25951"/>
    <cellStyle name="Note 2 16 8 3" xfId="25952"/>
    <cellStyle name="Output 2 5 8 3 3" xfId="25953"/>
    <cellStyle name="Note 2 16 8 3 2" xfId="25954"/>
    <cellStyle name="Note 2 4 12 5" xfId="25955"/>
    <cellStyle name="Note 2 9 3 10 7" xfId="25956"/>
    <cellStyle name="Note 2 16 8 4" xfId="25957"/>
    <cellStyle name="Output 2 5 8 3 4" xfId="25958"/>
    <cellStyle name="Note 2 16 8 4 2" xfId="25959"/>
    <cellStyle name="Note 2 4 13 5" xfId="25960"/>
    <cellStyle name="Note 2 6 5 2 4" xfId="25961"/>
    <cellStyle name="Output 2 13 2 9 2" xfId="25962"/>
    <cellStyle name="Note 2 16 9" xfId="25963"/>
    <cellStyle name="Output 2 5 8 4" xfId="25964"/>
    <cellStyle name="Note 2 2 2 2 2 6" xfId="25965"/>
    <cellStyle name="Output 2 13 2 9 2 2" xfId="25966"/>
    <cellStyle name="Note 2 16 9 2" xfId="25967"/>
    <cellStyle name="Output 2 5 8 4 2" xfId="25968"/>
    <cellStyle name="Note 2 16 9 2 2" xfId="25969"/>
    <cellStyle name="Note 2 2 2 2 2 7" xfId="25970"/>
    <cellStyle name="Output 2 13 2 9 2 3" xfId="25971"/>
    <cellStyle name="Note 2 16 9 3" xfId="25972"/>
    <cellStyle name="Output 2 5 8 4 3" xfId="25973"/>
    <cellStyle name="Note 2 16 9 3 2" xfId="25974"/>
    <cellStyle name="Note 2 16 9 4" xfId="25975"/>
    <cellStyle name="Note 2 2 2 2 2 8" xfId="25976"/>
    <cellStyle name="Output 2 13 2 9 2 4" xfId="25977"/>
    <cellStyle name="Note 2 16 9 4 2" xfId="25978"/>
    <cellStyle name="Note 2 6 6 2 4" xfId="25979"/>
    <cellStyle name="Note 2 16 9 5 2" xfId="25980"/>
    <cellStyle name="Note 2 6 6 3 4" xfId="25981"/>
    <cellStyle name="Note 2 17 2" xfId="25982"/>
    <cellStyle name="Note 2 22 2" xfId="25983"/>
    <cellStyle name="Note 2 17 3" xfId="25984"/>
    <cellStyle name="Note 2 22 3" xfId="25985"/>
    <cellStyle name="Note 2 17 4" xfId="25986"/>
    <cellStyle name="Note 2 22 4" xfId="25987"/>
    <cellStyle name="Note 2 17 5" xfId="25988"/>
    <cellStyle name="Note 2 22 5" xfId="25989"/>
    <cellStyle name="Note 2 17 6" xfId="25990"/>
    <cellStyle name="Note 2 22 6" xfId="25991"/>
    <cellStyle name="Note 2 17 7" xfId="25992"/>
    <cellStyle name="Note 2 22 7" xfId="25993"/>
    <cellStyle name="Output 2 5 9 2" xfId="25994"/>
    <cellStyle name="Note 2 17 8" xfId="25995"/>
    <cellStyle name="Note 2 22 8" xfId="25996"/>
    <cellStyle name="Output 2 5 9 3" xfId="25997"/>
    <cellStyle name="Note 2 18 2" xfId="25998"/>
    <cellStyle name="Note 2 23 2" xfId="25999"/>
    <cellStyle name="Note 2 18 2 4" xfId="26000"/>
    <cellStyle name="Note 2 23 2 4" xfId="26001"/>
    <cellStyle name="Note 2 18 3" xfId="26002"/>
    <cellStyle name="Note 2 23 3" xfId="26003"/>
    <cellStyle name="Note 2 6 11 2 2" xfId="26004"/>
    <cellStyle name="Note 2 18 3 4" xfId="26005"/>
    <cellStyle name="Note 2 23 3 4" xfId="26006"/>
    <cellStyle name="Note 2 18 4" xfId="26007"/>
    <cellStyle name="Note 2 23 4" xfId="26008"/>
    <cellStyle name="Note 2 6 11 2 3" xfId="26009"/>
    <cellStyle name="Note 2 18 4 3" xfId="26010"/>
    <cellStyle name="Note 2 23 4 3" xfId="26011"/>
    <cellStyle name="Note 2 18 5" xfId="26012"/>
    <cellStyle name="Note 2 23 5" xfId="26013"/>
    <cellStyle name="Note 2 6 11 2 4" xfId="26014"/>
    <cellStyle name="Note 2 18 6" xfId="26015"/>
    <cellStyle name="Note 2 23 6" xfId="26016"/>
    <cellStyle name="Note 2 18 7" xfId="26017"/>
    <cellStyle name="Note 2 23 7" xfId="26018"/>
    <cellStyle name="Note 2 18 8" xfId="26019"/>
    <cellStyle name="Note 2 23 8" xfId="26020"/>
    <cellStyle name="Note 2 19 8" xfId="26021"/>
    <cellStyle name="Note 2 24 8" xfId="26022"/>
    <cellStyle name="Note 2 2" xfId="26023"/>
    <cellStyle name="Note 2 2 10" xfId="26024"/>
    <cellStyle name="Note 2 2 10 2" xfId="26025"/>
    <cellStyle name="Note 2 2 10 3" xfId="26026"/>
    <cellStyle name="Note 2 2 10 3 2" xfId="26027"/>
    <cellStyle name="Note 2 2 10 3 3" xfId="26028"/>
    <cellStyle name="Note 2 2 10 3 4" xfId="26029"/>
    <cellStyle name="Note 2 2 10 4" xfId="26030"/>
    <cellStyle name="Note 2 2 10 4 2" xfId="26031"/>
    <cellStyle name="Note 2 2 10 5" xfId="26032"/>
    <cellStyle name="Note 2 2 10 5 2" xfId="26033"/>
    <cellStyle name="Note 2 5 2 10 2 4" xfId="26034"/>
    <cellStyle name="Note 2 2 10 5 3" xfId="26035"/>
    <cellStyle name="Note 2 2 10 6 2" xfId="26036"/>
    <cellStyle name="Note 2 5 2 10 3 4" xfId="26037"/>
    <cellStyle name="Note 2 2 11" xfId="26038"/>
    <cellStyle name="Note 2 8 11 7" xfId="26039"/>
    <cellStyle name="Note 2 2 11 2 3" xfId="26040"/>
    <cellStyle name="Note 2 9 4" xfId="26041"/>
    <cellStyle name="Output 2 6 13" xfId="26042"/>
    <cellStyle name="Note 2 2 11 2 4" xfId="26043"/>
    <cellStyle name="Note 2 9 5" xfId="26044"/>
    <cellStyle name="Output 2 6 14" xfId="26045"/>
    <cellStyle name="Note 2 2 11 3" xfId="26046"/>
    <cellStyle name="Note 2 2 11 3 2" xfId="26047"/>
    <cellStyle name="Note 2 8 12 6" xfId="26048"/>
    <cellStyle name="Note 2 2 11 3 3" xfId="26049"/>
    <cellStyle name="Note 2 8 12 7" xfId="26050"/>
    <cellStyle name="Note 2 2 11 3 4" xfId="26051"/>
    <cellStyle name="Note 2 2 11 4" xfId="26052"/>
    <cellStyle name="Note 2 2 11 4 2" xfId="26053"/>
    <cellStyle name="Note 2 2 11 4 3" xfId="26054"/>
    <cellStyle name="Note 2 2 11 5" xfId="26055"/>
    <cellStyle name="Note 2 2 11 5 2" xfId="26056"/>
    <cellStyle name="Note 2 2 11 5 3" xfId="26057"/>
    <cellStyle name="Note 2 2 11 6 2" xfId="26058"/>
    <cellStyle name="Note 2 2 11 9" xfId="26059"/>
    <cellStyle name="Output 2 4 3 9 2 4" xfId="26060"/>
    <cellStyle name="Note 2 2 12" xfId="26061"/>
    <cellStyle name="Note 2 2 12 2 3" xfId="26062"/>
    <cellStyle name="Note 2 2 12 3" xfId="26063"/>
    <cellStyle name="Note 2 2 12 3 2" xfId="26064"/>
    <cellStyle name="Note 2 2 12 3 3" xfId="26065"/>
    <cellStyle name="Note 2 2 12 4" xfId="26066"/>
    <cellStyle name="Note 2 2 12 5" xfId="26067"/>
    <cellStyle name="Note 2 2 12 8" xfId="26068"/>
    <cellStyle name="Output 2 4 3 9 3 3" xfId="26069"/>
    <cellStyle name="Note 2 2 12 9" xfId="26070"/>
    <cellStyle name="Output 2 4 3 9 3 4" xfId="26071"/>
    <cellStyle name="Note 2 2 13" xfId="26072"/>
    <cellStyle name="Note 2 2 13 2" xfId="26073"/>
    <cellStyle name="Note 2 2 13 3" xfId="26074"/>
    <cellStyle name="Note 2 2 13 4" xfId="26075"/>
    <cellStyle name="Note 2 2 13 5" xfId="26076"/>
    <cellStyle name="Note 2 2 14" xfId="26077"/>
    <cellStyle name="Note 2 2 14 2" xfId="26078"/>
    <cellStyle name="Note 2 2 14 3" xfId="26079"/>
    <cellStyle name="Note 2 2 14 4" xfId="26080"/>
    <cellStyle name="Note 2 2 14 5" xfId="26081"/>
    <cellStyle name="Note 2 2 15" xfId="26082"/>
    <cellStyle name="Note 2 2 20" xfId="26083"/>
    <cellStyle name="Note 2 2 15 2" xfId="26084"/>
    <cellStyle name="Note 2 2 15 3" xfId="26085"/>
    <cellStyle name="Note 2 2 15 4" xfId="26086"/>
    <cellStyle name="Note 2 2 16" xfId="26087"/>
    <cellStyle name="Note 2 2 21" xfId="26088"/>
    <cellStyle name="Note 2 2 16 2" xfId="26089"/>
    <cellStyle name="Note 2 2 16 3" xfId="26090"/>
    <cellStyle name="Note 2 2 16 4" xfId="26091"/>
    <cellStyle name="Note 2 2 17" xfId="26092"/>
    <cellStyle name="Note 2 2 22" xfId="26093"/>
    <cellStyle name="Note 2 2 17 2" xfId="26094"/>
    <cellStyle name="Note 2 2 17 2 2" xfId="26095"/>
    <cellStyle name="Output 2 12 8 4" xfId="26096"/>
    <cellStyle name="Total 2 10 2 8 5" xfId="26097"/>
    <cellStyle name="Note 2 2 17 3" xfId="26098"/>
    <cellStyle name="Note 2 2 18" xfId="26099"/>
    <cellStyle name="Note 2 2 23" xfId="26100"/>
    <cellStyle name="Output 2 9 4 5 2" xfId="26101"/>
    <cellStyle name="Note 2 2 18 2" xfId="26102"/>
    <cellStyle name="Note 2 2 19" xfId="26103"/>
    <cellStyle name="Note 2 2 24" xfId="26104"/>
    <cellStyle name="Output 2 9 4 5 3" xfId="26105"/>
    <cellStyle name="Note 2 2 2" xfId="26106"/>
    <cellStyle name="Note 2 2 2 10 5" xfId="26107"/>
    <cellStyle name="Output 2 11 2 8 5 2" xfId="26108"/>
    <cellStyle name="Output 2 5 2 7 3 2" xfId="26109"/>
    <cellStyle name="Note 2 2 2 10 6" xfId="26110"/>
    <cellStyle name="Output 2 11 2 8 5 3" xfId="26111"/>
    <cellStyle name="Output 2 5 2 7 3 3" xfId="26112"/>
    <cellStyle name="Note 2 2 2 11 5" xfId="26113"/>
    <cellStyle name="Output 2 5 2 7 4 2" xfId="26114"/>
    <cellStyle name="Note 2 2 2 12" xfId="26115"/>
    <cellStyle name="Note 2 2 2 12 2" xfId="26116"/>
    <cellStyle name="Note 2 2 2 12 3" xfId="26117"/>
    <cellStyle name="Note 2 2 2 12 4" xfId="26118"/>
    <cellStyle name="Note 2 2 2 12 5" xfId="26119"/>
    <cellStyle name="Output 2 5 2 7 5 2" xfId="26120"/>
    <cellStyle name="Note 2 2 2 13" xfId="26121"/>
    <cellStyle name="Note 2 2 2 13 2" xfId="26122"/>
    <cellStyle name="Note 2 2 2 13 3" xfId="26123"/>
    <cellStyle name="Note 2 2 2 13 4" xfId="26124"/>
    <cellStyle name="Note 2 2 2 14" xfId="26125"/>
    <cellStyle name="Note 2 2 2 14 2" xfId="26126"/>
    <cellStyle name="Note 2 2 2 14 3" xfId="26127"/>
    <cellStyle name="Note 2 2 2 15" xfId="26128"/>
    <cellStyle name="Note 2 2 2 20" xfId="26129"/>
    <cellStyle name="Note 2 2 2 15 2" xfId="26130"/>
    <cellStyle name="Note 2 2 2 15 2 2" xfId="26131"/>
    <cellStyle name="Note 2 2 2 15 3" xfId="26132"/>
    <cellStyle name="Note 2 2 2 16" xfId="26133"/>
    <cellStyle name="Note 2 2 2 21" xfId="26134"/>
    <cellStyle name="Note 2 2 2 17" xfId="26135"/>
    <cellStyle name="Note 2 2 2 22" xfId="26136"/>
    <cellStyle name="Note 2 2 2 18" xfId="26137"/>
    <cellStyle name="Note 2 2 2 23" xfId="26138"/>
    <cellStyle name="Note 2 2 2 19" xfId="26139"/>
    <cellStyle name="Note 2 2 2 24" xfId="26140"/>
    <cellStyle name="Note 2 2 2 2" xfId="26141"/>
    <cellStyle name="Note 2 7 9 3 3" xfId="26142"/>
    <cellStyle name="Note 2 2 2 2 10" xfId="26143"/>
    <cellStyle name="Note 2 2 2 2 11" xfId="26144"/>
    <cellStyle name="Note 2 2 2 2 2 4" xfId="26145"/>
    <cellStyle name="Output 2 11 8 5 2" xfId="26146"/>
    <cellStyle name="Note 2 2 2 2 2 5" xfId="26147"/>
    <cellStyle name="Output 2 11 8 5 3" xfId="26148"/>
    <cellStyle name="Note 2 2 2 2 27" xfId="26149"/>
    <cellStyle name="Note 2 2 2 2 28" xfId="26150"/>
    <cellStyle name="Note 2 8 3 9 2 2" xfId="26151"/>
    <cellStyle name="Note 2 2 2 2 29" xfId="26152"/>
    <cellStyle name="Note 2 8 3 9 2 3" xfId="26153"/>
    <cellStyle name="Note 2 2 2 2 3 2 2 2 2" xfId="26154"/>
    <cellStyle name="Output 2 3 3 9 5 2" xfId="26155"/>
    <cellStyle name="Note 2 2 2 2 3 2 2 2 3" xfId="26156"/>
    <cellStyle name="Output 2 3 3 9 5 3" xfId="26157"/>
    <cellStyle name="Note 2 2 2 2 6 2 2 2" xfId="26158"/>
    <cellStyle name="Note 2 7 4 3 4" xfId="26159"/>
    <cellStyle name="Output 2 6 3 9 5" xfId="26160"/>
    <cellStyle name="Note 2 2 2 25" xfId="26161"/>
    <cellStyle name="Note 2 2 2 30" xfId="26162"/>
    <cellStyle name="Note 2 2 2 26" xfId="26163"/>
    <cellStyle name="Note 2 2 2 31" xfId="26164"/>
    <cellStyle name="Note 2 2 2 29" xfId="26165"/>
    <cellStyle name="Note 2 2 2 3" xfId="26166"/>
    <cellStyle name="Note 2 5 12 5 2" xfId="26167"/>
    <cellStyle name="Note 2 7 9 3 4" xfId="26168"/>
    <cellStyle name="Note 2 2 2 3 2 2 2 2" xfId="26169"/>
    <cellStyle name="Output 2 12 4 3 2" xfId="26170"/>
    <cellStyle name="Total 2 10 2 4 4 2" xfId="26171"/>
    <cellStyle name="Note 2 2 2 3 2 2 2 2 2 2 2" xfId="26172"/>
    <cellStyle name="Output 2 16 4 7" xfId="26173"/>
    <cellStyle name="Note 2 2 2 3 2 2 2 2 2 2 2 2" xfId="26174"/>
    <cellStyle name="Note 2 2 2 3 2 2 2 2 2 2 3" xfId="26175"/>
    <cellStyle name="Note 2 2 2 3 2 6" xfId="26176"/>
    <cellStyle name="Output 2 5 9 4 2" xfId="26177"/>
    <cellStyle name="Note 2 2 2 3 2 7" xfId="26178"/>
    <cellStyle name="Output 2 5 9 4 3" xfId="26179"/>
    <cellStyle name="Note 2 2 2 3 2 8" xfId="26180"/>
    <cellStyle name="Note 2 2 2 3 3 2 2" xfId="26181"/>
    <cellStyle name="Output 2 13 4 3" xfId="26182"/>
    <cellStyle name="Total 2 10 3 4 4" xfId="26183"/>
    <cellStyle name="Note 2 2 2 3 3 2 2 2" xfId="26184"/>
    <cellStyle name="Output 2 13 4 3 2" xfId="26185"/>
    <cellStyle name="Output 2 7 2 4" xfId="26186"/>
    <cellStyle name="Total 2 10 3 4 4 2" xfId="26187"/>
    <cellStyle name="Note 2 2 2 3 3 2 2 2 2" xfId="26188"/>
    <cellStyle name="Output 2 13 2 5 4" xfId="26189"/>
    <cellStyle name="Note 2 4 11" xfId="26190"/>
    <cellStyle name="Output 2 5 4 6" xfId="26191"/>
    <cellStyle name="Output 2 7 2 4 2" xfId="26192"/>
    <cellStyle name="Note 2 4 11 2" xfId="26193"/>
    <cellStyle name="Note 2 2 2 3 3 2 2 2 2 2" xfId="26194"/>
    <cellStyle name="Output 2 13 2 5 4 2" xfId="26195"/>
    <cellStyle name="Output 2 7 2 4 2 2" xfId="26196"/>
    <cellStyle name="Note 2 2 2 3 3 2 2 2 2 2 2" xfId="26197"/>
    <cellStyle name="Note 2 4 11 2 2" xfId="26198"/>
    <cellStyle name="Note 2 2 2 3 3 2 2 2 3" xfId="26199"/>
    <cellStyle name="Output 2 13 2 5 5" xfId="26200"/>
    <cellStyle name="Note 2 4 12" xfId="26201"/>
    <cellStyle name="Output 2 5 4 7" xfId="26202"/>
    <cellStyle name="Output 2 7 2 4 3" xfId="26203"/>
    <cellStyle name="Note 2 2 2 3 3 2 2 3" xfId="26204"/>
    <cellStyle name="Output 2 13 4 3 3" xfId="26205"/>
    <cellStyle name="Output 2 7 2 5" xfId="26206"/>
    <cellStyle name="Total 2 10 3 4 4 3" xfId="26207"/>
    <cellStyle name="Note 2 2 2 3 3 3 2" xfId="26208"/>
    <cellStyle name="Output 2 13 5 3" xfId="26209"/>
    <cellStyle name="Total 2 10 3 5 4" xfId="26210"/>
    <cellStyle name="Note 2 2 2 3 4 2 2" xfId="26211"/>
    <cellStyle name="Output 2 14 4 3" xfId="26212"/>
    <cellStyle name="Note 2 2 2 3 5 2 2" xfId="26213"/>
    <cellStyle name="Output 2 15 4 3" xfId="26214"/>
    <cellStyle name="Output 2 20 4 3" xfId="26215"/>
    <cellStyle name="Note 2 2 2 3 6 2 2" xfId="26216"/>
    <cellStyle name="Output 2 16 4 3" xfId="26217"/>
    <cellStyle name="Output 2 21 4 3" xfId="26218"/>
    <cellStyle name="Note 2 2 2 3 6 2 2 2" xfId="26219"/>
    <cellStyle name="Output 2 16 4 3 2" xfId="26220"/>
    <cellStyle name="Note 2 2 2 4" xfId="26221"/>
    <cellStyle name="Note 2 5 12 5 3" xfId="26222"/>
    <cellStyle name="Note 2 2 2 4 2 4" xfId="26223"/>
    <cellStyle name="Note 2 2 2 4 4 2 2" xfId="26224"/>
    <cellStyle name="Output 2 11 12 5 3" xfId="26225"/>
    <cellStyle name="Note 2 2 2 4 4 2 2 2" xfId="26226"/>
    <cellStyle name="Note 2 2 2 4 7 2" xfId="26227"/>
    <cellStyle name="Note 2 2 2 4 7 2 2" xfId="26228"/>
    <cellStyle name="Note 2 2 2 5 2 2 2 2 2 2" xfId="26229"/>
    <cellStyle name="Note 2 2 2 5 2 4" xfId="26230"/>
    <cellStyle name="Note 2 2 2 6 2 4" xfId="26231"/>
    <cellStyle name="Note 2 2 2 7 2 2" xfId="26232"/>
    <cellStyle name="Note 2 2 2 7 2 3" xfId="26233"/>
    <cellStyle name="Note 2 2 2 7 2 4" xfId="26234"/>
    <cellStyle name="Note 2 2 2 8" xfId="26235"/>
    <cellStyle name="Note 2 2 2 9 2" xfId="26236"/>
    <cellStyle name="Note 2 2 2 9 2 2" xfId="26237"/>
    <cellStyle name="Note 2 2 2 9 2 3" xfId="26238"/>
    <cellStyle name="Note 2 2 2 9 2 4" xfId="26239"/>
    <cellStyle name="Output 2 12 2 14 2" xfId="26240"/>
    <cellStyle name="Note 2 2 2 9 3" xfId="26241"/>
    <cellStyle name="Note 2 2 2 9 3 2" xfId="26242"/>
    <cellStyle name="Note 2 2 2 9 3 3" xfId="26243"/>
    <cellStyle name="Note 2 2 2 9 3 4" xfId="26244"/>
    <cellStyle name="Note 2 2 2 9 4" xfId="26245"/>
    <cellStyle name="Note 2 2 2 9 5" xfId="26246"/>
    <cellStyle name="Note 2 2 2 9 6" xfId="26247"/>
    <cellStyle name="Output 2 6 2 2 4 2" xfId="26248"/>
    <cellStyle name="Note 2 2 2 9 6 2" xfId="26249"/>
    <cellStyle name="Note 2 2 2 9 7" xfId="26250"/>
    <cellStyle name="Output 2 6 2 2 4 3" xfId="26251"/>
    <cellStyle name="Note 2 2 2 9 8" xfId="26252"/>
    <cellStyle name="Note 2 2 25" xfId="26253"/>
    <cellStyle name="Note 2 2 30" xfId="26254"/>
    <cellStyle name="Note 2 2 26" xfId="26255"/>
    <cellStyle name="Note 2 2 31" xfId="26256"/>
    <cellStyle name="Note 2 2 27" xfId="26257"/>
    <cellStyle name="Note 2 2 32" xfId="26258"/>
    <cellStyle name="Note 2 2 28" xfId="26259"/>
    <cellStyle name="Note 2 2 33" xfId="26260"/>
    <cellStyle name="Note 2 2 29" xfId="26261"/>
    <cellStyle name="Note 2 2 34" xfId="26262"/>
    <cellStyle name="Note 2 2 3" xfId="26263"/>
    <cellStyle name="Note 2 2 3 10" xfId="26264"/>
    <cellStyle name="Note 2 2 3 10 2" xfId="26265"/>
    <cellStyle name="Note 2 2 3 10 3" xfId="26266"/>
    <cellStyle name="Note 2 2 3 10 4" xfId="26267"/>
    <cellStyle name="Note 2 2 3 10 4 2" xfId="26268"/>
    <cellStyle name="Note 2 2 3 10 5" xfId="26269"/>
    <cellStyle name="Note 2 6 3 6 2 2" xfId="26270"/>
    <cellStyle name="Note 2 2 3 10 5 2" xfId="26271"/>
    <cellStyle name="Output 2 9 2 9 2 4" xfId="26272"/>
    <cellStyle name="Note 2 2 3 10 6" xfId="26273"/>
    <cellStyle name="Note 2 6 3 6 2 3" xfId="26274"/>
    <cellStyle name="Note 2 2 3 11" xfId="26275"/>
    <cellStyle name="Note 2 2 3 11 2" xfId="26276"/>
    <cellStyle name="Note 2 2 3 11 3" xfId="26277"/>
    <cellStyle name="Note 2 2 3 11 4" xfId="26278"/>
    <cellStyle name="Note 2 2 3 11 5" xfId="26279"/>
    <cellStyle name="Note 2 6 3 6 3 2" xfId="26280"/>
    <cellStyle name="Note 2 2 3 12" xfId="26281"/>
    <cellStyle name="Note 2 2 3 12 3" xfId="26282"/>
    <cellStyle name="Note 2 2 3 12 4" xfId="26283"/>
    <cellStyle name="Note 2 2 3 12 5" xfId="26284"/>
    <cellStyle name="Note 2 6 3 6 4 2" xfId="26285"/>
    <cellStyle name="Note 2 2 3 13" xfId="26286"/>
    <cellStyle name="Note 2 2 3 13 2" xfId="26287"/>
    <cellStyle name="Note 2 2 3 13 3" xfId="26288"/>
    <cellStyle name="Note 2 2 3 13 4" xfId="26289"/>
    <cellStyle name="Note 2 2 3 14" xfId="26290"/>
    <cellStyle name="Note 2 2 3 14 2" xfId="26291"/>
    <cellStyle name="Note 2 2 3 14 3" xfId="26292"/>
    <cellStyle name="Note 2 2 3 15" xfId="26293"/>
    <cellStyle name="Note 2 2 3 20" xfId="26294"/>
    <cellStyle name="Note 2 2 3 15 2" xfId="26295"/>
    <cellStyle name="Note 2 2 3 15 2 2" xfId="26296"/>
    <cellStyle name="Note 2 4 4 4 3" xfId="26297"/>
    <cellStyle name="Note 2 2 3 15 3" xfId="26298"/>
    <cellStyle name="Note 2 2 3 16" xfId="26299"/>
    <cellStyle name="Note 2 2 3 21" xfId="26300"/>
    <cellStyle name="Note 2 2 3 16 2" xfId="26301"/>
    <cellStyle name="Note 2 2 3 17" xfId="26302"/>
    <cellStyle name="Note 2 2 3 22" xfId="26303"/>
    <cellStyle name="Note 2 2 3 17 2" xfId="26304"/>
    <cellStyle name="Note 2 2 3 18" xfId="26305"/>
    <cellStyle name="Note 2 2 3 23" xfId="26306"/>
    <cellStyle name="Note 2 2 3 19" xfId="26307"/>
    <cellStyle name="Note 2 2 3 24" xfId="26308"/>
    <cellStyle name="Note 2 2 3 2" xfId="26309"/>
    <cellStyle name="Note 2 7 9 4 3" xfId="26310"/>
    <cellStyle name="Note 2 2 3 2 10" xfId="26311"/>
    <cellStyle name="Note 2 2 3 2 11" xfId="26312"/>
    <cellStyle name="Note 2 2 3 2 12" xfId="26313"/>
    <cellStyle name="Note 2 2 3 2 27" xfId="26314"/>
    <cellStyle name="Note 2 2 3 2 28" xfId="26315"/>
    <cellStyle name="Note 2 2 3 2 29" xfId="26316"/>
    <cellStyle name="Note 2 2 3 25" xfId="26317"/>
    <cellStyle name="Note 2 2 3 30" xfId="26318"/>
    <cellStyle name="Note 2 2 3 3" xfId="26319"/>
    <cellStyle name="Note 2 2 3 3 2 4" xfId="26320"/>
    <cellStyle name="Output 2 12 9 5 2" xfId="26321"/>
    <cellStyle name="Note 2 2 3 3 6 2 2" xfId="26322"/>
    <cellStyle name="Note 2 2 3 4" xfId="26323"/>
    <cellStyle name="Note 2 2 3 4 2 2 2" xfId="26324"/>
    <cellStyle name="Output 2 16 10 5 3" xfId="26325"/>
    <cellStyle name="Output 2 9 3 9 7" xfId="26326"/>
    <cellStyle name="Note 2 2 3 4 2 2 2 2 2 2" xfId="26327"/>
    <cellStyle name="Note 2 2 3 4 2 2 2 2 3" xfId="26328"/>
    <cellStyle name="Note 2 2 3 4 2 2 3" xfId="26329"/>
    <cellStyle name="Note 2 2 3 4 2 3 2" xfId="26330"/>
    <cellStyle name="Note 2 2 3 4 2 4" xfId="26331"/>
    <cellStyle name="Output 2 4 10 5 2" xfId="26332"/>
    <cellStyle name="Note 2 2 3 4 3 2 2" xfId="26333"/>
    <cellStyle name="Note 2 2 3 5 2 4" xfId="26334"/>
    <cellStyle name="Output 2 4 11 5 2" xfId="26335"/>
    <cellStyle name="Note 2 2 3 7 2 2" xfId="26336"/>
    <cellStyle name="Note 2 2 3 7 2 3" xfId="26337"/>
    <cellStyle name="Note 2 2 3 7 2 4" xfId="26338"/>
    <cellStyle name="Note 2 2 3 9 2" xfId="26339"/>
    <cellStyle name="Note 2 2 3 9 3 2" xfId="26340"/>
    <cellStyle name="Note 2 2 3 9 3 3" xfId="26341"/>
    <cellStyle name="Note 2 2 3 9 3 4" xfId="26342"/>
    <cellStyle name="Note 2 2 4" xfId="26343"/>
    <cellStyle name="Output 2 2 2 3 2 2" xfId="26344"/>
    <cellStyle name="Note 2 2 4 10" xfId="26345"/>
    <cellStyle name="Note 2 2 4 11" xfId="26346"/>
    <cellStyle name="Note 2 2 4 12" xfId="26347"/>
    <cellStyle name="Note 2 2 4 13" xfId="26348"/>
    <cellStyle name="Note 2 2 4 14" xfId="26349"/>
    <cellStyle name="Note 2 2 4 15" xfId="26350"/>
    <cellStyle name="Note 2 2 4 20" xfId="26351"/>
    <cellStyle name="Note 2 2 4 19" xfId="26352"/>
    <cellStyle name="Note 2 2 4 24" xfId="26353"/>
    <cellStyle name="Note 2 2 4 2" xfId="26354"/>
    <cellStyle name="Note 2 7 9 5 3" xfId="26355"/>
    <cellStyle name="Note 2 2 4 25" xfId="26356"/>
    <cellStyle name="Note 2 2 4 30" xfId="26357"/>
    <cellStyle name="Note 2 2 4 29" xfId="26358"/>
    <cellStyle name="Note 2 2 4 3" xfId="26359"/>
    <cellStyle name="Note 2 2 4 4" xfId="26360"/>
    <cellStyle name="Note 2 2 5" xfId="26361"/>
    <cellStyle name="Output 2 2 2 3 2 3" xfId="26362"/>
    <cellStyle name="Note 2 2 5 10" xfId="26363"/>
    <cellStyle name="Note 2 2 5 11" xfId="26364"/>
    <cellStyle name="Note 2 2 5 14" xfId="26365"/>
    <cellStyle name="Note 2 2 5 15" xfId="26366"/>
    <cellStyle name="Note 2 2 5 20" xfId="26367"/>
    <cellStyle name="Note 2 2 5 18" xfId="26368"/>
    <cellStyle name="Note 2 2 5 23" xfId="26369"/>
    <cellStyle name="Note 2 7 2 9 4 2" xfId="26370"/>
    <cellStyle name="Note 2 2 5 19" xfId="26371"/>
    <cellStyle name="Note 2 2 5 24" xfId="26372"/>
    <cellStyle name="Note 2 7 2 9 4 3" xfId="26373"/>
    <cellStyle name="Note 2 2 5 2" xfId="26374"/>
    <cellStyle name="Note 2 2 5 25" xfId="26375"/>
    <cellStyle name="Note 2 2 5 30" xfId="26376"/>
    <cellStyle name="Note 2 2 5 26" xfId="26377"/>
    <cellStyle name="Note 2 2 5 27" xfId="26378"/>
    <cellStyle name="Note 2 2 5 28" xfId="26379"/>
    <cellStyle name="Output 2 3 3 5 5 2" xfId="26380"/>
    <cellStyle name="Note 2 2 5 29" xfId="26381"/>
    <cellStyle name="Output 2 3 3 5 5 3" xfId="26382"/>
    <cellStyle name="Note 2 2 5 3" xfId="26383"/>
    <cellStyle name="Note 2 2 5 4" xfId="26384"/>
    <cellStyle name="Note 2 2 6 2 3" xfId="26385"/>
    <cellStyle name="Note 2 2 6 3" xfId="26386"/>
    <cellStyle name="Note 2 2 6 3 3" xfId="26387"/>
    <cellStyle name="Note 2 2 6 4" xfId="26388"/>
    <cellStyle name="Note 2 2 6 4 2" xfId="26389"/>
    <cellStyle name="Note 2 2 6 4 3" xfId="26390"/>
    <cellStyle name="Note 2 2 6 5" xfId="26391"/>
    <cellStyle name="Output 2 4 3 10 4 2" xfId="26392"/>
    <cellStyle name="Note 2 2 6 5 2" xfId="26393"/>
    <cellStyle name="Note 2 2 6 5 3" xfId="26394"/>
    <cellStyle name="Note 2 2 6 6" xfId="26395"/>
    <cellStyle name="Output 2 4 3 10 4 3" xfId="26396"/>
    <cellStyle name="Note 2 2 6 6 2" xfId="26397"/>
    <cellStyle name="Note 2 2 7" xfId="26398"/>
    <cellStyle name="Note 2 9 2 4 2" xfId="26399"/>
    <cellStyle name="Output 2 6 11 4 2" xfId="26400"/>
    <cellStyle name="Total 2 11 2 3 5 3" xfId="26401"/>
    <cellStyle name="Note 2 2 7 2" xfId="26402"/>
    <cellStyle name="Note 2 9 2 4 2 2" xfId="26403"/>
    <cellStyle name="Note 2 2 7 2 2" xfId="26404"/>
    <cellStyle name="Note 2 2 7 2 3" xfId="26405"/>
    <cellStyle name="Note 2 2 7 2 4" xfId="26406"/>
    <cellStyle name="Note 2 4 10 4 2" xfId="26407"/>
    <cellStyle name="Note 2 2 7 3" xfId="26408"/>
    <cellStyle name="Note 2 9 2 4 2 3" xfId="26409"/>
    <cellStyle name="Note 2 2 7 3 2" xfId="26410"/>
    <cellStyle name="Note 2 2 7 3 3" xfId="26411"/>
    <cellStyle name="Note 2 2 7 3 4" xfId="26412"/>
    <cellStyle name="Note 2 4 10 5 2" xfId="26413"/>
    <cellStyle name="Note 2 2 7 4" xfId="26414"/>
    <cellStyle name="Note 2 9 2 4 2 4" xfId="26415"/>
    <cellStyle name="Note 2 2 7 4 2" xfId="26416"/>
    <cellStyle name="Note 2 2 7 4 3" xfId="26417"/>
    <cellStyle name="Note 2 2 7 5" xfId="26418"/>
    <cellStyle name="Output 2 4 3 10 5 2" xfId="26419"/>
    <cellStyle name="Note 2 2 7 5 2" xfId="26420"/>
    <cellStyle name="Note 2 2 7 5 3" xfId="26421"/>
    <cellStyle name="Note 2 2 7 6" xfId="26422"/>
    <cellStyle name="Output 2 4 3 10 5 3" xfId="26423"/>
    <cellStyle name="Note 2 2 7 6 2" xfId="26424"/>
    <cellStyle name="Note 2 2 8" xfId="26425"/>
    <cellStyle name="Note 2 9 2 4 3" xfId="26426"/>
    <cellStyle name="Output 2 6 11 4 3" xfId="26427"/>
    <cellStyle name="Note 2 2 8 2" xfId="26428"/>
    <cellStyle name="Note 2 9 2 4 3 2" xfId="26429"/>
    <cellStyle name="Note 2 2 8 2 4" xfId="26430"/>
    <cellStyle name="Note 2 4 11 4 2" xfId="26431"/>
    <cellStyle name="Note 2 2 8 3 4" xfId="26432"/>
    <cellStyle name="Note 2 4 11 5 2" xfId="26433"/>
    <cellStyle name="Output 2 3 3 10 7" xfId="26434"/>
    <cellStyle name="Note 2 2 8 6" xfId="26435"/>
    <cellStyle name="Note 2 2 8 9" xfId="26436"/>
    <cellStyle name="Note 2 2 9" xfId="26437"/>
    <cellStyle name="Note 2 9 2 4 4" xfId="26438"/>
    <cellStyle name="Note 2 2 9 2 3" xfId="26439"/>
    <cellStyle name="Note 2 2 9 2 4" xfId="26440"/>
    <cellStyle name="Note 2 4 12 4 2" xfId="26441"/>
    <cellStyle name="Note 2 2 9 3 3" xfId="26442"/>
    <cellStyle name="Note 2 2 9 3 4" xfId="26443"/>
    <cellStyle name="Note 2 4 12 5 2" xfId="26444"/>
    <cellStyle name="Note 2 2 9 4 3" xfId="26445"/>
    <cellStyle name="Note 2 2 9 5 3" xfId="26446"/>
    <cellStyle name="Note 2 2 9 6" xfId="26447"/>
    <cellStyle name="Note 2 2 9 9" xfId="26448"/>
    <cellStyle name="Note 2 25" xfId="26449"/>
    <cellStyle name="Note 2 30" xfId="26450"/>
    <cellStyle name="Note 2 25 2" xfId="26451"/>
    <cellStyle name="Note 2 30 2" xfId="26452"/>
    <cellStyle name="Note 2 25 2 2" xfId="26453"/>
    <cellStyle name="Note 2 25 3" xfId="26454"/>
    <cellStyle name="Note 2 30 3" xfId="26455"/>
    <cellStyle name="Note 2 6 11 4 2" xfId="26456"/>
    <cellStyle name="Note 2 25 3 2" xfId="26457"/>
    <cellStyle name="Note 2 25 4" xfId="26458"/>
    <cellStyle name="Note 2 6 11 4 3" xfId="26459"/>
    <cellStyle name="Note 2 25 4 2" xfId="26460"/>
    <cellStyle name="Note 2 25 4 3" xfId="26461"/>
    <cellStyle name="Note 2 25 5" xfId="26462"/>
    <cellStyle name="Note 2 25 5 2" xfId="26463"/>
    <cellStyle name="Note 2 25 5 3" xfId="26464"/>
    <cellStyle name="Note 2 25 6" xfId="26465"/>
    <cellStyle name="Note 2 25 7" xfId="26466"/>
    <cellStyle name="Note 2 25 8" xfId="26467"/>
    <cellStyle name="Note 2 26" xfId="26468"/>
    <cellStyle name="Note 2 31" xfId="26469"/>
    <cellStyle name="Note 2 27" xfId="26470"/>
    <cellStyle name="Note 2 32" xfId="26471"/>
    <cellStyle name="Note 2 27 2" xfId="26472"/>
    <cellStyle name="Note 2 32 2" xfId="26473"/>
    <cellStyle name="Note 2 27 3" xfId="26474"/>
    <cellStyle name="Note 2 27 4" xfId="26475"/>
    <cellStyle name="Note 2 27 5" xfId="26476"/>
    <cellStyle name="Note 2 28" xfId="26477"/>
    <cellStyle name="Note 2 33" xfId="26478"/>
    <cellStyle name="Note 2 28 2" xfId="26479"/>
    <cellStyle name="Note 2 28 3" xfId="26480"/>
    <cellStyle name="Note 2 28 4" xfId="26481"/>
    <cellStyle name="Note 2 29" xfId="26482"/>
    <cellStyle name="Note 2 34" xfId="26483"/>
    <cellStyle name="Note 2 3" xfId="26484"/>
    <cellStyle name="Note 2 3 10" xfId="26485"/>
    <cellStyle name="Note 2 3 10 2 2" xfId="26486"/>
    <cellStyle name="Note 2 3 10 2 3" xfId="26487"/>
    <cellStyle name="Note 2 3 10 3 3" xfId="26488"/>
    <cellStyle name="Note 2 3 10 4 2" xfId="26489"/>
    <cellStyle name="Note 2 3 10 4 3" xfId="26490"/>
    <cellStyle name="Note 2 3 10 5 2" xfId="26491"/>
    <cellStyle name="Note 2 5 3 10 2 4" xfId="26492"/>
    <cellStyle name="Note 2 3 10 5 3" xfId="26493"/>
    <cellStyle name="Note 2 3 11" xfId="26494"/>
    <cellStyle name="Note 2 3 11 2" xfId="26495"/>
    <cellStyle name="Note 2 3 11 2 2" xfId="26496"/>
    <cellStyle name="Note 2 3 11 2 3" xfId="26497"/>
    <cellStyle name="Note 2 3 11 2 4" xfId="26498"/>
    <cellStyle name="Note 2 3 11 3" xfId="26499"/>
    <cellStyle name="Note 2 3 11 3 2" xfId="26500"/>
    <cellStyle name="Note 2 3 11 3 3" xfId="26501"/>
    <cellStyle name="Note 2 3 11 3 4" xfId="26502"/>
    <cellStyle name="Note 2 3 11 4" xfId="26503"/>
    <cellStyle name="Note 2 3 11 4 2" xfId="26504"/>
    <cellStyle name="Note 2 3 11 4 3" xfId="26505"/>
    <cellStyle name="Note 2 3 11 5 2" xfId="26506"/>
    <cellStyle name="Output 2 2 3 10 7" xfId="26507"/>
    <cellStyle name="Note 2 3 11 5 3" xfId="26508"/>
    <cellStyle name="Note 2 3 11 8" xfId="26509"/>
    <cellStyle name="Note 2 3 12" xfId="26510"/>
    <cellStyle name="Note 2 3 12 2" xfId="26511"/>
    <cellStyle name="Note 2 9 2 10 4" xfId="26512"/>
    <cellStyle name="Note 2 3 12 2 2" xfId="26513"/>
    <cellStyle name="Note 2 9 2 10 4 2" xfId="26514"/>
    <cellStyle name="Note 2 3 12 2 3" xfId="26515"/>
    <cellStyle name="Note 2 9 2 10 4 3" xfId="26516"/>
    <cellStyle name="Note 2 3 12 2 4" xfId="26517"/>
    <cellStyle name="Note 2 3 12 3" xfId="26518"/>
    <cellStyle name="Note 2 9 2 10 5" xfId="26519"/>
    <cellStyle name="Note 2 3 12 3 2" xfId="26520"/>
    <cellStyle name="Note 2 9 2 10 5 2" xfId="26521"/>
    <cellStyle name="Note 2 3 12 3 3" xfId="26522"/>
    <cellStyle name="Note 2 9 2 10 5 3" xfId="26523"/>
    <cellStyle name="Note 2 3 12 3 4" xfId="26524"/>
    <cellStyle name="Note 2 3 12 4" xfId="26525"/>
    <cellStyle name="Note 2 9 2 10 6" xfId="26526"/>
    <cellStyle name="Note 2 3 12 8" xfId="26527"/>
    <cellStyle name="Note 2 3 13" xfId="26528"/>
    <cellStyle name="Note 2 3 13 2" xfId="26529"/>
    <cellStyle name="Note 2 9 2 11 4" xfId="26530"/>
    <cellStyle name="Note 2 3 13 3" xfId="26531"/>
    <cellStyle name="Note 2 3 13 4" xfId="26532"/>
    <cellStyle name="Note 2 3 14" xfId="26533"/>
    <cellStyle name="Note 2 3 14 2" xfId="26534"/>
    <cellStyle name="Note 2 9 2 12 4" xfId="26535"/>
    <cellStyle name="Note 2 3 14 3" xfId="26536"/>
    <cellStyle name="Note 2 3 14 4" xfId="26537"/>
    <cellStyle name="Note 2 3 15" xfId="26538"/>
    <cellStyle name="Note 2 3 20" xfId="26539"/>
    <cellStyle name="Note 2 3 15 2" xfId="26540"/>
    <cellStyle name="Note 2 3 15 3" xfId="26541"/>
    <cellStyle name="Note 2 3 15 4" xfId="26542"/>
    <cellStyle name="Note 2 3 16" xfId="26543"/>
    <cellStyle name="Note 2 3 21" xfId="26544"/>
    <cellStyle name="Output 2 2 3 6 2 2" xfId="26545"/>
    <cellStyle name="Note 2 3 16 2" xfId="26546"/>
    <cellStyle name="Note 2 3 16 3" xfId="26547"/>
    <cellStyle name="Note 2 3 16 4" xfId="26548"/>
    <cellStyle name="Note 2 3 17" xfId="26549"/>
    <cellStyle name="Note 2 3 22" xfId="26550"/>
    <cellStyle name="Output 2 2 3 6 2 3" xfId="26551"/>
    <cellStyle name="Note 2 3 17 2" xfId="26552"/>
    <cellStyle name="Note 2 3 18" xfId="26553"/>
    <cellStyle name="Note 2 3 23" xfId="26554"/>
    <cellStyle name="Output 2 2 3 6 2 4" xfId="26555"/>
    <cellStyle name="Total 2 11 3 6 5 2" xfId="26556"/>
    <cellStyle name="Note 2 3 18 2" xfId="26557"/>
    <cellStyle name="Note 2 3 19" xfId="26558"/>
    <cellStyle name="Note 2 3 24" xfId="26559"/>
    <cellStyle name="Total 2 11 3 6 5 3" xfId="26560"/>
    <cellStyle name="Note 2 3 19 2" xfId="26561"/>
    <cellStyle name="Note 2 3 2" xfId="26562"/>
    <cellStyle name="Note 2 3 2 10 2 3" xfId="26563"/>
    <cellStyle name="Note 2 3 2 10 2 4" xfId="26564"/>
    <cellStyle name="Note 2 3 2 10 3 3" xfId="26565"/>
    <cellStyle name="Note 2 3 2 10 3 4" xfId="26566"/>
    <cellStyle name="Note 2 3 2 10 4" xfId="26567"/>
    <cellStyle name="Note 2 8 2 2 2 4" xfId="26568"/>
    <cellStyle name="Note 2 3 2 10 4 2" xfId="26569"/>
    <cellStyle name="Note 2 3 2 10 4 3" xfId="26570"/>
    <cellStyle name="Note 2 3 2 10 5" xfId="26571"/>
    <cellStyle name="Note 2 3 2 10 5 2" xfId="26572"/>
    <cellStyle name="Note 2 3 2 10 5 3" xfId="26573"/>
    <cellStyle name="Note 2 3 2 10 6" xfId="26574"/>
    <cellStyle name="Note 2 3 2 10 7" xfId="26575"/>
    <cellStyle name="Note 2 3 2 10 8" xfId="26576"/>
    <cellStyle name="Note 2 3 2 11 4" xfId="26577"/>
    <cellStyle name="Note 2 5 9 2 3" xfId="26578"/>
    <cellStyle name="Note 2 8 2 2 3 4" xfId="26579"/>
    <cellStyle name="Note 2 3 2 11 5" xfId="26580"/>
    <cellStyle name="Note 2 5 9 2 4" xfId="26581"/>
    <cellStyle name="Note 2 3 2 12" xfId="26582"/>
    <cellStyle name="Note 2 8 2 2 4" xfId="26583"/>
    <cellStyle name="Note 2 3 2 12 4" xfId="26584"/>
    <cellStyle name="Note 2 5 9 3 3" xfId="26585"/>
    <cellStyle name="Note 2 3 2 12 5" xfId="26586"/>
    <cellStyle name="Note 2 5 9 3 4" xfId="26587"/>
    <cellStyle name="Note 2 3 2 13" xfId="26588"/>
    <cellStyle name="Note 2 8 2 2 5" xfId="26589"/>
    <cellStyle name="Note 2 3 2 13 4" xfId="26590"/>
    <cellStyle name="Note 2 5 9 4 3" xfId="26591"/>
    <cellStyle name="Note 2 3 2 14" xfId="26592"/>
    <cellStyle name="Note 2 8 2 2 6" xfId="26593"/>
    <cellStyle name="Note 2 3 2 14 4" xfId="26594"/>
    <cellStyle name="Note 2 5 9 5 3" xfId="26595"/>
    <cellStyle name="Note 2 3 2 15" xfId="26596"/>
    <cellStyle name="Note 2 3 2 20" xfId="26597"/>
    <cellStyle name="Note 2 8 2 2 7" xfId="26598"/>
    <cellStyle name="Note 2 3 2 16" xfId="26599"/>
    <cellStyle name="Note 2 3 2 21" xfId="26600"/>
    <cellStyle name="Note 2 3 2 17" xfId="26601"/>
    <cellStyle name="Note 2 3 2 22" xfId="26602"/>
    <cellStyle name="Note 2 3 2 18" xfId="26603"/>
    <cellStyle name="Note 2 3 2 23" xfId="26604"/>
    <cellStyle name="Note 2 3 2 19" xfId="26605"/>
    <cellStyle name="Note 2 3 2 24" xfId="26606"/>
    <cellStyle name="Note 2 3 2 2" xfId="26607"/>
    <cellStyle name="Note 2 3 2 2 2" xfId="26608"/>
    <cellStyle name="Note 2 3 2 2 2 3" xfId="26609"/>
    <cellStyle name="Note 2 3 2 2 2 4" xfId="26610"/>
    <cellStyle name="Note 2 3 2 2 3" xfId="26611"/>
    <cellStyle name="Note 2 3 2 2 3 3" xfId="26612"/>
    <cellStyle name="Note 2 3 2 2 3 4" xfId="26613"/>
    <cellStyle name="Note 2 3 2 2 4 3" xfId="26614"/>
    <cellStyle name="Note 2 3 2 2 6" xfId="26615"/>
    <cellStyle name="Note 2 3 2 2 7" xfId="26616"/>
    <cellStyle name="Note 2 3 2 2 8" xfId="26617"/>
    <cellStyle name="Note 2 3 2 25" xfId="26618"/>
    <cellStyle name="Note 2 3 2 30" xfId="26619"/>
    <cellStyle name="Note 2 3 2 26" xfId="26620"/>
    <cellStyle name="Note 2 3 2 27" xfId="26621"/>
    <cellStyle name="Note 2 3 2 3" xfId="26622"/>
    <cellStyle name="Note 2 3 2 3 2" xfId="26623"/>
    <cellStyle name="Note 2 3 2 3 3" xfId="26624"/>
    <cellStyle name="Note 2 3 2 3 4 3" xfId="26625"/>
    <cellStyle name="Note 2 3 2 3 7" xfId="26626"/>
    <cellStyle name="Note 2 3 2 4" xfId="26627"/>
    <cellStyle name="Note 2 3 2 4 2" xfId="26628"/>
    <cellStyle name="Note 2 3 2 4 3" xfId="26629"/>
    <cellStyle name="Note 2 3 2 4 4 3" xfId="26630"/>
    <cellStyle name="Note 2 3 2 4 7" xfId="26631"/>
    <cellStyle name="Note 2 3 2 5 2" xfId="26632"/>
    <cellStyle name="Note 2 3 2 5 2 3" xfId="26633"/>
    <cellStyle name="Note 2 3 2 5 2 4" xfId="26634"/>
    <cellStyle name="Note 2 3 2 5 3" xfId="26635"/>
    <cellStyle name="Note 2 3 2 5 3 3" xfId="26636"/>
    <cellStyle name="Note 2 3 2 5 3 4" xfId="26637"/>
    <cellStyle name="Note 2 3 2 5 6" xfId="26638"/>
    <cellStyle name="Output 2 12 3 3 2 2" xfId="26639"/>
    <cellStyle name="Note 2 3 2 5 7" xfId="26640"/>
    <cellStyle name="Output 2 12 3 3 2 3" xfId="26641"/>
    <cellStyle name="Note 2 3 2 6 2" xfId="26642"/>
    <cellStyle name="Note 2 3 2 6 2 3" xfId="26643"/>
    <cellStyle name="Note 2 3 2 6 2 4" xfId="26644"/>
    <cellStyle name="Note 2 3 2 6 3" xfId="26645"/>
    <cellStyle name="Note 2 3 2 6 3 3" xfId="26646"/>
    <cellStyle name="Note 2 3 2 6 3 4" xfId="26647"/>
    <cellStyle name="Note 2 3 2 6 4 3" xfId="26648"/>
    <cellStyle name="Note 2 3 2 6 6" xfId="26649"/>
    <cellStyle name="Output 2 12 3 3 3 2" xfId="26650"/>
    <cellStyle name="Note 2 3 2 6 7" xfId="26651"/>
    <cellStyle name="Output 2 12 3 3 3 3" xfId="26652"/>
    <cellStyle name="Note 2 3 2 7 2" xfId="26653"/>
    <cellStyle name="Note 2 3 2 7 2 2" xfId="26654"/>
    <cellStyle name="Note 2 3 2 7 2 3" xfId="26655"/>
    <cellStyle name="Note 2 3 2 7 2 4" xfId="26656"/>
    <cellStyle name="Note 2 3 2 7 3" xfId="26657"/>
    <cellStyle name="Note 2 3 2 7 3 2" xfId="26658"/>
    <cellStyle name="Note 2 3 2 7 3 3" xfId="26659"/>
    <cellStyle name="Note 2 3 2 7 3 4" xfId="26660"/>
    <cellStyle name="Note 2 3 2 7 4" xfId="26661"/>
    <cellStyle name="Note 2 3 2 7 5" xfId="26662"/>
    <cellStyle name="Note 2 3 2 7 6" xfId="26663"/>
    <cellStyle name="Output 2 12 3 3 4 2" xfId="26664"/>
    <cellStyle name="Output 2 6 3 2 2 2" xfId="26665"/>
    <cellStyle name="Note 2 3 2 7 7" xfId="26666"/>
    <cellStyle name="Output 2 12 3 3 4 3" xfId="26667"/>
    <cellStyle name="Output 2 6 3 2 2 3" xfId="26668"/>
    <cellStyle name="Note 2 3 2 7 8" xfId="26669"/>
    <cellStyle name="Output 2 6 3 2 2 4" xfId="26670"/>
    <cellStyle name="Note 2 3 2 8 2" xfId="26671"/>
    <cellStyle name="Note 2 3 2 8 2 2" xfId="26672"/>
    <cellStyle name="Note 2 3 2 8 2 3" xfId="26673"/>
    <cellStyle name="Note 2 3 2 8 2 4" xfId="26674"/>
    <cellStyle name="Note 2 3 2 8 3 2" xfId="26675"/>
    <cellStyle name="Note 2 3 2 8 3 3" xfId="26676"/>
    <cellStyle name="Note 2 3 2 8 3 4" xfId="26677"/>
    <cellStyle name="Note 2 3 2 8 4" xfId="26678"/>
    <cellStyle name="Note 2 3 2 8 4 3" xfId="26679"/>
    <cellStyle name="Note 2 3 2 8 5" xfId="26680"/>
    <cellStyle name="Note 2 3 2 8 6" xfId="26681"/>
    <cellStyle name="Output 2 12 3 3 5 2" xfId="26682"/>
    <cellStyle name="Output 2 6 3 2 3 2" xfId="26683"/>
    <cellStyle name="Note 2 3 2 8 7" xfId="26684"/>
    <cellStyle name="Total 2 9 10 2 2" xfId="26685"/>
    <cellStyle name="Output 2 12 3 3 5 3" xfId="26686"/>
    <cellStyle name="Output 2 6 3 2 3 3" xfId="26687"/>
    <cellStyle name="Note 2 3 2 8 8" xfId="26688"/>
    <cellStyle name="Output 2 6 3 2 3 4" xfId="26689"/>
    <cellStyle name="Note 2 3 2 9 2 2" xfId="26690"/>
    <cellStyle name="Note 2 3 2 9 2 3" xfId="26691"/>
    <cellStyle name="Note 2 3 2 9 2 4" xfId="26692"/>
    <cellStyle name="Note 2 3 2 9 3 2" xfId="26693"/>
    <cellStyle name="Total 2 11 12" xfId="26694"/>
    <cellStyle name="Note 2 3 2 9 3 3" xfId="26695"/>
    <cellStyle name="Total 2 11 13" xfId="26696"/>
    <cellStyle name="Note 2 3 2 9 3 4" xfId="26697"/>
    <cellStyle name="Total 2 11 14" xfId="26698"/>
    <cellStyle name="Note 2 3 2 9 4" xfId="26699"/>
    <cellStyle name="Note 2 3 2 9 4 3" xfId="26700"/>
    <cellStyle name="Note 2 3 2 9 5" xfId="26701"/>
    <cellStyle name="Note 2 3 2 9 6" xfId="26702"/>
    <cellStyle name="Output 2 10 4 2 2" xfId="26703"/>
    <cellStyle name="Output 2 6 3 2 4 2" xfId="26704"/>
    <cellStyle name="Note 2 3 2 9 7" xfId="26705"/>
    <cellStyle name="Output 2 10 4 2 3" xfId="26706"/>
    <cellStyle name="Output 2 6 3 2 4 3" xfId="26707"/>
    <cellStyle name="Note 2 3 2 9 8" xfId="26708"/>
    <cellStyle name="Output 2 10 4 2 4" xfId="26709"/>
    <cellStyle name="Note 2 3 25" xfId="26710"/>
    <cellStyle name="Note 2 3 30" xfId="26711"/>
    <cellStyle name="Note 2 3 26" xfId="26712"/>
    <cellStyle name="Note 2 3 31" xfId="26713"/>
    <cellStyle name="Note 2 3 27" xfId="26714"/>
    <cellStyle name="Note 2 3 32" xfId="26715"/>
    <cellStyle name="Note 2 3 28" xfId="26716"/>
    <cellStyle name="Note 2 3 29" xfId="26717"/>
    <cellStyle name="Note 2 3 3" xfId="26718"/>
    <cellStyle name="Note 2 3 3 10" xfId="26719"/>
    <cellStyle name="Note 2 8 2 7 2" xfId="26720"/>
    <cellStyle name="Note 2 3 3 10 2 4" xfId="26721"/>
    <cellStyle name="Note 2 3 3 10 3" xfId="26722"/>
    <cellStyle name="Note 2 8 2 7 2 3" xfId="26723"/>
    <cellStyle name="Note 2 3 3 10 4" xfId="26724"/>
    <cellStyle name="Note 2 8 2 7 2 4" xfId="26725"/>
    <cellStyle name="Note 2 3 3 10 4 3" xfId="26726"/>
    <cellStyle name="Note 2 3 3 10 5" xfId="26727"/>
    <cellStyle name="Note 2 3 3 10 5 3" xfId="26728"/>
    <cellStyle name="Note 2 3 3 10 6" xfId="26729"/>
    <cellStyle name="Note 2 3 3 10 7" xfId="26730"/>
    <cellStyle name="Output 2 10 3 4 5 2" xfId="26731"/>
    <cellStyle name="Output 2 4 3 3 3 2" xfId="26732"/>
    <cellStyle name="Note 2 3 3 11" xfId="26733"/>
    <cellStyle name="Note 2 8 2 7 3" xfId="26734"/>
    <cellStyle name="Output 2 14 2 4 4 2" xfId="26735"/>
    <cellStyle name="Output 2 8 2 3 2 2" xfId="26736"/>
    <cellStyle name="Note 2 3 3 11 2" xfId="26737"/>
    <cellStyle name="Note 2 8 2 7 3 2" xfId="26738"/>
    <cellStyle name="Note 2 3 3 11 3" xfId="26739"/>
    <cellStyle name="Note 2 8 2 7 3 3" xfId="26740"/>
    <cellStyle name="Note 2 3 3 11 4" xfId="26741"/>
    <cellStyle name="Note 2 8 2 7 3 4" xfId="26742"/>
    <cellStyle name="Note 2 3 3 12" xfId="26743"/>
    <cellStyle name="Note 2 8 2 7 4" xfId="26744"/>
    <cellStyle name="Output 2 14 2 4 4 3" xfId="26745"/>
    <cellStyle name="Output 2 8 2 3 2 3" xfId="26746"/>
    <cellStyle name="Note 2 3 3 12 3" xfId="26747"/>
    <cellStyle name="Note 2 8 2 7 4 3" xfId="26748"/>
    <cellStyle name="Note 2 3 3 12 4" xfId="26749"/>
    <cellStyle name="Note 2 3 3 13" xfId="26750"/>
    <cellStyle name="Note 2 8 2 7 5" xfId="26751"/>
    <cellStyle name="Output 2 8 2 3 2 4" xfId="26752"/>
    <cellStyle name="Note 2 3 3 13 2" xfId="26753"/>
    <cellStyle name="Note 2 8 2 7 5 2" xfId="26754"/>
    <cellStyle name="Note 2 3 3 13 3" xfId="26755"/>
    <cellStyle name="Note 2 8 2 7 5 3" xfId="26756"/>
    <cellStyle name="Note 2 3 3 14" xfId="26757"/>
    <cellStyle name="Note 2 8 2 7 6" xfId="26758"/>
    <cellStyle name="Note 2 3 3 14 2" xfId="26759"/>
    <cellStyle name="Note 2 3 3 14 3" xfId="26760"/>
    <cellStyle name="Note 2 3 3 15" xfId="26761"/>
    <cellStyle name="Note 2 8 2 7 7" xfId="26762"/>
    <cellStyle name="Note 2 3 3 16" xfId="26763"/>
    <cellStyle name="Note 2 3 3 17" xfId="26764"/>
    <cellStyle name="Note 2 3 3 18" xfId="26765"/>
    <cellStyle name="Note 2 3 3 2" xfId="26766"/>
    <cellStyle name="Note 2 3 3 2 2" xfId="26767"/>
    <cellStyle name="Output 2 2 2 8 3" xfId="26768"/>
    <cellStyle name="Note 2 3 3 2 2 3" xfId="26769"/>
    <cellStyle name="Output 2 11 2 6" xfId="26770"/>
    <cellStyle name="Output 2 2 2 8 3 3" xfId="26771"/>
    <cellStyle name="Note 2 3 3 2 2 4" xfId="26772"/>
    <cellStyle name="Output 2 11 2 7" xfId="26773"/>
    <cellStyle name="Output 2 2 2 8 3 4" xfId="26774"/>
    <cellStyle name="Note 2 3 3 2 3" xfId="26775"/>
    <cellStyle name="Output 2 10 3 11 2" xfId="26776"/>
    <cellStyle name="Output 2 2 2 8 4" xfId="26777"/>
    <cellStyle name="Note 2 3 3 2 3 4" xfId="26778"/>
    <cellStyle name="Output 2 11 3 7" xfId="26779"/>
    <cellStyle name="Note 2 3 3 2 4 2" xfId="26780"/>
    <cellStyle name="Output 2 11 4 5" xfId="26781"/>
    <cellStyle name="Output 2 2 2 8 5 2" xfId="26782"/>
    <cellStyle name="Note 2 3 3 2 4 3" xfId="26783"/>
    <cellStyle name="Output 2 11 4 6" xfId="26784"/>
    <cellStyle name="Output 2 2 2 8 5 3" xfId="26785"/>
    <cellStyle name="Note 2 3 3 2 5 2" xfId="26786"/>
    <cellStyle name="Output 2 11 5 5" xfId="26787"/>
    <cellStyle name="Output 2 2 2 8 6 2" xfId="26788"/>
    <cellStyle name="Note 2 3 3 2 5 3" xfId="26789"/>
    <cellStyle name="Output 2 11 5 6" xfId="26790"/>
    <cellStyle name="Note 2 3 3 2 6" xfId="26791"/>
    <cellStyle name="Output 2 2 2 8 7" xfId="26792"/>
    <cellStyle name="Note 2 3 3 2 7" xfId="26793"/>
    <cellStyle name="Note 2 3 3 3" xfId="26794"/>
    <cellStyle name="Note 2 3 3 3 2" xfId="26795"/>
    <cellStyle name="Output 2 2 2 9 3" xfId="26796"/>
    <cellStyle name="Note 2 3 3 3 3" xfId="26797"/>
    <cellStyle name="Output 2 10 3 12 2" xfId="26798"/>
    <cellStyle name="Output 2 2 2 9 4" xfId="26799"/>
    <cellStyle name="Note 2 3 3 3 4 2" xfId="26800"/>
    <cellStyle name="Output 2 12 4 5" xfId="26801"/>
    <cellStyle name="Output 2 2 2 9 5 2" xfId="26802"/>
    <cellStyle name="Total 2 10 2 4 6" xfId="26803"/>
    <cellStyle name="Note 2 3 3 3 4 3" xfId="26804"/>
    <cellStyle name="Output 2 12 4 6" xfId="26805"/>
    <cellStyle name="Output 2 2 2 9 5 3" xfId="26806"/>
    <cellStyle name="Total 2 10 2 4 7" xfId="26807"/>
    <cellStyle name="Note 2 3 3 3 5 2" xfId="26808"/>
    <cellStyle name="Output 2 12 5 5" xfId="26809"/>
    <cellStyle name="Total 2 10 2 5 6" xfId="26810"/>
    <cellStyle name="Note 2 3 3 3 5 3" xfId="26811"/>
    <cellStyle name="Output 2 12 5 6" xfId="26812"/>
    <cellStyle name="Total 2 10 2 5 7" xfId="26813"/>
    <cellStyle name="Note 2 3 3 3 7" xfId="26814"/>
    <cellStyle name="Note 2 3 3 4 3" xfId="26815"/>
    <cellStyle name="Output 2 10 3 13 2" xfId="26816"/>
    <cellStyle name="Note 2 3 3 4 4 2" xfId="26817"/>
    <cellStyle name="Output 2 13 4 5" xfId="26818"/>
    <cellStyle name="Total 2 10 3 4 6" xfId="26819"/>
    <cellStyle name="Note 2 3 3 4 4 3" xfId="26820"/>
    <cellStyle name="Output 2 13 4 6" xfId="26821"/>
    <cellStyle name="Total 2 10 3 4 7" xfId="26822"/>
    <cellStyle name="Note 2 3 3 4 5 2" xfId="26823"/>
    <cellStyle name="Output 2 13 5 5" xfId="26824"/>
    <cellStyle name="Total 2 10 3 5 6" xfId="26825"/>
    <cellStyle name="Note 2 3 3 4 5 3" xfId="26826"/>
    <cellStyle name="Output 2 13 5 6" xfId="26827"/>
    <cellStyle name="Total 2 10 3 5 7" xfId="26828"/>
    <cellStyle name="Note 2 3 3 4 7" xfId="26829"/>
    <cellStyle name="Note 2 3 3 5 2" xfId="26830"/>
    <cellStyle name="Note 2 3 3 5 2 2" xfId="26831"/>
    <cellStyle name="Output 2 14 2 5" xfId="26832"/>
    <cellStyle name="Note 2 3 3 5 2 3" xfId="26833"/>
    <cellStyle name="Output 2 14 2 6" xfId="26834"/>
    <cellStyle name="Note 2 3 3 5 2 4" xfId="26835"/>
    <cellStyle name="Output 2 14 2 7" xfId="26836"/>
    <cellStyle name="Output 2 9 11 5 2" xfId="26837"/>
    <cellStyle name="Note 2 3 3 5 3" xfId="26838"/>
    <cellStyle name="Output 2 10 3 14 2" xfId="26839"/>
    <cellStyle name="Total 2 2 2 2 5" xfId="26840"/>
    <cellStyle name="Note 2 3 3 5 3 3" xfId="26841"/>
    <cellStyle name="Output 2 14 3 6" xfId="26842"/>
    <cellStyle name="Total 2 2 2 2 6" xfId="26843"/>
    <cellStyle name="Note 2 3 3 5 3 4" xfId="26844"/>
    <cellStyle name="Output 2 14 3 7" xfId="26845"/>
    <cellStyle name="Total 2 2 2 3 4" xfId="26846"/>
    <cellStyle name="Note 2 3 3 5 4 2" xfId="26847"/>
    <cellStyle name="Output 2 14 4 5" xfId="26848"/>
    <cellStyle name="Total 2 2 2 3 5" xfId="26849"/>
    <cellStyle name="Note 2 3 3 5 4 3" xfId="26850"/>
    <cellStyle name="Output 2 14 4 6" xfId="26851"/>
    <cellStyle name="Note 2 3 3 5 6" xfId="26852"/>
    <cellStyle name="Output 2 12 3 4 2 2" xfId="26853"/>
    <cellStyle name="Note 2 3 3 5 7" xfId="26854"/>
    <cellStyle name="Output 2 12 3 4 2 3" xfId="26855"/>
    <cellStyle name="Note 2 3 3 6 2" xfId="26856"/>
    <cellStyle name="Note 2 3 3 6 2 2" xfId="26857"/>
    <cellStyle name="Output 2 15 2 5" xfId="26858"/>
    <cellStyle name="Note 2 3 3 6 2 3" xfId="26859"/>
    <cellStyle name="Output 2 15 2 6" xfId="26860"/>
    <cellStyle name="Note 2 3 3 6 2 4" xfId="26861"/>
    <cellStyle name="Output 2 15 2 7" xfId="26862"/>
    <cellStyle name="Output 2 9 12 5 2" xfId="26863"/>
    <cellStyle name="Total 2 2 3 2 6" xfId="26864"/>
    <cellStyle name="Note 2 3 3 6 3 4" xfId="26865"/>
    <cellStyle name="Output 2 15 3 7" xfId="26866"/>
    <cellStyle name="Total 2 2 3 3 4" xfId="26867"/>
    <cellStyle name="Note 2 3 3 6 4 2" xfId="26868"/>
    <cellStyle name="Output 2 15 4 5" xfId="26869"/>
    <cellStyle name="Total 2 2 3 3 5" xfId="26870"/>
    <cellStyle name="Note 2 3 3 6 4 3" xfId="26871"/>
    <cellStyle name="Output 2 15 4 6" xfId="26872"/>
    <cellStyle name="Total 2 2 3 4 4" xfId="26873"/>
    <cellStyle name="Note 2 3 3 6 5 2" xfId="26874"/>
    <cellStyle name="Output 2 15 5 5" xfId="26875"/>
    <cellStyle name="Total 2 2 3 4 5" xfId="26876"/>
    <cellStyle name="Note 2 3 3 6 5 3" xfId="26877"/>
    <cellStyle name="Output 2 15 5 6" xfId="26878"/>
    <cellStyle name="Note 2 3 3 7 2" xfId="26879"/>
    <cellStyle name="Note 2 3 3 7 2 2" xfId="26880"/>
    <cellStyle name="Output 2 16 2 5" xfId="26881"/>
    <cellStyle name="Note 2 3 3 7 2 3" xfId="26882"/>
    <cellStyle name="Output 2 16 2 6" xfId="26883"/>
    <cellStyle name="Note 2 3 3 7 2 4" xfId="26884"/>
    <cellStyle name="Output 2 16 2 7" xfId="26885"/>
    <cellStyle name="Note 2 3 3 7 3" xfId="26886"/>
    <cellStyle name="Note 2 3 3 7 3 4" xfId="26887"/>
    <cellStyle name="Output 2 16 3 7" xfId="26888"/>
    <cellStyle name="Note 2 3 3 7 4" xfId="26889"/>
    <cellStyle name="Total 2 2 4 3 4" xfId="26890"/>
    <cellStyle name="Note 2 3 3 7 4 2" xfId="26891"/>
    <cellStyle name="Output 2 16 4 5" xfId="26892"/>
    <cellStyle name="Note 2 3 3 7 4 3" xfId="26893"/>
    <cellStyle name="Output 2 16 4 6" xfId="26894"/>
    <cellStyle name="Note 2 3 3 7 5" xfId="26895"/>
    <cellStyle name="Note 2 3 3 7 5 2" xfId="26896"/>
    <cellStyle name="Output 2 16 5 5" xfId="26897"/>
    <cellStyle name="Note 2 3 3 7 5 3" xfId="26898"/>
    <cellStyle name="Output 2 16 5 6" xfId="26899"/>
    <cellStyle name="Note 2 3 3 7 6" xfId="26900"/>
    <cellStyle name="Output 2 12 3 4 4 2" xfId="26901"/>
    <cellStyle name="Output 2 6 3 3 2 2" xfId="26902"/>
    <cellStyle name="Note 2 3 3 7 7" xfId="26903"/>
    <cellStyle name="Output 2 12 3 4 4 3" xfId="26904"/>
    <cellStyle name="Output 2 6 3 3 2 3" xfId="26905"/>
    <cellStyle name="Note 2 3 3 8 2" xfId="26906"/>
    <cellStyle name="Note 2 3 3 8 2 2" xfId="26907"/>
    <cellStyle name="Note 2 3 3 8 2 3" xfId="26908"/>
    <cellStyle name="Note 2 3 3 8 3 3" xfId="26909"/>
    <cellStyle name="Total 2 2 5 3 4" xfId="26910"/>
    <cellStyle name="Note 2 3 3 8 4 2" xfId="26911"/>
    <cellStyle name="Note 2 3 3 8 4 3" xfId="26912"/>
    <cellStyle name="Note 2 3 3 8 5" xfId="26913"/>
    <cellStyle name="Note 2 3 3 8 5 2" xfId="26914"/>
    <cellStyle name="Note 2 3 3 8 5 3" xfId="26915"/>
    <cellStyle name="Note 2 3 3 8 6" xfId="26916"/>
    <cellStyle name="Output 2 12 3 4 5 2" xfId="26917"/>
    <cellStyle name="Output 2 6 3 3 3 2" xfId="26918"/>
    <cellStyle name="Note 2 3 3 8 7" xfId="26919"/>
    <cellStyle name="Total 2 9 11 2 2" xfId="26920"/>
    <cellStyle name="Output 2 12 3 4 5 3" xfId="26921"/>
    <cellStyle name="Output 2 6 3 3 3 3" xfId="26922"/>
    <cellStyle name="Note 2 3 3 9 2" xfId="26923"/>
    <cellStyle name="Note 2 3 3 9 2 2" xfId="26924"/>
    <cellStyle name="Note 2 3 3 9 2 3" xfId="26925"/>
    <cellStyle name="Note 2 3 3 9 3" xfId="26926"/>
    <cellStyle name="Total 2 2 6 2 4" xfId="26927"/>
    <cellStyle name="Note 2 3 3 9 3 2" xfId="26928"/>
    <cellStyle name="Note 2 3 3 9 3 3" xfId="26929"/>
    <cellStyle name="Note 2 3 4" xfId="26930"/>
    <cellStyle name="Output 2 2 2 3 3 2" xfId="26931"/>
    <cellStyle name="Note 2 3 4 2 2" xfId="26932"/>
    <cellStyle name="Output 2 2 3 8 3" xfId="26933"/>
    <cellStyle name="Note 2 3 4 2 3" xfId="26934"/>
    <cellStyle name="Output 2 2 3 8 4" xfId="26935"/>
    <cellStyle name="Note 2 3 4 3" xfId="26936"/>
    <cellStyle name="Note 2 3 4 3 2" xfId="26937"/>
    <cellStyle name="Output 2 2 3 9 3" xfId="26938"/>
    <cellStyle name="Note 2 3 4 3 3" xfId="26939"/>
    <cellStyle name="Output 2 2 3 9 4" xfId="26940"/>
    <cellStyle name="Note 2 3 4 4" xfId="26941"/>
    <cellStyle name="Note 2 3 4 4 2" xfId="26942"/>
    <cellStyle name="Note 2 3 4 4 3" xfId="26943"/>
    <cellStyle name="Note 2 3 4 5 2" xfId="26944"/>
    <cellStyle name="Note 2 3 4 5 3" xfId="26945"/>
    <cellStyle name="Note 2 3 5" xfId="26946"/>
    <cellStyle name="Output 2 2 2 3 3 3" xfId="26947"/>
    <cellStyle name="Note 2 3 5 2" xfId="26948"/>
    <cellStyle name="Note 2 3 5 2 2" xfId="26949"/>
    <cellStyle name="Note 2 3 5 2 3" xfId="26950"/>
    <cellStyle name="Note 2 3 5 3" xfId="26951"/>
    <cellStyle name="Note 2 3 5 3 2" xfId="26952"/>
    <cellStyle name="Note 2 3 5 3 3" xfId="26953"/>
    <cellStyle name="Note 2 3 5 4" xfId="26954"/>
    <cellStyle name="Note 2 3 5 4 2" xfId="26955"/>
    <cellStyle name="Note 2 3 5 4 3" xfId="26956"/>
    <cellStyle name="Note 2 3 5 5 2" xfId="26957"/>
    <cellStyle name="Note 2 3 5 5 3" xfId="26958"/>
    <cellStyle name="Note 2 3 6" xfId="26959"/>
    <cellStyle name="Output 2 2 2 3 3 4" xfId="26960"/>
    <cellStyle name="Note 2 3 6 2" xfId="26961"/>
    <cellStyle name="Output 2 13 2 11" xfId="26962"/>
    <cellStyle name="Note 2 3 6 3" xfId="26963"/>
    <cellStyle name="Output 2 13 2 12" xfId="26964"/>
    <cellStyle name="Note 2 3 6 3 2" xfId="26965"/>
    <cellStyle name="Output 2 13 2 12 2" xfId="26966"/>
    <cellStyle name="Output 2 5 3 12" xfId="26967"/>
    <cellStyle name="Note 2 3 6 3 3" xfId="26968"/>
    <cellStyle name="Output 2 13 2 12 3" xfId="26969"/>
    <cellStyle name="Output 2 5 3 13" xfId="26970"/>
    <cellStyle name="Note 2 3 6 4" xfId="26971"/>
    <cellStyle name="Output 2 13 2 13" xfId="26972"/>
    <cellStyle name="Note 2 3 6 4 3" xfId="26973"/>
    <cellStyle name="Output 2 13 2 13 3" xfId="26974"/>
    <cellStyle name="Note 2 3 6 5" xfId="26975"/>
    <cellStyle name="Output 2 13 2 14" xfId="26976"/>
    <cellStyle name="Note 2 3 6 5 2" xfId="26977"/>
    <cellStyle name="Output 2 13 2 14 2" xfId="26978"/>
    <cellStyle name="Note 2 3 6 5 3" xfId="26979"/>
    <cellStyle name="Output 2 13 2 14 3" xfId="26980"/>
    <cellStyle name="Note 2 3 6 6" xfId="26981"/>
    <cellStyle name="Output 2 13 2 15" xfId="26982"/>
    <cellStyle name="Note 2 3 7" xfId="26983"/>
    <cellStyle name="Note 2 9 2 5 2" xfId="26984"/>
    <cellStyle name="Output 2 6 11 5 2" xfId="26985"/>
    <cellStyle name="Note 2 3 7 2" xfId="26986"/>
    <cellStyle name="Note 2 9 2 5 2 2" xfId="26987"/>
    <cellStyle name="Note 2 3 7 3" xfId="26988"/>
    <cellStyle name="Note 2 9 2 5 2 3" xfId="26989"/>
    <cellStyle name="Note 2 3 7 3 2" xfId="26990"/>
    <cellStyle name="Note 2 3 7 3 3" xfId="26991"/>
    <cellStyle name="Note 2 3 7 3 4" xfId="26992"/>
    <cellStyle name="Note 2 3 7 5 2" xfId="26993"/>
    <cellStyle name="Note 2 3 7 5 3" xfId="26994"/>
    <cellStyle name="Note 2 3 7 6" xfId="26995"/>
    <cellStyle name="Note 2 3 8" xfId="26996"/>
    <cellStyle name="Output 2 14 3 4 2 2" xfId="26997"/>
    <cellStyle name="Note 2 9 2 5 3" xfId="26998"/>
    <cellStyle name="Output 2 6 11 5 3" xfId="26999"/>
    <cellStyle name="Note 2 3 8 2" xfId="27000"/>
    <cellStyle name="Note 2 9 2 5 3 2" xfId="27001"/>
    <cellStyle name="Note 2 3 8 2 4" xfId="27002"/>
    <cellStyle name="Note 2 3 8 3 4" xfId="27003"/>
    <cellStyle name="Note 2 3 9" xfId="27004"/>
    <cellStyle name="Note 2 9 2 5 4" xfId="27005"/>
    <cellStyle name="Output 2 14 3 4 2 3" xfId="27006"/>
    <cellStyle name="Note 2 3 9 2" xfId="27007"/>
    <cellStyle name="Note 2 9 2 5 4 2" xfId="27008"/>
    <cellStyle name="Note 2 3 9 2 3" xfId="27009"/>
    <cellStyle name="Note 2 3 9 2 4" xfId="27010"/>
    <cellStyle name="Note 2 3 9 3 3" xfId="27011"/>
    <cellStyle name="Note 2 3 9 3 4" xfId="27012"/>
    <cellStyle name="Note 2 3 9 4 3" xfId="27013"/>
    <cellStyle name="Note 2 3 9 5 3" xfId="27014"/>
    <cellStyle name="Note 2 35" xfId="27015"/>
    <cellStyle name="Total 2 11 2 8 4 2" xfId="27016"/>
    <cellStyle name="Note 2 4" xfId="27017"/>
    <cellStyle name="Output 2 13 2 5 3 2" xfId="27018"/>
    <cellStyle name="Note 2 4 10 2" xfId="27019"/>
    <cellStyle name="Output 2 5 4 5 2" xfId="27020"/>
    <cellStyle name="Note 2 4 10 2 2" xfId="27021"/>
    <cellStyle name="Note 2 4 10 2 3" xfId="27022"/>
    <cellStyle name="Note 2 4 10 2 4" xfId="27023"/>
    <cellStyle name="Output 2 13 2 5 3 3" xfId="27024"/>
    <cellStyle name="Note 2 4 10 3" xfId="27025"/>
    <cellStyle name="Output 2 5 4 5 3" xfId="27026"/>
    <cellStyle name="Note 2 4 10 3 2" xfId="27027"/>
    <cellStyle name="Note 2 4 10 3 3" xfId="27028"/>
    <cellStyle name="Note 2 4 10 3 4" xfId="27029"/>
    <cellStyle name="Note 2 4 10 4 3" xfId="27030"/>
    <cellStyle name="Note 2 4 10 5 3" xfId="27031"/>
    <cellStyle name="Note 2 4 11 2 3" xfId="27032"/>
    <cellStyle name="Note 2 4 11 2 4" xfId="27033"/>
    <cellStyle name="Note 2 4 11 3" xfId="27034"/>
    <cellStyle name="Output 2 13 2 5 4 3" xfId="27035"/>
    <cellStyle name="Output 2 7 2 4 2 3" xfId="27036"/>
    <cellStyle name="Note 2 4 11 3 2" xfId="27037"/>
    <cellStyle name="Note 2 4 11 3 3" xfId="27038"/>
    <cellStyle name="Note 2 4 11 3 4" xfId="27039"/>
    <cellStyle name="Note 2 4 11 4" xfId="27040"/>
    <cellStyle name="Output 2 7 2 4 2 4" xfId="27041"/>
    <cellStyle name="Note 2 4 11 4 3" xfId="27042"/>
    <cellStyle name="Note 2 4 11 5 3" xfId="27043"/>
    <cellStyle name="Note 2 4 12 2" xfId="27044"/>
    <cellStyle name="Note 2 9 3 10 4" xfId="27045"/>
    <cellStyle name="Output 2 13 2 5 5 2" xfId="27046"/>
    <cellStyle name="Output 2 7 2 4 3 2" xfId="27047"/>
    <cellStyle name="Note 2 4 12 2 2" xfId="27048"/>
    <cellStyle name="Note 2 9 3 10 4 2" xfId="27049"/>
    <cellStyle name="Note 2 4 12 2 3" xfId="27050"/>
    <cellStyle name="Note 2 9 3 10 4 3" xfId="27051"/>
    <cellStyle name="Note 2 4 12 2 4" xfId="27052"/>
    <cellStyle name="Note 2 4 12 3" xfId="27053"/>
    <cellStyle name="Note 2 9 3 10 5" xfId="27054"/>
    <cellStyle name="Output 2 13 2 5 5 3" xfId="27055"/>
    <cellStyle name="Output 2 7 2 4 3 3" xfId="27056"/>
    <cellStyle name="Note 2 4 12 4" xfId="27057"/>
    <cellStyle name="Note 2 9 3 10 6" xfId="27058"/>
    <cellStyle name="Output 2 7 2 4 3 4" xfId="27059"/>
    <cellStyle name="Note 2 4 12 4 3" xfId="27060"/>
    <cellStyle name="Note 2 4 12 5 3" xfId="27061"/>
    <cellStyle name="Note 2 4 13" xfId="27062"/>
    <cellStyle name="Output 2 13 2 5 6" xfId="27063"/>
    <cellStyle name="Output 2 7 2 4 4" xfId="27064"/>
    <cellStyle name="Note 2 4 13 2" xfId="27065"/>
    <cellStyle name="Note 2 9 3 11 4" xfId="27066"/>
    <cellStyle name="Output 2 7 2 4 4 2" xfId="27067"/>
    <cellStyle name="Note 2 4 13 3" xfId="27068"/>
    <cellStyle name="Note 2 6 5 2 2" xfId="27069"/>
    <cellStyle name="Output 2 7 2 4 4 3" xfId="27070"/>
    <cellStyle name="Note 2 4 13 4" xfId="27071"/>
    <cellStyle name="Note 2 6 5 2 3" xfId="27072"/>
    <cellStyle name="Note 2 4 14" xfId="27073"/>
    <cellStyle name="Output 2 13 2 5 7" xfId="27074"/>
    <cellStyle name="Output 2 7 2 4 5" xfId="27075"/>
    <cellStyle name="Note 2 4 15" xfId="27076"/>
    <cellStyle name="Note 2 4 20" xfId="27077"/>
    <cellStyle name="Output 2 7 2 4 6" xfId="27078"/>
    <cellStyle name="Note 2 4 15 2" xfId="27079"/>
    <cellStyle name="Note 2 4 15 3" xfId="27080"/>
    <cellStyle name="Note 2 6 5 4 2" xfId="27081"/>
    <cellStyle name="Note 2 4 15 4" xfId="27082"/>
    <cellStyle name="Note 2 6 5 4 3" xfId="27083"/>
    <cellStyle name="Note 2 4 16" xfId="27084"/>
    <cellStyle name="Note 2 4 21" xfId="27085"/>
    <cellStyle name="Output 2 7 2 4 7" xfId="27086"/>
    <cellStyle name="Note 2 4 16 2" xfId="27087"/>
    <cellStyle name="Note 2 4 16 3" xfId="27088"/>
    <cellStyle name="Note 2 6 5 5 2" xfId="27089"/>
    <cellStyle name="Note 2 4 16 4" xfId="27090"/>
    <cellStyle name="Note 2 6 5 5 3" xfId="27091"/>
    <cellStyle name="Note 2 4 17" xfId="27092"/>
    <cellStyle name="Note 2 4 22" xfId="27093"/>
    <cellStyle name="Note 2 4 17 2" xfId="27094"/>
    <cellStyle name="Note 2 4 18" xfId="27095"/>
    <cellStyle name="Note 2 4 23" xfId="27096"/>
    <cellStyle name="Note 2 4 19" xfId="27097"/>
    <cellStyle name="Note 2 4 24" xfId="27098"/>
    <cellStyle name="Note 2 4 2" xfId="27099"/>
    <cellStyle name="Output 2 5 11" xfId="27100"/>
    <cellStyle name="Note 2 4 2 10" xfId="27101"/>
    <cellStyle name="Note 2 8 7 2 2" xfId="27102"/>
    <cellStyle name="Output 2 9 8 7" xfId="27103"/>
    <cellStyle name="Note 2 4 2 10 3 4" xfId="27104"/>
    <cellStyle name="Note 2 4 2 11" xfId="27105"/>
    <cellStyle name="Note 2 8 7 2 3" xfId="27106"/>
    <cellStyle name="Note 2 4 2 11 4" xfId="27107"/>
    <cellStyle name="Note 2 4 2 11 5" xfId="27108"/>
    <cellStyle name="Note 2 4 2 12" xfId="27109"/>
    <cellStyle name="Note 2 8 7 2 4" xfId="27110"/>
    <cellStyle name="Note 2 4 2 12 4" xfId="27111"/>
    <cellStyle name="Note 2 4 2 12 5" xfId="27112"/>
    <cellStyle name="Note 2 4 2 13" xfId="27113"/>
    <cellStyle name="Note 2 4 2 13 4" xfId="27114"/>
    <cellStyle name="Note 2 4 2 14" xfId="27115"/>
    <cellStyle name="Note 2 4 2 14 4" xfId="27116"/>
    <cellStyle name="Note 2 4 2 15" xfId="27117"/>
    <cellStyle name="Note 2 4 2 20" xfId="27118"/>
    <cellStyle name="Note 2 4 2 15 2" xfId="27119"/>
    <cellStyle name="Note 2 4 2 16" xfId="27120"/>
    <cellStyle name="Note 2 4 2 21" xfId="27121"/>
    <cellStyle name="Note 2 4 2 6 3 2" xfId="27122"/>
    <cellStyle name="Note 2 4 2 16 2" xfId="27123"/>
    <cellStyle name="Note 2 4 2 17" xfId="27124"/>
    <cellStyle name="Note 2 4 2 22" xfId="27125"/>
    <cellStyle name="Note 2 4 2 6 3 3" xfId="27126"/>
    <cellStyle name="Note 2 4 2 18" xfId="27127"/>
    <cellStyle name="Note 2 4 2 23" xfId="27128"/>
    <cellStyle name="Note 2 4 2 6 3 4" xfId="27129"/>
    <cellStyle name="Note 2 4 2 19" xfId="27130"/>
    <cellStyle name="Note 2 4 2 24" xfId="27131"/>
    <cellStyle name="Note 2 4 2 2" xfId="27132"/>
    <cellStyle name="Output 2 5 11 2" xfId="27133"/>
    <cellStyle name="Output 2 7 2 10 7" xfId="27134"/>
    <cellStyle name="Note 2 4 2 2 2" xfId="27135"/>
    <cellStyle name="Output 2 5 11 2 2" xfId="27136"/>
    <cellStyle name="Note 2 4 2 2 2 2" xfId="27137"/>
    <cellStyle name="Output 2 11 3 10 7" xfId="27138"/>
    <cellStyle name="Note 2 4 2 2 2 3" xfId="27139"/>
    <cellStyle name="Note 2 4 2 2 2 4" xfId="27140"/>
    <cellStyle name="Note 2 4 2 2 3" xfId="27141"/>
    <cellStyle name="Output 2 5 11 2 3" xfId="27142"/>
    <cellStyle name="Note 2 4 2 2 3 2" xfId="27143"/>
    <cellStyle name="Note 2 4 2 2 3 3" xfId="27144"/>
    <cellStyle name="Note 2 4 2 2 3 4" xfId="27145"/>
    <cellStyle name="Note 2 4 2 25" xfId="27146"/>
    <cellStyle name="Note 2 4 2 30" xfId="27147"/>
    <cellStyle name="Note 2 4 2 26" xfId="27148"/>
    <cellStyle name="Note 2 4 2 6 2" xfId="27149"/>
    <cellStyle name="Note 2 4 2 27" xfId="27150"/>
    <cellStyle name="Note 2 4 2 6 3" xfId="27151"/>
    <cellStyle name="Note 2 4 2 3" xfId="27152"/>
    <cellStyle name="Output 2 5 11 3" xfId="27153"/>
    <cellStyle name="Note 2 4 2 3 2" xfId="27154"/>
    <cellStyle name="Output 2 5 11 3 2" xfId="27155"/>
    <cellStyle name="Note 2 4 2 3 2 2" xfId="27156"/>
    <cellStyle name="Note 2 4 2 3 2 3" xfId="27157"/>
    <cellStyle name="Note 2 4 2 3 2 4" xfId="27158"/>
    <cellStyle name="Note 2 4 2 3 3" xfId="27159"/>
    <cellStyle name="Output 2 5 11 3 3" xfId="27160"/>
    <cellStyle name="Note 2 4 2 3 3 2" xfId="27161"/>
    <cellStyle name="Note 2 4 2 3 3 3" xfId="27162"/>
    <cellStyle name="Note 2 4 2 3 3 4" xfId="27163"/>
    <cellStyle name="Note 2 4 2 3 4 2" xfId="27164"/>
    <cellStyle name="Note 2 4 2 3 4 3" xfId="27165"/>
    <cellStyle name="Note 2 4 2 4" xfId="27166"/>
    <cellStyle name="Output 2 5 11 4" xfId="27167"/>
    <cellStyle name="Note 2 4 2 4 2" xfId="27168"/>
    <cellStyle name="Output 2 5 11 4 2" xfId="27169"/>
    <cellStyle name="Note 2 4 2 4 2 2" xfId="27170"/>
    <cellStyle name="Note 2 4 2 4 2 3" xfId="27171"/>
    <cellStyle name="Note 2 4 2 4 2 4" xfId="27172"/>
    <cellStyle name="Note 2 4 2 4 3" xfId="27173"/>
    <cellStyle name="Output 2 5 11 4 3" xfId="27174"/>
    <cellStyle name="Note 2 4 2 4 3 2" xfId="27175"/>
    <cellStyle name="Note 2 4 2 4 3 3" xfId="27176"/>
    <cellStyle name="Note 2 4 2 4 3 4" xfId="27177"/>
    <cellStyle name="Note 2 4 2 4 4 3" xfId="27178"/>
    <cellStyle name="Note 2 4 2 5 2" xfId="27179"/>
    <cellStyle name="Output 2 5 11 5 2" xfId="27180"/>
    <cellStyle name="Note 2 4 2 5 2 2" xfId="27181"/>
    <cellStyle name="Note 2 4 2 5 2 3" xfId="27182"/>
    <cellStyle name="Note 2 4 2 5 2 4" xfId="27183"/>
    <cellStyle name="Note 2 4 2 5 3" xfId="27184"/>
    <cellStyle name="Output 2 5 11 5 3" xfId="27185"/>
    <cellStyle name="Note 2 4 2 5 3 2" xfId="27186"/>
    <cellStyle name="Output 2 9 10 7" xfId="27187"/>
    <cellStyle name="Note 2 4 2 5 3 3" xfId="27188"/>
    <cellStyle name="Note 2 4 2 5 3 4" xfId="27189"/>
    <cellStyle name="Note 2 4 2 6 2 2" xfId="27190"/>
    <cellStyle name="Note 2 4 2 6 2 3" xfId="27191"/>
    <cellStyle name="Note 2 4 2 6 2 4" xfId="27192"/>
    <cellStyle name="Note 2 4 2 6 4 3" xfId="27193"/>
    <cellStyle name="Note 2 4 2 7 2" xfId="27194"/>
    <cellStyle name="Note 2 4 2 7 2 2" xfId="27195"/>
    <cellStyle name="Note 2 4 2 7 2 3" xfId="27196"/>
    <cellStyle name="Note 2 4 2 7 2 4" xfId="27197"/>
    <cellStyle name="Note 2 4 2 7 3" xfId="27198"/>
    <cellStyle name="Note 2 4 2 7 3 2" xfId="27199"/>
    <cellStyle name="Note 2 4 2 7 3 3" xfId="27200"/>
    <cellStyle name="Note 2 4 2 7 3 4" xfId="27201"/>
    <cellStyle name="Note 2 4 2 8" xfId="27202"/>
    <cellStyle name="Output 2 8 2 10 5 3" xfId="27203"/>
    <cellStyle name="Note 2 4 2 8 2" xfId="27204"/>
    <cellStyle name="Note 2 4 2 8 2 2" xfId="27205"/>
    <cellStyle name="Note 2 4 2 8 2 3" xfId="27206"/>
    <cellStyle name="Note 2 4 2 8 2 4" xfId="27207"/>
    <cellStyle name="Note 2 4 2 8 3" xfId="27208"/>
    <cellStyle name="Note 2 4 2 8 3 2" xfId="27209"/>
    <cellStyle name="Note 2 4 2 8 3 3" xfId="27210"/>
    <cellStyle name="Note 2 4 2 8 3 4" xfId="27211"/>
    <cellStyle name="Note 2 4 2 8 4" xfId="27212"/>
    <cellStyle name="Note 2 4 2 8 4 3" xfId="27213"/>
    <cellStyle name="Note 2 4 2 9 2" xfId="27214"/>
    <cellStyle name="Note 2 4 2 9 2 2" xfId="27215"/>
    <cellStyle name="Note 2 4 2 9 2 3" xfId="27216"/>
    <cellStyle name="Note 2 4 2 9 2 4" xfId="27217"/>
    <cellStyle name="Note 2 4 2 9 3" xfId="27218"/>
    <cellStyle name="Note 2 4 2 9 3 2" xfId="27219"/>
    <cellStyle name="Note 2 4 2 9 3 3" xfId="27220"/>
    <cellStyle name="Note 2 4 2 9 3 4" xfId="27221"/>
    <cellStyle name="Note 2 4 2 9 4" xfId="27222"/>
    <cellStyle name="Output 2 2 2 4 2 2 2 2" xfId="27223"/>
    <cellStyle name="Note 2 4 2 9 4 3" xfId="27224"/>
    <cellStyle name="Note 2 4 25" xfId="27225"/>
    <cellStyle name="Note 2 4 30" xfId="27226"/>
    <cellStyle name="Note 2 4 28" xfId="27227"/>
    <cellStyle name="Note 2 4 29" xfId="27228"/>
    <cellStyle name="Note 2 4 3" xfId="27229"/>
    <cellStyle name="Output 2 5 12" xfId="27230"/>
    <cellStyle name="Note 2 4 3 10" xfId="27231"/>
    <cellStyle name="Note 2 4 3 10 3 4" xfId="27232"/>
    <cellStyle name="Note 2 4 3 10 5 2" xfId="27233"/>
    <cellStyle name="Note 2 4 3 10 5 3" xfId="27234"/>
    <cellStyle name="Note 2 4 3 10 7" xfId="27235"/>
    <cellStyle name="Note 2 4 3 2" xfId="27236"/>
    <cellStyle name="Output 2 5 12 2" xfId="27237"/>
    <cellStyle name="Output 2 3 2 8 3" xfId="27238"/>
    <cellStyle name="Note 2 4 3 2 2" xfId="27239"/>
    <cellStyle name="Output 2 5 12 2 2" xfId="27240"/>
    <cellStyle name="Note 2 4 3 2 2 2" xfId="27241"/>
    <cellStyle name="Output 2 3 2 8 3 2" xfId="27242"/>
    <cellStyle name="Note 2 4 3 2 2 3" xfId="27243"/>
    <cellStyle name="Output 2 3 2 8 3 3" xfId="27244"/>
    <cellStyle name="Note 2 4 3 2 2 4" xfId="27245"/>
    <cellStyle name="Output 2 3 2 8 3 4" xfId="27246"/>
    <cellStyle name="Output 2 3 2 8 4" xfId="27247"/>
    <cellStyle name="Note 2 4 3 2 3" xfId="27248"/>
    <cellStyle name="Output 2 5 12 2 3" xfId="27249"/>
    <cellStyle name="Note 2 4 3 2 3 2" xfId="27250"/>
    <cellStyle name="Output 2 3 2 8 4 2" xfId="27251"/>
    <cellStyle name="Note 2 4 3 2 3 3" xfId="27252"/>
    <cellStyle name="Output 2 3 2 8 4 3" xfId="27253"/>
    <cellStyle name="Note 2 4 3 2 3 4" xfId="27254"/>
    <cellStyle name="Note 2 4 3 3" xfId="27255"/>
    <cellStyle name="Output 2 5 12 3" xfId="27256"/>
    <cellStyle name="Output 2 3 2 9 3" xfId="27257"/>
    <cellStyle name="Note 2 4 3 3 2" xfId="27258"/>
    <cellStyle name="Output 2 5 12 3 2" xfId="27259"/>
    <cellStyle name="Note 2 4 3 3 2 2" xfId="27260"/>
    <cellStyle name="Output 2 3 2 9 3 2" xfId="27261"/>
    <cellStyle name="Note 2 4 3 3 2 3" xfId="27262"/>
    <cellStyle name="Output 2 3 2 9 3 3" xfId="27263"/>
    <cellStyle name="Note 2 4 3 3 2 4" xfId="27264"/>
    <cellStyle name="Output 2 3 2 9 3 4" xfId="27265"/>
    <cellStyle name="Output 2 3 2 9 4" xfId="27266"/>
    <cellStyle name="Note 2 4 3 3 3" xfId="27267"/>
    <cellStyle name="Output 2 5 12 3 3" xfId="27268"/>
    <cellStyle name="Note 2 4 3 3 3 2" xfId="27269"/>
    <cellStyle name="Output 2 3 2 9 4 2" xfId="27270"/>
    <cellStyle name="Note 2 4 3 3 3 3" xfId="27271"/>
    <cellStyle name="Output 2 3 2 9 4 3" xfId="27272"/>
    <cellStyle name="Note 2 4 3 3 3 4" xfId="27273"/>
    <cellStyle name="Note 2 4 3 4" xfId="27274"/>
    <cellStyle name="Output 2 5 12 4" xfId="27275"/>
    <cellStyle name="Note 2 4 3 4 2" xfId="27276"/>
    <cellStyle name="Output 2 5 12 4 2" xfId="27277"/>
    <cellStyle name="Note 2 4 3 4 2 2" xfId="27278"/>
    <cellStyle name="Note 2 4 3 4 2 3" xfId="27279"/>
    <cellStyle name="Note 2 4 3 4 2 4" xfId="27280"/>
    <cellStyle name="Note 2 4 3 4 3" xfId="27281"/>
    <cellStyle name="Output 2 5 12 4 3" xfId="27282"/>
    <cellStyle name="Note 2 4 3 4 3 2" xfId="27283"/>
    <cellStyle name="Note 2 4 3 4 3 3" xfId="27284"/>
    <cellStyle name="Note 2 4 3 4 3 4" xfId="27285"/>
    <cellStyle name="Note 2 4 3 4 4 2" xfId="27286"/>
    <cellStyle name="Note 2 4 3 4 4 3" xfId="27287"/>
    <cellStyle name="Note 2 4 3 5 2" xfId="27288"/>
    <cellStyle name="Output 2 5 12 5 2" xfId="27289"/>
    <cellStyle name="Note 2 4 3 5 2 2" xfId="27290"/>
    <cellStyle name="Note 2 4 3 5 2 3" xfId="27291"/>
    <cellStyle name="Note 2 4 3 5 2 4" xfId="27292"/>
    <cellStyle name="Note 2 4 3 5 3" xfId="27293"/>
    <cellStyle name="Output 2 5 12 5 3" xfId="27294"/>
    <cellStyle name="Note 2 4 3 5 3 2" xfId="27295"/>
    <cellStyle name="Note 2 4 3 5 3 3" xfId="27296"/>
    <cellStyle name="Note 2 4 3 5 3 4" xfId="27297"/>
    <cellStyle name="Note 2 4 3 5 4 2" xfId="27298"/>
    <cellStyle name="Note 2 4 3 5 4 3" xfId="27299"/>
    <cellStyle name="Note 2 4 3 6 2" xfId="27300"/>
    <cellStyle name="Note 2 4 3 6 2 2" xfId="27301"/>
    <cellStyle name="Note 2 4 3 6 2 3" xfId="27302"/>
    <cellStyle name="Note 2 4 3 6 2 4" xfId="27303"/>
    <cellStyle name="Note 2 4 3 6 3 4" xfId="27304"/>
    <cellStyle name="Note 2 4 3 6 4 2" xfId="27305"/>
    <cellStyle name="Note 2 4 3 6 4 3" xfId="27306"/>
    <cellStyle name="Note 2 4 3 7 2 2" xfId="27307"/>
    <cellStyle name="Total 2 10 2 11 3" xfId="27308"/>
    <cellStyle name="Note 2 4 3 7 2 3" xfId="27309"/>
    <cellStyle name="Total 2 10 2 11 4" xfId="27310"/>
    <cellStyle name="Note 2 4 3 7 2 4" xfId="27311"/>
    <cellStyle name="Note 2 4 3 7 3" xfId="27312"/>
    <cellStyle name="Note 2 4 3 7 3 2" xfId="27313"/>
    <cellStyle name="Total 2 10 2 12 3" xfId="27314"/>
    <cellStyle name="Note 2 4 3 7 3 3" xfId="27315"/>
    <cellStyle name="Total 2 10 2 12 4" xfId="27316"/>
    <cellStyle name="Note 2 4 3 7 3 4" xfId="27317"/>
    <cellStyle name="Note 2 4 3 8" xfId="27318"/>
    <cellStyle name="Note 2 4 3 8 2 2" xfId="27319"/>
    <cellStyle name="Note 2 4 3 8 2 3" xfId="27320"/>
    <cellStyle name="Note 2 4 3 8 2 4" xfId="27321"/>
    <cellStyle name="Note 2 4 3 8 3 3" xfId="27322"/>
    <cellStyle name="Note 2 4 3 8 3 4" xfId="27323"/>
    <cellStyle name="Note 2 4 3 8 4 2" xfId="27324"/>
    <cellStyle name="Note 2 4 3 8 4 3" xfId="27325"/>
    <cellStyle name="Note 2 4 3 9 2 2" xfId="27326"/>
    <cellStyle name="Note 2 4 3 9 2 3" xfId="27327"/>
    <cellStyle name="Note 2 4 3 9 2 4" xfId="27328"/>
    <cellStyle name="Note 2 4 3 9 3" xfId="27329"/>
    <cellStyle name="Note 2 4 3 9 3 2" xfId="27330"/>
    <cellStyle name="Note 2 4 3 9 3 3" xfId="27331"/>
    <cellStyle name="Note 2 4 3 9 3 4" xfId="27332"/>
    <cellStyle name="Note 2 4 4" xfId="27333"/>
    <cellStyle name="Output 2 2 2 3 4 2" xfId="27334"/>
    <cellStyle name="Output 2 5 13" xfId="27335"/>
    <cellStyle name="Note 2 4 4 2" xfId="27336"/>
    <cellStyle name="Output 2 5 13 2" xfId="27337"/>
    <cellStyle name="Note 2 4 4 2 2" xfId="27338"/>
    <cellStyle name="Output 2 3 3 8 3" xfId="27339"/>
    <cellStyle name="Note 2 4 4 2 3" xfId="27340"/>
    <cellStyle name="Output 2 3 3 8 4" xfId="27341"/>
    <cellStyle name="Note 2 4 4 3" xfId="27342"/>
    <cellStyle name="Output 2 5 13 3" xfId="27343"/>
    <cellStyle name="Note 2 4 4 3 2" xfId="27344"/>
    <cellStyle name="Output 2 3 3 9 3" xfId="27345"/>
    <cellStyle name="Note 2 4 4 3 3" xfId="27346"/>
    <cellStyle name="Output 2 3 3 9 4" xfId="27347"/>
    <cellStyle name="Note 2 4 4 4" xfId="27348"/>
    <cellStyle name="Output 2 5 13 4" xfId="27349"/>
    <cellStyle name="Note 2 4 4 4 2" xfId="27350"/>
    <cellStyle name="Note 2 4 4 5 2" xfId="27351"/>
    <cellStyle name="Note 2 4 4 5 3" xfId="27352"/>
    <cellStyle name="Note 2 4 4 8" xfId="27353"/>
    <cellStyle name="Output 2 11 3 3 2 3" xfId="27354"/>
    <cellStyle name="Note 2 4 5" xfId="27355"/>
    <cellStyle name="Output 2 2 2 3 4 3" xfId="27356"/>
    <cellStyle name="Output 2 5 14" xfId="27357"/>
    <cellStyle name="Note 2 4 5 2" xfId="27358"/>
    <cellStyle name="Output 2 5 14 2" xfId="27359"/>
    <cellStyle name="Note 2 4 5 2 2" xfId="27360"/>
    <cellStyle name="Note 2 4 5 2 3" xfId="27361"/>
    <cellStyle name="Note 2 4 5 3" xfId="27362"/>
    <cellStyle name="Output 2 5 14 3" xfId="27363"/>
    <cellStyle name="Note 2 4 5 3 2" xfId="27364"/>
    <cellStyle name="Note 2 4 5 3 3" xfId="27365"/>
    <cellStyle name="Note 2 4 5 4" xfId="27366"/>
    <cellStyle name="Output 2 5 14 4" xfId="27367"/>
    <cellStyle name="Note 2 4 5 4 2" xfId="27368"/>
    <cellStyle name="Note 2 4 5 4 3" xfId="27369"/>
    <cellStyle name="Note 2 4 5 5 2" xfId="27370"/>
    <cellStyle name="Note 2 4 5 5 3" xfId="27371"/>
    <cellStyle name="Note 2 4 5 7" xfId="27372"/>
    <cellStyle name="Output 2 11 3 3 3 2" xfId="27373"/>
    <cellStyle name="Note 2 4 5 8" xfId="27374"/>
    <cellStyle name="Output 2 11 3 3 3 3" xfId="27375"/>
    <cellStyle name="Note 2 4 6" xfId="27376"/>
    <cellStyle name="Output 2 5 15" xfId="27377"/>
    <cellStyle name="Output 2 5 20" xfId="27378"/>
    <cellStyle name="Total 2 3 2 10 3" xfId="27379"/>
    <cellStyle name="Note 2 4 6 2 3" xfId="27380"/>
    <cellStyle name="Total 2 3 2 11" xfId="27381"/>
    <cellStyle name="Note 2 4 6 3" xfId="27382"/>
    <cellStyle name="Output 2 5 15 3" xfId="27383"/>
    <cellStyle name="Total 2 3 2 11 2" xfId="27384"/>
    <cellStyle name="Note 2 4 6 3 2" xfId="27385"/>
    <cellStyle name="Total 2 3 2 11 3" xfId="27386"/>
    <cellStyle name="Note 2 4 6 3 3" xfId="27387"/>
    <cellStyle name="Total 2 3 2 12" xfId="27388"/>
    <cellStyle name="Note 2 4 6 4" xfId="27389"/>
    <cellStyle name="Total 2 3 2 12 2" xfId="27390"/>
    <cellStyle name="Note 2 4 6 4 2" xfId="27391"/>
    <cellStyle name="Total 2 3 2 12 3" xfId="27392"/>
    <cellStyle name="Note 2 4 6 4 3" xfId="27393"/>
    <cellStyle name="Total 2 3 2 13" xfId="27394"/>
    <cellStyle name="Note 2 4 6 5" xfId="27395"/>
    <cellStyle name="Total 2 3 2 13 2" xfId="27396"/>
    <cellStyle name="Note 2 4 6 5 2" xfId="27397"/>
    <cellStyle name="Total 2 3 2 13 3" xfId="27398"/>
    <cellStyle name="Note 2 4 6 5 3" xfId="27399"/>
    <cellStyle name="Total 2 3 2 14" xfId="27400"/>
    <cellStyle name="Note 2 4 6 6" xfId="27401"/>
    <cellStyle name="Note 2 9 2 6 2" xfId="27402"/>
    <cellStyle name="Note 2 4 7" xfId="27403"/>
    <cellStyle name="Output 2 5 16" xfId="27404"/>
    <cellStyle name="Note 2 4 7 2 3" xfId="27405"/>
    <cellStyle name="Note 2 4 7 2 4" xfId="27406"/>
    <cellStyle name="Note 2 9 2 6 2 3" xfId="27407"/>
    <cellStyle name="Note 2 4 7 3" xfId="27408"/>
    <cellStyle name="Output 2 5 16 3" xfId="27409"/>
    <cellStyle name="Note 2 4 7 3 2" xfId="27410"/>
    <cellStyle name="Note 2 4 7 3 3" xfId="27411"/>
    <cellStyle name="Note 2 4 7 3 4" xfId="27412"/>
    <cellStyle name="Note 2 4 7 4" xfId="27413"/>
    <cellStyle name="Note 2 9 2 6 2 4" xfId="27414"/>
    <cellStyle name="Note 2 4 7 4 2" xfId="27415"/>
    <cellStyle name="Note 2 4 7 4 3" xfId="27416"/>
    <cellStyle name="Note 2 4 7 5" xfId="27417"/>
    <cellStyle name="Note 2 4 7 5 2" xfId="27418"/>
    <cellStyle name="Note 2 4 7 5 3" xfId="27419"/>
    <cellStyle name="Note 2 4 7 6" xfId="27420"/>
    <cellStyle name="Note 2 9 2 6 3" xfId="27421"/>
    <cellStyle name="Output 2 14 3 4 3 2" xfId="27422"/>
    <cellStyle name="Note 2 4 8" xfId="27423"/>
    <cellStyle name="Output 2 5 17" xfId="27424"/>
    <cellStyle name="Note 2 9 2 6 3 2" xfId="27425"/>
    <cellStyle name="Note 2 4 8 2" xfId="27426"/>
    <cellStyle name="Output 2 5 17 2" xfId="27427"/>
    <cellStyle name="Note 2 4 8 2 3" xfId="27428"/>
    <cellStyle name="Note 2 4 8 2 4" xfId="27429"/>
    <cellStyle name="Note 2 4 8 3" xfId="27430"/>
    <cellStyle name="Note 2 9 2 6 3 3" xfId="27431"/>
    <cellStyle name="Note 2 4 8 3 3" xfId="27432"/>
    <cellStyle name="Note 2 4 8 3 4" xfId="27433"/>
    <cellStyle name="Note 2 4 8 4" xfId="27434"/>
    <cellStyle name="Note 2 9 2 6 3 4" xfId="27435"/>
    <cellStyle name="Note 2 4 8 4 3" xfId="27436"/>
    <cellStyle name="Note 2 4 8 5" xfId="27437"/>
    <cellStyle name="Note 2 4 8 5 3" xfId="27438"/>
    <cellStyle name="Note 2 4 8 6" xfId="27439"/>
    <cellStyle name="Note 2 9 2 6 4" xfId="27440"/>
    <cellStyle name="Output 2 14 3 4 3 3" xfId="27441"/>
    <cellStyle name="Note 2 4 9" xfId="27442"/>
    <cellStyle name="Output 2 5 18" xfId="27443"/>
    <cellStyle name="Note 2 4 9 2" xfId="27444"/>
    <cellStyle name="Note 2 9 2 6 4 2" xfId="27445"/>
    <cellStyle name="Note 2 4 9 2 3" xfId="27446"/>
    <cellStyle name="Output 2 8 10 2 4" xfId="27447"/>
    <cellStyle name="Note 2 4 9 2 4" xfId="27448"/>
    <cellStyle name="Note 2 4 9 3" xfId="27449"/>
    <cellStyle name="Note 2 9 2 6 4 3" xfId="27450"/>
    <cellStyle name="Note 2 4 9 3 3" xfId="27451"/>
    <cellStyle name="Output 2 8 10 3 4" xfId="27452"/>
    <cellStyle name="Note 2 4 9 3 4" xfId="27453"/>
    <cellStyle name="Note 2 4 9 4 3" xfId="27454"/>
    <cellStyle name="Note 2 4 9 5 3" xfId="27455"/>
    <cellStyle name="Note 2 5 10" xfId="27456"/>
    <cellStyle name="Output 2 5 9 5" xfId="27457"/>
    <cellStyle name="Note 2 5 10 2" xfId="27458"/>
    <cellStyle name="Output 2 5 9 5 2" xfId="27459"/>
    <cellStyle name="Note 2 5 10 2 2" xfId="27460"/>
    <cellStyle name="Output 2 13 8 3" xfId="27461"/>
    <cellStyle name="Total 2 10 3 8 4" xfId="27462"/>
    <cellStyle name="Note 2 5 10 2 3" xfId="27463"/>
    <cellStyle name="Output 2 13 8 4" xfId="27464"/>
    <cellStyle name="Total 2 10 3 8 5" xfId="27465"/>
    <cellStyle name="Note 2 5 10 2 4" xfId="27466"/>
    <cellStyle name="Output 2 13 8 5" xfId="27467"/>
    <cellStyle name="Total 2 10 3 8 6" xfId="27468"/>
    <cellStyle name="Note 2 5 10 3" xfId="27469"/>
    <cellStyle name="Output 2 5 9 5 3" xfId="27470"/>
    <cellStyle name="Note 2 5 10 3 2" xfId="27471"/>
    <cellStyle name="Output 2 13 9 3" xfId="27472"/>
    <cellStyle name="Total 2 10 3 9 4" xfId="27473"/>
    <cellStyle name="Note 2 5 10 3 3" xfId="27474"/>
    <cellStyle name="Output 2 13 9 4" xfId="27475"/>
    <cellStyle name="Total 2 10 3 9 5" xfId="27476"/>
    <cellStyle name="Note 2 5 10 3 4" xfId="27477"/>
    <cellStyle name="Output 2 13 9 5" xfId="27478"/>
    <cellStyle name="Total 2 10 3 9 6" xfId="27479"/>
    <cellStyle name="Note 2 5 10 4" xfId="27480"/>
    <cellStyle name="Note 2 5 10 4 2" xfId="27481"/>
    <cellStyle name="Note 2 7 7 2 4" xfId="27482"/>
    <cellStyle name="Note 2 5 10 4 3" xfId="27483"/>
    <cellStyle name="Note 2 5 10 5 2" xfId="27484"/>
    <cellStyle name="Note 2 7 7 3 4" xfId="27485"/>
    <cellStyle name="Note 2 5 10 5 3" xfId="27486"/>
    <cellStyle name="Note 2 5 10 8" xfId="27487"/>
    <cellStyle name="Note 2 5 11" xfId="27488"/>
    <cellStyle name="Output 2 5 9 6" xfId="27489"/>
    <cellStyle name="Output 2 7 2 9 2" xfId="27490"/>
    <cellStyle name="Note 2 5 11 2" xfId="27491"/>
    <cellStyle name="Output 2 7 2 9 2 2" xfId="27492"/>
    <cellStyle name="Note 2 5 11 2 2" xfId="27493"/>
    <cellStyle name="Output 2 14 8 3" xfId="27494"/>
    <cellStyle name="Note 2 5 11 3" xfId="27495"/>
    <cellStyle name="Output 2 7 2 9 2 3" xfId="27496"/>
    <cellStyle name="Note 2 5 11 3 2" xfId="27497"/>
    <cellStyle name="Output 2 14 9 3" xfId="27498"/>
    <cellStyle name="Note 2 5 11 4" xfId="27499"/>
    <cellStyle name="Output 2 7 2 9 2 4" xfId="27500"/>
    <cellStyle name="Note 2 5 11 4 2" xfId="27501"/>
    <cellStyle name="Note 2 7 8 2 4" xfId="27502"/>
    <cellStyle name="Note 2 5 11 5" xfId="27503"/>
    <cellStyle name="Note 2 5 11 5 2" xfId="27504"/>
    <cellStyle name="Note 2 7 8 3 4" xfId="27505"/>
    <cellStyle name="Output 2 4 3 10 7" xfId="27506"/>
    <cellStyle name="Note 2 5 11 5 3" xfId="27507"/>
    <cellStyle name="Note 2 5 11 8" xfId="27508"/>
    <cellStyle name="Note 2 5 12 2" xfId="27509"/>
    <cellStyle name="Note 2 8 3 3 2 2" xfId="27510"/>
    <cellStyle name="Output 2 7 2 9 3 2" xfId="27511"/>
    <cellStyle name="Note 2 5 12 2 2" xfId="27512"/>
    <cellStyle name="Output 2 15 8 3" xfId="27513"/>
    <cellStyle name="Note 2 5 12 2 3" xfId="27514"/>
    <cellStyle name="Output 2 15 8 4" xfId="27515"/>
    <cellStyle name="Note 2 5 12 2 4" xfId="27516"/>
    <cellStyle name="Output 2 15 8 5" xfId="27517"/>
    <cellStyle name="Note 2 5 12 3" xfId="27518"/>
    <cellStyle name="Note 2 8 3 3 2 3" xfId="27519"/>
    <cellStyle name="Output 2 7 2 9 3 3" xfId="27520"/>
    <cellStyle name="Note 2 5 12 3 2" xfId="27521"/>
    <cellStyle name="Output 2 15 9 3" xfId="27522"/>
    <cellStyle name="Note 2 5 12 3 3" xfId="27523"/>
    <cellStyle name="Output 2 15 9 4" xfId="27524"/>
    <cellStyle name="Note 2 5 12 3 4" xfId="27525"/>
    <cellStyle name="Output 2 15 9 5" xfId="27526"/>
    <cellStyle name="Note 2 5 12 4" xfId="27527"/>
    <cellStyle name="Note 2 8 3 3 2 4" xfId="27528"/>
    <cellStyle name="Output 2 7 2 9 3 4" xfId="27529"/>
    <cellStyle name="Note 2 5 12 4 2" xfId="27530"/>
    <cellStyle name="Note 2 7 9 2 4" xfId="27531"/>
    <cellStyle name="Note 2 5 12 4 3" xfId="27532"/>
    <cellStyle name="Note 2 5 12 5" xfId="27533"/>
    <cellStyle name="Note 2 5 12 6" xfId="27534"/>
    <cellStyle name="Note 2 5 12 7" xfId="27535"/>
    <cellStyle name="Note 2 5 12 8" xfId="27536"/>
    <cellStyle name="Note 2 5 13 2" xfId="27537"/>
    <cellStyle name="Note 2 8 3 3 3 2" xfId="27538"/>
    <cellStyle name="Output 2 7 2 9 4 2" xfId="27539"/>
    <cellStyle name="Note 2 5 13 3" xfId="27540"/>
    <cellStyle name="Note 2 8 3 3 3 3" xfId="27541"/>
    <cellStyle name="Output 2 7 2 9 4 3" xfId="27542"/>
    <cellStyle name="Note 2 5 13 4" xfId="27543"/>
    <cellStyle name="Note 2 8 3 3 3 4" xfId="27544"/>
    <cellStyle name="Note 2 5 13 5" xfId="27545"/>
    <cellStyle name="Note 2 5 14" xfId="27546"/>
    <cellStyle name="Note 2 8 3 3 4" xfId="27547"/>
    <cellStyle name="Output 2 11 3 12 3" xfId="27548"/>
    <cellStyle name="Output 2 7 2 9 5" xfId="27549"/>
    <cellStyle name="Note 2 5 14 2" xfId="27550"/>
    <cellStyle name="Note 2 8 3 3 4 2" xfId="27551"/>
    <cellStyle name="Output 2 7 2 9 5 2" xfId="27552"/>
    <cellStyle name="Note 2 5 14 3" xfId="27553"/>
    <cellStyle name="Note 2 8 3 3 4 3" xfId="27554"/>
    <cellStyle name="Output 2 7 2 9 5 3" xfId="27555"/>
    <cellStyle name="Note 2 5 14 4" xfId="27556"/>
    <cellStyle name="Note 2 5 14 5" xfId="27557"/>
    <cellStyle name="Note 2 5 15 2" xfId="27558"/>
    <cellStyle name="Note 2 8 3 3 5 2" xfId="27559"/>
    <cellStyle name="Note 2 5 15 3" xfId="27560"/>
    <cellStyle name="Note 2 8 3 3 5 3" xfId="27561"/>
    <cellStyle name="Note 2 5 15 4" xfId="27562"/>
    <cellStyle name="Note 2 5 16 2" xfId="27563"/>
    <cellStyle name="Note 2 5 16 3" xfId="27564"/>
    <cellStyle name="Note 2 5 16 4" xfId="27565"/>
    <cellStyle name="Output 2 2 2 2 3 2 2" xfId="27566"/>
    <cellStyle name="Note 2 5 17 2" xfId="27567"/>
    <cellStyle name="Note 2 5 2 10" xfId="27568"/>
    <cellStyle name="Note 2 5 2 10 2 3" xfId="27569"/>
    <cellStyle name="Note 2 5 2 10 3 3" xfId="27570"/>
    <cellStyle name="Note 2 5 2 10 4 2" xfId="27571"/>
    <cellStyle name="Output 2 2 10" xfId="27572"/>
    <cellStyle name="Note 2 5 2 10 4 3" xfId="27573"/>
    <cellStyle name="Output 2 2 11" xfId="27574"/>
    <cellStyle name="Note 2 5 2 10 5 2" xfId="27575"/>
    <cellStyle name="Note 2 5 2 10 5 3" xfId="27576"/>
    <cellStyle name="Note 2 5 2 10 6" xfId="27577"/>
    <cellStyle name="Note 2 6 3 9 2 2" xfId="27578"/>
    <cellStyle name="Note 2 5 2 10 7" xfId="27579"/>
    <cellStyle name="Note 2 6 3 9 2 3" xfId="27580"/>
    <cellStyle name="Note 2 5 2 11" xfId="27581"/>
    <cellStyle name="Note 2 5 2 11 2" xfId="27582"/>
    <cellStyle name="Note 2 5 2 12" xfId="27583"/>
    <cellStyle name="Note 2 5 2 12 2" xfId="27584"/>
    <cellStyle name="Output 2 3 11" xfId="27585"/>
    <cellStyle name="Note 2 5 2 13" xfId="27586"/>
    <cellStyle name="Note 2 5 2 13 2" xfId="27587"/>
    <cellStyle name="Note 2 5 2 14" xfId="27588"/>
    <cellStyle name="Note 2 5 2 14 2" xfId="27589"/>
    <cellStyle name="Note 2 5 2 15" xfId="27590"/>
    <cellStyle name="Note 2 5 2 2" xfId="27591"/>
    <cellStyle name="Note 2 5 2 2 2" xfId="27592"/>
    <cellStyle name="Note 2 5 2 2 2 2" xfId="27593"/>
    <cellStyle name="Note 2 5 2 2 3" xfId="27594"/>
    <cellStyle name="Note 2 5 2 2 3 2" xfId="27595"/>
    <cellStyle name="Note 2 5 2 2 4 2" xfId="27596"/>
    <cellStyle name="Note 2 5 2 2 5 2" xfId="27597"/>
    <cellStyle name="Note 2 5 2 3" xfId="27598"/>
    <cellStyle name="Note 2 5 2 3 2" xfId="27599"/>
    <cellStyle name="Note 2 5 2 3 2 2" xfId="27600"/>
    <cellStyle name="Note 2 5 2 3 3" xfId="27601"/>
    <cellStyle name="Note 2 5 2 3 3 2" xfId="27602"/>
    <cellStyle name="Note 2 5 2 3 4 2" xfId="27603"/>
    <cellStyle name="Note 2 5 2 3 5 2" xfId="27604"/>
    <cellStyle name="Note 2 5 2 4" xfId="27605"/>
    <cellStyle name="Note 2 5 2 4 2" xfId="27606"/>
    <cellStyle name="Note 2 5 2 4 3" xfId="27607"/>
    <cellStyle name="Note 2 5 2 4 4" xfId="27608"/>
    <cellStyle name="Note 2 5 2 4 5" xfId="27609"/>
    <cellStyle name="Note 2 5 2 5 2" xfId="27610"/>
    <cellStyle name="Note 2 5 2 5 3" xfId="27611"/>
    <cellStyle name="Note 2 5 2 5 4" xfId="27612"/>
    <cellStyle name="Note 2 5 2 5 5" xfId="27613"/>
    <cellStyle name="Note 2 5 2 7 2" xfId="27614"/>
    <cellStyle name="Note 2 5 2 7 3" xfId="27615"/>
    <cellStyle name="Note 2 5 2 7 4" xfId="27616"/>
    <cellStyle name="Note 2 5 2 7 5" xfId="27617"/>
    <cellStyle name="Note 2 5 2 7 6" xfId="27618"/>
    <cellStyle name="Note 2 5 2 7 7" xfId="27619"/>
    <cellStyle name="Note 2 5 2 8" xfId="27620"/>
    <cellStyle name="Note 2 5 2 8 2" xfId="27621"/>
    <cellStyle name="Note 2 5 2 8 3" xfId="27622"/>
    <cellStyle name="Note 2 5 2 8 4" xfId="27623"/>
    <cellStyle name="Note 2 5 2 8 5" xfId="27624"/>
    <cellStyle name="Note 2 5 2 8 6" xfId="27625"/>
    <cellStyle name="Total 2 10 2 4 2 2" xfId="27626"/>
    <cellStyle name="Note 2 5 2 8 7" xfId="27627"/>
    <cellStyle name="Total 2 10 2 4 2 3" xfId="27628"/>
    <cellStyle name="Note 2 5 2 9 2" xfId="27629"/>
    <cellStyle name="Note 2 5 2 9 2 3" xfId="27630"/>
    <cellStyle name="Note 2 5 2 9 2 4" xfId="27631"/>
    <cellStyle name="Note 2 5 2 9 3" xfId="27632"/>
    <cellStyle name="Note 2 5 2 9 4" xfId="27633"/>
    <cellStyle name="Output 2 2 2 4 3 2 2 2" xfId="27634"/>
    <cellStyle name="Note 2 5 2 9 5" xfId="27635"/>
    <cellStyle name="Note 2 5 2 9 6" xfId="27636"/>
    <cellStyle name="Output 2 12 4 2 2" xfId="27637"/>
    <cellStyle name="Total 2 10 2 4 3 2" xfId="27638"/>
    <cellStyle name="Note 2 5 29" xfId="27639"/>
    <cellStyle name="Output 2 9 2 8 2 4" xfId="27640"/>
    <cellStyle name="Note 2 5 3 10" xfId="27641"/>
    <cellStyle name="Note 2 5 3 10 2" xfId="27642"/>
    <cellStyle name="Note 2 5 3 10 2 3" xfId="27643"/>
    <cellStyle name="Note 2 5 3 10 3 3" xfId="27644"/>
    <cellStyle name="Note 2 5 3 10 3 4" xfId="27645"/>
    <cellStyle name="Note 2 5 3 10 4 2" xfId="27646"/>
    <cellStyle name="Note 2 5 3 10 4 3" xfId="27647"/>
    <cellStyle name="Note 2 5 3 10 5 2" xfId="27648"/>
    <cellStyle name="Note 2 5 3 10 5 3" xfId="27649"/>
    <cellStyle name="Note 2 5 3 2" xfId="27650"/>
    <cellStyle name="Note 2 5 3 2 2 2" xfId="27651"/>
    <cellStyle name="Output 2 10 2 9 5 2" xfId="27652"/>
    <cellStyle name="Output 2 4 2 8 3 2" xfId="27653"/>
    <cellStyle name="Total 2" xfId="27654"/>
    <cellStyle name="Note 2 5 3 2 3" xfId="27655"/>
    <cellStyle name="Output 2 10 2 9 6" xfId="27656"/>
    <cellStyle name="Output 2 4 2 8 4" xfId="27657"/>
    <cellStyle name="Note 2 5 3 2 3 2" xfId="27658"/>
    <cellStyle name="Output 2 4 2 8 4 2" xfId="27659"/>
    <cellStyle name="Note 2 5 3 2 4 2" xfId="27660"/>
    <cellStyle name="Output 2 4 2 8 5 2" xfId="27661"/>
    <cellStyle name="Note 2 5 3 2 5 2" xfId="27662"/>
    <cellStyle name="Note 2 5 3 2 5 3" xfId="27663"/>
    <cellStyle name="Note 2 5 3 2 6" xfId="27664"/>
    <cellStyle name="Output 2 4 2 8 7" xfId="27665"/>
    <cellStyle name="Note 2 5 3 2 7" xfId="27666"/>
    <cellStyle name="Note 2 5 3 3" xfId="27667"/>
    <cellStyle name="Note 2 5 3 3 2" xfId="27668"/>
    <cellStyle name="Output 2 4 2 9 3" xfId="27669"/>
    <cellStyle name="Note 2 5 3 3 2 2" xfId="27670"/>
    <cellStyle name="Output 2 4 2 9 3 2" xfId="27671"/>
    <cellStyle name="Note 2 5 3 3 2 3" xfId="27672"/>
    <cellStyle name="Output 2 4 2 9 3 3" xfId="27673"/>
    <cellStyle name="Note 2 5 3 3 2 4" xfId="27674"/>
    <cellStyle name="Output 2 4 2 9 3 4" xfId="27675"/>
    <cellStyle name="Note 2 5 3 3 3" xfId="27676"/>
    <cellStyle name="Output 2 4 2 9 4" xfId="27677"/>
    <cellStyle name="Note 2 5 3 3 3 2" xfId="27678"/>
    <cellStyle name="Output 2 4 2 9 4 2" xfId="27679"/>
    <cellStyle name="Note 2 5 3 3 3 3" xfId="27680"/>
    <cellStyle name="Output 2 4 2 9 4 3" xfId="27681"/>
    <cellStyle name="Standard_Vanderlande Matrix neu" xfId="27682"/>
    <cellStyle name="Note 2 5 3 3 3 4" xfId="27683"/>
    <cellStyle name="Note 2 5 3 3 5 2" xfId="27684"/>
    <cellStyle name="Note 2 5 3 3 5 3" xfId="27685"/>
    <cellStyle name="Note 2 5 3 4" xfId="27686"/>
    <cellStyle name="Note 2 5 3 4 2" xfId="27687"/>
    <cellStyle name="Output 2 12 10 3" xfId="27688"/>
    <cellStyle name="Note 2 5 3 4 3" xfId="27689"/>
    <cellStyle name="Output 2 12 10 4" xfId="27690"/>
    <cellStyle name="Note 2 5 3 4 4" xfId="27691"/>
    <cellStyle name="Output 2 12 10 5" xfId="27692"/>
    <cellStyle name="Note 2 5 3 4 5" xfId="27693"/>
    <cellStyle name="Output 2 12 10 6" xfId="27694"/>
    <cellStyle name="Note 2 5 3 6 2 3" xfId="27695"/>
    <cellStyle name="Total 2 16 4 2 4" xfId="27696"/>
    <cellStyle name="Output 2 12 12 3 3" xfId="27697"/>
    <cellStyle name="Note 2 5 3 6 2 4" xfId="27698"/>
    <cellStyle name="Output 2 12 12 3 4" xfId="27699"/>
    <cellStyle name="Note 2 5 3 6 3" xfId="27700"/>
    <cellStyle name="Output 2 12 12 4" xfId="27701"/>
    <cellStyle name="Note 2 5 3 6 4" xfId="27702"/>
    <cellStyle name="Output 2 12 12 5" xfId="27703"/>
    <cellStyle name="Note 2 5 3 6 4 2" xfId="27704"/>
    <cellStyle name="Total 2 16 4 4 3" xfId="27705"/>
    <cellStyle name="Output 2 12 12 5 2" xfId="27706"/>
    <cellStyle name="Note 2 5 3 6 4 3" xfId="27707"/>
    <cellStyle name="Output 2 12 12 5 3" xfId="27708"/>
    <cellStyle name="Note 2 5 3 6 5" xfId="27709"/>
    <cellStyle name="Output 2 12 12 6" xfId="27710"/>
    <cellStyle name="Note 2 5 3 6 5 2" xfId="27711"/>
    <cellStyle name="Output 2 11 10 7" xfId="27712"/>
    <cellStyle name="Total 2 11 3 15" xfId="27713"/>
    <cellStyle name="Note 2 5 3 7 3" xfId="27714"/>
    <cellStyle name="Output 2 12 13 4" xfId="27715"/>
    <cellStyle name="Note 2 5 3 7 4" xfId="27716"/>
    <cellStyle name="Note 2 5 3 7 5" xfId="27717"/>
    <cellStyle name="Note 2 5 3 7 5 2" xfId="27718"/>
    <cellStyle name="Note 2 5 3 7 5 3" xfId="27719"/>
    <cellStyle name="Note 2 5 3 7 6" xfId="27720"/>
    <cellStyle name="Note 2 5 3 7 7" xfId="27721"/>
    <cellStyle name="Note 2 5 3 8" xfId="27722"/>
    <cellStyle name="Note 2 5 3 8 2" xfId="27723"/>
    <cellStyle name="Output 2 12 14 3" xfId="27724"/>
    <cellStyle name="Note 2 5 3 8 2 3" xfId="27725"/>
    <cellStyle name="Note 2 5 3 8 2 4" xfId="27726"/>
    <cellStyle name="Note 2 5 3 8 3" xfId="27727"/>
    <cellStyle name="Output 2 12 14 4" xfId="27728"/>
    <cellStyle name="Note 2 5 3 8 3 2" xfId="27729"/>
    <cellStyle name="Note 2 5 3 8 3 3" xfId="27730"/>
    <cellStyle name="Note 2 5 3 8 3 4" xfId="27731"/>
    <cellStyle name="Note 2 5 3 8 4" xfId="27732"/>
    <cellStyle name="Note 2 5 3 8 4 2" xfId="27733"/>
    <cellStyle name="Note 2 5 3 8 4 3" xfId="27734"/>
    <cellStyle name="Note 2 5 3 8 5" xfId="27735"/>
    <cellStyle name="Note 2 5 3 8 5 2" xfId="27736"/>
    <cellStyle name="Note 2 5 3 8 5 3" xfId="27737"/>
    <cellStyle name="Note 2 5 3 8 6" xfId="27738"/>
    <cellStyle name="Total 2 10 2 5 2 2" xfId="27739"/>
    <cellStyle name="Note 2 5 3 8 7" xfId="27740"/>
    <cellStyle name="Total 2 10 2 5 2 3" xfId="27741"/>
    <cellStyle name="Note 2 5 3 9 2 3" xfId="27742"/>
    <cellStyle name="Note 2 5 3 9 2 4" xfId="27743"/>
    <cellStyle name="Note 2 5 3 9 3 2" xfId="27744"/>
    <cellStyle name="Note 2 5 3 9 3 3" xfId="27745"/>
    <cellStyle name="Note 2 5 3 9 3 4" xfId="27746"/>
    <cellStyle name="Note 2 5 4" xfId="27747"/>
    <cellStyle name="Output 2 2 2 3 5 2" xfId="27748"/>
    <cellStyle name="Note 2 5 4 2" xfId="27749"/>
    <cellStyle name="Note 2 5 4 2 2" xfId="27750"/>
    <cellStyle name="Output 2 10 3 9 5" xfId="27751"/>
    <cellStyle name="Output 2 4 3 8 3" xfId="27752"/>
    <cellStyle name="Note 2 5 4 2 3" xfId="27753"/>
    <cellStyle name="Output 2 10 3 9 6" xfId="27754"/>
    <cellStyle name="Output 2 4 3 8 4" xfId="27755"/>
    <cellStyle name="Note 2 5 4 3" xfId="27756"/>
    <cellStyle name="Note 2 5 4 4" xfId="27757"/>
    <cellStyle name="Note 2 5 4 5 3" xfId="27758"/>
    <cellStyle name="Note 2 5 4 7" xfId="27759"/>
    <cellStyle name="Output 2 11 3 4 2 2" xfId="27760"/>
    <cellStyle name="Note 2 5 4 8" xfId="27761"/>
    <cellStyle name="Output 2 11 3 4 2 3" xfId="27762"/>
    <cellStyle name="Note 2 5 5" xfId="27763"/>
    <cellStyle name="Output 2 2 2 3 5 3" xfId="27764"/>
    <cellStyle name="Note 2 5 5 2" xfId="27765"/>
    <cellStyle name="Note 2 5 5 2 2" xfId="27766"/>
    <cellStyle name="Note 2 5 5 2 3" xfId="27767"/>
    <cellStyle name="Note 2 5 5 3" xfId="27768"/>
    <cellStyle name="Note 2 5 5 3 2" xfId="27769"/>
    <cellStyle name="Note 2 5 5 3 3" xfId="27770"/>
    <cellStyle name="Note 2 5 5 4" xfId="27771"/>
    <cellStyle name="Note 2 5 5 4 2" xfId="27772"/>
    <cellStyle name="Note 2 5 5 4 3" xfId="27773"/>
    <cellStyle name="Note 2 5 5 5 2" xfId="27774"/>
    <cellStyle name="Note 2 5 5 5 3" xfId="27775"/>
    <cellStyle name="Note 2 5 5 7" xfId="27776"/>
    <cellStyle name="Output 2 11 3 4 3 2" xfId="27777"/>
    <cellStyle name="Note 2 5 5 8" xfId="27778"/>
    <cellStyle name="Output 2 11 3 4 3 3" xfId="27779"/>
    <cellStyle name="Note 2 5 6" xfId="27780"/>
    <cellStyle name="Note 2 5 6 2 3" xfId="27781"/>
    <cellStyle name="Note 2 5 6 3" xfId="27782"/>
    <cellStyle name="Note 2 5 6 3 3" xfId="27783"/>
    <cellStyle name="Note 2 5 6 4" xfId="27784"/>
    <cellStyle name="Note 2 5 6 4 3" xfId="27785"/>
    <cellStyle name="Note 2 5 6 5" xfId="27786"/>
    <cellStyle name="Note 2 5 6 6" xfId="27787"/>
    <cellStyle name="Note 2 5 7" xfId="27788"/>
    <cellStyle name="Note 2 8 3 10" xfId="27789"/>
    <cellStyle name="Note 2 9 2 7 2" xfId="27790"/>
    <cellStyle name="Note 2 5 7 2 3" xfId="27791"/>
    <cellStyle name="Note 2 8 3 10 2 3" xfId="27792"/>
    <cellStyle name="Note 2 5 7 2 4" xfId="27793"/>
    <cellStyle name="Note 2 8 3 10 2 4" xfId="27794"/>
    <cellStyle name="Note 2 5 7 3" xfId="27795"/>
    <cellStyle name="Note 2 8 3 10 3" xfId="27796"/>
    <cellStyle name="Note 2 9 2 7 2 3" xfId="27797"/>
    <cellStyle name="Note 2 5 7 3 3" xfId="27798"/>
    <cellStyle name="Note 2 8 3 10 3 3" xfId="27799"/>
    <cellStyle name="Note 2 5 7 3 4" xfId="27800"/>
    <cellStyle name="Note 2 8 3 10 3 4" xfId="27801"/>
    <cellStyle name="Note 2 5 7 4 3" xfId="27802"/>
    <cellStyle name="Note 2 8 3 10 4 3" xfId="27803"/>
    <cellStyle name="Note 2 5 7 5" xfId="27804"/>
    <cellStyle name="Note 2 8 3 10 5" xfId="27805"/>
    <cellStyle name="Note 2 5 7 5 2" xfId="27806"/>
    <cellStyle name="Note 2 8 3 10 5 2" xfId="27807"/>
    <cellStyle name="Note 2 5 7 5 3" xfId="27808"/>
    <cellStyle name="Note 2 8 3 10 5 3" xfId="27809"/>
    <cellStyle name="Note 2 5 7 6" xfId="27810"/>
    <cellStyle name="Note 2 8 3 10 6" xfId="27811"/>
    <cellStyle name="Note 2 8 3 11" xfId="27812"/>
    <cellStyle name="Note 2 9 2 7 3" xfId="27813"/>
    <cellStyle name="Output 2 14 3 4 4 2" xfId="27814"/>
    <cellStyle name="Note 2 5 8" xfId="27815"/>
    <cellStyle name="Output 2 8 3 3 2 2" xfId="27816"/>
    <cellStyle name="Note 2 5 8 2" xfId="27817"/>
    <cellStyle name="Note 2 8 3 11 2" xfId="27818"/>
    <cellStyle name="Note 2 9 2 7 3 2" xfId="27819"/>
    <cellStyle name="Title 2 7" xfId="27820"/>
    <cellStyle name="Note 2 5 8 2 3" xfId="27821"/>
    <cellStyle name="Note 2 5 8 2 4" xfId="27822"/>
    <cellStyle name="Note 2 5 8 3" xfId="27823"/>
    <cellStyle name="Note 2 8 3 11 3" xfId="27824"/>
    <cellStyle name="Note 2 9 2 7 3 3" xfId="27825"/>
    <cellStyle name="Title 2 8" xfId="27826"/>
    <cellStyle name="Note 2 5 8 3 3" xfId="27827"/>
    <cellStyle name="Note 2 5 8 3 4" xfId="27828"/>
    <cellStyle name="Note 2 5 8 4" xfId="27829"/>
    <cellStyle name="Note 2 8 3 11 4" xfId="27830"/>
    <cellStyle name="Note 2 9 2 7 3 4" xfId="27831"/>
    <cellStyle name="Note 2 5 8 4 3" xfId="27832"/>
    <cellStyle name="Output 2 13 10 4" xfId="27833"/>
    <cellStyle name="Note 2 5 8 5" xfId="27834"/>
    <cellStyle name="Note 2 5 8 5 3" xfId="27835"/>
    <cellStyle name="Output 2 13 11 4" xfId="27836"/>
    <cellStyle name="Note 2 5 8 6" xfId="27837"/>
    <cellStyle name="Note 2 8 3 12" xfId="27838"/>
    <cellStyle name="Note 2 9 2 7 4" xfId="27839"/>
    <cellStyle name="Output 2 14 3 4 4 3" xfId="27840"/>
    <cellStyle name="Note 2 5 9" xfId="27841"/>
    <cellStyle name="Output 2 8 3 3 2 3" xfId="27842"/>
    <cellStyle name="Note 2 5 9 2" xfId="27843"/>
    <cellStyle name="Note 2 8 3 12 2" xfId="27844"/>
    <cellStyle name="Note 2 9 2 7 4 2" xfId="27845"/>
    <cellStyle name="Note 2 5 9 3" xfId="27846"/>
    <cellStyle name="Note 2 8 3 12 3" xfId="27847"/>
    <cellStyle name="Note 2 9 2 7 4 3" xfId="27848"/>
    <cellStyle name="Note 2 5 9 4" xfId="27849"/>
    <cellStyle name="Note 2 8 3 12 4" xfId="27850"/>
    <cellStyle name="Note 2 5 9 5" xfId="27851"/>
    <cellStyle name="Note 2 5 9 6" xfId="27852"/>
    <cellStyle name="Note 2 6 10" xfId="27853"/>
    <cellStyle name="Note 2 6 10 2 2" xfId="27854"/>
    <cellStyle name="Note 2 6 10 2 3" xfId="27855"/>
    <cellStyle name="Note 2 6 10 2 4" xfId="27856"/>
    <cellStyle name="Note 2 6 10 3 2" xfId="27857"/>
    <cellStyle name="Note 2 6 10 3 3" xfId="27858"/>
    <cellStyle name="Note 2 6 10 3 4" xfId="27859"/>
    <cellStyle name="Note 2 6 10 4 2" xfId="27860"/>
    <cellStyle name="Note 2 6 10 4 3" xfId="27861"/>
    <cellStyle name="Note 2 6 10 5" xfId="27862"/>
    <cellStyle name="Note 2 6 10 5 3" xfId="27863"/>
    <cellStyle name="Note 2 6 10 6" xfId="27864"/>
    <cellStyle name="Note 2 6 10 7" xfId="27865"/>
    <cellStyle name="Note 2 6 11" xfId="27866"/>
    <cellStyle name="Note 2 6 11 2" xfId="27867"/>
    <cellStyle name="Note 2 6 11 3" xfId="27868"/>
    <cellStyle name="Note 2 6 11 4" xfId="27869"/>
    <cellStyle name="Note 2 6 11 5" xfId="27870"/>
    <cellStyle name="Note 2 6 11 6" xfId="27871"/>
    <cellStyle name="Note 2 6 11 7" xfId="27872"/>
    <cellStyle name="Note 2 6 11 8" xfId="27873"/>
    <cellStyle name="Note 2 6 12" xfId="27874"/>
    <cellStyle name="Note 2 8 3 8 2" xfId="27875"/>
    <cellStyle name="Note 2 6 12 2" xfId="27876"/>
    <cellStyle name="Note 2 8 3 8 2 2" xfId="27877"/>
    <cellStyle name="Note 2 6 12 3" xfId="27878"/>
    <cellStyle name="Note 2 8 3 8 2 3" xfId="27879"/>
    <cellStyle name="Note 2 6 12 3 2" xfId="27880"/>
    <cellStyle name="Note 2 6 12 3 3" xfId="27881"/>
    <cellStyle name="Note 2 6 12 3 4" xfId="27882"/>
    <cellStyle name="Note 2 6 12 4" xfId="27883"/>
    <cellStyle name="Note 2 8 3 8 2 4" xfId="27884"/>
    <cellStyle name="Note 2 6 12 4 2" xfId="27885"/>
    <cellStyle name="Note 2 6 12 4 3" xfId="27886"/>
    <cellStyle name="Note 2 6 12 5" xfId="27887"/>
    <cellStyle name="Note 2 6 12 5 2" xfId="27888"/>
    <cellStyle name="Note 2 6 12 5 3" xfId="27889"/>
    <cellStyle name="Note 2 6 12 6" xfId="27890"/>
    <cellStyle name="Note 2 6 12 7" xfId="27891"/>
    <cellStyle name="Note 2 6 12 8" xfId="27892"/>
    <cellStyle name="Note 2 6 13" xfId="27893"/>
    <cellStyle name="Note 2 8 3 8 3" xfId="27894"/>
    <cellStyle name="Output 2 14 2 5 5 2" xfId="27895"/>
    <cellStyle name="Output 2 8 2 4 3 2" xfId="27896"/>
    <cellStyle name="Note 2 6 13 2" xfId="27897"/>
    <cellStyle name="Note 2 8 3 8 3 2" xfId="27898"/>
    <cellStyle name="Note 2 6 13 3" xfId="27899"/>
    <cellStyle name="Note 2 8 3 8 3 3" xfId="27900"/>
    <cellStyle name="Note 2 6 13 4" xfId="27901"/>
    <cellStyle name="Note 2 8 3 8 3 4" xfId="27902"/>
    <cellStyle name="Note 2 6 13 5" xfId="27903"/>
    <cellStyle name="Note 2 6 14" xfId="27904"/>
    <cellStyle name="Note 2 8 3 8 4" xfId="27905"/>
    <cellStyle name="Output 2 14 2 5 5 3" xfId="27906"/>
    <cellStyle name="Output 2 8 2 4 3 3" xfId="27907"/>
    <cellStyle name="Note 2 6 14 2" xfId="27908"/>
    <cellStyle name="Note 2 8 3 8 4 2" xfId="27909"/>
    <cellStyle name="Note 2 6 14 3" xfId="27910"/>
    <cellStyle name="Note 2 8 3 8 4 3" xfId="27911"/>
    <cellStyle name="Note 2 6 14 4" xfId="27912"/>
    <cellStyle name="Note 2 6 14 5" xfId="27913"/>
    <cellStyle name="Note 2 6 15" xfId="27914"/>
    <cellStyle name="Note 2 6 20" xfId="27915"/>
    <cellStyle name="Note 2 8 3 8 5" xfId="27916"/>
    <cellStyle name="Output 2 8 2 4 3 4" xfId="27917"/>
    <cellStyle name="Note 2 6 15 2" xfId="27918"/>
    <cellStyle name="Note 2 8 3 8 5 2" xfId="27919"/>
    <cellStyle name="Note 2 6 15 3" xfId="27920"/>
    <cellStyle name="Note 2 8 3 8 5 3" xfId="27921"/>
    <cellStyle name="Note 2 6 15 4" xfId="27922"/>
    <cellStyle name="Note 2 6 16" xfId="27923"/>
    <cellStyle name="Note 2 6 21" xfId="27924"/>
    <cellStyle name="Note 2 8 3 8 6" xfId="27925"/>
    <cellStyle name="Note 2 6 16 2" xfId="27926"/>
    <cellStyle name="Note 2 6 16 3" xfId="27927"/>
    <cellStyle name="Note 2 6 16 4" xfId="27928"/>
    <cellStyle name="Note 2 6 17" xfId="27929"/>
    <cellStyle name="Note 2 6 22" xfId="27930"/>
    <cellStyle name="Note 2 8 3 8 7" xfId="27931"/>
    <cellStyle name="Note 2 6 17 2" xfId="27932"/>
    <cellStyle name="Note 2 6 2 10" xfId="27933"/>
    <cellStyle name="Note 2 6 2 10 2 3" xfId="27934"/>
    <cellStyle name="Note 2 6 2 10 2 4" xfId="27935"/>
    <cellStyle name="Note 2 6 2 10 3 4" xfId="27936"/>
    <cellStyle name="Note 2 6 2 10 4" xfId="27937"/>
    <cellStyle name="Note 2 6 2 11" xfId="27938"/>
    <cellStyle name="Note 2 6 2 11 3" xfId="27939"/>
    <cellStyle name="Note 2 6 2 11 4" xfId="27940"/>
    <cellStyle name="Note 2 6 2 12" xfId="27941"/>
    <cellStyle name="Note 2 6 2 12 3" xfId="27942"/>
    <cellStyle name="Note 2 6 2 12 4" xfId="27943"/>
    <cellStyle name="Note 2 6 2 13" xfId="27944"/>
    <cellStyle name="Note 2 6 2 13 2" xfId="27945"/>
    <cellStyle name="Note 2 6 2 13 3" xfId="27946"/>
    <cellStyle name="Note 2 6 2 14" xfId="27947"/>
    <cellStyle name="Note 2 6 2 14 2" xfId="27948"/>
    <cellStyle name="Note 2 6 2 14 3" xfId="27949"/>
    <cellStyle name="Note 2 6 2 15" xfId="27950"/>
    <cellStyle name="Note 2 6 2 16" xfId="27951"/>
    <cellStyle name="Note 2 6 2 17" xfId="27952"/>
    <cellStyle name="Note 2 6 2 2" xfId="27953"/>
    <cellStyle name="Note 2 6 2 2 2" xfId="27954"/>
    <cellStyle name="Note 2 6 2 2 2 2" xfId="27955"/>
    <cellStyle name="Note 2 6 2 2 2 3" xfId="27956"/>
    <cellStyle name="Note 2 6 2 2 2 4" xfId="27957"/>
    <cellStyle name="Note 2 6 2 2 3" xfId="27958"/>
    <cellStyle name="Note 2 6 2 2 3 2" xfId="27959"/>
    <cellStyle name="Note 2 6 2 2 3 3" xfId="27960"/>
    <cellStyle name="Note 2 6 2 2 3 4" xfId="27961"/>
    <cellStyle name="Note 2 6 2 2 4 2" xfId="27962"/>
    <cellStyle name="Note 2 6 2 2 4 3" xfId="27963"/>
    <cellStyle name="Note 2 6 2 3" xfId="27964"/>
    <cellStyle name="Note 2 6 2 3 2" xfId="27965"/>
    <cellStyle name="Note 2 6 2 3 2 2" xfId="27966"/>
    <cellStyle name="Note 2 6 2 3 2 3" xfId="27967"/>
    <cellStyle name="Note 2 6 2 3 2 4" xfId="27968"/>
    <cellStyle name="Note 2 6 2 3 3" xfId="27969"/>
    <cellStyle name="Total 2 2 3 10 4" xfId="27970"/>
    <cellStyle name="Note 2 6 2 3 3 2" xfId="27971"/>
    <cellStyle name="Total 2 2 3 10 5" xfId="27972"/>
    <cellStyle name="Note 2 6 2 3 3 3" xfId="27973"/>
    <cellStyle name="Total 2 2 3 10 6" xfId="27974"/>
    <cellStyle name="Note 2 6 2 3 3 4" xfId="27975"/>
    <cellStyle name="Total 2 2 3 11 4" xfId="27976"/>
    <cellStyle name="Note 2 6 2 3 4 2" xfId="27977"/>
    <cellStyle name="Note 2 6 2 3 4 3" xfId="27978"/>
    <cellStyle name="Note 2 6 2 4" xfId="27979"/>
    <cellStyle name="Note 2 6 2 4 2" xfId="27980"/>
    <cellStyle name="Note 2 6 2 4 3" xfId="27981"/>
    <cellStyle name="Note 2 6 2 4 4" xfId="27982"/>
    <cellStyle name="Note 2 6 2 5" xfId="27983"/>
    <cellStyle name="Note 2 6 2 5 2" xfId="27984"/>
    <cellStyle name="Note 2 6 2 5 2 2" xfId="27985"/>
    <cellStyle name="Note 2 6 2 5 3" xfId="27986"/>
    <cellStyle name="Note 2 6 2 5 3 2" xfId="27987"/>
    <cellStyle name="Note 2 6 2 5 3 3" xfId="27988"/>
    <cellStyle name="Note 2 6 2 5 3 4" xfId="27989"/>
    <cellStyle name="Note 2 6 2 5 4" xfId="27990"/>
    <cellStyle name="Note 2 6 2 5 5" xfId="27991"/>
    <cellStyle name="Note 2 6 2 5 5 3" xfId="27992"/>
    <cellStyle name="Note 2 6 2 6" xfId="27993"/>
    <cellStyle name="Note 2 6 2 6 2" xfId="27994"/>
    <cellStyle name="Note 2 6 2 6 2 2" xfId="27995"/>
    <cellStyle name="Note 2 6 2 6 3" xfId="27996"/>
    <cellStyle name="Note 2 6 2 6 3 2" xfId="27997"/>
    <cellStyle name="Note 2 6 2 6 3 3" xfId="27998"/>
    <cellStyle name="Note 2 6 2 6 4" xfId="27999"/>
    <cellStyle name="Note 2 6 2 6 5" xfId="28000"/>
    <cellStyle name="Note 2 6 2 6 5 3" xfId="28001"/>
    <cellStyle name="Note 2 6 2 7" xfId="28002"/>
    <cellStyle name="Note 2 6 2 7 2" xfId="28003"/>
    <cellStyle name="Note 2 6 2 7 2 2" xfId="28004"/>
    <cellStyle name="Note 2 6 2 7 3" xfId="28005"/>
    <cellStyle name="Note 2 6 2 7 3 2" xfId="28006"/>
    <cellStyle name="Note 2 6 2 7 3 3" xfId="28007"/>
    <cellStyle name="Note 2 6 2 7 3 4" xfId="28008"/>
    <cellStyle name="Note 2 6 2 7 4" xfId="28009"/>
    <cellStyle name="Note 2 6 2 7 4 3" xfId="28010"/>
    <cellStyle name="Output 2 2 2 7" xfId="28011"/>
    <cellStyle name="Note 2 6 2 7 5" xfId="28012"/>
    <cellStyle name="Note 2 6 2 7 5 3" xfId="28013"/>
    <cellStyle name="Output 2 2 3 7" xfId="28014"/>
    <cellStyle name="Note 2 6 2 7 6" xfId="28015"/>
    <cellStyle name="Note 2 6 2 7 7" xfId="28016"/>
    <cellStyle name="Note 2 6 2 8" xfId="28017"/>
    <cellStyle name="Note 2 6 2 8 2" xfId="28018"/>
    <cellStyle name="Total 2 9 2 8 3" xfId="28019"/>
    <cellStyle name="Note 2 6 2 8 2 2" xfId="28020"/>
    <cellStyle name="Total 2 9 2 8 4" xfId="28021"/>
    <cellStyle name="Note 2 6 2 8 2 3" xfId="28022"/>
    <cellStyle name="Total 2 9 2 8 5" xfId="28023"/>
    <cellStyle name="Note 2 6 2 8 2 4" xfId="28024"/>
    <cellStyle name="Total 2 11 2 11 2" xfId="28025"/>
    <cellStyle name="Note 2 6 2 8 3" xfId="28026"/>
    <cellStyle name="Total 2 9 2 9 3" xfId="28027"/>
    <cellStyle name="Note 2 6 2 8 3 2" xfId="28028"/>
    <cellStyle name="Total 2 9 2 9 4" xfId="28029"/>
    <cellStyle name="Note 2 6 2 8 3 3" xfId="28030"/>
    <cellStyle name="Total 2 9 2 9 5" xfId="28031"/>
    <cellStyle name="Note 2 6 2 8 3 4" xfId="28032"/>
    <cellStyle name="Total 2 11 2 12 2" xfId="28033"/>
    <cellStyle name="Note 2 6 2 8 4" xfId="28034"/>
    <cellStyle name="Note 2 6 2 8 4 3" xfId="28035"/>
    <cellStyle name="Output 2 3 2 7" xfId="28036"/>
    <cellStyle name="Note 2 6 2 8 5" xfId="28037"/>
    <cellStyle name="Note 2 6 2 8 5 3" xfId="28038"/>
    <cellStyle name="Output 2 3 3 7" xfId="28039"/>
    <cellStyle name="Note 2 6 2 8 6" xfId="28040"/>
    <cellStyle name="Total 2 10 3 4 2 2" xfId="28041"/>
    <cellStyle name="Note 2 6 2 8 7" xfId="28042"/>
    <cellStyle name="Total 2 10 3 4 2 3" xfId="28043"/>
    <cellStyle name="Note 2 6 2 9 2" xfId="28044"/>
    <cellStyle name="Total 2 9 3 8 4" xfId="28045"/>
    <cellStyle name="Note 2 6 2 9 2 3" xfId="28046"/>
    <cellStyle name="Total 2 9 3 8 5" xfId="28047"/>
    <cellStyle name="Note 2 6 2 9 2 4" xfId="28048"/>
    <cellStyle name="Note 2 6 2 9 3" xfId="28049"/>
    <cellStyle name="Total 2 9 3 9 4" xfId="28050"/>
    <cellStyle name="Note 2 6 2 9 3 3" xfId="28051"/>
    <cellStyle name="Total 2 9 3 9 5" xfId="28052"/>
    <cellStyle name="Note 2 6 2 9 3 4" xfId="28053"/>
    <cellStyle name="Note 2 6 2 9 4" xfId="28054"/>
    <cellStyle name="Note 2 6 2 9 5" xfId="28055"/>
    <cellStyle name="Note 2 6 2 9 5 3" xfId="28056"/>
    <cellStyle name="Output 2 4 3 7" xfId="28057"/>
    <cellStyle name="Note 2 6 2 9 6" xfId="28058"/>
    <cellStyle name="Output 2 13 4 2 2" xfId="28059"/>
    <cellStyle name="Total 2 10 3 4 3 2" xfId="28060"/>
    <cellStyle name="Note 2 6 2 9 7" xfId="28061"/>
    <cellStyle name="Output 2 13 4 2 3" xfId="28062"/>
    <cellStyle name="Total 2 10 3 4 3 3" xfId="28063"/>
    <cellStyle name="Note 2 6 29" xfId="28064"/>
    <cellStyle name="Output 2 5 3 12 3" xfId="28065"/>
    <cellStyle name="Note 2 6 3 10 2" xfId="28066"/>
    <cellStyle name="Note 2 6 3 10 2 3" xfId="28067"/>
    <cellStyle name="Note 2 6 3 10 2 4" xfId="28068"/>
    <cellStyle name="Note 2 6 3 10 3" xfId="28069"/>
    <cellStyle name="Note 2 6 3 10 3 3" xfId="28070"/>
    <cellStyle name="Note 2 6 3 10 3 4" xfId="28071"/>
    <cellStyle name="Note 2 6 3 10 4" xfId="28072"/>
    <cellStyle name="Note 2 6 3 10 4 2" xfId="28073"/>
    <cellStyle name="Note 2 6 3 10 4 3" xfId="28074"/>
    <cellStyle name="Note 2 6 3 10 5" xfId="28075"/>
    <cellStyle name="Note 2 6 3 10 5 2" xfId="28076"/>
    <cellStyle name="Note 2 6 3 10 5 3" xfId="28077"/>
    <cellStyle name="Note 2 6 3 11 2" xfId="28078"/>
    <cellStyle name="Note 2 6 3 11 3" xfId="28079"/>
    <cellStyle name="Note 2 6 3 11 4" xfId="28080"/>
    <cellStyle name="Note 2 6 3 12" xfId="28081"/>
    <cellStyle name="Note 2 6 3 12 2" xfId="28082"/>
    <cellStyle name="Note 2 6 3 12 3" xfId="28083"/>
    <cellStyle name="Note 2 6 3 12 4" xfId="28084"/>
    <cellStyle name="Note 2 6 3 13" xfId="28085"/>
    <cellStyle name="Note 2 6 3 13 2" xfId="28086"/>
    <cellStyle name="Note 2 6 3 13 3" xfId="28087"/>
    <cellStyle name="Note 2 6 3 14" xfId="28088"/>
    <cellStyle name="Note 2 6 3 14 2" xfId="28089"/>
    <cellStyle name="Note 2 6 3 14 3" xfId="28090"/>
    <cellStyle name="Note 2 6 3 15" xfId="28091"/>
    <cellStyle name="Note 2 6 3 16" xfId="28092"/>
    <cellStyle name="Note 2 6 3 17" xfId="28093"/>
    <cellStyle name="Note 2 6 3 2" xfId="28094"/>
    <cellStyle name="Note 2 6 3 2 2" xfId="28095"/>
    <cellStyle name="Output 2 11 2 9 5" xfId="28096"/>
    <cellStyle name="Output 2 5 2 8 3" xfId="28097"/>
    <cellStyle name="Output 2 7 2 2 4 3" xfId="28098"/>
    <cellStyle name="Note 2 6 3 2 2 2" xfId="28099"/>
    <cellStyle name="Output 2 11 2 9 5 2" xfId="28100"/>
    <cellStyle name="Output 2 5 2 8 3 2" xfId="28101"/>
    <cellStyle name="Note 2 6 3 2 2 3" xfId="28102"/>
    <cellStyle name="Output 2 11 2 9 5 3" xfId="28103"/>
    <cellStyle name="Output 2 5 2 8 3 3" xfId="28104"/>
    <cellStyle name="Note 2 6 3 2 2 4" xfId="28105"/>
    <cellStyle name="Output 2 5 2 8 3 4" xfId="28106"/>
    <cellStyle name="Note 2 6 3 2 3" xfId="28107"/>
    <cellStyle name="Output 2 11 2 9 6" xfId="28108"/>
    <cellStyle name="Output 2 5 2 8 4" xfId="28109"/>
    <cellStyle name="Note 2 6 3 2 3 2" xfId="28110"/>
    <cellStyle name="Output 2 5 2 8 4 2" xfId="28111"/>
    <cellStyle name="Note 2 6 3 2 3 3" xfId="28112"/>
    <cellStyle name="Output 2 5 2 8 4 3" xfId="28113"/>
    <cellStyle name="Note 2 6 3 2 3 4" xfId="28114"/>
    <cellStyle name="Note 2 6 3 2 4 2" xfId="28115"/>
    <cellStyle name="Output 2 5 2 8 5 2" xfId="28116"/>
    <cellStyle name="Note 2 6 3 2 4 3" xfId="28117"/>
    <cellStyle name="Output 2 5 2 8 5 3" xfId="28118"/>
    <cellStyle name="Note 2 6 3 3" xfId="28119"/>
    <cellStyle name="Note 2 6 3 3 2" xfId="28120"/>
    <cellStyle name="Output 2 5 2 9 3" xfId="28121"/>
    <cellStyle name="Output 2 7 2 2 5 3" xfId="28122"/>
    <cellStyle name="Note 2 6 3 3 2 2" xfId="28123"/>
    <cellStyle name="Output 2 5 2 9 3 2" xfId="28124"/>
    <cellStyle name="Note 2 6 3 3 2 3" xfId="28125"/>
    <cellStyle name="Output 2 5 2 9 3 3" xfId="28126"/>
    <cellStyle name="Note 2 6 3 3 2 4" xfId="28127"/>
    <cellStyle name="Output 2 5 2 9 3 4" xfId="28128"/>
    <cellStyle name="Note 2 6 3 3 3" xfId="28129"/>
    <cellStyle name="Output 2 5 2 9 4" xfId="28130"/>
    <cellStyle name="Note 2 6 3 3 3 2" xfId="28131"/>
    <cellStyle name="Output 2 5 2 9 4 2" xfId="28132"/>
    <cellStyle name="Note 2 6 3 3 3 3" xfId="28133"/>
    <cellStyle name="Output 2 5 2 9 4 3" xfId="28134"/>
    <cellStyle name="Note 2 6 3 3 3 4" xfId="28135"/>
    <cellStyle name="Note 2 6 3 3 4 2" xfId="28136"/>
    <cellStyle name="Output 2 5 2 9 5 2" xfId="28137"/>
    <cellStyle name="Note 2 6 3 3 4 3" xfId="28138"/>
    <cellStyle name="Output 2 5 2 9 5 3" xfId="28139"/>
    <cellStyle name="Note 2 6 3 4" xfId="28140"/>
    <cellStyle name="Note 2 6 3 4 2" xfId="28141"/>
    <cellStyle name="Note 2 6 3 4 3" xfId="28142"/>
    <cellStyle name="Note 2 6 3 4 4" xfId="28143"/>
    <cellStyle name="Note 2 6 3 5" xfId="28144"/>
    <cellStyle name="Note 2 6 3 5 2" xfId="28145"/>
    <cellStyle name="Note 2 6 3 5 2 2" xfId="28146"/>
    <cellStyle name="Note 2 6 3 5 2 3" xfId="28147"/>
    <cellStyle name="Note 2 6 3 5 2 4" xfId="28148"/>
    <cellStyle name="Note 2 6 3 5 3" xfId="28149"/>
    <cellStyle name="Note 2 6 3 5 3 2" xfId="28150"/>
    <cellStyle name="Note 2 6 3 5 3 3" xfId="28151"/>
    <cellStyle name="Note 2 6 3 5 3 4" xfId="28152"/>
    <cellStyle name="Note 2 6 3 5 4" xfId="28153"/>
    <cellStyle name="Note 2 6 3 5 4 2" xfId="28154"/>
    <cellStyle name="Note 2 6 3 5 4 3" xfId="28155"/>
    <cellStyle name="Note 2 6 3 5 5" xfId="28156"/>
    <cellStyle name="Note 2 6 3 5 5 2" xfId="28157"/>
    <cellStyle name="Note 2 6 3 6" xfId="28158"/>
    <cellStyle name="Note 2 6 3 6 2" xfId="28159"/>
    <cellStyle name="Note 2 6 3 6 3" xfId="28160"/>
    <cellStyle name="Note 2 6 3 6 3 3" xfId="28161"/>
    <cellStyle name="Note 2 6 3 6 4" xfId="28162"/>
    <cellStyle name="Note 2 6 3 6 4 3" xfId="28163"/>
    <cellStyle name="Note 2 6 3 6 5" xfId="28164"/>
    <cellStyle name="Note 2 6 3 6 5 2" xfId="28165"/>
    <cellStyle name="Note 2 6 3 6 5 3" xfId="28166"/>
    <cellStyle name="Note 2 6 3 7" xfId="28167"/>
    <cellStyle name="Note 2 6 3 7 2" xfId="28168"/>
    <cellStyle name="Note 2 6 3 7 2 2" xfId="28169"/>
    <cellStyle name="Note 2 6 3 7 2 3" xfId="28170"/>
    <cellStyle name="Note 2 6 3 7 2 4" xfId="28171"/>
    <cellStyle name="Note 2 6 3 7 3" xfId="28172"/>
    <cellStyle name="Note 2 6 3 7 3 2" xfId="28173"/>
    <cellStyle name="Note 2 6 3 7 3 3" xfId="28174"/>
    <cellStyle name="Note 2 6 3 7 3 4" xfId="28175"/>
    <cellStyle name="Note 2 6 3 7 4" xfId="28176"/>
    <cellStyle name="Note 2 6 3 7 4 2" xfId="28177"/>
    <cellStyle name="Note 2 6 3 7 4 3" xfId="28178"/>
    <cellStyle name="Note 2 6 3 7 5" xfId="28179"/>
    <cellStyle name="Note 2 6 3 7 5 2" xfId="28180"/>
    <cellStyle name="Note 2 6 3 7 5 3" xfId="28181"/>
    <cellStyle name="Note 2 6 3 7 6" xfId="28182"/>
    <cellStyle name="Note 2 6 3 7 7" xfId="28183"/>
    <cellStyle name="Note 2 6 3 8" xfId="28184"/>
    <cellStyle name="Note 2 6 3 8 2 2" xfId="28185"/>
    <cellStyle name="Note 2 6 3 8 2 3" xfId="28186"/>
    <cellStyle name="Note 2 6 3 8 2 4" xfId="28187"/>
    <cellStyle name="Note 2 6 3 8 3" xfId="28188"/>
    <cellStyle name="Note 2 6 3 8 3 2" xfId="28189"/>
    <cellStyle name="Note 2 6 3 8 3 3" xfId="28190"/>
    <cellStyle name="Note 2 6 3 8 3 4" xfId="28191"/>
    <cellStyle name="Note 2 6 3 8 4" xfId="28192"/>
    <cellStyle name="Note 2 6 3 8 4 2" xfId="28193"/>
    <cellStyle name="Note 2 6 3 8 4 3" xfId="28194"/>
    <cellStyle name="Note 2 6 3 8 5" xfId="28195"/>
    <cellStyle name="Note 2 6 3 8 5 2" xfId="28196"/>
    <cellStyle name="Note 2 6 3 8 5 3" xfId="28197"/>
    <cellStyle name="Note 2 6 3 8 6" xfId="28198"/>
    <cellStyle name="Total 2 10 3 5 2 2" xfId="28199"/>
    <cellStyle name="Note 2 6 3 8 7" xfId="28200"/>
    <cellStyle name="Total 2 10 3 5 2 3" xfId="28201"/>
    <cellStyle name="Note 2 6 3 9 2 4" xfId="28202"/>
    <cellStyle name="Note 2 6 3 9 3" xfId="28203"/>
    <cellStyle name="Note 2 6 3 9 3 2" xfId="28204"/>
    <cellStyle name="Note 2 6 3 9 3 3" xfId="28205"/>
    <cellStyle name="Note 2 6 3 9 3 4" xfId="28206"/>
    <cellStyle name="Note 2 6 3 9 4 2" xfId="28207"/>
    <cellStyle name="Output 2 3 15" xfId="28208"/>
    <cellStyle name="Note 2 6 3 9 4 3" xfId="28209"/>
    <cellStyle name="Output 2 3 16" xfId="28210"/>
    <cellStyle name="Note 2 6 3 9 5 2" xfId="28211"/>
    <cellStyle name="Note 2 6 3 9 5 3" xfId="28212"/>
    <cellStyle name="Output 2 7 3 10 2 2" xfId="28213"/>
    <cellStyle name="Note 2 6 3 9 7" xfId="28214"/>
    <cellStyle name="Output 2 13 5 2 3" xfId="28215"/>
    <cellStyle name="Total 2 10 3 5 3 3" xfId="28216"/>
    <cellStyle name="Note 2 6 4 2" xfId="28217"/>
    <cellStyle name="Note 2 6 4 2 2" xfId="28218"/>
    <cellStyle name="Output 2 11 3 9 5" xfId="28219"/>
    <cellStyle name="Output 2 5 3 8 3" xfId="28220"/>
    <cellStyle name="Output 2 7 2 3 4 3" xfId="28221"/>
    <cellStyle name="Note 2 6 4 2 3" xfId="28222"/>
    <cellStyle name="Output 2 11 3 9 6" xfId="28223"/>
    <cellStyle name="Output 2 5 3 8 4" xfId="28224"/>
    <cellStyle name="Note 2 6 4 3" xfId="28225"/>
    <cellStyle name="Note 2 6 4 3 2" xfId="28226"/>
    <cellStyle name="Output 2 5 3 9 3" xfId="28227"/>
    <cellStyle name="Output 2 7 2 3 5 3" xfId="28228"/>
    <cellStyle name="Note 2 6 4 3 3" xfId="28229"/>
    <cellStyle name="Output 2 5 3 9 4" xfId="28230"/>
    <cellStyle name="Note 2 6 4 4" xfId="28231"/>
    <cellStyle name="Note 2 6 4 4 2" xfId="28232"/>
    <cellStyle name="Note 2 6 4 4 3" xfId="28233"/>
    <cellStyle name="Note 2 6 4 5" xfId="28234"/>
    <cellStyle name="Note 2 6 4 5 2" xfId="28235"/>
    <cellStyle name="Note 2 6 4 5 3" xfId="28236"/>
    <cellStyle name="Note 2 6 4 6" xfId="28237"/>
    <cellStyle name="Note 2 6 4 7" xfId="28238"/>
    <cellStyle name="Output 2 11 3 5 2 2" xfId="28239"/>
    <cellStyle name="Note 2 6 4 8" xfId="28240"/>
    <cellStyle name="Output 2 11 3 5 2 3" xfId="28241"/>
    <cellStyle name="Note 2 6 5" xfId="28242"/>
    <cellStyle name="Note 2 6 5 2" xfId="28243"/>
    <cellStyle name="Note 2 6 5 3" xfId="28244"/>
    <cellStyle name="Note 2 6 5 4" xfId="28245"/>
    <cellStyle name="Note 2 6 5 5" xfId="28246"/>
    <cellStyle name="Note 2 6 5 6" xfId="28247"/>
    <cellStyle name="Note 2 6 5 7" xfId="28248"/>
    <cellStyle name="Output 2 11 3 5 3 2" xfId="28249"/>
    <cellStyle name="Note 2 6 5 8" xfId="28250"/>
    <cellStyle name="Output 2 11 3 5 3 3" xfId="28251"/>
    <cellStyle name="Note 2 6 6" xfId="28252"/>
    <cellStyle name="Note 2 6 6 2 3" xfId="28253"/>
    <cellStyle name="Note 2 6 6 3" xfId="28254"/>
    <cellStyle name="Note 2 6 6 3 2" xfId="28255"/>
    <cellStyle name="Output 2 7 2 5 5 3" xfId="28256"/>
    <cellStyle name="Note 2 6 6 3 3" xfId="28257"/>
    <cellStyle name="Note 2 6 6 4" xfId="28258"/>
    <cellStyle name="Note 2 6 6 4 2" xfId="28259"/>
    <cellStyle name="Note 2 6 6 4 3" xfId="28260"/>
    <cellStyle name="Note 2 6 6 5" xfId="28261"/>
    <cellStyle name="Note 2 6 6 5 2" xfId="28262"/>
    <cellStyle name="Note 2 6 6 5 3" xfId="28263"/>
    <cellStyle name="Note 2 6 6 6" xfId="28264"/>
    <cellStyle name="Note 2 6 7" xfId="28265"/>
    <cellStyle name="Note 2 9 2 8 2" xfId="28266"/>
    <cellStyle name="Note 2 6 7 2 3" xfId="28267"/>
    <cellStyle name="Note 2 6 7 2 4" xfId="28268"/>
    <cellStyle name="Note 2 6 7 3" xfId="28269"/>
    <cellStyle name="Note 2 9 2 8 2 3" xfId="28270"/>
    <cellStyle name="Note 2 6 7 3 2" xfId="28271"/>
    <cellStyle name="Output 2 7 2 6 5 3" xfId="28272"/>
    <cellStyle name="Note 2 6 7 3 3" xfId="28273"/>
    <cellStyle name="Note 2 6 7 3 4" xfId="28274"/>
    <cellStyle name="Note 2 6 7 4" xfId="28275"/>
    <cellStyle name="Note 2 9 2 8 2 4" xfId="28276"/>
    <cellStyle name="Note 2 6 7 4 2" xfId="28277"/>
    <cellStyle name="Note 2 6 7 4 3" xfId="28278"/>
    <cellStyle name="Note 2 6 7 5" xfId="28279"/>
    <cellStyle name="Note 2 6 7 5 2" xfId="28280"/>
    <cellStyle name="Note 2 6 7 5 3" xfId="28281"/>
    <cellStyle name="Note 2 6 7 6" xfId="28282"/>
    <cellStyle name="Note 2 9 2 8 3" xfId="28283"/>
    <cellStyle name="Output 2 14 3 4 5 2" xfId="28284"/>
    <cellStyle name="Note 2 6 8" xfId="28285"/>
    <cellStyle name="Output 2 8 3 3 3 2" xfId="28286"/>
    <cellStyle name="Note 2 6 8 2" xfId="28287"/>
    <cellStyle name="Note 2 9 2 8 3 2" xfId="28288"/>
    <cellStyle name="Note 2 6 8 2 3" xfId="28289"/>
    <cellStyle name="Output 2 11 3 10 2 4" xfId="28290"/>
    <cellStyle name="Total 2 10" xfId="28291"/>
    <cellStyle name="Note 2 6 8 2 4" xfId="28292"/>
    <cellStyle name="Total 2 11" xfId="28293"/>
    <cellStyle name="Note 2 6 8 3" xfId="28294"/>
    <cellStyle name="Note 2 9 2 8 3 3" xfId="28295"/>
    <cellStyle name="Note 2 6 8 3 3" xfId="28296"/>
    <cellStyle name="Output 2 11 3 10 3 4" xfId="28297"/>
    <cellStyle name="Note 2 6 8 3 4" xfId="28298"/>
    <cellStyle name="Note 2 6 8 4" xfId="28299"/>
    <cellStyle name="Note 2 9 2 8 3 4" xfId="28300"/>
    <cellStyle name="Note 2 6 8 4 3" xfId="28301"/>
    <cellStyle name="Note 2 6 8 5" xfId="28302"/>
    <cellStyle name="Note 2 6 8 5 3" xfId="28303"/>
    <cellStyle name="Note 2 6 8 6" xfId="28304"/>
    <cellStyle name="Note 2 9 2 8 4" xfId="28305"/>
    <cellStyle name="Output 2 14 3 4 5 3" xfId="28306"/>
    <cellStyle name="Note 2 6 9" xfId="28307"/>
    <cellStyle name="Output 2 8 3 3 3 3" xfId="28308"/>
    <cellStyle name="Note 2 6 9 2" xfId="28309"/>
    <cellStyle name="Note 2 9 2 8 4 2" xfId="28310"/>
    <cellStyle name="Note 2 6 9 2 3" xfId="28311"/>
    <cellStyle name="Note 2 8 3 2 3 4" xfId="28312"/>
    <cellStyle name="Note 2 6 9 2 4" xfId="28313"/>
    <cellStyle name="Note 2 6 9 3" xfId="28314"/>
    <cellStyle name="Note 2 9 2 8 4 3" xfId="28315"/>
    <cellStyle name="Note 2 6 9 3 3" xfId="28316"/>
    <cellStyle name="Note 2 6 9 3 4" xfId="28317"/>
    <cellStyle name="Note 2 6 9 4" xfId="28318"/>
    <cellStyle name="Note 2 6 9 4 3" xfId="28319"/>
    <cellStyle name="Note 2 6 9 5" xfId="28320"/>
    <cellStyle name="Note 2 6 9 5 3" xfId="28321"/>
    <cellStyle name="Output 2 2 2 2 2 2 2" xfId="28322"/>
    <cellStyle name="Note 2 6 9 6" xfId="28323"/>
    <cellStyle name="Note 2 7 10" xfId="28324"/>
    <cellStyle name="Note 2 7 10 2" xfId="28325"/>
    <cellStyle name="Note 2 7 10 2 2" xfId="28326"/>
    <cellStyle name="Note 2 7 3 15" xfId="28327"/>
    <cellStyle name="Note 2 7 10 2 3" xfId="28328"/>
    <cellStyle name="Note 2 7 3 16" xfId="28329"/>
    <cellStyle name="Note 2 7 10 2 4" xfId="28330"/>
    <cellStyle name="Note 2 7 10 3" xfId="28331"/>
    <cellStyle name="Note 2 7 10 3 2" xfId="28332"/>
    <cellStyle name="Note 2 7 10 3 3" xfId="28333"/>
    <cellStyle name="Note 2 7 10 3 4" xfId="28334"/>
    <cellStyle name="Note 2 7 10 4" xfId="28335"/>
    <cellStyle name="Note 2 7 10 4 2" xfId="28336"/>
    <cellStyle name="Note 2 7 10 4 3" xfId="28337"/>
    <cellStyle name="Note 2 7 10 5" xfId="28338"/>
    <cellStyle name="Note 2 7 10 5 2" xfId="28339"/>
    <cellStyle name="Note 2 7 10 5 3" xfId="28340"/>
    <cellStyle name="Note 2 7 10 6" xfId="28341"/>
    <cellStyle name="Note 2 7 10 7" xfId="28342"/>
    <cellStyle name="Note 2 7 11" xfId="28343"/>
    <cellStyle name="Note 2 7 11 2" xfId="28344"/>
    <cellStyle name="Note 2 7 11 2 2" xfId="28345"/>
    <cellStyle name="Note 2 7 11 3" xfId="28346"/>
    <cellStyle name="Note 2 7 11 3 2" xfId="28347"/>
    <cellStyle name="Note 2 7 11 4" xfId="28348"/>
    <cellStyle name="Note 2 7 11 4 2" xfId="28349"/>
    <cellStyle name="Note 2 7 11 5" xfId="28350"/>
    <cellStyle name="Note 2 7 11 5 2" xfId="28351"/>
    <cellStyle name="Output 2 2 3 13" xfId="28352"/>
    <cellStyle name="Output 2 6 3 10 7" xfId="28353"/>
    <cellStyle name="Note 2 7 11 5 3" xfId="28354"/>
    <cellStyle name="Output 2 2 3 14" xfId="28355"/>
    <cellStyle name="Note 2 7 11 6" xfId="28356"/>
    <cellStyle name="Note 2 7 11 7" xfId="28357"/>
    <cellStyle name="Note 2 7 12" xfId="28358"/>
    <cellStyle name="Note 2 7 12 2" xfId="28359"/>
    <cellStyle name="Note 2 7 12 2 2" xfId="28360"/>
    <cellStyle name="Note 2 7 12 2 3" xfId="28361"/>
    <cellStyle name="Note 2 7 12 2 4" xfId="28362"/>
    <cellStyle name="Note 2 7 12 3" xfId="28363"/>
    <cellStyle name="Note 2 7 12 3 2" xfId="28364"/>
    <cellStyle name="Note 2 7 12 3 3" xfId="28365"/>
    <cellStyle name="Note 2 7 12 3 4" xfId="28366"/>
    <cellStyle name="Note 2 7 12 4" xfId="28367"/>
    <cellStyle name="Note 2 7 12 4 2" xfId="28368"/>
    <cellStyle name="Note 2 7 12 4 3" xfId="28369"/>
    <cellStyle name="Note 2 7 12 5" xfId="28370"/>
    <cellStyle name="Note 2 7 12 5 2" xfId="28371"/>
    <cellStyle name="Note 2 7 12 5 3" xfId="28372"/>
    <cellStyle name="Note 2 7 12 6" xfId="28373"/>
    <cellStyle name="Note 2 7 12 7" xfId="28374"/>
    <cellStyle name="Note 2 7 13" xfId="28375"/>
    <cellStyle name="Note 2 7 13 2" xfId="28376"/>
    <cellStyle name="Note 2 7 13 3" xfId="28377"/>
    <cellStyle name="Note 2 7 13 4" xfId="28378"/>
    <cellStyle name="Note 2 7 14" xfId="28379"/>
    <cellStyle name="Note 2 7 14 2" xfId="28380"/>
    <cellStyle name="Note 2 7 14 3" xfId="28381"/>
    <cellStyle name="Note 2 7 14 4" xfId="28382"/>
    <cellStyle name="Note 2 7 15" xfId="28383"/>
    <cellStyle name="Note 2 7 20" xfId="28384"/>
    <cellStyle name="Note 2 7 15 2" xfId="28385"/>
    <cellStyle name="Note 2 7 15 3" xfId="28386"/>
    <cellStyle name="Note 2 7 16" xfId="28387"/>
    <cellStyle name="Note 2 7 16 2" xfId="28388"/>
    <cellStyle name="Note 2 7 16 3" xfId="28389"/>
    <cellStyle name="Note 2 7 2 10 2" xfId="28390"/>
    <cellStyle name="Note 2 7 2 10 2 3" xfId="28391"/>
    <cellStyle name="Note 2 7 2 10 2 4" xfId="28392"/>
    <cellStyle name="Note 2 7 2 10 3" xfId="28393"/>
    <cellStyle name="Note 2 7 2 10 3 4" xfId="28394"/>
    <cellStyle name="Note 2 7 2 10 4" xfId="28395"/>
    <cellStyle name="Note 2 7 2 10 5" xfId="28396"/>
    <cellStyle name="Output 2 12 2 8 5 2" xfId="28397"/>
    <cellStyle name="Output 2 6 2 7 3 2" xfId="28398"/>
    <cellStyle name="Note 2 7 2 10 5 3" xfId="28399"/>
    <cellStyle name="Note 2 7 2 10 6" xfId="28400"/>
    <cellStyle name="Output 2 12 2 8 5 3" xfId="28401"/>
    <cellStyle name="Output 2 6 2 7 3 3" xfId="28402"/>
    <cellStyle name="Note 2 7 2 10 7" xfId="28403"/>
    <cellStyle name="Output 2 6 2 7 3 4" xfId="28404"/>
    <cellStyle name="Note 2 7 2 11 2" xfId="28405"/>
    <cellStyle name="Note 2 7 2 13" xfId="28406"/>
    <cellStyle name="Note 2 7 2 13 2" xfId="28407"/>
    <cellStyle name="Note 2 7 2 14" xfId="28408"/>
    <cellStyle name="Note 2 7 2 14 2" xfId="28409"/>
    <cellStyle name="Note 2 7 2 15" xfId="28410"/>
    <cellStyle name="Note 2 7 2 16" xfId="28411"/>
    <cellStyle name="Output 2 3 2 2 4 2" xfId="28412"/>
    <cellStyle name="Note 2 7 2 2" xfId="28413"/>
    <cellStyle name="Note 2 7 2 2 2" xfId="28414"/>
    <cellStyle name="Note 2 7 2 2 2 2" xfId="28415"/>
    <cellStyle name="Note 2 7 2 2 2 3" xfId="28416"/>
    <cellStyle name="Note 2 7 2 2 2 4" xfId="28417"/>
    <cellStyle name="Note 2 7 2 2 3" xfId="28418"/>
    <cellStyle name="Note 2 7 2 2 3 3" xfId="28419"/>
    <cellStyle name="Note 2 7 2 2 3 4" xfId="28420"/>
    <cellStyle name="Note 2 7 2 2 4" xfId="28421"/>
    <cellStyle name="Note 2 7 2 2 4 3" xfId="28422"/>
    <cellStyle name="Note 2 7 2 2 5" xfId="28423"/>
    <cellStyle name="Note 2 7 2 2 5 2" xfId="28424"/>
    <cellStyle name="Note 2 7 2 2 5 3" xfId="28425"/>
    <cellStyle name="Note 2 7 2 2 6" xfId="28426"/>
    <cellStyle name="Note 2 7 2 2 7" xfId="28427"/>
    <cellStyle name="Note 2 7 2 3" xfId="28428"/>
    <cellStyle name="Note 2 7 2 3 2" xfId="28429"/>
    <cellStyle name="Note 2 7 2 3 2 2" xfId="28430"/>
    <cellStyle name="Note 2 7 2 3 2 3" xfId="28431"/>
    <cellStyle name="Note 2 7 2 3 2 4" xfId="28432"/>
    <cellStyle name="Note 2 7 2 3 3" xfId="28433"/>
    <cellStyle name="Total 2 7 3 10 5" xfId="28434"/>
    <cellStyle name="Note 2 7 2 3 3 3" xfId="28435"/>
    <cellStyle name="Total 2 7 3 10 6" xfId="28436"/>
    <cellStyle name="Note 2 7 2 3 3 4" xfId="28437"/>
    <cellStyle name="Note 2 7 2 3 4" xfId="28438"/>
    <cellStyle name="Note 2 7 2 3 4 3" xfId="28439"/>
    <cellStyle name="Note 2 7 2 3 5" xfId="28440"/>
    <cellStyle name="Total 2 7 3 12 4" xfId="28441"/>
    <cellStyle name="Note 2 7 2 3 5 2" xfId="28442"/>
    <cellStyle name="Note 2 7 2 3 5 3" xfId="28443"/>
    <cellStyle name="Note 2 7 2 3 6" xfId="28444"/>
    <cellStyle name="Note 2 7 2 3 7" xfId="28445"/>
    <cellStyle name="Note 2 7 2 4" xfId="28446"/>
    <cellStyle name="Note 2 7 2 4 2" xfId="28447"/>
    <cellStyle name="Note 2 7 2 4 2 2" xfId="28448"/>
    <cellStyle name="Note 2 7 2 4 2 3" xfId="28449"/>
    <cellStyle name="Note 2 7 2 4 2 4" xfId="28450"/>
    <cellStyle name="Note 2 7 2 4 3" xfId="28451"/>
    <cellStyle name="Note 2 7 2 4 3 4" xfId="28452"/>
    <cellStyle name="Note 2 7 2 4 4" xfId="28453"/>
    <cellStyle name="Note 2 7 2 4 4 3" xfId="28454"/>
    <cellStyle name="Note 2 7 2 4 5" xfId="28455"/>
    <cellStyle name="Note 2 7 2 4 5 2" xfId="28456"/>
    <cellStyle name="Note 2 7 2 4 5 3" xfId="28457"/>
    <cellStyle name="Note 2 7 2 4 6" xfId="28458"/>
    <cellStyle name="Note 2 7 2 4 7" xfId="28459"/>
    <cellStyle name="Note 2 7 2 5" xfId="28460"/>
    <cellStyle name="Note 2 7 2 5 2" xfId="28461"/>
    <cellStyle name="Note 2 7 2 5 3" xfId="28462"/>
    <cellStyle name="Note 2 7 2 5 3 3" xfId="28463"/>
    <cellStyle name="Note 2 7 2 5 3 4" xfId="28464"/>
    <cellStyle name="Note 2 7 2 5 4" xfId="28465"/>
    <cellStyle name="Note 2 7 2 5 4 2" xfId="28466"/>
    <cellStyle name="Note 2 7 2 5 4 3" xfId="28467"/>
    <cellStyle name="Note 2 7 2 5 5" xfId="28468"/>
    <cellStyle name="Note 2 7 2 5 5 2" xfId="28469"/>
    <cellStyle name="Note 2 7 2 5 5 3" xfId="28470"/>
    <cellStyle name="Note 2 7 2 5 6" xfId="28471"/>
    <cellStyle name="Total 2 4 2 2 3 2 2" xfId="28472"/>
    <cellStyle name="Note 2 7 2 5 7" xfId="28473"/>
    <cellStyle name="Note 2 7 2 6" xfId="28474"/>
    <cellStyle name="Note 2 7 2 6 2" xfId="28475"/>
    <cellStyle name="Note 2 7 2 6 2 3" xfId="28476"/>
    <cellStyle name="Note 2 7 2 6 2 4" xfId="28477"/>
    <cellStyle name="Note 2 7 2 6 3" xfId="28478"/>
    <cellStyle name="Note 2 7 2 6 3 2" xfId="28479"/>
    <cellStyle name="Note 2 7 2 6 3 3" xfId="28480"/>
    <cellStyle name="Note 2 7 2 6 3 4" xfId="28481"/>
    <cellStyle name="Note 2 7 2 6 4" xfId="28482"/>
    <cellStyle name="Note 2 7 2 6 4 2" xfId="28483"/>
    <cellStyle name="Note 2 7 2 6 4 3" xfId="28484"/>
    <cellStyle name="Note 2 7 2 6 5" xfId="28485"/>
    <cellStyle name="Note 2 7 2 6 5 2" xfId="28486"/>
    <cellStyle name="Note 2 7 2 6 5 3" xfId="28487"/>
    <cellStyle name="Note 2 7 2 6 6" xfId="28488"/>
    <cellStyle name="Note 2 7 2 6 7" xfId="28489"/>
    <cellStyle name="Note 2 7 2 7" xfId="28490"/>
    <cellStyle name="Note 2 7 2 7 2 3" xfId="28491"/>
    <cellStyle name="Note 2 7 2 7 2 4" xfId="28492"/>
    <cellStyle name="Note 2 7 2 7 3" xfId="28493"/>
    <cellStyle name="Note 2 7 2 7 3 2" xfId="28494"/>
    <cellStyle name="Note 2 7 2 7 3 3" xfId="28495"/>
    <cellStyle name="Note 2 7 2 7 3 4" xfId="28496"/>
    <cellStyle name="Note 2 7 2 7 4" xfId="28497"/>
    <cellStyle name="Note 2 7 2 7 5" xfId="28498"/>
    <cellStyle name="Note 2 7 2 7 5 2" xfId="28499"/>
    <cellStyle name="Note 2 7 2 7 5 3" xfId="28500"/>
    <cellStyle name="Note 2 7 2 7 6" xfId="28501"/>
    <cellStyle name="Note 2 7 2 7 7" xfId="28502"/>
    <cellStyle name="Note 2 7 2 8" xfId="28503"/>
    <cellStyle name="Note 2 7 2 8 3" xfId="28504"/>
    <cellStyle name="Note 2 7 2 8 3 2" xfId="28505"/>
    <cellStyle name="Note 2 7 2 8 3 3" xfId="28506"/>
    <cellStyle name="Note 2 7 2 8 3 4" xfId="28507"/>
    <cellStyle name="Note 2 7 2 8 4" xfId="28508"/>
    <cellStyle name="Note 2 7 2 8 4 2" xfId="28509"/>
    <cellStyle name="Note 2 7 2 8 4 3" xfId="28510"/>
    <cellStyle name="Note 2 7 2 8 5" xfId="28511"/>
    <cellStyle name="Note 2 7 2 8 5 2" xfId="28512"/>
    <cellStyle name="Note 2 7 2 8 5 3" xfId="28513"/>
    <cellStyle name="Note 2 7 2 8 6" xfId="28514"/>
    <cellStyle name="Note 2 7 2 8 7" xfId="28515"/>
    <cellStyle name="Note 2 7 2 9 2" xfId="28516"/>
    <cellStyle name="Note 2 7 2 9 2 4" xfId="28517"/>
    <cellStyle name="Note 2 7 2 9 3" xfId="28518"/>
    <cellStyle name="Note 2 7 2 9 3 2" xfId="28519"/>
    <cellStyle name="Note 2 7 2 9 3 3" xfId="28520"/>
    <cellStyle name="Note 2 7 2 9 3 4" xfId="28521"/>
    <cellStyle name="Note 2 7 2 9 4" xfId="28522"/>
    <cellStyle name="Note 2 7 2 9 5" xfId="28523"/>
    <cellStyle name="Note 2 7 2 9 5 2" xfId="28524"/>
    <cellStyle name="Note 2 7 2 9 5 3" xfId="28525"/>
    <cellStyle name="Note 2 7 2 9 6" xfId="28526"/>
    <cellStyle name="Output 2 14 4 2 2" xfId="28527"/>
    <cellStyle name="Note 2 7 2 9 7" xfId="28528"/>
    <cellStyle name="Output 2 14 4 2 3" xfId="28529"/>
    <cellStyle name="Note 2 7 3 10 2" xfId="28530"/>
    <cellStyle name="Note 2 7 3 10 2 3" xfId="28531"/>
    <cellStyle name="Note 2 7 3 10 2 4" xfId="28532"/>
    <cellStyle name="Note 2 7 3 10 3 3" xfId="28533"/>
    <cellStyle name="Note 2 7 3 10 3 4" xfId="28534"/>
    <cellStyle name="Note 2 7 3 10 4" xfId="28535"/>
    <cellStyle name="Note 2 7 3 10 5" xfId="28536"/>
    <cellStyle name="Note 2 7 3 6 2 2" xfId="28537"/>
    <cellStyle name="Note 2 7 3 10 6" xfId="28538"/>
    <cellStyle name="Note 2 7 3 6 2 3" xfId="28539"/>
    <cellStyle name="Note 2 7 3 10 7" xfId="28540"/>
    <cellStyle name="Note 2 7 3 6 2 4" xfId="28541"/>
    <cellStyle name="Note 2 7 3 11 2" xfId="28542"/>
    <cellStyle name="Note 2 7 3 11 3" xfId="28543"/>
    <cellStyle name="Note 2 7 3 11 4" xfId="28544"/>
    <cellStyle name="Note 2 7 3 12" xfId="28545"/>
    <cellStyle name="Note 2 7 3 12 2" xfId="28546"/>
    <cellStyle name="Note 2 7 3 12 3" xfId="28547"/>
    <cellStyle name="Note 2 7 3 12 4" xfId="28548"/>
    <cellStyle name="Note 2 7 3 13" xfId="28549"/>
    <cellStyle name="Note 2 7 3 13 2" xfId="28550"/>
    <cellStyle name="Note 2 7 3 13 3" xfId="28551"/>
    <cellStyle name="Note 2 7 3 14" xfId="28552"/>
    <cellStyle name="Note 2 7 3 14 2" xfId="28553"/>
    <cellStyle name="Note 2 7 3 14 3" xfId="28554"/>
    <cellStyle name="Note 2 7 3 2" xfId="28555"/>
    <cellStyle name="Note 2 7 3 2 2" xfId="28556"/>
    <cellStyle name="Output 2 12 2 9 5" xfId="28557"/>
    <cellStyle name="Output 2 6 2 8 3" xfId="28558"/>
    <cellStyle name="Output 2 7 3 2 4 3" xfId="28559"/>
    <cellStyle name="Note 2 7 3 2 2 2" xfId="28560"/>
    <cellStyle name="Output 2 12 2 9 5 2" xfId="28561"/>
    <cellStyle name="Output 2 6 2 8 3 2" xfId="28562"/>
    <cellStyle name="Note 2 7 3 2 3" xfId="28563"/>
    <cellStyle name="Output 2 12 2 9 6" xfId="28564"/>
    <cellStyle name="Output 2 6 2 8 4" xfId="28565"/>
    <cellStyle name="Note 2 7 3 2 4" xfId="28566"/>
    <cellStyle name="Output 2 12 2 9 7" xfId="28567"/>
    <cellStyle name="Output 2 6 2 8 5" xfId="28568"/>
    <cellStyle name="Note 2 7 3 2 5" xfId="28569"/>
    <cellStyle name="Output 2 6 2 8 6" xfId="28570"/>
    <cellStyle name="Note 2 7 3 2 5 2" xfId="28571"/>
    <cellStyle name="Note 2 7 3 2 5 3" xfId="28572"/>
    <cellStyle name="Note 2 7 3 2 6" xfId="28573"/>
    <cellStyle name="Output 2 6 2 8 7" xfId="28574"/>
    <cellStyle name="Note 2 7 3 2 7" xfId="28575"/>
    <cellStyle name="Note 2 7 3 3" xfId="28576"/>
    <cellStyle name="Note 2 7 3 3 2" xfId="28577"/>
    <cellStyle name="Output 2 4 2 10 5" xfId="28578"/>
    <cellStyle name="Output 2 6 2 9 3" xfId="28579"/>
    <cellStyle name="Output 2 7 3 2 5 3" xfId="28580"/>
    <cellStyle name="Note 2 7 3 3 2 2" xfId="28581"/>
    <cellStyle name="Output 2 4 2 10 5 2" xfId="28582"/>
    <cellStyle name="Output 2 6 2 9 3 2" xfId="28583"/>
    <cellStyle name="Note 2 7 3 3 2 3" xfId="28584"/>
    <cellStyle name="Output 2 4 2 10 5 3" xfId="28585"/>
    <cellStyle name="Output 2 6 2 9 3 3" xfId="28586"/>
    <cellStyle name="Note 2 7 3 3 2 4" xfId="28587"/>
    <cellStyle name="Output 2 6 2 9 3 4" xfId="28588"/>
    <cellStyle name="Note 2 7 3 3 3" xfId="28589"/>
    <cellStyle name="Output 2 4 2 10 6" xfId="28590"/>
    <cellStyle name="Output 2 6 2 9 4" xfId="28591"/>
    <cellStyle name="Note 2 7 3 3 3 3" xfId="28592"/>
    <cellStyle name="Output 2 6 2 9 4 3" xfId="28593"/>
    <cellStyle name="Note 2 7 3 3 3 4" xfId="28594"/>
    <cellStyle name="Note 2 7 3 3 4" xfId="28595"/>
    <cellStyle name="Output 2 4 2 10 7" xfId="28596"/>
    <cellStyle name="Output 2 6 2 9 5" xfId="28597"/>
    <cellStyle name="Note 2 7 3 3 4 3" xfId="28598"/>
    <cellStyle name="Output 2 6 2 9 5 3" xfId="28599"/>
    <cellStyle name="Note 2 7 3 3 5" xfId="28600"/>
    <cellStyle name="Output 2 6 2 9 6" xfId="28601"/>
    <cellStyle name="Note 2 7 3 3 5 2" xfId="28602"/>
    <cellStyle name="Note 2 7 3 3 5 3" xfId="28603"/>
    <cellStyle name="Note 2 7 3 3 6" xfId="28604"/>
    <cellStyle name="Output 2 6 2 9 7" xfId="28605"/>
    <cellStyle name="Note 2 7 3 3 7" xfId="28606"/>
    <cellStyle name="Note 2 7 3 4" xfId="28607"/>
    <cellStyle name="Note 2 7 3 4 2" xfId="28608"/>
    <cellStyle name="Note 2 7 3 4 2 2" xfId="28609"/>
    <cellStyle name="Note 2 7 3 4 2 3" xfId="28610"/>
    <cellStyle name="Note 2 7 3 4 2 4" xfId="28611"/>
    <cellStyle name="Note 2 7 3 4 4" xfId="28612"/>
    <cellStyle name="Note 2 7 3 4 5" xfId="28613"/>
    <cellStyle name="Note 2 7 3 4 5 2" xfId="28614"/>
    <cellStyle name="Note 2 7 3 4 6" xfId="28615"/>
    <cellStyle name="Note 2 7 3 4 7" xfId="28616"/>
    <cellStyle name="Note 2 7 3 5" xfId="28617"/>
    <cellStyle name="Note 2 7 3 5 2" xfId="28618"/>
    <cellStyle name="Note 2 7 3 5 2 2" xfId="28619"/>
    <cellStyle name="Note 2 7 3 5 2 3" xfId="28620"/>
    <cellStyle name="Note 2 7 3 5 2 4" xfId="28621"/>
    <cellStyle name="Note 2 7 3 5 3" xfId="28622"/>
    <cellStyle name="Note 2 7 3 5 3 2" xfId="28623"/>
    <cellStyle name="Note 2 7 3 5 3 3" xfId="28624"/>
    <cellStyle name="Note 2 7 3 5 3 4" xfId="28625"/>
    <cellStyle name="Note 2 7 3 5 4" xfId="28626"/>
    <cellStyle name="Note 2 7 3 5 5" xfId="28627"/>
    <cellStyle name="Note 2 7 3 5 6" xfId="28628"/>
    <cellStyle name="Note 2 7 3 5 7" xfId="28629"/>
    <cellStyle name="Note 2 7 3 6" xfId="28630"/>
    <cellStyle name="Note 2 7 3 6 2" xfId="28631"/>
    <cellStyle name="Note 2 7 3 6 3" xfId="28632"/>
    <cellStyle name="Note 2 7 3 6 3 2" xfId="28633"/>
    <cellStyle name="Note 2 7 3 6 3 3" xfId="28634"/>
    <cellStyle name="Note 2 7 3 6 3 4" xfId="28635"/>
    <cellStyle name="Note 2 7 3 6 4" xfId="28636"/>
    <cellStyle name="Note 2 7 3 6 4 2" xfId="28637"/>
    <cellStyle name="Note 2 7 3 6 4 3" xfId="28638"/>
    <cellStyle name="Note 2 7 3 6 5" xfId="28639"/>
    <cellStyle name="Note 2 7 3 6 5 2" xfId="28640"/>
    <cellStyle name="Note 2 7 3 6 5 3" xfId="28641"/>
    <cellStyle name="Note 2 7 3 6 6" xfId="28642"/>
    <cellStyle name="Note 2 7 3 6 7" xfId="28643"/>
    <cellStyle name="Note 2 7 3 7" xfId="28644"/>
    <cellStyle name="Note 2 7 3 7 2" xfId="28645"/>
    <cellStyle name="Note 2 7 3 7 2 2" xfId="28646"/>
    <cellStyle name="Note 2 7 3 7 2 3" xfId="28647"/>
    <cellStyle name="Note 2 7 3 7 2 4" xfId="28648"/>
    <cellStyle name="Note 2 7 3 7 3" xfId="28649"/>
    <cellStyle name="Note 2 7 3 7 3 2" xfId="28650"/>
    <cellStyle name="Note 2 7 3 7 3 3" xfId="28651"/>
    <cellStyle name="Note 2 7 3 7 3 4" xfId="28652"/>
    <cellStyle name="Note 2 7 3 7 4" xfId="28653"/>
    <cellStyle name="Note 2 7 3 7 4 2" xfId="28654"/>
    <cellStyle name="Note 2 7 3 7 4 3" xfId="28655"/>
    <cellStyle name="Note 2 7 3 7 5" xfId="28656"/>
    <cellStyle name="Note 2 7 3 7 5 2" xfId="28657"/>
    <cellStyle name="Note 2 7 3 7 5 3" xfId="28658"/>
    <cellStyle name="Note 2 7 3 7 6" xfId="28659"/>
    <cellStyle name="Note 2 7 3 7 7" xfId="28660"/>
    <cellStyle name="Note 2 7 3 8" xfId="28661"/>
    <cellStyle name="Note 2 7 3 8 2" xfId="28662"/>
    <cellStyle name="Note 2 7 3 8 2 2" xfId="28663"/>
    <cellStyle name="Note 2 7 3 8 2 3" xfId="28664"/>
    <cellStyle name="Note 2 7 3 8 2 4" xfId="28665"/>
    <cellStyle name="Note 2 7 3 8 3" xfId="28666"/>
    <cellStyle name="Note 2 7 3 8 3 2" xfId="28667"/>
    <cellStyle name="Note 2 7 3 8 3 3" xfId="28668"/>
    <cellStyle name="Note 2 7 3 8 3 4" xfId="28669"/>
    <cellStyle name="Note 2 7 3 8 4" xfId="28670"/>
    <cellStyle name="Note 2 7 3 8 4 2" xfId="28671"/>
    <cellStyle name="Note 2 7 3 8 4 3" xfId="28672"/>
    <cellStyle name="Note 2 7 3 8 5" xfId="28673"/>
    <cellStyle name="Note 2 7 3 8 5 2" xfId="28674"/>
    <cellStyle name="Note 2 7 3 8 5 3" xfId="28675"/>
    <cellStyle name="Note 2 7 3 8 6" xfId="28676"/>
    <cellStyle name="Note 2 7 3 8 7" xfId="28677"/>
    <cellStyle name="Note 2 7 3 9 2" xfId="28678"/>
    <cellStyle name="Note 2 7 3 9 2 3" xfId="28679"/>
    <cellStyle name="Note 2 7 3 9 2 4" xfId="28680"/>
    <cellStyle name="Note 2 7 3 9 3" xfId="28681"/>
    <cellStyle name="Note 2 7 3 9 3 2" xfId="28682"/>
    <cellStyle name="Note 2 7 3 9 3 3" xfId="28683"/>
    <cellStyle name="Note 2 7 3 9 3 4" xfId="28684"/>
    <cellStyle name="Note 2 7 3 9 4 2" xfId="28685"/>
    <cellStyle name="Note 2 7 3 9 4 3" xfId="28686"/>
    <cellStyle name="Note 2 7 3 9 5 2" xfId="28687"/>
    <cellStyle name="Note 2 7 3 9 5 3" xfId="28688"/>
    <cellStyle name="Note 2 7 4 2" xfId="28689"/>
    <cellStyle name="Note 2 7 4 2 3" xfId="28690"/>
    <cellStyle name="Output 2 12 3 9 6" xfId="28691"/>
    <cellStyle name="Output 2 6 3 8 4" xfId="28692"/>
    <cellStyle name="Note 2 7 4 2 4" xfId="28693"/>
    <cellStyle name="Output 2 12 3 9 7" xfId="28694"/>
    <cellStyle name="Output 2 6 3 8 5" xfId="28695"/>
    <cellStyle name="Note 2 7 4 3" xfId="28696"/>
    <cellStyle name="Note 2 7 4 3 3" xfId="28697"/>
    <cellStyle name="Output 2 6 3 9 4" xfId="28698"/>
    <cellStyle name="Note 2 7 4 4" xfId="28699"/>
    <cellStyle name="Note 2 7 4 4 2" xfId="28700"/>
    <cellStyle name="Note 2 7 4 4 3" xfId="28701"/>
    <cellStyle name="Note 2 7 4 5" xfId="28702"/>
    <cellStyle name="Note 2 7 4 5 2" xfId="28703"/>
    <cellStyle name="Note 2 7 4 5 3" xfId="28704"/>
    <cellStyle name="Note 2 7 4 6" xfId="28705"/>
    <cellStyle name="Note 2 7 4 7" xfId="28706"/>
    <cellStyle name="Output 2 11 3 6 2 2" xfId="28707"/>
    <cellStyle name="Note 2 7 5" xfId="28708"/>
    <cellStyle name="Note 2 7 5 2" xfId="28709"/>
    <cellStyle name="Note 2 7 5 2 3" xfId="28710"/>
    <cellStyle name="Note 2 9 13 4" xfId="28711"/>
    <cellStyle name="Note 2 7 5 2 4" xfId="28712"/>
    <cellStyle name="Note 2 7 5 3" xfId="28713"/>
    <cellStyle name="Note 2 7 5 3 3" xfId="28714"/>
    <cellStyle name="Note 2 9 14 4" xfId="28715"/>
    <cellStyle name="Note 2 7 5 3 4" xfId="28716"/>
    <cellStyle name="Note 2 7 5 4" xfId="28717"/>
    <cellStyle name="Note 2 7 5 4 2" xfId="28718"/>
    <cellStyle name="Note 2 9 15 3" xfId="28719"/>
    <cellStyle name="Note 2 7 5 4 3" xfId="28720"/>
    <cellStyle name="Note 2 7 5 5" xfId="28721"/>
    <cellStyle name="Note 2 7 5 5 2" xfId="28722"/>
    <cellStyle name="Note 2 9 16 3" xfId="28723"/>
    <cellStyle name="Note 2 7 5 5 3" xfId="28724"/>
    <cellStyle name="Note 2 7 5 6" xfId="28725"/>
    <cellStyle name="Note 2 7 5 7" xfId="28726"/>
    <cellStyle name="Output 2 11 3 6 3 2" xfId="28727"/>
    <cellStyle name="Note 2 7 6" xfId="28728"/>
    <cellStyle name="Note 2 7 6 2 3" xfId="28729"/>
    <cellStyle name="Output 2 4 10 2" xfId="28730"/>
    <cellStyle name="Note 2 7 6 2 4" xfId="28731"/>
    <cellStyle name="Output 2 4 10 3" xfId="28732"/>
    <cellStyle name="Note 2 7 6 3" xfId="28733"/>
    <cellStyle name="Note 2 7 6 3 3" xfId="28734"/>
    <cellStyle name="Output 2 4 11 2" xfId="28735"/>
    <cellStyle name="Note 2 7 6 3 4" xfId="28736"/>
    <cellStyle name="Output 2 4 11 3" xfId="28737"/>
    <cellStyle name="Note 2 7 6 4" xfId="28738"/>
    <cellStyle name="Note 2 7 6 4 2" xfId="28739"/>
    <cellStyle name="Note 2 7 6 4 3" xfId="28740"/>
    <cellStyle name="Output 2 4 12 2" xfId="28741"/>
    <cellStyle name="Note 2 7 6 5" xfId="28742"/>
    <cellStyle name="Note 2 7 6 5 2" xfId="28743"/>
    <cellStyle name="Note 2 7 6 5 3" xfId="28744"/>
    <cellStyle name="Output 2 4 13 2" xfId="28745"/>
    <cellStyle name="Note 2 7 6 6" xfId="28746"/>
    <cellStyle name="Note 2 7 6 7" xfId="28747"/>
    <cellStyle name="Output 2 11 3 6 4 2" xfId="28748"/>
    <cellStyle name="Output 2 5 3 5 2 2" xfId="28749"/>
    <cellStyle name="Note 2 7 7" xfId="28750"/>
    <cellStyle name="Note 2 9 2 9 2" xfId="28751"/>
    <cellStyle name="Note 2 7 7 2 3" xfId="28752"/>
    <cellStyle name="Note 2 7 7 3" xfId="28753"/>
    <cellStyle name="Note 2 9 2 9 2 3" xfId="28754"/>
    <cellStyle name="Note 2 7 7 3 2" xfId="28755"/>
    <cellStyle name="Output 2 7 3 6 5 3" xfId="28756"/>
    <cellStyle name="Note 2 7 7 3 3" xfId="28757"/>
    <cellStyle name="Note 2 7 7 4" xfId="28758"/>
    <cellStyle name="Note 2 9 2 9 2 4" xfId="28759"/>
    <cellStyle name="Note 2 7 7 4 2" xfId="28760"/>
    <cellStyle name="Note 2 7 7 4 3" xfId="28761"/>
    <cellStyle name="Note 2 7 7 5" xfId="28762"/>
    <cellStyle name="Note 2 7 7 6" xfId="28763"/>
    <cellStyle name="Note 2 7 7 7" xfId="28764"/>
    <cellStyle name="Output 2 11 3 6 5 2" xfId="28765"/>
    <cellStyle name="Output 2 5 3 5 3 2" xfId="28766"/>
    <cellStyle name="Note 2 9 2 9 3" xfId="28767"/>
    <cellStyle name="Note 2 7 8" xfId="28768"/>
    <cellStyle name="Output 2 8 3 3 4 2" xfId="28769"/>
    <cellStyle name="Note 2 7 8 2" xfId="28770"/>
    <cellStyle name="Note 2 9 2 9 3 2" xfId="28771"/>
    <cellStyle name="Note 2 7 8 2 3" xfId="28772"/>
    <cellStyle name="Note 2 7 8 3" xfId="28773"/>
    <cellStyle name="Note 2 9 2 9 3 3" xfId="28774"/>
    <cellStyle name="Note 2 7 8 3 3" xfId="28775"/>
    <cellStyle name="Output 2 4 3 10 6" xfId="28776"/>
    <cellStyle name="Note 2 7 8 4" xfId="28777"/>
    <cellStyle name="Note 2 9 2 9 3 4" xfId="28778"/>
    <cellStyle name="Note 2 7 8 4 3" xfId="28779"/>
    <cellStyle name="Note 2 7 8 5" xfId="28780"/>
    <cellStyle name="Note 2 7 8 5 3" xfId="28781"/>
    <cellStyle name="Note 2 7 8 6" xfId="28782"/>
    <cellStyle name="Note 2 7 8 7" xfId="28783"/>
    <cellStyle name="Output 2 5 3 5 4 2" xfId="28784"/>
    <cellStyle name="Note 2 9 2 9 4" xfId="28785"/>
    <cellStyle name="Note 2 7 9" xfId="28786"/>
    <cellStyle name="Output 2 8 3 3 4 3" xfId="28787"/>
    <cellStyle name="Note 2 7 9 2" xfId="28788"/>
    <cellStyle name="Note 2 9 2 9 4 2" xfId="28789"/>
    <cellStyle name="Note 2 7 9 2 3" xfId="28790"/>
    <cellStyle name="Note 2 7 9 3" xfId="28791"/>
    <cellStyle name="Note 2 9 2 9 4 3" xfId="28792"/>
    <cellStyle name="Note 2 7 9 4" xfId="28793"/>
    <cellStyle name="Note 2 7 9 5" xfId="28794"/>
    <cellStyle name="Note 2 7 9 6" xfId="28795"/>
    <cellStyle name="Note 2 7 9 7" xfId="28796"/>
    <cellStyle name="Output 2 5 3 5 5 2" xfId="28797"/>
    <cellStyle name="Note 2 8 10" xfId="28798"/>
    <cellStyle name="Note 2 8 10 2" xfId="28799"/>
    <cellStyle name="Note 2 8 10 3" xfId="28800"/>
    <cellStyle name="Note 2 8 10 7" xfId="28801"/>
    <cellStyle name="Note 2 8 4" xfId="28802"/>
    <cellStyle name="Note 2 8 11" xfId="28803"/>
    <cellStyle name="Note 2 8 11 2" xfId="28804"/>
    <cellStyle name="Note 2 8 11 3" xfId="28805"/>
    <cellStyle name="Note 2 8 11 4" xfId="28806"/>
    <cellStyle name="Output 2 6 10" xfId="28807"/>
    <cellStyle name="Note 2 8 12" xfId="28808"/>
    <cellStyle name="Note 2 8 12 2" xfId="28809"/>
    <cellStyle name="Output 2 6 2 10 2 3" xfId="28810"/>
    <cellStyle name="Note 2 8 12 2 2" xfId="28811"/>
    <cellStyle name="Note 2 8 12 2 3" xfId="28812"/>
    <cellStyle name="Note 2 8 12 2 4" xfId="28813"/>
    <cellStyle name="Note 2 8 12 3" xfId="28814"/>
    <cellStyle name="Output 2 6 2 10 2 4" xfId="28815"/>
    <cellStyle name="Note 2 8 12 3 3" xfId="28816"/>
    <cellStyle name="Note 2 8 12 3 4" xfId="28817"/>
    <cellStyle name="Note 2 8 12 4" xfId="28818"/>
    <cellStyle name="Note 2 8 12 4 3" xfId="28819"/>
    <cellStyle name="Note 2 8 12 5" xfId="28820"/>
    <cellStyle name="Note 2 8 12 5 2" xfId="28821"/>
    <cellStyle name="Note 2 8 12 5 3" xfId="28822"/>
    <cellStyle name="Note 2 8 13 2" xfId="28823"/>
    <cellStyle name="Output 2 6 2 10 3 3" xfId="28824"/>
    <cellStyle name="Note 2 8 13 3" xfId="28825"/>
    <cellStyle name="Output 2 6 2 10 3 4" xfId="28826"/>
    <cellStyle name="Note 2 8 13 4" xfId="28827"/>
    <cellStyle name="Note 2 8 14 2" xfId="28828"/>
    <cellStyle name="Total 2 4 2 9 2 4" xfId="28829"/>
    <cellStyle name="Output 2 6 2 10 4 3" xfId="28830"/>
    <cellStyle name="Note 2 8 14 3" xfId="28831"/>
    <cellStyle name="Note 2 8 14 4" xfId="28832"/>
    <cellStyle name="Note 2 8 15 2" xfId="28833"/>
    <cellStyle name="Total 2 4 2 9 3 4" xfId="28834"/>
    <cellStyle name="Output 2 6 2 10 5 3" xfId="28835"/>
    <cellStyle name="Note 2 8 15 3" xfId="28836"/>
    <cellStyle name="Note 2 8 16 2" xfId="28837"/>
    <cellStyle name="Note 2 8 16 3" xfId="28838"/>
    <cellStyle name="Note 2 8 17" xfId="28839"/>
    <cellStyle name="Output 2 2 3 7 2 3" xfId="28840"/>
    <cellStyle name="Note 2 8 2 10 2" xfId="28841"/>
    <cellStyle name="Note 2 9 2 2 2 2" xfId="28842"/>
    <cellStyle name="Note 2 8 2 10 2 4" xfId="28843"/>
    <cellStyle name="Output 2 5 2 5 4 2" xfId="28844"/>
    <cellStyle name="Note 2 8 2 10 3" xfId="28845"/>
    <cellStyle name="Note 2 9 2 2 2 3" xfId="28846"/>
    <cellStyle name="Note 2 8 2 10 3 3" xfId="28847"/>
    <cellStyle name="Note 2 8 2 10 3 4" xfId="28848"/>
    <cellStyle name="Output 2 5 2 5 5 2" xfId="28849"/>
    <cellStyle name="Note 2 8 2 10 4" xfId="28850"/>
    <cellStyle name="Note 2 9 2 2 2 4" xfId="28851"/>
    <cellStyle name="Note 2 8 2 10 4 3" xfId="28852"/>
    <cellStyle name="Note 2 8 2 10 5" xfId="28853"/>
    <cellStyle name="Note 2 8 2 10 5 2" xfId="28854"/>
    <cellStyle name="Note 2 8 2 10 5 3" xfId="28855"/>
    <cellStyle name="Note 2 8 2 10 6" xfId="28856"/>
    <cellStyle name="Note 2 8 2 11 2" xfId="28857"/>
    <cellStyle name="Note 2 9 2 2 3 2" xfId="28858"/>
    <cellStyle name="Note 2 8 2 12" xfId="28859"/>
    <cellStyle name="Note 2 9 2 2 4" xfId="28860"/>
    <cellStyle name="Output 2 6 11 2 4" xfId="28861"/>
    <cellStyle name="Note 2 8 2 12 2" xfId="28862"/>
    <cellStyle name="Note 2 9 2 2 4 2" xfId="28863"/>
    <cellStyle name="Note 2 8 2 13" xfId="28864"/>
    <cellStyle name="Note 2 9 2 2 5" xfId="28865"/>
    <cellStyle name="Note 2 8 2 13 2" xfId="28866"/>
    <cellStyle name="Note 2 9 2 2 5 2" xfId="28867"/>
    <cellStyle name="Note 2 8 2 14" xfId="28868"/>
    <cellStyle name="Note 2 9 2 2 6" xfId="28869"/>
    <cellStyle name="Note 2 8 2 14 2" xfId="28870"/>
    <cellStyle name="Note 2 8 2 15" xfId="28871"/>
    <cellStyle name="Note 2 9 2 2 7" xfId="28872"/>
    <cellStyle name="Note 2 8 2 16" xfId="28873"/>
    <cellStyle name="Output 2 3 2 7 4 2" xfId="28874"/>
    <cellStyle name="Note 2 8 2 3 2 2" xfId="28875"/>
    <cellStyle name="Note 2 8 2 3 2 3" xfId="28876"/>
    <cellStyle name="Note 2 8 2 3 2 4" xfId="28877"/>
    <cellStyle name="Note 2 8 2 3 3 2" xfId="28878"/>
    <cellStyle name="Note 2 8 2 3 3 3" xfId="28879"/>
    <cellStyle name="Note 2 8 2 3 3 4" xfId="28880"/>
    <cellStyle name="Note 2 8 2 3 4" xfId="28881"/>
    <cellStyle name="Note 2 8 2 3 4 2" xfId="28882"/>
    <cellStyle name="Note 2 8 2 3 4 3" xfId="28883"/>
    <cellStyle name="Note 2 8 2 3 5 2" xfId="28884"/>
    <cellStyle name="Note 2 8 2 3 5 3" xfId="28885"/>
    <cellStyle name="Note 2 8 2 4 2 2" xfId="28886"/>
    <cellStyle name="Note 2 8 2 4 2 3" xfId="28887"/>
    <cellStyle name="Note 2 8 2 4 2 4" xfId="28888"/>
    <cellStyle name="Note 2 8 2 4 3" xfId="28889"/>
    <cellStyle name="Note 2 8 2 4 3 2" xfId="28890"/>
    <cellStyle name="Note 2 8 2 4 3 3" xfId="28891"/>
    <cellStyle name="Note 2 8 2 4 3 4" xfId="28892"/>
    <cellStyle name="Note 2 8 2 4 4" xfId="28893"/>
    <cellStyle name="Note 2 8 2 4 5 2" xfId="28894"/>
    <cellStyle name="Note 2 8 2 4 5 3" xfId="28895"/>
    <cellStyle name="Note 2 8 2 5 2" xfId="28896"/>
    <cellStyle name="Note 2 8 2 5 2 2" xfId="28897"/>
    <cellStyle name="Note 2 8 2 5 2 3" xfId="28898"/>
    <cellStyle name="Total 2 10 7 2" xfId="28899"/>
    <cellStyle name="Note 2 8 2 5 2 4" xfId="28900"/>
    <cellStyle name="Total 2 10 7 3" xfId="28901"/>
    <cellStyle name="Note 2 8 2 5 3" xfId="28902"/>
    <cellStyle name="Output 2 14 2 4 2 2" xfId="28903"/>
    <cellStyle name="Note 2 8 2 5 3 2" xfId="28904"/>
    <cellStyle name="Note 2 8 2 5 3 3" xfId="28905"/>
    <cellStyle name="Total 2 10 8 2" xfId="28906"/>
    <cellStyle name="Note 2 8 2 5 3 4" xfId="28907"/>
    <cellStyle name="Total 2 10 8 3" xfId="28908"/>
    <cellStyle name="Note 2 8 2 5 4" xfId="28909"/>
    <cellStyle name="Output 2 14 2 4 2 3" xfId="28910"/>
    <cellStyle name="Note 2 8 2 5 4 2" xfId="28911"/>
    <cellStyle name="Note 2 8 2 5 4 3" xfId="28912"/>
    <cellStyle name="Total 2 10 9 2" xfId="28913"/>
    <cellStyle name="Note 2 8 2 5 5 2" xfId="28914"/>
    <cellStyle name="Note 2 8 2 5 5 3" xfId="28915"/>
    <cellStyle name="Note 2 8 2 5 7" xfId="28916"/>
    <cellStyle name="Note 2 8 2 6" xfId="28917"/>
    <cellStyle name="Note 2 8 2 6 2" xfId="28918"/>
    <cellStyle name="Note 2 8 2 6 2 3" xfId="28919"/>
    <cellStyle name="Note 2 8 2 6 2 4" xfId="28920"/>
    <cellStyle name="Note 2 8 2 6 3" xfId="28921"/>
    <cellStyle name="Output 2 14 2 4 3 2" xfId="28922"/>
    <cellStyle name="Note 2 8 2 6 4" xfId="28923"/>
    <cellStyle name="Output 2 14 2 4 3 3" xfId="28924"/>
    <cellStyle name="Note 2 8 2 6 4 2" xfId="28925"/>
    <cellStyle name="Note 2 8 2 6 4 3" xfId="28926"/>
    <cellStyle name="Note 2 8 2 6 5 2" xfId="28927"/>
    <cellStyle name="Output 2 14 10 2" xfId="28928"/>
    <cellStyle name="Note 2 8 2 6 5 3" xfId="28929"/>
    <cellStyle name="Output 2 14 10 3" xfId="28930"/>
    <cellStyle name="Note 2 8 2 6 7" xfId="28931"/>
    <cellStyle name="Output 2 14 12" xfId="28932"/>
    <cellStyle name="Note 2 8 2 7" xfId="28933"/>
    <cellStyle name="Note 2 8 2 8" xfId="28934"/>
    <cellStyle name="Note 2 8 2 8 2" xfId="28935"/>
    <cellStyle name="Note 2 8 2 8 2 3" xfId="28936"/>
    <cellStyle name="Note 2 8 2 8 2 4" xfId="28937"/>
    <cellStyle name="Note 2 8 2 8 3" xfId="28938"/>
    <cellStyle name="Output 2 14 2 4 5 2" xfId="28939"/>
    <cellStyle name="Output 2 8 2 3 3 2" xfId="28940"/>
    <cellStyle name="Note 2 8 2 8 3 2" xfId="28941"/>
    <cellStyle name="Note 2 8 2 8 3 3" xfId="28942"/>
    <cellStyle name="Note 2 8 2 8 3 4" xfId="28943"/>
    <cellStyle name="Note 2 8 2 8 4" xfId="28944"/>
    <cellStyle name="Output 2 14 2 4 5 3" xfId="28945"/>
    <cellStyle name="Output 2 8 2 3 3 3" xfId="28946"/>
    <cellStyle name="Note 2 8 2 8 4 2" xfId="28947"/>
    <cellStyle name="Note 2 8 2 8 4 3" xfId="28948"/>
    <cellStyle name="Note 2 8 2 8 5" xfId="28949"/>
    <cellStyle name="Output 2 8 2 3 3 4" xfId="28950"/>
    <cellStyle name="Note 2 8 2 8 5 2" xfId="28951"/>
    <cellStyle name="Note 2 8 2 8 5 3" xfId="28952"/>
    <cellStyle name="Note 2 8 2 8 6" xfId="28953"/>
    <cellStyle name="Note 2 8 2 8 7" xfId="28954"/>
    <cellStyle name="Note 2 8 2 9" xfId="28955"/>
    <cellStyle name="Note 2 8 2 9 2" xfId="28956"/>
    <cellStyle name="Note 2 8 2 9 2 3" xfId="28957"/>
    <cellStyle name="Note 2 8 2 9 3" xfId="28958"/>
    <cellStyle name="Output 2 8 2 3 4 2" xfId="28959"/>
    <cellStyle name="Note 2 8 2 9 3 2" xfId="28960"/>
    <cellStyle name="Note 2 8 2 9 3 3" xfId="28961"/>
    <cellStyle name="Note 2 8 2 9 3 4" xfId="28962"/>
    <cellStyle name="Note 2 8 2 9 4" xfId="28963"/>
    <cellStyle name="Output 2 8 2 3 4 3" xfId="28964"/>
    <cellStyle name="Note 2 8 2 9 4 2" xfId="28965"/>
    <cellStyle name="Note 2 8 2 9 4 3" xfId="28966"/>
    <cellStyle name="Note 2 8 2 9 5" xfId="28967"/>
    <cellStyle name="Note 2 8 2 9 5 2" xfId="28968"/>
    <cellStyle name="Note 2 8 2 9 5 3" xfId="28969"/>
    <cellStyle name="Note 2 8 2 9 6" xfId="28970"/>
    <cellStyle name="Output 2 15 4 2 2" xfId="28971"/>
    <cellStyle name="Note 2 8 2 9 7" xfId="28972"/>
    <cellStyle name="Output 2 15 4 2 3" xfId="28973"/>
    <cellStyle name="Note 2 8 3 13" xfId="28974"/>
    <cellStyle name="Note 2 9 2 7 5" xfId="28975"/>
    <cellStyle name="Output 2 8 3 3 2 4" xfId="28976"/>
    <cellStyle name="Note 2 8 3 13 2" xfId="28977"/>
    <cellStyle name="Note 2 9 2 7 5 2" xfId="28978"/>
    <cellStyle name="Note 2 8 3 13 3" xfId="28979"/>
    <cellStyle name="Note 2 9 2 7 5 3" xfId="28980"/>
    <cellStyle name="Note 2 8 3 14" xfId="28981"/>
    <cellStyle name="Note 2 9 2 7 6" xfId="28982"/>
    <cellStyle name="Note 2 8 3 14 2" xfId="28983"/>
    <cellStyle name="Note 2 8 3 14 3" xfId="28984"/>
    <cellStyle name="Note 2 8 3 15" xfId="28985"/>
    <cellStyle name="Note 2 9 2 7 7" xfId="28986"/>
    <cellStyle name="Note 2 8 3 16" xfId="28987"/>
    <cellStyle name="Note 2 8 3 2 2 4" xfId="28988"/>
    <cellStyle name="Output 2 7 2 8 3 4" xfId="28989"/>
    <cellStyle name="Note 2 8 3 2 4" xfId="28990"/>
    <cellStyle name="Output 2 11 3 11 3" xfId="28991"/>
    <cellStyle name="Output 2 13 2 9 7" xfId="28992"/>
    <cellStyle name="Output 2 7 2 8 5" xfId="28993"/>
    <cellStyle name="Note 2 8 3 2 5" xfId="28994"/>
    <cellStyle name="Output 2 11 3 11 4" xfId="28995"/>
    <cellStyle name="Output 2 7 2 8 6" xfId="28996"/>
    <cellStyle name="Note 2 8 3 2 6" xfId="28997"/>
    <cellStyle name="Output 2 7 2 8 7" xfId="28998"/>
    <cellStyle name="Note 2 8 3 2 7" xfId="28999"/>
    <cellStyle name="Note 2 8 3 4 2" xfId="29000"/>
    <cellStyle name="Note 2 8 3 4 2 2" xfId="29001"/>
    <cellStyle name="Note 2 8 3 4 2 3" xfId="29002"/>
    <cellStyle name="Note 2 8 3 4 2 4" xfId="29003"/>
    <cellStyle name="Note 2 8 3 4 3" xfId="29004"/>
    <cellStyle name="Output 2 11 3 13 2" xfId="29005"/>
    <cellStyle name="Note 2 8 3 4 3 2" xfId="29006"/>
    <cellStyle name="Note 2 8 3 4 3 3" xfId="29007"/>
    <cellStyle name="Note 2 8 3 4 3 4" xfId="29008"/>
    <cellStyle name="Note 2 8 3 4 4" xfId="29009"/>
    <cellStyle name="Output 2" xfId="29010"/>
    <cellStyle name="Output 2 11 3 13 3" xfId="29011"/>
    <cellStyle name="Note 2 8 3 4 4 2" xfId="29012"/>
    <cellStyle name="Output 2 2" xfId="29013"/>
    <cellStyle name="Note 2 8 3 4 4 3" xfId="29014"/>
    <cellStyle name="Output 2 3" xfId="29015"/>
    <cellStyle name="Note 2 8 3 4 5 2" xfId="29016"/>
    <cellStyle name="Output 3 2" xfId="29017"/>
    <cellStyle name="Note 2 8 3 4 5 3" xfId="29018"/>
    <cellStyle name="Output 3 3" xfId="29019"/>
    <cellStyle name="Note 2 8 3 5 2" xfId="29020"/>
    <cellStyle name="Note 2 8 3 5 2 2" xfId="29021"/>
    <cellStyle name="Note 2 8 3 5 2 3" xfId="29022"/>
    <cellStyle name="Note 2 8 3 5 2 4" xfId="29023"/>
    <cellStyle name="Note 2 8 3 5 3" xfId="29024"/>
    <cellStyle name="Output 2 11 3 14 2" xfId="29025"/>
    <cellStyle name="Output 2 14 2 5 2 2" xfId="29026"/>
    <cellStyle name="Note 2 8 3 5 3 2" xfId="29027"/>
    <cellStyle name="Note 2 8 3 5 3 3" xfId="29028"/>
    <cellStyle name="Note 2 8 3 5 3 4" xfId="29029"/>
    <cellStyle name="Note 2 8 3 5 4" xfId="29030"/>
    <cellStyle name="Output 2 11 3 14 3" xfId="29031"/>
    <cellStyle name="Output 2 14 2 5 2 3" xfId="29032"/>
    <cellStyle name="Note 2 8 3 5 4 2" xfId="29033"/>
    <cellStyle name="Note 2 8 3 5 4 3" xfId="29034"/>
    <cellStyle name="Note 2 8 3 5 5 2" xfId="29035"/>
    <cellStyle name="Note 2 8 3 5 5 3" xfId="29036"/>
    <cellStyle name="Note 2 8 3 5 7" xfId="29037"/>
    <cellStyle name="Note 2 8 3 6" xfId="29038"/>
    <cellStyle name="Note 2 8 3 6 2" xfId="29039"/>
    <cellStyle name="Note 2 8 3 6 2 2" xfId="29040"/>
    <cellStyle name="Note 2 8 3 6 2 3" xfId="29041"/>
    <cellStyle name="Note 2 8 3 6 2 4" xfId="29042"/>
    <cellStyle name="Note 2 8 3 6 3" xfId="29043"/>
    <cellStyle name="Output 2 14 2 5 3 2" xfId="29044"/>
    <cellStyle name="Note 2 8 3 6 3 2" xfId="29045"/>
    <cellStyle name="Note 2 8 3 6 3 3" xfId="29046"/>
    <cellStyle name="Note 2 8 3 6 3 4" xfId="29047"/>
    <cellStyle name="Note 2 8 3 6 4" xfId="29048"/>
    <cellStyle name="Output 2 14 2 5 3 3" xfId="29049"/>
    <cellStyle name="Note 2 8 3 6 4 2" xfId="29050"/>
    <cellStyle name="Note 2 8 3 6 4 3" xfId="29051"/>
    <cellStyle name="Note 2 8 3 6 5 2" xfId="29052"/>
    <cellStyle name="Note 2 8 3 6 5 3" xfId="29053"/>
    <cellStyle name="Note 2 8 3 6 7" xfId="29054"/>
    <cellStyle name="Note 2 8 3 7" xfId="29055"/>
    <cellStyle name="Note 2 8 3 7 2" xfId="29056"/>
    <cellStyle name="Note 2 8 3 7 2 2" xfId="29057"/>
    <cellStyle name="Note 2 8 3 7 2 3" xfId="29058"/>
    <cellStyle name="Note 2 8 3 7 2 4" xfId="29059"/>
    <cellStyle name="Note 2 8 3 7 3" xfId="29060"/>
    <cellStyle name="Output 2 14 2 5 4 2" xfId="29061"/>
    <cellStyle name="Output 2 8 2 4 2 2" xfId="29062"/>
    <cellStyle name="Note 2 8 3 7 3 2" xfId="29063"/>
    <cellStyle name="Note 2 8 3 7 3 3" xfId="29064"/>
    <cellStyle name="Note 2 8 3 7 3 4" xfId="29065"/>
    <cellStyle name="Note 2 8 3 7 4" xfId="29066"/>
    <cellStyle name="Output 2 14 2 5 4 3" xfId="29067"/>
    <cellStyle name="Output 2 8 2 4 2 3" xfId="29068"/>
    <cellStyle name="Note 2 8 3 7 4 2" xfId="29069"/>
    <cellStyle name="Note 2 8 3 7 4 3" xfId="29070"/>
    <cellStyle name="Note 2 8 3 7 5" xfId="29071"/>
    <cellStyle name="Output 2 8 2 4 2 4" xfId="29072"/>
    <cellStyle name="Note 2 8 3 7 5 2" xfId="29073"/>
    <cellStyle name="Note 2 8 3 7 5 3" xfId="29074"/>
    <cellStyle name="Note 2 8 3 7 6" xfId="29075"/>
    <cellStyle name="Note 2 8 3 7 7" xfId="29076"/>
    <cellStyle name="Note 2 8 3 8" xfId="29077"/>
    <cellStyle name="Total 2 14 3 6 2 2" xfId="29078"/>
    <cellStyle name="Note 2 8 3 9" xfId="29079"/>
    <cellStyle name="Note 2 8 3 9 2" xfId="29080"/>
    <cellStyle name="Note 2 8 3 9 2 4" xfId="29081"/>
    <cellStyle name="Note 2 8 3 9 3" xfId="29082"/>
    <cellStyle name="Output 2 8 2 4 4 2" xfId="29083"/>
    <cellStyle name="Note 2 8 3 9 3 2" xfId="29084"/>
    <cellStyle name="Note 2 8 3 9 3 3" xfId="29085"/>
    <cellStyle name="Note 2 8 3 9 3 4" xfId="29086"/>
    <cellStyle name="Note 2 8 3 9 4" xfId="29087"/>
    <cellStyle name="Output 2 8 2 4 4 3" xfId="29088"/>
    <cellStyle name="Note 2 8 3 9 4 2" xfId="29089"/>
    <cellStyle name="Note 2 8 3 9 4 3" xfId="29090"/>
    <cellStyle name="Note 2 8 3 9 5 2" xfId="29091"/>
    <cellStyle name="Note 2 8 3 9 5 3" xfId="29092"/>
    <cellStyle name="Note 2 8 4 2" xfId="29093"/>
    <cellStyle name="Note 2 8 4 2 2" xfId="29094"/>
    <cellStyle name="Output 2 13 3 9 5" xfId="29095"/>
    <cellStyle name="Output 2 6 8 7" xfId="29096"/>
    <cellStyle name="Output 2 7 3 8 3" xfId="29097"/>
    <cellStyle name="Note 2 8 4 2 3" xfId="29098"/>
    <cellStyle name="Output 2 13 3 9 6" xfId="29099"/>
    <cellStyle name="Output 2 7 3 8 4" xfId="29100"/>
    <cellStyle name="Note 2 8 4 2 4" xfId="29101"/>
    <cellStyle name="Output 2 13 3 9 7" xfId="29102"/>
    <cellStyle name="Output 2 7 3 8 5" xfId="29103"/>
    <cellStyle name="Note 2 8 4 3" xfId="29104"/>
    <cellStyle name="Note 2 8 4 3 2" xfId="29105"/>
    <cellStyle name="Output 2 6 9 7" xfId="29106"/>
    <cellStyle name="Output 2 7 3 9 3" xfId="29107"/>
    <cellStyle name="Note 2 8 4 3 3" xfId="29108"/>
    <cellStyle name="Output 2 7 3 9 4" xfId="29109"/>
    <cellStyle name="Note 2 8 4 3 4" xfId="29110"/>
    <cellStyle name="Output 2 7 3 9 5" xfId="29111"/>
    <cellStyle name="Note 2 8 4 4" xfId="29112"/>
    <cellStyle name="Note 2 8 4 4 2" xfId="29113"/>
    <cellStyle name="Note 2 8 4 4 3" xfId="29114"/>
    <cellStyle name="Note 2 8 4 5" xfId="29115"/>
    <cellStyle name="Note 2 8 4 5 2" xfId="29116"/>
    <cellStyle name="Note 2 8 4 5 3" xfId="29117"/>
    <cellStyle name="Output 2 14 2 6 2 2" xfId="29118"/>
    <cellStyle name="Note 2 8 4 6" xfId="29119"/>
    <cellStyle name="Note 2 8 4 7" xfId="29120"/>
    <cellStyle name="Output 2 11 3 7 2 2" xfId="29121"/>
    <cellStyle name="Note 2 8 5" xfId="29122"/>
    <cellStyle name="Note 2 8 5 2" xfId="29123"/>
    <cellStyle name="Note 2 8 5 2 2" xfId="29124"/>
    <cellStyle name="Output 2 7 8 7" xfId="29125"/>
    <cellStyle name="Note 2 8 5 2 3" xfId="29126"/>
    <cellStyle name="Note 2 8 5 2 4" xfId="29127"/>
    <cellStyle name="Note 2 8 5 3" xfId="29128"/>
    <cellStyle name="Note 2 8 5 3 2" xfId="29129"/>
    <cellStyle name="Output 2 7 9 7" xfId="29130"/>
    <cellStyle name="Note 2 8 5 3 3" xfId="29131"/>
    <cellStyle name="Note 2 8 5 3 4" xfId="29132"/>
    <cellStyle name="Note 2 8 5 4" xfId="29133"/>
    <cellStyle name="Note 2 8 5 4 2" xfId="29134"/>
    <cellStyle name="Note 2 8 5 4 3" xfId="29135"/>
    <cellStyle name="Note 2 8 5 5" xfId="29136"/>
    <cellStyle name="Note 2 8 5 5 2" xfId="29137"/>
    <cellStyle name="Note 2 8 5 5 3" xfId="29138"/>
    <cellStyle name="Output 2 14 2 7 2 2" xfId="29139"/>
    <cellStyle name="Note 2 8 5 6" xfId="29140"/>
    <cellStyle name="Note 2 8 5 7" xfId="29141"/>
    <cellStyle name="Output 2 11 3 7 3 2" xfId="29142"/>
    <cellStyle name="Note 2 8 6" xfId="29143"/>
    <cellStyle name="Note 2 8 6 2 2" xfId="29144"/>
    <cellStyle name="Output 2 14 2 11 2" xfId="29145"/>
    <cellStyle name="Output 2 8 8 7" xfId="29146"/>
    <cellStyle name="Note 2 8 6 2 3" xfId="29147"/>
    <cellStyle name="Output 2 14 2 11 3" xfId="29148"/>
    <cellStyle name="Output 2 9 10 2" xfId="29149"/>
    <cellStyle name="Note 2 8 6 2 4" xfId="29150"/>
    <cellStyle name="Output 2 14 2 11 4" xfId="29151"/>
    <cellStyle name="Output 2 9 10 3" xfId="29152"/>
    <cellStyle name="Note 2 8 6 3" xfId="29153"/>
    <cellStyle name="Output 2 14 2 12" xfId="29154"/>
    <cellStyle name="Note 2 8 6 3 2" xfId="29155"/>
    <cellStyle name="Output 2 14 2 12 2" xfId="29156"/>
    <cellStyle name="Output 2 8 9 7" xfId="29157"/>
    <cellStyle name="Note 2 8 6 3 3" xfId="29158"/>
    <cellStyle name="Output 2 14 2 12 3" xfId="29159"/>
    <cellStyle name="Output 2 9 11 2" xfId="29160"/>
    <cellStyle name="Note 2 8 6 3 4" xfId="29161"/>
    <cellStyle name="Output 2 14 2 12 4" xfId="29162"/>
    <cellStyle name="Output 2 9 11 3" xfId="29163"/>
    <cellStyle name="Note 2 8 6 4" xfId="29164"/>
    <cellStyle name="Output 2 14 2 13" xfId="29165"/>
    <cellStyle name="Note 2 8 6 4 2" xfId="29166"/>
    <cellStyle name="Output 2 14 2 13 2" xfId="29167"/>
    <cellStyle name="Note 2 8 6 4 3" xfId="29168"/>
    <cellStyle name="Output 2 14 2 13 3" xfId="29169"/>
    <cellStyle name="Output 2 9 12 2" xfId="29170"/>
    <cellStyle name="Note 2 8 6 5" xfId="29171"/>
    <cellStyle name="Output 2 14 2 14" xfId="29172"/>
    <cellStyle name="Note 2 8 6 5 2" xfId="29173"/>
    <cellStyle name="Output 2 14 2 14 2" xfId="29174"/>
    <cellStyle name="Note 2 8 6 5 3" xfId="29175"/>
    <cellStyle name="Output 2 14 2 14 3" xfId="29176"/>
    <cellStyle name="Output 2 14 2 8 2 2" xfId="29177"/>
    <cellStyle name="Output 2 9 13 2" xfId="29178"/>
    <cellStyle name="Note 2 8 6 6" xfId="29179"/>
    <cellStyle name="Output 2 14 2 15" xfId="29180"/>
    <cellStyle name="Note 2 8 6 7" xfId="29181"/>
    <cellStyle name="Output 2 11 3 7 4 2" xfId="29182"/>
    <cellStyle name="Output 2 14 2 16" xfId="29183"/>
    <cellStyle name="Output 2 5 3 6 2 2" xfId="29184"/>
    <cellStyle name="Note 2 8 7" xfId="29185"/>
    <cellStyle name="Note 2 8 7 3" xfId="29186"/>
    <cellStyle name="Note 2 8 7 3 2" xfId="29187"/>
    <cellStyle name="Output 2 9 9 7" xfId="29188"/>
    <cellStyle name="Note 2 8 7 3 3" xfId="29189"/>
    <cellStyle name="Note 2 8 7 3 4" xfId="29190"/>
    <cellStyle name="Note 2 8 7 4" xfId="29191"/>
    <cellStyle name="Note 2 8 7 5" xfId="29192"/>
    <cellStyle name="Note 2 8 7 5 2" xfId="29193"/>
    <cellStyle name="Note 2 8 7 5 3" xfId="29194"/>
    <cellStyle name="Output 2 14 2 9 2 2" xfId="29195"/>
    <cellStyle name="Note 2 8 7 6" xfId="29196"/>
    <cellStyle name="Note 2 8 7 7" xfId="29197"/>
    <cellStyle name="Output 2 11 3 7 5 2" xfId="29198"/>
    <cellStyle name="Output 2 5 3 6 3 2" xfId="29199"/>
    <cellStyle name="Note 2 8 8" xfId="29200"/>
    <cellStyle name="Output 2 8 3 3 5 2" xfId="29201"/>
    <cellStyle name="Note 2 8 8 2" xfId="29202"/>
    <cellStyle name="Note 2 8 8 2 3" xfId="29203"/>
    <cellStyle name="Note 2 8 8 2 4" xfId="29204"/>
    <cellStyle name="Note 2 8 8 3" xfId="29205"/>
    <cellStyle name="Note 2 8 8 3 3" xfId="29206"/>
    <cellStyle name="Note 2 8 8 3 4" xfId="29207"/>
    <cellStyle name="Note 2 8 8 4" xfId="29208"/>
    <cellStyle name="Output 2 11 2 10 2 2" xfId="29209"/>
    <cellStyle name="Note 2 8 8 4 3" xfId="29210"/>
    <cellStyle name="Note 2 8 8 5" xfId="29211"/>
    <cellStyle name="Output 2 11 2 10 2 3" xfId="29212"/>
    <cellStyle name="Note 2 8 8 5 3" xfId="29213"/>
    <cellStyle name="Note 2 8 8 6" xfId="29214"/>
    <cellStyle name="Output 2 11 2 10 2 4" xfId="29215"/>
    <cellStyle name="Note 2 8 8 7" xfId="29216"/>
    <cellStyle name="Output 2 5 3 6 4 2" xfId="29217"/>
    <cellStyle name="Note 2 8 9" xfId="29218"/>
    <cellStyle name="Output 2 8 3 3 5 3" xfId="29219"/>
    <cellStyle name="Note 2 8 9 2" xfId="29220"/>
    <cellStyle name="Note 2 8 9 2 3" xfId="29221"/>
    <cellStyle name="Note 2 8 9 2 4" xfId="29222"/>
    <cellStyle name="Note 2 8 9 3" xfId="29223"/>
    <cellStyle name="Note 2 8 9 3 3" xfId="29224"/>
    <cellStyle name="Note 2 8 9 3 4" xfId="29225"/>
    <cellStyle name="Note 2 8 9 4" xfId="29226"/>
    <cellStyle name="Output 2 11 2 10 3 2" xfId="29227"/>
    <cellStyle name="Note 2 8 9 4 3" xfId="29228"/>
    <cellStyle name="Note 2 8 9 5" xfId="29229"/>
    <cellStyle name="Output 2 11 2 10 3 3" xfId="29230"/>
    <cellStyle name="Note 2 8 9 5 3" xfId="29231"/>
    <cellStyle name="Output 2 2 2 4 2 2 2" xfId="29232"/>
    <cellStyle name="Note 2 8 9 6" xfId="29233"/>
    <cellStyle name="Output 2 11 2 10 3 4" xfId="29234"/>
    <cellStyle name="Note 2 8 9 7" xfId="29235"/>
    <cellStyle name="Output 2 5 3 6 5 2" xfId="29236"/>
    <cellStyle name="Note 2 9 10 5 3" xfId="29237"/>
    <cellStyle name="Output 2 11 7 3 3" xfId="29238"/>
    <cellStyle name="Note 2 9 10 6" xfId="29239"/>
    <cellStyle name="Output 2 11 7 4" xfId="29240"/>
    <cellStyle name="Note 2 9 10 7" xfId="29241"/>
    <cellStyle name="Output 2 11 7 5" xfId="29242"/>
    <cellStyle name="Output 2 13 3 5 4" xfId="29243"/>
    <cellStyle name="Note 2 9 11" xfId="29244"/>
    <cellStyle name="Output 2 6 4 6" xfId="29245"/>
    <cellStyle name="Output 2 7 3 4 2" xfId="29246"/>
    <cellStyle name="Note 2 9 11 2" xfId="29247"/>
    <cellStyle name="Output 2 13 3 5 4 2" xfId="29248"/>
    <cellStyle name="Output 2 7 3 4 2 2" xfId="29249"/>
    <cellStyle name="Note 2 9 11 3" xfId="29250"/>
    <cellStyle name="Output 2 13 3 5 4 3" xfId="29251"/>
    <cellStyle name="Output 2 7 3 4 2 3" xfId="29252"/>
    <cellStyle name="Note 2 9 11 4" xfId="29253"/>
    <cellStyle name="Output 2 11 8 2" xfId="29254"/>
    <cellStyle name="Output 2 7 3 4 2 4" xfId="29255"/>
    <cellStyle name="Note 2 9 11 5" xfId="29256"/>
    <cellStyle name="Output 2 11 8 3" xfId="29257"/>
    <cellStyle name="Note 2 9 11 5 3" xfId="29258"/>
    <cellStyle name="Output 2 11 8 3 3" xfId="29259"/>
    <cellStyle name="Note 2 9 11 6" xfId="29260"/>
    <cellStyle name="Output 2 11 8 4" xfId="29261"/>
    <cellStyle name="Note 2 9 11 7" xfId="29262"/>
    <cellStyle name="Output 2 11 8 5" xfId="29263"/>
    <cellStyle name="Output 2 13 3 5 5" xfId="29264"/>
    <cellStyle name="Note 2 9 12" xfId="29265"/>
    <cellStyle name="Output 2 6 4 7" xfId="29266"/>
    <cellStyle name="Output 2 7 3 4 3" xfId="29267"/>
    <cellStyle name="Note 2 9 12 2" xfId="29268"/>
    <cellStyle name="Output 2 13 3 5 5 2" xfId="29269"/>
    <cellStyle name="Output 2 7 3 4 3 2" xfId="29270"/>
    <cellStyle name="Note 2 9 12 3" xfId="29271"/>
    <cellStyle name="Output 2 13 3 5 5 3" xfId="29272"/>
    <cellStyle name="Output 2 7 3 4 3 3" xfId="29273"/>
    <cellStyle name="Note 2 9 12 4" xfId="29274"/>
    <cellStyle name="Output 2 11 9 2" xfId="29275"/>
    <cellStyle name="Output 2 7 3 4 3 4" xfId="29276"/>
    <cellStyle name="Note 2 9 12 5" xfId="29277"/>
    <cellStyle name="Output 2 11 9 3" xfId="29278"/>
    <cellStyle name="Note 2 9 12 6" xfId="29279"/>
    <cellStyle name="Output 2 11 9 4" xfId="29280"/>
    <cellStyle name="Note 2 9 12 7" xfId="29281"/>
    <cellStyle name="Output 2 11 9 5" xfId="29282"/>
    <cellStyle name="Note 2 9 14" xfId="29283"/>
    <cellStyle name="Output 2 13 3 5 7" xfId="29284"/>
    <cellStyle name="Output 2 7 3 4 5" xfId="29285"/>
    <cellStyle name="Note 2 9 15" xfId="29286"/>
    <cellStyle name="Note 2 9 20" xfId="29287"/>
    <cellStyle name="Output 2 7 3 4 6" xfId="29288"/>
    <cellStyle name="Note 2 9 16" xfId="29289"/>
    <cellStyle name="Output 2 7 3 4 7" xfId="29290"/>
    <cellStyle name="Note 2 9 17" xfId="29291"/>
    <cellStyle name="Note 2 9 18" xfId="29292"/>
    <cellStyle name="Note 2 9 19" xfId="29293"/>
    <cellStyle name="Note 2 9 2 10" xfId="29294"/>
    <cellStyle name="Note 2 9 7 2 2" xfId="29295"/>
    <cellStyle name="Total 2 11 2 8 3 3" xfId="29296"/>
    <cellStyle name="Note 2 9 2 10 2" xfId="29297"/>
    <cellStyle name="Note 2 9 2 10 2 3" xfId="29298"/>
    <cellStyle name="Note 2 9 2 10 2 4" xfId="29299"/>
    <cellStyle name="Note 2 9 2 10 3" xfId="29300"/>
    <cellStyle name="Note 2 9 2 10 3 3" xfId="29301"/>
    <cellStyle name="Note 2 9 2 10 3 4" xfId="29302"/>
    <cellStyle name="Note 2 9 2 11" xfId="29303"/>
    <cellStyle name="Note 2 9 7 2 3" xfId="29304"/>
    <cellStyle name="Total 2 11 2 8 3 4" xfId="29305"/>
    <cellStyle name="Note 2 9 2 11 2" xfId="29306"/>
    <cellStyle name="Note 2 9 2 11 3" xfId="29307"/>
    <cellStyle name="Note 2 9 2 12" xfId="29308"/>
    <cellStyle name="Note 2 9 7 2 4" xfId="29309"/>
    <cellStyle name="Note 2 9 2 12 2" xfId="29310"/>
    <cellStyle name="Note 2 9 2 12 3" xfId="29311"/>
    <cellStyle name="Note 2 9 2 13" xfId="29312"/>
    <cellStyle name="Note 2 9 2 13 2" xfId="29313"/>
    <cellStyle name="Note 2 9 2 13 3" xfId="29314"/>
    <cellStyle name="Note 2 9 2 14" xfId="29315"/>
    <cellStyle name="Note 2 9 2 14 2" xfId="29316"/>
    <cellStyle name="Note 2 9 2 14 3" xfId="29317"/>
    <cellStyle name="Note 2 9 2 15" xfId="29318"/>
    <cellStyle name="Note 2 9 2 3 2 2" xfId="29319"/>
    <cellStyle name="Note 2 9 2 3 2 3" xfId="29320"/>
    <cellStyle name="Note 2 9 2 3 3 2" xfId="29321"/>
    <cellStyle name="Note 2 9 2 3 4" xfId="29322"/>
    <cellStyle name="Output 2 6 11 3 4" xfId="29323"/>
    <cellStyle name="Note 2 9 2 3 4 2" xfId="29324"/>
    <cellStyle name="Note 2 9 2 3 5 2" xfId="29325"/>
    <cellStyle name="Note 2 9 2 4 5 2" xfId="29326"/>
    <cellStyle name="Note 2 9 2 5 5 2" xfId="29327"/>
    <cellStyle name="Note 2 9 2 5 7" xfId="29328"/>
    <cellStyle name="Note 2 9 2 6" xfId="29329"/>
    <cellStyle name="Output 2 6 11 6" xfId="29330"/>
    <cellStyle name="Note 2 9 2 6 5 2" xfId="29331"/>
    <cellStyle name="Note 2 9 2 6 5 3" xfId="29332"/>
    <cellStyle name="Note 2 9 2 6 7" xfId="29333"/>
    <cellStyle name="Note 2 9 2 7" xfId="29334"/>
    <cellStyle name="Output 2 6 11 7" xfId="29335"/>
    <cellStyle name="Note 2 9 2 8" xfId="29336"/>
    <cellStyle name="Note 2 9 2 8 5" xfId="29337"/>
    <cellStyle name="Output 2 8 3 3 3 4" xfId="29338"/>
    <cellStyle name="Note 2 9 2 8 5 2" xfId="29339"/>
    <cellStyle name="Note 2 9 2 8 5 3" xfId="29340"/>
    <cellStyle name="Note 2 9 2 8 6" xfId="29341"/>
    <cellStyle name="Note 2 9 2 8 7" xfId="29342"/>
    <cellStyle name="Note 2 9 2 9" xfId="29343"/>
    <cellStyle name="Note 2 9 2 9 5" xfId="29344"/>
    <cellStyle name="Note 2 9 2 9 5 2" xfId="29345"/>
    <cellStyle name="Note 2 9 2 9 5 3" xfId="29346"/>
    <cellStyle name="Note 2 9 2 9 6" xfId="29347"/>
    <cellStyle name="Output 2 16 4 2 2" xfId="29348"/>
    <cellStyle name="Note 2 9 2 9 7" xfId="29349"/>
    <cellStyle name="Output 2 16 4 2 3" xfId="29350"/>
    <cellStyle name="Note 2 9 3 10" xfId="29351"/>
    <cellStyle name="Note 2 9 3 10 2" xfId="29352"/>
    <cellStyle name="Note 2 9 3 10 2 3" xfId="29353"/>
    <cellStyle name="Note 2 9 3 10 2 4" xfId="29354"/>
    <cellStyle name="Note 2 9 3 10 3" xfId="29355"/>
    <cellStyle name="Note 2 9 3 10 3 3" xfId="29356"/>
    <cellStyle name="Note 2 9 3 10 3 4" xfId="29357"/>
    <cellStyle name="Note 2 9 3 11" xfId="29358"/>
    <cellStyle name="Output 2 14 3 9 4 2" xfId="29359"/>
    <cellStyle name="Output 2 8 3 8 2 2" xfId="29360"/>
    <cellStyle name="Note 2 9 3 11 2" xfId="29361"/>
    <cellStyle name="Note 2 9 3 11 3" xfId="29362"/>
    <cellStyle name="Note 2 9 3 12" xfId="29363"/>
    <cellStyle name="Output 2 14 3 9 4 3" xfId="29364"/>
    <cellStyle name="Output 2 8 3 8 2 3" xfId="29365"/>
    <cellStyle name="Note 2 9 3 13" xfId="29366"/>
    <cellStyle name="Output 2 8 3 8 2 4" xfId="29367"/>
    <cellStyle name="Note 2 9 3 13 2" xfId="29368"/>
    <cellStyle name="Note 2 9 3 13 3" xfId="29369"/>
    <cellStyle name="Note 2 9 3 14" xfId="29370"/>
    <cellStyle name="Note 2 9 3 14 2" xfId="29371"/>
    <cellStyle name="Note 2 9 3 14 3" xfId="29372"/>
    <cellStyle name="Note 2 9 3 15" xfId="29373"/>
    <cellStyle name="Note 2 9 3 6" xfId="29374"/>
    <cellStyle name="Output 2 6 12 6" xfId="29375"/>
    <cellStyle name="Note 2 9 3 7" xfId="29376"/>
    <cellStyle name="Output 2 6 12 7" xfId="29377"/>
    <cellStyle name="Note 2 9 3 8" xfId="29378"/>
    <cellStyle name="Note 2 9 3 8 2 4" xfId="29379"/>
    <cellStyle name="Note 2 9 3 8 4 2" xfId="29380"/>
    <cellStyle name="Note 2 9 3 8 5 2" xfId="29381"/>
    <cellStyle name="Note 2 9 3 8 7" xfId="29382"/>
    <cellStyle name="Total 2 14 3 7 2 2" xfId="29383"/>
    <cellStyle name="Note 2 9 3 9" xfId="29384"/>
    <cellStyle name="Note 2 9 3 9 3 4" xfId="29385"/>
    <cellStyle name="Note 2 9 3 9 4 2" xfId="29386"/>
    <cellStyle name="Note 2 9 3 9 4 3" xfId="29387"/>
    <cellStyle name="Total 2 12 16" xfId="29388"/>
    <cellStyle name="Note 2 9 3 9 5 2" xfId="29389"/>
    <cellStyle name="Total 2 12 17" xfId="29390"/>
    <cellStyle name="Note 2 9 3 9 5 3" xfId="29391"/>
    <cellStyle name="Note 2 9 3 9 7" xfId="29392"/>
    <cellStyle name="Output 2 16 5 2 3" xfId="29393"/>
    <cellStyle name="Note 2 9 4 2" xfId="29394"/>
    <cellStyle name="Output 2 6 13 2" xfId="29395"/>
    <cellStyle name="Note 2 9 4 2 3" xfId="29396"/>
    <cellStyle name="Output 2 14 3 9 6" xfId="29397"/>
    <cellStyle name="Output 2 8 3 8 4" xfId="29398"/>
    <cellStyle name="Total 2 11 2 5 3 4" xfId="29399"/>
    <cellStyle name="Note 2 9 4 2 4" xfId="29400"/>
    <cellStyle name="Output 2 14 3 9 7" xfId="29401"/>
    <cellStyle name="Output 2 8 3 8 5" xfId="29402"/>
    <cellStyle name="Note 2 9 4 3" xfId="29403"/>
    <cellStyle name="Output 2 6 13 3" xfId="29404"/>
    <cellStyle name="Note 2 9 4 3 3" xfId="29405"/>
    <cellStyle name="Output 2 8 3 9 4" xfId="29406"/>
    <cellStyle name="Note 2 9 4 3 4" xfId="29407"/>
    <cellStyle name="Output 2 8 3 9 5" xfId="29408"/>
    <cellStyle name="Note 2 9 4 4" xfId="29409"/>
    <cellStyle name="Output 2 6 13 4" xfId="29410"/>
    <cellStyle name="Note 2 9 4 4 2" xfId="29411"/>
    <cellStyle name="Total 2 11 2 5 5 3" xfId="29412"/>
    <cellStyle name="Note 2 9 4 4 3" xfId="29413"/>
    <cellStyle name="Note 2 9 4 5" xfId="29414"/>
    <cellStyle name="Note 2 9 4 5 2" xfId="29415"/>
    <cellStyle name="Note 2 9 4 5 3" xfId="29416"/>
    <cellStyle name="Output 2 14 3 6 2 2" xfId="29417"/>
    <cellStyle name="Note 2 9 4 6" xfId="29418"/>
    <cellStyle name="Note 2 9 4 7" xfId="29419"/>
    <cellStyle name="Output 2 11 3 8 2 2" xfId="29420"/>
    <cellStyle name="Note 2 9 5 2" xfId="29421"/>
    <cellStyle name="Output 2 6 14 2" xfId="29422"/>
    <cellStyle name="Note 2 9 5 2 2" xfId="29423"/>
    <cellStyle name="Total 2 11 2 6 3 3" xfId="29424"/>
    <cellStyle name="Note 2 9 5 2 3" xfId="29425"/>
    <cellStyle name="Total 2 11 2 6 3 4" xfId="29426"/>
    <cellStyle name="Note 2 9 5 2 4" xfId="29427"/>
    <cellStyle name="Note 2 9 5 3" xfId="29428"/>
    <cellStyle name="Output 2 6 14 3" xfId="29429"/>
    <cellStyle name="Note 2 9 5 3 2" xfId="29430"/>
    <cellStyle name="Total 2 11 2 6 4 3" xfId="29431"/>
    <cellStyle name="Note 2 9 5 3 3" xfId="29432"/>
    <cellStyle name="Note 2 9 5 3 4" xfId="29433"/>
    <cellStyle name="Note 2 9 5 4" xfId="29434"/>
    <cellStyle name="Output 2 6 14 4" xfId="29435"/>
    <cellStyle name="Note 2 9 5 4 2" xfId="29436"/>
    <cellStyle name="Total 2 11 2 6 5 3" xfId="29437"/>
    <cellStyle name="Note 2 9 5 4 3" xfId="29438"/>
    <cellStyle name="Note 2 9 5 5" xfId="29439"/>
    <cellStyle name="Note 2 9 5 5 2" xfId="29440"/>
    <cellStyle name="Note 2 9 5 5 3" xfId="29441"/>
    <cellStyle name="Output 2 14 3 7 2 2" xfId="29442"/>
    <cellStyle name="Note 2 9 5 6" xfId="29443"/>
    <cellStyle name="Note 2 9 5 7" xfId="29444"/>
    <cellStyle name="Output 2 11 3 8 3 2" xfId="29445"/>
    <cellStyle name="Note 2 9 6" xfId="29446"/>
    <cellStyle name="Output 2 6 15" xfId="29447"/>
    <cellStyle name="Output 2 6 20" xfId="29448"/>
    <cellStyle name="Total 2 4 2 10 2" xfId="29449"/>
    <cellStyle name="Note 2 9 6 2 2" xfId="29450"/>
    <cellStyle name="Total 2 11 2 7 3 3" xfId="29451"/>
    <cellStyle name="Total 2 4 2 10 3" xfId="29452"/>
    <cellStyle name="Note 2 9 6 2 3" xfId="29453"/>
    <cellStyle name="Total 2 11 2 7 3 4" xfId="29454"/>
    <cellStyle name="Total 2 4 2 10 4" xfId="29455"/>
    <cellStyle name="Note 2 9 6 2 4" xfId="29456"/>
    <cellStyle name="Total 2 4 2 11 2" xfId="29457"/>
    <cellStyle name="Note 2 9 6 3 2" xfId="29458"/>
    <cellStyle name="Total 2 11 2 7 4 3" xfId="29459"/>
    <cellStyle name="Total 2 4 2 11 3" xfId="29460"/>
    <cellStyle name="Note 2 9 6 3 3" xfId="29461"/>
    <cellStyle name="Total 2 4 2 11 4" xfId="29462"/>
    <cellStyle name="Note 2 9 6 3 4" xfId="29463"/>
    <cellStyle name="Total 2 4 2 12" xfId="29464"/>
    <cellStyle name="Note 2 9 6 4" xfId="29465"/>
    <cellStyle name="Total 2 4 2 12 2" xfId="29466"/>
    <cellStyle name="Note 2 9 6 4 2" xfId="29467"/>
    <cellStyle name="Total 2 11 2 7 5 3" xfId="29468"/>
    <cellStyle name="Total 2 4 2 12 3" xfId="29469"/>
    <cellStyle name="Note 2 9 6 4 3" xfId="29470"/>
    <cellStyle name="Total 2 4 2 13" xfId="29471"/>
    <cellStyle name="Note 2 9 6 5" xfId="29472"/>
    <cellStyle name="Total 2 4 2 13 2" xfId="29473"/>
    <cellStyle name="Note 2 9 6 5 2" xfId="29474"/>
    <cellStyle name="Output 2 10 2 8" xfId="29475"/>
    <cellStyle name="Total 2 4 2 13 3" xfId="29476"/>
    <cellStyle name="Note 2 9 6 5 3" xfId="29477"/>
    <cellStyle name="Output 2 10 2 9" xfId="29478"/>
    <cellStyle name="Output 2 14 3 8 2 2" xfId="29479"/>
    <cellStyle name="Total 2 4 2 14" xfId="29480"/>
    <cellStyle name="Note 2 9 6 6" xfId="29481"/>
    <cellStyle name="Total 2 4 2 15" xfId="29482"/>
    <cellStyle name="Note 2 9 6 7" xfId="29483"/>
    <cellStyle name="Output 2 11 3 8 4 2" xfId="29484"/>
    <cellStyle name="Output 2 5 3 7 2 2" xfId="29485"/>
    <cellStyle name="Note 2 9 7" xfId="29486"/>
    <cellStyle name="Output 2 6 16" xfId="29487"/>
    <cellStyle name="Note 2 9 7 3" xfId="29488"/>
    <cellStyle name="Output 2 6 16 3" xfId="29489"/>
    <cellStyle name="Note 2 9 7 3 2" xfId="29490"/>
    <cellStyle name="Total 2 11 2 8 4 3" xfId="29491"/>
    <cellStyle name="Note 2 9 7 3 3" xfId="29492"/>
    <cellStyle name="Note 2 9 7 3 4" xfId="29493"/>
    <cellStyle name="Note 2 9 7 4" xfId="29494"/>
    <cellStyle name="Note 2 9 7 4 2" xfId="29495"/>
    <cellStyle name="Total 2 11 2 8 5 3" xfId="29496"/>
    <cellStyle name="Note 2 9 7 4 3" xfId="29497"/>
    <cellStyle name="Note 2 9 7 5" xfId="29498"/>
    <cellStyle name="Note 2 9 7 5 2" xfId="29499"/>
    <cellStyle name="Output 2 11 2 8" xfId="29500"/>
    <cellStyle name="Note 2 9 7 5 3" xfId="29501"/>
    <cellStyle name="Output 2 11 2 9" xfId="29502"/>
    <cellStyle name="Output 2 14 3 9 2 2" xfId="29503"/>
    <cellStyle name="Note 2 9 7 6" xfId="29504"/>
    <cellStyle name="Note 2 9 7 7" xfId="29505"/>
    <cellStyle name="Output 2 11 3 8 5 2" xfId="29506"/>
    <cellStyle name="Output 2 5 3 7 3 2" xfId="29507"/>
    <cellStyle name="Note 2 9 8" xfId="29508"/>
    <cellStyle name="Output 2 6 17" xfId="29509"/>
    <cellStyle name="Note 2 9 8 2" xfId="29510"/>
    <cellStyle name="Output 2 6 17 2" xfId="29511"/>
    <cellStyle name="Note 2 9 8 2 3" xfId="29512"/>
    <cellStyle name="Output 2 14 2 10 3 4" xfId="29513"/>
    <cellStyle name="Total 2 11 2 9 3 4" xfId="29514"/>
    <cellStyle name="Note 2 9 8 2 4" xfId="29515"/>
    <cellStyle name="Note 2 9 8 3" xfId="29516"/>
    <cellStyle name="Note 2 9 8 3 3" xfId="29517"/>
    <cellStyle name="Note 2 9 8 3 4" xfId="29518"/>
    <cellStyle name="Note 2 9 8 4" xfId="29519"/>
    <cellStyle name="Note 2 9 8 4 3" xfId="29520"/>
    <cellStyle name="Note 2 9 8 5" xfId="29521"/>
    <cellStyle name="Note 2 9 8 5 3" xfId="29522"/>
    <cellStyle name="Output 2 12 2 9" xfId="29523"/>
    <cellStyle name="Note 2 9 8 6" xfId="29524"/>
    <cellStyle name="Note 2 9 8 7" xfId="29525"/>
    <cellStyle name="Output 2 5 3 7 4 2" xfId="29526"/>
    <cellStyle name="Note 2 9 9" xfId="29527"/>
    <cellStyle name="Output 2 6 18" xfId="29528"/>
    <cellStyle name="Note 2 9 9 2" xfId="29529"/>
    <cellStyle name="Note 2 9 9 2 3" xfId="29530"/>
    <cellStyle name="Output 2 9 10 2 4" xfId="29531"/>
    <cellStyle name="Note 2 9 9 2 4" xfId="29532"/>
    <cellStyle name="Note 2 9 9 3" xfId="29533"/>
    <cellStyle name="Note 2 9 9 3 3" xfId="29534"/>
    <cellStyle name="Output 2 9 10 3 4" xfId="29535"/>
    <cellStyle name="Note 2 9 9 3 4" xfId="29536"/>
    <cellStyle name="Note 2 9 9 4" xfId="29537"/>
    <cellStyle name="Note 2 9 9 4 3" xfId="29538"/>
    <cellStyle name="Note 2 9 9 5" xfId="29539"/>
    <cellStyle name="Note 2 9 9 5 3" xfId="29540"/>
    <cellStyle name="Output 2 13 2 9" xfId="29541"/>
    <cellStyle name="Note 2 9 9 6" xfId="29542"/>
    <cellStyle name="Note 2 9 9 7" xfId="29543"/>
    <cellStyle name="Output 2 5 3 7 5 2" xfId="29544"/>
    <cellStyle name="Note 3" xfId="29545"/>
    <cellStyle name="Note 3 2" xfId="29546"/>
    <cellStyle name="Note 4" xfId="29547"/>
    <cellStyle name="Note 4 2" xfId="29548"/>
    <cellStyle name="Note 5" xfId="29549"/>
    <cellStyle name="Note 5 2" xfId="29550"/>
    <cellStyle name="One decimal" xfId="29551"/>
    <cellStyle name="One decimal 2" xfId="29552"/>
    <cellStyle name="Output 2 10" xfId="29553"/>
    <cellStyle name="Output 2 10 10" xfId="29554"/>
    <cellStyle name="Output 2 10 10 2" xfId="29555"/>
    <cellStyle name="Total 2 10 3 10" xfId="29556"/>
    <cellStyle name="Output 2 10 10 2 2" xfId="29557"/>
    <cellStyle name="Total 2 10 3 10 2" xfId="29558"/>
    <cellStyle name="Output 2 10 10 3" xfId="29559"/>
    <cellStyle name="Total 2 10 3 11" xfId="29560"/>
    <cellStyle name="Output 2 10 10 3 2" xfId="29561"/>
    <cellStyle name="Total 2 10 3 11 2" xfId="29562"/>
    <cellStyle name="Output 2 10 10 4 2" xfId="29563"/>
    <cellStyle name="Total 2 10 3 12 2" xfId="29564"/>
    <cellStyle name="Output 2 10 10 5 2" xfId="29565"/>
    <cellStyle name="Output 2 2 5 2 4" xfId="29566"/>
    <cellStyle name="Total 2 10 3 13 2" xfId="29567"/>
    <cellStyle name="Output 2 10 11" xfId="29568"/>
    <cellStyle name="Output 2 15 3 4 2" xfId="29569"/>
    <cellStyle name="Output 2 10 11 2" xfId="29570"/>
    <cellStyle name="Output 2 10 11 2 2" xfId="29571"/>
    <cellStyle name="Output 2 10 11 3" xfId="29572"/>
    <cellStyle name="Output 2 10 11 3 2" xfId="29573"/>
    <cellStyle name="Title 2 2 2 3" xfId="29574"/>
    <cellStyle name="Output 2 10 11 4 2" xfId="29575"/>
    <cellStyle name="Output 2 10 11 5 2" xfId="29576"/>
    <cellStyle name="Output 2 2 6 2 4" xfId="29577"/>
    <cellStyle name="Output 2 10 11 6" xfId="29578"/>
    <cellStyle name="Output 2 10 11 7" xfId="29579"/>
    <cellStyle name="Output 2 10 12" xfId="29580"/>
    <cellStyle name="Output 2 15 3 4 3" xfId="29581"/>
    <cellStyle name="Output 2 10 12 2" xfId="29582"/>
    <cellStyle name="Output 2 10 12 2 2" xfId="29583"/>
    <cellStyle name="Output 2 10 12 2 3" xfId="29584"/>
    <cellStyle name="Output 2 10 12 2 4" xfId="29585"/>
    <cellStyle name="Output 2 10 12 3" xfId="29586"/>
    <cellStyle name="Output 2 10 12 3 2" xfId="29587"/>
    <cellStyle name="Output 2 10 12 3 3" xfId="29588"/>
    <cellStyle name="Output 2 10 12 3 4" xfId="29589"/>
    <cellStyle name="Output 2 10 12 4 2" xfId="29590"/>
    <cellStyle name="Output 2 10 12 4 3" xfId="29591"/>
    <cellStyle name="Output 2 10 12 5 2" xfId="29592"/>
    <cellStyle name="Output 2 2 7 2 4" xfId="29593"/>
    <cellStyle name="Output 2 10 12 6" xfId="29594"/>
    <cellStyle name="Output 2 10 12 7" xfId="29595"/>
    <cellStyle name="Output 2 10 13" xfId="29596"/>
    <cellStyle name="Output 2 9 3 3 2" xfId="29597"/>
    <cellStyle name="Output 2 10 14" xfId="29598"/>
    <cellStyle name="Output 2 9 3 3 3" xfId="29599"/>
    <cellStyle name="Output 2 10 15" xfId="29600"/>
    <cellStyle name="Output 2 10 20" xfId="29601"/>
    <cellStyle name="Output 2 9 3 3 4" xfId="29602"/>
    <cellStyle name="Output 2 10 16" xfId="29603"/>
    <cellStyle name="Output 2 9 3 3 5" xfId="29604"/>
    <cellStyle name="Output 2 10 17" xfId="29605"/>
    <cellStyle name="Output 2 9 3 3 6" xfId="29606"/>
    <cellStyle name="Output 2 10 18" xfId="29607"/>
    <cellStyle name="Output 2 13 2 10 5 2" xfId="29608"/>
    <cellStyle name="Output 2 9 3 3 7" xfId="29609"/>
    <cellStyle name="Output 2 10 19" xfId="29610"/>
    <cellStyle name="Output 2 13 2 10 5 3" xfId="29611"/>
    <cellStyle name="Output 2 10 2" xfId="29612"/>
    <cellStyle name="Output 2 10 2 10 2" xfId="29613"/>
    <cellStyle name="Output 2 10 2 10 2 3" xfId="29614"/>
    <cellStyle name="Output 2 4 9" xfId="29615"/>
    <cellStyle name="Output 2 10 2 10 2 4" xfId="29616"/>
    <cellStyle name="Output 2 10 2 10 3 2" xfId="29617"/>
    <cellStyle name="Output 2 5 8" xfId="29618"/>
    <cellStyle name="Output 2 10 2 10 3 3" xfId="29619"/>
    <cellStyle name="Output 2 5 9" xfId="29620"/>
    <cellStyle name="Output 2 10 2 10 3 4" xfId="29621"/>
    <cellStyle name="Output 2 10 2 10 4 2" xfId="29622"/>
    <cellStyle name="Output 2 6 8" xfId="29623"/>
    <cellStyle name="Output 2 10 2 10 4 3" xfId="29624"/>
    <cellStyle name="Output 2 6 9" xfId="29625"/>
    <cellStyle name="Output 2 10 2 10 5" xfId="29626"/>
    <cellStyle name="Output 2 10 2 10 5 2" xfId="29627"/>
    <cellStyle name="Output 2 7 8" xfId="29628"/>
    <cellStyle name="Output 2 10 2 10 5 3" xfId="29629"/>
    <cellStyle name="Output 2 7 9" xfId="29630"/>
    <cellStyle name="Output 2 10 2 10 6" xfId="29631"/>
    <cellStyle name="Output 2 10 2 10 7" xfId="29632"/>
    <cellStyle name="Output 2 10 2 11 2" xfId="29633"/>
    <cellStyle name="Output 2 16 7 2 3" xfId="29634"/>
    <cellStyle name="Output 2 10 2 11 3" xfId="29635"/>
    <cellStyle name="Output 2 16 7 2 4" xfId="29636"/>
    <cellStyle name="Output 2 10 2 12 2" xfId="29637"/>
    <cellStyle name="Output 2 16 7 3 3" xfId="29638"/>
    <cellStyle name="Output 2 10 2 13" xfId="29639"/>
    <cellStyle name="Output 2 10 2 13 2" xfId="29640"/>
    <cellStyle name="Output 2 16 7 4 3" xfId="29641"/>
    <cellStyle name="Output 2 10 2 14" xfId="29642"/>
    <cellStyle name="Output 2 10 2 14 2" xfId="29643"/>
    <cellStyle name="Output 2 16 7 5 3" xfId="29644"/>
    <cellStyle name="Output 2 10 2 15" xfId="29645"/>
    <cellStyle name="Output 2 10 2 16" xfId="29646"/>
    <cellStyle name="Output 2 10 2 17" xfId="29647"/>
    <cellStyle name="Output 2 10 2 2" xfId="29648"/>
    <cellStyle name="Output 2 10 2 2 2" xfId="29649"/>
    <cellStyle name="Output 2 10 2 2 2 2" xfId="29650"/>
    <cellStyle name="Output 2 10 2 2 2 3" xfId="29651"/>
    <cellStyle name="Output 2 10 2 2 3" xfId="29652"/>
    <cellStyle name="Output 2 10 2 2 3 2" xfId="29653"/>
    <cellStyle name="Output 2 10 2 2 3 3" xfId="29654"/>
    <cellStyle name="Output 2 10 2 2 4" xfId="29655"/>
    <cellStyle name="Output 2 10 2 2 4 2" xfId="29656"/>
    <cellStyle name="Output 2 10 2 2 4 3" xfId="29657"/>
    <cellStyle name="Output 2 10 2 2 5" xfId="29658"/>
    <cellStyle name="Output 2 10 2 2 5 2" xfId="29659"/>
    <cellStyle name="Output 2 10 2 2 5 3" xfId="29660"/>
    <cellStyle name="Output 2 10 2 2 6" xfId="29661"/>
    <cellStyle name="Output 2 10 2 2 7" xfId="29662"/>
    <cellStyle name="Output 2 10 2 3 2" xfId="29663"/>
    <cellStyle name="Output 2 10 2 3 2 2" xfId="29664"/>
    <cellStyle name="Output 2 10 2 3 2 3" xfId="29665"/>
    <cellStyle name="Output 2 10 2 3 3" xfId="29666"/>
    <cellStyle name="Output 2 10 2 3 4" xfId="29667"/>
    <cellStyle name="Output 2 4 2 2 2" xfId="29668"/>
    <cellStyle name="Output 2 10 2 3 5" xfId="29669"/>
    <cellStyle name="Output 2 4 2 2 3" xfId="29670"/>
    <cellStyle name="Output 2 10 2 3 5 2" xfId="29671"/>
    <cellStyle name="Output 2 4 2 2 3 2" xfId="29672"/>
    <cellStyle name="Output 2 10 2 3 5 3" xfId="29673"/>
    <cellStyle name="Output 2 4 2 2 3 3" xfId="29674"/>
    <cellStyle name="Output 2 10 2 3 6" xfId="29675"/>
    <cellStyle name="Output 2 4 2 2 4" xfId="29676"/>
    <cellStyle name="Output 2 10 2 3 7" xfId="29677"/>
    <cellStyle name="Output 2 4 2 2 5" xfId="29678"/>
    <cellStyle name="Output 2 10 2 4 2" xfId="29679"/>
    <cellStyle name="Output 2 10 2 4 2 2" xfId="29680"/>
    <cellStyle name="Output 2 10 2 4 2 3" xfId="29681"/>
    <cellStyle name="Output 2 10 2 4 3" xfId="29682"/>
    <cellStyle name="Output 2 10 2 4 3 2" xfId="29683"/>
    <cellStyle name="Output 2 10 2 4 3 3" xfId="29684"/>
    <cellStyle name="Output 2 10 2 4 4" xfId="29685"/>
    <cellStyle name="Output 2 4 2 3 2" xfId="29686"/>
    <cellStyle name="Output 2 10 2 4 4 2" xfId="29687"/>
    <cellStyle name="Output 2 4 2 3 2 2" xfId="29688"/>
    <cellStyle name="Output 2 10 2 4 5" xfId="29689"/>
    <cellStyle name="Output 2 4 2 3 3" xfId="29690"/>
    <cellStyle name="Output 2 10 2 4 5 3" xfId="29691"/>
    <cellStyle name="Output 2 4 2 3 3 3" xfId="29692"/>
    <cellStyle name="Output 2 10 2 4 6" xfId="29693"/>
    <cellStyle name="Output 2 4 2 3 4" xfId="29694"/>
    <cellStyle name="Output 2 10 2 5 2" xfId="29695"/>
    <cellStyle name="Output 2 10 2 5 2 2" xfId="29696"/>
    <cellStyle name="Output 2 10 2 5 2 3" xfId="29697"/>
    <cellStyle name="Output 2 10 2 5 3" xfId="29698"/>
    <cellStyle name="Output 2 10 2 5 3 2" xfId="29699"/>
    <cellStyle name="Output 2 10 2 5 3 3" xfId="29700"/>
    <cellStyle name="Output 2 10 2 5 4" xfId="29701"/>
    <cellStyle name="Output 2 4 2 4 2" xfId="29702"/>
    <cellStyle name="Output 2 10 2 5 4 2" xfId="29703"/>
    <cellStyle name="Output 2 4 2 4 2 2" xfId="29704"/>
    <cellStyle name="Output 2 10 2 5 4 3" xfId="29705"/>
    <cellStyle name="Output 2 4 2 4 2 3" xfId="29706"/>
    <cellStyle name="Output 2 10 2 5 5" xfId="29707"/>
    <cellStyle name="Output 2 4 2 4 3" xfId="29708"/>
    <cellStyle name="Output 2 10 2 5 5 2" xfId="29709"/>
    <cellStyle name="Output 2 4 2 4 3 2" xfId="29710"/>
    <cellStyle name="Output 2 10 2 5 5 3" xfId="29711"/>
    <cellStyle name="Output 2 4 2 4 3 3" xfId="29712"/>
    <cellStyle name="Output 2 10 2 5 6" xfId="29713"/>
    <cellStyle name="Output 2 4 2 4 4" xfId="29714"/>
    <cellStyle name="Output 2 10 2 6" xfId="29715"/>
    <cellStyle name="Output 2 2 2 7 3 3" xfId="29716"/>
    <cellStyle name="Output 2 10 2 6 2" xfId="29717"/>
    <cellStyle name="Output 2 10 2 6 2 2" xfId="29718"/>
    <cellStyle name="Output 2 10 2 6 3" xfId="29719"/>
    <cellStyle name="Output 2 10 2 6 3 2" xfId="29720"/>
    <cellStyle name="Output 2 10 2 6 4" xfId="29721"/>
    <cellStyle name="Output 2 4 2 5 2" xfId="29722"/>
    <cellStyle name="Output 2 10 2 6 4 2" xfId="29723"/>
    <cellStyle name="Output 2 4 2 5 2 2" xfId="29724"/>
    <cellStyle name="Output 2 10 2 6 5" xfId="29725"/>
    <cellStyle name="Output 2 4 2 5 3" xfId="29726"/>
    <cellStyle name="Output 2 10 2 6 5 2" xfId="29727"/>
    <cellStyle name="Output 2 4 2 5 3 2" xfId="29728"/>
    <cellStyle name="Output 2 10 2 6 5 3" xfId="29729"/>
    <cellStyle name="Output 2 4 2 5 3 3" xfId="29730"/>
    <cellStyle name="Output 2 10 2 6 6" xfId="29731"/>
    <cellStyle name="Output 2 4 2 5 4" xfId="29732"/>
    <cellStyle name="Output 2 10 2 7" xfId="29733"/>
    <cellStyle name="Output 2 2 2 7 3 4" xfId="29734"/>
    <cellStyle name="Output 2 10 2 7 2 2" xfId="29735"/>
    <cellStyle name="Output 2 10 2 7 3 2" xfId="29736"/>
    <cellStyle name="Output 2 10 2 7 4 2" xfId="29737"/>
    <cellStyle name="Output 2 4 2 6 2 2" xfId="29738"/>
    <cellStyle name="Output 2 10 2 7 4 3" xfId="29739"/>
    <cellStyle name="Output 2 4 2 6 2 3" xfId="29740"/>
    <cellStyle name="Output 2 10 2 7 5 2" xfId="29741"/>
    <cellStyle name="Output 2 4 2 6 3 2" xfId="29742"/>
    <cellStyle name="Output 2 10 2 7 5 3" xfId="29743"/>
    <cellStyle name="Output 2 4 2 6 3 3" xfId="29744"/>
    <cellStyle name="Output 2 10 2 7 6" xfId="29745"/>
    <cellStyle name="Output 2 4 2 6 4" xfId="29746"/>
    <cellStyle name="Output 2 10 2 8 2 2" xfId="29747"/>
    <cellStyle name="Output 2 10 2 8 4 2" xfId="29748"/>
    <cellStyle name="Output 2 4 2 7 2 2" xfId="29749"/>
    <cellStyle name="Output 2 10 2 8 4 3" xfId="29750"/>
    <cellStyle name="Output 2 4 2 7 2 3" xfId="29751"/>
    <cellStyle name="Output 2 10 2 8 5 2" xfId="29752"/>
    <cellStyle name="Output 2 4 2 7 3 2" xfId="29753"/>
    <cellStyle name="Output 2 10 2 8 5 3" xfId="29754"/>
    <cellStyle name="Output 2 4 2 7 3 3" xfId="29755"/>
    <cellStyle name="Output 2 10 2 8 6" xfId="29756"/>
    <cellStyle name="Output 2 4 2 7 4" xfId="29757"/>
    <cellStyle name="Output 2 10 2 9 2" xfId="29758"/>
    <cellStyle name="Output 2 10 2 9 2 2" xfId="29759"/>
    <cellStyle name="Output 2 10 2 9 2 3" xfId="29760"/>
    <cellStyle name="Output 2 10 2 9 3 2" xfId="29761"/>
    <cellStyle name="Output 2 10 2 9 4 2" xfId="29762"/>
    <cellStyle name="Output 2 4 2 8 2 2" xfId="29763"/>
    <cellStyle name="Output 2 10 3" xfId="29764"/>
    <cellStyle name="Output 2 10 3 10" xfId="29765"/>
    <cellStyle name="Output 2 10 3 10 2" xfId="29766"/>
    <cellStyle name="Output 2 2 2 7 4" xfId="29767"/>
    <cellStyle name="Output 2 10 3 10 2 3" xfId="29768"/>
    <cellStyle name="Output 2 10 3 6" xfId="29769"/>
    <cellStyle name="Output 2 2 2 7 4 3" xfId="29770"/>
    <cellStyle name="Output 2 10 3 10 2 4" xfId="29771"/>
    <cellStyle name="Output 2 10 3 7" xfId="29772"/>
    <cellStyle name="Output 2 10 3 10 3 2" xfId="29773"/>
    <cellStyle name="Output 2 2 2 7 5 2" xfId="29774"/>
    <cellStyle name="Output 2 10 4 5" xfId="29775"/>
    <cellStyle name="Output 2 6 3 2 7" xfId="29776"/>
    <cellStyle name="Output 2 10 3 10 3 3" xfId="29777"/>
    <cellStyle name="Output 2 10 4 6" xfId="29778"/>
    <cellStyle name="Output 2 2 2 7 5 3" xfId="29779"/>
    <cellStyle name="Output 2 10 3 10 3 4" xfId="29780"/>
    <cellStyle name="Output 2 10 4 7" xfId="29781"/>
    <cellStyle name="Output 2 10 3 10 4 2" xfId="29782"/>
    <cellStyle name="Output 2 2 2 7 6 2" xfId="29783"/>
    <cellStyle name="Output 2 10 5 5" xfId="29784"/>
    <cellStyle name="Output 2 6 3 3 7" xfId="29785"/>
    <cellStyle name="Output 2 10 3 10 4 3" xfId="29786"/>
    <cellStyle name="Output 2 10 5 6" xfId="29787"/>
    <cellStyle name="Output 2 10 3 10 5 2" xfId="29788"/>
    <cellStyle name="Output 2 10 6 5" xfId="29789"/>
    <cellStyle name="Output 2 6 3 4 7" xfId="29790"/>
    <cellStyle name="Output 2 10 3 10 5 3" xfId="29791"/>
    <cellStyle name="Output 2 10 6 6" xfId="29792"/>
    <cellStyle name="Output 2 10 3 10 6" xfId="29793"/>
    <cellStyle name="Output 2 10 3 10 7" xfId="29794"/>
    <cellStyle name="Output 2 10 3 11" xfId="29795"/>
    <cellStyle name="Output 2 10 3 12" xfId="29796"/>
    <cellStyle name="Output 2 10 3 13" xfId="29797"/>
    <cellStyle name="Output 2 10 3 14" xfId="29798"/>
    <cellStyle name="Output 2 10 3 2" xfId="29799"/>
    <cellStyle name="Total 2 9 2 10 5 2" xfId="29800"/>
    <cellStyle name="Output 2 12 3 2 6" xfId="29801"/>
    <cellStyle name="Output 2 10 3 2 2" xfId="29802"/>
    <cellStyle name="Output 2 10 3 2 2 2" xfId="29803"/>
    <cellStyle name="Total 2 10 4 6" xfId="29804"/>
    <cellStyle name="Output 2 10 3 2 2 3" xfId="29805"/>
    <cellStyle name="Total 2 10 4 7" xfId="29806"/>
    <cellStyle name="Output 2 10 3 2 3" xfId="29807"/>
    <cellStyle name="Output 2 10 3 2 3 3" xfId="29808"/>
    <cellStyle name="Total 2 10 5 7" xfId="29809"/>
    <cellStyle name="Output 2 10 3 2 4" xfId="29810"/>
    <cellStyle name="Output 2 10 3 2 4 2" xfId="29811"/>
    <cellStyle name="Total 2 10 6 6" xfId="29812"/>
    <cellStyle name="Output 2 10 3 2 4 3" xfId="29813"/>
    <cellStyle name="Total 2 10 6 7" xfId="29814"/>
    <cellStyle name="Output 2 10 3 2 5" xfId="29815"/>
    <cellStyle name="Output 2 10 3 2 5 2" xfId="29816"/>
    <cellStyle name="Total 2 10 7 6" xfId="29817"/>
    <cellStyle name="Output 2 10 3 2 5 3" xfId="29818"/>
    <cellStyle name="Total 2 10 7 7" xfId="29819"/>
    <cellStyle name="Output 2 10 3 2 6" xfId="29820"/>
    <cellStyle name="Output 2 10 3 2 7" xfId="29821"/>
    <cellStyle name="Output 2 10 3 3 2" xfId="29822"/>
    <cellStyle name="Output 2 10 3 3 2 2" xfId="29823"/>
    <cellStyle name="Output 2 10 3 3 2 3" xfId="29824"/>
    <cellStyle name="Output 2 10 3 3 3" xfId="29825"/>
    <cellStyle name="Output 2 10 3 3 3 2" xfId="29826"/>
    <cellStyle name="Output 2 10 3 3 3 3" xfId="29827"/>
    <cellStyle name="Output 2 10 3 3 4" xfId="29828"/>
    <cellStyle name="Output 2 4 3 2 2" xfId="29829"/>
    <cellStyle name="Output 2 10 3 3 4 2" xfId="29830"/>
    <cellStyle name="Output 2 4 3 2 2 2" xfId="29831"/>
    <cellStyle name="Output 2 10 3 3 4 3" xfId="29832"/>
    <cellStyle name="Output 2 4 3 2 2 3" xfId="29833"/>
    <cellStyle name="Output 2 10 3 3 5" xfId="29834"/>
    <cellStyle name="Output 2 4 3 2 3" xfId="29835"/>
    <cellStyle name="Output 2 10 3 3 5 2" xfId="29836"/>
    <cellStyle name="Output 2 4 3 2 3 2" xfId="29837"/>
    <cellStyle name="Output 2 10 3 3 5 3" xfId="29838"/>
    <cellStyle name="Output 2 4 3 2 3 3" xfId="29839"/>
    <cellStyle name="Output 2 10 3 3 6" xfId="29840"/>
    <cellStyle name="Output 2 4 3 2 4" xfId="29841"/>
    <cellStyle name="Output 2 10 3 3 7" xfId="29842"/>
    <cellStyle name="Output 2 4 3 2 5" xfId="29843"/>
    <cellStyle name="Output 2 10 3 4 2" xfId="29844"/>
    <cellStyle name="Output 2 10 3 4 2 2" xfId="29845"/>
    <cellStyle name="Output 2 10 3 4 2 3" xfId="29846"/>
    <cellStyle name="Output 2 10 3 4 3" xfId="29847"/>
    <cellStyle name="Output 2 10 3 4 3 2" xfId="29848"/>
    <cellStyle name="Output 2 10 3 4 3 3" xfId="29849"/>
    <cellStyle name="Output 2 10 3 4 4" xfId="29850"/>
    <cellStyle name="Output 2 4 3 3 2" xfId="29851"/>
    <cellStyle name="Output 2 10 3 4 4 2" xfId="29852"/>
    <cellStyle name="Output 2 4 3 3 2 2" xfId="29853"/>
    <cellStyle name="Output 2 10 3 4 4 3" xfId="29854"/>
    <cellStyle name="Output 2 4 3 3 2 3" xfId="29855"/>
    <cellStyle name="Output 2 10 3 4 5" xfId="29856"/>
    <cellStyle name="Output 2 4 3 3 3" xfId="29857"/>
    <cellStyle name="Output 2 10 3 4 5 3" xfId="29858"/>
    <cellStyle name="Output 2 4 3 3 3 3" xfId="29859"/>
    <cellStyle name="Output 2 10 3 4 6" xfId="29860"/>
    <cellStyle name="Output 2 4 3 3 4" xfId="29861"/>
    <cellStyle name="Output 2 10 3 4 7" xfId="29862"/>
    <cellStyle name="Output 2 4 3 3 5" xfId="29863"/>
    <cellStyle name="Output 2 10 3 5 2" xfId="29864"/>
    <cellStyle name="Output 2 10 3 5 2 2" xfId="29865"/>
    <cellStyle name="Output 2 10 3 5 2 3" xfId="29866"/>
    <cellStyle name="Output 2 10 3 5 3" xfId="29867"/>
    <cellStyle name="Output 2 10 3 5 3 2" xfId="29868"/>
    <cellStyle name="Output 2 10 3 5 3 3" xfId="29869"/>
    <cellStyle name="Output 2 10 3 5 4" xfId="29870"/>
    <cellStyle name="Output 2 4 3 4 2" xfId="29871"/>
    <cellStyle name="Output 2 10 3 5 4 2" xfId="29872"/>
    <cellStyle name="Output 2 4 3 4 2 2" xfId="29873"/>
    <cellStyle name="Output 2 10 3 5 4 3" xfId="29874"/>
    <cellStyle name="Output 2 4 3 4 2 3" xfId="29875"/>
    <cellStyle name="Output 2 10 3 5 5" xfId="29876"/>
    <cellStyle name="Output 2 4 3 4 3" xfId="29877"/>
    <cellStyle name="Output 2 10 3 5 5 2" xfId="29878"/>
    <cellStyle name="Output 2 4 3 4 3 2" xfId="29879"/>
    <cellStyle name="Output 2 10 3 5 5 3" xfId="29880"/>
    <cellStyle name="Output 2 4 3 4 3 3" xfId="29881"/>
    <cellStyle name="Output 2 10 3 5 6" xfId="29882"/>
    <cellStyle name="Output 2 4 3 4 4" xfId="29883"/>
    <cellStyle name="Output 2 10 3 5 7" xfId="29884"/>
    <cellStyle name="Output 2 4 3 4 5" xfId="29885"/>
    <cellStyle name="Output 2 10 3 6 2" xfId="29886"/>
    <cellStyle name="Output 2 10 3 6 2 2" xfId="29887"/>
    <cellStyle name="Output 2 10 3 6 2 3" xfId="29888"/>
    <cellStyle name="Output 2 10 3 6 3" xfId="29889"/>
    <cellStyle name="Output 2 10 3 6 3 2" xfId="29890"/>
    <cellStyle name="Output 2 10 3 6 3 3" xfId="29891"/>
    <cellStyle name="Output 2 10 3 6 4" xfId="29892"/>
    <cellStyle name="Output 2 4 3 5 2" xfId="29893"/>
    <cellStyle name="Output 2 10 3 6 4 2" xfId="29894"/>
    <cellStyle name="Output 2 4 3 5 2 2" xfId="29895"/>
    <cellStyle name="Output 2 10 3 6 4 3" xfId="29896"/>
    <cellStyle name="Output 2 4 3 5 2 3" xfId="29897"/>
    <cellStyle name="Output 2 10 3 6 5" xfId="29898"/>
    <cellStyle name="Output 2 4 3 5 3" xfId="29899"/>
    <cellStyle name="Output 2 10 3 6 5 2" xfId="29900"/>
    <cellStyle name="Output 2 4 3 5 3 2" xfId="29901"/>
    <cellStyle name="Output 2 10 3 6 5 3" xfId="29902"/>
    <cellStyle name="Output 2 4 3 5 3 3" xfId="29903"/>
    <cellStyle name="Output 2 10 3 6 6" xfId="29904"/>
    <cellStyle name="Output 2 4 3 5 4" xfId="29905"/>
    <cellStyle name="Output 2 10 3 6 7" xfId="29906"/>
    <cellStyle name="Output 2 4 3 5 5" xfId="29907"/>
    <cellStyle name="Output 2 10 3 7 2 2" xfId="29908"/>
    <cellStyle name="Output 2 10 3 7 2 3" xfId="29909"/>
    <cellStyle name="Output 2 10 3 7 2 4" xfId="29910"/>
    <cellStyle name="Output 2 10 3 7 3 3" xfId="29911"/>
    <cellStyle name="Output 2 10 3 7 3 4" xfId="29912"/>
    <cellStyle name="Output 2 10 3 7 4" xfId="29913"/>
    <cellStyle name="Output 2 4 3 6 2" xfId="29914"/>
    <cellStyle name="Output 2 10 3 7 5" xfId="29915"/>
    <cellStyle name="Output 2 4 3 6 3" xfId="29916"/>
    <cellStyle name="Output 2 10 3 7 6" xfId="29917"/>
    <cellStyle name="Output 2 4 3 6 4" xfId="29918"/>
    <cellStyle name="Output 2 10 3 8" xfId="29919"/>
    <cellStyle name="Output 2 10 3 8 2 2" xfId="29920"/>
    <cellStyle name="Output 2 10 3 8 2 3" xfId="29921"/>
    <cellStyle name="Output 2 10 3 8 2 4" xfId="29922"/>
    <cellStyle name="Output 2 10 3 8 3 2" xfId="29923"/>
    <cellStyle name="Output 2 10 3 8 3 3" xfId="29924"/>
    <cellStyle name="Output 2 10 3 8 3 4" xfId="29925"/>
    <cellStyle name="Output 2 10 3 8 4" xfId="29926"/>
    <cellStyle name="Output 2 4 3 7 2" xfId="29927"/>
    <cellStyle name="Output 2 10 3 8 4 2" xfId="29928"/>
    <cellStyle name="Output 2 4 3 7 2 2" xfId="29929"/>
    <cellStyle name="Output 2 10 3 8 4 3" xfId="29930"/>
    <cellStyle name="Output 2 4 3 7 2 3" xfId="29931"/>
    <cellStyle name="Output 2 10 3 8 5" xfId="29932"/>
    <cellStyle name="Output 2 4 3 7 3" xfId="29933"/>
    <cellStyle name="Output 2 10 3 8 5 2" xfId="29934"/>
    <cellStyle name="Output 2 4 3 7 3 2" xfId="29935"/>
    <cellStyle name="Output 2 10 3 8 5 3" xfId="29936"/>
    <cellStyle name="Output 2 4 3 7 3 3" xfId="29937"/>
    <cellStyle name="Output 2 10 3 8 6" xfId="29938"/>
    <cellStyle name="Output 2 4 3 7 4" xfId="29939"/>
    <cellStyle name="Output 2 10 3 9" xfId="29940"/>
    <cellStyle name="Output 2 14 3 8 3 2" xfId="29941"/>
    <cellStyle name="Output 2 10 3 9 2 2" xfId="29942"/>
    <cellStyle name="Output 2 10 3 9 2 3" xfId="29943"/>
    <cellStyle name="Output 2 10 3 9 2 4" xfId="29944"/>
    <cellStyle name="Output 2 10 3 9 3" xfId="29945"/>
    <cellStyle name="Output 2 10 3 9 4" xfId="29946"/>
    <cellStyle name="Output 2 4 3 8 2" xfId="29947"/>
    <cellStyle name="Output 2 10 3 9 4 2" xfId="29948"/>
    <cellStyle name="Output 2 4 3 8 2 2" xfId="29949"/>
    <cellStyle name="Output 2 10 3 9 4 3" xfId="29950"/>
    <cellStyle name="Output 2 4 3 8 2 3" xfId="29951"/>
    <cellStyle name="Output 2 10 3 9 5 2" xfId="29952"/>
    <cellStyle name="Output 2 4 3 8 3 2" xfId="29953"/>
    <cellStyle name="Output 2 10 3 9 5 3" xfId="29954"/>
    <cellStyle name="Output 2 4 3 8 3 3" xfId="29955"/>
    <cellStyle name="Output 2 10 4 3 2" xfId="29956"/>
    <cellStyle name="Output 2 6 3 2 5 2" xfId="29957"/>
    <cellStyle name="Output 2 10 4 3 3" xfId="29958"/>
    <cellStyle name="Output 2 6 3 2 5 3" xfId="29959"/>
    <cellStyle name="Output 2 10 4 3 4" xfId="29960"/>
    <cellStyle name="Output 2 4 4 2 2" xfId="29961"/>
    <cellStyle name="Output 2 10 4 4 2" xfId="29962"/>
    <cellStyle name="Output 2 10 4 4 3" xfId="29963"/>
    <cellStyle name="Output 2 10 4 5 2" xfId="29964"/>
    <cellStyle name="Output 2 10 4 5 3" xfId="29965"/>
    <cellStyle name="Output 2 10 5 7" xfId="29966"/>
    <cellStyle name="Output 2 10 6 4" xfId="29967"/>
    <cellStyle name="Output 2 6 3 4 6" xfId="29968"/>
    <cellStyle name="Output 2 10 6 7" xfId="29969"/>
    <cellStyle name="Output 2 10 7 4" xfId="29970"/>
    <cellStyle name="Output 2 6 3 5 6" xfId="29971"/>
    <cellStyle name="Output 2 10 7 5" xfId="29972"/>
    <cellStyle name="Output 2 6 3 5 7" xfId="29973"/>
    <cellStyle name="Output 2 10 7 5 2" xfId="29974"/>
    <cellStyle name="Output 2 10 7 6" xfId="29975"/>
    <cellStyle name="Output 2 10 7 7" xfId="29976"/>
    <cellStyle name="Output 2 9 3 10 2" xfId="29977"/>
    <cellStyle name="Output 2 12 3 7 6" xfId="29978"/>
    <cellStyle name="Output 2 10 8 2" xfId="29979"/>
    <cellStyle name="Output 2 6 3 6 4" xfId="29980"/>
    <cellStyle name="Output 2 7 3 3 2 4" xfId="29981"/>
    <cellStyle name="Output 2 12 3 7 7" xfId="29982"/>
    <cellStyle name="Output 2 10 8 3" xfId="29983"/>
    <cellStyle name="Output 2 6 3 6 5" xfId="29984"/>
    <cellStyle name="Output 2 10 8 4" xfId="29985"/>
    <cellStyle name="Output 2 6 3 6 6" xfId="29986"/>
    <cellStyle name="Output 2 10 8 5" xfId="29987"/>
    <cellStyle name="Output 2 6 3 6 7" xfId="29988"/>
    <cellStyle name="Output 2 10 8 6" xfId="29989"/>
    <cellStyle name="Output 2 10 8 7" xfId="29990"/>
    <cellStyle name="Output 2 9 3 11 2" xfId="29991"/>
    <cellStyle name="Output 2 12 3 8 6" xfId="29992"/>
    <cellStyle name="Output 2 10 9 2" xfId="29993"/>
    <cellStyle name="Output 2 6 3 7 4" xfId="29994"/>
    <cellStyle name="Output 2 7 3 3 3 4" xfId="29995"/>
    <cellStyle name="Output 2 10 9 2 3" xfId="29996"/>
    <cellStyle name="Output 2 6 3 7 4 3" xfId="29997"/>
    <cellStyle name="Output 2 10 9 2 4" xfId="29998"/>
    <cellStyle name="Output 2 12 3 8 7" xfId="29999"/>
    <cellStyle name="Output 2 10 9 3" xfId="30000"/>
    <cellStyle name="Output 2 6 3 7 5" xfId="30001"/>
    <cellStyle name="Output 2 10 9 3 3" xfId="30002"/>
    <cellStyle name="Output 2 6 3 7 5 3" xfId="30003"/>
    <cellStyle name="Output 2 10 9 3 4" xfId="30004"/>
    <cellStyle name="Output 2 4 9 2 2" xfId="30005"/>
    <cellStyle name="Output 2 10 9 4" xfId="30006"/>
    <cellStyle name="Output 2 6 3 7 6" xfId="30007"/>
    <cellStyle name="Output 2 10 9 4 2" xfId="30008"/>
    <cellStyle name="Output 2 10 9 4 3" xfId="30009"/>
    <cellStyle name="Output 2 10 9 5" xfId="30010"/>
    <cellStyle name="Output 2 6 3 7 7" xfId="30011"/>
    <cellStyle name="Output 2 10 9 5 2" xfId="30012"/>
    <cellStyle name="Output 2 10 9 5 3" xfId="30013"/>
    <cellStyle name="Output 2 10 9 6" xfId="30014"/>
    <cellStyle name="Output 2 10 9 7" xfId="30015"/>
    <cellStyle name="Output 2 9 3 12 2" xfId="30016"/>
    <cellStyle name="Output 2 11" xfId="30017"/>
    <cellStyle name="Output 2 11 10 2" xfId="30018"/>
    <cellStyle name="Total 2 11 3 10" xfId="30019"/>
    <cellStyle name="Output 2 11 10 3" xfId="30020"/>
    <cellStyle name="Total 2 11 3 11" xfId="30021"/>
    <cellStyle name="Output 2 11 10 4" xfId="30022"/>
    <cellStyle name="Total 2 11 3 12" xfId="30023"/>
    <cellStyle name="Output 2 11 10 5" xfId="30024"/>
    <cellStyle name="Total 2 11 3 13" xfId="30025"/>
    <cellStyle name="Output 2 11 10 6" xfId="30026"/>
    <cellStyle name="Total 2 11 3 14" xfId="30027"/>
    <cellStyle name="Output 2 11 11 7" xfId="30028"/>
    <cellStyle name="Output 2 11 12" xfId="30029"/>
    <cellStyle name="Output 2 11 12 2 3" xfId="30030"/>
    <cellStyle name="Output 2 11 12 2 4" xfId="30031"/>
    <cellStyle name="Output 2 11 12 4" xfId="30032"/>
    <cellStyle name="Total 2 11 4 3 3" xfId="30033"/>
    <cellStyle name="Output 2 11 12 4 2" xfId="30034"/>
    <cellStyle name="Total 2 11 4 3 4" xfId="30035"/>
    <cellStyle name="Output 2 11 12 4 3" xfId="30036"/>
    <cellStyle name="Output 2 11 12 5" xfId="30037"/>
    <cellStyle name="Total 2 11 4 4 3" xfId="30038"/>
    <cellStyle name="Output 2 11 12 5 2" xfId="30039"/>
    <cellStyle name="Output 2 7 7 2 4" xfId="30040"/>
    <cellStyle name="Output 2 11 12 6" xfId="30041"/>
    <cellStyle name="Output 2 11 12 7" xfId="30042"/>
    <cellStyle name="Output 2 11 14 4" xfId="30043"/>
    <cellStyle name="Output 2 9 3 8 3 4" xfId="30044"/>
    <cellStyle name="Output 2 11 15" xfId="30045"/>
    <cellStyle name="Output 2 11 20" xfId="30046"/>
    <cellStyle name="Output 2 9 3 8 4" xfId="30047"/>
    <cellStyle name="Total 2 11 3 5 3 4" xfId="30048"/>
    <cellStyle name="Output 2 11 16" xfId="30049"/>
    <cellStyle name="Output 2 9 3 8 5" xfId="30050"/>
    <cellStyle name="Output 2 11 17" xfId="30051"/>
    <cellStyle name="Output 2 16 10 4 2" xfId="30052"/>
    <cellStyle name="Output 2 9 3 8 6" xfId="30053"/>
    <cellStyle name="Output 2 11 18" xfId="30054"/>
    <cellStyle name="Output 2 16 10 4 3" xfId="30055"/>
    <cellStyle name="Output 2 9 3 8 7" xfId="30056"/>
    <cellStyle name="Output 2 11 19" xfId="30057"/>
    <cellStyle name="Output 2 11 2" xfId="30058"/>
    <cellStyle name="Output 2 11 2 10 4 2" xfId="30059"/>
    <cellStyle name="Output 2 11 2 10 4 3" xfId="30060"/>
    <cellStyle name="Output 2 11 2 10 5" xfId="30061"/>
    <cellStyle name="Output 2 11 2 10 5 2" xfId="30062"/>
    <cellStyle name="Output 2 14 3 13" xfId="30063"/>
    <cellStyle name="Output 2 11 2 10 5 3" xfId="30064"/>
    <cellStyle name="Output 2 14 3 14" xfId="30065"/>
    <cellStyle name="Output 2 11 2 10 6" xfId="30066"/>
    <cellStyle name="Output 2 11 2 10 7" xfId="30067"/>
    <cellStyle name="Output 2 11 2 12 3" xfId="30068"/>
    <cellStyle name="Output 2 11 2 13" xfId="30069"/>
    <cellStyle name="Output 2 11 2 13 2" xfId="30070"/>
    <cellStyle name="Output 2 11 2 13 3" xfId="30071"/>
    <cellStyle name="Output 2 11 2 14" xfId="30072"/>
    <cellStyle name="Output 2 11 2 14 2" xfId="30073"/>
    <cellStyle name="Output 2 11 2 14 3" xfId="30074"/>
    <cellStyle name="Output 2 11 2 15" xfId="30075"/>
    <cellStyle name="Output 2 11 2 16" xfId="30076"/>
    <cellStyle name="Output 2 11 2 17" xfId="30077"/>
    <cellStyle name="Output 2 11 2 2" xfId="30078"/>
    <cellStyle name="Output 2 11 2 3 2" xfId="30079"/>
    <cellStyle name="Output 2 11 2 3 2 2" xfId="30080"/>
    <cellStyle name="Output 2 11 2 3 2 3" xfId="30081"/>
    <cellStyle name="Output 2 11 2 3 3" xfId="30082"/>
    <cellStyle name="Output 2 11 2 3 3 2" xfId="30083"/>
    <cellStyle name="Output 2 11 2 3 3 3" xfId="30084"/>
    <cellStyle name="Output 2 11 2 4 2" xfId="30085"/>
    <cellStyle name="Total 2 13 14" xfId="30086"/>
    <cellStyle name="Output 2 11 2 4 2 2" xfId="30087"/>
    <cellStyle name="Total 2 13 15" xfId="30088"/>
    <cellStyle name="Output 2 11 2 4 2 3" xfId="30089"/>
    <cellStyle name="Output 2 11 2 4 3" xfId="30090"/>
    <cellStyle name="Output 2 11 2 4 3 2" xfId="30091"/>
    <cellStyle name="Output 2 11 2 4 3 3" xfId="30092"/>
    <cellStyle name="Output 2 11 2 5 2" xfId="30093"/>
    <cellStyle name="Output 2 11 2 5 2 2" xfId="30094"/>
    <cellStyle name="Output 2 11 2 5 2 3" xfId="30095"/>
    <cellStyle name="Output 2 11 2 5 3" xfId="30096"/>
    <cellStyle name="Output 2 11 2 5 3 2" xfId="30097"/>
    <cellStyle name="Output 2 11 2 5 3 3" xfId="30098"/>
    <cellStyle name="Output 2 11 2 6 2" xfId="30099"/>
    <cellStyle name="Output 2 11 2 6 3" xfId="30100"/>
    <cellStyle name="Output 2 11 2 6 4" xfId="30101"/>
    <cellStyle name="Output 2 13 2 3 3 2" xfId="30102"/>
    <cellStyle name="Output 2 5 2 5 2" xfId="30103"/>
    <cellStyle name="Output 2 11 2 6 5" xfId="30104"/>
    <cellStyle name="Output 2 13 2 3 3 3" xfId="30105"/>
    <cellStyle name="Output 2 5 2 5 3" xfId="30106"/>
    <cellStyle name="Output 2 11 2 6 5 2" xfId="30107"/>
    <cellStyle name="Output 2 5 2 5 3 2" xfId="30108"/>
    <cellStyle name="Output 2 11 2 6 5 3" xfId="30109"/>
    <cellStyle name="Output 2 5 2 5 3 3" xfId="30110"/>
    <cellStyle name="Output 2 11 2 7 2" xfId="30111"/>
    <cellStyle name="Output 2 11 2 7 2 2" xfId="30112"/>
    <cellStyle name="Output 2 11 2 7 2 3" xfId="30113"/>
    <cellStyle name="Output 2 11 2 7 2 4" xfId="30114"/>
    <cellStyle name="Output 2 11 2 7 3" xfId="30115"/>
    <cellStyle name="Output 2 11 2 7 3 2" xfId="30116"/>
    <cellStyle name="Output 2 11 2 7 3 3" xfId="30117"/>
    <cellStyle name="Output 2 11 2 7 3 4" xfId="30118"/>
    <cellStyle name="Output 2 11 2 7 4" xfId="30119"/>
    <cellStyle name="Output 2 13 2 3 4 2" xfId="30120"/>
    <cellStyle name="Output 2 5 2 6 2" xfId="30121"/>
    <cellStyle name="Output 2 7 2 2 2 2" xfId="30122"/>
    <cellStyle name="Output 2 11 2 7 4 2" xfId="30123"/>
    <cellStyle name="Output 2 5 2 6 2 2" xfId="30124"/>
    <cellStyle name="Output 2 11 2 7 4 3" xfId="30125"/>
    <cellStyle name="Output 2 5 2 6 2 3" xfId="30126"/>
    <cellStyle name="Output 2 11 2 7 5" xfId="30127"/>
    <cellStyle name="Output 2 13 2 3 4 3" xfId="30128"/>
    <cellStyle name="Output 2 5 2 6 3" xfId="30129"/>
    <cellStyle name="Output 2 7 2 2 2 3" xfId="30130"/>
    <cellStyle name="Output 2 11 2 7 5 2" xfId="30131"/>
    <cellStyle name="Output 2 5 2 6 3 2" xfId="30132"/>
    <cellStyle name="Output 2 11 2 7 5 3" xfId="30133"/>
    <cellStyle name="Output 2 5 2 6 3 3" xfId="30134"/>
    <cellStyle name="Output 2 11 2 7 6" xfId="30135"/>
    <cellStyle name="Output 2 5 2 6 4" xfId="30136"/>
    <cellStyle name="Output 2 7 2 2 2 4" xfId="30137"/>
    <cellStyle name="Output 2 11 2 8 2" xfId="30138"/>
    <cellStyle name="Output 2 11 2 8 2 2" xfId="30139"/>
    <cellStyle name="Output 2 11 2 8 2 3" xfId="30140"/>
    <cellStyle name="Output 2 11 2 8 3" xfId="30141"/>
    <cellStyle name="Output 2 11 2 8 3 2" xfId="30142"/>
    <cellStyle name="Output 2 11 2 8 3 3" xfId="30143"/>
    <cellStyle name="Output 2 11 2 8 4" xfId="30144"/>
    <cellStyle name="Output 2 13 2 3 5 2" xfId="30145"/>
    <cellStyle name="Output 2 5 2 7 2" xfId="30146"/>
    <cellStyle name="Output 2 7 2 2 3 2" xfId="30147"/>
    <cellStyle name="Output 2 11 2 8 4 2" xfId="30148"/>
    <cellStyle name="Output 2 5 2 7 2 2" xfId="30149"/>
    <cellStyle name="Output 2 11 2 8 4 3" xfId="30150"/>
    <cellStyle name="Output 2 5 2 7 2 3" xfId="30151"/>
    <cellStyle name="Output 2 11 2 8 5" xfId="30152"/>
    <cellStyle name="Output 2 13 2 3 5 3" xfId="30153"/>
    <cellStyle name="Output 2 5 2 7 3" xfId="30154"/>
    <cellStyle name="Output 2 7 2 2 3 3" xfId="30155"/>
    <cellStyle name="Output 2 11 2 8 6" xfId="30156"/>
    <cellStyle name="Output 2 5 2 7 4" xfId="30157"/>
    <cellStyle name="Output 2 7 2 2 3 4" xfId="30158"/>
    <cellStyle name="Output 2 11 2 9 2" xfId="30159"/>
    <cellStyle name="Output 2 11 2 9 2 2" xfId="30160"/>
    <cellStyle name="Output 2 11 2 9 2 3" xfId="30161"/>
    <cellStyle name="Output 2 11 2 9 2 4" xfId="30162"/>
    <cellStyle name="Output 2 11 2 9 3" xfId="30163"/>
    <cellStyle name="Output 2 11 2 9 3 2" xfId="30164"/>
    <cellStyle name="Output 2 11 2 9 3 3" xfId="30165"/>
    <cellStyle name="Output 2 11 2 9 3 4" xfId="30166"/>
    <cellStyle name="Output 2 11 2 9 4" xfId="30167"/>
    <cellStyle name="Output 2 5 2 8 2" xfId="30168"/>
    <cellStyle name="Output 2 7 2 2 4 2" xfId="30169"/>
    <cellStyle name="Output 2 11 2 9 4 2" xfId="30170"/>
    <cellStyle name="Output 2 5 2 8 2 2" xfId="30171"/>
    <cellStyle name="Output 2 11 2 9 4 3" xfId="30172"/>
    <cellStyle name="Output 2 5 2 8 2 3" xfId="30173"/>
    <cellStyle name="Output 2 11 3" xfId="30174"/>
    <cellStyle name="Output 2 11 3 10" xfId="30175"/>
    <cellStyle name="Output 2 11 3 10 4" xfId="30176"/>
    <cellStyle name="Output 2 7 2 7 6" xfId="30177"/>
    <cellStyle name="Output 2 11 3 10 5" xfId="30178"/>
    <cellStyle name="Output 2 7 2 7 7" xfId="30179"/>
    <cellStyle name="Output 2 11 3 10 6" xfId="30180"/>
    <cellStyle name="Output 2 11 3 11" xfId="30181"/>
    <cellStyle name="Output 2 11 3 12" xfId="30182"/>
    <cellStyle name="Output 2 11 3 13" xfId="30183"/>
    <cellStyle name="Output 2 11 3 14" xfId="30184"/>
    <cellStyle name="Output 2 14 2 5 2" xfId="30185"/>
    <cellStyle name="Output 2 11 3 4 2" xfId="30186"/>
    <cellStyle name="Output 2 11 3 4 3" xfId="30187"/>
    <cellStyle name="Output 2 11 3 5 2" xfId="30188"/>
    <cellStyle name="Output 2 11 3 5 3" xfId="30189"/>
    <cellStyle name="Output 2 11 3 6 2" xfId="30190"/>
    <cellStyle name="Output 2 11 3 6 2 3" xfId="30191"/>
    <cellStyle name="Output 2 11 3 6 3" xfId="30192"/>
    <cellStyle name="Output 2 11 3 6 3 3" xfId="30193"/>
    <cellStyle name="Output 2 11 3 6 4" xfId="30194"/>
    <cellStyle name="Output 2 13 2 4 3 2" xfId="30195"/>
    <cellStyle name="Output 2 5 3 5 2" xfId="30196"/>
    <cellStyle name="Output 2 11 3 6 4 3" xfId="30197"/>
    <cellStyle name="Output 2 5 3 5 2 3" xfId="30198"/>
    <cellStyle name="Output 2 11 3 6 5" xfId="30199"/>
    <cellStyle name="Output 2 13 2 4 3 3" xfId="30200"/>
    <cellStyle name="Output 2 5 3 5 3" xfId="30201"/>
    <cellStyle name="Output 2 11 3 6 5 3" xfId="30202"/>
    <cellStyle name="Output 2 5 3 5 3 3" xfId="30203"/>
    <cellStyle name="Output 2 11 3 7 2" xfId="30204"/>
    <cellStyle name="Output 2 11 3 7 2 3" xfId="30205"/>
    <cellStyle name="Output 2 11 3 7 2 4" xfId="30206"/>
    <cellStyle name="Output 2 11 3 7 3" xfId="30207"/>
    <cellStyle name="Output 2 11 3 7 3 3" xfId="30208"/>
    <cellStyle name="Output 2 11 3 7 3 4" xfId="30209"/>
    <cellStyle name="Output 2 11 3 7 4" xfId="30210"/>
    <cellStyle name="Output 2 13 2 4 4 2" xfId="30211"/>
    <cellStyle name="Output 2 5 3 6 2" xfId="30212"/>
    <cellStyle name="Output 2 7 2 3 2 2" xfId="30213"/>
    <cellStyle name="Output 2 11 3 7 4 3" xfId="30214"/>
    <cellStyle name="Output 2 5 3 6 2 3" xfId="30215"/>
    <cellStyle name="Output 2 11 3 7 5" xfId="30216"/>
    <cellStyle name="Output 2 13 2 4 4 3" xfId="30217"/>
    <cellStyle name="Output 2 5 3 6 3" xfId="30218"/>
    <cellStyle name="Output 2 7 2 3 2 3" xfId="30219"/>
    <cellStyle name="Output 2 11 3 7 5 3" xfId="30220"/>
    <cellStyle name="Output 2 5 3 6 3 3" xfId="30221"/>
    <cellStyle name="Output 2 11 3 7 6" xfId="30222"/>
    <cellStyle name="Output 2 5 3 6 4" xfId="30223"/>
    <cellStyle name="Output 2 7 2 3 2 4" xfId="30224"/>
    <cellStyle name="Output 2 11 3 8" xfId="30225"/>
    <cellStyle name="Output 2 11 3 8 2" xfId="30226"/>
    <cellStyle name="Output 2 11 3 8 2 3" xfId="30227"/>
    <cellStyle name="Output 2 11 3 8 2 4" xfId="30228"/>
    <cellStyle name="Output 2 11 3 8 3" xfId="30229"/>
    <cellStyle name="Output 2 11 3 8 3 3" xfId="30230"/>
    <cellStyle name="Output 2 11 3 8 3 4" xfId="30231"/>
    <cellStyle name="Output 2 11 3 8 4" xfId="30232"/>
    <cellStyle name="Output 2 13 2 4 5 2" xfId="30233"/>
    <cellStyle name="Output 2 5 3 7 2" xfId="30234"/>
    <cellStyle name="Output 2 7 2 3 3 2" xfId="30235"/>
    <cellStyle name="Output 2 11 3 8 4 3" xfId="30236"/>
    <cellStyle name="Output 2 5 3 7 2 3" xfId="30237"/>
    <cellStyle name="Output 2 11 3 8 5" xfId="30238"/>
    <cellStyle name="Output 2 13 2 4 5 3" xfId="30239"/>
    <cellStyle name="Output 2 5 3 7 3" xfId="30240"/>
    <cellStyle name="Output 2 7 2 3 3 3" xfId="30241"/>
    <cellStyle name="Output 2 11 3 8 5 3" xfId="30242"/>
    <cellStyle name="Output 2 5 3 7 3 3" xfId="30243"/>
    <cellStyle name="Output 2 11 3 8 6" xfId="30244"/>
    <cellStyle name="Output 2 5 3 7 4" xfId="30245"/>
    <cellStyle name="Output 2 7 2 3 3 4" xfId="30246"/>
    <cellStyle name="Output 2 11 3 9" xfId="30247"/>
    <cellStyle name="Output 2 14 3 9 3 2" xfId="30248"/>
    <cellStyle name="Output 2 11 3 9 2" xfId="30249"/>
    <cellStyle name="Output 2 11 3 9 2 2" xfId="30250"/>
    <cellStyle name="Output 2 11 3 9 2 3" xfId="30251"/>
    <cellStyle name="Output 2 11 3 9 2 4" xfId="30252"/>
    <cellStyle name="Output 2 11 3 9 3" xfId="30253"/>
    <cellStyle name="Output 2 11 3 9 3 2" xfId="30254"/>
    <cellStyle name="Output 2 11 3 9 3 3" xfId="30255"/>
    <cellStyle name="Output 2 11 3 9 3 4" xfId="30256"/>
    <cellStyle name="Output 2 11 3 9 4" xfId="30257"/>
    <cellStyle name="Output 2 5 3 8 2" xfId="30258"/>
    <cellStyle name="Output 2 7 2 3 4 2" xfId="30259"/>
    <cellStyle name="Output 2 11 3 9 4 2" xfId="30260"/>
    <cellStyle name="Output 2 5 3 8 2 2" xfId="30261"/>
    <cellStyle name="Output 2 11 3 9 4 3" xfId="30262"/>
    <cellStyle name="Output 2 5 3 8 2 3" xfId="30263"/>
    <cellStyle name="Output 2 11 3 9 5 2" xfId="30264"/>
    <cellStyle name="Output 2 5 3 8 3 2" xfId="30265"/>
    <cellStyle name="Output 2 11 3 9 5 3" xfId="30266"/>
    <cellStyle name="Output 2 5 3 8 3 3" xfId="30267"/>
    <cellStyle name="Output 2 11 4 7" xfId="30268"/>
    <cellStyle name="Output 2 11 5 7" xfId="30269"/>
    <cellStyle name="Output 2 11 6 4" xfId="30270"/>
    <cellStyle name="Output 2 11 6 5" xfId="30271"/>
    <cellStyle name="Output 2 11 6 6" xfId="30272"/>
    <cellStyle name="Output 2 11 6 7" xfId="30273"/>
    <cellStyle name="Output 2 11 7 4 2" xfId="30274"/>
    <cellStyle name="Output 2 11 7 4 3" xfId="30275"/>
    <cellStyle name="Output 2 11 7 5 2" xfId="30276"/>
    <cellStyle name="Output 2 11 7 5 3" xfId="30277"/>
    <cellStyle name="Output 2 11 7 6" xfId="30278"/>
    <cellStyle name="Output 2 11 8 4 2" xfId="30279"/>
    <cellStyle name="Output 2 11 8 4 3" xfId="30280"/>
    <cellStyle name="Output 2 11 8 6" xfId="30281"/>
    <cellStyle name="Output 2 11 8 7" xfId="30282"/>
    <cellStyle name="Output 2 11 9 3 4" xfId="30283"/>
    <cellStyle name="Output 2 5 9 2 2" xfId="30284"/>
    <cellStyle name="Output 2 11 9 6" xfId="30285"/>
    <cellStyle name="Output 2 11 9 7" xfId="30286"/>
    <cellStyle name="Output 2 12" xfId="30287"/>
    <cellStyle name="Output 2 12 10" xfId="30288"/>
    <cellStyle name="Output 2 12 10 2" xfId="30289"/>
    <cellStyle name="Total 2 10 2 10 7" xfId="30290"/>
    <cellStyle name="Output 2 12 11" xfId="30291"/>
    <cellStyle name="Output 2 2 3 5 5 2" xfId="30292"/>
    <cellStyle name="Output 2 12 12" xfId="30293"/>
    <cellStyle name="Output 2 2 3 5 5 3" xfId="30294"/>
    <cellStyle name="Output 2 12 12 2 3" xfId="30295"/>
    <cellStyle name="Output 2 12 12 2 4" xfId="30296"/>
    <cellStyle name="Output 2 12 13" xfId="30297"/>
    <cellStyle name="Output 2 12 14" xfId="30298"/>
    <cellStyle name="Output 2 12 15" xfId="30299"/>
    <cellStyle name="Output 2 12 20" xfId="30300"/>
    <cellStyle name="Output 2 12 19" xfId="30301"/>
    <cellStyle name="Output 2 12 2" xfId="30302"/>
    <cellStyle name="Output 2 12 2 10" xfId="30303"/>
    <cellStyle name="Output 2 12 2 10 2" xfId="30304"/>
    <cellStyle name="Output 2 12 2 10 2 2" xfId="30305"/>
    <cellStyle name="Output 2 12 2 10 2 3" xfId="30306"/>
    <cellStyle name="Output 2 12 2 10 2 4" xfId="30307"/>
    <cellStyle name="Output 2 12 2 10 3 2" xfId="30308"/>
    <cellStyle name="Output 2 12 2 10 3 3" xfId="30309"/>
    <cellStyle name="Output 2 12 2 10 3 4" xfId="30310"/>
    <cellStyle name="Output 2 12 2 10 4 2" xfId="30311"/>
    <cellStyle name="Output 2 12 2 10 4 3" xfId="30312"/>
    <cellStyle name="Output 2 12 2 10 5" xfId="30313"/>
    <cellStyle name="Output 2 12 2 10 5 2" xfId="30314"/>
    <cellStyle name="Output 2 12 2 10 5 3" xfId="30315"/>
    <cellStyle name="Output 2 12 2 10 6" xfId="30316"/>
    <cellStyle name="Output 2 12 2 10 7" xfId="30317"/>
    <cellStyle name="Output 2 12 2 11" xfId="30318"/>
    <cellStyle name="Output 2 12 2 11 2" xfId="30319"/>
    <cellStyle name="Output 2 12 2 12" xfId="30320"/>
    <cellStyle name="Output 2 12 2 12 3" xfId="30321"/>
    <cellStyle name="Output 2 12 2 12 4" xfId="30322"/>
    <cellStyle name="Output 2 12 2 13" xfId="30323"/>
    <cellStyle name="Output 2 12 2 13 2" xfId="30324"/>
    <cellStyle name="Output 2 12 2 13 3" xfId="30325"/>
    <cellStyle name="Output 2 12 2 14" xfId="30326"/>
    <cellStyle name="Output 2 12 2 14 3" xfId="30327"/>
    <cellStyle name="Output 2 12 2 15" xfId="30328"/>
    <cellStyle name="Output 2 12 2 2" xfId="30329"/>
    <cellStyle name="Total 2 10 2 2 3" xfId="30330"/>
    <cellStyle name="Output 2 12 2 2 2" xfId="30331"/>
    <cellStyle name="Total 2 10 2 2 3 2" xfId="30332"/>
    <cellStyle name="Output 2 12 2 2 3" xfId="30333"/>
    <cellStyle name="Total 2 10 2 2 3 3" xfId="30334"/>
    <cellStyle name="Output 2 12 2 2 4" xfId="30335"/>
    <cellStyle name="Total 2 10 2 2 3 4" xfId="30336"/>
    <cellStyle name="Output 2 12 2 2 5" xfId="30337"/>
    <cellStyle name="Output 2 12 2 2 6" xfId="30338"/>
    <cellStyle name="Output 2 12 2 2 7" xfId="30339"/>
    <cellStyle name="Output 2 12 2 3 5" xfId="30340"/>
    <cellStyle name="Output 2 6 2 2 3" xfId="30341"/>
    <cellStyle name="Output 2 12 2 4 5" xfId="30342"/>
    <cellStyle name="Output 2 6 2 3 3" xfId="30343"/>
    <cellStyle name="Output 2 12 2 5 4" xfId="30344"/>
    <cellStyle name="Output 2 13 3 3 2 2" xfId="30345"/>
    <cellStyle name="Output 2 6 2 4 2" xfId="30346"/>
    <cellStyle name="Output 2 12 2 5 5" xfId="30347"/>
    <cellStyle name="Output 2 13 3 3 2 3" xfId="30348"/>
    <cellStyle name="Output 2 6 2 4 3" xfId="30349"/>
    <cellStyle name="Output 2 12 2 6 4" xfId="30350"/>
    <cellStyle name="Output 2 13 3 3 3 2" xfId="30351"/>
    <cellStyle name="Output 2 6 2 5 2" xfId="30352"/>
    <cellStyle name="Output 2 12 2 6 5" xfId="30353"/>
    <cellStyle name="Output 2 13 3 3 3 3" xfId="30354"/>
    <cellStyle name="Output 2 6 2 5 3" xfId="30355"/>
    <cellStyle name="Output 2 12 2 7 2" xfId="30356"/>
    <cellStyle name="Output 2 12 2 7 3" xfId="30357"/>
    <cellStyle name="Output 2 12 2 7 4" xfId="30358"/>
    <cellStyle name="Output 2 13 3 3 4 2" xfId="30359"/>
    <cellStyle name="Output 2 6 2 6 2" xfId="30360"/>
    <cellStyle name="Output 2 7 3 2 2 2" xfId="30361"/>
    <cellStyle name="Output 2 12 2 7 5" xfId="30362"/>
    <cellStyle name="Output 2 13 3 3 4 3" xfId="30363"/>
    <cellStyle name="Output 2 6 2 6 3" xfId="30364"/>
    <cellStyle name="Output 2 7 3 2 2 3" xfId="30365"/>
    <cellStyle name="Output 2 12 2 7 6" xfId="30366"/>
    <cellStyle name="Output 2 6 2 6 4" xfId="30367"/>
    <cellStyle name="Output 2 7 3 2 2 4" xfId="30368"/>
    <cellStyle name="Output 2 12 2 8 2" xfId="30369"/>
    <cellStyle name="Output 2 12 2 8 2 3" xfId="30370"/>
    <cellStyle name="Output 2 12 2 8 2 4" xfId="30371"/>
    <cellStyle name="Output 2 12 2 8 3" xfId="30372"/>
    <cellStyle name="Output 2 12 2 8 3 2" xfId="30373"/>
    <cellStyle name="Output 2 12 2 8 3 3" xfId="30374"/>
    <cellStyle name="Output 2 12 2 8 3 4" xfId="30375"/>
    <cellStyle name="Output 2 12 2 8 4" xfId="30376"/>
    <cellStyle name="Output 2 13 3 3 5 2" xfId="30377"/>
    <cellStyle name="Output 2 6 2 7 2" xfId="30378"/>
    <cellStyle name="Output 2 7 3 2 3 2" xfId="30379"/>
    <cellStyle name="Output 2 12 2 8 4 2" xfId="30380"/>
    <cellStyle name="Output 2 6 2 7 2 2" xfId="30381"/>
    <cellStyle name="Output 2 12 2 8 4 3" xfId="30382"/>
    <cellStyle name="Output 2 6 2 7 2 3" xfId="30383"/>
    <cellStyle name="Output 2 12 2 8 5" xfId="30384"/>
    <cellStyle name="Output 2 13 3 3 5 3" xfId="30385"/>
    <cellStyle name="Output 2 6 2 7 3" xfId="30386"/>
    <cellStyle name="Output 2 7 3 2 3 3" xfId="30387"/>
    <cellStyle name="Output 2 12 2 8 6" xfId="30388"/>
    <cellStyle name="Output 2 6 2 7 4" xfId="30389"/>
    <cellStyle name="Output 2 7 3 2 3 4" xfId="30390"/>
    <cellStyle name="Output 2 12 2 8 7" xfId="30391"/>
    <cellStyle name="Output 2 6 2 7 5" xfId="30392"/>
    <cellStyle name="Output 2 12 2 9 2" xfId="30393"/>
    <cellStyle name="Output 2 12 2 9 2 3" xfId="30394"/>
    <cellStyle name="Output 2 12 2 9 2 4" xfId="30395"/>
    <cellStyle name="Output 2 12 2 9 3" xfId="30396"/>
    <cellStyle name="Output 2 12 2 9 3 2" xfId="30397"/>
    <cellStyle name="Output 2 12 2 9 3 3" xfId="30398"/>
    <cellStyle name="Output 2 12 2 9 3 4" xfId="30399"/>
    <cellStyle name="Output 2 12 2 9 4" xfId="30400"/>
    <cellStyle name="Output 2 6 2 8 2" xfId="30401"/>
    <cellStyle name="Output 2 7 3 2 4 2" xfId="30402"/>
    <cellStyle name="Output 2 12 2 9 4 2" xfId="30403"/>
    <cellStyle name="Output 2 6 2 8 2 2" xfId="30404"/>
    <cellStyle name="Output 2 12 3" xfId="30405"/>
    <cellStyle name="Output 2 12 3 10" xfId="30406"/>
    <cellStyle name="Output 2 12 3 10 2 2" xfId="30407"/>
    <cellStyle name="Output 2 12 3 10 3" xfId="30408"/>
    <cellStyle name="Output 2 12 3 10 4" xfId="30409"/>
    <cellStyle name="Output 2 12 3 10 4 2" xfId="30410"/>
    <cellStyle name="Output 2 12 3 10 4 3" xfId="30411"/>
    <cellStyle name="Output 2 12 3 10 5" xfId="30412"/>
    <cellStyle name="Output 2 12 3 10 5 2" xfId="30413"/>
    <cellStyle name="Output 2 12 3 10 5 3" xfId="30414"/>
    <cellStyle name="Output 2 12 3 10 6" xfId="30415"/>
    <cellStyle name="Output 2 12 3 10 7" xfId="30416"/>
    <cellStyle name="Output 2 12 3 11" xfId="30417"/>
    <cellStyle name="Output 2 12 3 11 2" xfId="30418"/>
    <cellStyle name="Output 2 12 3 11 3" xfId="30419"/>
    <cellStyle name="Output 2 12 3 11 4" xfId="30420"/>
    <cellStyle name="Output 2 12 3 12 3" xfId="30421"/>
    <cellStyle name="Output 2 12 3 12 4" xfId="30422"/>
    <cellStyle name="Output 2 12 3 13 2" xfId="30423"/>
    <cellStyle name="Output 2 12 3 13 3" xfId="30424"/>
    <cellStyle name="Output 2 12 3 14" xfId="30425"/>
    <cellStyle name="Output 2 14 7 5 2" xfId="30426"/>
    <cellStyle name="Output 2 12 3 14 2" xfId="30427"/>
    <cellStyle name="Output 2 12 3 14 3" xfId="30428"/>
    <cellStyle name="Output 2 12 3 15" xfId="30429"/>
    <cellStyle name="Output 2 14 7 5 3" xfId="30430"/>
    <cellStyle name="Output 2 12 3 16" xfId="30431"/>
    <cellStyle name="Output 2 8 7 4 2" xfId="30432"/>
    <cellStyle name="Output 2 12 3 2 2" xfId="30433"/>
    <cellStyle name="Total 2 10 2 3 3 2" xfId="30434"/>
    <cellStyle name="Output 2 12 3 2 2 2" xfId="30435"/>
    <cellStyle name="Output 2 12 3 2 2 3" xfId="30436"/>
    <cellStyle name="Output 2 12 3 2 3" xfId="30437"/>
    <cellStyle name="Total 2 10 2 3 3 3" xfId="30438"/>
    <cellStyle name="Output 2 12 3 2 3 2" xfId="30439"/>
    <cellStyle name="Output 2 12 3 2 3 3" xfId="30440"/>
    <cellStyle name="Output 2 12 3 2 4" xfId="30441"/>
    <cellStyle name="Total 2 10 2 3 3 4" xfId="30442"/>
    <cellStyle name="Output 2 12 3 2 4 2" xfId="30443"/>
    <cellStyle name="Output 2 12 3 2 4 3" xfId="30444"/>
    <cellStyle name="Output 2 12 3 2 5" xfId="30445"/>
    <cellStyle name="Output 2 12 3 2 5 2" xfId="30446"/>
    <cellStyle name="Output 2 12 3 2 5 3" xfId="30447"/>
    <cellStyle name="Output 2 12 3 3 5" xfId="30448"/>
    <cellStyle name="Output 2 6 3 2 3" xfId="30449"/>
    <cellStyle name="Output 2 12 3 4 5" xfId="30450"/>
    <cellStyle name="Output 2 6 3 3 3" xfId="30451"/>
    <cellStyle name="Output 2 12 3 5 2 2" xfId="30452"/>
    <cellStyle name="Output 2 12 3 5 2 3" xfId="30453"/>
    <cellStyle name="Output 2 12 3 5 3 2" xfId="30454"/>
    <cellStyle name="Output 2 12 3 5 3 3" xfId="30455"/>
    <cellStyle name="Output 2 12 3 5 4" xfId="30456"/>
    <cellStyle name="Output 2 13 3 4 2 2" xfId="30457"/>
    <cellStyle name="Output 2 6 3 4 2" xfId="30458"/>
    <cellStyle name="Output 2 12 3 5 4 2" xfId="30459"/>
    <cellStyle name="Output 2 6 3 4 2 2" xfId="30460"/>
    <cellStyle name="Output 2 12 3 5 4 3" xfId="30461"/>
    <cellStyle name="Output 2 6 3 4 2 3" xfId="30462"/>
    <cellStyle name="Output 2 12 3 5 5" xfId="30463"/>
    <cellStyle name="Output 2 13 3 4 2 3" xfId="30464"/>
    <cellStyle name="Output 2 6 3 4 3" xfId="30465"/>
    <cellStyle name="Output 2 12 3 5 5 2" xfId="30466"/>
    <cellStyle name="Output 2 6 3 4 3 2" xfId="30467"/>
    <cellStyle name="Total 2 9 12 2 2" xfId="30468"/>
    <cellStyle name="Output 2 12 3 5 5 3" xfId="30469"/>
    <cellStyle name="Output 2 6 3 4 3 3" xfId="30470"/>
    <cellStyle name="Output 2 12 3 6 4" xfId="30471"/>
    <cellStyle name="Output 2 13 3 4 3 2" xfId="30472"/>
    <cellStyle name="Output 2 6 3 5 2" xfId="30473"/>
    <cellStyle name="Output 2 12 3 6 5" xfId="30474"/>
    <cellStyle name="Output 2 13 3 4 3 3" xfId="30475"/>
    <cellStyle name="Output 2 6 3 5 3" xfId="30476"/>
    <cellStyle name="Output 2 12 3 7 2" xfId="30477"/>
    <cellStyle name="Output 2 12 3 7 3" xfId="30478"/>
    <cellStyle name="Output 2 12 3 7 4" xfId="30479"/>
    <cellStyle name="Output 2 13 3 4 4 2" xfId="30480"/>
    <cellStyle name="Output 2 6 3 6 2" xfId="30481"/>
    <cellStyle name="Output 2 7 3 3 2 2" xfId="30482"/>
    <cellStyle name="Output 2 12 3 7 5" xfId="30483"/>
    <cellStyle name="Output 2 13 3 4 4 3" xfId="30484"/>
    <cellStyle name="Output 2 6 3 6 3" xfId="30485"/>
    <cellStyle name="Output 2 7 3 3 2 3" xfId="30486"/>
    <cellStyle name="Output 2 12 3 8 2" xfId="30487"/>
    <cellStyle name="Output 2 12 3 8 2 3" xfId="30488"/>
    <cellStyle name="Output 2 12 3 8 2 4" xfId="30489"/>
    <cellStyle name="Output 2 12 3 8 3" xfId="30490"/>
    <cellStyle name="Output 2 12 3 8 3 2" xfId="30491"/>
    <cellStyle name="Output 2 12 3 8 3 3" xfId="30492"/>
    <cellStyle name="Output 2 12 3 8 3 4" xfId="30493"/>
    <cellStyle name="Output 2 12 3 8 4" xfId="30494"/>
    <cellStyle name="Output 2 13 3 4 5 2" xfId="30495"/>
    <cellStyle name="Output 2 6 3 7 2" xfId="30496"/>
    <cellStyle name="Output 2 7 3 3 3 2" xfId="30497"/>
    <cellStyle name="Output 2 12 3 8 4 2" xfId="30498"/>
    <cellStyle name="Output 2 6 3 7 2 2" xfId="30499"/>
    <cellStyle name="Output 2 12 3 8 4 3" xfId="30500"/>
    <cellStyle name="Output 2 6 3 7 2 3" xfId="30501"/>
    <cellStyle name="Output 2 12 3 8 5" xfId="30502"/>
    <cellStyle name="Output 2 13 3 4 5 3" xfId="30503"/>
    <cellStyle name="Output 2 6 3 7 3" xfId="30504"/>
    <cellStyle name="Output 2 7 3 3 3 3" xfId="30505"/>
    <cellStyle name="Output 2 12 3 8 5 2" xfId="30506"/>
    <cellStyle name="Output 2 6 3 7 3 2" xfId="30507"/>
    <cellStyle name="Output 2 12 3 8 5 3" xfId="30508"/>
    <cellStyle name="Output 2 6 3 7 3 3" xfId="30509"/>
    <cellStyle name="Output 2 12 3 9" xfId="30510"/>
    <cellStyle name="Output 2 12 3 9 2" xfId="30511"/>
    <cellStyle name="Output 2 12 3 9 2 3" xfId="30512"/>
    <cellStyle name="Output 2 12 3 9 2 4" xfId="30513"/>
    <cellStyle name="Output 2 12 3 9 3 2" xfId="30514"/>
    <cellStyle name="Output 2 12 3 9 3 3" xfId="30515"/>
    <cellStyle name="Output 2 12 3 9 3 4" xfId="30516"/>
    <cellStyle name="Output 2 12 3 9 4 2" xfId="30517"/>
    <cellStyle name="Output 2 6 3 8 2 2" xfId="30518"/>
    <cellStyle name="Output 2 12 3 9 4 3" xfId="30519"/>
    <cellStyle name="Output 2 6 3 8 2 3" xfId="30520"/>
    <cellStyle name="Output 2 12 3 9 5 2" xfId="30521"/>
    <cellStyle name="Output 2 6 3 8 3 2" xfId="30522"/>
    <cellStyle name="Output 2 12 3 9 5 3" xfId="30523"/>
    <cellStyle name="Output 2 6 3 8 3 3" xfId="30524"/>
    <cellStyle name="Output 2 12 4 4 2" xfId="30525"/>
    <cellStyle name="Total 2 10 2 4 5 2" xfId="30526"/>
    <cellStyle name="Output 2 12 4 5 2" xfId="30527"/>
    <cellStyle name="Output 2 12 4 7" xfId="30528"/>
    <cellStyle name="Output 2 12 5 7" xfId="30529"/>
    <cellStyle name="Output 2 12 6 4" xfId="30530"/>
    <cellStyle name="Total 2 10 2 6 5" xfId="30531"/>
    <cellStyle name="Output 2 12 6 5" xfId="30532"/>
    <cellStyle name="Total 2 10 2 6 6" xfId="30533"/>
    <cellStyle name="Output 2 12 6 6" xfId="30534"/>
    <cellStyle name="Total 2 10 2 6 7" xfId="30535"/>
    <cellStyle name="Output 2 12 6 7" xfId="30536"/>
    <cellStyle name="Output 2 12 7 3 3" xfId="30537"/>
    <cellStyle name="Total 2 10 2 7 4 3" xfId="30538"/>
    <cellStyle name="Output 2 12 7 3 4" xfId="30539"/>
    <cellStyle name="Output 2 6 7 2 2" xfId="30540"/>
    <cellStyle name="Output 2 12 7 4" xfId="30541"/>
    <cellStyle name="Total 2 10 2 7 5" xfId="30542"/>
    <cellStyle name="Output 2 12 7 4 2" xfId="30543"/>
    <cellStyle name="Total 2 10 2 7 5 2" xfId="30544"/>
    <cellStyle name="Output 2 12 7 5" xfId="30545"/>
    <cellStyle name="Total 2 10 2 7 6" xfId="30546"/>
    <cellStyle name="Output 2 12 7 5 2" xfId="30547"/>
    <cellStyle name="Output 2 12 7 5 3" xfId="30548"/>
    <cellStyle name="Output 2 12 7 6" xfId="30549"/>
    <cellStyle name="Total 2 10 2 7 7" xfId="30550"/>
    <cellStyle name="Output 2 12 7 7" xfId="30551"/>
    <cellStyle name="Output 2 12 8 2" xfId="30552"/>
    <cellStyle name="Output 2 7 3 5 2 4" xfId="30553"/>
    <cellStyle name="Total 2 10 2 8 3" xfId="30554"/>
    <cellStyle name="Output 2 12 8 3" xfId="30555"/>
    <cellStyle name="Total 2 10 2 8 4" xfId="30556"/>
    <cellStyle name="Output 2 12 8 5" xfId="30557"/>
    <cellStyle name="Total 2 10 2 8 6" xfId="30558"/>
    <cellStyle name="Output 2 12 8 6" xfId="30559"/>
    <cellStyle name="Total 2 10 2 8 7" xfId="30560"/>
    <cellStyle name="Output 2 12 8 7" xfId="30561"/>
    <cellStyle name="Output 2 12 9 2" xfId="30562"/>
    <cellStyle name="Output 2 7 3 5 3 4" xfId="30563"/>
    <cellStyle name="Total 2 10 2 9 3" xfId="30564"/>
    <cellStyle name="Output 2 12 9 3" xfId="30565"/>
    <cellStyle name="Total 2 10 2 9 4" xfId="30566"/>
    <cellStyle name="Output 2 12 9 4" xfId="30567"/>
    <cellStyle name="Total 2 10 2 9 5" xfId="30568"/>
    <cellStyle name="Output 2 12 9 4 2" xfId="30569"/>
    <cellStyle name="Total 2 10 2 9 5 2" xfId="30570"/>
    <cellStyle name="Output 2 12 9 5" xfId="30571"/>
    <cellStyle name="Total 2 10 2 9 6" xfId="30572"/>
    <cellStyle name="Output 2 12 9 6" xfId="30573"/>
    <cellStyle name="Total 2 10 2 9 7" xfId="30574"/>
    <cellStyle name="Output 2 12 9 7" xfId="30575"/>
    <cellStyle name="Output 2 13 10 2 3" xfId="30576"/>
    <cellStyle name="Output 2 13 10 2 4" xfId="30577"/>
    <cellStyle name="Output 2 13 10 3 2" xfId="30578"/>
    <cellStyle name="Output 2 13 10 3 3" xfId="30579"/>
    <cellStyle name="Output 2 13 10 3 4" xfId="30580"/>
    <cellStyle name="Output 2 13 10 4 2" xfId="30581"/>
    <cellStyle name="Output 2 13 10 4 3" xfId="30582"/>
    <cellStyle name="Output 2 13 10 5 2" xfId="30583"/>
    <cellStyle name="Output 2 13 10 5 3" xfId="30584"/>
    <cellStyle name="Output 2 13 11 2 2" xfId="30585"/>
    <cellStyle name="Output 2 13 11 2 3" xfId="30586"/>
    <cellStyle name="Output 2 13 11 2 4" xfId="30587"/>
    <cellStyle name="Output 2 3 3 2 2 2" xfId="30588"/>
    <cellStyle name="Output 2 13 11 3 2" xfId="30589"/>
    <cellStyle name="Output 2 13 11 3 3" xfId="30590"/>
    <cellStyle name="Output 2 13 11 3 4" xfId="30591"/>
    <cellStyle name="Output 2 3 3 2 3 2" xfId="30592"/>
    <cellStyle name="Output 2 13 11 4 2" xfId="30593"/>
    <cellStyle name="Output 2 13 11 4 3" xfId="30594"/>
    <cellStyle name="Output 2 13 11 5 2" xfId="30595"/>
    <cellStyle name="Output 2 13 11 5 3" xfId="30596"/>
    <cellStyle name="Output 2 13 12" xfId="30597"/>
    <cellStyle name="Output 2 13 12 2 2" xfId="30598"/>
    <cellStyle name="Output 2 13 12 2 3" xfId="30599"/>
    <cellStyle name="Output 2 13 12 2 4" xfId="30600"/>
    <cellStyle name="Output 2 3 3 3 2 2" xfId="30601"/>
    <cellStyle name="Output 2 13 12 3 2" xfId="30602"/>
    <cellStyle name="Output 2 13 12 3 3" xfId="30603"/>
    <cellStyle name="Output 2 13 12 3 4" xfId="30604"/>
    <cellStyle name="Output 2 3 3 3 3 2" xfId="30605"/>
    <cellStyle name="Output 2 13 12 4" xfId="30606"/>
    <cellStyle name="Output 2 13 12 4 2" xfId="30607"/>
    <cellStyle name="Output 2 13 12 4 3" xfId="30608"/>
    <cellStyle name="Output 2 13 12 5 2" xfId="30609"/>
    <cellStyle name="Output 2 13 12 5 3" xfId="30610"/>
    <cellStyle name="Output 2 13 13" xfId="30611"/>
    <cellStyle name="Output 2 13 13 3" xfId="30612"/>
    <cellStyle name="Output 2 13 13 4" xfId="30613"/>
    <cellStyle name="Output 2 13 14" xfId="30614"/>
    <cellStyle name="Output 2 13 14 4" xfId="30615"/>
    <cellStyle name="Output 2 13 15" xfId="30616"/>
    <cellStyle name="Output 2 13 15 2" xfId="30617"/>
    <cellStyle name="Output 2 13 15 3" xfId="30618"/>
    <cellStyle name="Output 2 13 16" xfId="30619"/>
    <cellStyle name="Output 2 13 16 2" xfId="30620"/>
    <cellStyle name="Output 2 13 16 3" xfId="30621"/>
    <cellStyle name="Output 2 13 17" xfId="30622"/>
    <cellStyle name="Output 2 13 18" xfId="30623"/>
    <cellStyle name="Output 2 13 19" xfId="30624"/>
    <cellStyle name="Output 2 13 2" xfId="30625"/>
    <cellStyle name="Output 2 13 2 10" xfId="30626"/>
    <cellStyle name="Output 2 13 2 10 3 2" xfId="30627"/>
    <cellStyle name="Output 2 13 2 10 3 3" xfId="30628"/>
    <cellStyle name="Output 2 13 2 10 3 4" xfId="30629"/>
    <cellStyle name="Output 2 13 2 10 4 2" xfId="30630"/>
    <cellStyle name="Output 2 9 3 2 7" xfId="30631"/>
    <cellStyle name="Output 2 13 2 10 4 3" xfId="30632"/>
    <cellStyle name="Output 2 13 2 10 7" xfId="30633"/>
    <cellStyle name="Output 2 13 2 2" xfId="30634"/>
    <cellStyle name="Total 2 10 3 2 3" xfId="30635"/>
    <cellStyle name="Output 2 13 2 2 2" xfId="30636"/>
    <cellStyle name="Total 2 10 3 2 3 2" xfId="30637"/>
    <cellStyle name="Output 2 13 2 2 2 2" xfId="30638"/>
    <cellStyle name="Output 2 13 2 2 2 3" xfId="30639"/>
    <cellStyle name="Output 2 13 2 2 3" xfId="30640"/>
    <cellStyle name="Total 2 10 3 2 3 3" xfId="30641"/>
    <cellStyle name="Output 2 13 2 2 3 2" xfId="30642"/>
    <cellStyle name="Output 2 13 2 2 3 3" xfId="30643"/>
    <cellStyle name="Output 2 13 2 2 4" xfId="30644"/>
    <cellStyle name="Total 2 10 3 2 3 4" xfId="30645"/>
    <cellStyle name="Output 2 13 2 2 4 2" xfId="30646"/>
    <cellStyle name="Output 2 13 2 2 4 3" xfId="30647"/>
    <cellStyle name="Output 2 13 2 2 5" xfId="30648"/>
    <cellStyle name="Output 2 13 2 2 5 2" xfId="30649"/>
    <cellStyle name="Output 2 13 2 2 5 3" xfId="30650"/>
    <cellStyle name="Output 2 13 2 2 6" xfId="30651"/>
    <cellStyle name="Output 2 13 2 2 7" xfId="30652"/>
    <cellStyle name="Output 2 13 2 3 5" xfId="30653"/>
    <cellStyle name="Output 2 5 2 7" xfId="30654"/>
    <cellStyle name="Output 2 7 2 2 3" xfId="30655"/>
    <cellStyle name="Output 2 13 2 3 6" xfId="30656"/>
    <cellStyle name="Output 2 5 2 8" xfId="30657"/>
    <cellStyle name="Output 2 7 2 2 4" xfId="30658"/>
    <cellStyle name="Output 2 13 2 3 7" xfId="30659"/>
    <cellStyle name="Output 2 5 2 9" xfId="30660"/>
    <cellStyle name="Output 2 7 2 2 5" xfId="30661"/>
    <cellStyle name="Output 2 13 2 4 5" xfId="30662"/>
    <cellStyle name="Output 2 5 3 7" xfId="30663"/>
    <cellStyle name="Output 2 7 2 3 3" xfId="30664"/>
    <cellStyle name="Output 2 13 2 4 6" xfId="30665"/>
    <cellStyle name="Output 2 5 3 8" xfId="30666"/>
    <cellStyle name="Output 2 7 2 3 4" xfId="30667"/>
    <cellStyle name="Output 2 13 2 4 7" xfId="30668"/>
    <cellStyle name="Output 2 5 3 9" xfId="30669"/>
    <cellStyle name="Output 2 7 2 3 5" xfId="30670"/>
    <cellStyle name="Output 2 13 2 6 4" xfId="30671"/>
    <cellStyle name="Output 2 5 5 6" xfId="30672"/>
    <cellStyle name="Output 2 7 2 5 2" xfId="30673"/>
    <cellStyle name="Output 2 13 2 6 5" xfId="30674"/>
    <cellStyle name="Output 2 5 5 7" xfId="30675"/>
    <cellStyle name="Output 2 7 2 5 3" xfId="30676"/>
    <cellStyle name="Output 2 13 2 6 6" xfId="30677"/>
    <cellStyle name="Output 2 7 2 5 4" xfId="30678"/>
    <cellStyle name="Output 2 13 2 6 7" xfId="30679"/>
    <cellStyle name="Output 2 7 2 5 5" xfId="30680"/>
    <cellStyle name="Output 2 13 2 7 3" xfId="30681"/>
    <cellStyle name="Output 2 5 6 5" xfId="30682"/>
    <cellStyle name="Output 2 13 2 7 3 4" xfId="30683"/>
    <cellStyle name="Output 2 13 2 7 4" xfId="30684"/>
    <cellStyle name="Output 2 5 6 6" xfId="30685"/>
    <cellStyle name="Output 2 7 2 6 2" xfId="30686"/>
    <cellStyle name="Output 2 13 2 8 3" xfId="30687"/>
    <cellStyle name="Output 2 5 7 5" xfId="30688"/>
    <cellStyle name="Output 2 13 2 8 3 4" xfId="30689"/>
    <cellStyle name="Output 2 13 2 8 4" xfId="30690"/>
    <cellStyle name="Output 2 5 7 6" xfId="30691"/>
    <cellStyle name="Output 2 7 2 7 2" xfId="30692"/>
    <cellStyle name="Output 2 13 2 9 3" xfId="30693"/>
    <cellStyle name="Output 2 5 8 5" xfId="30694"/>
    <cellStyle name="Output 2 13 2 9 3 4" xfId="30695"/>
    <cellStyle name="Output 2 13 2 9 4" xfId="30696"/>
    <cellStyle name="Output 2 5 8 6" xfId="30697"/>
    <cellStyle name="Output 2 7 2 8 2" xfId="30698"/>
    <cellStyle name="Output 2 13 3" xfId="30699"/>
    <cellStyle name="Output 2 13 3 10" xfId="30700"/>
    <cellStyle name="Output 2 13 3 10 2" xfId="30701"/>
    <cellStyle name="Output 2 13 3 10 2 2" xfId="30702"/>
    <cellStyle name="Output 2 13 3 10 3" xfId="30703"/>
    <cellStyle name="Output 2 13 3 10 3 2" xfId="30704"/>
    <cellStyle name="Output 2 13 3 10 3 3" xfId="30705"/>
    <cellStyle name="Output 2 13 3 10 3 4" xfId="30706"/>
    <cellStyle name="Output 2 13 3 10 4" xfId="30707"/>
    <cellStyle name="Output 2 13 3 10 4 2" xfId="30708"/>
    <cellStyle name="Output 2 13 3 10 4 3" xfId="30709"/>
    <cellStyle name="Output 2 13 3 10 5" xfId="30710"/>
    <cellStyle name="Output 2 13 3 10 5 2" xfId="30711"/>
    <cellStyle name="Output 2 13 3 10 5 3" xfId="30712"/>
    <cellStyle name="Output 2 13 3 10 6" xfId="30713"/>
    <cellStyle name="Output 2 13 3 10 7" xfId="30714"/>
    <cellStyle name="Output 2 13 3 11" xfId="30715"/>
    <cellStyle name="Output 2 13 3 11 2" xfId="30716"/>
    <cellStyle name="Output 2 13 3 11 3" xfId="30717"/>
    <cellStyle name="Output 2 13 3 11 4" xfId="30718"/>
    <cellStyle name="Output 2 13 3 12 2" xfId="30719"/>
    <cellStyle name="Output 2 6 3 12" xfId="30720"/>
    <cellStyle name="Output 2 13 3 12 3" xfId="30721"/>
    <cellStyle name="Output 2 6 3 13" xfId="30722"/>
    <cellStyle name="Output 2 13 3 12 4" xfId="30723"/>
    <cellStyle name="Output 2 6 3 14" xfId="30724"/>
    <cellStyle name="Output 2 13 3 13 2" xfId="30725"/>
    <cellStyle name="Output 2 13 3 13 3" xfId="30726"/>
    <cellStyle name="Output 2 13 3 14" xfId="30727"/>
    <cellStyle name="Output 2 13 3 14 2" xfId="30728"/>
    <cellStyle name="Output 2 13 3 14 3" xfId="30729"/>
    <cellStyle name="Output 2 13 3 2 2" xfId="30730"/>
    <cellStyle name="Total 2 10 3 3 3 2" xfId="30731"/>
    <cellStyle name="Output 2 13 3 2 2 2" xfId="30732"/>
    <cellStyle name="Output 2 13 3 2 2 3" xfId="30733"/>
    <cellStyle name="Output 2 13 3 2 3" xfId="30734"/>
    <cellStyle name="Total 2 10 3 3 3 3" xfId="30735"/>
    <cellStyle name="Output 2 13 3 2 3 2" xfId="30736"/>
    <cellStyle name="Output 2 13 3 2 3 3" xfId="30737"/>
    <cellStyle name="Output 2 13 3 2 4" xfId="30738"/>
    <cellStyle name="Total 2 10 3 3 3 4" xfId="30739"/>
    <cellStyle name="Output 2 13 3 2 4 2" xfId="30740"/>
    <cellStyle name="Output 2 13 3 2 4 3" xfId="30741"/>
    <cellStyle name="Output 2 13 3 2 5" xfId="30742"/>
    <cellStyle name="Output 2 13 3 2 5 2" xfId="30743"/>
    <cellStyle name="Output 2 13 3 2 5 3" xfId="30744"/>
    <cellStyle name="Output 2 13 3 3 5" xfId="30745"/>
    <cellStyle name="Output 2 6 2 7" xfId="30746"/>
    <cellStyle name="Output 2 7 3 2 3" xfId="30747"/>
    <cellStyle name="Output 2 13 3 4 5" xfId="30748"/>
    <cellStyle name="Output 2 6 3 7" xfId="30749"/>
    <cellStyle name="Output 2 7 3 3 3" xfId="30750"/>
    <cellStyle name="Output 2 13 3 4 7" xfId="30751"/>
    <cellStyle name="Output 2 6 3 9" xfId="30752"/>
    <cellStyle name="Output 2 7 3 3 5" xfId="30753"/>
    <cellStyle name="Output 2 13 3 6 4" xfId="30754"/>
    <cellStyle name="Output 2 6 5 6" xfId="30755"/>
    <cellStyle name="Output 2 7 3 5 2" xfId="30756"/>
    <cellStyle name="Output 2 13 3 6 5" xfId="30757"/>
    <cellStyle name="Output 2 6 5 7" xfId="30758"/>
    <cellStyle name="Output 2 7 3 5 3" xfId="30759"/>
    <cellStyle name="Output 2 13 3 6 6" xfId="30760"/>
    <cellStyle name="Output 2 7 3 5 4" xfId="30761"/>
    <cellStyle name="Output 2 13 3 6 7" xfId="30762"/>
    <cellStyle name="Output 2 7 3 5 5" xfId="30763"/>
    <cellStyle name="Output 2 13 3 7 2" xfId="30764"/>
    <cellStyle name="Output 2 6 6 4" xfId="30765"/>
    <cellStyle name="Output 2 13 3 7 2 4" xfId="30766"/>
    <cellStyle name="Output 2 13 6 2" xfId="30767"/>
    <cellStyle name="Total 2 10 3 6 3" xfId="30768"/>
    <cellStyle name="Output 2 13 3 7 3" xfId="30769"/>
    <cellStyle name="Output 2 6 6 5" xfId="30770"/>
    <cellStyle name="Output 2 13 3 7 3 4" xfId="30771"/>
    <cellStyle name="Output 2 13 7 2" xfId="30772"/>
    <cellStyle name="Total 2 10 3 7 3" xfId="30773"/>
    <cellStyle name="Output 2 13 3 7 4" xfId="30774"/>
    <cellStyle name="Output 2 6 6 6" xfId="30775"/>
    <cellStyle name="Output 2 7 3 6 2" xfId="30776"/>
    <cellStyle name="Output 2 13 3 7 5" xfId="30777"/>
    <cellStyle name="Output 2 6 6 7" xfId="30778"/>
    <cellStyle name="Output 2 7 3 6 3" xfId="30779"/>
    <cellStyle name="Output 2 13 3 7 6" xfId="30780"/>
    <cellStyle name="Output 2 7 3 6 4" xfId="30781"/>
    <cellStyle name="Output 2 13 3 7 7" xfId="30782"/>
    <cellStyle name="Output 2 7 3 6 5" xfId="30783"/>
    <cellStyle name="Output 2 13 3 8 2" xfId="30784"/>
    <cellStyle name="Output 2 6 7 4" xfId="30785"/>
    <cellStyle name="Output 2 13 3 8 2 2" xfId="30786"/>
    <cellStyle name="Output 2 6 7 4 2" xfId="30787"/>
    <cellStyle name="Output 2 13 3 8 2 3" xfId="30788"/>
    <cellStyle name="Output 2 6 7 4 3" xfId="30789"/>
    <cellStyle name="Output 2 13 3 8 2 4" xfId="30790"/>
    <cellStyle name="Output 2 14 6 2" xfId="30791"/>
    <cellStyle name="Output 2 13 3 8 3" xfId="30792"/>
    <cellStyle name="Output 2 6 7 5" xfId="30793"/>
    <cellStyle name="Output 2 13 3 8 3 4" xfId="30794"/>
    <cellStyle name="Output 2 14 7 2" xfId="30795"/>
    <cellStyle name="Output 2 13 3 8 4" xfId="30796"/>
    <cellStyle name="Output 2 6 7 6" xfId="30797"/>
    <cellStyle name="Output 2 7 3 7 2" xfId="30798"/>
    <cellStyle name="Output 2 13 3 8 5" xfId="30799"/>
    <cellStyle name="Output 2 6 7 7" xfId="30800"/>
    <cellStyle name="Output 2 7 3 7 3" xfId="30801"/>
    <cellStyle name="Output 2 13 3 8 6" xfId="30802"/>
    <cellStyle name="Output 2 7 3 7 4" xfId="30803"/>
    <cellStyle name="Output 2 13 3 8 7" xfId="30804"/>
    <cellStyle name="Output 2 7 3 7 5" xfId="30805"/>
    <cellStyle name="Output 2 13 3 9" xfId="30806"/>
    <cellStyle name="Output 2 13 3 9 2" xfId="30807"/>
    <cellStyle name="Output 2 6 8 4" xfId="30808"/>
    <cellStyle name="Output 2 13 3 9 2 4" xfId="30809"/>
    <cellStyle name="Output 2 15 6 2" xfId="30810"/>
    <cellStyle name="Output 2 13 3 9 3" xfId="30811"/>
    <cellStyle name="Output 2 6 8 5" xfId="30812"/>
    <cellStyle name="Output 2 13 3 9 3 4" xfId="30813"/>
    <cellStyle name="Output 2 15 7 2" xfId="30814"/>
    <cellStyle name="Output 2 13 3 9 4" xfId="30815"/>
    <cellStyle name="Output 2 6 8 6" xfId="30816"/>
    <cellStyle name="Output 2 7 3 8 2" xfId="30817"/>
    <cellStyle name="Output 2 13 4" xfId="30818"/>
    <cellStyle name="Output 2 13 4 2" xfId="30819"/>
    <cellStyle name="Output 2 6 6 2 4" xfId="30820"/>
    <cellStyle name="Total 2 10 3 4 3" xfId="30821"/>
    <cellStyle name="Output 2 13 4 2 4" xfId="30822"/>
    <cellStyle name="Total 2 10 3 4 3 4" xfId="30823"/>
    <cellStyle name="Output 2 13 4 3 4" xfId="30824"/>
    <cellStyle name="Output 2 7 2 6" xfId="30825"/>
    <cellStyle name="Output 2 7 4 2 2" xfId="30826"/>
    <cellStyle name="Output 2 13 4 4" xfId="30827"/>
    <cellStyle name="Total 2 10 3 4 5" xfId="30828"/>
    <cellStyle name="Output 2 13 4 4 2" xfId="30829"/>
    <cellStyle name="Output 2 7 3 4" xfId="30830"/>
    <cellStyle name="Total 2 10 3 4 5 2" xfId="30831"/>
    <cellStyle name="Output 2 13 4 4 3" xfId="30832"/>
    <cellStyle name="Output 2 7 3 5" xfId="30833"/>
    <cellStyle name="Total 2 10 3 4 5 3" xfId="30834"/>
    <cellStyle name="Output 2 13 4 7" xfId="30835"/>
    <cellStyle name="Output 2 13 5" xfId="30836"/>
    <cellStyle name="Output 2 13 5 2" xfId="30837"/>
    <cellStyle name="Output 2 6 6 3 4" xfId="30838"/>
    <cellStyle name="Total 2 10 3 5 3" xfId="30839"/>
    <cellStyle name="Output 2 13 5 3 3" xfId="30840"/>
    <cellStyle name="Output 2 8 2 5" xfId="30841"/>
    <cellStyle name="Total 2 10 3 5 4 3" xfId="30842"/>
    <cellStyle name="Output 2 13 5 4" xfId="30843"/>
    <cellStyle name="Total 2 10 3 5 5" xfId="30844"/>
    <cellStyle name="Output 2 13 5 4 2" xfId="30845"/>
    <cellStyle name="Output 2 8 3 4" xfId="30846"/>
    <cellStyle name="Total 2 10 3 5 5 2" xfId="30847"/>
    <cellStyle name="Output 2 13 5 4 3" xfId="30848"/>
    <cellStyle name="Output 2 8 3 5" xfId="30849"/>
    <cellStyle name="Total 2 10 3 5 5 3" xfId="30850"/>
    <cellStyle name="Output 2 13 5 5 2" xfId="30851"/>
    <cellStyle name="Output 2 8 4 4" xfId="30852"/>
    <cellStyle name="Output 2 13 5 5 3" xfId="30853"/>
    <cellStyle name="Output 2 8 4 5" xfId="30854"/>
    <cellStyle name="Output 2 13 5 7" xfId="30855"/>
    <cellStyle name="Output 2 13 6" xfId="30856"/>
    <cellStyle name="Output 2 13 6 3" xfId="30857"/>
    <cellStyle name="Total 2 10 3 6 4" xfId="30858"/>
    <cellStyle name="Output 2 13 6 4" xfId="30859"/>
    <cellStyle name="Total 2 10 3 6 5" xfId="30860"/>
    <cellStyle name="Output 2 13 6 5" xfId="30861"/>
    <cellStyle name="Total 2 10 3 6 6" xfId="30862"/>
    <cellStyle name="Output 2 13 6 5 2" xfId="30863"/>
    <cellStyle name="Output 2 9 4 4" xfId="30864"/>
    <cellStyle name="Output 2 13 6 5 3" xfId="30865"/>
    <cellStyle name="Output 2 9 4 5" xfId="30866"/>
    <cellStyle name="Output 2 13 6 6" xfId="30867"/>
    <cellStyle name="Total 2 10 3 6 7" xfId="30868"/>
    <cellStyle name="Output 2 13 6 7" xfId="30869"/>
    <cellStyle name="Output 2 13 7" xfId="30870"/>
    <cellStyle name="Output 2 13 7 2 3" xfId="30871"/>
    <cellStyle name="Total 2 10 3 7 3 3" xfId="30872"/>
    <cellStyle name="Output 2 13 7 3" xfId="30873"/>
    <cellStyle name="Total 2 10 3 7 4" xfId="30874"/>
    <cellStyle name="Output 2 13 7 3 3" xfId="30875"/>
    <cellStyle name="Total 2 10 3 7 4 3" xfId="30876"/>
    <cellStyle name="Output 2 13 7 4" xfId="30877"/>
    <cellStyle name="Total 2 10 3 7 5" xfId="30878"/>
    <cellStyle name="Output 2 13 7 4 2" xfId="30879"/>
    <cellStyle name="Total 2 10 3 7 5 2" xfId="30880"/>
    <cellStyle name="Output 2 13 7 4 3" xfId="30881"/>
    <cellStyle name="Total 2 10 3 7 5 3" xfId="30882"/>
    <cellStyle name="Output 2 13 7 5" xfId="30883"/>
    <cellStyle name="Total 2 10 3 7 6" xfId="30884"/>
    <cellStyle name="Output 2 13 7 6" xfId="30885"/>
    <cellStyle name="Total 2 10 3 7 7" xfId="30886"/>
    <cellStyle name="Output 2 13 7 7" xfId="30887"/>
    <cellStyle name="Output 2 13 8" xfId="30888"/>
    <cellStyle name="Output 2 13 8 2" xfId="30889"/>
    <cellStyle name="Output 2 7 3 6 2 4" xfId="30890"/>
    <cellStyle name="Total 2 10 3 8 3" xfId="30891"/>
    <cellStyle name="Output 2 13 8 2 3" xfId="30892"/>
    <cellStyle name="Total 2 10 3 8 3 3" xfId="30893"/>
    <cellStyle name="Output 2 13 8 3 3" xfId="30894"/>
    <cellStyle name="Total 2 10 3 8 4 3" xfId="30895"/>
    <cellStyle name="Output 2 13 8 4 2" xfId="30896"/>
    <cellStyle name="Total 2 10 3 8 5 2" xfId="30897"/>
    <cellStyle name="Output 2 13 8 4 3" xfId="30898"/>
    <cellStyle name="Total 2 10 3 8 5 3" xfId="30899"/>
    <cellStyle name="Output 2 13 8 5 2" xfId="30900"/>
    <cellStyle name="Output 2 13 8 5 3" xfId="30901"/>
    <cellStyle name="Output 2 13 8 6" xfId="30902"/>
    <cellStyle name="Total 2 10 3 8 7" xfId="30903"/>
    <cellStyle name="Output 2 13 8 7" xfId="30904"/>
    <cellStyle name="Output 2 13 9" xfId="30905"/>
    <cellStyle name="Output 2 13 9 2" xfId="30906"/>
    <cellStyle name="Output 2 7 3 6 3 4" xfId="30907"/>
    <cellStyle name="Total 2 10 3 9 3" xfId="30908"/>
    <cellStyle name="Output 2 13 9 2 3" xfId="30909"/>
    <cellStyle name="Total 2 10 3 9 3 3" xfId="30910"/>
    <cellStyle name="Output 2 13 9 3 3" xfId="30911"/>
    <cellStyle name="Total 2 10 3 9 4 3" xfId="30912"/>
    <cellStyle name="Output 2 13 9 4 2" xfId="30913"/>
    <cellStyle name="Total 2 10 3 9 5 2" xfId="30914"/>
    <cellStyle name="Output 2 13 9 4 3" xfId="30915"/>
    <cellStyle name="Total 2 10 3 9 5 3" xfId="30916"/>
    <cellStyle name="Output 2 13 9 5 2" xfId="30917"/>
    <cellStyle name="Output 2 13 9 5 3" xfId="30918"/>
    <cellStyle name="Output 2 13 9 6" xfId="30919"/>
    <cellStyle name="Total 2 10 3 9 7" xfId="30920"/>
    <cellStyle name="Output 2 13 9 7" xfId="30921"/>
    <cellStyle name="Output 2 14 10 4" xfId="30922"/>
    <cellStyle name="Output 2 14 10 5" xfId="30923"/>
    <cellStyle name="Output 2 14 10 6" xfId="30924"/>
    <cellStyle name="Output 2 14 10 7" xfId="30925"/>
    <cellStyle name="Output 2 14 11 2" xfId="30926"/>
    <cellStyle name="Output 2 14 11 2 4" xfId="30927"/>
    <cellStyle name="Output 2 14 11 3" xfId="30928"/>
    <cellStyle name="Output 2 14 11 3 4" xfId="30929"/>
    <cellStyle name="Output 2 14 11 4" xfId="30930"/>
    <cellStyle name="Output 2 14 11 4 3" xfId="30931"/>
    <cellStyle name="Output 2 14 11 5" xfId="30932"/>
    <cellStyle name="Output 2 14 11 5 3" xfId="30933"/>
    <cellStyle name="Output 2 14 11 6" xfId="30934"/>
    <cellStyle name="Output 2 14 11 7" xfId="30935"/>
    <cellStyle name="Output 2 14 12 2" xfId="30936"/>
    <cellStyle name="Output 2 14 12 2 4" xfId="30937"/>
    <cellStyle name="Output 2 14 12 3" xfId="30938"/>
    <cellStyle name="Output 2 14 12 3 4" xfId="30939"/>
    <cellStyle name="Output 2 14 12 4" xfId="30940"/>
    <cellStyle name="Output 2 14 12 4 3" xfId="30941"/>
    <cellStyle name="Output 2 14 12 5" xfId="30942"/>
    <cellStyle name="Output 2 14 12 5 3" xfId="30943"/>
    <cellStyle name="Output 2 14 12 6" xfId="30944"/>
    <cellStyle name="Output 2 14 12 7" xfId="30945"/>
    <cellStyle name="Output 2 14 13" xfId="30946"/>
    <cellStyle name="Output 2 14 13 2" xfId="30947"/>
    <cellStyle name="Output 2 14 14" xfId="30948"/>
    <cellStyle name="Output 2 14 14 2" xfId="30949"/>
    <cellStyle name="Output 2 14 15" xfId="30950"/>
    <cellStyle name="Output 2 14 15 2" xfId="30951"/>
    <cellStyle name="Output 2 14 16" xfId="30952"/>
    <cellStyle name="Output 2 14 16 2" xfId="30953"/>
    <cellStyle name="Output 2 14 17" xfId="30954"/>
    <cellStyle name="Output 2 9 2 7 5 2" xfId="30955"/>
    <cellStyle name="Output 2 14 2" xfId="30956"/>
    <cellStyle name="Output 2 14 2 10 2" xfId="30957"/>
    <cellStyle name="Output 2 8 7 7" xfId="30958"/>
    <cellStyle name="Total 2 11 2 9 2" xfId="30959"/>
    <cellStyle name="Output 2 14 2 10 2 4" xfId="30960"/>
    <cellStyle name="Total 2 11 2 9 2 4" xfId="30961"/>
    <cellStyle name="Output 2 14 2 10 3" xfId="30962"/>
    <cellStyle name="Total 2 11 2 9 3" xfId="30963"/>
    <cellStyle name="Output 2 14 2 10 4" xfId="30964"/>
    <cellStyle name="Total 2 11 2 9 4" xfId="30965"/>
    <cellStyle name="Output 2 14 2 10 5" xfId="30966"/>
    <cellStyle name="Total 2 11 2 9 5" xfId="30967"/>
    <cellStyle name="Output 2 14 2 10 6" xfId="30968"/>
    <cellStyle name="Total 2 11 2 9 6" xfId="30969"/>
    <cellStyle name="Output 2 14 2 10 7" xfId="30970"/>
    <cellStyle name="Total 2 11 2 9 7" xfId="30971"/>
    <cellStyle name="Output 2 14 2 2" xfId="30972"/>
    <cellStyle name="Total 2 10 4 2 3" xfId="30973"/>
    <cellStyle name="Output 2 14 2 2 2" xfId="30974"/>
    <cellStyle name="Output 2 14 2 2 2 2" xfId="30975"/>
    <cellStyle name="Output 2 14 2 2 2 3" xfId="30976"/>
    <cellStyle name="Output 2 14 2 2 3" xfId="30977"/>
    <cellStyle name="Output 2 14 2 2 3 2" xfId="30978"/>
    <cellStyle name="Output 2 14 2 2 4" xfId="30979"/>
    <cellStyle name="Output 2 14 2 2 4 2" xfId="30980"/>
    <cellStyle name="Output 2 14 2 2 4 3" xfId="30981"/>
    <cellStyle name="Output 2 14 2 2 5" xfId="30982"/>
    <cellStyle name="Output 2 14 2 2 5 2" xfId="30983"/>
    <cellStyle name="Output 2 14 2 2 5 3" xfId="30984"/>
    <cellStyle name="Output 2 14 2 2 6" xfId="30985"/>
    <cellStyle name="Output 2 14 2 2 7" xfId="30986"/>
    <cellStyle name="Output 2 14 2 3" xfId="30987"/>
    <cellStyle name="Total 2 10 4 2 4" xfId="30988"/>
    <cellStyle name="Output 2 14 2 3 2" xfId="30989"/>
    <cellStyle name="Output 2 8 13" xfId="30990"/>
    <cellStyle name="Output 2 14 2 3 2 2" xfId="30991"/>
    <cellStyle name="Output 2 8 13 2" xfId="30992"/>
    <cellStyle name="Output 2 14 2 3 2 3" xfId="30993"/>
    <cellStyle name="Output 2 8 13 3" xfId="30994"/>
    <cellStyle name="Output 2 14 2 3 3" xfId="30995"/>
    <cellStyle name="Output 2 8 14" xfId="30996"/>
    <cellStyle name="Output 2 14 2 3 3 2" xfId="30997"/>
    <cellStyle name="Output 2 8 14 2" xfId="30998"/>
    <cellStyle name="Output 2 14 2 3 3 3" xfId="30999"/>
    <cellStyle name="Output 2 8 14 3" xfId="31000"/>
    <cellStyle name="Output 2 14 2 3 4" xfId="31001"/>
    <cellStyle name="Output 2 8 15" xfId="31002"/>
    <cellStyle name="Output 2 8 2 2 2" xfId="31003"/>
    <cellStyle name="Output 2 8 20" xfId="31004"/>
    <cellStyle name="Output 2 14 2 3 4 2" xfId="31005"/>
    <cellStyle name="Total 2 6 2 10" xfId="31006"/>
    <cellStyle name="Output 2 8 15 2" xfId="31007"/>
    <cellStyle name="Output 2 8 2 2 2 2" xfId="31008"/>
    <cellStyle name="Output 2 14 2 3 4 3" xfId="31009"/>
    <cellStyle name="Total 2 6 2 11" xfId="31010"/>
    <cellStyle name="Output 2 8 15 3" xfId="31011"/>
    <cellStyle name="Output 2 8 2 2 2 3" xfId="31012"/>
    <cellStyle name="Output 2 14 2 3 5" xfId="31013"/>
    <cellStyle name="Output 2 8 16" xfId="31014"/>
    <cellStyle name="Output 2 8 2 2 3" xfId="31015"/>
    <cellStyle name="Output 2 14 2 3 5 2" xfId="31016"/>
    <cellStyle name="Output 2 8 16 2" xfId="31017"/>
    <cellStyle name="Output 2 8 2 2 3 2" xfId="31018"/>
    <cellStyle name="Output 2 14 2 3 5 3" xfId="31019"/>
    <cellStyle name="Output 2 8 16 3" xfId="31020"/>
    <cellStyle name="Output 2 8 2 2 3 3" xfId="31021"/>
    <cellStyle name="Output 2 14 2 3 6" xfId="31022"/>
    <cellStyle name="Output 2 8 17" xfId="31023"/>
    <cellStyle name="Output 2 8 2 2 4" xfId="31024"/>
    <cellStyle name="Output 2 14 2 3 7" xfId="31025"/>
    <cellStyle name="Output 2 8 18" xfId="31026"/>
    <cellStyle name="Output 2 8 2 2 5" xfId="31027"/>
    <cellStyle name="Output 2 14 2 4" xfId="31028"/>
    <cellStyle name="Output 2 14 2 4 2" xfId="31029"/>
    <cellStyle name="Output 2 14 2 4 6" xfId="31030"/>
    <cellStyle name="Output 2 8 2 3 4" xfId="31031"/>
    <cellStyle name="Output 2 14 2 4 7" xfId="31032"/>
    <cellStyle name="Output 2 8 2 3 5" xfId="31033"/>
    <cellStyle name="Output 2 14 2 5 6" xfId="31034"/>
    <cellStyle name="Output 2 8 2 4 4" xfId="31035"/>
    <cellStyle name="Output 2 14 2 5 7" xfId="31036"/>
    <cellStyle name="Output 2 8 2 4 5" xfId="31037"/>
    <cellStyle name="Output 2 14 2 6 2" xfId="31038"/>
    <cellStyle name="Output 2 14 2 6 2 3" xfId="31039"/>
    <cellStyle name="Output 2 14 2 6 3 2" xfId="31040"/>
    <cellStyle name="Output 2 14 2 6 3 3" xfId="31041"/>
    <cellStyle name="Output 2 14 2 6 4 2" xfId="31042"/>
    <cellStyle name="Output 2 8 2 5 2 2" xfId="31043"/>
    <cellStyle name="Output 2 14 2 6 4 3" xfId="31044"/>
    <cellStyle name="Output 2 8 2 5 2 3" xfId="31045"/>
    <cellStyle name="Output 2 14 2 6 5" xfId="31046"/>
    <cellStyle name="Output 2 8 2 5 3" xfId="31047"/>
    <cellStyle name="Output 2 14 2 6 6" xfId="31048"/>
    <cellStyle name="Output 2 8 2 5 4" xfId="31049"/>
    <cellStyle name="Output 2 14 2 6 7" xfId="31050"/>
    <cellStyle name="Output 2 8 2 5 5" xfId="31051"/>
    <cellStyle name="Output 2 14 2 7 2" xfId="31052"/>
    <cellStyle name="Output 2 14 2 7 2 3" xfId="31053"/>
    <cellStyle name="Output 2 14 2 7 2 4" xfId="31054"/>
    <cellStyle name="Output 2 14 2 7 3 2" xfId="31055"/>
    <cellStyle name="Output 2 14 2 7 3 3" xfId="31056"/>
    <cellStyle name="Output 2 14 2 7 3 4" xfId="31057"/>
    <cellStyle name="Output 2 14 2 7 4 2" xfId="31058"/>
    <cellStyle name="Output 2 8 2 6 2 2" xfId="31059"/>
    <cellStyle name="Output 2 14 2 7 4 3" xfId="31060"/>
    <cellStyle name="Output 2 8 2 6 2 3" xfId="31061"/>
    <cellStyle name="Output 2 14 2 8" xfId="31062"/>
    <cellStyle name="Output 2 9 11 5 3" xfId="31063"/>
    <cellStyle name="Output 2 14 2 8 2" xfId="31064"/>
    <cellStyle name="Output 2 9 13" xfId="31065"/>
    <cellStyle name="Output 2 14 2 8 2 3" xfId="31066"/>
    <cellStyle name="Output 2 9 13 3" xfId="31067"/>
    <cellStyle name="Output 2 14 2 8 2 4" xfId="31068"/>
    <cellStyle name="Output 2 9 13 4" xfId="31069"/>
    <cellStyle name="Output 2 14 2 9" xfId="31070"/>
    <cellStyle name="Output 2 14 2 9 2" xfId="31071"/>
    <cellStyle name="Output 2 14 2 9 2 3" xfId="31072"/>
    <cellStyle name="Output 2 14 2 9 2 4" xfId="31073"/>
    <cellStyle name="Output 2 14 3" xfId="31074"/>
    <cellStyle name="Output 2 14 3 10" xfId="31075"/>
    <cellStyle name="Output 2 14 3 10 2" xfId="31076"/>
    <cellStyle name="Output 2 14 3 10 2 3" xfId="31077"/>
    <cellStyle name="Output 2 14 3 10 2 4" xfId="31078"/>
    <cellStyle name="Output 2 14 3 10 3" xfId="31079"/>
    <cellStyle name="Output 2 14 3 10 3 2" xfId="31080"/>
    <cellStyle name="Output 2 14 3 10 3 3" xfId="31081"/>
    <cellStyle name="Output 2 7 17 2 2" xfId="31082"/>
    <cellStyle name="Output 2 14 3 10 3 4" xfId="31083"/>
    <cellStyle name="Output 2 14 3 10 4" xfId="31084"/>
    <cellStyle name="Output 2 3 2" xfId="31085"/>
    <cellStyle name="Output 2 14 3 10 4 2" xfId="31086"/>
    <cellStyle name="Output 2 3 2 2" xfId="31087"/>
    <cellStyle name="Output 2 14 3 10 4 3" xfId="31088"/>
    <cellStyle name="Output 2 3 2 3" xfId="31089"/>
    <cellStyle name="Output 2 14 3 10 5" xfId="31090"/>
    <cellStyle name="Output 2 3 3" xfId="31091"/>
    <cellStyle name="Output 2 14 3 10 5 2" xfId="31092"/>
    <cellStyle name="Output 2 3 3 2" xfId="31093"/>
    <cellStyle name="Output 2 14 3 10 5 3" xfId="31094"/>
    <cellStyle name="Output 2 3 3 3" xfId="31095"/>
    <cellStyle name="Output 2 14 3 10 6" xfId="31096"/>
    <cellStyle name="Output 2 3 4" xfId="31097"/>
    <cellStyle name="Output 2 14 3 10 7" xfId="31098"/>
    <cellStyle name="Output 2 3 5" xfId="31099"/>
    <cellStyle name="Output 2 14 3 11" xfId="31100"/>
    <cellStyle name="Output 2 14 3 11 2" xfId="31101"/>
    <cellStyle name="Output 2 14 3 11 3" xfId="31102"/>
    <cellStyle name="Output 2 14 3 11 4" xfId="31103"/>
    <cellStyle name="Output 2 4 2" xfId="31104"/>
    <cellStyle name="Output 2 14 3 12" xfId="31105"/>
    <cellStyle name="Output 2 14 3 12 2" xfId="31106"/>
    <cellStyle name="Output 2 14 3 12 3" xfId="31107"/>
    <cellStyle name="Output 2 14 3 12 4" xfId="31108"/>
    <cellStyle name="Output 2 5 2" xfId="31109"/>
    <cellStyle name="Output 2 14 3 13 2" xfId="31110"/>
    <cellStyle name="Output 2 14 3 13 3" xfId="31111"/>
    <cellStyle name="Output 2 14 3 14 2" xfId="31112"/>
    <cellStyle name="Output 2 14 3 14 3" xfId="31113"/>
    <cellStyle name="Output 2 14 3 15" xfId="31114"/>
    <cellStyle name="Output 2 14 3 2 2" xfId="31115"/>
    <cellStyle name="Output 2 14 3 2 2 2" xfId="31116"/>
    <cellStyle name="Output 2 14 3 2 2 3" xfId="31117"/>
    <cellStyle name="Output 2 14 3 2 3" xfId="31118"/>
    <cellStyle name="Output 2 14 3 2 3 2" xfId="31119"/>
    <cellStyle name="Output 2 14 3 2 3 3" xfId="31120"/>
    <cellStyle name="Output 2 14 3 2 4" xfId="31121"/>
    <cellStyle name="Output 2 14 3 2 4 2" xfId="31122"/>
    <cellStyle name="Output 2 14 3 2 4 3" xfId="31123"/>
    <cellStyle name="Output 2 14 3 2 5" xfId="31124"/>
    <cellStyle name="Output 2 14 3 2 5 2" xfId="31125"/>
    <cellStyle name="Output 2 14 3 2 5 3" xfId="31126"/>
    <cellStyle name="Output 2 14 3 3 2" xfId="31127"/>
    <cellStyle name="Output 2 14 3 3 2 2" xfId="31128"/>
    <cellStyle name="Output 2 6 10 5 3" xfId="31129"/>
    <cellStyle name="Output 2 14 3 3 2 3" xfId="31130"/>
    <cellStyle name="Output 2 14 3 3 3" xfId="31131"/>
    <cellStyle name="Output 2 14 3 3 3 2" xfId="31132"/>
    <cellStyle name="Output 2 14 3 3 3 3" xfId="31133"/>
    <cellStyle name="Output 2 14 3 3 4" xfId="31134"/>
    <cellStyle name="Output 2 8 3 2 2" xfId="31135"/>
    <cellStyle name="Output 2 14 3 3 4 2" xfId="31136"/>
    <cellStyle name="Output 2 8 3 2 2 2" xfId="31137"/>
    <cellStyle name="Output 2 14 3 3 4 3" xfId="31138"/>
    <cellStyle name="Output 2 8 3 2 2 3" xfId="31139"/>
    <cellStyle name="Output 2 14 3 3 5" xfId="31140"/>
    <cellStyle name="Output 2 8 3 2 3" xfId="31141"/>
    <cellStyle name="Output 2 14 3 3 5 2" xfId="31142"/>
    <cellStyle name="Output 2 8 3 2 3 2" xfId="31143"/>
    <cellStyle name="Output 2 14 3 3 5 3" xfId="31144"/>
    <cellStyle name="Output 2 8 3 2 3 3" xfId="31145"/>
    <cellStyle name="Output 2 14 3 3 7" xfId="31146"/>
    <cellStyle name="Output 2 8 3 2 5" xfId="31147"/>
    <cellStyle name="Output 2 14 3 4 2" xfId="31148"/>
    <cellStyle name="Output 2 14 3 4 3" xfId="31149"/>
    <cellStyle name="Output 2 14 3 4 4" xfId="31150"/>
    <cellStyle name="Output 2 8 3 3 2" xfId="31151"/>
    <cellStyle name="Output 2 14 3 4 5" xfId="31152"/>
    <cellStyle name="Output 2 8 3 3 3" xfId="31153"/>
    <cellStyle name="Output 2 14 3 4 6" xfId="31154"/>
    <cellStyle name="Output 2 8 3 3 4" xfId="31155"/>
    <cellStyle name="Output 2 14 3 4 7" xfId="31156"/>
    <cellStyle name="Output 2 8 3 3 5" xfId="31157"/>
    <cellStyle name="Output 2 14 3 5 2" xfId="31158"/>
    <cellStyle name="Output 2 14 3 5 3" xfId="31159"/>
    <cellStyle name="Output 2 14 3 5 4" xfId="31160"/>
    <cellStyle name="Output 2 8 3 4 2" xfId="31161"/>
    <cellStyle name="Output 2 14 3 5 5" xfId="31162"/>
    <cellStyle name="Output 2 8 3 4 3" xfId="31163"/>
    <cellStyle name="Output 2 14 3 5 6" xfId="31164"/>
    <cellStyle name="Output 2 8 3 4 4" xfId="31165"/>
    <cellStyle name="Output 2 14 3 5 7" xfId="31166"/>
    <cellStyle name="Output 2 8 3 4 5" xfId="31167"/>
    <cellStyle name="Output 2 14 3 6 2" xfId="31168"/>
    <cellStyle name="Output 2 14 3 6 2 3" xfId="31169"/>
    <cellStyle name="Output 2 14 3 6 3" xfId="31170"/>
    <cellStyle name="Output 2 14 3 6 3 2" xfId="31171"/>
    <cellStyle name="Output 2 14 3 6 3 3" xfId="31172"/>
    <cellStyle name="Output 2 14 3 6 4" xfId="31173"/>
    <cellStyle name="Output 2 8 3 5 2" xfId="31174"/>
    <cellStyle name="Output 2 14 3 6 4 2" xfId="31175"/>
    <cellStyle name="Output 2 8 3 5 2 2" xfId="31176"/>
    <cellStyle name="Output 2 14 3 6 4 3" xfId="31177"/>
    <cellStyle name="Output 2 8 3 5 2 3" xfId="31178"/>
    <cellStyle name="Output 2 14 3 6 5" xfId="31179"/>
    <cellStyle name="Output 2 8 3 5 3" xfId="31180"/>
    <cellStyle name="Output 2 14 3 6 5 2" xfId="31181"/>
    <cellStyle name="Output 2 8 3 5 3 2" xfId="31182"/>
    <cellStyle name="Output 2 14 3 6 5 3" xfId="31183"/>
    <cellStyle name="Output 2 8 3 5 3 3" xfId="31184"/>
    <cellStyle name="Output 2 14 3 6 6" xfId="31185"/>
    <cellStyle name="Output 2 8 3 5 4" xfId="31186"/>
    <cellStyle name="Output 2 14 3 6 7" xfId="31187"/>
    <cellStyle name="Output 2 8 3 5 5" xfId="31188"/>
    <cellStyle name="Output 2 14 3 7 2" xfId="31189"/>
    <cellStyle name="Output 2 14 3 7 2 3" xfId="31190"/>
    <cellStyle name="Output 2 14 3 7 2 4" xfId="31191"/>
    <cellStyle name="Output 2 14 3 7 3" xfId="31192"/>
    <cellStyle name="Output 2 14 3 7 3 2" xfId="31193"/>
    <cellStyle name="Output 2 14 3 7 3 3" xfId="31194"/>
    <cellStyle name="Output 2 14 3 7 3 4" xfId="31195"/>
    <cellStyle name="Output 2 14 3 7 4 2" xfId="31196"/>
    <cellStyle name="Output 2 8 3 6 2 2" xfId="31197"/>
    <cellStyle name="Output 2 14 3 7 4 3" xfId="31198"/>
    <cellStyle name="Output 2 8 3 6 2 3" xfId="31199"/>
    <cellStyle name="Output 2 14 3 7 5 2" xfId="31200"/>
    <cellStyle name="Output 2 8 3 6 3 2" xfId="31201"/>
    <cellStyle name="Output 2 14 3 7 7" xfId="31202"/>
    <cellStyle name="Output 2 8 3 6 5" xfId="31203"/>
    <cellStyle name="Output 2 14 3 8" xfId="31204"/>
    <cellStyle name="Output 2 14 3 8 2" xfId="31205"/>
    <cellStyle name="Output 2 14 3 8 2 3" xfId="31206"/>
    <cellStyle name="Output 2 14 3 8 2 4" xfId="31207"/>
    <cellStyle name="Output 2 14 3 8 3" xfId="31208"/>
    <cellStyle name="Output 2 14 3 8 3 3" xfId="31209"/>
    <cellStyle name="Output 2 14 3 8 3 4" xfId="31210"/>
    <cellStyle name="Output 2 14 3 8 4 2" xfId="31211"/>
    <cellStyle name="Output 2 8 3 7 2 2" xfId="31212"/>
    <cellStyle name="Output 2 14 3 8 4 3" xfId="31213"/>
    <cellStyle name="Output 2 8 3 7 2 3" xfId="31214"/>
    <cellStyle name="Output 2 14 3 8 5 2" xfId="31215"/>
    <cellStyle name="Output 2 8 3 7 3 2" xfId="31216"/>
    <cellStyle name="Output 2 14 3 8 5 3" xfId="31217"/>
    <cellStyle name="Output 2 8 3 7 3 3" xfId="31218"/>
    <cellStyle name="Output 2 14 3 8 7" xfId="31219"/>
    <cellStyle name="Output 2 8 3 7 5" xfId="31220"/>
    <cellStyle name="Output 2 14 3 9" xfId="31221"/>
    <cellStyle name="Output 2 14 3 9 2" xfId="31222"/>
    <cellStyle name="Output 2 14 3 9 2 3" xfId="31223"/>
    <cellStyle name="Output 2 14 3 9 2 4" xfId="31224"/>
    <cellStyle name="Output 2 14 3 9 3" xfId="31225"/>
    <cellStyle name="Output 2 14 3 9 3 3" xfId="31226"/>
    <cellStyle name="Output 2 14 3 9 3 4" xfId="31227"/>
    <cellStyle name="Output 2 14 3 9 5 2" xfId="31228"/>
    <cellStyle name="Output 2 8 3 8 3 2" xfId="31229"/>
    <cellStyle name="Output 2 14 3 9 5 3" xfId="31230"/>
    <cellStyle name="Output 2 8 3 8 3 3" xfId="31231"/>
    <cellStyle name="Output 2 14 4" xfId="31232"/>
    <cellStyle name="Output 2 14 4 2" xfId="31233"/>
    <cellStyle name="Output 2 6 7 2 4" xfId="31234"/>
    <cellStyle name="Total 2 10 4 4 3" xfId="31235"/>
    <cellStyle name="Output 2 14 4 2 4" xfId="31236"/>
    <cellStyle name="Output 2 14 4 3 2" xfId="31237"/>
    <cellStyle name="Output 2 14 4 3 3" xfId="31238"/>
    <cellStyle name="Output 2 14 4 3 4" xfId="31239"/>
    <cellStyle name="Output 2 8 4 2 2" xfId="31240"/>
    <cellStyle name="Output 2 14 4 4" xfId="31241"/>
    <cellStyle name="Output 2 14 4 4 2" xfId="31242"/>
    <cellStyle name="Output 2 14 4 4 3" xfId="31243"/>
    <cellStyle name="Output 2 14 4 5 2" xfId="31244"/>
    <cellStyle name="Output 2 14 4 5 3" xfId="31245"/>
    <cellStyle name="Output 2 14 4 7" xfId="31246"/>
    <cellStyle name="Output 2 14 5" xfId="31247"/>
    <cellStyle name="Output 2 14 5 2" xfId="31248"/>
    <cellStyle name="Output 2 6 7 3 4" xfId="31249"/>
    <cellStyle name="Total 2 10 4 5 3" xfId="31250"/>
    <cellStyle name="Output 2 14 5 3 3" xfId="31251"/>
    <cellStyle name="Output 2 14 5 5 2" xfId="31252"/>
    <cellStyle name="Output 2 14 5 5 3" xfId="31253"/>
    <cellStyle name="Output 2 14 6" xfId="31254"/>
    <cellStyle name="Output 2 14 6 3" xfId="31255"/>
    <cellStyle name="Output 2 14 6 3 3" xfId="31256"/>
    <cellStyle name="Output 2 14 6 5 2" xfId="31257"/>
    <cellStyle name="Output 2 14 6 5 3" xfId="31258"/>
    <cellStyle name="Output 2 14 7" xfId="31259"/>
    <cellStyle name="Output 2 14 7 2 3" xfId="31260"/>
    <cellStyle name="Output 2 14 7 2 4" xfId="31261"/>
    <cellStyle name="Output 2 14 7 3" xfId="31262"/>
    <cellStyle name="Output 2 14 7 3 3" xfId="31263"/>
    <cellStyle name="Output 2 14 7 3 4" xfId="31264"/>
    <cellStyle name="Output 2 8 7 2 2" xfId="31265"/>
    <cellStyle name="Output 2 14 8" xfId="31266"/>
    <cellStyle name="Output 2 14 8 2" xfId="31267"/>
    <cellStyle name="Output 2 7 3 7 2 4" xfId="31268"/>
    <cellStyle name="Output 2 14 8 2 3" xfId="31269"/>
    <cellStyle name="Output 2 14 8 3 3" xfId="31270"/>
    <cellStyle name="Output 2 14 8 5 2" xfId="31271"/>
    <cellStyle name="Output 2 14 8 5 3" xfId="31272"/>
    <cellStyle name="Output 2 14 9" xfId="31273"/>
    <cellStyle name="Output 2 14 9 2" xfId="31274"/>
    <cellStyle name="Output 2 7 3 7 3 4" xfId="31275"/>
    <cellStyle name="Output 2 14 9 2 3" xfId="31276"/>
    <cellStyle name="Output 2 14 9 3 3" xfId="31277"/>
    <cellStyle name="Output 2 14 9 5 2" xfId="31278"/>
    <cellStyle name="Output 2 14 9 5 3" xfId="31279"/>
    <cellStyle name="Output 2 15 10" xfId="31280"/>
    <cellStyle name="Output 2 15 10 2" xfId="31281"/>
    <cellStyle name="Output 2 15 10 2 4" xfId="31282"/>
    <cellStyle name="Output 2 15 10 3" xfId="31283"/>
    <cellStyle name="Output 2 15 10 3 4" xfId="31284"/>
    <cellStyle name="Output 2 15 10 4" xfId="31285"/>
    <cellStyle name="Output 2 15 10 4 3" xfId="31286"/>
    <cellStyle name="Output 2 4 3 8 7" xfId="31287"/>
    <cellStyle name="Output 2 15 10 5" xfId="31288"/>
    <cellStyle name="Output 2 15 10 6" xfId="31289"/>
    <cellStyle name="Output 2 15 10 7" xfId="31290"/>
    <cellStyle name="Output 2 15 11" xfId="31291"/>
    <cellStyle name="Output 2 15 4 4 2" xfId="31292"/>
    <cellStyle name="Output 2 15 11 2" xfId="31293"/>
    <cellStyle name="Output 2 15 11 3" xfId="31294"/>
    <cellStyle name="Output 2 15 11 4" xfId="31295"/>
    <cellStyle name="Output 2 15 12" xfId="31296"/>
    <cellStyle name="Output 2 15 4 4 3" xfId="31297"/>
    <cellStyle name="Output 2 15 12 2" xfId="31298"/>
    <cellStyle name="Output 2 15 12 3" xfId="31299"/>
    <cellStyle name="Output 2 15 12 4" xfId="31300"/>
    <cellStyle name="Output 2 15 13" xfId="31301"/>
    <cellStyle name="Output 2 9 4 3 2" xfId="31302"/>
    <cellStyle name="Output 2 15 13 2" xfId="31303"/>
    <cellStyle name="Output 2 15 14" xfId="31304"/>
    <cellStyle name="Output 2 9 4 3 3" xfId="31305"/>
    <cellStyle name="Output 2 15 14 2" xfId="31306"/>
    <cellStyle name="Output 2 15 15" xfId="31307"/>
    <cellStyle name="Output 2 9 4 3 4" xfId="31308"/>
    <cellStyle name="Output 2 15 16" xfId="31309"/>
    <cellStyle name="Output 2 15 17" xfId="31310"/>
    <cellStyle name="Output 2 15 2 2" xfId="31311"/>
    <cellStyle name="Output 2 20 2 2" xfId="31312"/>
    <cellStyle name="Total 2 10 5 2 3" xfId="31313"/>
    <cellStyle name="Output 2 15 2 2 2" xfId="31314"/>
    <cellStyle name="Output 2 15 2 2 3" xfId="31315"/>
    <cellStyle name="Output 2 15 2 2 4" xfId="31316"/>
    <cellStyle name="Output 2 15 2 3" xfId="31317"/>
    <cellStyle name="Output 2 20 2 3" xfId="31318"/>
    <cellStyle name="Total 2 10 5 2 4" xfId="31319"/>
    <cellStyle name="Output 2 15 2 3 2" xfId="31320"/>
    <cellStyle name="Output 2 15 2 3 3" xfId="31321"/>
    <cellStyle name="Output 2 15 2 3 4" xfId="31322"/>
    <cellStyle name="Output 2 9 2 2 2" xfId="31323"/>
    <cellStyle name="Output 2 15 2 4" xfId="31324"/>
    <cellStyle name="Output 2 20 2 4" xfId="31325"/>
    <cellStyle name="Output 2 15 2 4 2" xfId="31326"/>
    <cellStyle name="Output 2 15 2 4 3" xfId="31327"/>
    <cellStyle name="Output 2 15 2 5 2" xfId="31328"/>
    <cellStyle name="Output 2 15 2 5 3" xfId="31329"/>
    <cellStyle name="Output 2 15 3 2 2" xfId="31330"/>
    <cellStyle name="Output 2 15 3 2 3" xfId="31331"/>
    <cellStyle name="Output 2 15 3 2 4" xfId="31332"/>
    <cellStyle name="Output 2 15 3 3 4" xfId="31333"/>
    <cellStyle name="Output 2 9 3 2 2" xfId="31334"/>
    <cellStyle name="Output 2 15 4 2" xfId="31335"/>
    <cellStyle name="Output 2 20 4 2" xfId="31336"/>
    <cellStyle name="Output 2 6 8 2 4" xfId="31337"/>
    <cellStyle name="Total 2 10 5 4 3" xfId="31338"/>
    <cellStyle name="Output 2 15 4 2 4" xfId="31339"/>
    <cellStyle name="Output 2 15 4 3 2" xfId="31340"/>
    <cellStyle name="Output 2 15 4 3 3" xfId="31341"/>
    <cellStyle name="Output 2 15 4 3 4" xfId="31342"/>
    <cellStyle name="Output 2 9 4 2 2" xfId="31343"/>
    <cellStyle name="Output 2 15 4 4" xfId="31344"/>
    <cellStyle name="Output 2 15 4 5 2" xfId="31345"/>
    <cellStyle name="Output 2 15 4 5 3" xfId="31346"/>
    <cellStyle name="Output 2 15 4 7" xfId="31347"/>
    <cellStyle name="Output 2 15 5 2" xfId="31348"/>
    <cellStyle name="Output 2 20 5 2" xfId="31349"/>
    <cellStyle name="Output 2 6 8 3 4" xfId="31350"/>
    <cellStyle name="Total 2 10 5 5 3" xfId="31351"/>
    <cellStyle name="Output 2 15 5 3" xfId="31352"/>
    <cellStyle name="Output 2 20 5 3" xfId="31353"/>
    <cellStyle name="Output 2 15 5 4" xfId="31354"/>
    <cellStyle name="Output 2 15 5 7" xfId="31355"/>
    <cellStyle name="Output 2 15 6 3" xfId="31356"/>
    <cellStyle name="Output 2 15 6 4" xfId="31357"/>
    <cellStyle name="Output 2 15 6 5" xfId="31358"/>
    <cellStyle name="Output 2 15 6 6" xfId="31359"/>
    <cellStyle name="Output 2 15 6 7" xfId="31360"/>
    <cellStyle name="Output 2 15 7" xfId="31361"/>
    <cellStyle name="Output 2 20 7" xfId="31362"/>
    <cellStyle name="Output 2 15 7 3" xfId="31363"/>
    <cellStyle name="Output 2 15 7 4" xfId="31364"/>
    <cellStyle name="Output 2 15 7 5" xfId="31365"/>
    <cellStyle name="Output 2 15 7 6" xfId="31366"/>
    <cellStyle name="Output 2 15 7 7" xfId="31367"/>
    <cellStyle name="Output 2 15 8" xfId="31368"/>
    <cellStyle name="Output 2 20 8" xfId="31369"/>
    <cellStyle name="Output 2 15 8 2" xfId="31370"/>
    <cellStyle name="Output 2 7 3 8 2 4" xfId="31371"/>
    <cellStyle name="Output 2 15 8 6" xfId="31372"/>
    <cellStyle name="Output 2 15 8 7" xfId="31373"/>
    <cellStyle name="Output 2 15 9" xfId="31374"/>
    <cellStyle name="Output 2 15 9 2" xfId="31375"/>
    <cellStyle name="Output 2 7 3 8 3 4" xfId="31376"/>
    <cellStyle name="Output 2 15 9 6" xfId="31377"/>
    <cellStyle name="Output 2 15 9 7" xfId="31378"/>
    <cellStyle name="Output 2 16 10 2" xfId="31379"/>
    <cellStyle name="Output 2 16 10 2 2" xfId="31380"/>
    <cellStyle name="Output 2 9 3 6 6" xfId="31381"/>
    <cellStyle name="Output 2 16 10 2 3" xfId="31382"/>
    <cellStyle name="Output 2 9 3 6 7" xfId="31383"/>
    <cellStyle name="Output 2 16 10 2 4" xfId="31384"/>
    <cellStyle name="Output 2 16 10 3" xfId="31385"/>
    <cellStyle name="Output 2 16 10 3 2" xfId="31386"/>
    <cellStyle name="Output 2 9 3 7 6" xfId="31387"/>
    <cellStyle name="Output 2 16 10 3 3" xfId="31388"/>
    <cellStyle name="Output 2 9 3 7 7" xfId="31389"/>
    <cellStyle name="Output 2 16 10 3 4" xfId="31390"/>
    <cellStyle name="Output 2 16 10 4" xfId="31391"/>
    <cellStyle name="Output 2 16 10 5" xfId="31392"/>
    <cellStyle name="Output 2 16 10 5 2" xfId="31393"/>
    <cellStyle name="Output 2 9 3 9 6" xfId="31394"/>
    <cellStyle name="Output 2 16 10 6" xfId="31395"/>
    <cellStyle name="Output 2 16 10 7" xfId="31396"/>
    <cellStyle name="Output 2 16 11 2" xfId="31397"/>
    <cellStyle name="Output 2 16 11 3" xfId="31398"/>
    <cellStyle name="Output 2 16 11 4" xfId="31399"/>
    <cellStyle name="Output 2 16 12" xfId="31400"/>
    <cellStyle name="Output 2 16 12 2" xfId="31401"/>
    <cellStyle name="Output 2 16 12 3" xfId="31402"/>
    <cellStyle name="Output 2 16 12 4" xfId="31403"/>
    <cellStyle name="Output 2 16 13" xfId="31404"/>
    <cellStyle name="Total 2 11 3 6 3 2" xfId="31405"/>
    <cellStyle name="Output 2 16 13 2" xfId="31406"/>
    <cellStyle name="Output 2 16 14" xfId="31407"/>
    <cellStyle name="Total 2 11 3 6 3 3" xfId="31408"/>
    <cellStyle name="Output 2 16 15" xfId="31409"/>
    <cellStyle name="Total 2 11 3 6 3 4" xfId="31410"/>
    <cellStyle name="Output 2 16 16" xfId="31411"/>
    <cellStyle name="Output 2 16 17" xfId="31412"/>
    <cellStyle name="Output 2 16 2 2" xfId="31413"/>
    <cellStyle name="Output 2 21 2 2" xfId="31414"/>
    <cellStyle name="Total 2 10 6 2 3" xfId="31415"/>
    <cellStyle name="Output 2 16 2 2 2" xfId="31416"/>
    <cellStyle name="Output 2 16 2 2 3" xfId="31417"/>
    <cellStyle name="Output 2 16 2 2 4" xfId="31418"/>
    <cellStyle name="Output 2 16 2 3" xfId="31419"/>
    <cellStyle name="Output 2 21 2 3" xfId="31420"/>
    <cellStyle name="Total 2 10 6 2 4" xfId="31421"/>
    <cellStyle name="Output 2 16 2 3 2" xfId="31422"/>
    <cellStyle name="Output 2 16 2 3 3" xfId="31423"/>
    <cellStyle name="Output 2 16 2 3 4" xfId="31424"/>
    <cellStyle name="Output 2 16 2 4" xfId="31425"/>
    <cellStyle name="Output 2 21 2 4" xfId="31426"/>
    <cellStyle name="Output 2 16 2 4 2" xfId="31427"/>
    <cellStyle name="Output 2 16 2 4 3" xfId="31428"/>
    <cellStyle name="Output 2 16 2 5 2" xfId="31429"/>
    <cellStyle name="Output 2 16 2 5 3" xfId="31430"/>
    <cellStyle name="Output 2 16 3 2 2" xfId="31431"/>
    <cellStyle name="Output 2 16 3 2 3" xfId="31432"/>
    <cellStyle name="Output 2 16 3 2 4" xfId="31433"/>
    <cellStyle name="Output 2 16 3 3 4" xfId="31434"/>
    <cellStyle name="Output 2 16 3 4 2" xfId="31435"/>
    <cellStyle name="Output 2 16 3 4 3" xfId="31436"/>
    <cellStyle name="Output 2 16 3 5 2" xfId="31437"/>
    <cellStyle name="Output 2 16 3 5 3" xfId="31438"/>
    <cellStyle name="Output 2 16 4 2" xfId="31439"/>
    <cellStyle name="Output 2 21 4 2" xfId="31440"/>
    <cellStyle name="Output 2 6 9 2 4" xfId="31441"/>
    <cellStyle name="Total 2 10 6 4 3" xfId="31442"/>
    <cellStyle name="Output 2 16 4 2 4" xfId="31443"/>
    <cellStyle name="Output 2 16 4 3 3" xfId="31444"/>
    <cellStyle name="Output 2 16 4 4" xfId="31445"/>
    <cellStyle name="Output 2 16 4 4 2" xfId="31446"/>
    <cellStyle name="Output 2 16 4 4 3" xfId="31447"/>
    <cellStyle name="Output 2 16 4 5 2" xfId="31448"/>
    <cellStyle name="Output 2 16 4 5 3" xfId="31449"/>
    <cellStyle name="Output 2 16 5 2" xfId="31450"/>
    <cellStyle name="Output 2 21 5 2" xfId="31451"/>
    <cellStyle name="Output 2 6 9 3 4" xfId="31452"/>
    <cellStyle name="Total 2 10 6 5 3" xfId="31453"/>
    <cellStyle name="Output 2 16 5 3" xfId="31454"/>
    <cellStyle name="Output 2 21 5 3" xfId="31455"/>
    <cellStyle name="Output 2 16 5 3 3" xfId="31456"/>
    <cellStyle name="Output 2 3 3 13" xfId="31457"/>
    <cellStyle name="Output 2 16 5 4" xfId="31458"/>
    <cellStyle name="Output 2 16 5 4 3" xfId="31459"/>
    <cellStyle name="Output 2 16 5 5 2" xfId="31460"/>
    <cellStyle name="Output 2 16 5 5 3" xfId="31461"/>
    <cellStyle name="Output 2 16 5 7" xfId="31462"/>
    <cellStyle name="Output 2 16 6 2" xfId="31463"/>
    <cellStyle name="Output 2 16 6 2 2" xfId="31464"/>
    <cellStyle name="Output 2 16 6 2 3" xfId="31465"/>
    <cellStyle name="Output 2 16 6 3" xfId="31466"/>
    <cellStyle name="Output 2 16 6 3 2" xfId="31467"/>
    <cellStyle name="Output 2 16 6 3 3" xfId="31468"/>
    <cellStyle name="Output 2 16 6 4" xfId="31469"/>
    <cellStyle name="Output 2 16 6 4 2" xfId="31470"/>
    <cellStyle name="Output 2 16 6 4 3" xfId="31471"/>
    <cellStyle name="Output 2 16 6 5" xfId="31472"/>
    <cellStyle name="Output 2 16 6 5 2" xfId="31473"/>
    <cellStyle name="Output 2 16 6 5 3" xfId="31474"/>
    <cellStyle name="Output 2 16 6 6" xfId="31475"/>
    <cellStyle name="Output 2 16 6 7" xfId="31476"/>
    <cellStyle name="Output 2 16 7" xfId="31477"/>
    <cellStyle name="Output 2 21 7" xfId="31478"/>
    <cellStyle name="Output 2 16 7 2" xfId="31479"/>
    <cellStyle name="Output 2 16 7 2 2" xfId="31480"/>
    <cellStyle name="Output 2 16 7 3" xfId="31481"/>
    <cellStyle name="Output 2 16 7 3 2" xfId="31482"/>
    <cellStyle name="Output 2 16 7 4" xfId="31483"/>
    <cellStyle name="Output 2 16 7 4 2" xfId="31484"/>
    <cellStyle name="Output 2 16 7 5" xfId="31485"/>
    <cellStyle name="Output 2 16 7 5 2" xfId="31486"/>
    <cellStyle name="Output 2 16 7 6" xfId="31487"/>
    <cellStyle name="Output 2 16 7 7" xfId="31488"/>
    <cellStyle name="Output 2 16 8" xfId="31489"/>
    <cellStyle name="Output 2 21 8" xfId="31490"/>
    <cellStyle name="Output 2 16 8 2" xfId="31491"/>
    <cellStyle name="Output 2 7 3 9 2 4" xfId="31492"/>
    <cellStyle name="Output 2 16 8 2 2" xfId="31493"/>
    <cellStyle name="Output 2 16 8 2 3" xfId="31494"/>
    <cellStyle name="Output 2 16 8 3" xfId="31495"/>
    <cellStyle name="Output 2 16 8 3 2" xfId="31496"/>
    <cellStyle name="Output 2 9 3 10 7" xfId="31497"/>
    <cellStyle name="Output 2 16 8 3 3" xfId="31498"/>
    <cellStyle name="Output 2 16 8 4" xfId="31499"/>
    <cellStyle name="Output 2 16 8 4 2" xfId="31500"/>
    <cellStyle name="Output 2 16 8 4 3" xfId="31501"/>
    <cellStyle name="Output 2 16 8 5" xfId="31502"/>
    <cellStyle name="Output 2 16 8 5 2" xfId="31503"/>
    <cellStyle name="Output 2 16 8 5 3" xfId="31504"/>
    <cellStyle name="Output 2 16 8 6" xfId="31505"/>
    <cellStyle name="Output 2 16 8 7" xfId="31506"/>
    <cellStyle name="Output 2 16 9" xfId="31507"/>
    <cellStyle name="Output 2 16 9 2" xfId="31508"/>
    <cellStyle name="Output 2 7 3 9 3 4" xfId="31509"/>
    <cellStyle name="Output 2 16 9 2 2" xfId="31510"/>
    <cellStyle name="Output 2 16 9 2 3" xfId="31511"/>
    <cellStyle name="Output 2 16 9 3" xfId="31512"/>
    <cellStyle name="Output 2 16 9 3 2" xfId="31513"/>
    <cellStyle name="Output 2 16 9 3 3" xfId="31514"/>
    <cellStyle name="Output 2 16 9 4" xfId="31515"/>
    <cellStyle name="Output 2 16 9 4 2" xfId="31516"/>
    <cellStyle name="Output 2 16 9 4 3" xfId="31517"/>
    <cellStyle name="Output 2 16 9 5" xfId="31518"/>
    <cellStyle name="Output 2 16 9 5 2" xfId="31519"/>
    <cellStyle name="Output 2 16 9 5 3" xfId="31520"/>
    <cellStyle name="Output 2 16 9 6" xfId="31521"/>
    <cellStyle name="Output 2 16 9 7" xfId="31522"/>
    <cellStyle name="Output 2 17 2 2" xfId="31523"/>
    <cellStyle name="Output 2 22 2 2" xfId="31524"/>
    <cellStyle name="Total 2 10 7 2 3" xfId="31525"/>
    <cellStyle name="Output 2 17 2 3" xfId="31526"/>
    <cellStyle name="Output 2 22 2 3" xfId="31527"/>
    <cellStyle name="Total 2 10 7 2 4" xfId="31528"/>
    <cellStyle name="Output 2 17 2 4" xfId="31529"/>
    <cellStyle name="Output 2 22 2 4" xfId="31530"/>
    <cellStyle name="Output 2 17 3 2" xfId="31531"/>
    <cellStyle name="Output 2 22 3 2" xfId="31532"/>
    <cellStyle name="Total 2 10 7 3 3" xfId="31533"/>
    <cellStyle name="Output 2 17 3 3" xfId="31534"/>
    <cellStyle name="Output 2 22 3 3" xfId="31535"/>
    <cellStyle name="Total 2 10 7 3 4" xfId="31536"/>
    <cellStyle name="Output 2 17 3 4" xfId="31537"/>
    <cellStyle name="Output 2 22 3 4" xfId="31538"/>
    <cellStyle name="Output 2 17 4 2" xfId="31539"/>
    <cellStyle name="Output 2 22 4 2" xfId="31540"/>
    <cellStyle name="Total 2 10 7 4 3" xfId="31541"/>
    <cellStyle name="Output 2 17 4 3" xfId="31542"/>
    <cellStyle name="Output 2 22 4 3" xfId="31543"/>
    <cellStyle name="Output 2 17 5 2" xfId="31544"/>
    <cellStyle name="Output 2 22 5 2" xfId="31545"/>
    <cellStyle name="Total 2 10 7 5 3" xfId="31546"/>
    <cellStyle name="Output 2 17 5 3" xfId="31547"/>
    <cellStyle name="Output 2 22 5 3" xfId="31548"/>
    <cellStyle name="Output 2 17 6" xfId="31549"/>
    <cellStyle name="Output 2 22 6" xfId="31550"/>
    <cellStyle name="Output 2 17 7" xfId="31551"/>
    <cellStyle name="Output 2 22 7" xfId="31552"/>
    <cellStyle name="Output 2 17 8" xfId="31553"/>
    <cellStyle name="Output 2 22 8" xfId="31554"/>
    <cellStyle name="Output 2 19 2 2" xfId="31555"/>
    <cellStyle name="Output 2 24 2 2" xfId="31556"/>
    <cellStyle name="Total 2 10 9 2 3" xfId="31557"/>
    <cellStyle name="Output 2 19 2 3" xfId="31558"/>
    <cellStyle name="Output 2 24 2 3" xfId="31559"/>
    <cellStyle name="Total 2 10 9 2 4" xfId="31560"/>
    <cellStyle name="Output 2 19 2 4" xfId="31561"/>
    <cellStyle name="Output 2 24 2 4" xfId="31562"/>
    <cellStyle name="Output 2 19 3 2" xfId="31563"/>
    <cellStyle name="Output 2 24 3 2" xfId="31564"/>
    <cellStyle name="Total 2 10 9 3 3" xfId="31565"/>
    <cellStyle name="Output 2 19 3 3" xfId="31566"/>
    <cellStyle name="Output 2 24 3 3" xfId="31567"/>
    <cellStyle name="Total 2 10 9 3 4" xfId="31568"/>
    <cellStyle name="Output 2 19 3 4" xfId="31569"/>
    <cellStyle name="Output 2 24 3 4" xfId="31570"/>
    <cellStyle name="Output 2 19 4 2" xfId="31571"/>
    <cellStyle name="Output 2 24 4 2" xfId="31572"/>
    <cellStyle name="Total 2 10 9 4 3" xfId="31573"/>
    <cellStyle name="Output 2 19 4 3" xfId="31574"/>
    <cellStyle name="Output 2 24 4 3" xfId="31575"/>
    <cellStyle name="Output 2 19 5" xfId="31576"/>
    <cellStyle name="Output 2 24 5" xfId="31577"/>
    <cellStyle name="Output 2 19 5 2" xfId="31578"/>
    <cellStyle name="Output 2 24 5 2" xfId="31579"/>
    <cellStyle name="Total 2 10 9 5 3" xfId="31580"/>
    <cellStyle name="Output 2 19 5 3" xfId="31581"/>
    <cellStyle name="Output 2 24 5 3" xfId="31582"/>
    <cellStyle name="Output 2 2 10 2 2" xfId="31583"/>
    <cellStyle name="Output 2 2 10 2 3" xfId="31584"/>
    <cellStyle name="Output 2 2 11 2 2" xfId="31585"/>
    <cellStyle name="Output 2 2 11 2 3" xfId="31586"/>
    <cellStyle name="Output 2 2 18" xfId="31587"/>
    <cellStyle name="Output 2 2 19" xfId="31588"/>
    <cellStyle name="Output 2 2 2" xfId="31589"/>
    <cellStyle name="Output 2 2 2 10" xfId="31590"/>
    <cellStyle name="Total 2 10 12 2" xfId="31591"/>
    <cellStyle name="Output 2 2 2 10 2" xfId="31592"/>
    <cellStyle name="Total 2 10 12 2 2" xfId="31593"/>
    <cellStyle name="Output 2 2 2 10 2 4" xfId="31594"/>
    <cellStyle name="Output 2 2 2 10 3 4" xfId="31595"/>
    <cellStyle name="Output 2 2 2 10 6" xfId="31596"/>
    <cellStyle name="Output 2 2 2 10 7" xfId="31597"/>
    <cellStyle name="Output 2 2 2 11 2" xfId="31598"/>
    <cellStyle name="Total 2 10 12 3 2" xfId="31599"/>
    <cellStyle name="Output 2 2 2 12 2" xfId="31600"/>
    <cellStyle name="Total 2 10 12 4 2" xfId="31601"/>
    <cellStyle name="Output 2 2 2 13" xfId="31602"/>
    <cellStyle name="Total 2 10 12 5" xfId="31603"/>
    <cellStyle name="Output 2 2 2 13 2" xfId="31604"/>
    <cellStyle name="Total 2 10 12 5 2" xfId="31605"/>
    <cellStyle name="Output 2 2 2 2" xfId="31606"/>
    <cellStyle name="Output 2 2 2 2 2" xfId="31607"/>
    <cellStyle name="Output 2 2 2 2 2 2" xfId="31608"/>
    <cellStyle name="Output 2 2 2 2 2 2 2 2" xfId="31609"/>
    <cellStyle name="Output 2 2 2 2 2 2 2 2 2" xfId="31610"/>
    <cellStyle name="Output 2 2 2 2 2 2 2 2 2 2" xfId="31611"/>
    <cellStyle name="Output 2 2 2 2 2 2 2 2 2 3" xfId="31612"/>
    <cellStyle name="Output 2 2 2 2 2 2 2 2 3" xfId="31613"/>
    <cellStyle name="Output 2 3 2 2 2" xfId="31614"/>
    <cellStyle name="Output 2 2 2 2 2 2 3" xfId="31615"/>
    <cellStyle name="Output 2 2 2 2 2 3" xfId="31616"/>
    <cellStyle name="Output 2 2 2 2 2 3 2" xfId="31617"/>
    <cellStyle name="Output 2 2 2 2 2 3 2 2" xfId="31618"/>
    <cellStyle name="Output 2 2 2 2 3" xfId="31619"/>
    <cellStyle name="Output 2 2 2 2 3 2" xfId="31620"/>
    <cellStyle name="Output 2 2 2 2 3 3" xfId="31621"/>
    <cellStyle name="Output 2 2 2 2 3 4" xfId="31622"/>
    <cellStyle name="Output 2 2 2 2 4" xfId="31623"/>
    <cellStyle name="Output 2 2 2 2 4 2" xfId="31624"/>
    <cellStyle name="Output 2 2 2 2 4 2 2" xfId="31625"/>
    <cellStyle name="Output 2 2 2 2 4 3" xfId="31626"/>
    <cellStyle name="Output 2 2 2 2 5 2" xfId="31627"/>
    <cellStyle name="Output 2 2 2 2 5 2 2" xfId="31628"/>
    <cellStyle name="Output 2 2 2 2 5 3" xfId="31629"/>
    <cellStyle name="Output 2 2 2 2 6 2 2" xfId="31630"/>
    <cellStyle name="Output 2 2 2 2 6 3" xfId="31631"/>
    <cellStyle name="Output 2 2 2 3 3" xfId="31632"/>
    <cellStyle name="Output 2 2 2 3 4" xfId="31633"/>
    <cellStyle name="Output 2 2 2 4 2" xfId="31634"/>
    <cellStyle name="Output 2 2 2 4 2 2" xfId="31635"/>
    <cellStyle name="Output 2 2 2 4 2 2 2 2 2 2" xfId="31636"/>
    <cellStyle name="Output 2 2 2 4 2 2 3" xfId="31637"/>
    <cellStyle name="Output 2 2 2 4 3" xfId="31638"/>
    <cellStyle name="Output 2 2 2 4 3 2" xfId="31639"/>
    <cellStyle name="Output 2 2 2 4 3 2 2" xfId="31640"/>
    <cellStyle name="Output 2 2 2 4 4" xfId="31641"/>
    <cellStyle name="Output 2 2 2 4 4 2" xfId="31642"/>
    <cellStyle name="Output 2 2 2 4 5 2" xfId="31643"/>
    <cellStyle name="Output 2 2 2 4 6 2 2" xfId="31644"/>
    <cellStyle name="Output 2 2 2 5 2" xfId="31645"/>
    <cellStyle name="Output 2 2 2 5 2 2" xfId="31646"/>
    <cellStyle name="Output 2 2 2 5 2 3" xfId="31647"/>
    <cellStyle name="Output 2 2 2 5 3" xfId="31648"/>
    <cellStyle name="Output 2 2 2 5 3 2" xfId="31649"/>
    <cellStyle name="Output 2 2 2 5 3 3" xfId="31650"/>
    <cellStyle name="Output 2 2 2 5 4" xfId="31651"/>
    <cellStyle name="Output 2 2 2 5 4 2" xfId="31652"/>
    <cellStyle name="Output 2 2 2 5 5 2" xfId="31653"/>
    <cellStyle name="Output 2 2 2 5 5 3" xfId="31654"/>
    <cellStyle name="Output 2 2 2 6 2" xfId="31655"/>
    <cellStyle name="Output 2 2 2 6 2 2" xfId="31656"/>
    <cellStyle name="Output 2 2 2 6 2 3" xfId="31657"/>
    <cellStyle name="Output 2 2 2 6 2 4" xfId="31658"/>
    <cellStyle name="Total 2 11 2 6 5 2" xfId="31659"/>
    <cellStyle name="Output 2 2 2 6 3" xfId="31660"/>
    <cellStyle name="Output 2 2 2 6 3 2" xfId="31661"/>
    <cellStyle name="Output 2 2 2 6 3 3" xfId="31662"/>
    <cellStyle name="Output 2 2 2 6 3 4" xfId="31663"/>
    <cellStyle name="Output 2 2 2 6 4" xfId="31664"/>
    <cellStyle name="Output 2 2 2 6 4 2" xfId="31665"/>
    <cellStyle name="Output 2 2 2 6 4 3" xfId="31666"/>
    <cellStyle name="Output 2 2 2 6 5 2" xfId="31667"/>
    <cellStyle name="Output 2 6 2 2 7" xfId="31668"/>
    <cellStyle name="Output 2 2 2 6 5 3" xfId="31669"/>
    <cellStyle name="Output 2 2 2 7 2" xfId="31670"/>
    <cellStyle name="Output 2 2 2 7 2 3" xfId="31671"/>
    <cellStyle name="Output 2 2 2 7 2 4" xfId="31672"/>
    <cellStyle name="Total 2 11 2 7 5 2" xfId="31673"/>
    <cellStyle name="Output 2 2 2 7 3" xfId="31674"/>
    <cellStyle name="Output 2 2 2 8" xfId="31675"/>
    <cellStyle name="Output 2 2 2 8 2" xfId="31676"/>
    <cellStyle name="Output 2 2 2 8 2 2" xfId="31677"/>
    <cellStyle name="Output 2 2 2 8 2 3" xfId="31678"/>
    <cellStyle name="Output 2 2 2 8 2 4" xfId="31679"/>
    <cellStyle name="Total 2 11 2 8 5 2" xfId="31680"/>
    <cellStyle name="Output 2 2 2 9" xfId="31681"/>
    <cellStyle name="Output 2 2 2 9 2" xfId="31682"/>
    <cellStyle name="Output 2 2 3" xfId="31683"/>
    <cellStyle name="Output 2 2 3 10" xfId="31684"/>
    <cellStyle name="Output 2 6 3 10 4" xfId="31685"/>
    <cellStyle name="Output 2 2 3 10 2 2" xfId="31686"/>
    <cellStyle name="Output 2 2 3 10 2 3" xfId="31687"/>
    <cellStyle name="Total 2 10 2 10 2 2" xfId="31688"/>
    <cellStyle name="Output 2 2 3 10 2 4" xfId="31689"/>
    <cellStyle name="Total 2 10 2 10 2 3" xfId="31690"/>
    <cellStyle name="Output 2 2 3 10 3 2" xfId="31691"/>
    <cellStyle name="Output 2 2 3 10 3 3" xfId="31692"/>
    <cellStyle name="Total 2 10 2 10 3 2" xfId="31693"/>
    <cellStyle name="Output 2 2 3 10 3 4" xfId="31694"/>
    <cellStyle name="Total 2 10 2 10 3 3" xfId="31695"/>
    <cellStyle name="Output 2 2 3 10 5" xfId="31696"/>
    <cellStyle name="Output 2 2 3 10 6" xfId="31697"/>
    <cellStyle name="Output 2 2 3 11" xfId="31698"/>
    <cellStyle name="Output 2 6 3 10 5" xfId="31699"/>
    <cellStyle name="Output 2 2 3 11 2" xfId="31700"/>
    <cellStyle name="Output 2 6 3 10 5 2" xfId="31701"/>
    <cellStyle name="Total 2 14 2 10 5 2" xfId="31702"/>
    <cellStyle name="Output 2 2 3 11 3" xfId="31703"/>
    <cellStyle name="Output 2 6 3 10 5 3" xfId="31704"/>
    <cellStyle name="Total 2 14 2 10 5 3" xfId="31705"/>
    <cellStyle name="Output 2 2 3 11 4" xfId="31706"/>
    <cellStyle name="Output 2 2 3 12" xfId="31707"/>
    <cellStyle name="Output 2 6 3 10 6" xfId="31708"/>
    <cellStyle name="Output 2 2 3 12 2" xfId="31709"/>
    <cellStyle name="Output 2 2 3 12 3" xfId="31710"/>
    <cellStyle name="Output 2 2 3 12 4" xfId="31711"/>
    <cellStyle name="Output 2 2 3 13 2" xfId="31712"/>
    <cellStyle name="Output 2 2 3 13 3" xfId="31713"/>
    <cellStyle name="Output 2 2 3 15 2 2" xfId="31714"/>
    <cellStyle name="Output 2 2 3 17" xfId="31715"/>
    <cellStyle name="Output 2 2 3 2" xfId="31716"/>
    <cellStyle name="Output 2 2 3 2 2" xfId="31717"/>
    <cellStyle name="Output 2 2 3 2 2 3" xfId="31718"/>
    <cellStyle name="Output 2 2 3 2 3" xfId="31719"/>
    <cellStyle name="Output 2 2 3 2 4" xfId="31720"/>
    <cellStyle name="Output 2 2 3 2 4 2" xfId="31721"/>
    <cellStyle name="Output 2 2 3 2 4 3" xfId="31722"/>
    <cellStyle name="Output 2 2 3 2 5 2" xfId="31723"/>
    <cellStyle name="Output 2 2 3 2 5 3" xfId="31724"/>
    <cellStyle name="Output 2 2 3 3" xfId="31725"/>
    <cellStyle name="Output 2 2 3 3 2" xfId="31726"/>
    <cellStyle name="Output 2 2 3 3 2 2" xfId="31727"/>
    <cellStyle name="Output 2 2 3 3 2 3" xfId="31728"/>
    <cellStyle name="Output 2 2 3 3 3" xfId="31729"/>
    <cellStyle name="Output 2 2 3 3 4" xfId="31730"/>
    <cellStyle name="Output 2 2 3 3 4 2" xfId="31731"/>
    <cellStyle name="Output 2 2 3 3 4 3" xfId="31732"/>
    <cellStyle name="Output 2 2 3 3 5 2" xfId="31733"/>
    <cellStyle name="Output 2 2 3 3 5 3" xfId="31734"/>
    <cellStyle name="Output 2 2 3 4 2" xfId="31735"/>
    <cellStyle name="Output 2 2 3 4 3" xfId="31736"/>
    <cellStyle name="Output 2 2 3 4 4" xfId="31737"/>
    <cellStyle name="Output 2 2 3 5 2" xfId="31738"/>
    <cellStyle name="Output 2 2 3 5 2 2" xfId="31739"/>
    <cellStyle name="Output 2 2 3 5 2 3" xfId="31740"/>
    <cellStyle name="Output 2 2 3 5 3" xfId="31741"/>
    <cellStyle name="Output 2 2 3 5 3 2" xfId="31742"/>
    <cellStyle name="Output 2 2 3 5 3 3" xfId="31743"/>
    <cellStyle name="Output 2 2 3 5 4" xfId="31744"/>
    <cellStyle name="Output 2 2 3 5 4 2" xfId="31745"/>
    <cellStyle name="Output 2 2 3 5 4 3" xfId="31746"/>
    <cellStyle name="Output 2 2 3 6 2" xfId="31747"/>
    <cellStyle name="Output 2 2 3 6 3" xfId="31748"/>
    <cellStyle name="Output 2 2 3 6 3 2" xfId="31749"/>
    <cellStyle name="Output 2 2 3 6 3 3" xfId="31750"/>
    <cellStyle name="Output 2 2 3 6 3 4" xfId="31751"/>
    <cellStyle name="Output 2 2 3 6 4" xfId="31752"/>
    <cellStyle name="Output 2 2 3 6 4 2" xfId="31753"/>
    <cellStyle name="Output 2 2 3 6 4 3" xfId="31754"/>
    <cellStyle name="Output 2 2 3 6 5 2" xfId="31755"/>
    <cellStyle name="Output 2 7 2 2 7" xfId="31756"/>
    <cellStyle name="Output 2 2 3 6 5 3" xfId="31757"/>
    <cellStyle name="Output 2 2 3 7 2" xfId="31758"/>
    <cellStyle name="Output 2 2 3 7 3 3" xfId="31759"/>
    <cellStyle name="Output 2 2 3 7 3 4" xfId="31760"/>
    <cellStyle name="Output 2 2 3 7 4" xfId="31761"/>
    <cellStyle name="Output 2 2 3 7 4 2" xfId="31762"/>
    <cellStyle name="Output 2 2 3 7 4 3" xfId="31763"/>
    <cellStyle name="Output 2 2 3 7 5 2" xfId="31764"/>
    <cellStyle name="Output 2 7 3 2 7" xfId="31765"/>
    <cellStyle name="Output 2 2 3 7 5 3" xfId="31766"/>
    <cellStyle name="Output 2 2 3 8" xfId="31767"/>
    <cellStyle name="Output 2 2 3 8 2" xfId="31768"/>
    <cellStyle name="Output 2 2 3 8 2 2" xfId="31769"/>
    <cellStyle name="Output 2 2 3 8 2 3" xfId="31770"/>
    <cellStyle name="Output 2 2 3 8 2 4" xfId="31771"/>
    <cellStyle name="Output 2 2 3 8 3 2" xfId="31772"/>
    <cellStyle name="Output 2 2 3 8 3 3" xfId="31773"/>
    <cellStyle name="Output 2 2 3 8 3 4" xfId="31774"/>
    <cellStyle name="Output 2 2 3 8 4 2" xfId="31775"/>
    <cellStyle name="Output 2 2 3 8 4 3" xfId="31776"/>
    <cellStyle name="Output 2 2 3 8 5 2" xfId="31777"/>
    <cellStyle name="Output 2 2 3 8 5 3" xfId="31778"/>
    <cellStyle name="Output 2 2 3 8 7" xfId="31779"/>
    <cellStyle name="Output 2 2 3 9" xfId="31780"/>
    <cellStyle name="Output 2 2 3 9 2" xfId="31781"/>
    <cellStyle name="Output 2 2 3 9 2 4" xfId="31782"/>
    <cellStyle name="Total 2 11 3 10 7" xfId="31783"/>
    <cellStyle name="Output 2 2 3 9 3 4" xfId="31784"/>
    <cellStyle name="Output 2 2 4" xfId="31785"/>
    <cellStyle name="Output 2 2 4 2" xfId="31786"/>
    <cellStyle name="Output 2 2 4 2 2" xfId="31787"/>
    <cellStyle name="Output 2 2 4 2 3" xfId="31788"/>
    <cellStyle name="Output 2 2 4 2 4" xfId="31789"/>
    <cellStyle name="Output 2 2 5" xfId="31790"/>
    <cellStyle name="Output 2 2 5 2" xfId="31791"/>
    <cellStyle name="Output 2 2 5 2 2 2" xfId="31792"/>
    <cellStyle name="Output 2 2 5 2 2 2 2" xfId="31793"/>
    <cellStyle name="Output 2 2 5 2 2 2 2 2" xfId="31794"/>
    <cellStyle name="Output 2 2 5 2 2 2 2 2 2" xfId="31795"/>
    <cellStyle name="Output 2 2 5 2 2 2 3" xfId="31796"/>
    <cellStyle name="Output 2 2 5 6 2 2" xfId="31797"/>
    <cellStyle name="Output 2 2 5 7" xfId="31798"/>
    <cellStyle name="Output 2 2 6" xfId="31799"/>
    <cellStyle name="Output 2 2 6 2" xfId="31800"/>
    <cellStyle name="Output 2 2 6 6 2 2" xfId="31801"/>
    <cellStyle name="Output 2 2 7" xfId="31802"/>
    <cellStyle name="Output 2 2 7 2" xfId="31803"/>
    <cellStyle name="Output 2 2 7 3 4" xfId="31804"/>
    <cellStyle name="Output 2 2 7 6" xfId="31805"/>
    <cellStyle name="Output 2 2 7 6 2 2" xfId="31806"/>
    <cellStyle name="Output 2 2 8" xfId="31807"/>
    <cellStyle name="Output 2 2 8 2" xfId="31808"/>
    <cellStyle name="Output 2 2 8 2 4" xfId="31809"/>
    <cellStyle name="Output 2 2 8 3 4" xfId="31810"/>
    <cellStyle name="Output 2 2 8 4 2" xfId="31811"/>
    <cellStyle name="Output 2 2 8 4 3" xfId="31812"/>
    <cellStyle name="Output 2 2 8 6" xfId="31813"/>
    <cellStyle name="Total 2 13 2 7 5 3" xfId="31814"/>
    <cellStyle name="Output 2 2 8 6 2 2" xfId="31815"/>
    <cellStyle name="Output 2 2 9" xfId="31816"/>
    <cellStyle name="Output 2 2 9 2" xfId="31817"/>
    <cellStyle name="Output 2 2 9 2 2" xfId="31818"/>
    <cellStyle name="Output 2 2 9 2 4" xfId="31819"/>
    <cellStyle name="Output 2 2 9 3 2" xfId="31820"/>
    <cellStyle name="Output 2 2 9 3 3" xfId="31821"/>
    <cellStyle name="Output 2 2 9 3 4" xfId="31822"/>
    <cellStyle name="Output 2 2 9 4" xfId="31823"/>
    <cellStyle name="Output 2 2 9 4 2" xfId="31824"/>
    <cellStyle name="Output 2 2 9 4 3" xfId="31825"/>
    <cellStyle name="Output 2 2 9 5" xfId="31826"/>
    <cellStyle name="Output 2 2 9 6" xfId="31827"/>
    <cellStyle name="Output 2 2 9 6 2" xfId="31828"/>
    <cellStyle name="Total 2 13 3 7 5 3" xfId="31829"/>
    <cellStyle name="Output 2 2 9 6 2 2" xfId="31830"/>
    <cellStyle name="Output 2 25 2 2" xfId="31831"/>
    <cellStyle name="Output 2 25 2 3" xfId="31832"/>
    <cellStyle name="Output 2 25 2 4" xfId="31833"/>
    <cellStyle name="Output 2 25 3 2" xfId="31834"/>
    <cellStyle name="Output 2 25 3 3" xfId="31835"/>
    <cellStyle name="Output 2 25 3 4" xfId="31836"/>
    <cellStyle name="Output 2 25 4 2" xfId="31837"/>
    <cellStyle name="Output 2 25 4 3" xfId="31838"/>
    <cellStyle name="Output 2 25 5" xfId="31839"/>
    <cellStyle name="Output 2 25 5 2" xfId="31840"/>
    <cellStyle name="Output 2 25 5 3" xfId="31841"/>
    <cellStyle name="Output 2 25 8" xfId="31842"/>
    <cellStyle name="Output 2 26 4" xfId="31843"/>
    <cellStyle name="Output 2 26 5" xfId="31844"/>
    <cellStyle name="Output 2 27 4" xfId="31845"/>
    <cellStyle name="Output 2 27 5" xfId="31846"/>
    <cellStyle name="Output 2 28 2" xfId="31847"/>
    <cellStyle name="Output 2 28 3" xfId="31848"/>
    <cellStyle name="Output 2 28 4" xfId="31849"/>
    <cellStyle name="Output 2 29 2" xfId="31850"/>
    <cellStyle name="Output 2 29 3" xfId="31851"/>
    <cellStyle name="Output 2 29 4" xfId="31852"/>
    <cellStyle name="Output 2 3 10 2" xfId="31853"/>
    <cellStyle name="Output 2 3 10 2 2" xfId="31854"/>
    <cellStyle name="Output 2 3 10 2 3" xfId="31855"/>
    <cellStyle name="Output 2 3 10 2 4" xfId="31856"/>
    <cellStyle name="Output 2 3 11 2" xfId="31857"/>
    <cellStyle name="Output 2 3 11 2 2" xfId="31858"/>
    <cellStyle name="Output 2 3 11 2 3" xfId="31859"/>
    <cellStyle name="Output 2 3 11 2 4" xfId="31860"/>
    <cellStyle name="Output 2 3 11 3 2" xfId="31861"/>
    <cellStyle name="Output 2 3 11 3 3" xfId="31862"/>
    <cellStyle name="Output 2 3 11 3 4" xfId="31863"/>
    <cellStyle name="Output 2 3 11 4 2" xfId="31864"/>
    <cellStyle name="Output 2 3 11 4 3" xfId="31865"/>
    <cellStyle name="Output 2 3 11 5 2" xfId="31866"/>
    <cellStyle name="Output 2 3 11 5 3" xfId="31867"/>
    <cellStyle name="Output 2 3 12 2" xfId="31868"/>
    <cellStyle name="Output 2 3 13 2" xfId="31869"/>
    <cellStyle name="Output 2 3 14" xfId="31870"/>
    <cellStyle name="Output 2 3 14 2" xfId="31871"/>
    <cellStyle name="Output 2 3 17" xfId="31872"/>
    <cellStyle name="Output 2 3 18" xfId="31873"/>
    <cellStyle name="Output 2 3 19" xfId="31874"/>
    <cellStyle name="Output 2 3 2 2 2 2" xfId="31875"/>
    <cellStyle name="Output 2 3 2 2 2 3" xfId="31876"/>
    <cellStyle name="Output 2 3 2 2 2 4" xfId="31877"/>
    <cellStyle name="Output 2 3 2 2 3" xfId="31878"/>
    <cellStyle name="Output 2 3 2 2 3 2" xfId="31879"/>
    <cellStyle name="Output 2 3 2 2 3 3" xfId="31880"/>
    <cellStyle name="Output 2 3 2 2 3 4" xfId="31881"/>
    <cellStyle name="Output 2 3 2 2 4" xfId="31882"/>
    <cellStyle name="Output 2 3 2 2 4 3" xfId="31883"/>
    <cellStyle name="Output 2 3 2 2 5 2" xfId="31884"/>
    <cellStyle name="Output 2 3 2 2 5 3" xfId="31885"/>
    <cellStyle name="Output 2 3 2 3 2 2" xfId="31886"/>
    <cellStyle name="Output 2 3 2 3 2 3" xfId="31887"/>
    <cellStyle name="Output 2 3 2 3 2 4" xfId="31888"/>
    <cellStyle name="Output 2 3 2 3 3 2" xfId="31889"/>
    <cellStyle name="Output 2 3 2 3 3 3" xfId="31890"/>
    <cellStyle name="Output 2 3 2 3 3 4" xfId="31891"/>
    <cellStyle name="Output 2 3 2 3 4" xfId="31892"/>
    <cellStyle name="Output 2 3 2 3 4 2" xfId="31893"/>
    <cellStyle name="Output 2 3 2 3 4 3" xfId="31894"/>
    <cellStyle name="Output 2 3 2 4 2 2" xfId="31895"/>
    <cellStyle name="Output 2 3 2 4 2 3" xfId="31896"/>
    <cellStyle name="Output 2 3 2 4 2 4" xfId="31897"/>
    <cellStyle name="Output 2 3 2 4 3 2" xfId="31898"/>
    <cellStyle name="Output 2 3 2 4 3 3" xfId="31899"/>
    <cellStyle name="Output 2 3 2 4 3 4" xfId="31900"/>
    <cellStyle name="Output 2 3 2 4 4" xfId="31901"/>
    <cellStyle name="Output 2 3 2 4 4 2" xfId="31902"/>
    <cellStyle name="Output 2 3 2 4 4 3" xfId="31903"/>
    <cellStyle name="Output 2 3 2 4 5 2" xfId="31904"/>
    <cellStyle name="Output 2 3 2 4 5 3" xfId="31905"/>
    <cellStyle name="Output 2 3 2 5 2 2" xfId="31906"/>
    <cellStyle name="Output 2 3 2 5 2 3" xfId="31907"/>
    <cellStyle name="Output 2 3 2 5 2 4" xfId="31908"/>
    <cellStyle name="Output 2 3 2 5 3" xfId="31909"/>
    <cellStyle name="Output 2 3 2 5 3 2" xfId="31910"/>
    <cellStyle name="Output 2 3 2 5 3 3" xfId="31911"/>
    <cellStyle name="Output 2 3 2 5 3 4" xfId="31912"/>
    <cellStyle name="Output 2 3 2 5 4" xfId="31913"/>
    <cellStyle name="Output 2 3 2 5 4 2" xfId="31914"/>
    <cellStyle name="Output 2 3 2 5 4 3" xfId="31915"/>
    <cellStyle name="Output 2 3 2 5 5 2" xfId="31916"/>
    <cellStyle name="Output 2 3 2 5 5 3" xfId="31917"/>
    <cellStyle name="Output 2 3 2 6 2 2" xfId="31918"/>
    <cellStyle name="Output 2 3 2 6 2 3" xfId="31919"/>
    <cellStyle name="Output 2 3 2 6 2 4" xfId="31920"/>
    <cellStyle name="Output 2 3 2 6 3 2" xfId="31921"/>
    <cellStyle name="Output 2 3 2 6 3 3" xfId="31922"/>
    <cellStyle name="Output 2 3 2 6 3 4" xfId="31923"/>
    <cellStyle name="Output 2 3 2 6 4" xfId="31924"/>
    <cellStyle name="Output 2 3 2 6 4 2" xfId="31925"/>
    <cellStyle name="Output 2 3 2 6 4 3" xfId="31926"/>
    <cellStyle name="Output 2 3 2 6 5 2" xfId="31927"/>
    <cellStyle name="Output 2 3 2 6 5 3" xfId="31928"/>
    <cellStyle name="Output 2 3 2 7 2 2" xfId="31929"/>
    <cellStyle name="Output 2 3 2 7 2 3" xfId="31930"/>
    <cellStyle name="Output 2 3 2 7 2 4" xfId="31931"/>
    <cellStyle name="Output 2 3 2 7 3 2" xfId="31932"/>
    <cellStyle name="Output 2 3 2 7 3 3" xfId="31933"/>
    <cellStyle name="Output 2 3 2 7 3 4" xfId="31934"/>
    <cellStyle name="Output 2 3 2 7 4" xfId="31935"/>
    <cellStyle name="Output 2 3 2 7 4 3" xfId="31936"/>
    <cellStyle name="Output 2 3 2 7 5 2" xfId="31937"/>
    <cellStyle name="Output 2 3 2 7 5 3" xfId="31938"/>
    <cellStyle name="Output 2 3 2 8" xfId="31939"/>
    <cellStyle name="Total 2 11 2 13 2" xfId="31940"/>
    <cellStyle name="Output 2 3 2 8 2 2" xfId="31941"/>
    <cellStyle name="Output 2 3 2 8 2 3" xfId="31942"/>
    <cellStyle name="Output 2 3 2 8 2 4" xfId="31943"/>
    <cellStyle name="Output 2 3 2 9" xfId="31944"/>
    <cellStyle name="Total 2 11 2 13 3" xfId="31945"/>
    <cellStyle name="Output 2 3 2 9 2 2" xfId="31946"/>
    <cellStyle name="Output 2 3 2 9 2 3" xfId="31947"/>
    <cellStyle name="Output 2 3 2 9 2 4" xfId="31948"/>
    <cellStyle name="Output 2 3 3 10 2 4" xfId="31949"/>
    <cellStyle name="Total 2 11 2 10 2 3" xfId="31950"/>
    <cellStyle name="Output 2 3 3 10 3 4" xfId="31951"/>
    <cellStyle name="Total 2 11 2 10 3 3" xfId="31952"/>
    <cellStyle name="Output 2 3 3 10 4 3" xfId="31953"/>
    <cellStyle name="Total 2 11 2 10 4 2" xfId="31954"/>
    <cellStyle name="Output 2 3 3 10 5 2" xfId="31955"/>
    <cellStyle name="Output 2 3 3 10 5 3" xfId="31956"/>
    <cellStyle name="Total 2 11 2 10 5 2" xfId="31957"/>
    <cellStyle name="Output 2 3 3 2 2" xfId="31958"/>
    <cellStyle name="Output 2 3 3 2 2 3" xfId="31959"/>
    <cellStyle name="Output 2 3 3 2 2 4" xfId="31960"/>
    <cellStyle name="Output 2 3 3 2 3" xfId="31961"/>
    <cellStyle name="Output 2 3 3 2 3 3" xfId="31962"/>
    <cellStyle name="Output 2 3 3 2 3 4" xfId="31963"/>
    <cellStyle name="Output 2 3 3 2 4" xfId="31964"/>
    <cellStyle name="Output 2 3 3 2 4 2" xfId="31965"/>
    <cellStyle name="Output 2 3 3 2 4 3" xfId="31966"/>
    <cellStyle name="Output 2 3 3 2 5 2" xfId="31967"/>
    <cellStyle name="Output 2 3 3 2 5 3" xfId="31968"/>
    <cellStyle name="Output 2 3 3 3 2" xfId="31969"/>
    <cellStyle name="Output 2 3 3 3 2 3" xfId="31970"/>
    <cellStyle name="Output 2 3 3 3 2 4" xfId="31971"/>
    <cellStyle name="Output 2 3 3 3 3" xfId="31972"/>
    <cellStyle name="Output 2 3 3 3 3 3" xfId="31973"/>
    <cellStyle name="Output 2 3 3 3 3 4" xfId="31974"/>
    <cellStyle name="Output 2 3 3 3 4" xfId="31975"/>
    <cellStyle name="Output 2 3 3 3 4 2" xfId="31976"/>
    <cellStyle name="Output 2 3 3 3 4 3" xfId="31977"/>
    <cellStyle name="Output 2 3 3 3 5 2" xfId="31978"/>
    <cellStyle name="Output 2 3 3 3 5 3" xfId="31979"/>
    <cellStyle name="Output 2 3 3 4 2" xfId="31980"/>
    <cellStyle name="Output 2 3 3 4 3" xfId="31981"/>
    <cellStyle name="Output 2 3 3 4 4" xfId="31982"/>
    <cellStyle name="Output 2 3 3 5 2" xfId="31983"/>
    <cellStyle name="Output 2 3 3 5 2 2" xfId="31984"/>
    <cellStyle name="Output 2 3 3 5 2 3" xfId="31985"/>
    <cellStyle name="Output 2 3 3 5 2 4" xfId="31986"/>
    <cellStyle name="Output 2 3 3 5 3" xfId="31987"/>
    <cellStyle name="Output 2 3 3 5 3 2" xfId="31988"/>
    <cellStyle name="Output 2 3 3 5 3 3" xfId="31989"/>
    <cellStyle name="Output 2 3 3 5 3 4" xfId="31990"/>
    <cellStyle name="Output 2 3 3 5 4" xfId="31991"/>
    <cellStyle name="Output 2 3 3 5 4 2" xfId="31992"/>
    <cellStyle name="Output 2 3 3 5 4 3" xfId="31993"/>
    <cellStyle name="Output 2 3 3 6 2" xfId="31994"/>
    <cellStyle name="Output 2 3 3 6 2 2" xfId="31995"/>
    <cellStyle name="Output 2 3 3 6 2 3" xfId="31996"/>
    <cellStyle name="Output 2 3 3 6 2 4" xfId="31997"/>
    <cellStyle name="Output 2 3 3 6 3" xfId="31998"/>
    <cellStyle name="Output 2 3 3 6 3 2" xfId="31999"/>
    <cellStyle name="Output 2 3 3 6 3 3" xfId="32000"/>
    <cellStyle name="Output 2 3 3 6 3 4" xfId="32001"/>
    <cellStyle name="Output 2 3 3 6 4" xfId="32002"/>
    <cellStyle name="Output 2 3 3 6 4 2" xfId="32003"/>
    <cellStyle name="Output 2 3 3 6 4 3" xfId="32004"/>
    <cellStyle name="Output 2 3 3 6 5 2" xfId="32005"/>
    <cellStyle name="Output 2 3 3 6 5 3" xfId="32006"/>
    <cellStyle name="Output 2 3 3 7 2" xfId="32007"/>
    <cellStyle name="Output 2 3 3 7 2 2" xfId="32008"/>
    <cellStyle name="Output 2 3 3 7 2 3" xfId="32009"/>
    <cellStyle name="Output 2 3 3 7 2 4" xfId="32010"/>
    <cellStyle name="Output 2 3 3 7 3" xfId="32011"/>
    <cellStyle name="Output 2 3 3 7 3 2" xfId="32012"/>
    <cellStyle name="Output 2 3 3 7 3 3" xfId="32013"/>
    <cellStyle name="Output 2 3 3 7 3 4" xfId="32014"/>
    <cellStyle name="Output 2 3 3 7 4" xfId="32015"/>
    <cellStyle name="Output 2 3 3 7 4 2" xfId="32016"/>
    <cellStyle name="Output 2 3 3 7 4 3" xfId="32017"/>
    <cellStyle name="Output 2 3 3 7 5 2" xfId="32018"/>
    <cellStyle name="Output 2 3 3 7 5 3" xfId="32019"/>
    <cellStyle name="Output 2 3 3 8" xfId="32020"/>
    <cellStyle name="Total 2 11 2 14 2" xfId="32021"/>
    <cellStyle name="Output 2 3 3 8 2" xfId="32022"/>
    <cellStyle name="Output 2 3 3 8 2 2" xfId="32023"/>
    <cellStyle name="Output 2 3 3 8 2 3" xfId="32024"/>
    <cellStyle name="Output 2 3 3 8 2 4" xfId="32025"/>
    <cellStyle name="Output 2 3 3 8 3 2" xfId="32026"/>
    <cellStyle name="Output 2 3 3 8 3 3" xfId="32027"/>
    <cellStyle name="Output 2 3 3 8 3 4" xfId="32028"/>
    <cellStyle name="Output 2 3 3 8 4 2" xfId="32029"/>
    <cellStyle name="Output 2 3 3 8 4 3" xfId="32030"/>
    <cellStyle name="Output 2 3 3 8 5 2" xfId="32031"/>
    <cellStyle name="Output 2 3 3 8 5 3" xfId="32032"/>
    <cellStyle name="Output 2 3 3 9" xfId="32033"/>
    <cellStyle name="Total 2 11 2 14 3" xfId="32034"/>
    <cellStyle name="Output 2 3 3 9 2" xfId="32035"/>
    <cellStyle name="Output 2 3 3 9 2 2" xfId="32036"/>
    <cellStyle name="Output 2 3 3 9 2 3" xfId="32037"/>
    <cellStyle name="Output 2 3 3 9 2 4" xfId="32038"/>
    <cellStyle name="Output 2 3 3 9 3 2" xfId="32039"/>
    <cellStyle name="Output 2 3 3 9 3 3" xfId="32040"/>
    <cellStyle name="Output 2 3 3 9 3 4" xfId="32041"/>
    <cellStyle name="Output 2 3 3 9 4 2" xfId="32042"/>
    <cellStyle name="Output 2 3 3 9 4 3" xfId="32043"/>
    <cellStyle name="Output 2 3 4 2" xfId="32044"/>
    <cellStyle name="Output 2 3 4 2 2" xfId="32045"/>
    <cellStyle name="Output 2 3 4 2 3" xfId="32046"/>
    <cellStyle name="Output 2 3 4 2 4" xfId="32047"/>
    <cellStyle name="Output 2 3 4 3" xfId="32048"/>
    <cellStyle name="Output 2 3 4 3 2" xfId="32049"/>
    <cellStyle name="Output 2 3 4 3 3" xfId="32050"/>
    <cellStyle name="Output 2 3 4 3 4" xfId="32051"/>
    <cellStyle name="Output 2 3 4 4 2" xfId="32052"/>
    <cellStyle name="Output 2 3 4 4 3" xfId="32053"/>
    <cellStyle name="Output 2 3 4 5 2" xfId="32054"/>
    <cellStyle name="Output 2 3 4 5 3" xfId="32055"/>
    <cellStyle name="Output 2 3 4 6" xfId="32056"/>
    <cellStyle name="Output 2 3 4 7" xfId="32057"/>
    <cellStyle name="Output 2 3 5 2" xfId="32058"/>
    <cellStyle name="Output 2 3 5 2 4" xfId="32059"/>
    <cellStyle name="Output 2 3 5 3" xfId="32060"/>
    <cellStyle name="Output 2 3 5 3 4" xfId="32061"/>
    <cellStyle name="Output 2 3 5 6" xfId="32062"/>
    <cellStyle name="Output 2 3 5 7" xfId="32063"/>
    <cellStyle name="Output 2 3 6 2" xfId="32064"/>
    <cellStyle name="Output 2 3 6 2 4" xfId="32065"/>
    <cellStyle name="Output 2 3 6 3" xfId="32066"/>
    <cellStyle name="Output 2 3 6 3 4" xfId="32067"/>
    <cellStyle name="Output 2 3 6 4" xfId="32068"/>
    <cellStyle name="Output 2 3 6 5" xfId="32069"/>
    <cellStyle name="Output 2 3 6 6" xfId="32070"/>
    <cellStyle name="Output 2 3 7 2" xfId="32071"/>
    <cellStyle name="Total 2 2 9 2" xfId="32072"/>
    <cellStyle name="Output 2 3 7 2 4" xfId="32073"/>
    <cellStyle name="Output 2 3 7 3" xfId="32074"/>
    <cellStyle name="Output 2 3 7 3 4" xfId="32075"/>
    <cellStyle name="Output 2 3 7 4" xfId="32076"/>
    <cellStyle name="Output 2 3 7 4 2" xfId="32077"/>
    <cellStyle name="Output 2 3 7 4 3" xfId="32078"/>
    <cellStyle name="Output 2 3 7 5" xfId="32079"/>
    <cellStyle name="Output 2 3 7 6" xfId="32080"/>
    <cellStyle name="Output 2 3 8 2" xfId="32081"/>
    <cellStyle name="Total 2 3 9 2" xfId="32082"/>
    <cellStyle name="Output 2 3 8 2 4" xfId="32083"/>
    <cellStyle name="Output 2 3 8 3" xfId="32084"/>
    <cellStyle name="Output 2 3 8 3 4" xfId="32085"/>
    <cellStyle name="Output 2 3 8 4" xfId="32086"/>
    <cellStyle name="Output 2 3 8 4 2" xfId="32087"/>
    <cellStyle name="Output 2 3 8 4 3" xfId="32088"/>
    <cellStyle name="Output 2 3 8 5" xfId="32089"/>
    <cellStyle name="Output 2 3 8 6" xfId="32090"/>
    <cellStyle name="Output 2 3 9" xfId="32091"/>
    <cellStyle name="Output 2 3 9 2" xfId="32092"/>
    <cellStyle name="Output 2 3 9 2 2" xfId="32093"/>
    <cellStyle name="Output 2 3 9 2 3" xfId="32094"/>
    <cellStyle name="Total 2 4 9 2" xfId="32095"/>
    <cellStyle name="Output 2 3 9 2 4" xfId="32096"/>
    <cellStyle name="Output 2 3 9 3" xfId="32097"/>
    <cellStyle name="Output 2 3 9 3 2" xfId="32098"/>
    <cellStyle name="Output 2 3 9 3 3" xfId="32099"/>
    <cellStyle name="Output 2 3 9 3 4" xfId="32100"/>
    <cellStyle name="Output 2 3 9 4" xfId="32101"/>
    <cellStyle name="Output 2 3 9 4 2" xfId="32102"/>
    <cellStyle name="Output 2 3 9 4 3" xfId="32103"/>
    <cellStyle name="Output 2 3 9 5" xfId="32104"/>
    <cellStyle name="Output 2 3 9 5 2" xfId="32105"/>
    <cellStyle name="Output 2 3 9 5 3" xfId="32106"/>
    <cellStyle name="Output 2 3 9 6" xfId="32107"/>
    <cellStyle name="Output 2 4" xfId="32108"/>
    <cellStyle name="Output 2 4 10" xfId="32109"/>
    <cellStyle name="Output 2 4 10 2 3" xfId="32110"/>
    <cellStyle name="Output 2 4 10 3 3" xfId="32111"/>
    <cellStyle name="Output 2 4 10 3 4" xfId="32112"/>
    <cellStyle name="Output 2 4 10 4" xfId="32113"/>
    <cellStyle name="Output 2 4 10 4 2" xfId="32114"/>
    <cellStyle name="Output 2 4 10 4 3" xfId="32115"/>
    <cellStyle name="Output 2 4 10 5" xfId="32116"/>
    <cellStyle name="Output 2 4 10 5 3" xfId="32117"/>
    <cellStyle name="Output 2 4 10 6" xfId="32118"/>
    <cellStyle name="Output 2 4 10 7" xfId="32119"/>
    <cellStyle name="Output 2 4 11" xfId="32120"/>
    <cellStyle name="Output 2 4 11 2 3" xfId="32121"/>
    <cellStyle name="Output 2 4 11 2 4" xfId="32122"/>
    <cellStyle name="Output 2 4 11 3 3" xfId="32123"/>
    <cellStyle name="Output 2 4 11 3 4" xfId="32124"/>
    <cellStyle name="Output 2 4 11 4" xfId="32125"/>
    <cellStyle name="Output 2 4 11 4 2" xfId="32126"/>
    <cellStyle name="Output 2 4 11 4 3" xfId="32127"/>
    <cellStyle name="Output 2 4 11 5 3" xfId="32128"/>
    <cellStyle name="Output 2 4 12 3" xfId="32129"/>
    <cellStyle name="Output 2 4 12 4" xfId="32130"/>
    <cellStyle name="Output 2 4 13" xfId="32131"/>
    <cellStyle name="Output 2 4 13 3" xfId="32132"/>
    <cellStyle name="Output 2 4 13 4" xfId="32133"/>
    <cellStyle name="Output 2 4 14" xfId="32134"/>
    <cellStyle name="Output 2 4 14 2" xfId="32135"/>
    <cellStyle name="Output 2 4 14 3" xfId="32136"/>
    <cellStyle name="Total 2 2 2 10" xfId="32137"/>
    <cellStyle name="Output 2 4 15 2" xfId="32138"/>
    <cellStyle name="Total 2 2 2 11" xfId="32139"/>
    <cellStyle name="Output 2 4 15 3" xfId="32140"/>
    <cellStyle name="Output 2 4 19" xfId="32141"/>
    <cellStyle name="Total 2 12 12 2" xfId="32142"/>
    <cellStyle name="Output 2 4 2 10" xfId="32143"/>
    <cellStyle name="Output 2 4 2 10 2 3" xfId="32144"/>
    <cellStyle name="Output 2 4 2 10 2 4" xfId="32145"/>
    <cellStyle name="Total 2 12 12 2 3" xfId="32146"/>
    <cellStyle name="Output 2 4 2 10 3" xfId="32147"/>
    <cellStyle name="Total 2 12 12 2 4" xfId="32148"/>
    <cellStyle name="Output 2 4 2 10 4" xfId="32149"/>
    <cellStyle name="Output 2 6 2 9 2" xfId="32150"/>
    <cellStyle name="Output 2 7 3 2 5 2" xfId="32151"/>
    <cellStyle name="Output 2 4 2 10 4 2" xfId="32152"/>
    <cellStyle name="Output 2 6 2 9 2 2" xfId="32153"/>
    <cellStyle name="Output 2 4 2 10 4 3" xfId="32154"/>
    <cellStyle name="Output 2 6 2 9 2 3" xfId="32155"/>
    <cellStyle name="Total 2 12 12 3" xfId="32156"/>
    <cellStyle name="Output 2 4 2 11" xfId="32157"/>
    <cellStyle name="Total 2 12 12 3 2" xfId="32158"/>
    <cellStyle name="Output 2 4 2 11 2" xfId="32159"/>
    <cellStyle name="Total 2 12 12 3 3" xfId="32160"/>
    <cellStyle name="Output 2 4 2 11 3" xfId="32161"/>
    <cellStyle name="Total 2 12 12 3 4" xfId="32162"/>
    <cellStyle name="Output 2 4 2 11 4" xfId="32163"/>
    <cellStyle name="Total 2 12 12 4" xfId="32164"/>
    <cellStyle name="Output 2 4 2 12" xfId="32165"/>
    <cellStyle name="Total 2 12 12 4 2" xfId="32166"/>
    <cellStyle name="Output 2 4 2 12 2" xfId="32167"/>
    <cellStyle name="Total 2 12 12 4 3" xfId="32168"/>
    <cellStyle name="Output 2 4 2 12 3" xfId="32169"/>
    <cellStyle name="Output 2 4 2 12 4" xfId="32170"/>
    <cellStyle name="Total 2 12 12 5 2" xfId="32171"/>
    <cellStyle name="Output 2 4 2 13 2" xfId="32172"/>
    <cellStyle name="Total 2 12 12 5 3" xfId="32173"/>
    <cellStyle name="Output 2 4 2 13 3" xfId="32174"/>
    <cellStyle name="Output 2 4 2 14 2" xfId="32175"/>
    <cellStyle name="Output 2 4 2 14 3" xfId="32176"/>
    <cellStyle name="Output 2 4 2 2" xfId="32177"/>
    <cellStyle name="Output 2 4 2 2 2 4" xfId="32178"/>
    <cellStyle name="Output 2 4 2 2 3 4" xfId="32179"/>
    <cellStyle name="Output 2 4 2 2 4 2" xfId="32180"/>
    <cellStyle name="Output 2 4 2 2 4 3" xfId="32181"/>
    <cellStyle name="Output 2 4 2 2 5 2" xfId="32182"/>
    <cellStyle name="Output 2 4 2 2 5 3" xfId="32183"/>
    <cellStyle name="Output 2 4 2 2 6" xfId="32184"/>
    <cellStyle name="Output 2 4 2 2 7" xfId="32185"/>
    <cellStyle name="Output 2 4 2 3 3 4" xfId="32186"/>
    <cellStyle name="Output 2 4 2 3 4 2" xfId="32187"/>
    <cellStyle name="Output 2 4 2 3 4 3" xfId="32188"/>
    <cellStyle name="Output 2 4 2 3 5 2" xfId="32189"/>
    <cellStyle name="Output 2 4 2 3 5 3" xfId="32190"/>
    <cellStyle name="Output 2 4 2 4 2 4" xfId="32191"/>
    <cellStyle name="Output 2 4 2 4 3 4" xfId="32192"/>
    <cellStyle name="Output 2 4 2 4 4 2" xfId="32193"/>
    <cellStyle name="Output 2 4 2 4 4 3" xfId="32194"/>
    <cellStyle name="Output 2 4 2 4 5 2" xfId="32195"/>
    <cellStyle name="Output 2 4 2 4 5 3" xfId="32196"/>
    <cellStyle name="Output 2 4 2 5 4 2" xfId="32197"/>
    <cellStyle name="Output 2 4 2 5 4 3" xfId="32198"/>
    <cellStyle name="Output 2 4 2 5 5 2" xfId="32199"/>
    <cellStyle name="Output 2 4 2 5 5 3" xfId="32200"/>
    <cellStyle name="Output 2 4 2 5 7" xfId="32201"/>
    <cellStyle name="Output 2 4 2 6 2 4" xfId="32202"/>
    <cellStyle name="Output 2 4 2 6 3 4" xfId="32203"/>
    <cellStyle name="Output 2 4 2 6 4 2" xfId="32204"/>
    <cellStyle name="Output 2 4 2 6 4 3" xfId="32205"/>
    <cellStyle name="Output 2 4 2 6 5 2" xfId="32206"/>
    <cellStyle name="Output 2 4 2 6 5 3" xfId="32207"/>
    <cellStyle name="Output 2 4 2 7 2 4" xfId="32208"/>
    <cellStyle name="Output 2 4 2 7 3 4" xfId="32209"/>
    <cellStyle name="Output 2 4 2 7 4 2" xfId="32210"/>
    <cellStyle name="Output 2 4 2 7 4 3" xfId="32211"/>
    <cellStyle name="Output 2 4 2 7 5 2" xfId="32212"/>
    <cellStyle name="Output 2 4 2 7 5 3" xfId="32213"/>
    <cellStyle name="Output 2 4 2 8" xfId="32214"/>
    <cellStyle name="Output 2 4 2 9" xfId="32215"/>
    <cellStyle name="Output 2 4 2 9 2 2" xfId="32216"/>
    <cellStyle name="Output 2 4 2 9 2 3" xfId="32217"/>
    <cellStyle name="Output 2 4 2 9 2 4" xfId="32218"/>
    <cellStyle name="Output 2 4 3" xfId="32219"/>
    <cellStyle name="Output 2 4 3 10" xfId="32220"/>
    <cellStyle name="Output 2 8 3 9 5 3" xfId="32221"/>
    <cellStyle name="Output 2 4 3 11" xfId="32222"/>
    <cellStyle name="Output 2 4 3 12" xfId="32223"/>
    <cellStyle name="Output 2 4 3 13" xfId="32224"/>
    <cellStyle name="Output 2 4 3 14 2" xfId="32225"/>
    <cellStyle name="Output 2 4 3 14 3" xfId="32226"/>
    <cellStyle name="Output 2 4 3 2" xfId="32227"/>
    <cellStyle name="Output 2 4 3 2 2 4" xfId="32228"/>
    <cellStyle name="Output 2 4 3 2 3 4" xfId="32229"/>
    <cellStyle name="Output 2 4 3 2 4 2" xfId="32230"/>
    <cellStyle name="Output 2 4 3 2 4 3" xfId="32231"/>
    <cellStyle name="Output 2 4 3 2 5 2" xfId="32232"/>
    <cellStyle name="Output 2 4 3 2 5 3" xfId="32233"/>
    <cellStyle name="Output 2 4 3 2 6" xfId="32234"/>
    <cellStyle name="Output 2 4 3 2 7" xfId="32235"/>
    <cellStyle name="Output 2 4 3 3 2 4" xfId="32236"/>
    <cellStyle name="Output 2 4 3 3 3 4" xfId="32237"/>
    <cellStyle name="Output 2 4 3 3 4 2" xfId="32238"/>
    <cellStyle name="Output 2 4 3 3 4 3" xfId="32239"/>
    <cellStyle name="Output 2 4 3 3 5 2" xfId="32240"/>
    <cellStyle name="Output 2 4 3 3 5 3" xfId="32241"/>
    <cellStyle name="Output 2 4 3 3 6" xfId="32242"/>
    <cellStyle name="Output 2 4 3 3 7" xfId="32243"/>
    <cellStyle name="Output 2 4 3 4 2 4" xfId="32244"/>
    <cellStyle name="Output 2 4 3 4 3 4" xfId="32245"/>
    <cellStyle name="Output 2 4 3 4 4 2" xfId="32246"/>
    <cellStyle name="Output 2 4 3 4 4 3" xfId="32247"/>
    <cellStyle name="Output 2 4 3 4 5 2" xfId="32248"/>
    <cellStyle name="Output 2 4 3 4 5 3" xfId="32249"/>
    <cellStyle name="Output 2 4 3 4 6" xfId="32250"/>
    <cellStyle name="Output 2 4 3 4 7" xfId="32251"/>
    <cellStyle name="Output 2 4 3 5 2 4" xfId="32252"/>
    <cellStyle name="Output 2 4 3 5 3 4" xfId="32253"/>
    <cellStyle name="Output 2 4 3 5 4 2" xfId="32254"/>
    <cellStyle name="Output 2 4 3 5 4 3" xfId="32255"/>
    <cellStyle name="Output 2 4 3 5 5 2" xfId="32256"/>
    <cellStyle name="Output 2 4 3 5 5 3" xfId="32257"/>
    <cellStyle name="Output 2 4 3 5 6" xfId="32258"/>
    <cellStyle name="Output 2 4 3 5 7" xfId="32259"/>
    <cellStyle name="Output 2 4 3 7 2 4" xfId="32260"/>
    <cellStyle name="Output 2 4 3 7 3 4" xfId="32261"/>
    <cellStyle name="Output 2 4 3 7 4 2" xfId="32262"/>
    <cellStyle name="Output 2 4 3 7 4 3" xfId="32263"/>
    <cellStyle name="Output 2 4 3 7 5 2" xfId="32264"/>
    <cellStyle name="Output 2 4 3 7 5 3" xfId="32265"/>
    <cellStyle name="Output 2 4 3 8" xfId="32266"/>
    <cellStyle name="Output 2 4 3 8 2 4" xfId="32267"/>
    <cellStyle name="Output 2 4 3 8 3 4" xfId="32268"/>
    <cellStyle name="Output 2 4 3 8 4 2" xfId="32269"/>
    <cellStyle name="Output 2 4 3 8 4 3" xfId="32270"/>
    <cellStyle name="Output 2 4 3 8 5 2" xfId="32271"/>
    <cellStyle name="Output 2 4 3 8 5 3" xfId="32272"/>
    <cellStyle name="Output 2 4 3 9 4 3" xfId="32273"/>
    <cellStyle name="Output 2 4 3 9 5 2" xfId="32274"/>
    <cellStyle name="Output 2 4 3 9 5 3" xfId="32275"/>
    <cellStyle name="Output 2 4 4" xfId="32276"/>
    <cellStyle name="Output 2 4 4 2" xfId="32277"/>
    <cellStyle name="Output 2 4 4 2 3" xfId="32278"/>
    <cellStyle name="Output 2 4 4 2 4" xfId="32279"/>
    <cellStyle name="Output 2 4 4 3 2" xfId="32280"/>
    <cellStyle name="Output 2 4 4 3 4" xfId="32281"/>
    <cellStyle name="Output 2 4 4 4 2" xfId="32282"/>
    <cellStyle name="Output 2 4 4 4 3" xfId="32283"/>
    <cellStyle name="Output 2 4 4 5 2" xfId="32284"/>
    <cellStyle name="Output 2 4 4 5 3" xfId="32285"/>
    <cellStyle name="Output 2 4 4 6" xfId="32286"/>
    <cellStyle name="Output 2 4 4 7" xfId="32287"/>
    <cellStyle name="Output 2 4 5" xfId="32288"/>
    <cellStyle name="Output 2 4 6 2" xfId="32289"/>
    <cellStyle name="Output 2 4 6 3 4" xfId="32290"/>
    <cellStyle name="Output 2 4 6 4" xfId="32291"/>
    <cellStyle name="Output 2 4 6 5" xfId="32292"/>
    <cellStyle name="Output 2 4 6 6" xfId="32293"/>
    <cellStyle name="Output 2 4 7 2" xfId="32294"/>
    <cellStyle name="Output 2 4 7 2 4" xfId="32295"/>
    <cellStyle name="Output 2 4 7 3" xfId="32296"/>
    <cellStyle name="Output 2 4 7 3 4" xfId="32297"/>
    <cellStyle name="Title 2 2 3" xfId="32298"/>
    <cellStyle name="Output 2 4 7 4" xfId="32299"/>
    <cellStyle name="Output 2 4 7 5" xfId="32300"/>
    <cellStyle name="Output 2 4 7 6" xfId="32301"/>
    <cellStyle name="Output 2 4 8 2" xfId="32302"/>
    <cellStyle name="Output 2 4 8 2 4" xfId="32303"/>
    <cellStyle name="Output 2 4 8 3" xfId="32304"/>
    <cellStyle name="Output 2 4 8 3 4" xfId="32305"/>
    <cellStyle name="Output 2 4 8 4" xfId="32306"/>
    <cellStyle name="Output 2 4 8 5" xfId="32307"/>
    <cellStyle name="Output 2 4 8 6" xfId="32308"/>
    <cellStyle name="Output 2 4 9 2" xfId="32309"/>
    <cellStyle name="Output 2 4 9 2 3" xfId="32310"/>
    <cellStyle name="Output 2 4 9 2 4" xfId="32311"/>
    <cellStyle name="Output 2 4 9 3" xfId="32312"/>
    <cellStyle name="Output 2 4 9 3 2" xfId="32313"/>
    <cellStyle name="Output 2 4 9 3 3" xfId="32314"/>
    <cellStyle name="Output 2 4 9 3 4" xfId="32315"/>
    <cellStyle name="Output 2 4 9 4" xfId="32316"/>
    <cellStyle name="Output 2 4 9 4 2" xfId="32317"/>
    <cellStyle name="Output 2 4 9 4 3" xfId="32318"/>
    <cellStyle name="Output 2 4 9 5" xfId="32319"/>
    <cellStyle name="Output 2 4 9 5 2" xfId="32320"/>
    <cellStyle name="Output 2 4 9 5 3" xfId="32321"/>
    <cellStyle name="Output 2 4 9 6" xfId="32322"/>
    <cellStyle name="Output 2 5" xfId="32323"/>
    <cellStyle name="Output 2 5 10" xfId="32324"/>
    <cellStyle name="Output 2 5 10 2" xfId="32325"/>
    <cellStyle name="Output 2 5 10 2 2" xfId="32326"/>
    <cellStyle name="Output 2 5 10 3" xfId="32327"/>
    <cellStyle name="Output 2 5 10 3 2" xfId="32328"/>
    <cellStyle name="Output 2 9 3 12" xfId="32329"/>
    <cellStyle name="Output 2 5 10 3 3" xfId="32330"/>
    <cellStyle name="Output 2 9 3 13" xfId="32331"/>
    <cellStyle name="Output 2 5 10 4" xfId="32332"/>
    <cellStyle name="Output 2 5 10 4 2" xfId="32333"/>
    <cellStyle name="Output 2 5 10 4 3" xfId="32334"/>
    <cellStyle name="Output 2 5 10 5" xfId="32335"/>
    <cellStyle name="Output 2 5 10 5 2" xfId="32336"/>
    <cellStyle name="Output 2 5 10 5 3" xfId="32337"/>
    <cellStyle name="Output 2 5 10 6" xfId="32338"/>
    <cellStyle name="Output 2 5 10 7" xfId="32339"/>
    <cellStyle name="Output 2 8 2 10 4 2" xfId="32340"/>
    <cellStyle name="Output 2 5 2 10 5 3" xfId="32341"/>
    <cellStyle name="Total 2 13 12 3 2" xfId="32342"/>
    <cellStyle name="Output 2 5 2 11 2" xfId="32343"/>
    <cellStyle name="Total 2 13 12 3 3" xfId="32344"/>
    <cellStyle name="Output 2 5 2 11 3" xfId="32345"/>
    <cellStyle name="Total 2 13 12 3 4" xfId="32346"/>
    <cellStyle name="Output 2 5 2 11 4" xfId="32347"/>
    <cellStyle name="Total 2 13 12 4 2" xfId="32348"/>
    <cellStyle name="Output 2 5 2 12 2" xfId="32349"/>
    <cellStyle name="Total 2 13 12 4 3" xfId="32350"/>
    <cellStyle name="Output 2 5 2 12 3" xfId="32351"/>
    <cellStyle name="Output 2 5 2 12 4" xfId="32352"/>
    <cellStyle name="Total 2 13 12 5 2" xfId="32353"/>
    <cellStyle name="Output 2 5 2 13 2" xfId="32354"/>
    <cellStyle name="Total 2 13 12 5 3" xfId="32355"/>
    <cellStyle name="Output 2 5 2 13 3" xfId="32356"/>
    <cellStyle name="Output 2 5 2 14 2" xfId="32357"/>
    <cellStyle name="Output 2 5 2 14 3" xfId="32358"/>
    <cellStyle name="Output 2 5 2 2 6 2" xfId="32359"/>
    <cellStyle name="Output 2 5 2 2 6 2 2" xfId="32360"/>
    <cellStyle name="Output 2 5 2 5 4 3" xfId="32361"/>
    <cellStyle name="Output 2 5 2 5 5 3" xfId="32362"/>
    <cellStyle name="Output 2 5 2 6 2 4" xfId="32363"/>
    <cellStyle name="Output 2 5 2 6 3 4" xfId="32364"/>
    <cellStyle name="Output 2 5 2 6 4 2" xfId="32365"/>
    <cellStyle name="Output 2 5 2 6 4 3" xfId="32366"/>
    <cellStyle name="Output 2 5 2 6 5 2" xfId="32367"/>
    <cellStyle name="Output 2 5 2 6 5 3" xfId="32368"/>
    <cellStyle name="Output 2 5 2 7 4 3" xfId="32369"/>
    <cellStyle name="Output 2 5 2 7 5 3" xfId="32370"/>
    <cellStyle name="Output 2 5 2 8 2 4" xfId="32371"/>
    <cellStyle name="Output 2 5 2 9 2" xfId="32372"/>
    <cellStyle name="Output 2 7 2 2 5 2" xfId="32373"/>
    <cellStyle name="Output 2 5 2 9 2 2" xfId="32374"/>
    <cellStyle name="Output 2 5 2 9 2 3" xfId="32375"/>
    <cellStyle name="Output 2 5 2 9 2 4" xfId="32376"/>
    <cellStyle name="Output 2 5 3" xfId="32377"/>
    <cellStyle name="Output 2 5 3 10" xfId="32378"/>
    <cellStyle name="Output 2 5 3 10 5 3" xfId="32379"/>
    <cellStyle name="Output 2 5 3 11" xfId="32380"/>
    <cellStyle name="Output 2 5 3 11 3" xfId="32381"/>
    <cellStyle name="Output 2 5 3 11 4" xfId="32382"/>
    <cellStyle name="Output 2 5 3 12 4" xfId="32383"/>
    <cellStyle name="Output 2 5 3 13 3" xfId="32384"/>
    <cellStyle name="Output 2 5 3 14 3" xfId="32385"/>
    <cellStyle name="Output 2 5 3 16" xfId="32386"/>
    <cellStyle name="Output 2 5 3 5 2 4" xfId="32387"/>
    <cellStyle name="Output 2 5 3 5 3 4" xfId="32388"/>
    <cellStyle name="Output 2 5 3 5 4 3" xfId="32389"/>
    <cellStyle name="Output 2 5 3 5 5 3" xfId="32390"/>
    <cellStyle name="Output 2 5 3 6 2 4" xfId="32391"/>
    <cellStyle name="Output 2 5 3 6 3 4" xfId="32392"/>
    <cellStyle name="Output 2 5 3 6 4 3" xfId="32393"/>
    <cellStyle name="Output 2 5 3 6 5 3" xfId="32394"/>
    <cellStyle name="Output 2 5 3 7 2 4" xfId="32395"/>
    <cellStyle name="Output 2 5 3 7 3 4" xfId="32396"/>
    <cellStyle name="Output 2 5 3 7 4 3" xfId="32397"/>
    <cellStyle name="Output 2 5 3 7 5 3" xfId="32398"/>
    <cellStyle name="Output 2 5 3 8 2 4" xfId="32399"/>
    <cellStyle name="Output 2 5 3 8 3 4" xfId="32400"/>
    <cellStyle name="Output 2 5 3 8 4 2" xfId="32401"/>
    <cellStyle name="Output 2 5 3 8 4 3" xfId="32402"/>
    <cellStyle name="Output 2 5 3 8 5 2" xfId="32403"/>
    <cellStyle name="Output 2 5 3 8 5 3" xfId="32404"/>
    <cellStyle name="Output 2 5 3 9 2" xfId="32405"/>
    <cellStyle name="Output 2 7 2 3 5 2" xfId="32406"/>
    <cellStyle name="Output 2 5 3 9 2 2" xfId="32407"/>
    <cellStyle name="Output 2 5 3 9 2 3" xfId="32408"/>
    <cellStyle name="Output 2 5 3 9 2 4" xfId="32409"/>
    <cellStyle name="Output 2 5 3 9 3 2" xfId="32410"/>
    <cellStyle name="Output 2 5 3 9 3 3" xfId="32411"/>
    <cellStyle name="Output 2 5 3 9 3 4" xfId="32412"/>
    <cellStyle name="Output 2 5 3 9 4 2" xfId="32413"/>
    <cellStyle name="Output 2 5 3 9 4 3" xfId="32414"/>
    <cellStyle name="Output 2 5 3 9 5 2" xfId="32415"/>
    <cellStyle name="Output 2 5 3 9 5 3" xfId="32416"/>
    <cellStyle name="Output 2 5 9 2 3" xfId="32417"/>
    <cellStyle name="Output 2 5 9 2 4" xfId="32418"/>
    <cellStyle name="Output 2 5 9 3 2" xfId="32419"/>
    <cellStyle name="Output 2 5 9 3 3" xfId="32420"/>
    <cellStyle name="Output 2 5 9 3 4" xfId="32421"/>
    <cellStyle name="Output 2 5 9 4" xfId="32422"/>
    <cellStyle name="Output 2 6 10 3 4" xfId="32423"/>
    <cellStyle name="Output 2 6 10 4 2" xfId="32424"/>
    <cellStyle name="Total 2 11 2 2 5 3" xfId="32425"/>
    <cellStyle name="Output 2 6 10 4 3" xfId="32426"/>
    <cellStyle name="Output 2 6 10 5 2" xfId="32427"/>
    <cellStyle name="Output 2 6 10 6" xfId="32428"/>
    <cellStyle name="Output 2 6 10 7" xfId="32429"/>
    <cellStyle name="Output 2 6 19" xfId="32430"/>
    <cellStyle name="Output 2 6 2" xfId="32431"/>
    <cellStyle name="Total 2 14 12 2" xfId="32432"/>
    <cellStyle name="Output 2 6 2 10" xfId="32433"/>
    <cellStyle name="Total 2 14 12 2 2" xfId="32434"/>
    <cellStyle name="Output 2 6 2 10 2" xfId="32435"/>
    <cellStyle name="Output 2 6 2 10 2 2" xfId="32436"/>
    <cellStyle name="Total 2 14 12 2 3" xfId="32437"/>
    <cellStyle name="Output 2 6 2 10 3" xfId="32438"/>
    <cellStyle name="Output 2 6 2 10 3 2" xfId="32439"/>
    <cellStyle name="Total 2 14 12 2 4" xfId="32440"/>
    <cellStyle name="Output 2 6 2 10 4" xfId="32441"/>
    <cellStyle name="Total 2 4 2 9 2 3" xfId="32442"/>
    <cellStyle name="Output 2 6 2 10 4 2" xfId="32443"/>
    <cellStyle name="Output 2 6 2 10 5" xfId="32444"/>
    <cellStyle name="Total 2 4 2 9 3 3" xfId="32445"/>
    <cellStyle name="Output 2 6 2 10 5 2" xfId="32446"/>
    <cellStyle name="Output 2 6 2 10 6" xfId="32447"/>
    <cellStyle name="Output 2 6 2 10 7" xfId="32448"/>
    <cellStyle name="Total 2 14 12 3" xfId="32449"/>
    <cellStyle name="Output 2 6 2 11" xfId="32450"/>
    <cellStyle name="Total 2 14 12 3 2" xfId="32451"/>
    <cellStyle name="Output 2 6 2 11 2" xfId="32452"/>
    <cellStyle name="Total 2 14 12 3 3" xfId="32453"/>
    <cellStyle name="Output 2 6 2 11 3" xfId="32454"/>
    <cellStyle name="Total 2 14 12 3 4" xfId="32455"/>
    <cellStyle name="Output 2 6 2 11 4" xfId="32456"/>
    <cellStyle name="Total 2 14 12 4" xfId="32457"/>
    <cellStyle name="Output 2 6 2 12" xfId="32458"/>
    <cellStyle name="Total 2 14 12 4 2" xfId="32459"/>
    <cellStyle name="Output 2 6 2 12 2" xfId="32460"/>
    <cellStyle name="Total 2 14 12 4 3" xfId="32461"/>
    <cellStyle name="Output 2 6 2 12 3" xfId="32462"/>
    <cellStyle name="Output 2 6 2 12 4" xfId="32463"/>
    <cellStyle name="Total 2 14 12 5" xfId="32464"/>
    <cellStyle name="Output 2 6 2 13" xfId="32465"/>
    <cellStyle name="Total 2 14 12 5 2" xfId="32466"/>
    <cellStyle name="Output 2 6 2 13 2" xfId="32467"/>
    <cellStyle name="Total 2 14 12 5 3" xfId="32468"/>
    <cellStyle name="Output 2 6 2 13 3" xfId="32469"/>
    <cellStyle name="Total 2 14 12 6" xfId="32470"/>
    <cellStyle name="Output 2 6 2 14" xfId="32471"/>
    <cellStyle name="Output 2 6 2 14 2" xfId="32472"/>
    <cellStyle name="Total 2 14 12 7" xfId="32473"/>
    <cellStyle name="Output 2 6 2 15" xfId="32474"/>
    <cellStyle name="Output 2 6 2 16" xfId="32475"/>
    <cellStyle name="Output 2 6 2 17" xfId="32476"/>
    <cellStyle name="Output 2 6 2 2" xfId="32477"/>
    <cellStyle name="Output 2 6 2 2 5 3" xfId="32478"/>
    <cellStyle name="Output 2 6 2 3" xfId="32479"/>
    <cellStyle name="Output 2 6 2 5 7" xfId="32480"/>
    <cellStyle name="Output 2 6 2 6 7" xfId="32481"/>
    <cellStyle name="Output 2 6 2 7 2 4" xfId="32482"/>
    <cellStyle name="Output 2 6 2 7 4 3" xfId="32483"/>
    <cellStyle name="Output 2 6 2 7 5 3" xfId="32484"/>
    <cellStyle name="Output 2 6 2 7 6" xfId="32485"/>
    <cellStyle name="Output 2 6 2 7 7" xfId="32486"/>
    <cellStyle name="Output 2 6 2 9 2 4" xfId="32487"/>
    <cellStyle name="Output 2 6 3" xfId="32488"/>
    <cellStyle name="Output 2 6 3 10" xfId="32489"/>
    <cellStyle name="Output 2 6 3 10 3" xfId="32490"/>
    <cellStyle name="Output 2 6 3 11" xfId="32491"/>
    <cellStyle name="Output 2 6 3 11 3" xfId="32492"/>
    <cellStyle name="Output 2 6 3 11 4" xfId="32493"/>
    <cellStyle name="Output 2 6 3 12 3" xfId="32494"/>
    <cellStyle name="Output 2 6 3 12 4" xfId="32495"/>
    <cellStyle name="Output 2 6 3 13 3" xfId="32496"/>
    <cellStyle name="Output 2 6 3 15" xfId="32497"/>
    <cellStyle name="Output 2 6 3 16" xfId="32498"/>
    <cellStyle name="Output 2 6 3 2" xfId="32499"/>
    <cellStyle name="Output 2 6 3 3" xfId="32500"/>
    <cellStyle name="Output 2 6 3 3 2 4" xfId="32501"/>
    <cellStyle name="Output 2 6 3 3 3 4" xfId="32502"/>
    <cellStyle name="Output 2 6 3 4 2 4" xfId="32503"/>
    <cellStyle name="Output 2 6 3 4 3 4" xfId="32504"/>
    <cellStyle name="Output 2 6 3 7 2 4" xfId="32505"/>
    <cellStyle name="Output 2 6 3 7 3 4" xfId="32506"/>
    <cellStyle name="Output 2 6 3 8 2 4" xfId="32507"/>
    <cellStyle name="Output 2 6 3 8 3 4" xfId="32508"/>
    <cellStyle name="Output 2 6 3 8 4 3" xfId="32509"/>
    <cellStyle name="Output 2 6 3 8 5 3" xfId="32510"/>
    <cellStyle name="Output 2 6 3 8 6" xfId="32511"/>
    <cellStyle name="Output 2 6 3 8 7" xfId="32512"/>
    <cellStyle name="Output 2 6 3 9 2 2" xfId="32513"/>
    <cellStyle name="Output 2 6 3 9 2 3" xfId="32514"/>
    <cellStyle name="Output 2 6 3 9 2 4" xfId="32515"/>
    <cellStyle name="Output 2 6 3 9 3 2" xfId="32516"/>
    <cellStyle name="Output 2 6 3 9 3 3" xfId="32517"/>
    <cellStyle name="Output 2 6 3 9 3 4" xfId="32518"/>
    <cellStyle name="Output 2 6 3 9 4 3" xfId="32519"/>
    <cellStyle name="Output 2 6 3 9 5 3" xfId="32520"/>
    <cellStyle name="Output 2 6 3 9 6" xfId="32521"/>
    <cellStyle name="Output 2 6 3 9 7" xfId="32522"/>
    <cellStyle name="Output 2 6 4 2" xfId="32523"/>
    <cellStyle name="Output 2 6 4 3" xfId="32524"/>
    <cellStyle name="Output 2 6 4 3 2" xfId="32525"/>
    <cellStyle name="Output 2 6 4 3 3" xfId="32526"/>
    <cellStyle name="Output 2 6 5 2" xfId="32527"/>
    <cellStyle name="Output 2 6 5 3" xfId="32528"/>
    <cellStyle name="Output 2 6 6 2" xfId="32529"/>
    <cellStyle name="Output 2 6 6 3" xfId="32530"/>
    <cellStyle name="Output 2 6 7 2" xfId="32531"/>
    <cellStyle name="Output 2 6 7 2 3" xfId="32532"/>
    <cellStyle name="Total 2 10 4 4 2" xfId="32533"/>
    <cellStyle name="Output 2 6 7 3" xfId="32534"/>
    <cellStyle name="Output 2 6 7 3 2" xfId="32535"/>
    <cellStyle name="Output 2 6 7 3 3" xfId="32536"/>
    <cellStyle name="Total 2 10 4 5 2" xfId="32537"/>
    <cellStyle name="Output 2 6 8 2" xfId="32538"/>
    <cellStyle name="Output 2 6 8 3" xfId="32539"/>
    <cellStyle name="Output 2 6 9 3" xfId="32540"/>
    <cellStyle name="Output 2 6 9 4" xfId="32541"/>
    <cellStyle name="Output 2 6 9 5" xfId="32542"/>
    <cellStyle name="Output 2 6 9 6" xfId="32543"/>
    <cellStyle name="Output 2 7 3 9 2" xfId="32544"/>
    <cellStyle name="Output 2 7 10" xfId="32545"/>
    <cellStyle name="Output 2 7 10 2 2" xfId="32546"/>
    <cellStyle name="Output 2 7 10 2 3" xfId="32547"/>
    <cellStyle name="Output 2 7 10 2 4" xfId="32548"/>
    <cellStyle name="Output 2 7 10 3" xfId="32549"/>
    <cellStyle name="Output 2 7 10 3 2" xfId="32550"/>
    <cellStyle name="Output 2 7 10 3 3" xfId="32551"/>
    <cellStyle name="Output 2 7 10 4" xfId="32552"/>
    <cellStyle name="Output 2 7 10 4 2" xfId="32553"/>
    <cellStyle name="Output 2 7 10 4 3" xfId="32554"/>
    <cellStyle name="Output 2 7 10 5" xfId="32555"/>
    <cellStyle name="Output 2 7 10 5 2" xfId="32556"/>
    <cellStyle name="Output 2 7 10 5 3" xfId="32557"/>
    <cellStyle name="Output 2 7 10 6" xfId="32558"/>
    <cellStyle name="Output 2 7 10 7" xfId="32559"/>
    <cellStyle name="Output 2 7 11" xfId="32560"/>
    <cellStyle name="Output 2 7 11 2 2" xfId="32561"/>
    <cellStyle name="Output 2 7 11 2 3" xfId="32562"/>
    <cellStyle name="Output 2 7 11 2 4" xfId="32563"/>
    <cellStyle name="Output 2 7 11 3" xfId="32564"/>
    <cellStyle name="Output 2 7 11 3 2" xfId="32565"/>
    <cellStyle name="Output 2 7 11 3 3" xfId="32566"/>
    <cellStyle name="Output 2 7 11 3 4" xfId="32567"/>
    <cellStyle name="Output 2 7 11 4" xfId="32568"/>
    <cellStyle name="Output 2 7 11 4 2" xfId="32569"/>
    <cellStyle name="Output 2 7 11 4 3" xfId="32570"/>
    <cellStyle name="Output 2 7 11 5" xfId="32571"/>
    <cellStyle name="Output 2 7 11 5 2" xfId="32572"/>
    <cellStyle name="Output 2 7 11 6" xfId="32573"/>
    <cellStyle name="Output 2 7 11 7" xfId="32574"/>
    <cellStyle name="Output 2 7 12" xfId="32575"/>
    <cellStyle name="Output 2 7 12 2" xfId="32576"/>
    <cellStyle name="Output 2 7 12 2 2" xfId="32577"/>
    <cellStyle name="Output 2 7 12 2 3" xfId="32578"/>
    <cellStyle name="Output 2 7 12 2 4" xfId="32579"/>
    <cellStyle name="Output 2 7 12 3" xfId="32580"/>
    <cellStyle name="Output 2 7 12 3 2" xfId="32581"/>
    <cellStyle name="Output 2 7 12 3 3" xfId="32582"/>
    <cellStyle name="Output 2 7 12 3 4" xfId="32583"/>
    <cellStyle name="Output 2 7 12 4" xfId="32584"/>
    <cellStyle name="Output 2 7 12 4 2" xfId="32585"/>
    <cellStyle name="Output 2 7 12 4 3" xfId="32586"/>
    <cellStyle name="Output 2 7 12 5" xfId="32587"/>
    <cellStyle name="Output 2 7 12 5 2" xfId="32588"/>
    <cellStyle name="Output 2 7 12 5 3" xfId="32589"/>
    <cellStyle name="Output 2 7 12 6" xfId="32590"/>
    <cellStyle name="Output 2 7 12 7" xfId="32591"/>
    <cellStyle name="Output 2 7 13" xfId="32592"/>
    <cellStyle name="Output 2 7 14" xfId="32593"/>
    <cellStyle name="Output 2 7 14 2" xfId="32594"/>
    <cellStyle name="Output 2 7 15" xfId="32595"/>
    <cellStyle name="Output 2 7 20" xfId="32596"/>
    <cellStyle name="Total 2 5 2 10" xfId="32597"/>
    <cellStyle name="Output 2 7 15 2" xfId="32598"/>
    <cellStyle name="Total 2 5 2 11" xfId="32599"/>
    <cellStyle name="Output 2 7 15 3" xfId="32600"/>
    <cellStyle name="Output 2 7 16" xfId="32601"/>
    <cellStyle name="Output 2 7 16 2" xfId="32602"/>
    <cellStyle name="Output 2 7 17" xfId="32603"/>
    <cellStyle name="Output 2 7 17 2" xfId="32604"/>
    <cellStyle name="Output 2 7 18" xfId="32605"/>
    <cellStyle name="Output 2 7 19" xfId="32606"/>
    <cellStyle name="Output 2 7 2" xfId="32607"/>
    <cellStyle name="Output 2 7 2 10 2" xfId="32608"/>
    <cellStyle name="Output 2 7 2 10 2 2" xfId="32609"/>
    <cellStyle name="Output 2 7 2 10 2 3" xfId="32610"/>
    <cellStyle name="Output 2 7 2 10 3" xfId="32611"/>
    <cellStyle name="Output 2 7 2 10 3 2" xfId="32612"/>
    <cellStyle name="Output 2 7 2 10 3 3" xfId="32613"/>
    <cellStyle name="Output 2 7 2 10 4" xfId="32614"/>
    <cellStyle name="Total 2 9 2 9 2 3" xfId="32615"/>
    <cellStyle name="Output 2 7 2 10 4 2" xfId="32616"/>
    <cellStyle name="Total 2 9 2 9 2 4" xfId="32617"/>
    <cellStyle name="Output 2 7 2 10 4 3" xfId="32618"/>
    <cellStyle name="Output 2 7 2 10 5" xfId="32619"/>
    <cellStyle name="Total 2 9 2 9 3 4" xfId="32620"/>
    <cellStyle name="Output 2 7 2 10 5 3" xfId="32621"/>
    <cellStyle name="Output 2 7 2 10 6" xfId="32622"/>
    <cellStyle name="Output 2 7 2 11 2" xfId="32623"/>
    <cellStyle name="Output 2 7 2 11 3" xfId="32624"/>
    <cellStyle name="Output 2 7 2 11 4" xfId="32625"/>
    <cellStyle name="Total 2 15 12 4" xfId="32626"/>
    <cellStyle name="Output 2 7 2 12" xfId="32627"/>
    <cellStyle name="Output 2 7 2 12 2" xfId="32628"/>
    <cellStyle name="Output 2 7 2 12 3" xfId="32629"/>
    <cellStyle name="Output 2 7 2 12 4" xfId="32630"/>
    <cellStyle name="Output 2 7 2 13" xfId="32631"/>
    <cellStyle name="Output 2 7 2 13 2" xfId="32632"/>
    <cellStyle name="Output 2 7 2 13 3" xfId="32633"/>
    <cellStyle name="Output 2 7 2 14" xfId="32634"/>
    <cellStyle name="Output 2 7 2 15" xfId="32635"/>
    <cellStyle name="Output 2 7 2 16" xfId="32636"/>
    <cellStyle name="Output 2 7 2 17" xfId="32637"/>
    <cellStyle name="Output 2 7 2 2" xfId="32638"/>
    <cellStyle name="Output 2 7 2 2 6" xfId="32639"/>
    <cellStyle name="Output 2 7 2 3" xfId="32640"/>
    <cellStyle name="Output 2 7 2 3 6" xfId="32641"/>
    <cellStyle name="Output 2 7 2 3 7" xfId="32642"/>
    <cellStyle name="Output 2 7 2 5 2 4" xfId="32643"/>
    <cellStyle name="Output 2 7 2 5 3 4" xfId="32644"/>
    <cellStyle name="Output 2 7 2 5 5 2" xfId="32645"/>
    <cellStyle name="Output 2 7 2 5 6" xfId="32646"/>
    <cellStyle name="Output 2 7 2 5 7" xfId="32647"/>
    <cellStyle name="Output 2 7 2 6 2 4" xfId="32648"/>
    <cellStyle name="Output 2 7 2 6 3 4" xfId="32649"/>
    <cellStyle name="Output 2 7 2 6 5 2" xfId="32650"/>
    <cellStyle name="Output 2 7 2 6 6" xfId="32651"/>
    <cellStyle name="Output 2 7 2 6 7" xfId="32652"/>
    <cellStyle name="Output 2 7 2 7" xfId="32653"/>
    <cellStyle name="Output 2 7 4 2 3" xfId="32654"/>
    <cellStyle name="Output 2 7 2 7 2 4" xfId="32655"/>
    <cellStyle name="Output 2 7 2 7 3 4" xfId="32656"/>
    <cellStyle name="Output 2 7 2 8" xfId="32657"/>
    <cellStyle name="Output 2 7 4 2 4" xfId="32658"/>
    <cellStyle name="Output 2 7 2 8 2 4" xfId="32659"/>
    <cellStyle name="Output 2 7 2 9" xfId="32660"/>
    <cellStyle name="Output 2 7 3" xfId="32661"/>
    <cellStyle name="Output 2 7 3 10 2 3" xfId="32662"/>
    <cellStyle name="Output 2 7 3 10 2 4" xfId="32663"/>
    <cellStyle name="Output 2 7 3 10 3 2" xfId="32664"/>
    <cellStyle name="Output 2 7 3 10 3 3" xfId="32665"/>
    <cellStyle name="Output 2 7 3 10 3 4" xfId="32666"/>
    <cellStyle name="Output 2 7 3 10 4 2" xfId="32667"/>
    <cellStyle name="Output 2 7 3 10 4 3" xfId="32668"/>
    <cellStyle name="Output 2 7 3 11 2" xfId="32669"/>
    <cellStyle name="Output 2 7 3 11 3" xfId="32670"/>
    <cellStyle name="Output 2 7 3 11 4" xfId="32671"/>
    <cellStyle name="Output 2 7 3 12" xfId="32672"/>
    <cellStyle name="Output 2 7 3 12 2" xfId="32673"/>
    <cellStyle name="Output 2 7 3 12 3" xfId="32674"/>
    <cellStyle name="Output 2 7 3 12 4" xfId="32675"/>
    <cellStyle name="Output 2 7 3 13 3" xfId="32676"/>
    <cellStyle name="Output 2 7 3 2" xfId="32677"/>
    <cellStyle name="Output 2 7 3 3" xfId="32678"/>
    <cellStyle name="Output 2 7 3 3 6" xfId="32679"/>
    <cellStyle name="Output 2 7 3 3 7" xfId="32680"/>
    <cellStyle name="Output 2 7 3 5 6" xfId="32681"/>
    <cellStyle name="Output 2 7 3 5 7" xfId="32682"/>
    <cellStyle name="Output 2 7 3 6 5 2" xfId="32683"/>
    <cellStyle name="Output 2 7 3 6 6" xfId="32684"/>
    <cellStyle name="Output 2 7 3 6 7" xfId="32685"/>
    <cellStyle name="Output 2 7 3 7 6" xfId="32686"/>
    <cellStyle name="Output 2 7 3 7 7" xfId="32687"/>
    <cellStyle name="Output 2 7 3 8 6" xfId="32688"/>
    <cellStyle name="Output 2 7 3 8 7" xfId="32689"/>
    <cellStyle name="Output 2 7 3 9" xfId="32690"/>
    <cellStyle name="Output 2 7 3 9 2 2" xfId="32691"/>
    <cellStyle name="Output 2 7 3 9 2 3" xfId="32692"/>
    <cellStyle name="Output 2 7 3 9 3 2" xfId="32693"/>
    <cellStyle name="Output 2 7 3 9 3 3" xfId="32694"/>
    <cellStyle name="Output 2 7 3 9 4 2" xfId="32695"/>
    <cellStyle name="Output 2 7 3 9 4 3" xfId="32696"/>
    <cellStyle name="Output 2 7 3 9 5 2" xfId="32697"/>
    <cellStyle name="Output 2 7 3 9 5 3" xfId="32698"/>
    <cellStyle name="Output 2 7 4 2" xfId="32699"/>
    <cellStyle name="Output 2 7 5 4 2" xfId="32700"/>
    <cellStyle name="Output 2 8 4 6" xfId="32701"/>
    <cellStyle name="Output 2 7 5 4 3" xfId="32702"/>
    <cellStyle name="Output 2 8 4 7" xfId="32703"/>
    <cellStyle name="Total 2 11 2 6 2" xfId="32704"/>
    <cellStyle name="Output 2 7 5 5 2" xfId="32705"/>
    <cellStyle name="Output 2 8 5 6" xfId="32706"/>
    <cellStyle name="Output 2 7 5 5 3" xfId="32707"/>
    <cellStyle name="Output 2 8 5 7" xfId="32708"/>
    <cellStyle name="Total 2 11 2 7 2" xfId="32709"/>
    <cellStyle name="Output 2 7 6" xfId="32710"/>
    <cellStyle name="Output 2 7 6 4 2" xfId="32711"/>
    <cellStyle name="Währung_Mappe1" xfId="32712"/>
    <cellStyle name="Output 2 9 4 6" xfId="32713"/>
    <cellStyle name="Output 2 7 6 4 3" xfId="32714"/>
    <cellStyle name="Output 2 9 4 7" xfId="32715"/>
    <cellStyle name="Total 2 11 3 6 2" xfId="32716"/>
    <cellStyle name="Output 2 7 7" xfId="32717"/>
    <cellStyle name="Output 2 7 7 3 2" xfId="32718"/>
    <cellStyle name="Output 2 7 7 3 3" xfId="32719"/>
    <cellStyle name="Output 2 7 7 3 4" xfId="32720"/>
    <cellStyle name="Output 2 7 7 5" xfId="32721"/>
    <cellStyle name="Output 2 7 7 6" xfId="32722"/>
    <cellStyle name="Output 2 7 7 7" xfId="32723"/>
    <cellStyle name="Output 2 8 10 3" xfId="32724"/>
    <cellStyle name="Output 2 8 10 4" xfId="32725"/>
    <cellStyle name="Output 2 8 10 5" xfId="32726"/>
    <cellStyle name="Output 2 8 10 6" xfId="32727"/>
    <cellStyle name="Output 2 8 10 7" xfId="32728"/>
    <cellStyle name="Output 2 8 11" xfId="32729"/>
    <cellStyle name="Output 2 8 11 2 2" xfId="32730"/>
    <cellStyle name="Output 2 8 11 2 3" xfId="32731"/>
    <cellStyle name="Output 2 8 11 2 4" xfId="32732"/>
    <cellStyle name="Output 2 8 11 3" xfId="32733"/>
    <cellStyle name="Output 2 8 11 3 2" xfId="32734"/>
    <cellStyle name="Output 2 8 11 3 3" xfId="32735"/>
    <cellStyle name="Output 2 8 11 3 4" xfId="32736"/>
    <cellStyle name="Output 2 8 11 4 2" xfId="32737"/>
    <cellStyle name="Output 2 8 11 4 3" xfId="32738"/>
    <cellStyle name="Output 2 8 11 5 2" xfId="32739"/>
    <cellStyle name="Output 2 8 11 5 3" xfId="32740"/>
    <cellStyle name="Output 2 8 11 7" xfId="32741"/>
    <cellStyle name="Output 2 8 12" xfId="32742"/>
    <cellStyle name="Output 2 8 12 2" xfId="32743"/>
    <cellStyle name="Output 2 8 12 2 2" xfId="32744"/>
    <cellStyle name="Output 2 8 12 2 3" xfId="32745"/>
    <cellStyle name="Output 2 8 12 2 4" xfId="32746"/>
    <cellStyle name="Output 2 8 12 3" xfId="32747"/>
    <cellStyle name="Output 2 8 12 3 2" xfId="32748"/>
    <cellStyle name="Output 2 8 12 3 3" xfId="32749"/>
    <cellStyle name="Output 2 8 12 3 4" xfId="32750"/>
    <cellStyle name="Output 2 8 12 4 2" xfId="32751"/>
    <cellStyle name="Output 2 8 12 4 3" xfId="32752"/>
    <cellStyle name="Output 2 8 12 5 2" xfId="32753"/>
    <cellStyle name="Output 2 8 12 5 3" xfId="32754"/>
    <cellStyle name="Output 2 8 12 7" xfId="32755"/>
    <cellStyle name="Output 2 8 2 2 4 2" xfId="32756"/>
    <cellStyle name="Output 2 8 17 2" xfId="32757"/>
    <cellStyle name="Output 2 8 2 2 6" xfId="32758"/>
    <cellStyle name="Output 2 8 19" xfId="32759"/>
    <cellStyle name="Output 2 8 2 10 2" xfId="32760"/>
    <cellStyle name="Output 2 8 2 10 2 2" xfId="32761"/>
    <cellStyle name="Output 2 8 2 10 2 3" xfId="32762"/>
    <cellStyle name="Output 2 8 2 10 2 4" xfId="32763"/>
    <cellStyle name="Output 2 8 2 10 3" xfId="32764"/>
    <cellStyle name="Output 2 8 2 10 3 2" xfId="32765"/>
    <cellStyle name="Output 2 8 2 10 3 3" xfId="32766"/>
    <cellStyle name="Output 2 8 2 10 3 4" xfId="32767"/>
    <cellStyle name="Output 2 8 2 10 4" xfId="32768"/>
    <cellStyle name="Output 2 8 2 10 4 3" xfId="32769"/>
    <cellStyle name="Output 2 8 2 10 5" xfId="32770"/>
    <cellStyle name="Output 2 8 2 10 6" xfId="32771"/>
    <cellStyle name="Output 2 8 2 11 4" xfId="32772"/>
    <cellStyle name="Output 2 8 2 12" xfId="32773"/>
    <cellStyle name="Total 2 16 12 4" xfId="32774"/>
    <cellStyle name="Output 2 8 2 13" xfId="32775"/>
    <cellStyle name="Output 2 8 2 2 2 4" xfId="32776"/>
    <cellStyle name="Total 2 6 2 12" xfId="32777"/>
    <cellStyle name="Output 2 8 2 2 3 4" xfId="32778"/>
    <cellStyle name="Output 2 8 2 2 4 3" xfId="32779"/>
    <cellStyle name="Output 2 8 2 2 5 2" xfId="32780"/>
    <cellStyle name="Output 2 8 2 2 5 3" xfId="32781"/>
    <cellStyle name="Output 2 8 2 2 7" xfId="32782"/>
    <cellStyle name="Output 2 8 2 3 5 2" xfId="32783"/>
    <cellStyle name="Output 2 8 2 3 7" xfId="32784"/>
    <cellStyle name="Output 2 8 2 4 5 2" xfId="32785"/>
    <cellStyle name="Output 2 8 2 4 5 3" xfId="32786"/>
    <cellStyle name="Output 2 8 2 4 6" xfId="32787"/>
    <cellStyle name="Output 2 8 2 4 7" xfId="32788"/>
    <cellStyle name="Output 2 8 2 5 2 4" xfId="32789"/>
    <cellStyle name="Output 2 8 2 5 5 3" xfId="32790"/>
    <cellStyle name="Output 2 8 2 5 6" xfId="32791"/>
    <cellStyle name="Output 2 8 2 5 7" xfId="32792"/>
    <cellStyle name="Output 2 8 2 6 2 4" xfId="32793"/>
    <cellStyle name="Output 2 8 2 6 5 3" xfId="32794"/>
    <cellStyle name="Output 2 8 2 6 6" xfId="32795"/>
    <cellStyle name="Output 2 8 2 6 7" xfId="32796"/>
    <cellStyle name="Output 2 8 3 10 3" xfId="32797"/>
    <cellStyle name="Output 2 8 3 10 4" xfId="32798"/>
    <cellStyle name="Output 2 8 3 11 2" xfId="32799"/>
    <cellStyle name="Output 2 8 3 11 3" xfId="32800"/>
    <cellStyle name="Output 2 8 3 11 4" xfId="32801"/>
    <cellStyle name="Output 2 8 3 12" xfId="32802"/>
    <cellStyle name="Output 2 8 3 13" xfId="32803"/>
    <cellStyle name="Output 2 8 3 2 2 4" xfId="32804"/>
    <cellStyle name="Output 2 8 3 2 3 4" xfId="32805"/>
    <cellStyle name="Output 2 8 3 2 4 3" xfId="32806"/>
    <cellStyle name="Output 2 9 2 10 4" xfId="32807"/>
    <cellStyle name="Output 2 8 3 2 5 2" xfId="32808"/>
    <cellStyle name="Output 2 8 3 2 6" xfId="32809"/>
    <cellStyle name="Output 2 8 3 2 7" xfId="32810"/>
    <cellStyle name="Output 2 8 3 3 6" xfId="32811"/>
    <cellStyle name="Output 2 8 3 3 7" xfId="32812"/>
    <cellStyle name="Output 2 8 3 4 6" xfId="32813"/>
    <cellStyle name="Output 2 8 3 4 7" xfId="32814"/>
    <cellStyle name="Output 2 8 3 5 2 4" xfId="32815"/>
    <cellStyle name="Output 2 8 3 5 4 2" xfId="32816"/>
    <cellStyle name="Output 2 8 3 5 4 3" xfId="32817"/>
    <cellStyle name="Output 2 8 3 5 5 2" xfId="32818"/>
    <cellStyle name="Output 2 8 3 5 5 3" xfId="32819"/>
    <cellStyle name="Output 2 8 3 5 6" xfId="32820"/>
    <cellStyle name="Output 2 8 3 5 7" xfId="32821"/>
    <cellStyle name="Output 2 8 3 6 2 4" xfId="32822"/>
    <cellStyle name="Output 2 8 3 6 4 2" xfId="32823"/>
    <cellStyle name="Output 2 8 3 6 4 3" xfId="32824"/>
    <cellStyle name="Output 2 8 3 6 5 2" xfId="32825"/>
    <cellStyle name="Output 2 8 3 6 5 3" xfId="32826"/>
    <cellStyle name="Output 2 8 3 6 6" xfId="32827"/>
    <cellStyle name="Output 2 8 3 6 7" xfId="32828"/>
    <cellStyle name="Output 2 8 3 7 2 4" xfId="32829"/>
    <cellStyle name="Output 2 8 3 7 3 4" xfId="32830"/>
    <cellStyle name="Output 2 8 3 7 4 2" xfId="32831"/>
    <cellStyle name="Output 2 8 3 7 4 3" xfId="32832"/>
    <cellStyle name="Output 2 9 3 10 4" xfId="32833"/>
    <cellStyle name="Output 2 8 3 7 5 2" xfId="32834"/>
    <cellStyle name="Output 2 9 3 10 5" xfId="32835"/>
    <cellStyle name="Output 2 8 3 7 5 3" xfId="32836"/>
    <cellStyle name="Output 2 8 3 7 6" xfId="32837"/>
    <cellStyle name="Output 2 8 3 7 7" xfId="32838"/>
    <cellStyle name="Output 2 8 3 8 3 4" xfId="32839"/>
    <cellStyle name="Output 2 8 3 8 4 2" xfId="32840"/>
    <cellStyle name="Output 2 8 3 8 4 3" xfId="32841"/>
    <cellStyle name="Output 2 8 3 8 5 2" xfId="32842"/>
    <cellStyle name="Output 2 8 3 8 5 3" xfId="32843"/>
    <cellStyle name="Output 2 8 3 8 6" xfId="32844"/>
    <cellStyle name="Output 2 8 3 8 7" xfId="32845"/>
    <cellStyle name="Output 2 8 3 9 2 2" xfId="32846"/>
    <cellStyle name="Output 2 8 3 9 2 3" xfId="32847"/>
    <cellStyle name="Output 2 8 3 9 2 4" xfId="32848"/>
    <cellStyle name="Output 2 8 3 9 3 2" xfId="32849"/>
    <cellStyle name="Output 2 8 3 9 3 3" xfId="32850"/>
    <cellStyle name="Output 2 8 3 9 4 2" xfId="32851"/>
    <cellStyle name="Output 2 8 3 9 4 3" xfId="32852"/>
    <cellStyle name="Output 2 8 3 9 5 2" xfId="32853"/>
    <cellStyle name="Output 2 8 4 2 3" xfId="32854"/>
    <cellStyle name="Output 2 8 4 2 4" xfId="32855"/>
    <cellStyle name="Output 2 8 4 3 2" xfId="32856"/>
    <cellStyle name="Output 2 8 4 3 3" xfId="32857"/>
    <cellStyle name="Output 2 8 4 3 4" xfId="32858"/>
    <cellStyle name="Output 2 8 4 4 2" xfId="32859"/>
    <cellStyle name="Output 2 8 4 4 3" xfId="32860"/>
    <cellStyle name="Output 2 8 4 5 2" xfId="32861"/>
    <cellStyle name="Output 2 8 4 5 3" xfId="32862"/>
    <cellStyle name="Output 2 8 5 4" xfId="32863"/>
    <cellStyle name="Output 2 8 5 4 2" xfId="32864"/>
    <cellStyle name="Output 2 8 5 4 3" xfId="32865"/>
    <cellStyle name="Output 2 8 5 5" xfId="32866"/>
    <cellStyle name="Output 2 8 5 5 2" xfId="32867"/>
    <cellStyle name="Output 2 8 5 5 3" xfId="32868"/>
    <cellStyle name="Output 2 8 6 4" xfId="32869"/>
    <cellStyle name="Output 2 8 6 4 2" xfId="32870"/>
    <cellStyle name="Output 2 8 6 4 3" xfId="32871"/>
    <cellStyle name="Output 2 8 6 5" xfId="32872"/>
    <cellStyle name="Output 2 8 6 5 2" xfId="32873"/>
    <cellStyle name="Output 2 8 6 5 3" xfId="32874"/>
    <cellStyle name="Output 2 8 6 6" xfId="32875"/>
    <cellStyle name="Total 2 11 2 8 2" xfId="32876"/>
    <cellStyle name="Output 2 8 6 7" xfId="32877"/>
    <cellStyle name="Output 2 8 7" xfId="32878"/>
    <cellStyle name="Output 2 8 7 2 3" xfId="32879"/>
    <cellStyle name="Output 2 8 7 2 4" xfId="32880"/>
    <cellStyle name="Output 2 8 7 3" xfId="32881"/>
    <cellStyle name="Output 2 8 7 4" xfId="32882"/>
    <cellStyle name="Output 2 8 7 4 3" xfId="32883"/>
    <cellStyle name="Output 2 8 7 5" xfId="32884"/>
    <cellStyle name="Output 2 8 7 6" xfId="32885"/>
    <cellStyle name="Output 2 8 8" xfId="32886"/>
    <cellStyle name="Output 2 8 9" xfId="32887"/>
    <cellStyle name="Output 2 9" xfId="32888"/>
    <cellStyle name="Output 2 9 10" xfId="32889"/>
    <cellStyle name="Output 2 9 10 4" xfId="32890"/>
    <cellStyle name="Output 2 9 10 5" xfId="32891"/>
    <cellStyle name="Output 2 9 10 6" xfId="32892"/>
    <cellStyle name="Output 2 9 11" xfId="32893"/>
    <cellStyle name="Output 2 9 11 2 2" xfId="32894"/>
    <cellStyle name="Output 2 9 11 2 3" xfId="32895"/>
    <cellStyle name="Output 2 9 11 2 4" xfId="32896"/>
    <cellStyle name="Output 2 9 11 3 2" xfId="32897"/>
    <cellStyle name="Output 2 9 11 3 3" xfId="32898"/>
    <cellStyle name="Output 2 9 11 3 4" xfId="32899"/>
    <cellStyle name="Output 2 9 11 4" xfId="32900"/>
    <cellStyle name="Output 2 9 11 4 2" xfId="32901"/>
    <cellStyle name="Output 2 9 11 4 3" xfId="32902"/>
    <cellStyle name="Output 2 9 12 2 2" xfId="32903"/>
    <cellStyle name="Output 2 9 12 2 3" xfId="32904"/>
    <cellStyle name="Output 2 9 12 2 4" xfId="32905"/>
    <cellStyle name="Output 2 9 12 3" xfId="32906"/>
    <cellStyle name="Output 2 9 12 3 2" xfId="32907"/>
    <cellStyle name="Output 2 9 12 3 3" xfId="32908"/>
    <cellStyle name="Output 2 9 12 3 4" xfId="32909"/>
    <cellStyle name="Output 2 9 12 4" xfId="32910"/>
    <cellStyle name="Output 2 9 12 4 2" xfId="32911"/>
    <cellStyle name="Output 2 9 12 4 3" xfId="32912"/>
    <cellStyle name="Output 2 9 12 5 3" xfId="32913"/>
    <cellStyle name="Output 2 9 2 10" xfId="32914"/>
    <cellStyle name="Output 2 9 2 10 2" xfId="32915"/>
    <cellStyle name="Output 2 9 2 10 3" xfId="32916"/>
    <cellStyle name="Output 2 9 2 10 3 4" xfId="32917"/>
    <cellStyle name="Output 2 9 2 10 4 3" xfId="32918"/>
    <cellStyle name="Output 2 9 2 10 6" xfId="32919"/>
    <cellStyle name="Output 2 9 2 11" xfId="32920"/>
    <cellStyle name="Output 2 9 2 12" xfId="32921"/>
    <cellStyle name="Output 2 9 2 12 2" xfId="32922"/>
    <cellStyle name="Output 2 9 2 12 3" xfId="32923"/>
    <cellStyle name="Output 2 9 2 12 4" xfId="32924"/>
    <cellStyle name="Output 2 9 2 13" xfId="32925"/>
    <cellStyle name="Output 2 9 2 13 2" xfId="32926"/>
    <cellStyle name="Output 2 9 2 13 3" xfId="32927"/>
    <cellStyle name="Output 2 9 2 14 2" xfId="32928"/>
    <cellStyle name="Output 2 9 2 14 3" xfId="32929"/>
    <cellStyle name="Output 2 9 2 17" xfId="32930"/>
    <cellStyle name="Output 2 9 2 2 2 2" xfId="32931"/>
    <cellStyle name="Output 2 9 2 2 3" xfId="32932"/>
    <cellStyle name="Output 2 9 2 2 3 2" xfId="32933"/>
    <cellStyle name="Output 2 9 2 2 4" xfId="32934"/>
    <cellStyle name="Output 2 9 2 2 4 2" xfId="32935"/>
    <cellStyle name="Output 2 9 2 2 5" xfId="32936"/>
    <cellStyle name="Output 2 9 2 2 5 2" xfId="32937"/>
    <cellStyle name="Output 2 9 2 2 6" xfId="32938"/>
    <cellStyle name="Output 2 9 2 2 7" xfId="32939"/>
    <cellStyle name="Output 2 9 2 3 2" xfId="32940"/>
    <cellStyle name="Output 2 9 2 3 2 2" xfId="32941"/>
    <cellStyle name="Output 2 9 2 3 3" xfId="32942"/>
    <cellStyle name="Output 2 9 2 3 3 2" xfId="32943"/>
    <cellStyle name="Output 2 9 2 3 4" xfId="32944"/>
    <cellStyle name="Output 2 9 2 3 4 2" xfId="32945"/>
    <cellStyle name="Output 2 9 2 3 5" xfId="32946"/>
    <cellStyle name="Output 2 9 2 3 7" xfId="32947"/>
    <cellStyle name="Output 2 9 2 4 2" xfId="32948"/>
    <cellStyle name="Output 2 9 2 4 2 2" xfId="32949"/>
    <cellStyle name="Output 2 9 2 4 3" xfId="32950"/>
    <cellStyle name="Output 2 9 2 4 3 2" xfId="32951"/>
    <cellStyle name="Output 2 9 2 4 4" xfId="32952"/>
    <cellStyle name="Output 2 9 2 4 4 2" xfId="32953"/>
    <cellStyle name="Output 2 9 2 4 5" xfId="32954"/>
    <cellStyle name="Output 2 9 2 4 5 2" xfId="32955"/>
    <cellStyle name="Output 2 9 2 4 6" xfId="32956"/>
    <cellStyle name="Output 2 9 2 4 7" xfId="32957"/>
    <cellStyle name="Output 2 9 2 5 2" xfId="32958"/>
    <cellStyle name="Output 2 9 2 5 2 2" xfId="32959"/>
    <cellStyle name="Output 2 9 2 5 3" xfId="32960"/>
    <cellStyle name="Output 2 9 2 5 3 2" xfId="32961"/>
    <cellStyle name="Output 2 9 2 5 4" xfId="32962"/>
    <cellStyle name="Output 2 9 2 5 4 2" xfId="32963"/>
    <cellStyle name="Output 2 9 2 5 5" xfId="32964"/>
    <cellStyle name="Output 2 9 2 5 5 2" xfId="32965"/>
    <cellStyle name="Output 2 9 2 5 6" xfId="32966"/>
    <cellStyle name="Output 2 9 2 5 7" xfId="32967"/>
    <cellStyle name="Output 2 9 2 6 2 2" xfId="32968"/>
    <cellStyle name="Output 2 9 2 6 3 2" xfId="32969"/>
    <cellStyle name="Output 2 9 2 6 4 2" xfId="32970"/>
    <cellStyle name="Output 2 9 2 6 5" xfId="32971"/>
    <cellStyle name="Output 2 9 2 6 6" xfId="32972"/>
    <cellStyle name="Output 2 9 2 6 7" xfId="32973"/>
    <cellStyle name="Output 2 9 2 7 2 2" xfId="32974"/>
    <cellStyle name="Output 2 9 2 7 3 2" xfId="32975"/>
    <cellStyle name="Output 2 9 2 7 4 2" xfId="32976"/>
    <cellStyle name="Output 2 9 2 7 5" xfId="32977"/>
    <cellStyle name="Output 2 9 2 7 6" xfId="32978"/>
    <cellStyle name="Output 2 9 2 7 7" xfId="32979"/>
    <cellStyle name="Output 2 9 2 8 3 4" xfId="32980"/>
    <cellStyle name="Total 2 11 3 4 3 4" xfId="32981"/>
    <cellStyle name="Output 2 9 2 8 4" xfId="32982"/>
    <cellStyle name="Output 2 9 2 8 5" xfId="32983"/>
    <cellStyle name="Output 2 9 2 8 6" xfId="32984"/>
    <cellStyle name="Output 2 9 2 8 7" xfId="32985"/>
    <cellStyle name="Output 2 9 2 9 3 4" xfId="32986"/>
    <cellStyle name="Output 2 9 2 9 5" xfId="32987"/>
    <cellStyle name="Output 2 9 2 9 6" xfId="32988"/>
    <cellStyle name="Output 2 9 2 9 7" xfId="32989"/>
    <cellStyle name="Output 2 9 3 10 3" xfId="32990"/>
    <cellStyle name="Output 2 9 3 10 6" xfId="32991"/>
    <cellStyle name="Output 2 9 3 11 3" xfId="32992"/>
    <cellStyle name="Output 2 9 3 11 4" xfId="32993"/>
    <cellStyle name="Output 2 9 3 12 3" xfId="32994"/>
    <cellStyle name="Output 2 9 3 12 4" xfId="32995"/>
    <cellStyle name="Output 2 9 3 13 2" xfId="32996"/>
    <cellStyle name="Output 2 9 3 13 3" xfId="32997"/>
    <cellStyle name="Output 2 9 3 14 2" xfId="32998"/>
    <cellStyle name="Output 2 9 3 14 3" xfId="32999"/>
    <cellStyle name="Output 2 9 3 2 2 2" xfId="33000"/>
    <cellStyle name="Output 2 9 3 2 3" xfId="33001"/>
    <cellStyle name="Output 2 9 3 2 3 2" xfId="33002"/>
    <cellStyle name="Output 2 9 3 2 4" xfId="33003"/>
    <cellStyle name="Output 2 9 3 2 4 2" xfId="33004"/>
    <cellStyle name="Output 2 9 3 2 5" xfId="33005"/>
    <cellStyle name="Output 2 9 3 2 5 2" xfId="33006"/>
    <cellStyle name="Output 2 9 3 2 6" xfId="33007"/>
    <cellStyle name="Output 2 9 3 4 2" xfId="33008"/>
    <cellStyle name="Output 2 9 3 4 2 2" xfId="33009"/>
    <cellStyle name="Output 2 9 3 4 3" xfId="33010"/>
    <cellStyle name="Output 2 9 3 4 3 2" xfId="33011"/>
    <cellStyle name="Output 2 9 3 4 4" xfId="33012"/>
    <cellStyle name="Output 2 9 3 4 4 2" xfId="33013"/>
    <cellStyle name="Output 2 9 3 4 5" xfId="33014"/>
    <cellStyle name="Output 2 9 3 4 5 2" xfId="33015"/>
    <cellStyle name="Output 2 9 3 4 6" xfId="33016"/>
    <cellStyle name="Output 2 9 3 4 7" xfId="33017"/>
    <cellStyle name="Output 2 9 3 5 5 2" xfId="33018"/>
    <cellStyle name="Output 2 9 3 6 2 2" xfId="33019"/>
    <cellStyle name="Output 2 9 3 6 4 2" xfId="33020"/>
    <cellStyle name="Output 2 9 3 6 5" xfId="33021"/>
    <cellStyle name="Output 2 9 3 7 2 2" xfId="33022"/>
    <cellStyle name="Output 2 9 3 7 3 2" xfId="33023"/>
    <cellStyle name="Output 2 9 3 7 4 2" xfId="33024"/>
    <cellStyle name="Output 2 9 3 7 5" xfId="33025"/>
    <cellStyle name="Output 2 9 3 7 5 2" xfId="33026"/>
    <cellStyle name="Output 2 9 3 9 3 4" xfId="33027"/>
    <cellStyle name="Output 2 9 3 9 5" xfId="33028"/>
    <cellStyle name="Output 2 9 4 2 3" xfId="33029"/>
    <cellStyle name="Output 2 9 4 2 4" xfId="33030"/>
    <cellStyle name="Output 2 9 4 4 2" xfId="33031"/>
    <cellStyle name="Output 2 9 4 4 3" xfId="33032"/>
    <cellStyle name="Output 2 9 6 4" xfId="33033"/>
    <cellStyle name="Output 2 9 6 5" xfId="33034"/>
    <cellStyle name="Output 2 9 6 5 3" xfId="33035"/>
    <cellStyle name="Output 2 9 6 6" xfId="33036"/>
    <cellStyle name="Output 2 9 6 7" xfId="33037"/>
    <cellStyle name="Output 2 9 7 3" xfId="33038"/>
    <cellStyle name="Output 2 9 7 4" xfId="33039"/>
    <cellStyle name="Output 2 9 7 5" xfId="33040"/>
    <cellStyle name="Output 2 9 7 6" xfId="33041"/>
    <cellStyle name="Output 2 9 7 7" xfId="33042"/>
    <cellStyle name="Output 2 9 9" xfId="33043"/>
    <cellStyle name="Output 3 2 2" xfId="33044"/>
    <cellStyle name="Output 3 4" xfId="33045"/>
    <cellStyle name="Output 4 2" xfId="33046"/>
    <cellStyle name="Output 4 2 2" xfId="33047"/>
    <cellStyle name="Output 4 3" xfId="33048"/>
    <cellStyle name="Output 5 2" xfId="33049"/>
    <cellStyle name="Output 5 2 2" xfId="33050"/>
    <cellStyle name="Output 5 3" xfId="33051"/>
    <cellStyle name="Output 5 4" xfId="33052"/>
    <cellStyle name="Percent [2] 2" xfId="33053"/>
    <cellStyle name="Percent [2] 2 2" xfId="33054"/>
    <cellStyle name="Percent 2" xfId="33055"/>
    <cellStyle name="Percent 2 2" xfId="33056"/>
    <cellStyle name="Title 2" xfId="33057"/>
    <cellStyle name="Title 2 2 2 2" xfId="33058"/>
    <cellStyle name="Title 2 2 2 2 2" xfId="33059"/>
    <cellStyle name="Title 2 2 2 2 3" xfId="33060"/>
    <cellStyle name="Title 2 2 7" xfId="33061"/>
    <cellStyle name="Title 2 2 8" xfId="33062"/>
    <cellStyle name="Title 2 3" xfId="33063"/>
    <cellStyle name="Title 2 4" xfId="33064"/>
    <cellStyle name="Title 2 4 2 2 2" xfId="33065"/>
    <cellStyle name="Title 2 4 3" xfId="33066"/>
    <cellStyle name="Title 3" xfId="33067"/>
    <cellStyle name="Title 4" xfId="33068"/>
    <cellStyle name="Title 4 2" xfId="33069"/>
    <cellStyle name="Total 2 10 10 2 2" xfId="33070"/>
    <cellStyle name="Total 2 10 10 3 2" xfId="33071"/>
    <cellStyle name="Total 2 10 10 4 2" xfId="33072"/>
    <cellStyle name="Total 2 10 10 5 2" xfId="33073"/>
    <cellStyle name="Total 2 10 11 2" xfId="33074"/>
    <cellStyle name="Total 2 10 11 2 2" xfId="33075"/>
    <cellStyle name="Total 2 10 11 3 2" xfId="33076"/>
    <cellStyle name="Total 2 10 11 4 2" xfId="33077"/>
    <cellStyle name="Total 2 10 11 5 2" xfId="33078"/>
    <cellStyle name="Total 2 10 13 2" xfId="33079"/>
    <cellStyle name="Total 2 10 14" xfId="33080"/>
    <cellStyle name="Total 2 10 14 2" xfId="33081"/>
    <cellStyle name="Total 2 10 14 3" xfId="33082"/>
    <cellStyle name="Total 2 10 14 4" xfId="33083"/>
    <cellStyle name="Total 2 10 20" xfId="33084"/>
    <cellStyle name="Total 2 10 15" xfId="33085"/>
    <cellStyle name="Total 2 10 15 2" xfId="33086"/>
    <cellStyle name="Total 2 10 15 3" xfId="33087"/>
    <cellStyle name="Total 2 10 16" xfId="33088"/>
    <cellStyle name="Total 2 10 16 2" xfId="33089"/>
    <cellStyle name="Total 2 10 16 3" xfId="33090"/>
    <cellStyle name="Total 2 10 17" xfId="33091"/>
    <cellStyle name="Total 2 10 18" xfId="33092"/>
    <cellStyle name="Total 2 10 19" xfId="33093"/>
    <cellStyle name="Total 2 10 2" xfId="33094"/>
    <cellStyle name="Total 2 10 2 10" xfId="33095"/>
    <cellStyle name="Total 2 10 2 10 2" xfId="33096"/>
    <cellStyle name="Total 2 10 2 10 2 4" xfId="33097"/>
    <cellStyle name="Total 2 10 2 10 3" xfId="33098"/>
    <cellStyle name="Total 2 10 2 10 3 4" xfId="33099"/>
    <cellStyle name="Total 2 10 2 10 4" xfId="33100"/>
    <cellStyle name="Total 2 10 2 10 5" xfId="33101"/>
    <cellStyle name="Total 2 10 2 11" xfId="33102"/>
    <cellStyle name="Total 2 10 2 11 2" xfId="33103"/>
    <cellStyle name="Total 2 10 2 12" xfId="33104"/>
    <cellStyle name="Total 2 10 2 12 2" xfId="33105"/>
    <cellStyle name="Total 2 10 2 13" xfId="33106"/>
    <cellStyle name="Total 2 10 2 13 2" xfId="33107"/>
    <cellStyle name="Total 2 10 2 2" xfId="33108"/>
    <cellStyle name="Total 2 10 2 2 2" xfId="33109"/>
    <cellStyle name="Total 2 7 3 2 4 3" xfId="33110"/>
    <cellStyle name="Total 2 10 2 2 2 2" xfId="33111"/>
    <cellStyle name="Total 2 10 2 2 2 3" xfId="33112"/>
    <cellStyle name="Total 2 10 2 2 2 4" xfId="33113"/>
    <cellStyle name="Total 2 10 2 3" xfId="33114"/>
    <cellStyle name="Total 2 10 2 3 2 4" xfId="33115"/>
    <cellStyle name="Total 2 10 2 4 2 4" xfId="33116"/>
    <cellStyle name="Total 2 10 2 5 2 4" xfId="33117"/>
    <cellStyle name="Total 2 10 2 6 2 2" xfId="33118"/>
    <cellStyle name="Total 2 10 2 6 2 3" xfId="33119"/>
    <cellStyle name="Total 2 10 2 6 2 4" xfId="33120"/>
    <cellStyle name="Total 2 10 2 7" xfId="33121"/>
    <cellStyle name="Total 2 10 2 7 2 2" xfId="33122"/>
    <cellStyle name="Total 2 10 2 7 2 3" xfId="33123"/>
    <cellStyle name="Total 2 10 2 7 2 4" xfId="33124"/>
    <cellStyle name="Total 2 10 2 8 2 2" xfId="33125"/>
    <cellStyle name="Total 2 10 2 8 2 3" xfId="33126"/>
    <cellStyle name="Total 2 10 2 8 2 4" xfId="33127"/>
    <cellStyle name="Total 2 10 2 9 2 2" xfId="33128"/>
    <cellStyle name="Total 2 10 2 9 2 3" xfId="33129"/>
    <cellStyle name="Total 2 10 2 9 2 4" xfId="33130"/>
    <cellStyle name="Total 2 10 3" xfId="33131"/>
    <cellStyle name="Total 2 10 3 10 2 2" xfId="33132"/>
    <cellStyle name="Total 2 10 3 10 2 3" xfId="33133"/>
    <cellStyle name="Total 2 10 3 10 2 4" xfId="33134"/>
    <cellStyle name="Total 2 10 3 2" xfId="33135"/>
    <cellStyle name="Total 2 10 3 2 2" xfId="33136"/>
    <cellStyle name="Total 2 7 3 3 4 3" xfId="33137"/>
    <cellStyle name="Total 2 10 3 2 2 2" xfId="33138"/>
    <cellStyle name="Total 2 10 3 2 2 3" xfId="33139"/>
    <cellStyle name="Total 2 10 3 2 2 4" xfId="33140"/>
    <cellStyle name="Total 2 10 3 3" xfId="33141"/>
    <cellStyle name="Total 2 10 3 3 2 4" xfId="33142"/>
    <cellStyle name="Total 2 10 3 4 2 4" xfId="33143"/>
    <cellStyle name="Total 2 10 3 7" xfId="33144"/>
    <cellStyle name="Total 2 10 3 8 2 2" xfId="33145"/>
    <cellStyle name="Total 2 10 3 8 2 3" xfId="33146"/>
    <cellStyle name="Total 2 10 3 9 2 2" xfId="33147"/>
    <cellStyle name="Total 2 10 3 9 2 3" xfId="33148"/>
    <cellStyle name="Total 2 10 4" xfId="33149"/>
    <cellStyle name="Total 2 10 4 2" xfId="33150"/>
    <cellStyle name="Total 2 10 4 2 2" xfId="33151"/>
    <cellStyle name="Total 2 7 3 4 4 3" xfId="33152"/>
    <cellStyle name="Total 2 10 4 3" xfId="33153"/>
    <cellStyle name="Total 2 10 5" xfId="33154"/>
    <cellStyle name="Total 2 10 5 2" xfId="33155"/>
    <cellStyle name="Total 2 10 5 2 2" xfId="33156"/>
    <cellStyle name="Total 2 7 3 5 4 3" xfId="33157"/>
    <cellStyle name="Total 2 10 5 3" xfId="33158"/>
    <cellStyle name="Total 2 10 6" xfId="33159"/>
    <cellStyle name="Total 2 10 6 2" xfId="33160"/>
    <cellStyle name="Total 2 10 6 2 2" xfId="33161"/>
    <cellStyle name="Total 2 7 3 6 4 3" xfId="33162"/>
    <cellStyle name="Total 2 10 6 3" xfId="33163"/>
    <cellStyle name="Total 2 10 6 4" xfId="33164"/>
    <cellStyle name="Total 2 10 6 5" xfId="33165"/>
    <cellStyle name="Total 2 10 7" xfId="33166"/>
    <cellStyle name="Total 2 10 7 2 2" xfId="33167"/>
    <cellStyle name="Total 2 7 3 7 4 3" xfId="33168"/>
    <cellStyle name="Total 2 10 7 3 2" xfId="33169"/>
    <cellStyle name="Total 2 7 3 7 5 3" xfId="33170"/>
    <cellStyle name="Total 2 10 7 4" xfId="33171"/>
    <cellStyle name="Total 2 10 7 4 2" xfId="33172"/>
    <cellStyle name="Total 2 10 7 5" xfId="33173"/>
    <cellStyle name="Total 2 10 7 5 2" xfId="33174"/>
    <cellStyle name="Total 2 10 8" xfId="33175"/>
    <cellStyle name="Total 2 10 8 2 2" xfId="33176"/>
    <cellStyle name="Total 2 7 3 8 4 3" xfId="33177"/>
    <cellStyle name="Total 2 10 8 3 2" xfId="33178"/>
    <cellStyle name="Total 2 7 3 8 5 3" xfId="33179"/>
    <cellStyle name="Total 2 10 8 4" xfId="33180"/>
    <cellStyle name="Total 2 10 8 4 2" xfId="33181"/>
    <cellStyle name="Total 2 10 8 5" xfId="33182"/>
    <cellStyle name="Total 2 10 8 5 2" xfId="33183"/>
    <cellStyle name="Total 2 10 8 6" xfId="33184"/>
    <cellStyle name="Total 2 10 8 7" xfId="33185"/>
    <cellStyle name="Total 2 10 9 2 2" xfId="33186"/>
    <cellStyle name="Total 2 7 3 9 4 3" xfId="33187"/>
    <cellStyle name="Total 2 10 9 3" xfId="33188"/>
    <cellStyle name="Total 2 10 9 3 2" xfId="33189"/>
    <cellStyle name="Total 2 7 3 9 5 3" xfId="33190"/>
    <cellStyle name="Total 2 10 9 4" xfId="33191"/>
    <cellStyle name="Total 2 10 9 4 2" xfId="33192"/>
    <cellStyle name="Total 2 10 9 5" xfId="33193"/>
    <cellStyle name="Total 2 10 9 5 2" xfId="33194"/>
    <cellStyle name="Total 2 10 9 6" xfId="33195"/>
    <cellStyle name="Total 2 10 9 7" xfId="33196"/>
    <cellStyle name="Total 2 11 10" xfId="33197"/>
    <cellStyle name="Total 2 11 11" xfId="33198"/>
    <cellStyle name="Total 2 11 20" xfId="33199"/>
    <cellStyle name="Total 2 11 15" xfId="33200"/>
    <cellStyle name="Total 2 11 19" xfId="33201"/>
    <cellStyle name="Total 2 11 2" xfId="33202"/>
    <cellStyle name="Total 2 11 2 10 2" xfId="33203"/>
    <cellStyle name="Total 2 11 2 10 2 4" xfId="33204"/>
    <cellStyle name="Total 2 11 2 10 3" xfId="33205"/>
    <cellStyle name="Total 2 11 2 10 3 4" xfId="33206"/>
    <cellStyle name="Total 2 11 2 10 4 3" xfId="33207"/>
    <cellStyle name="Total 2 11 2 10 5 3" xfId="33208"/>
    <cellStyle name="Total 2 11 2 11 3" xfId="33209"/>
    <cellStyle name="Total 2 11 2 12" xfId="33210"/>
    <cellStyle name="Total 2 11 2 12 3" xfId="33211"/>
    <cellStyle name="Total 2 11 2 15" xfId="33212"/>
    <cellStyle name="Total 2 11 2 16" xfId="33213"/>
    <cellStyle name="Total 2 11 2 17" xfId="33214"/>
    <cellStyle name="Total 2 11 2 2" xfId="33215"/>
    <cellStyle name="Total 2 11 2 3" xfId="33216"/>
    <cellStyle name="Total 2 11 2 6 2 2" xfId="33217"/>
    <cellStyle name="Total 2 11 2 6 2 4" xfId="33218"/>
    <cellStyle name="Total 2 11 2 6 3" xfId="33219"/>
    <cellStyle name="Total 2 11 2 6 3 2" xfId="33220"/>
    <cellStyle name="Total 2 11 2 6 4" xfId="33221"/>
    <cellStyle name="Total 2 11 2 6 4 2" xfId="33222"/>
    <cellStyle name="Total 2 11 2 6 5" xfId="33223"/>
    <cellStyle name="Total 2 11 2 6 6" xfId="33224"/>
    <cellStyle name="Total 2 11 2 6 7" xfId="33225"/>
    <cellStyle name="Total 2 11 2 7" xfId="33226"/>
    <cellStyle name="Total 2 11 2 7 2 2" xfId="33227"/>
    <cellStyle name="Total 2 11 2 7 2 3" xfId="33228"/>
    <cellStyle name="Total 2 11 2 7 2 4" xfId="33229"/>
    <cellStyle name="Total 2 11 2 7 3" xfId="33230"/>
    <cellStyle name="Total 2 11 2 7 3 2" xfId="33231"/>
    <cellStyle name="Total 2 11 2 7 4" xfId="33232"/>
    <cellStyle name="Total 2 11 2 7 4 2" xfId="33233"/>
    <cellStyle name="Total 2 11 2 7 5" xfId="33234"/>
    <cellStyle name="Total 2 11 2 7 6" xfId="33235"/>
    <cellStyle name="Total 2 11 2 7 7" xfId="33236"/>
    <cellStyle name="Total 2 11 2 8 2 2" xfId="33237"/>
    <cellStyle name="Total 2 11 2 8 2 3" xfId="33238"/>
    <cellStyle name="Total 2 11 2 8 2 4" xfId="33239"/>
    <cellStyle name="Total 2 11 2 8 3" xfId="33240"/>
    <cellStyle name="Total 2 11 2 8 3 2" xfId="33241"/>
    <cellStyle name="Total 2 11 2 8 4" xfId="33242"/>
    <cellStyle name="Total 2 11 2 8 5" xfId="33243"/>
    <cellStyle name="Total 2 11 2 8 6" xfId="33244"/>
    <cellStyle name="Total 2 11 2 8 7" xfId="33245"/>
    <cellStyle name="Total 2 11 3" xfId="33246"/>
    <cellStyle name="Total 2 11 3 10 4 3" xfId="33247"/>
    <cellStyle name="Total 2 11 3 10 5 2" xfId="33248"/>
    <cellStyle name="Total 2 11 3 10 5 3" xfId="33249"/>
    <cellStyle name="Total 2 11 3 2" xfId="33250"/>
    <cellStyle name="Total 2 11 3 3" xfId="33251"/>
    <cellStyle name="Total 2 11 3 3 3 4" xfId="33252"/>
    <cellStyle name="Total 2 11 3 3 5 3" xfId="33253"/>
    <cellStyle name="Total 2 11 3 3 7" xfId="33254"/>
    <cellStyle name="Total 2 11 3 4 5 3" xfId="33255"/>
    <cellStyle name="Total 2 11 3 4 7" xfId="33256"/>
    <cellStyle name="Total 2 11 3 6 2 2" xfId="33257"/>
    <cellStyle name="Total 2 11 3 6 2 3" xfId="33258"/>
    <cellStyle name="Total 2 11 3 6 2 4" xfId="33259"/>
    <cellStyle name="Total 2 11 3 6 3" xfId="33260"/>
    <cellStyle name="Total 2 11 3 6 4 2" xfId="33261"/>
    <cellStyle name="Total 2 11 3 6 4 3" xfId="33262"/>
    <cellStyle name="Total 2 11 3 6 7" xfId="33263"/>
    <cellStyle name="Total 2 11 3 7" xfId="33264"/>
    <cellStyle name="Total 2 11 3 7 7" xfId="33265"/>
    <cellStyle name="Total 2 11 3 8" xfId="33266"/>
    <cellStyle name="Total 2 11 3 8 2" xfId="33267"/>
    <cellStyle name="Total 2 11 3 8 2 2" xfId="33268"/>
    <cellStyle name="Total 2 11 3 8 2 3" xfId="33269"/>
    <cellStyle name="Total 2 11 3 8 2 4" xfId="33270"/>
    <cellStyle name="Total 2 11 3 8 3" xfId="33271"/>
    <cellStyle name="Total 2 11 3 8 3 2" xfId="33272"/>
    <cellStyle name="Total 2 11 3 8 3 3" xfId="33273"/>
    <cellStyle name="Total 2 11 3 8 3 4" xfId="33274"/>
    <cellStyle name="Total 2 11 3 8 4 2" xfId="33275"/>
    <cellStyle name="Total 2 11 3 8 4 3" xfId="33276"/>
    <cellStyle name="Total 2 11 3 8 5 2" xfId="33277"/>
    <cellStyle name="Total 2 11 3 8 5 3" xfId="33278"/>
    <cellStyle name="Total 2 11 3 8 6" xfId="33279"/>
    <cellStyle name="Total 2 11 3 8 7" xfId="33280"/>
    <cellStyle name="Total 2 11 3 9" xfId="33281"/>
    <cellStyle name="Total 2 11 3 9 2" xfId="33282"/>
    <cellStyle name="Total 2 11 3 9 2 3" xfId="33283"/>
    <cellStyle name="Total 2 11 3 9 2 4" xfId="33284"/>
    <cellStyle name="Total 2 11 3 9 3" xfId="33285"/>
    <cellStyle name="Total 2 11 3 9 3 2" xfId="33286"/>
    <cellStyle name="Total 2 11 3 9 3 3" xfId="33287"/>
    <cellStyle name="Total 2 11 3 9 3 4" xfId="33288"/>
    <cellStyle name="Total 2 11 3 9 4 2" xfId="33289"/>
    <cellStyle name="Total 2 11 3 9 4 3" xfId="33290"/>
    <cellStyle name="Total 2 11 3 9 5 2" xfId="33291"/>
    <cellStyle name="Total 2 11 3 9 5 3" xfId="33292"/>
    <cellStyle name="Total 2 11 3 9 6" xfId="33293"/>
    <cellStyle name="Total 2 11 3 9 7" xfId="33294"/>
    <cellStyle name="Total 2 11 4" xfId="33295"/>
    <cellStyle name="Total 2 11 4 2" xfId="33296"/>
    <cellStyle name="Total 2 11 4 3" xfId="33297"/>
    <cellStyle name="Total 2 11 4 4" xfId="33298"/>
    <cellStyle name="Total 2 11 4 5" xfId="33299"/>
    <cellStyle name="Total 2 11 4 5 2" xfId="33300"/>
    <cellStyle name="Total 2 11 4 5 3" xfId="33301"/>
    <cellStyle name="Total 2 11 4 6" xfId="33302"/>
    <cellStyle name="Total 2 11 4 7" xfId="33303"/>
    <cellStyle name="Total 2 11 5" xfId="33304"/>
    <cellStyle name="Total 2 11 5 2" xfId="33305"/>
    <cellStyle name="Total 2 14 2 11" xfId="33306"/>
    <cellStyle name="Total 2 11 5 2 2" xfId="33307"/>
    <cellStyle name="Total 2 14 2 11 2" xfId="33308"/>
    <cellStyle name="Total 2 11 5 2 3" xfId="33309"/>
    <cellStyle name="Total 2 14 2 11 3" xfId="33310"/>
    <cellStyle name="Total 2 11 5 2 4" xfId="33311"/>
    <cellStyle name="Total 2 14 2 11 4" xfId="33312"/>
    <cellStyle name="Total 2 11 5 3" xfId="33313"/>
    <cellStyle name="Total 2 14 2 12" xfId="33314"/>
    <cellStyle name="Total 2 11 5 3 2" xfId="33315"/>
    <cellStyle name="Total 2 14 2 12 2" xfId="33316"/>
    <cellStyle name="Total 2 11 5 3 3" xfId="33317"/>
    <cellStyle name="Total 2 14 2 12 3" xfId="33318"/>
    <cellStyle name="Total 2 11 5 3 4" xfId="33319"/>
    <cellStyle name="Total 2 14 2 12 4" xfId="33320"/>
    <cellStyle name="Total 2 11 5 4" xfId="33321"/>
    <cellStyle name="Total 2 14 2 13" xfId="33322"/>
    <cellStyle name="Total 2 11 5 4 2" xfId="33323"/>
    <cellStyle name="Total 2 14 2 13 2" xfId="33324"/>
    <cellStyle name="Total 2 11 5 4 3" xfId="33325"/>
    <cellStyle name="Total 2 14 2 13 3" xfId="33326"/>
    <cellStyle name="Total 2 11 5 5" xfId="33327"/>
    <cellStyle name="Total 2 14 2 14" xfId="33328"/>
    <cellStyle name="Total 2 11 5 5 2" xfId="33329"/>
    <cellStyle name="Total 2 14 2 14 2" xfId="33330"/>
    <cellStyle name="Total 2 11 5 5 3" xfId="33331"/>
    <cellStyle name="Total 2 14 2 14 3" xfId="33332"/>
    <cellStyle name="Total 2 11 5 6" xfId="33333"/>
    <cellStyle name="Total 2 14 2 15" xfId="33334"/>
    <cellStyle name="Total 2 11 5 7" xfId="33335"/>
    <cellStyle name="Total 2 14 2 16" xfId="33336"/>
    <cellStyle name="Total 2 11 6" xfId="33337"/>
    <cellStyle name="Total 2 11 6 2" xfId="33338"/>
    <cellStyle name="Total 2 11 6 2 2" xfId="33339"/>
    <cellStyle name="Total 2 11 6 2 3" xfId="33340"/>
    <cellStyle name="Total 2 11 6 2 4" xfId="33341"/>
    <cellStyle name="Total 2 11 6 3" xfId="33342"/>
    <cellStyle name="Total 2 11 6 3 2" xfId="33343"/>
    <cellStyle name="Total 2 11 6 3 3" xfId="33344"/>
    <cellStyle name="Total 2 11 6 3 4" xfId="33345"/>
    <cellStyle name="Total 2 11 6 4" xfId="33346"/>
    <cellStyle name="Total 2 11 6 4 2" xfId="33347"/>
    <cellStyle name="Total 2 11 6 4 3" xfId="33348"/>
    <cellStyle name="Total 2 11 6 5" xfId="33349"/>
    <cellStyle name="Total 2 11 6 5 2" xfId="33350"/>
    <cellStyle name="Total 2 11 6 5 3" xfId="33351"/>
    <cellStyle name="Total 2 11 6 6" xfId="33352"/>
    <cellStyle name="Total 2 11 6 7" xfId="33353"/>
    <cellStyle name="Total 2 11 7" xfId="33354"/>
    <cellStyle name="Total 2 11 7 2" xfId="33355"/>
    <cellStyle name="Total 2 11 7 2 2" xfId="33356"/>
    <cellStyle name="Total 2 11 7 2 3" xfId="33357"/>
    <cellStyle name="Total 2 11 7 2 4" xfId="33358"/>
    <cellStyle name="Total 2 11 7 3" xfId="33359"/>
    <cellStyle name="Total 2 11 7 3 2" xfId="33360"/>
    <cellStyle name="Total 2 11 7 3 3" xfId="33361"/>
    <cellStyle name="Total 2 11 7 3 4" xfId="33362"/>
    <cellStyle name="Total 2 11 7 4" xfId="33363"/>
    <cellStyle name="Total 2 11 7 4 2" xfId="33364"/>
    <cellStyle name="Total 2 11 7 4 3" xfId="33365"/>
    <cellStyle name="Total 2 11 7 5" xfId="33366"/>
    <cellStyle name="Total 2 11 7 5 2" xfId="33367"/>
    <cellStyle name="Total 2 11 7 5 3" xfId="33368"/>
    <cellStyle name="Total 2 11 7 6" xfId="33369"/>
    <cellStyle name="Total 2 11 7 7" xfId="33370"/>
    <cellStyle name="Total 2 11 8" xfId="33371"/>
    <cellStyle name="Total 2 11 8 2" xfId="33372"/>
    <cellStyle name="Total 2 11 8 2 2" xfId="33373"/>
    <cellStyle name="Total 2 11 8 2 3" xfId="33374"/>
    <cellStyle name="Total 2 11 8 2 4" xfId="33375"/>
    <cellStyle name="Total 2 11 8 3" xfId="33376"/>
    <cellStyle name="Total 2 11 8 3 2" xfId="33377"/>
    <cellStyle name="Total 2 11 8 3 3" xfId="33378"/>
    <cellStyle name="Total 2 11 8 3 4" xfId="33379"/>
    <cellStyle name="Total 2 11 8 4" xfId="33380"/>
    <cellStyle name="Total 2 11 8 4 2" xfId="33381"/>
    <cellStyle name="Total 2 11 8 4 3" xfId="33382"/>
    <cellStyle name="Total 2 11 8 5" xfId="33383"/>
    <cellStyle name="Total 2 11 8 5 2" xfId="33384"/>
    <cellStyle name="Total 2 11 8 5 3" xfId="33385"/>
    <cellStyle name="Total 2 11 8 6" xfId="33386"/>
    <cellStyle name="Total 2 11 8 7" xfId="33387"/>
    <cellStyle name="Total 2 11 9 2" xfId="33388"/>
    <cellStyle name="Total 2 11 9 2 3" xfId="33389"/>
    <cellStyle name="Total 2 11 9 2 4" xfId="33390"/>
    <cellStyle name="Total 2 11 9 3" xfId="33391"/>
    <cellStyle name="Total 2 11 9 3 2" xfId="33392"/>
    <cellStyle name="Total 2 11 9 3 3" xfId="33393"/>
    <cellStyle name="Total 2 11 9 3 4" xfId="33394"/>
    <cellStyle name="Total 2 11 9 4" xfId="33395"/>
    <cellStyle name="Total 2 11 9 4 2" xfId="33396"/>
    <cellStyle name="Total 2 11 9 4 3" xfId="33397"/>
    <cellStyle name="Total 2 11 9 5" xfId="33398"/>
    <cellStyle name="Total 2 11 9 5 2" xfId="33399"/>
    <cellStyle name="Total 2 11 9 5 3" xfId="33400"/>
    <cellStyle name="Total 2 11 9 6" xfId="33401"/>
    <cellStyle name="Total 2 11 9 7" xfId="33402"/>
    <cellStyle name="Total 2 12" xfId="33403"/>
    <cellStyle name="Total 2 12 10" xfId="33404"/>
    <cellStyle name="Total 2 12 10 2" xfId="33405"/>
    <cellStyle name="Total 2 12 10 2 2" xfId="33406"/>
    <cellStyle name="Total 2 12 10 2 3" xfId="33407"/>
    <cellStyle name="Total 2 12 10 2 4" xfId="33408"/>
    <cellStyle name="Total 2 12 10 3" xfId="33409"/>
    <cellStyle name="Total 2 12 10 3 2" xfId="33410"/>
    <cellStyle name="Total 2 12 10 3 3" xfId="33411"/>
    <cellStyle name="Total 2 12 10 3 4" xfId="33412"/>
    <cellStyle name="Total 2 12 10 4" xfId="33413"/>
    <cellStyle name="Total 2 12 10 4 2" xfId="33414"/>
    <cellStyle name="Total 2 12 10 4 3" xfId="33415"/>
    <cellStyle name="Total 2 12 10 5" xfId="33416"/>
    <cellStyle name="Total 2 12 10 5 2" xfId="33417"/>
    <cellStyle name="Total 2 12 10 5 3" xfId="33418"/>
    <cellStyle name="Total 2 12 10 6" xfId="33419"/>
    <cellStyle name="Total 2 12 10 7" xfId="33420"/>
    <cellStyle name="Total 2 12 11" xfId="33421"/>
    <cellStyle name="Total 2 12 11 2" xfId="33422"/>
    <cellStyle name="Total 2 12 11 2 2" xfId="33423"/>
    <cellStyle name="Total 2 12 11 2 3" xfId="33424"/>
    <cellStyle name="Total 2 12 11 2 4" xfId="33425"/>
    <cellStyle name="Total 2 12 11 3" xfId="33426"/>
    <cellStyle name="Total 2 12 11 3 2" xfId="33427"/>
    <cellStyle name="Total 2 12 11 3 3" xfId="33428"/>
    <cellStyle name="Total 2 12 11 3 4" xfId="33429"/>
    <cellStyle name="Total 2 12 11 4" xfId="33430"/>
    <cellStyle name="Total 2 12 11 4 2" xfId="33431"/>
    <cellStyle name="Total 2 12 11 4 3" xfId="33432"/>
    <cellStyle name="Total 2 12 11 5" xfId="33433"/>
    <cellStyle name="Total 2 12 11 5 2" xfId="33434"/>
    <cellStyle name="Total 2 12 11 5 3" xfId="33435"/>
    <cellStyle name="Total 2 12 11 6" xfId="33436"/>
    <cellStyle name="Total 2 12 11 7" xfId="33437"/>
    <cellStyle name="Total 2 12 12" xfId="33438"/>
    <cellStyle name="Total 2 12 13" xfId="33439"/>
    <cellStyle name="Total 2 12 13 2" xfId="33440"/>
    <cellStyle name="Total 2 12 13 3" xfId="33441"/>
    <cellStyle name="Total 2 12 13 4" xfId="33442"/>
    <cellStyle name="Total 2 12 14" xfId="33443"/>
    <cellStyle name="Total 2 12 14 2" xfId="33444"/>
    <cellStyle name="Total 2 12 14 3" xfId="33445"/>
    <cellStyle name="Total 2 12 14 4" xfId="33446"/>
    <cellStyle name="Total 2 12 15" xfId="33447"/>
    <cellStyle name="Total 2 12 20" xfId="33448"/>
    <cellStyle name="Total 2 12 15 2" xfId="33449"/>
    <cellStyle name="Total 2 12 15 3" xfId="33450"/>
    <cellStyle name="Total 2 12 16 2" xfId="33451"/>
    <cellStyle name="Total 2 12 16 3" xfId="33452"/>
    <cellStyle name="Total 2 12 18" xfId="33453"/>
    <cellStyle name="Total 2 12 19" xfId="33454"/>
    <cellStyle name="Total 2 12 2" xfId="33455"/>
    <cellStyle name="Total 2 12 2 10" xfId="33456"/>
    <cellStyle name="Total 2 12 2 10 2" xfId="33457"/>
    <cellStyle name="Total 2 12 2 10 2 2" xfId="33458"/>
    <cellStyle name="Total 2 12 2 10 2 3" xfId="33459"/>
    <cellStyle name="Total 2 12 2 10 2 4" xfId="33460"/>
    <cellStyle name="Total 2 12 2 10 3" xfId="33461"/>
    <cellStyle name="Total 2 12 2 10 3 2" xfId="33462"/>
    <cellStyle name="Total 2 12 2 10 3 3" xfId="33463"/>
    <cellStyle name="Total 2 12 2 10 3 4" xfId="33464"/>
    <cellStyle name="Total 2 12 2 10 4" xfId="33465"/>
    <cellStyle name="Total 2 12 2 10 4 2" xfId="33466"/>
    <cellStyle name="Total 2 12 2 10 4 3" xfId="33467"/>
    <cellStyle name="Total 2 12 2 10 5" xfId="33468"/>
    <cellStyle name="Total 2 12 2 10 5 2" xfId="33469"/>
    <cellStyle name="Total 2 12 2 10 5 3" xfId="33470"/>
    <cellStyle name="Total 2 12 2 10 6" xfId="33471"/>
    <cellStyle name="Total 2 12 2 10 7" xfId="33472"/>
    <cellStyle name="Total 2 12 2 11" xfId="33473"/>
    <cellStyle name="Total 2 12 2 11 2" xfId="33474"/>
    <cellStyle name="Total 2 12 2 11 3" xfId="33475"/>
    <cellStyle name="Total 2 12 2 11 4" xfId="33476"/>
    <cellStyle name="Total 2 12 2 12" xfId="33477"/>
    <cellStyle name="Total 2 12 2 12 2" xfId="33478"/>
    <cellStyle name="Total 2 12 2 12 3" xfId="33479"/>
    <cellStyle name="Total 2 12 2 12 4" xfId="33480"/>
    <cellStyle name="Total 2 12 2 13" xfId="33481"/>
    <cellStyle name="Total 2 12 2 13 2" xfId="33482"/>
    <cellStyle name="Total 2 12 2 13 3" xfId="33483"/>
    <cellStyle name="Total 2 12 2 14" xfId="33484"/>
    <cellStyle name="Total 2 12 2 14 2" xfId="33485"/>
    <cellStyle name="Total 2 12 2 14 3" xfId="33486"/>
    <cellStyle name="Total 2 12 2 15" xfId="33487"/>
    <cellStyle name="Total 2 12 2 16" xfId="33488"/>
    <cellStyle name="Total 2 12 2 2" xfId="33489"/>
    <cellStyle name="Total 2 12 2 2 2" xfId="33490"/>
    <cellStyle name="Total 2 12 2 2 2 2" xfId="33491"/>
    <cellStyle name="Total 2 12 2 2 2 3" xfId="33492"/>
    <cellStyle name="Total 2 12 2 2 2 4" xfId="33493"/>
    <cellStyle name="Total 2 12 2 2 3" xfId="33494"/>
    <cellStyle name="Total 2 12 2 2 3 2" xfId="33495"/>
    <cellStyle name="Total 2 12 2 2 3 3" xfId="33496"/>
    <cellStyle name="Total 2 12 2 2 3 4" xfId="33497"/>
    <cellStyle name="Total 2 12 2 2 4" xfId="33498"/>
    <cellStyle name="Total 2 12 2 2 4 2" xfId="33499"/>
    <cellStyle name="Total 2 12 2 2 4 3" xfId="33500"/>
    <cellStyle name="Total 2 12 2 2 5" xfId="33501"/>
    <cellStyle name="Total 2 12 2 2 5 2" xfId="33502"/>
    <cellStyle name="Total 2 12 2 2 5 3" xfId="33503"/>
    <cellStyle name="Total 2 12 2 2 6" xfId="33504"/>
    <cellStyle name="Total 2 12 2 2 7" xfId="33505"/>
    <cellStyle name="Total 2 12 2 3" xfId="33506"/>
    <cellStyle name="Total 2 12 2 3 2" xfId="33507"/>
    <cellStyle name="Total 2 12 2 3 2 2" xfId="33508"/>
    <cellStyle name="Total 2 12 2 3 2 3" xfId="33509"/>
    <cellStyle name="Total 2 12 2 3 2 4" xfId="33510"/>
    <cellStyle name="Total 2 12 2 3 3" xfId="33511"/>
    <cellStyle name="Total 2 12 2 3 3 2" xfId="33512"/>
    <cellStyle name="Total 2 12 2 3 3 3" xfId="33513"/>
    <cellStyle name="Total 2 12 2 3 3 4" xfId="33514"/>
    <cellStyle name="Total 2 12 2 3 4" xfId="33515"/>
    <cellStyle name="Total 2 12 2 3 4 2" xfId="33516"/>
    <cellStyle name="Total 2 12 2 3 4 3" xfId="33517"/>
    <cellStyle name="Total 2 12 2 3 5" xfId="33518"/>
    <cellStyle name="Total 2 12 2 3 5 2" xfId="33519"/>
    <cellStyle name="Total 2 12 2 3 5 3" xfId="33520"/>
    <cellStyle name="Total 2 12 2 3 6" xfId="33521"/>
    <cellStyle name="Total 2 12 2 3 7" xfId="33522"/>
    <cellStyle name="Total 2 12 2 4" xfId="33523"/>
    <cellStyle name="Total 2 12 2 4 2" xfId="33524"/>
    <cellStyle name="Total 2 12 2 4 2 2" xfId="33525"/>
    <cellStyle name="Total 2 12 2 4 2 3" xfId="33526"/>
    <cellStyle name="Total 2 12 2 4 2 4" xfId="33527"/>
    <cellStyle name="Total 2 12 2 4 3" xfId="33528"/>
    <cellStyle name="Total 2 12 2 4 3 2" xfId="33529"/>
    <cellStyle name="Total 2 12 2 4 3 3" xfId="33530"/>
    <cellStyle name="Total 2 12 2 4 3 4" xfId="33531"/>
    <cellStyle name="Total 2 12 2 4 4" xfId="33532"/>
    <cellStyle name="Total 2 12 2 4 4 2" xfId="33533"/>
    <cellStyle name="Total 2 12 2 4 4 3" xfId="33534"/>
    <cellStyle name="Total 2 12 2 4 5" xfId="33535"/>
    <cellStyle name="Total 2 12 2 4 5 2" xfId="33536"/>
    <cellStyle name="Total 2 12 2 4 5 3" xfId="33537"/>
    <cellStyle name="Total 2 12 2 4 6" xfId="33538"/>
    <cellStyle name="Total 2 12 2 4 7" xfId="33539"/>
    <cellStyle name="Total 2 12 2 5" xfId="33540"/>
    <cellStyle name="Total 2 12 2 5 2 4" xfId="33541"/>
    <cellStyle name="Total 2 12 2 5 3 2" xfId="33542"/>
    <cellStyle name="Total 2 12 2 5 3 3" xfId="33543"/>
    <cellStyle name="Total 2 12 2 5 3 4" xfId="33544"/>
    <cellStyle name="Total 2 12 2 5 4 2" xfId="33545"/>
    <cellStyle name="Total 2 12 2 5 4 3" xfId="33546"/>
    <cellStyle name="Total 2 12 2 5 5 2" xfId="33547"/>
    <cellStyle name="Total 2 12 2 5 5 3" xfId="33548"/>
    <cellStyle name="Total 2 12 2 5 7" xfId="33549"/>
    <cellStyle name="Total 2 12 2 6" xfId="33550"/>
    <cellStyle name="Total 2 12 2 6 2" xfId="33551"/>
    <cellStyle name="Total 2 12 2 6 2 2" xfId="33552"/>
    <cellStyle name="Total 2 12 2 6 2 3" xfId="33553"/>
    <cellStyle name="Total 2 12 2 6 2 4" xfId="33554"/>
    <cellStyle name="Total 2 12 2 6 3" xfId="33555"/>
    <cellStyle name="Total 2 12 2 6 3 2" xfId="33556"/>
    <cellStyle name="Total 2 12 2 6 3 3" xfId="33557"/>
    <cellStyle name="Total 2 12 2 6 3 4" xfId="33558"/>
    <cellStyle name="Total 2 12 2 6 4" xfId="33559"/>
    <cellStyle name="Total 2 12 2 6 4 2" xfId="33560"/>
    <cellStyle name="Total 2 12 2 6 4 3" xfId="33561"/>
    <cellStyle name="Total 2 12 2 6 5" xfId="33562"/>
    <cellStyle name="Total 2 12 2 6 5 2" xfId="33563"/>
    <cellStyle name="Total 2 12 2 6 5 3" xfId="33564"/>
    <cellStyle name="Total 2 12 2 6 6" xfId="33565"/>
    <cellStyle name="Total 2 12 2 6 7" xfId="33566"/>
    <cellStyle name="Total 2 12 2 7" xfId="33567"/>
    <cellStyle name="Total 2 12 2 7 2" xfId="33568"/>
    <cellStyle name="Total 2 12 2 7 2 2" xfId="33569"/>
    <cellStyle name="Total 2 12 2 7 2 3" xfId="33570"/>
    <cellStyle name="Total 2 12 2 7 2 4" xfId="33571"/>
    <cellStyle name="Total 2 12 2 7 3" xfId="33572"/>
    <cellStyle name="Total 2 12 2 7 3 2" xfId="33573"/>
    <cellStyle name="Total 2 12 2 7 3 3" xfId="33574"/>
    <cellStyle name="Total 2 12 2 7 3 4" xfId="33575"/>
    <cellStyle name="Total 2 12 2 7 4" xfId="33576"/>
    <cellStyle name="Total 2 12 2 7 4 2" xfId="33577"/>
    <cellStyle name="Total 2 12 2 7 4 3" xfId="33578"/>
    <cellStyle name="Total 2 12 2 7 5" xfId="33579"/>
    <cellStyle name="Total 2 12 2 7 5 2" xfId="33580"/>
    <cellStyle name="Total 2 12 2 7 5 3" xfId="33581"/>
    <cellStyle name="Total 2 12 2 7 6" xfId="33582"/>
    <cellStyle name="Total 2 12 2 7 7" xfId="33583"/>
    <cellStyle name="Total 2 12 2 8" xfId="33584"/>
    <cellStyle name="Total 2 12 2 8 2" xfId="33585"/>
    <cellStyle name="Total 2 12 2 8 2 2" xfId="33586"/>
    <cellStyle name="Total 2 12 2 8 2 3" xfId="33587"/>
    <cellStyle name="Total 2 12 2 8 2 4" xfId="33588"/>
    <cellStyle name="Total 2 12 2 8 3" xfId="33589"/>
    <cellStyle name="Total 2 12 2 8 3 2" xfId="33590"/>
    <cellStyle name="Total 2 12 2 8 3 3" xfId="33591"/>
    <cellStyle name="Total 2 12 2 8 3 4" xfId="33592"/>
    <cellStyle name="Total 2 12 2 8 4" xfId="33593"/>
    <cellStyle name="Total 2 12 2 8 4 2" xfId="33594"/>
    <cellStyle name="Total 2 12 2 8 4 3" xfId="33595"/>
    <cellStyle name="Total 2 12 2 8 5" xfId="33596"/>
    <cellStyle name="Total 2 12 2 8 5 2" xfId="33597"/>
    <cellStyle name="Total 2 12 2 8 5 3" xfId="33598"/>
    <cellStyle name="Total 2 12 2 8 6" xfId="33599"/>
    <cellStyle name="Total 2 12 2 8 7" xfId="33600"/>
    <cellStyle name="Total 2 12 2 9" xfId="33601"/>
    <cellStyle name="Total 2 12 2 9 2" xfId="33602"/>
    <cellStyle name="Total 2 12 2 9 2 2" xfId="33603"/>
    <cellStyle name="Total 2 12 2 9 2 3" xfId="33604"/>
    <cellStyle name="Total 2 12 2 9 2 4" xfId="33605"/>
    <cellStyle name="Total 2 12 2 9 3" xfId="33606"/>
    <cellStyle name="Total 2 12 2 9 3 2" xfId="33607"/>
    <cellStyle name="Total 2 12 2 9 3 3" xfId="33608"/>
    <cellStyle name="Total 2 12 2 9 3 4" xfId="33609"/>
    <cellStyle name="Total 2 12 2 9 4" xfId="33610"/>
    <cellStyle name="Total 2 12 2 9 4 2" xfId="33611"/>
    <cellStyle name="Total 2 12 2 9 4 3" xfId="33612"/>
    <cellStyle name="Total 2 12 2 9 5" xfId="33613"/>
    <cellStyle name="Total 2 12 2 9 5 2" xfId="33614"/>
    <cellStyle name="Total 2 12 2 9 5 3" xfId="33615"/>
    <cellStyle name="Total 2 12 2 9 6" xfId="33616"/>
    <cellStyle name="Total 2 12 2 9 7" xfId="33617"/>
    <cellStyle name="Total 2 12 3" xfId="33618"/>
    <cellStyle name="Total 2 12 3 10" xfId="33619"/>
    <cellStyle name="Total 2 12 3 10 2" xfId="33620"/>
    <cellStyle name="Total 2 12 3 10 2 2" xfId="33621"/>
    <cellStyle name="Total 2 12 3 10 2 3" xfId="33622"/>
    <cellStyle name="Total 2 12 3 10 2 4" xfId="33623"/>
    <cellStyle name="Total 2 12 3 10 3" xfId="33624"/>
    <cellStyle name="Total 2 12 3 10 3 2" xfId="33625"/>
    <cellStyle name="Total 2 12 3 10 3 3" xfId="33626"/>
    <cellStyle name="Total 2 12 3 10 3 4" xfId="33627"/>
    <cellStyle name="Total 2 12 3 10 4" xfId="33628"/>
    <cellStyle name="Total 2 12 3 10 4 2" xfId="33629"/>
    <cellStyle name="Total 2 12 3 10 4 3" xfId="33630"/>
    <cellStyle name="Total 2 12 3 10 5" xfId="33631"/>
    <cellStyle name="Total 2 12 3 10 5 2" xfId="33632"/>
    <cellStyle name="Total 2 12 3 10 5 3" xfId="33633"/>
    <cellStyle name="Total 2 12 3 10 6" xfId="33634"/>
    <cellStyle name="Total 2 12 3 10 7" xfId="33635"/>
    <cellStyle name="Total 2 12 3 11" xfId="33636"/>
    <cellStyle name="Total 2 12 3 11 2" xfId="33637"/>
    <cellStyle name="Total 2 12 3 11 3" xfId="33638"/>
    <cellStyle name="Total 2 12 3 11 4" xfId="33639"/>
    <cellStyle name="Total 2 12 3 12" xfId="33640"/>
    <cellStyle name="Total 2 12 3 12 2" xfId="33641"/>
    <cellStyle name="Total 2 12 3 12 3" xfId="33642"/>
    <cellStyle name="Total 2 12 3 12 4" xfId="33643"/>
    <cellStyle name="Total 2 12 3 13" xfId="33644"/>
    <cellStyle name="Total 2 12 3 13 2" xfId="33645"/>
    <cellStyle name="Total 2 12 3 13 3" xfId="33646"/>
    <cellStyle name="Total 2 12 3 14" xfId="33647"/>
    <cellStyle name="Total 2 12 3 14 2" xfId="33648"/>
    <cellStyle name="Total 2 12 3 14 3" xfId="33649"/>
    <cellStyle name="Total 2 12 3 15" xfId="33650"/>
    <cellStyle name="Total 2 12 3 16" xfId="33651"/>
    <cellStyle name="Total 2 12 3 2" xfId="33652"/>
    <cellStyle name="Total 2 12 3 2 2" xfId="33653"/>
    <cellStyle name="Total 2 12 3 2 2 2" xfId="33654"/>
    <cellStyle name="Total 2 12 3 2 2 3" xfId="33655"/>
    <cellStyle name="Total 2 12 3 2 2 4" xfId="33656"/>
    <cellStyle name="Total 2 12 3 2 3" xfId="33657"/>
    <cellStyle name="Total 2 12 3 2 3 2" xfId="33658"/>
    <cellStyle name="Total 2 12 3 2 3 3" xfId="33659"/>
    <cellStyle name="Total 2 12 3 2 3 4" xfId="33660"/>
    <cellStyle name="Total 2 12 3 2 4" xfId="33661"/>
    <cellStyle name="Total 2 12 3 2 4 2" xfId="33662"/>
    <cellStyle name="Total 2 12 3 2 4 3" xfId="33663"/>
    <cellStyle name="Total 2 12 3 2 5" xfId="33664"/>
    <cellStyle name="Total 2 12 3 2 5 2" xfId="33665"/>
    <cellStyle name="Total 2 12 3 2 5 3" xfId="33666"/>
    <cellStyle name="Total 2 12 3 2 6" xfId="33667"/>
    <cellStyle name="Total 2 12 3 2 7" xfId="33668"/>
    <cellStyle name="Total 2 12 3 3" xfId="33669"/>
    <cellStyle name="Total 2 12 3 3 2" xfId="33670"/>
    <cellStyle name="Total 2 12 3 3 2 2" xfId="33671"/>
    <cellStyle name="Total 2 12 3 3 2 3" xfId="33672"/>
    <cellStyle name="Total 2 12 3 3 2 4" xfId="33673"/>
    <cellStyle name="Total 2 12 3 3 3" xfId="33674"/>
    <cellStyle name="Total 2 12 3 3 3 2" xfId="33675"/>
    <cellStyle name="Total 2 12 3 3 3 3" xfId="33676"/>
    <cellStyle name="Total 2 12 3 3 3 4" xfId="33677"/>
    <cellStyle name="Total 2 12 3 3 4" xfId="33678"/>
    <cellStyle name="Total 2 12 3 3 4 2" xfId="33679"/>
    <cellStyle name="Total 2 12 3 3 4 3" xfId="33680"/>
    <cellStyle name="Total 2 12 3 3 5" xfId="33681"/>
    <cellStyle name="Total 2 12 3 3 5 2" xfId="33682"/>
    <cellStyle name="Total 2 12 3 3 5 3" xfId="33683"/>
    <cellStyle name="Total 2 12 3 3 6" xfId="33684"/>
    <cellStyle name="Total 2 12 3 3 7" xfId="33685"/>
    <cellStyle name="Total 2 12 3 4" xfId="33686"/>
    <cellStyle name="Total 2 12 3 4 2" xfId="33687"/>
    <cellStyle name="Total 2 12 3 4 2 2" xfId="33688"/>
    <cellStyle name="Total 2 12 3 4 2 3" xfId="33689"/>
    <cellStyle name="Total 2 12 3 4 2 4" xfId="33690"/>
    <cellStyle name="Total 2 12 3 4 3" xfId="33691"/>
    <cellStyle name="Total 2 12 3 4 3 2" xfId="33692"/>
    <cellStyle name="Total 2 12 3 4 3 3" xfId="33693"/>
    <cellStyle name="Total 2 12 3 4 3 4" xfId="33694"/>
    <cellStyle name="Total 2 12 3 4 4" xfId="33695"/>
    <cellStyle name="Total 2 12 3 4 4 2" xfId="33696"/>
    <cellStyle name="Total 2 12 3 4 4 3" xfId="33697"/>
    <cellStyle name="Total 2 12 3 4 5" xfId="33698"/>
    <cellStyle name="Total 2 12 3 4 5 2" xfId="33699"/>
    <cellStyle name="Total 2 12 3 4 5 3" xfId="33700"/>
    <cellStyle name="Total 2 12 3 5" xfId="33701"/>
    <cellStyle name="Total 2 12 3 5 2 2" xfId="33702"/>
    <cellStyle name="Total 2 12 3 5 2 3" xfId="33703"/>
    <cellStyle name="Total 2 12 3 5 2 4" xfId="33704"/>
    <cellStyle name="Total 2 12 3 5 3 2" xfId="33705"/>
    <cellStyle name="Total 2 12 3 5 3 3" xfId="33706"/>
    <cellStyle name="Total 2 12 3 5 3 4" xfId="33707"/>
    <cellStyle name="Total 2 12 3 5 5 2" xfId="33708"/>
    <cellStyle name="Total 2 12 3 5 5 3" xfId="33709"/>
    <cellStyle name="Total 2 12 3 6" xfId="33710"/>
    <cellStyle name="Total 2 12 3 6 2" xfId="33711"/>
    <cellStyle name="Total 2 12 3 6 2 2" xfId="33712"/>
    <cellStyle name="Total 2 12 3 6 2 3" xfId="33713"/>
    <cellStyle name="Total 2 12 3 6 2 4" xfId="33714"/>
    <cellStyle name="Total 2 12 3 6 3" xfId="33715"/>
    <cellStyle name="Total 2 12 3 6 3 2" xfId="33716"/>
    <cellStyle name="Total 2 12 3 6 3 3" xfId="33717"/>
    <cellStyle name="Total 2 12 3 6 3 4" xfId="33718"/>
    <cellStyle name="Total 2 12 3 6 4" xfId="33719"/>
    <cellStyle name="Total 2 12 3 6 4 2" xfId="33720"/>
    <cellStyle name="Total 2 12 3 6 4 3" xfId="33721"/>
    <cellStyle name="Total 2 12 3 6 5" xfId="33722"/>
    <cellStyle name="Total 2 12 3 6 5 2" xfId="33723"/>
    <cellStyle name="Total 2 12 3 6 5 3" xfId="33724"/>
    <cellStyle name="Total 2 12 3 7" xfId="33725"/>
    <cellStyle name="Total 2 12 3 7 2" xfId="33726"/>
    <cellStyle name="Total 2 12 3 7 2 2" xfId="33727"/>
    <cellStyle name="Total 2 12 3 7 2 3" xfId="33728"/>
    <cellStyle name="Total 2 12 3 7 2 4" xfId="33729"/>
    <cellStyle name="Total 2 12 3 7 3" xfId="33730"/>
    <cellStyle name="Total 2 12 3 7 3 2" xfId="33731"/>
    <cellStyle name="Total 2 12 3 7 3 3" xfId="33732"/>
    <cellStyle name="Total 2 12 3 7 3 4" xfId="33733"/>
    <cellStyle name="Total 2 12 3 7 4" xfId="33734"/>
    <cellStyle name="Total 2 12 3 7 4 2" xfId="33735"/>
    <cellStyle name="Total 2 12 3 7 4 3" xfId="33736"/>
    <cellStyle name="Total 2 12 3 7 5" xfId="33737"/>
    <cellStyle name="Total 2 12 3 7 5 2" xfId="33738"/>
    <cellStyle name="Total 2 12 3 7 5 3" xfId="33739"/>
    <cellStyle name="Total 2 12 3 8" xfId="33740"/>
    <cellStyle name="Total 2 12 3 8 2" xfId="33741"/>
    <cellStyle name="Total 2 12 3 8 2 2" xfId="33742"/>
    <cellStyle name="Total 2 12 3 8 2 3" xfId="33743"/>
    <cellStyle name="Total 2 12 3 8 2 4" xfId="33744"/>
    <cellStyle name="Total 2 12 3 8 3" xfId="33745"/>
    <cellStyle name="Total 2 12 3 8 3 2" xfId="33746"/>
    <cellStyle name="Total 2 12 3 8 3 3" xfId="33747"/>
    <cellStyle name="Total 2 12 3 8 3 4" xfId="33748"/>
    <cellStyle name="Total 2 12 3 8 4" xfId="33749"/>
    <cellStyle name="Total 2 12 3 8 4 2" xfId="33750"/>
    <cellStyle name="Total 2 12 3 8 4 3" xfId="33751"/>
    <cellStyle name="Total 2 12 3 8 5" xfId="33752"/>
    <cellStyle name="Total 2 12 3 8 5 2" xfId="33753"/>
    <cellStyle name="Total 2 12 3 8 5 3" xfId="33754"/>
    <cellStyle name="Total 2 12 3 8 6" xfId="33755"/>
    <cellStyle name="Total 2 12 3 8 7" xfId="33756"/>
    <cellStyle name="Total 2 12 3 9" xfId="33757"/>
    <cellStyle name="Total 2 12 3 9 2" xfId="33758"/>
    <cellStyle name="Total 2 12 3 9 2 2" xfId="33759"/>
    <cellStyle name="Total 2 12 3 9 2 3" xfId="33760"/>
    <cellStyle name="Total 2 12 3 9 2 4" xfId="33761"/>
    <cellStyle name="Total 2 12 3 9 3" xfId="33762"/>
    <cellStyle name="Total 2 12 3 9 3 2" xfId="33763"/>
    <cellStyle name="Total 2 12 3 9 3 3" xfId="33764"/>
    <cellStyle name="Total 2 12 3 9 3 4" xfId="33765"/>
    <cellStyle name="Total 2 12 3 9 4" xfId="33766"/>
    <cellStyle name="Total 2 12 3 9 4 2" xfId="33767"/>
    <cellStyle name="Total 2 12 3 9 4 3" xfId="33768"/>
    <cellStyle name="Total 2 12 3 9 5" xfId="33769"/>
    <cellStyle name="Total 2 12 3 9 5 2" xfId="33770"/>
    <cellStyle name="Total 2 12 3 9 5 3" xfId="33771"/>
    <cellStyle name="Total 2 12 3 9 6" xfId="33772"/>
    <cellStyle name="Total 2 12 3 9 7" xfId="33773"/>
    <cellStyle name="Total 2 12 4" xfId="33774"/>
    <cellStyle name="Total 2 12 4 2" xfId="33775"/>
    <cellStyle name="Total 2 12 4 2 2" xfId="33776"/>
    <cellStyle name="Total 2 12 4 2 3" xfId="33777"/>
    <cellStyle name="Total 2 12 4 2 4" xfId="33778"/>
    <cellStyle name="Total 2 12 4 3" xfId="33779"/>
    <cellStyle name="Total 2 12 4 3 2" xfId="33780"/>
    <cellStyle name="Total 2 12 4 3 3" xfId="33781"/>
    <cellStyle name="Total 2 12 4 3 4" xfId="33782"/>
    <cellStyle name="Total 2 12 4 4" xfId="33783"/>
    <cellStyle name="Total 2 12 4 4 2" xfId="33784"/>
    <cellStyle name="Total 2 12 4 4 3" xfId="33785"/>
    <cellStyle name="Total 2 12 4 5" xfId="33786"/>
    <cellStyle name="Total 2 12 4 6" xfId="33787"/>
    <cellStyle name="Total 2 12 4 7" xfId="33788"/>
    <cellStyle name="Total 2 12 5" xfId="33789"/>
    <cellStyle name="Total 2 12 5 2" xfId="33790"/>
    <cellStyle name="Total 2 12 5 2 2" xfId="33791"/>
    <cellStyle name="Total 2 12 5 2 3" xfId="33792"/>
    <cellStyle name="Total 2 12 5 2 4" xfId="33793"/>
    <cellStyle name="Total 2 12 5 3" xfId="33794"/>
    <cellStyle name="Total 2 12 5 3 2" xfId="33795"/>
    <cellStyle name="Total 2 12 5 3 3" xfId="33796"/>
    <cellStyle name="Total 2 12 5 3 4" xfId="33797"/>
    <cellStyle name="Total 2 12 5 4" xfId="33798"/>
    <cellStyle name="Total 2 12 5 4 2" xfId="33799"/>
    <cellStyle name="Total 2 12 5 4 3" xfId="33800"/>
    <cellStyle name="Total 2 12 5 5" xfId="33801"/>
    <cellStyle name="Total 2 12 5 6" xfId="33802"/>
    <cellStyle name="Total 2 12 5 7" xfId="33803"/>
    <cellStyle name="Total 2 12 6" xfId="33804"/>
    <cellStyle name="Total 2 12 6 2" xfId="33805"/>
    <cellStyle name="Total 2 12 6 2 2" xfId="33806"/>
    <cellStyle name="Total 2 12 6 2 3" xfId="33807"/>
    <cellStyle name="Total 2 12 6 2 4" xfId="33808"/>
    <cellStyle name="Total 2 12 6 3" xfId="33809"/>
    <cellStyle name="Total 2 12 6 3 2" xfId="33810"/>
    <cellStyle name="Total 2 12 6 3 3" xfId="33811"/>
    <cellStyle name="Total 2 12 6 3 4" xfId="33812"/>
    <cellStyle name="Total 2 12 6 4" xfId="33813"/>
    <cellStyle name="Total 2 12 6 4 2" xfId="33814"/>
    <cellStyle name="Total 2 12 6 4 3" xfId="33815"/>
    <cellStyle name="Total 2 12 6 5" xfId="33816"/>
    <cellStyle name="Total 2 12 6 5 2" xfId="33817"/>
    <cellStyle name="Total 2 12 6 5 3" xfId="33818"/>
    <cellStyle name="Total 2 12 6 6" xfId="33819"/>
    <cellStyle name="Total 2 12 6 7" xfId="33820"/>
    <cellStyle name="Total 2 12 7" xfId="33821"/>
    <cellStyle name="Total 2 12 7 2" xfId="33822"/>
    <cellStyle name="Total 2 12 7 2 2" xfId="33823"/>
    <cellStyle name="Total 2 12 7 2 3" xfId="33824"/>
    <cellStyle name="Total 2 12 7 2 4" xfId="33825"/>
    <cellStyle name="Total 2 12 7 3" xfId="33826"/>
    <cellStyle name="Total 2 12 7 3 2" xfId="33827"/>
    <cellStyle name="Total 2 12 7 3 3" xfId="33828"/>
    <cellStyle name="Total 2 12 7 3 4" xfId="33829"/>
    <cellStyle name="Total 2 12 7 4" xfId="33830"/>
    <cellStyle name="Total 2 12 7 4 2" xfId="33831"/>
    <cellStyle name="Total 2 12 7 4 3" xfId="33832"/>
    <cellStyle name="Total 2 12 7 5" xfId="33833"/>
    <cellStyle name="Total 2 12 7 6" xfId="33834"/>
    <cellStyle name="Total 2 12 7 7" xfId="33835"/>
    <cellStyle name="Total 2 12 8" xfId="33836"/>
    <cellStyle name="Total 2 12 8 2" xfId="33837"/>
    <cellStyle name="Total 2 12 8 2 2" xfId="33838"/>
    <cellStyle name="Total 2 12 8 2 3" xfId="33839"/>
    <cellStyle name="Total 2 12 8 2 4" xfId="33840"/>
    <cellStyle name="Total 2 12 8 3" xfId="33841"/>
    <cellStyle name="Total 2 12 8 3 2" xfId="33842"/>
    <cellStyle name="Total 2 12 8 3 3" xfId="33843"/>
    <cellStyle name="Total 2 12 8 3 4" xfId="33844"/>
    <cellStyle name="Total 2 12 8 4" xfId="33845"/>
    <cellStyle name="Total 2 12 8 4 2" xfId="33846"/>
    <cellStyle name="Total 2 12 8 4 3" xfId="33847"/>
    <cellStyle name="Total 2 12 8 5" xfId="33848"/>
    <cellStyle name="Total 2 12 8 5 2" xfId="33849"/>
    <cellStyle name="Total 2 12 8 5 3" xfId="33850"/>
    <cellStyle name="Total 2 12 8 6" xfId="33851"/>
    <cellStyle name="Total 2 12 8 7" xfId="33852"/>
    <cellStyle name="Total 2 12 9 2" xfId="33853"/>
    <cellStyle name="Total 2 12 9 2 3" xfId="33854"/>
    <cellStyle name="Total 2 12 9 2 4" xfId="33855"/>
    <cellStyle name="Total 2 12 9 3" xfId="33856"/>
    <cellStyle name="Total 2 12 9 3 2" xfId="33857"/>
    <cellStyle name="Total 2 12 9 3 3" xfId="33858"/>
    <cellStyle name="Total 2 12 9 3 4" xfId="33859"/>
    <cellStyle name="Total 2 12 9 4" xfId="33860"/>
    <cellStyle name="Total 2 12 9 4 2" xfId="33861"/>
    <cellStyle name="Total 2 12 9 4 3" xfId="33862"/>
    <cellStyle name="Total 2 12 9 5" xfId="33863"/>
    <cellStyle name="Total 2 12 9 5 2" xfId="33864"/>
    <cellStyle name="Total 2 12 9 5 3" xfId="33865"/>
    <cellStyle name="Total 2 12 9 6" xfId="33866"/>
    <cellStyle name="Total 2 12 9 7" xfId="33867"/>
    <cellStyle name="Total 2 13" xfId="33868"/>
    <cellStyle name="Total 2 13 10" xfId="33869"/>
    <cellStyle name="Total 2 13 10 2" xfId="33870"/>
    <cellStyle name="Total 2 13 10 2 2" xfId="33871"/>
    <cellStyle name="Total 2 13 10 2 3" xfId="33872"/>
    <cellStyle name="Total 2 13 10 2 4" xfId="33873"/>
    <cellStyle name="Total 2 13 10 3" xfId="33874"/>
    <cellStyle name="Total 2 13 10 3 2" xfId="33875"/>
    <cellStyle name="Total 2 13 10 3 3" xfId="33876"/>
    <cellStyle name="Total 2 13 10 3 4" xfId="33877"/>
    <cellStyle name="Total 2 13 10 4" xfId="33878"/>
    <cellStyle name="Total 2 13 10 5" xfId="33879"/>
    <cellStyle name="Total 2 13 10 5 2" xfId="33880"/>
    <cellStyle name="Total 2 13 10 5 3" xfId="33881"/>
    <cellStyle name="Total 2 13 10 6" xfId="33882"/>
    <cellStyle name="Total 2 13 10 7" xfId="33883"/>
    <cellStyle name="Total 2 13 11" xfId="33884"/>
    <cellStyle name="Total 2 13 12" xfId="33885"/>
    <cellStyle name="Total 2 13 13" xfId="33886"/>
    <cellStyle name="Total 2 13 13 2" xfId="33887"/>
    <cellStyle name="Total 2 13 13 3" xfId="33888"/>
    <cellStyle name="Total 2 13 13 4" xfId="33889"/>
    <cellStyle name="Total 2 13 14 2" xfId="33890"/>
    <cellStyle name="Total 2 13 14 3" xfId="33891"/>
    <cellStyle name="Total 2 13 14 4" xfId="33892"/>
    <cellStyle name="Total 2 13 15 2" xfId="33893"/>
    <cellStyle name="Total 2 13 15 3" xfId="33894"/>
    <cellStyle name="Total 2 13 17" xfId="33895"/>
    <cellStyle name="Total 2 13 18" xfId="33896"/>
    <cellStyle name="Total 2 13 19" xfId="33897"/>
    <cellStyle name="Total 2 13 2" xfId="33898"/>
    <cellStyle name="Total 2 13 2 10" xfId="33899"/>
    <cellStyle name="Total 2 13 2 10 2" xfId="33900"/>
    <cellStyle name="Total 2 13 2 10 2 2" xfId="33901"/>
    <cellStyle name="Total 2 13 2 10 2 3" xfId="33902"/>
    <cellStyle name="Total 2 13 2 10 2 4" xfId="33903"/>
    <cellStyle name="Total 2 13 2 10 3" xfId="33904"/>
    <cellStyle name="Total 2 13 2 10 3 2" xfId="33905"/>
    <cellStyle name="Total 2 13 2 10 3 3" xfId="33906"/>
    <cellStyle name="Total 2 13 2 10 3 4" xfId="33907"/>
    <cellStyle name="Total 2 13 2 10 4" xfId="33908"/>
    <cellStyle name="Total 2 13 2 10 4 2" xfId="33909"/>
    <cellStyle name="Total 2 13 2 10 4 3" xfId="33910"/>
    <cellStyle name="Total 2 13 2 10 5" xfId="33911"/>
    <cellStyle name="Total 2 13 2 10 5 2" xfId="33912"/>
    <cellStyle name="Total 2 13 2 10 5 3" xfId="33913"/>
    <cellStyle name="Total 2 13 2 10 6" xfId="33914"/>
    <cellStyle name="Total 2 13 2 10 7" xfId="33915"/>
    <cellStyle name="Total 2 13 2 11" xfId="33916"/>
    <cellStyle name="Total 2 13 2 11 2" xfId="33917"/>
    <cellStyle name="Total 2 13 2 11 3" xfId="33918"/>
    <cellStyle name="Total 2 13 2 11 4" xfId="33919"/>
    <cellStyle name="Total 2 13 2 12" xfId="33920"/>
    <cellStyle name="Total 2 13 2 12 2" xfId="33921"/>
    <cellStyle name="Total 2 13 2 12 3" xfId="33922"/>
    <cellStyle name="Total 2 13 2 12 4" xfId="33923"/>
    <cellStyle name="Total 2 13 2 13" xfId="33924"/>
    <cellStyle name="Total 2 13 2 13 2" xfId="33925"/>
    <cellStyle name="Total 2 13 2 13 3" xfId="33926"/>
    <cellStyle name="Total 2 13 2 14" xfId="33927"/>
    <cellStyle name="Total 2 13 2 14 2" xfId="33928"/>
    <cellStyle name="Total 2 13 2 14 3" xfId="33929"/>
    <cellStyle name="Total 2 13 2 15" xfId="33930"/>
    <cellStyle name="Total 2 13 2 16" xfId="33931"/>
    <cellStyle name="Total 2 13 2 2" xfId="33932"/>
    <cellStyle name="Total 2 13 2 2 2" xfId="33933"/>
    <cellStyle name="Total 2 13 2 2 2 2" xfId="33934"/>
    <cellStyle name="Total 2 13 2 2 2 3" xfId="33935"/>
    <cellStyle name="Total 2 13 2 2 2 4" xfId="33936"/>
    <cellStyle name="Total 2 13 2 2 3" xfId="33937"/>
    <cellStyle name="Total 2 13 2 2 3 2" xfId="33938"/>
    <cellStyle name="Total 2 13 2 2 3 3" xfId="33939"/>
    <cellStyle name="Total 2 13 2 2 3 4" xfId="33940"/>
    <cellStyle name="Total 2 13 2 2 4" xfId="33941"/>
    <cellStyle name="Total 2 13 2 2 4 2" xfId="33942"/>
    <cellStyle name="Total 2 13 2 2 4 3" xfId="33943"/>
    <cellStyle name="Total 2 13 2 2 5" xfId="33944"/>
    <cellStyle name="Total 2 13 2 2 5 2" xfId="33945"/>
    <cellStyle name="Total 2 13 2 2 5 3" xfId="33946"/>
    <cellStyle name="Total 2 13 2 2 6" xfId="33947"/>
    <cellStyle name="Total 2 13 2 2 7" xfId="33948"/>
    <cellStyle name="Total 2 13 2 3" xfId="33949"/>
    <cellStyle name="Total 2 13 2 3 2" xfId="33950"/>
    <cellStyle name="Total 2 13 2 3 2 2" xfId="33951"/>
    <cellStyle name="Total 2 13 2 3 2 3" xfId="33952"/>
    <cellStyle name="Total 2 13 2 3 2 4" xfId="33953"/>
    <cellStyle name="Total 2 13 2 3 3" xfId="33954"/>
    <cellStyle name="Total 2 13 2 3 3 2" xfId="33955"/>
    <cellStyle name="Total 2 13 2 3 3 3" xfId="33956"/>
    <cellStyle name="Total 2 13 2 3 3 4" xfId="33957"/>
    <cellStyle name="Total 2 13 2 3 4" xfId="33958"/>
    <cellStyle name="Total 2 13 2 3 4 2" xfId="33959"/>
    <cellStyle name="Total 2 13 2 3 4 3" xfId="33960"/>
    <cellStyle name="Total 2 13 2 3 5" xfId="33961"/>
    <cellStyle name="Total 2 13 2 3 5 2" xfId="33962"/>
    <cellStyle name="Total 2 13 2 3 5 3" xfId="33963"/>
    <cellStyle name="Total 2 13 2 3 6" xfId="33964"/>
    <cellStyle name="Total 2 13 2 3 7" xfId="33965"/>
    <cellStyle name="Total 2 13 2 4" xfId="33966"/>
    <cellStyle name="Total 2 13 2 4 2" xfId="33967"/>
    <cellStyle name="Total 2 13 2 4 2 2" xfId="33968"/>
    <cellStyle name="Total 2 13 2 4 2 3" xfId="33969"/>
    <cellStyle name="Total 2 13 2 4 2 4" xfId="33970"/>
    <cellStyle name="Total 2 13 2 4 3" xfId="33971"/>
    <cellStyle name="Total 2 13 2 4 3 2" xfId="33972"/>
    <cellStyle name="Total 2 13 2 4 3 3" xfId="33973"/>
    <cellStyle name="Total 2 13 2 4 3 4" xfId="33974"/>
    <cellStyle name="Total 2 13 2 4 4" xfId="33975"/>
    <cellStyle name="Total 2 13 2 4 4 2" xfId="33976"/>
    <cellStyle name="Total 2 13 2 4 4 3" xfId="33977"/>
    <cellStyle name="Total 2 13 2 4 5" xfId="33978"/>
    <cellStyle name="Total 2 13 2 4 5 2" xfId="33979"/>
    <cellStyle name="Total 2 13 2 4 5 3" xfId="33980"/>
    <cellStyle name="Total 2 13 2 4 6" xfId="33981"/>
    <cellStyle name="Total 2 13 2 4 7" xfId="33982"/>
    <cellStyle name="Total 2 13 2 5" xfId="33983"/>
    <cellStyle name="Total 2 13 2 5 2" xfId="33984"/>
    <cellStyle name="Total 2 13 2 5 2 2" xfId="33985"/>
    <cellStyle name="Total 2 13 2 5 2 3" xfId="33986"/>
    <cellStyle name="Total 2 13 2 5 2 4" xfId="33987"/>
    <cellStyle name="Total 2 13 2 5 3" xfId="33988"/>
    <cellStyle name="Total 2 13 2 5 3 2" xfId="33989"/>
    <cellStyle name="Total 2 13 2 5 3 3" xfId="33990"/>
    <cellStyle name="Total 2 13 2 5 3 4" xfId="33991"/>
    <cellStyle name="Total 2 13 2 5 4" xfId="33992"/>
    <cellStyle name="Total 2 13 2 5 4 2" xfId="33993"/>
    <cellStyle name="Total 2 13 2 5 4 3" xfId="33994"/>
    <cellStyle name="Total 2 13 2 5 5" xfId="33995"/>
    <cellStyle name="Total 2 13 2 5 5 2" xfId="33996"/>
    <cellStyle name="Total 2 13 2 5 5 3" xfId="33997"/>
    <cellStyle name="Total 2 13 2 5 6" xfId="33998"/>
    <cellStyle name="Total 2 13 2 5 7" xfId="33999"/>
    <cellStyle name="Total 2 13 2 6" xfId="34000"/>
    <cellStyle name="Total 2 13 2 6 2" xfId="34001"/>
    <cellStyle name="Total 2 13 2 6 2 2" xfId="34002"/>
    <cellStyle name="Total 2 13 2 6 2 3" xfId="34003"/>
    <cellStyle name="Total 2 13 2 6 2 4" xfId="34004"/>
    <cellStyle name="Total 2 13 2 6 3" xfId="34005"/>
    <cellStyle name="Total 2 13 2 6 3 2" xfId="34006"/>
    <cellStyle name="Total 2 13 2 6 3 3" xfId="34007"/>
    <cellStyle name="Total 2 13 2 6 3 4" xfId="34008"/>
    <cellStyle name="Total 2 13 2 6 4" xfId="34009"/>
    <cellStyle name="Total 2 13 2 6 4 2" xfId="34010"/>
    <cellStyle name="Total 2 13 2 6 4 3" xfId="34011"/>
    <cellStyle name="Total 2 13 2 6 5" xfId="34012"/>
    <cellStyle name="Total 2 13 2 6 5 2" xfId="34013"/>
    <cellStyle name="Total 2 13 2 6 5 3" xfId="34014"/>
    <cellStyle name="Total 2 13 2 6 6" xfId="34015"/>
    <cellStyle name="Total 2 13 2 6 7" xfId="34016"/>
    <cellStyle name="Total 2 13 2 7" xfId="34017"/>
    <cellStyle name="Total 2 13 2 7 2" xfId="34018"/>
    <cellStyle name="Total 2 13 2 7 2 2" xfId="34019"/>
    <cellStyle name="Total 2 13 2 7 2 3" xfId="34020"/>
    <cellStyle name="Total 2 13 2 7 2 4" xfId="34021"/>
    <cellStyle name="Total 2 13 2 7 3" xfId="34022"/>
    <cellStyle name="Total 2 13 2 7 3 2" xfId="34023"/>
    <cellStyle name="Total 2 13 2 7 3 3" xfId="34024"/>
    <cellStyle name="Total 2 13 2 7 3 4" xfId="34025"/>
    <cellStyle name="Total 2 13 2 7 4" xfId="34026"/>
    <cellStyle name="Total 2 13 2 7 4 2" xfId="34027"/>
    <cellStyle name="Total 2 13 2 7 4 3" xfId="34028"/>
    <cellStyle name="Total 2 13 2 7 5" xfId="34029"/>
    <cellStyle name="Total 2 13 2 7 5 2" xfId="34030"/>
    <cellStyle name="Total 2 13 2 7 6" xfId="34031"/>
    <cellStyle name="Total 2 13 2 7 7" xfId="34032"/>
    <cellStyle name="Total 2 13 2 8" xfId="34033"/>
    <cellStyle name="Total 2 13 2 8 2" xfId="34034"/>
    <cellStyle name="Total 2 13 2 8 2 2" xfId="34035"/>
    <cellStyle name="Total 2 13 2 8 2 3" xfId="34036"/>
    <cellStyle name="Total 2 13 2 8 2 4" xfId="34037"/>
    <cellStyle name="Total 2 13 2 8 3" xfId="34038"/>
    <cellStyle name="Total 2 13 2 8 3 2" xfId="34039"/>
    <cellStyle name="Total 2 13 2 8 3 3" xfId="34040"/>
    <cellStyle name="Total 2 13 2 8 3 4" xfId="34041"/>
    <cellStyle name="Total 2 13 2 8 4" xfId="34042"/>
    <cellStyle name="Total 2 13 2 8 4 2" xfId="34043"/>
    <cellStyle name="Total 2 13 2 8 4 3" xfId="34044"/>
    <cellStyle name="Total 2 13 2 8 5" xfId="34045"/>
    <cellStyle name="Total 2 13 2 8 5 2" xfId="34046"/>
    <cellStyle name="Total 2 13 2 8 5 3" xfId="34047"/>
    <cellStyle name="Total 2 13 2 8 6" xfId="34048"/>
    <cellStyle name="Total 2 13 2 8 7" xfId="34049"/>
    <cellStyle name="Total 2 13 2 9" xfId="34050"/>
    <cellStyle name="Total 2 13 2 9 2" xfId="34051"/>
    <cellStyle name="Total 2 13 2 9 2 2" xfId="34052"/>
    <cellStyle name="Total 2 13 2 9 2 3" xfId="34053"/>
    <cellStyle name="Total 2 13 2 9 2 4" xfId="34054"/>
    <cellStyle name="Total 2 13 2 9 3" xfId="34055"/>
    <cellStyle name="Total 2 13 2 9 3 2" xfId="34056"/>
    <cellStyle name="Total 2 13 2 9 3 3" xfId="34057"/>
    <cellStyle name="Total 2 13 2 9 3 4" xfId="34058"/>
    <cellStyle name="Total 2 13 2 9 4" xfId="34059"/>
    <cellStyle name="Total 2 13 2 9 4 2" xfId="34060"/>
    <cellStyle name="Total 2 13 2 9 4 3" xfId="34061"/>
    <cellStyle name="Total 2 13 2 9 5" xfId="34062"/>
    <cellStyle name="Total 2 13 2 9 5 2" xfId="34063"/>
    <cellStyle name="Total 2 13 2 9 5 3" xfId="34064"/>
    <cellStyle name="Total 2 13 2 9 6" xfId="34065"/>
    <cellStyle name="Total 2 13 2 9 7" xfId="34066"/>
    <cellStyle name="Total 2 13 3" xfId="34067"/>
    <cellStyle name="Total 2 13 3 10" xfId="34068"/>
    <cellStyle name="Total 2 13 3 10 2" xfId="34069"/>
    <cellStyle name="Total 2 13 3 10 2 2" xfId="34070"/>
    <cellStyle name="Total 2 13 3 10 2 3" xfId="34071"/>
    <cellStyle name="Total 2 13 3 10 2 4" xfId="34072"/>
    <cellStyle name="Total 2 13 3 10 3" xfId="34073"/>
    <cellStyle name="Total 2 13 3 10 3 2" xfId="34074"/>
    <cellStyle name="Total 2 13 3 10 3 3" xfId="34075"/>
    <cellStyle name="Total 2 13 3 10 3 4" xfId="34076"/>
    <cellStyle name="Total 2 13 3 10 4" xfId="34077"/>
    <cellStyle name="Total 2 13 3 10 4 2" xfId="34078"/>
    <cellStyle name="Total 2 13 3 10 4 3" xfId="34079"/>
    <cellStyle name="Total 2 13 3 10 5" xfId="34080"/>
    <cellStyle name="Total 2 13 3 10 5 2" xfId="34081"/>
    <cellStyle name="Total 2 13 3 10 5 3" xfId="34082"/>
    <cellStyle name="Total 2 13 3 10 6" xfId="34083"/>
    <cellStyle name="Total 2 13 3 10 7" xfId="34084"/>
    <cellStyle name="Total 2 13 3 11" xfId="34085"/>
    <cellStyle name="Total 2 13 3 11 2" xfId="34086"/>
    <cellStyle name="Total 2 13 3 11 3" xfId="34087"/>
    <cellStyle name="Total 2 13 3 11 4" xfId="34088"/>
    <cellStyle name="Total 2 13 3 12" xfId="34089"/>
    <cellStyle name="Total 2 13 3 12 2" xfId="34090"/>
    <cellStyle name="Total 2 13 3 12 3" xfId="34091"/>
    <cellStyle name="Total 2 13 3 12 4" xfId="34092"/>
    <cellStyle name="Total 2 13 3 13" xfId="34093"/>
    <cellStyle name="Total 2 13 3 13 2" xfId="34094"/>
    <cellStyle name="Total 2 13 3 13 3" xfId="34095"/>
    <cellStyle name="Total 2 13 3 14" xfId="34096"/>
    <cellStyle name="Total 2 13 3 14 2" xfId="34097"/>
    <cellStyle name="Total 2 13 3 14 3" xfId="34098"/>
    <cellStyle name="Total 2 13 3 15" xfId="34099"/>
    <cellStyle name="Total 2 13 3 16" xfId="34100"/>
    <cellStyle name="Total 2 13 3 2" xfId="34101"/>
    <cellStyle name="Total 2 13 3 2 2" xfId="34102"/>
    <cellStyle name="Total 2 13 3 2 2 2" xfId="34103"/>
    <cellStyle name="Total 2 13 3 2 2 3" xfId="34104"/>
    <cellStyle name="Total 2 13 3 2 2 4" xfId="34105"/>
    <cellStyle name="Total 2 13 3 2 3" xfId="34106"/>
    <cellStyle name="Total 2 13 3 2 3 2" xfId="34107"/>
    <cellStyle name="Total 2 13 3 2 3 3" xfId="34108"/>
    <cellStyle name="Total 2 13 3 2 3 4" xfId="34109"/>
    <cellStyle name="Total 2 13 3 2 4" xfId="34110"/>
    <cellStyle name="Total 2 13 3 2 4 2" xfId="34111"/>
    <cellStyle name="Total 2 13 3 2 4 3" xfId="34112"/>
    <cellStyle name="Total 2 13 3 2 5" xfId="34113"/>
    <cellStyle name="Total 2 13 3 2 5 2" xfId="34114"/>
    <cellStyle name="Total 2 13 3 2 5 3" xfId="34115"/>
    <cellStyle name="Total 2 13 3 2 6" xfId="34116"/>
    <cellStyle name="Total 2 13 3 2 7" xfId="34117"/>
    <cellStyle name="Total 2 13 3 3" xfId="34118"/>
    <cellStyle name="Total 2 13 3 3 2" xfId="34119"/>
    <cellStyle name="Total 2 13 3 3 2 2" xfId="34120"/>
    <cellStyle name="Total 2 13 3 3 2 3" xfId="34121"/>
    <cellStyle name="Total 2 13 3 3 2 4" xfId="34122"/>
    <cellStyle name="Total 2 13 3 3 3" xfId="34123"/>
    <cellStyle name="Total 2 13 3 3 3 2" xfId="34124"/>
    <cellStyle name="Total 2 13 3 3 3 3" xfId="34125"/>
    <cellStyle name="Total 2 13 3 3 3 4" xfId="34126"/>
    <cellStyle name="Total 2 13 3 3 4" xfId="34127"/>
    <cellStyle name="Total 2 13 3 3 4 2" xfId="34128"/>
    <cellStyle name="Total 2 13 3 3 4 3" xfId="34129"/>
    <cellStyle name="Total 2 13 3 3 5" xfId="34130"/>
    <cellStyle name="Total 2 13 3 3 5 2" xfId="34131"/>
    <cellStyle name="Total 2 13 3 3 5 3" xfId="34132"/>
    <cellStyle name="Total 2 13 3 3 6" xfId="34133"/>
    <cellStyle name="Total 2 13 3 3 7" xfId="34134"/>
    <cellStyle name="Total 2 13 3 4" xfId="34135"/>
    <cellStyle name="Total 2 13 3 4 2" xfId="34136"/>
    <cellStyle name="Total 2 13 3 4 2 2" xfId="34137"/>
    <cellStyle name="Total 2 13 3 4 2 3" xfId="34138"/>
    <cellStyle name="Total 2 13 3 4 2 4" xfId="34139"/>
    <cellStyle name="Total 2 13 3 4 3" xfId="34140"/>
    <cellStyle name="Total 2 13 3 4 3 2" xfId="34141"/>
    <cellStyle name="Total 2 13 3 4 3 3" xfId="34142"/>
    <cellStyle name="Total 2 13 3 4 3 4" xfId="34143"/>
    <cellStyle name="Total 2 13 3 4 4" xfId="34144"/>
    <cellStyle name="Total 2 13 3 4 4 2" xfId="34145"/>
    <cellStyle name="Total 2 13 3 4 4 3" xfId="34146"/>
    <cellStyle name="Total 2 13 3 4 5" xfId="34147"/>
    <cellStyle name="Total 2 13 3 4 5 2" xfId="34148"/>
    <cellStyle name="Total 2 13 3 4 5 3" xfId="34149"/>
    <cellStyle name="Total 2 13 3 5" xfId="34150"/>
    <cellStyle name="Total 2 13 3 5 2" xfId="34151"/>
    <cellStyle name="Total 2 13 3 5 2 2" xfId="34152"/>
    <cellStyle name="Total 2 13 3 5 2 3" xfId="34153"/>
    <cellStyle name="Total 2 13 3 5 2 4" xfId="34154"/>
    <cellStyle name="Total 2 13 3 5 3" xfId="34155"/>
    <cellStyle name="Total 2 13 3 5 3 2" xfId="34156"/>
    <cellStyle name="Total 2 13 3 5 3 3" xfId="34157"/>
    <cellStyle name="Total 2 13 3 5 3 4" xfId="34158"/>
    <cellStyle name="Total 2 13 3 5 4" xfId="34159"/>
    <cellStyle name="Total 2 13 3 5 4 2" xfId="34160"/>
    <cellStyle name="Total 2 13 3 5 4 3" xfId="34161"/>
    <cellStyle name="Total 2 13 3 5 5" xfId="34162"/>
    <cellStyle name="Total 2 13 3 5 5 2" xfId="34163"/>
    <cellStyle name="Total 2 13 3 5 5 3" xfId="34164"/>
    <cellStyle name="Total 2 13 3 6" xfId="34165"/>
    <cellStyle name="Total 2 13 3 6 2" xfId="34166"/>
    <cellStyle name="Total 2 13 3 6 2 2" xfId="34167"/>
    <cellStyle name="Total 2 13 3 6 2 3" xfId="34168"/>
    <cellStyle name="Total 2 13 3 6 2 4" xfId="34169"/>
    <cellStyle name="Total 2 13 3 6 3" xfId="34170"/>
    <cellStyle name="Total 2 13 3 6 3 2" xfId="34171"/>
    <cellStyle name="Total 2 13 3 6 3 3" xfId="34172"/>
    <cellStyle name="Total 2 13 3 6 3 4" xfId="34173"/>
    <cellStyle name="Total 2 13 3 6 4" xfId="34174"/>
    <cellStyle name="Total 2 13 3 6 4 2" xfId="34175"/>
    <cellStyle name="Total 2 13 3 6 4 3" xfId="34176"/>
    <cellStyle name="Total 2 13 3 6 5" xfId="34177"/>
    <cellStyle name="Total 2 13 3 6 5 2" xfId="34178"/>
    <cellStyle name="Total 2 13 3 6 5 3" xfId="34179"/>
    <cellStyle name="Total 2 13 3 7" xfId="34180"/>
    <cellStyle name="Total 2 13 3 7 2" xfId="34181"/>
    <cellStyle name="Total 2 13 3 7 2 2" xfId="34182"/>
    <cellStyle name="Total 2 13 3 7 2 3" xfId="34183"/>
    <cellStyle name="Total 2 13 3 7 2 4" xfId="34184"/>
    <cellStyle name="Total 2 13 3 7 3" xfId="34185"/>
    <cellStyle name="Total 2 13 3 7 3 2" xfId="34186"/>
    <cellStyle name="Total 2 13 3 7 3 3" xfId="34187"/>
    <cellStyle name="Total 2 13 3 7 3 4" xfId="34188"/>
    <cellStyle name="Total 2 13 3 7 4" xfId="34189"/>
    <cellStyle name="Total 2 13 3 7 4 2" xfId="34190"/>
    <cellStyle name="Total 2 13 3 7 4 3" xfId="34191"/>
    <cellStyle name="Total 2 13 3 7 5" xfId="34192"/>
    <cellStyle name="Total 2 13 3 7 5 2" xfId="34193"/>
    <cellStyle name="Total 2 13 3 8" xfId="34194"/>
    <cellStyle name="Total 2 13 3 8 2" xfId="34195"/>
    <cellStyle name="Total 2 13 3 8 2 2" xfId="34196"/>
    <cellStyle name="Total 2 13 3 8 2 3" xfId="34197"/>
    <cellStyle name="Total 2 13 3 8 2 4" xfId="34198"/>
    <cellStyle name="Total 2 13 3 8 3" xfId="34199"/>
    <cellStyle name="Total 2 13 3 8 3 2" xfId="34200"/>
    <cellStyle name="Total 2 13 3 8 3 3" xfId="34201"/>
    <cellStyle name="Total 2 13 3 8 3 4" xfId="34202"/>
    <cellStyle name="Total 2 13 3 8 4" xfId="34203"/>
    <cellStyle name="Total 2 13 3 8 4 2" xfId="34204"/>
    <cellStyle name="Total 2 13 3 8 4 3" xfId="34205"/>
    <cellStyle name="Total 2 13 3 8 5" xfId="34206"/>
    <cellStyle name="Total 2 13 3 8 5 2" xfId="34207"/>
    <cellStyle name="Total 2 13 3 8 5 3" xfId="34208"/>
    <cellStyle name="Total 2 13 3 8 6" xfId="34209"/>
    <cellStyle name="Total 2 13 3 8 7" xfId="34210"/>
    <cellStyle name="Total 2 13 3 9" xfId="34211"/>
    <cellStyle name="Total 2 13 3 9 2" xfId="34212"/>
    <cellStyle name="Total 2 13 3 9 2 2" xfId="34213"/>
    <cellStyle name="Total 2 13 3 9 2 3" xfId="34214"/>
    <cellStyle name="Total 2 13 3 9 2 4" xfId="34215"/>
    <cellStyle name="Total 2 13 3 9 3" xfId="34216"/>
    <cellStyle name="Total 2 13 3 9 3 2" xfId="34217"/>
    <cellStyle name="Total 2 13 3 9 3 3" xfId="34218"/>
    <cellStyle name="Total 2 13 3 9 3 4" xfId="34219"/>
    <cellStyle name="Total 2 13 3 9 4" xfId="34220"/>
    <cellStyle name="Total 2 13 3 9 4 2" xfId="34221"/>
    <cellStyle name="Total 2 13 3 9 4 3" xfId="34222"/>
    <cellStyle name="Total 2 13 3 9 5" xfId="34223"/>
    <cellStyle name="Total 2 13 3 9 5 2" xfId="34224"/>
    <cellStyle name="Total 2 13 3 9 5 3" xfId="34225"/>
    <cellStyle name="Total 2 13 3 9 6" xfId="34226"/>
    <cellStyle name="Total 2 13 3 9 7" xfId="34227"/>
    <cellStyle name="Total 2 13 4" xfId="34228"/>
    <cellStyle name="Total 2 13 4 2" xfId="34229"/>
    <cellStyle name="Total 2 13 4 3" xfId="34230"/>
    <cellStyle name="Total 2 13 4 4" xfId="34231"/>
    <cellStyle name="Total 2 13 4 5" xfId="34232"/>
    <cellStyle name="Total 2 13 4 6" xfId="34233"/>
    <cellStyle name="Total 2 13 4 7" xfId="34234"/>
    <cellStyle name="Total 2 13 5" xfId="34235"/>
    <cellStyle name="Total 2 13 5 4" xfId="34236"/>
    <cellStyle name="Total 2 13 5 5" xfId="34237"/>
    <cellStyle name="Total 2 13 5 6" xfId="34238"/>
    <cellStyle name="Total 2 13 5 7" xfId="34239"/>
    <cellStyle name="Total 2 13 6" xfId="34240"/>
    <cellStyle name="Total 2 13 6 2" xfId="34241"/>
    <cellStyle name="Total 2 13 6 3" xfId="34242"/>
    <cellStyle name="Total 2 13 6 4" xfId="34243"/>
    <cellStyle name="Total 2 13 6 5" xfId="34244"/>
    <cellStyle name="Total 2 13 6 6" xfId="34245"/>
    <cellStyle name="Total 2 13 6 7" xfId="34246"/>
    <cellStyle name="Total 2 13 7" xfId="34247"/>
    <cellStyle name="Total 2 13 7 2" xfId="34248"/>
    <cellStyle name="Total 2 13 7 3" xfId="34249"/>
    <cellStyle name="Total 2 13 7 4" xfId="34250"/>
    <cellStyle name="Total 2 13 7 5" xfId="34251"/>
    <cellStyle name="Total 2 13 7 6" xfId="34252"/>
    <cellStyle name="Total 2 13 7 7" xfId="34253"/>
    <cellStyle name="Total 2 13 8" xfId="34254"/>
    <cellStyle name="Total 2 13 8 2" xfId="34255"/>
    <cellStyle name="Total 2 13 8 3" xfId="34256"/>
    <cellStyle name="Total 2 13 8 4" xfId="34257"/>
    <cellStyle name="Total 2 13 8 5" xfId="34258"/>
    <cellStyle name="Total 2 13 8 6" xfId="34259"/>
    <cellStyle name="Total 2 13 8 7" xfId="34260"/>
    <cellStyle name="Total 2 13 9 2" xfId="34261"/>
    <cellStyle name="Total 2 13 9 3" xfId="34262"/>
    <cellStyle name="Total 2 13 9 4" xfId="34263"/>
    <cellStyle name="Total 2 13 9 5" xfId="34264"/>
    <cellStyle name="Total 2 13 9 6" xfId="34265"/>
    <cellStyle name="Total 2 13 9 7" xfId="34266"/>
    <cellStyle name="Total 2 14" xfId="34267"/>
    <cellStyle name="Total 2 14 10" xfId="34268"/>
    <cellStyle name="Total 2 14 10 2" xfId="34269"/>
    <cellStyle name="Total 2 14 10 2 2" xfId="34270"/>
    <cellStyle name="Total 2 14 10 2 3" xfId="34271"/>
    <cellStyle name="Total 2 14 10 2 4" xfId="34272"/>
    <cellStyle name="Total 2 14 10 3" xfId="34273"/>
    <cellStyle name="Total 2 14 10 3 2" xfId="34274"/>
    <cellStyle name="Total 2 14 10 3 3" xfId="34275"/>
    <cellStyle name="Total 2 14 10 3 4" xfId="34276"/>
    <cellStyle name="Total 2 14 10 4" xfId="34277"/>
    <cellStyle name="Total 2 14 10 4 2" xfId="34278"/>
    <cellStyle name="Total 2 14 10 4 3" xfId="34279"/>
    <cellStyle name="Total 2 14 10 5" xfId="34280"/>
    <cellStyle name="Total 2 14 10 5 2" xfId="34281"/>
    <cellStyle name="Total 2 14 10 5 3" xfId="34282"/>
    <cellStyle name="Total 2 14 10 6" xfId="34283"/>
    <cellStyle name="Total 2 14 10 7" xfId="34284"/>
    <cellStyle name="Total 2 14 11" xfId="34285"/>
    <cellStyle name="Total 2 14 11 2" xfId="34286"/>
    <cellStyle name="Total 2 14 11 2 2" xfId="34287"/>
    <cellStyle name="Total 2 14 11 2 3" xfId="34288"/>
    <cellStyle name="Total 2 14 11 2 4" xfId="34289"/>
    <cellStyle name="Total 2 14 11 3" xfId="34290"/>
    <cellStyle name="Total 2 14 11 3 2" xfId="34291"/>
    <cellStyle name="Total 2 14 11 3 3" xfId="34292"/>
    <cellStyle name="Total 2 14 11 3 4" xfId="34293"/>
    <cellStyle name="Total 2 14 11 4" xfId="34294"/>
    <cellStyle name="Total 2 14 11 4 2" xfId="34295"/>
    <cellStyle name="Total 2 14 11 4 3" xfId="34296"/>
    <cellStyle name="Total 2 14 11 5" xfId="34297"/>
    <cellStyle name="Total 2 14 11 5 2" xfId="34298"/>
    <cellStyle name="Total 2 14 11 5 3" xfId="34299"/>
    <cellStyle name="Total 2 14 11 6" xfId="34300"/>
    <cellStyle name="Total 2 14 11 7" xfId="34301"/>
    <cellStyle name="Total 2 14 12" xfId="34302"/>
    <cellStyle name="Total 2 14 13" xfId="34303"/>
    <cellStyle name="Total 2 14 13 2" xfId="34304"/>
    <cellStyle name="Total 2 14 13 3" xfId="34305"/>
    <cellStyle name="Total 2 14 13 4" xfId="34306"/>
    <cellStyle name="Total 2 14 14" xfId="34307"/>
    <cellStyle name="Total 2 14 14 2" xfId="34308"/>
    <cellStyle name="Total 2 14 14 3" xfId="34309"/>
    <cellStyle name="Total 2 14 14 4" xfId="34310"/>
    <cellStyle name="Total 2 14 15" xfId="34311"/>
    <cellStyle name="Total 2 14 15 2" xfId="34312"/>
    <cellStyle name="Total 2 14 15 3" xfId="34313"/>
    <cellStyle name="Total 2 14 16" xfId="34314"/>
    <cellStyle name="Total 2 14 16 2" xfId="34315"/>
    <cellStyle name="Total 2 14 16 3" xfId="34316"/>
    <cellStyle name="Total 2 14 17" xfId="34317"/>
    <cellStyle name="Total 2 14 18" xfId="34318"/>
    <cellStyle name="Total 2 14 2" xfId="34319"/>
    <cellStyle name="Total 2 14 2 10" xfId="34320"/>
    <cellStyle name="Total 2 14 2 10 2" xfId="34321"/>
    <cellStyle name="Total 2 14 2 10 2 2" xfId="34322"/>
    <cellStyle name="Total 2 14 2 10 3" xfId="34323"/>
    <cellStyle name="Total 2 14 2 10 3 2" xfId="34324"/>
    <cellStyle name="Total 2 14 2 10 3 4" xfId="34325"/>
    <cellStyle name="Total 2 14 2 10 4" xfId="34326"/>
    <cellStyle name="Total 2 14 2 10 5" xfId="34327"/>
    <cellStyle name="Total 2 14 2 10 6" xfId="34328"/>
    <cellStyle name="Total 2 14 2 10 7" xfId="34329"/>
    <cellStyle name="Total 2 14 2 2" xfId="34330"/>
    <cellStyle name="Total 2 14 2 2 2" xfId="34331"/>
    <cellStyle name="Total 2 14 2 2 2 2" xfId="34332"/>
    <cellStyle name="Total 2 14 2 2 2 3" xfId="34333"/>
    <cellStyle name="Total 2 14 2 2 2 4" xfId="34334"/>
    <cellStyle name="Total 2 14 2 2 3" xfId="34335"/>
    <cellStyle name="Total 2 14 2 2 3 2" xfId="34336"/>
    <cellStyle name="Total 2 14 2 2 3 3" xfId="34337"/>
    <cellStyle name="Total 2 14 2 2 3 4" xfId="34338"/>
    <cellStyle name="Total 2 14 2 2 4" xfId="34339"/>
    <cellStyle name="Total 2 14 2 2 4 2" xfId="34340"/>
    <cellStyle name="Total 2 14 2 2 4 3" xfId="34341"/>
    <cellStyle name="Total 2 14 2 2 5" xfId="34342"/>
    <cellStyle name="Total 2 14 2 2 5 2" xfId="34343"/>
    <cellStyle name="Total 2 14 2 2 5 3" xfId="34344"/>
    <cellStyle name="Total 2 14 2 2 6" xfId="34345"/>
    <cellStyle name="Total 2 14 2 2 7" xfId="34346"/>
    <cellStyle name="Total 2 14 2 3" xfId="34347"/>
    <cellStyle name="Total 2 14 2 3 2" xfId="34348"/>
    <cellStyle name="Total 2 14 2 3 2 2" xfId="34349"/>
    <cellStyle name="Total 2 14 2 3 2 3" xfId="34350"/>
    <cellStyle name="Total 2 14 2 3 2 4" xfId="34351"/>
    <cellStyle name="Total 2 14 2 3 3" xfId="34352"/>
    <cellStyle name="Total 2 14 2 3 3 2" xfId="34353"/>
    <cellStyle name="Total 2 14 2 3 3 3" xfId="34354"/>
    <cellStyle name="Total 2 14 2 3 3 4" xfId="34355"/>
    <cellStyle name="Total 2 14 2 3 4" xfId="34356"/>
    <cellStyle name="Total 2 14 2 3 4 2" xfId="34357"/>
    <cellStyle name="Total 2 14 2 3 4 3" xfId="34358"/>
    <cellStyle name="Total 2 14 2 3 5" xfId="34359"/>
    <cellStyle name="Total 2 14 2 3 5 2" xfId="34360"/>
    <cellStyle name="Total 2 14 2 3 5 3" xfId="34361"/>
    <cellStyle name="Total 2 14 2 3 6" xfId="34362"/>
    <cellStyle name="Total 2 14 2 3 7" xfId="34363"/>
    <cellStyle name="Total 2 14 2 4" xfId="34364"/>
    <cellStyle name="Total 2 14 2 4 2 2" xfId="34365"/>
    <cellStyle name="Total 2 14 2 4 2 3" xfId="34366"/>
    <cellStyle name="Total 2 14 2 4 2 4" xfId="34367"/>
    <cellStyle name="Total 2 14 2 4 3 2" xfId="34368"/>
    <cellStyle name="Total 2 14 2 4 3 3" xfId="34369"/>
    <cellStyle name="Total 2 14 2 4 3 4" xfId="34370"/>
    <cellStyle name="Total 2 14 2 4 4" xfId="34371"/>
    <cellStyle name="Total 2 14 2 4 4 2" xfId="34372"/>
    <cellStyle name="Total 2 14 2 4 4 3" xfId="34373"/>
    <cellStyle name="Total 2 14 2 4 5" xfId="34374"/>
    <cellStyle name="Total 2 14 2 4 5 2" xfId="34375"/>
    <cellStyle name="Total 2 14 2 4 5 3" xfId="34376"/>
    <cellStyle name="Total 2 14 2 4 6" xfId="34377"/>
    <cellStyle name="Total 2 14 2 4 7" xfId="34378"/>
    <cellStyle name="Total 2 14 2 5" xfId="34379"/>
    <cellStyle name="Total 2 14 2 5 2" xfId="34380"/>
    <cellStyle name="Total 2 14 2 5 2 2" xfId="34381"/>
    <cellStyle name="Total 2 14 2 5 2 3" xfId="34382"/>
    <cellStyle name="Total 2 14 2 5 2 4" xfId="34383"/>
    <cellStyle name="Total 2 14 2 5 3" xfId="34384"/>
    <cellStyle name="Total 2 14 2 5 3 2" xfId="34385"/>
    <cellStyle name="Total 2 14 2 5 3 3" xfId="34386"/>
    <cellStyle name="Total 2 14 2 5 3 4" xfId="34387"/>
    <cellStyle name="Total 2 14 2 5 4" xfId="34388"/>
    <cellStyle name="Total 2 14 2 5 4 2" xfId="34389"/>
    <cellStyle name="Total 2 14 2 5 4 3" xfId="34390"/>
    <cellStyle name="Total 2 14 2 5 5" xfId="34391"/>
    <cellStyle name="Total 2 14 2 5 5 2" xfId="34392"/>
    <cellStyle name="Total 2 14 2 5 5 3" xfId="34393"/>
    <cellStyle name="Total 2 14 2 5 6" xfId="34394"/>
    <cellStyle name="Total 2 14 2 5 7" xfId="34395"/>
    <cellStyle name="Total 2 14 2 6" xfId="34396"/>
    <cellStyle name="Total 2 14 2 6 2" xfId="34397"/>
    <cellStyle name="Total 2 14 2 6 2 2" xfId="34398"/>
    <cellStyle name="Total 2 14 2 6 2 3" xfId="34399"/>
    <cellStyle name="Total 2 14 2 6 2 4" xfId="34400"/>
    <cellStyle name="Total 2 14 2 6 3" xfId="34401"/>
    <cellStyle name="Total 2 14 2 6 3 2" xfId="34402"/>
    <cellStyle name="Total 2 14 2 6 3 3" xfId="34403"/>
    <cellStyle name="Total 2 14 2 6 3 4" xfId="34404"/>
    <cellStyle name="Total 2 14 2 6 4" xfId="34405"/>
    <cellStyle name="Total 2 14 2 6 4 2" xfId="34406"/>
    <cellStyle name="Total 2 14 2 6 4 3" xfId="34407"/>
    <cellStyle name="Total 2 14 2 6 5" xfId="34408"/>
    <cellStyle name="Total 2 14 2 6 5 2" xfId="34409"/>
    <cellStyle name="Total 2 14 2 6 5 3" xfId="34410"/>
    <cellStyle name="Total 2 14 2 6 6" xfId="34411"/>
    <cellStyle name="Total 2 14 2 6 7" xfId="34412"/>
    <cellStyle name="Total 2 14 2 7" xfId="34413"/>
    <cellStyle name="Total 2 14 2 7 2" xfId="34414"/>
    <cellStyle name="Total 2 14 2 7 2 2" xfId="34415"/>
    <cellStyle name="Total 2 14 2 7 2 3" xfId="34416"/>
    <cellStyle name="Total 2 14 2 7 2 4" xfId="34417"/>
    <cellStyle name="Total 2 14 2 7 3" xfId="34418"/>
    <cellStyle name="Total 2 14 2 7 3 2" xfId="34419"/>
    <cellStyle name="Total 2 14 2 7 3 3" xfId="34420"/>
    <cellStyle name="Total 2 14 2 7 3 4" xfId="34421"/>
    <cellStyle name="Total 2 14 2 7 4" xfId="34422"/>
    <cellStyle name="Total 2 14 2 7 4 2" xfId="34423"/>
    <cellStyle name="Total 2 14 2 7 4 3" xfId="34424"/>
    <cellStyle name="Total 2 14 2 7 5" xfId="34425"/>
    <cellStyle name="Total 2 14 2 7 5 2" xfId="34426"/>
    <cellStyle name="Total 2 14 2 7 5 3" xfId="34427"/>
    <cellStyle name="Total 2 14 2 7 6" xfId="34428"/>
    <cellStyle name="Total 2 14 2 7 7" xfId="34429"/>
    <cellStyle name="Total 2 14 2 8" xfId="34430"/>
    <cellStyle name="Total 2 14 2 8 2" xfId="34431"/>
    <cellStyle name="Total 2 14 2 8 2 2" xfId="34432"/>
    <cellStyle name="Total 2 14 2 8 2 3" xfId="34433"/>
    <cellStyle name="Total 2 14 2 8 2 4" xfId="34434"/>
    <cellStyle name="Total 2 14 2 8 3" xfId="34435"/>
    <cellStyle name="Total 2 14 2 8 3 2" xfId="34436"/>
    <cellStyle name="Total 2 14 2 8 3 3" xfId="34437"/>
    <cellStyle name="Total 2 14 2 8 3 4" xfId="34438"/>
    <cellStyle name="Total 2 14 2 8 4" xfId="34439"/>
    <cellStyle name="Total 2 14 2 8 4 2" xfId="34440"/>
    <cellStyle name="Total 2 14 2 8 4 3" xfId="34441"/>
    <cellStyle name="Total 2 14 2 8 5" xfId="34442"/>
    <cellStyle name="Total 2 14 2 8 5 2" xfId="34443"/>
    <cellStyle name="Total 2 14 2 8 5 3" xfId="34444"/>
    <cellStyle name="Total 2 14 2 8 6" xfId="34445"/>
    <cellStyle name="Total 2 14 2 8 7" xfId="34446"/>
    <cellStyle name="Total 2 14 2 9" xfId="34447"/>
    <cellStyle name="Total 2 14 2 9 2" xfId="34448"/>
    <cellStyle name="Total 2 14 2 9 2 2" xfId="34449"/>
    <cellStyle name="Total 2 14 2 9 2 3" xfId="34450"/>
    <cellStyle name="Total 2 14 2 9 2 4" xfId="34451"/>
    <cellStyle name="Total 2 14 2 9 3" xfId="34452"/>
    <cellStyle name="Total 2 14 2 9 3 2" xfId="34453"/>
    <cellStyle name="Total 2 14 2 9 3 3" xfId="34454"/>
    <cellStyle name="Total 2 14 2 9 3 4" xfId="34455"/>
    <cellStyle name="Total 2 14 2 9 4" xfId="34456"/>
    <cellStyle name="Total 2 14 2 9 4 2" xfId="34457"/>
    <cellStyle name="Total 2 14 2 9 4 3" xfId="34458"/>
    <cellStyle name="Total 2 14 2 9 5" xfId="34459"/>
    <cellStyle name="Total 2 14 2 9 5 2" xfId="34460"/>
    <cellStyle name="Total 2 14 2 9 5 3" xfId="34461"/>
    <cellStyle name="Total 2 14 2 9 6" xfId="34462"/>
    <cellStyle name="Total 2 14 2 9 7" xfId="34463"/>
    <cellStyle name="Total 2 14 3" xfId="34464"/>
    <cellStyle name="Total 2 14 3 10" xfId="34465"/>
    <cellStyle name="Total 2 14 3 10 2 2" xfId="34466"/>
    <cellStyle name="Total 2 14 3 10 2 3" xfId="34467"/>
    <cellStyle name="Total 2 14 3 10 2 4" xfId="34468"/>
    <cellStyle name="Total 2 14 3 10 3" xfId="34469"/>
    <cellStyle name="Total 2 14 3 10 3 2" xfId="34470"/>
    <cellStyle name="Total 2 14 3 10 3 3" xfId="34471"/>
    <cellStyle name="Total 2 14 3 10 3 4" xfId="34472"/>
    <cellStyle name="Total 2 14 3 10 4" xfId="34473"/>
    <cellStyle name="Total 2 14 3 10 5" xfId="34474"/>
    <cellStyle name="Total 2 14 3 10 6" xfId="34475"/>
    <cellStyle name="Total 2 14 3 10 7" xfId="34476"/>
    <cellStyle name="Total 2 14 3 11" xfId="34477"/>
    <cellStyle name="Total 2 14 3 11 3" xfId="34478"/>
    <cellStyle name="Total 2 14 3 11 4" xfId="34479"/>
    <cellStyle name="Total 2 14 3 12" xfId="34480"/>
    <cellStyle name="Total 2 14 3 12 2" xfId="34481"/>
    <cellStyle name="Total 2 14 3 12 3" xfId="34482"/>
    <cellStyle name="Total 2 14 3 12 4" xfId="34483"/>
    <cellStyle name="Total 2 14 3 13" xfId="34484"/>
    <cellStyle name="Total 2 14 3 13 2" xfId="34485"/>
    <cellStyle name="Total 2 14 3 13 3" xfId="34486"/>
    <cellStyle name="Total 2 14 3 14" xfId="34487"/>
    <cellStyle name="Total 2 14 3 14 2" xfId="34488"/>
    <cellStyle name="Total 2 14 3 14 3" xfId="34489"/>
    <cellStyle name="Total 2 14 3 15" xfId="34490"/>
    <cellStyle name="Total 2 14 3 16" xfId="34491"/>
    <cellStyle name="Total 2 14 3 2" xfId="34492"/>
    <cellStyle name="Total 2 14 3 2 2" xfId="34493"/>
    <cellStyle name="Total 2 14 3 2 2 3" xfId="34494"/>
    <cellStyle name="Total 2 14 3 2 2 4" xfId="34495"/>
    <cellStyle name="Total 2 14 3 2 3" xfId="34496"/>
    <cellStyle name="Total 2 14 3 2 3 2" xfId="34497"/>
    <cellStyle name="Total 2 14 3 2 3 3" xfId="34498"/>
    <cellStyle name="Total 2 14 3 2 3 4" xfId="34499"/>
    <cellStyle name="Total 2 14 3 2 4" xfId="34500"/>
    <cellStyle name="Total 2 14 3 2 4 2" xfId="34501"/>
    <cellStyle name="Total 2 14 3 2 4 3" xfId="34502"/>
    <cellStyle name="Total 2 14 3 2 5" xfId="34503"/>
    <cellStyle name="Total 2 14 3 2 5 2" xfId="34504"/>
    <cellStyle name="Total 2 3 2 17" xfId="34505"/>
    <cellStyle name="Total 2 14 3 2 5 3" xfId="34506"/>
    <cellStyle name="Total 2 14 3 2 6" xfId="34507"/>
    <cellStyle name="Total 2 14 3 2 7" xfId="34508"/>
    <cellStyle name="Total 2 14 3 3" xfId="34509"/>
    <cellStyle name="Total 2 14 3 3 2" xfId="34510"/>
    <cellStyle name="Total 2 14 3 3 2 3" xfId="34511"/>
    <cellStyle name="Total 2 14 3 3 2 4" xfId="34512"/>
    <cellStyle name="Total 2 14 3 3 3" xfId="34513"/>
    <cellStyle name="Total 2 14 3 3 3 2" xfId="34514"/>
    <cellStyle name="Total 2 14 3 3 3 3" xfId="34515"/>
    <cellStyle name="Total 2 14 3 3 3 4" xfId="34516"/>
    <cellStyle name="Total 2 14 3 3 4" xfId="34517"/>
    <cellStyle name="Total 2 14 3 3 4 2" xfId="34518"/>
    <cellStyle name="Total 2 14 3 3 4 3" xfId="34519"/>
    <cellStyle name="Total 2 14 3 3 5" xfId="34520"/>
    <cellStyle name="Total 2 14 3 3 5 2" xfId="34521"/>
    <cellStyle name="Total 2 14 3 3 5 3" xfId="34522"/>
    <cellStyle name="Total 2 14 3 3 6" xfId="34523"/>
    <cellStyle name="Total 2 14 3 3 7" xfId="34524"/>
    <cellStyle name="Total 2 14 3 4" xfId="34525"/>
    <cellStyle name="Total 2 14 3 4 2" xfId="34526"/>
    <cellStyle name="Total 2 14 3 4 2 3" xfId="34527"/>
    <cellStyle name="Total 2 14 3 4 2 4" xfId="34528"/>
    <cellStyle name="Total 2 14 3 4 3" xfId="34529"/>
    <cellStyle name="Total 2 14 3 4 3 2" xfId="34530"/>
    <cellStyle name="Total 2 14 3 4 3 3" xfId="34531"/>
    <cellStyle name="Total 2 14 3 4 3 4" xfId="34532"/>
    <cellStyle name="Total 2 14 3 4 4" xfId="34533"/>
    <cellStyle name="Total 2 14 3 4 4 2" xfId="34534"/>
    <cellStyle name="Total 2 14 3 4 4 3" xfId="34535"/>
    <cellStyle name="Total 2 14 3 4 5" xfId="34536"/>
    <cellStyle name="Total 2 14 3 4 5 2" xfId="34537"/>
    <cellStyle name="Total 2 14 3 4 5 3" xfId="34538"/>
    <cellStyle name="Total 2 14 3 4 6" xfId="34539"/>
    <cellStyle name="Total 2 14 3 4 7" xfId="34540"/>
    <cellStyle name="Total 2 14 3 5" xfId="34541"/>
    <cellStyle name="Total 2 14 3 5 2" xfId="34542"/>
    <cellStyle name="Total 2 14 3 5 2 3" xfId="34543"/>
    <cellStyle name="Total 2 14 3 5 2 4" xfId="34544"/>
    <cellStyle name="Total 2 14 3 5 3" xfId="34545"/>
    <cellStyle name="Total 2 14 3 5 3 2" xfId="34546"/>
    <cellStyle name="Total 2 14 3 5 3 3" xfId="34547"/>
    <cellStyle name="Total 2 14 3 5 3 4" xfId="34548"/>
    <cellStyle name="Total 2 14 3 5 4" xfId="34549"/>
    <cellStyle name="Total 2 14 3 5 4 2" xfId="34550"/>
    <cellStyle name="Total 2 14 3 5 4 3" xfId="34551"/>
    <cellStyle name="Total 2 14 3 5 5" xfId="34552"/>
    <cellStyle name="Total 2 14 3 5 5 2" xfId="34553"/>
    <cellStyle name="Total 2 14 3 5 5 3" xfId="34554"/>
    <cellStyle name="Total 2 14 3 5 6" xfId="34555"/>
    <cellStyle name="Total 2 14 3 5 7" xfId="34556"/>
    <cellStyle name="Total 2 14 3 6" xfId="34557"/>
    <cellStyle name="Total 2 14 3 6 2" xfId="34558"/>
    <cellStyle name="Total 2 14 3 6 2 3" xfId="34559"/>
    <cellStyle name="Total 2 14 3 6 2 4" xfId="34560"/>
    <cellStyle name="Total 2 14 3 6 3" xfId="34561"/>
    <cellStyle name="Total 2 14 3 6 3 2" xfId="34562"/>
    <cellStyle name="Total 2 14 3 6 3 3" xfId="34563"/>
    <cellStyle name="Total 2 14 3 6 3 4" xfId="34564"/>
    <cellStyle name="Total 2 14 3 6 4" xfId="34565"/>
    <cellStyle name="Total 2 14 3 6 4 2" xfId="34566"/>
    <cellStyle name="Total 2 14 3 6 4 3" xfId="34567"/>
    <cellStyle name="Total 2 14 3 6 5" xfId="34568"/>
    <cellStyle name="Total 2 14 3 6 5 2" xfId="34569"/>
    <cellStyle name="Total 2 14 3 6 5 3" xfId="34570"/>
    <cellStyle name="Total 2 14 3 6 6" xfId="34571"/>
    <cellStyle name="Total 2 14 3 6 7" xfId="34572"/>
    <cellStyle name="Total 2 14 3 7" xfId="34573"/>
    <cellStyle name="Total 2 14 3 7 2" xfId="34574"/>
    <cellStyle name="Total 2 14 3 7 2 3" xfId="34575"/>
    <cellStyle name="Total 2 14 3 7 2 4" xfId="34576"/>
    <cellStyle name="Total 2 14 3 7 3" xfId="34577"/>
    <cellStyle name="Total 2 14 3 7 3 2" xfId="34578"/>
    <cellStyle name="Total 2 14 3 7 3 3" xfId="34579"/>
    <cellStyle name="Total 2 14 3 7 3 4" xfId="34580"/>
    <cellStyle name="Total 2 14 3 7 4" xfId="34581"/>
    <cellStyle name="Total 2 14 3 7 4 2" xfId="34582"/>
    <cellStyle name="Total 2 14 3 7 4 3" xfId="34583"/>
    <cellStyle name="Total 2 14 3 7 5" xfId="34584"/>
    <cellStyle name="Total 2 14 3 7 5 2" xfId="34585"/>
    <cellStyle name="Total 2 4 2 17" xfId="34586"/>
    <cellStyle name="Total 2 14 3 7 5 3" xfId="34587"/>
    <cellStyle name="Total 2 14 3 7 6" xfId="34588"/>
    <cellStyle name="Total 2 14 3 7 7" xfId="34589"/>
    <cellStyle name="Total 2 14 3 8" xfId="34590"/>
    <cellStyle name="Total 2 14 3 8 2" xfId="34591"/>
    <cellStyle name="Total 2 14 3 8 2 2" xfId="34592"/>
    <cellStyle name="Total 2 14 3 8 2 3" xfId="34593"/>
    <cellStyle name="Total 2 14 3 8 2 4" xfId="34594"/>
    <cellStyle name="Total 2 14 3 8 3" xfId="34595"/>
    <cellStyle name="Total 2 14 3 8 3 2" xfId="34596"/>
    <cellStyle name="Total 2 14 3 8 3 3" xfId="34597"/>
    <cellStyle name="Total 2 14 3 8 3 4" xfId="34598"/>
    <cellStyle name="Total 2 14 3 8 4" xfId="34599"/>
    <cellStyle name="Total 2 14 3 8 4 2" xfId="34600"/>
    <cellStyle name="Total 2 14 3 8 4 3" xfId="34601"/>
    <cellStyle name="Total 2 14 3 8 5" xfId="34602"/>
    <cellStyle name="Total 2 14 3 8 5 2" xfId="34603"/>
    <cellStyle name="Total 2 14 3 8 5 3" xfId="34604"/>
    <cellStyle name="Total 2 14 3 8 6" xfId="34605"/>
    <cellStyle name="Total 2 14 3 8 7" xfId="34606"/>
    <cellStyle name="Total 2 14 3 9" xfId="34607"/>
    <cellStyle name="Total 2 14 3 9 2" xfId="34608"/>
    <cellStyle name="Total 2 14 3 9 2 2" xfId="34609"/>
    <cellStyle name="Total 2 14 3 9 2 3" xfId="34610"/>
    <cellStyle name="Total 2 14 3 9 2 4" xfId="34611"/>
    <cellStyle name="Total 2 14 3 9 3" xfId="34612"/>
    <cellStyle name="Total 2 14 3 9 3 2" xfId="34613"/>
    <cellStyle name="Total 2 14 3 9 3 3" xfId="34614"/>
    <cellStyle name="Total 2 14 3 9 3 4" xfId="34615"/>
    <cellStyle name="Total 2 14 3 9 4" xfId="34616"/>
    <cellStyle name="Total 2 14 3 9 4 2" xfId="34617"/>
    <cellStyle name="Total 2 14 3 9 4 3" xfId="34618"/>
    <cellStyle name="Total 2 14 3 9 5" xfId="34619"/>
    <cellStyle name="Total 2 14 3 9 5 2" xfId="34620"/>
    <cellStyle name="Total 2 14 3 9 5 3" xfId="34621"/>
    <cellStyle name="Total 2 14 3 9 6" xfId="34622"/>
    <cellStyle name="Total 2 14 3 9 7" xfId="34623"/>
    <cellStyle name="Total 2 14 4" xfId="34624"/>
    <cellStyle name="Total 2 14 4 2" xfId="34625"/>
    <cellStyle name="Total 2 14 4 2 2" xfId="34626"/>
    <cellStyle name="Total 2 14 4 2 3" xfId="34627"/>
    <cellStyle name="Total 2 14 4 2 4" xfId="34628"/>
    <cellStyle name="Total 2 14 4 3" xfId="34629"/>
    <cellStyle name="Total 2 14 4 3 2" xfId="34630"/>
    <cellStyle name="Total 2 14 4 3 3" xfId="34631"/>
    <cellStyle name="Total 2 14 4 3 4" xfId="34632"/>
    <cellStyle name="Total 2 14 4 4" xfId="34633"/>
    <cellStyle name="Total 2 14 4 4 2" xfId="34634"/>
    <cellStyle name="Total 2 14 4 4 3" xfId="34635"/>
    <cellStyle name="Total 2 14 4 5" xfId="34636"/>
    <cellStyle name="Total 2 14 4 5 2" xfId="34637"/>
    <cellStyle name="Total 2 14 4 5 3" xfId="34638"/>
    <cellStyle name="Total 2 14 4 6" xfId="34639"/>
    <cellStyle name="Total 2 14 4 7" xfId="34640"/>
    <cellStyle name="Total 2 14 5" xfId="34641"/>
    <cellStyle name="Total 2 14 5 2" xfId="34642"/>
    <cellStyle name="Total 2 14 5 2 2" xfId="34643"/>
    <cellStyle name="Total 2 14 5 2 3" xfId="34644"/>
    <cellStyle name="Total 2 14 5 2 4" xfId="34645"/>
    <cellStyle name="Total 2 14 5 3" xfId="34646"/>
    <cellStyle name="Total 2 14 5 3 2" xfId="34647"/>
    <cellStyle name="Total 2 14 5 3 3" xfId="34648"/>
    <cellStyle name="Total 2 14 5 3 4" xfId="34649"/>
    <cellStyle name="Total 2 14 5 4" xfId="34650"/>
    <cellStyle name="Total 2 14 5 4 2" xfId="34651"/>
    <cellStyle name="Total 2 14 5 4 3" xfId="34652"/>
    <cellStyle name="Total 2 14 5 5" xfId="34653"/>
    <cellStyle name="Total 2 14 5 5 2" xfId="34654"/>
    <cellStyle name="Total 2 14 5 5 3" xfId="34655"/>
    <cellStyle name="Total 2 14 5 6" xfId="34656"/>
    <cellStyle name="Total 2 14 5 7" xfId="34657"/>
    <cellStyle name="Total 2 14 6" xfId="34658"/>
    <cellStyle name="Total 2 14 6 2" xfId="34659"/>
    <cellStyle name="Total 2 14 6 2 2" xfId="34660"/>
    <cellStyle name="Total 2 14 6 2 3" xfId="34661"/>
    <cellStyle name="Total 2 14 6 2 4" xfId="34662"/>
    <cellStyle name="Total 2 14 6 3" xfId="34663"/>
    <cellStyle name="Total 2 14 6 3 2" xfId="34664"/>
    <cellStyle name="Total 2 14 6 3 3" xfId="34665"/>
    <cellStyle name="Total 2 14 6 3 4" xfId="34666"/>
    <cellStyle name="Total 2 14 6 4" xfId="34667"/>
    <cellStyle name="Total 2 14 6 4 2" xfId="34668"/>
    <cellStyle name="Total 2 14 6 4 3" xfId="34669"/>
    <cellStyle name="Total 2 14 6 5" xfId="34670"/>
    <cellStyle name="Total 2 14 6 5 2" xfId="34671"/>
    <cellStyle name="Total 2 14 6 5 3" xfId="34672"/>
    <cellStyle name="Total 2 14 6 6" xfId="34673"/>
    <cellStyle name="Total 2 14 6 7" xfId="34674"/>
    <cellStyle name="Total 2 14 7" xfId="34675"/>
    <cellStyle name="Total 2 14 7 2" xfId="34676"/>
    <cellStyle name="Total 2 14 7 2 2" xfId="34677"/>
    <cellStyle name="Total 2 14 7 2 3" xfId="34678"/>
    <cellStyle name="Total 2 14 7 2 4" xfId="34679"/>
    <cellStyle name="Total 2 14 7 3" xfId="34680"/>
    <cellStyle name="Total 2 14 7 3 2" xfId="34681"/>
    <cellStyle name="Total 2 14 7 3 3" xfId="34682"/>
    <cellStyle name="Total 2 14 7 3 4" xfId="34683"/>
    <cellStyle name="Total 2 14 7 4" xfId="34684"/>
    <cellStyle name="Total 2 14 7 5" xfId="34685"/>
    <cellStyle name="Total 2 14 7 5 2" xfId="34686"/>
    <cellStyle name="Total 2 14 7 5 3" xfId="34687"/>
    <cellStyle name="Total 2 14 7 6" xfId="34688"/>
    <cellStyle name="Total 2 14 7 7" xfId="34689"/>
    <cellStyle name="Total 2 14 8" xfId="34690"/>
    <cellStyle name="Total 2 14 8 2" xfId="34691"/>
    <cellStyle name="Total 2 14 8 2 2" xfId="34692"/>
    <cellStyle name="Total 2 14 8 2 3" xfId="34693"/>
    <cellStyle name="Total 2 14 8 2 4" xfId="34694"/>
    <cellStyle name="Total 2 14 8 3" xfId="34695"/>
    <cellStyle name="Total 2 14 8 3 2" xfId="34696"/>
    <cellStyle name="Total 2 14 8 3 3" xfId="34697"/>
    <cellStyle name="Total 2 14 8 3 4" xfId="34698"/>
    <cellStyle name="Total 2 14 8 4" xfId="34699"/>
    <cellStyle name="Total 2 14 8 4 2" xfId="34700"/>
    <cellStyle name="Total 2 14 8 4 3" xfId="34701"/>
    <cellStyle name="Total 2 14 8 5" xfId="34702"/>
    <cellStyle name="Total 2 14 8 5 2" xfId="34703"/>
    <cellStyle name="Total 2 14 8 5 3" xfId="34704"/>
    <cellStyle name="Total 2 14 8 6" xfId="34705"/>
    <cellStyle name="Total 2 14 8 7" xfId="34706"/>
    <cellStyle name="Total 2 14 9 2" xfId="34707"/>
    <cellStyle name="Total 2 14 9 2 2" xfId="34708"/>
    <cellStyle name="Total 2 14 9 2 3" xfId="34709"/>
    <cellStyle name="Total 2 14 9 2 4" xfId="34710"/>
    <cellStyle name="Total 2 14 9 3" xfId="34711"/>
    <cellStyle name="Total 2 14 9 3 2" xfId="34712"/>
    <cellStyle name="Total 2 14 9 3 3" xfId="34713"/>
    <cellStyle name="Total 2 14 9 3 4" xfId="34714"/>
    <cellStyle name="Total 2 14 9 4" xfId="34715"/>
    <cellStyle name="Total 2 14 9 4 2" xfId="34716"/>
    <cellStyle name="Total 2 14 9 4 3" xfId="34717"/>
    <cellStyle name="Total 2 14 9 5" xfId="34718"/>
    <cellStyle name="Total 2 14 9 5 2" xfId="34719"/>
    <cellStyle name="Total 2 14 9 5 3" xfId="34720"/>
    <cellStyle name="Total 2 14 9 6" xfId="34721"/>
    <cellStyle name="Total 2 14 9 7" xfId="34722"/>
    <cellStyle name="Total 2 15" xfId="34723"/>
    <cellStyle name="Total 2 20" xfId="34724"/>
    <cellStyle name="Total 2 15 10" xfId="34725"/>
    <cellStyle name="Total 2 15 10 2" xfId="34726"/>
    <cellStyle name="Total 2 15 10 2 2" xfId="34727"/>
    <cellStyle name="Total 2 15 10 2 3" xfId="34728"/>
    <cellStyle name="Total 2 15 10 2 4" xfId="34729"/>
    <cellStyle name="Total 2 15 10 3" xfId="34730"/>
    <cellStyle name="Total 2 15 10 3 2" xfId="34731"/>
    <cellStyle name="Total 2 15 10 3 3" xfId="34732"/>
    <cellStyle name="Total 2 15 10 3 4" xfId="34733"/>
    <cellStyle name="Total 2 15 10 4" xfId="34734"/>
    <cellStyle name="Total 2 15 10 4 2" xfId="34735"/>
    <cellStyle name="Total 2 15 10 5" xfId="34736"/>
    <cellStyle name="Total 2 15 10 5 2" xfId="34737"/>
    <cellStyle name="Total 2 15 10 5 3" xfId="34738"/>
    <cellStyle name="Total 2 15 10 6" xfId="34739"/>
    <cellStyle name="Total 2 15 10 7" xfId="34740"/>
    <cellStyle name="Total 2 15 11" xfId="34741"/>
    <cellStyle name="Total 2 15 11 2" xfId="34742"/>
    <cellStyle name="Total 2 15 11 3" xfId="34743"/>
    <cellStyle name="Total 2 15 11 4" xfId="34744"/>
    <cellStyle name="Total 2 15 12" xfId="34745"/>
    <cellStyle name="Total 2 15 13" xfId="34746"/>
    <cellStyle name="Total 2 15 13 2" xfId="34747"/>
    <cellStyle name="Total 2 15 13 3" xfId="34748"/>
    <cellStyle name="Total 2 15 14" xfId="34749"/>
    <cellStyle name="Total 2 15 14 2" xfId="34750"/>
    <cellStyle name="Total 2 15 14 3" xfId="34751"/>
    <cellStyle name="Total 2 15 15" xfId="34752"/>
    <cellStyle name="Total 2 15 16" xfId="34753"/>
    <cellStyle name="Total 2 15 17" xfId="34754"/>
    <cellStyle name="Total 2 15 2" xfId="34755"/>
    <cellStyle name="Total 2 20 2" xfId="34756"/>
    <cellStyle name="Total 2 15 2 2" xfId="34757"/>
    <cellStyle name="Total 2 20 2 2" xfId="34758"/>
    <cellStyle name="Total 2 15 2 2 2" xfId="34759"/>
    <cellStyle name="Total 2 15 2 2 3" xfId="34760"/>
    <cellStyle name="Total 2 15 2 2 4" xfId="34761"/>
    <cellStyle name="Total 2 15 2 3" xfId="34762"/>
    <cellStyle name="Total 2 20 2 3" xfId="34763"/>
    <cellStyle name="Total 2 15 2 3 2" xfId="34764"/>
    <cellStyle name="Total 2 15 2 3 3" xfId="34765"/>
    <cellStyle name="Total 2 15 2 3 4" xfId="34766"/>
    <cellStyle name="Total 2 15 2 4" xfId="34767"/>
    <cellStyle name="Total 2 20 2 4" xfId="34768"/>
    <cellStyle name="Total 2 15 2 5" xfId="34769"/>
    <cellStyle name="Total 2 15 2 5 2" xfId="34770"/>
    <cellStyle name="Total 2 15 2 5 3" xfId="34771"/>
    <cellStyle name="Total 2 15 2 6" xfId="34772"/>
    <cellStyle name="Total 2 15 2 7" xfId="34773"/>
    <cellStyle name="Total 2 15 3" xfId="34774"/>
    <cellStyle name="Total 2 20 3" xfId="34775"/>
    <cellStyle name="Total 2 15 3 2" xfId="34776"/>
    <cellStyle name="Total 2 20 3 2" xfId="34777"/>
    <cellStyle name="Total 2 15 3 2 2" xfId="34778"/>
    <cellStyle name="Total 2 15 3 2 3" xfId="34779"/>
    <cellStyle name="Total 2 15 3 2 4" xfId="34780"/>
    <cellStyle name="Total 2 15 3 3" xfId="34781"/>
    <cellStyle name="Total 2 20 3 3" xfId="34782"/>
    <cellStyle name="Total 2 15 3 3 2" xfId="34783"/>
    <cellStyle name="Total 2 15 3 3 3" xfId="34784"/>
    <cellStyle name="Total 2 15 3 3 4" xfId="34785"/>
    <cellStyle name="Total 2 15 3 4" xfId="34786"/>
    <cellStyle name="Total 2 20 3 4" xfId="34787"/>
    <cellStyle name="Total 2 15 3 4 2" xfId="34788"/>
    <cellStyle name="Total 2 15 3 4 3" xfId="34789"/>
    <cellStyle name="Total 2 15 3 5" xfId="34790"/>
    <cellStyle name="Total 2 15 3 5 2" xfId="34791"/>
    <cellStyle name="Total 2 15 3 5 3" xfId="34792"/>
    <cellStyle name="Total 2 15 3 6" xfId="34793"/>
    <cellStyle name="Total 2 15 3 7" xfId="34794"/>
    <cellStyle name="Total 2 15 4" xfId="34795"/>
    <cellStyle name="Total 2 20 4" xfId="34796"/>
    <cellStyle name="Total 2 15 4 2" xfId="34797"/>
    <cellStyle name="Total 2 20 4 2" xfId="34798"/>
    <cellStyle name="Total 2 15 4 2 2" xfId="34799"/>
    <cellStyle name="Total 2 15 4 2 3" xfId="34800"/>
    <cellStyle name="Total 2 15 4 2 4" xfId="34801"/>
    <cellStyle name="Total 2 15 4 3" xfId="34802"/>
    <cellStyle name="Total 2 20 4 3" xfId="34803"/>
    <cellStyle name="Total 2 15 4 3 2" xfId="34804"/>
    <cellStyle name="Total 2 15 4 3 3" xfId="34805"/>
    <cellStyle name="Total 2 15 4 3 4" xfId="34806"/>
    <cellStyle name="Total 2 15 4 4" xfId="34807"/>
    <cellStyle name="Total 2 15 4 4 2" xfId="34808"/>
    <cellStyle name="Total 2 15 4 4 3" xfId="34809"/>
    <cellStyle name="Total 2 15 4 5" xfId="34810"/>
    <cellStyle name="Total 2 15 4 5 2" xfId="34811"/>
    <cellStyle name="Total 2 15 4 5 3" xfId="34812"/>
    <cellStyle name="Total 2 15 4 6" xfId="34813"/>
    <cellStyle name="Total 2 15 4 7" xfId="34814"/>
    <cellStyle name="Total 2 15 5" xfId="34815"/>
    <cellStyle name="Total 2 20 5" xfId="34816"/>
    <cellStyle name="Total 2 15 5 2" xfId="34817"/>
    <cellStyle name="Total 2 20 5 2" xfId="34818"/>
    <cellStyle name="Total 2 15 5 2 2" xfId="34819"/>
    <cellStyle name="Total 2 15 5 2 3" xfId="34820"/>
    <cellStyle name="Total 2 15 5 2 4" xfId="34821"/>
    <cellStyle name="Total 2 15 5 3" xfId="34822"/>
    <cellStyle name="Total 2 20 5 3" xfId="34823"/>
    <cellStyle name="Total 2 15 5 3 2" xfId="34824"/>
    <cellStyle name="Total 2 15 5 3 3" xfId="34825"/>
    <cellStyle name="Total 2 15 5 3 4" xfId="34826"/>
    <cellStyle name="Total 2 15 5 4" xfId="34827"/>
    <cellStyle name="Total 2 15 5 4 2" xfId="34828"/>
    <cellStyle name="Total 2 15 5 4 3" xfId="34829"/>
    <cellStyle name="Total 2 15 5 5" xfId="34830"/>
    <cellStyle name="Total 2 15 5 5 2" xfId="34831"/>
    <cellStyle name="Total 2 15 5 5 3" xfId="34832"/>
    <cellStyle name="Total 2 15 5 6" xfId="34833"/>
    <cellStyle name="Total 2 15 5 7" xfId="34834"/>
    <cellStyle name="Total 2 15 6" xfId="34835"/>
    <cellStyle name="Total 2 20 6" xfId="34836"/>
    <cellStyle name="Total 2 15 6 2" xfId="34837"/>
    <cellStyle name="Total 2 15 6 2 2" xfId="34838"/>
    <cellStyle name="Total 2 15 6 2 3" xfId="34839"/>
    <cellStyle name="Total 2 15 6 2 4" xfId="34840"/>
    <cellStyle name="Total 2 15 6 3" xfId="34841"/>
    <cellStyle name="Total 2 15 6 3 2" xfId="34842"/>
    <cellStyle name="Total 2 15 6 3 3" xfId="34843"/>
    <cellStyle name="Total 2 15 6 3 4" xfId="34844"/>
    <cellStyle name="Total 2 15 6 4" xfId="34845"/>
    <cellStyle name="Total 2 15 6 4 2" xfId="34846"/>
    <cellStyle name="Total 2 15 6 4 3" xfId="34847"/>
    <cellStyle name="Total 2 15 6 5" xfId="34848"/>
    <cellStyle name="Total 2 15 6 5 2" xfId="34849"/>
    <cellStyle name="Total 2 15 6 5 3" xfId="34850"/>
    <cellStyle name="Total 2 15 6 6" xfId="34851"/>
    <cellStyle name="Total 2 15 6 7" xfId="34852"/>
    <cellStyle name="Total 2 15 7" xfId="34853"/>
    <cellStyle name="Total 2 20 7" xfId="34854"/>
    <cellStyle name="Total 2 15 7 2" xfId="34855"/>
    <cellStyle name="Total 2 15 7 2 2" xfId="34856"/>
    <cellStyle name="Total 2 15 7 2 3" xfId="34857"/>
    <cellStyle name="Total 2 15 7 2 4" xfId="34858"/>
    <cellStyle name="Total 2 15 7 3" xfId="34859"/>
    <cellStyle name="Total 2 15 7 3 2" xfId="34860"/>
    <cellStyle name="Total 2 15 7 3 3" xfId="34861"/>
    <cellStyle name="Total 2 15 7 3 4" xfId="34862"/>
    <cellStyle name="Total 2 15 7 4" xfId="34863"/>
    <cellStyle name="Total 2 15 7 5" xfId="34864"/>
    <cellStyle name="Total 2 15 7 5 2" xfId="34865"/>
    <cellStyle name="Total 2 15 7 5 3" xfId="34866"/>
    <cellStyle name="Total 2 15 7 6" xfId="34867"/>
    <cellStyle name="Total 2 15 7 7" xfId="34868"/>
    <cellStyle name="Total 2 15 8" xfId="34869"/>
    <cellStyle name="Total 2 20 8" xfId="34870"/>
    <cellStyle name="Total 2 15 8 2" xfId="34871"/>
    <cellStyle name="Total 2 15 8 2 2" xfId="34872"/>
    <cellStyle name="Total 2 15 8 2 3" xfId="34873"/>
    <cellStyle name="Total 2 15 8 2 4" xfId="34874"/>
    <cellStyle name="Total 2 15 8 3" xfId="34875"/>
    <cellStyle name="Total 2 15 8 3 2" xfId="34876"/>
    <cellStyle name="Total 2 15 8 3 3" xfId="34877"/>
    <cellStyle name="Total 2 15 8 3 4" xfId="34878"/>
    <cellStyle name="Total 2 15 8 4" xfId="34879"/>
    <cellStyle name="Total 2 15 8 4 2" xfId="34880"/>
    <cellStyle name="Total 2 15 8 4 3" xfId="34881"/>
    <cellStyle name="Total 2 15 8 5" xfId="34882"/>
    <cellStyle name="Total 2 15 8 5 2" xfId="34883"/>
    <cellStyle name="Total 2 15 8 5 3" xfId="34884"/>
    <cellStyle name="Total 2 15 8 6" xfId="34885"/>
    <cellStyle name="Total 2 15 8 7" xfId="34886"/>
    <cellStyle name="Total 2 15 9" xfId="34887"/>
    <cellStyle name="Total 2 15 9 2" xfId="34888"/>
    <cellStyle name="Total 2 15 9 2 2" xfId="34889"/>
    <cellStyle name="Total 2 15 9 2 3" xfId="34890"/>
    <cellStyle name="Total 2 15 9 2 4" xfId="34891"/>
    <cellStyle name="Total 2 15 9 3" xfId="34892"/>
    <cellStyle name="Total 2 15 9 3 2" xfId="34893"/>
    <cellStyle name="Total 2 15 9 3 3" xfId="34894"/>
    <cellStyle name="Total 2 15 9 3 4" xfId="34895"/>
    <cellStyle name="Total 2 15 9 4" xfId="34896"/>
    <cellStyle name="Total 2 15 9 4 2" xfId="34897"/>
    <cellStyle name="Total 2 15 9 4 3" xfId="34898"/>
    <cellStyle name="Total 2 15 9 5" xfId="34899"/>
    <cellStyle name="Total 2 15 9 5 2" xfId="34900"/>
    <cellStyle name="Total 2 15 9 5 3" xfId="34901"/>
    <cellStyle name="Total 2 15 9 6" xfId="34902"/>
    <cellStyle name="Total 2 15 9 7" xfId="34903"/>
    <cellStyle name="Total 2 16 10" xfId="34904"/>
    <cellStyle name="Total 2 16 10 2" xfId="34905"/>
    <cellStyle name="Total 2 16 10 2 2" xfId="34906"/>
    <cellStyle name="Total 2 16 10 2 3" xfId="34907"/>
    <cellStyle name="Total 2 16 10 2 4" xfId="34908"/>
    <cellStyle name="Total 2 16 10 3" xfId="34909"/>
    <cellStyle name="Total 2 16 10 3 2" xfId="34910"/>
    <cellStyle name="Total 2 16 10 3 3" xfId="34911"/>
    <cellStyle name="Total 2 16 10 3 4" xfId="34912"/>
    <cellStyle name="Total 2 16 10 4" xfId="34913"/>
    <cellStyle name="Total 2 16 10 4 2" xfId="34914"/>
    <cellStyle name="Total 2 16 10 4 3" xfId="34915"/>
    <cellStyle name="Total 2 16 10 5" xfId="34916"/>
    <cellStyle name="Total 2 16 10 5 2" xfId="34917"/>
    <cellStyle name="Total 2 16 10 5 3" xfId="34918"/>
    <cellStyle name="Total 2 16 10 6" xfId="34919"/>
    <cellStyle name="Total 2 16 10 7" xfId="34920"/>
    <cellStyle name="Total 2 16 11" xfId="34921"/>
    <cellStyle name="Total 2 16 11 2" xfId="34922"/>
    <cellStyle name="Total 2 16 11 3" xfId="34923"/>
    <cellStyle name="Total 2 16 11 4" xfId="34924"/>
    <cellStyle name="Total 2 16 12" xfId="34925"/>
    <cellStyle name="Total 2 16 13" xfId="34926"/>
    <cellStyle name="Total 2 16 13 2" xfId="34927"/>
    <cellStyle name="Total 2 16 13 3" xfId="34928"/>
    <cellStyle name="Total 2 16 14" xfId="34929"/>
    <cellStyle name="Total 2 16 14 2" xfId="34930"/>
    <cellStyle name="Total 2 16 14 3" xfId="34931"/>
    <cellStyle name="Total 2 16 15" xfId="34932"/>
    <cellStyle name="Total 2 16 16" xfId="34933"/>
    <cellStyle name="Total 2 16 17" xfId="34934"/>
    <cellStyle name="Total 2 16 2" xfId="34935"/>
    <cellStyle name="Total 2 21 2" xfId="34936"/>
    <cellStyle name="Total 2 16 2 2" xfId="34937"/>
    <cellStyle name="Total 2 21 2 2" xfId="34938"/>
    <cellStyle name="Total 2 16 2 2 2" xfId="34939"/>
    <cellStyle name="Total 2 16 2 3" xfId="34940"/>
    <cellStyle name="Total 2 21 2 3" xfId="34941"/>
    <cellStyle name="Total 2 16 2 3 2" xfId="34942"/>
    <cellStyle name="Total 2 16 2 4" xfId="34943"/>
    <cellStyle name="Total 2 21 2 4" xfId="34944"/>
    <cellStyle name="Total 2 16 2 4 2" xfId="34945"/>
    <cellStyle name="Total 2 16 2 5" xfId="34946"/>
    <cellStyle name="Total 2 16 2 5 2" xfId="34947"/>
    <cellStyle name="Total 2 16 2 5 3" xfId="34948"/>
    <cellStyle name="Total 2 16 2 6" xfId="34949"/>
    <cellStyle name="Total 2 16 2 7" xfId="34950"/>
    <cellStyle name="Total 2 16 3" xfId="34951"/>
    <cellStyle name="Total 2 21 3" xfId="34952"/>
    <cellStyle name="Total 2 16 3 2" xfId="34953"/>
    <cellStyle name="Total 2 21 3 2" xfId="34954"/>
    <cellStyle name="Total 2 16 3 2 2" xfId="34955"/>
    <cellStyle name="Total 2 16 3 3" xfId="34956"/>
    <cellStyle name="Total 2 21 3 3" xfId="34957"/>
    <cellStyle name="Total 2 16 3 4" xfId="34958"/>
    <cellStyle name="Total 2 21 3 4" xfId="34959"/>
    <cellStyle name="Total 2 16 3 5" xfId="34960"/>
    <cellStyle name="Total 2 16 3 6" xfId="34961"/>
    <cellStyle name="Total 2 16 3 7" xfId="34962"/>
    <cellStyle name="Total 2 16 4" xfId="34963"/>
    <cellStyle name="Total 2 21 4" xfId="34964"/>
    <cellStyle name="Total 2 16 4 2" xfId="34965"/>
    <cellStyle name="Total 2 21 4 2" xfId="34966"/>
    <cellStyle name="Total 2 16 4 3" xfId="34967"/>
    <cellStyle name="Total 2 21 4 3" xfId="34968"/>
    <cellStyle name="Total 2 16 4 4" xfId="34969"/>
    <cellStyle name="Total 2 16 4 5" xfId="34970"/>
    <cellStyle name="Total 2 16 4 5 2" xfId="34971"/>
    <cellStyle name="Total 2 16 4 5 3" xfId="34972"/>
    <cellStyle name="Total 2 16 4 6" xfId="34973"/>
    <cellStyle name="Total 2 16 4 7" xfId="34974"/>
    <cellStyle name="Total 2 16 5" xfId="34975"/>
    <cellStyle name="Total 2 21 5" xfId="34976"/>
    <cellStyle name="Total 2 16 5 2" xfId="34977"/>
    <cellStyle name="Total 2 21 5 2" xfId="34978"/>
    <cellStyle name="Total 2 16 5 2 2" xfId="34979"/>
    <cellStyle name="Total 2 16 5 2 3" xfId="34980"/>
    <cellStyle name="Total 2 16 5 2 4" xfId="34981"/>
    <cellStyle name="Total 2 16 5 3" xfId="34982"/>
    <cellStyle name="Total 2 21 5 3" xfId="34983"/>
    <cellStyle name="Total 2 16 5 3 2" xfId="34984"/>
    <cellStyle name="Total 2 16 5 3 3" xfId="34985"/>
    <cellStyle name="Total 2 16 5 3 4" xfId="34986"/>
    <cellStyle name="Total 2 16 5 4" xfId="34987"/>
    <cellStyle name="Total 2 16 5 4 2" xfId="34988"/>
    <cellStyle name="Total 2 16 5 4 3" xfId="34989"/>
    <cellStyle name="Total 2 16 5 5" xfId="34990"/>
    <cellStyle name="Total 2 16 5 5 2" xfId="34991"/>
    <cellStyle name="Total 2 16 5 5 3" xfId="34992"/>
    <cellStyle name="Total 2 16 5 6" xfId="34993"/>
    <cellStyle name="Total 2 16 5 7" xfId="34994"/>
    <cellStyle name="Total 2 16 6" xfId="34995"/>
    <cellStyle name="Total 2 21 6" xfId="34996"/>
    <cellStyle name="Total 2 16 6 2" xfId="34997"/>
    <cellStyle name="Total 2 16 6 2 2" xfId="34998"/>
    <cellStyle name="Total 2 16 6 2 3" xfId="34999"/>
    <cellStyle name="Total 2 16 6 2 4" xfId="35000"/>
    <cellStyle name="Total 2 16 6 3" xfId="35001"/>
    <cellStyle name="Total 2 16 6 3 2" xfId="35002"/>
    <cellStyle name="Total 2 16 6 3 3" xfId="35003"/>
    <cellStyle name="Total 2 16 6 3 4" xfId="35004"/>
    <cellStyle name="Total 2 16 6 4" xfId="35005"/>
    <cellStyle name="Total 2 16 6 4 2" xfId="35006"/>
    <cellStyle name="Total 2 16 6 4 3" xfId="35007"/>
    <cellStyle name="Total 2 16 6 5" xfId="35008"/>
    <cellStyle name="Total 2 16 6 5 2" xfId="35009"/>
    <cellStyle name="Total 2 16 6 5 3" xfId="35010"/>
    <cellStyle name="Total 2 16 6 6" xfId="35011"/>
    <cellStyle name="Total 2 16 6 7" xfId="35012"/>
    <cellStyle name="Total 2 16 7" xfId="35013"/>
    <cellStyle name="Total 2 21 7" xfId="35014"/>
    <cellStyle name="Total 2 16 7 2" xfId="35015"/>
    <cellStyle name="Total 2 16 7 2 2" xfId="35016"/>
    <cellStyle name="Total 2 16 7 2 3" xfId="35017"/>
    <cellStyle name="Total 2 16 7 2 4" xfId="35018"/>
    <cellStyle name="Total 2 16 7 3" xfId="35019"/>
    <cellStyle name="Total 2 16 7 3 2" xfId="35020"/>
    <cellStyle name="Total 2 16 7 3 3" xfId="35021"/>
    <cellStyle name="Total 2 16 7 3 4" xfId="35022"/>
    <cellStyle name="Total 2 16 7 4" xfId="35023"/>
    <cellStyle name="Total 2 16 7 4 2" xfId="35024"/>
    <cellStyle name="Total 2 16 7 4 3" xfId="35025"/>
    <cellStyle name="Total 2 16 7 5" xfId="35026"/>
    <cellStyle name="Total 2 16 7 5 2" xfId="35027"/>
    <cellStyle name="Total 2 16 7 5 3" xfId="35028"/>
    <cellStyle name="Total 2 16 7 6" xfId="35029"/>
    <cellStyle name="Total 2 16 7 7" xfId="35030"/>
    <cellStyle name="Total 2 16 8" xfId="35031"/>
    <cellStyle name="Total 2 21 8" xfId="35032"/>
    <cellStyle name="Total 2 16 8 2" xfId="35033"/>
    <cellStyle name="Total 2 16 8 2 2" xfId="35034"/>
    <cellStyle name="Total 2 16 8 2 3" xfId="35035"/>
    <cellStyle name="Total 2 16 8 2 4" xfId="35036"/>
    <cellStyle name="Total 2 16 8 3" xfId="35037"/>
    <cellStyle name="Total 2 16 8 3 2" xfId="35038"/>
    <cellStyle name="Total 2 16 8 3 3" xfId="35039"/>
    <cellStyle name="Total 2 16 8 3 4" xfId="35040"/>
    <cellStyle name="Total 2 16 8 4" xfId="35041"/>
    <cellStyle name="Total 2 16 8 4 2" xfId="35042"/>
    <cellStyle name="Total 2 16 8 4 3" xfId="35043"/>
    <cellStyle name="Total 2 16 8 5" xfId="35044"/>
    <cellStyle name="Total 2 16 8 5 2" xfId="35045"/>
    <cellStyle name="Total 2 16 8 5 3" xfId="35046"/>
    <cellStyle name="Total 2 16 8 6" xfId="35047"/>
    <cellStyle name="Total 2 16 8 7" xfId="35048"/>
    <cellStyle name="Total 2 16 9" xfId="35049"/>
    <cellStyle name="Total 2 16 9 2" xfId="35050"/>
    <cellStyle name="Total 2 16 9 2 2" xfId="35051"/>
    <cellStyle name="Total 2 16 9 2 3" xfId="35052"/>
    <cellStyle name="Total 2 16 9 2 4" xfId="35053"/>
    <cellStyle name="Total 2 16 9 3" xfId="35054"/>
    <cellStyle name="Total 2 16 9 3 2" xfId="35055"/>
    <cellStyle name="Total 2 16 9 3 3" xfId="35056"/>
    <cellStyle name="Total 2 16 9 3 4" xfId="35057"/>
    <cellStyle name="Total 2 16 9 4" xfId="35058"/>
    <cellStyle name="Total 2 16 9 4 2" xfId="35059"/>
    <cellStyle name="Total 2 16 9 4 3" xfId="35060"/>
    <cellStyle name="Total 2 16 9 5" xfId="35061"/>
    <cellStyle name="Total 2 16 9 5 2" xfId="35062"/>
    <cellStyle name="Total 2 16 9 5 3" xfId="35063"/>
    <cellStyle name="Total 2 16 9 6" xfId="35064"/>
    <cellStyle name="Total 2 16 9 7" xfId="35065"/>
    <cellStyle name="Total 2 17" xfId="35066"/>
    <cellStyle name="Total 2 22" xfId="35067"/>
    <cellStyle name="Total 2 17 2" xfId="35068"/>
    <cellStyle name="Total 2 22 2" xfId="35069"/>
    <cellStyle name="Total 2 17 2 2" xfId="35070"/>
    <cellStyle name="Total 2 22 2 2" xfId="35071"/>
    <cellStyle name="Total 2 17 2 3" xfId="35072"/>
    <cellStyle name="Total 2 22 2 3" xfId="35073"/>
    <cellStyle name="Total 2 17 2 4" xfId="35074"/>
    <cellStyle name="Total 2 22 2 4" xfId="35075"/>
    <cellStyle name="Total 2 17 3" xfId="35076"/>
    <cellStyle name="Total 2 22 3" xfId="35077"/>
    <cellStyle name="Total 2 17 3 2" xfId="35078"/>
    <cellStyle name="Total 2 22 3 2" xfId="35079"/>
    <cellStyle name="Total 2 17 3 3" xfId="35080"/>
    <cellStyle name="Total 2 22 3 3" xfId="35081"/>
    <cellStyle name="Total 2 17 3 4" xfId="35082"/>
    <cellStyle name="Total 2 22 3 4" xfId="35083"/>
    <cellStyle name="Total 2 17 4" xfId="35084"/>
    <cellStyle name="Total 2 22 4" xfId="35085"/>
    <cellStyle name="Total 2 17 4 2" xfId="35086"/>
    <cellStyle name="Total 2 22 4 2" xfId="35087"/>
    <cellStyle name="Total 2 17 4 3" xfId="35088"/>
    <cellStyle name="Total 2 22 4 3" xfId="35089"/>
    <cellStyle name="Total 2 17 5" xfId="35090"/>
    <cellStyle name="Total 2 22 5" xfId="35091"/>
    <cellStyle name="Total 2 17 5 2" xfId="35092"/>
    <cellStyle name="Total 2 22 5 2" xfId="35093"/>
    <cellStyle name="Total 2 17 5 3" xfId="35094"/>
    <cellStyle name="Total 2 22 5 3" xfId="35095"/>
    <cellStyle name="Total 2 17 6" xfId="35096"/>
    <cellStyle name="Total 2 22 6" xfId="35097"/>
    <cellStyle name="Total 2 17 7" xfId="35098"/>
    <cellStyle name="Total 2 22 7" xfId="35099"/>
    <cellStyle name="Total 2 17 8" xfId="35100"/>
    <cellStyle name="Total 2 22 8" xfId="35101"/>
    <cellStyle name="Total 2 18" xfId="35102"/>
    <cellStyle name="Total 2 23" xfId="35103"/>
    <cellStyle name="Total 2 18 2" xfId="35104"/>
    <cellStyle name="Total 2 23 2" xfId="35105"/>
    <cellStyle name="Total 2 18 2 2" xfId="35106"/>
    <cellStyle name="Total 2 23 2 2" xfId="35107"/>
    <cellStyle name="Total 2 18 2 3" xfId="35108"/>
    <cellStyle name="Total 2 23 2 3" xfId="35109"/>
    <cellStyle name="Total 2 18 2 4" xfId="35110"/>
    <cellStyle name="Total 2 23 2 4" xfId="35111"/>
    <cellStyle name="Total 2 18 3" xfId="35112"/>
    <cellStyle name="Total 2 23 3" xfId="35113"/>
    <cellStyle name="Total 2 18 3 2" xfId="35114"/>
    <cellStyle name="Total 2 23 3 2" xfId="35115"/>
    <cellStyle name="Total 2 18 3 3" xfId="35116"/>
    <cellStyle name="Total 2 23 3 3" xfId="35117"/>
    <cellStyle name="Total 2 18 3 4" xfId="35118"/>
    <cellStyle name="Total 2 23 3 4" xfId="35119"/>
    <cellStyle name="Total 2 18 4" xfId="35120"/>
    <cellStyle name="Total 2 23 4" xfId="35121"/>
    <cellStyle name="Total 2 18 5" xfId="35122"/>
    <cellStyle name="Total 2 23 5" xfId="35123"/>
    <cellStyle name="Total 2 18 5 2" xfId="35124"/>
    <cellStyle name="Total 2 23 5 2" xfId="35125"/>
    <cellStyle name="Total 2 18 5 3" xfId="35126"/>
    <cellStyle name="Total 2 23 5 3" xfId="35127"/>
    <cellStyle name="Total 2 18 6" xfId="35128"/>
    <cellStyle name="Total 2 23 6" xfId="35129"/>
    <cellStyle name="Total 2 18 7" xfId="35130"/>
    <cellStyle name="Total 2 23 7" xfId="35131"/>
    <cellStyle name="Total 2 18 8" xfId="35132"/>
    <cellStyle name="Total 2 23 8" xfId="35133"/>
    <cellStyle name="Total 2 19" xfId="35134"/>
    <cellStyle name="Total 2 24" xfId="35135"/>
    <cellStyle name="Total 2 19 2" xfId="35136"/>
    <cellStyle name="Total 2 24 2" xfId="35137"/>
    <cellStyle name="Total 2 19 2 2" xfId="35138"/>
    <cellStyle name="Total 2 24 2 2" xfId="35139"/>
    <cellStyle name="Total 2 19 2 3" xfId="35140"/>
    <cellStyle name="Total 2 24 2 3" xfId="35141"/>
    <cellStyle name="Total 2 19 2 4" xfId="35142"/>
    <cellStyle name="Total 2 24 2 4" xfId="35143"/>
    <cellStyle name="Total 2 19 3" xfId="35144"/>
    <cellStyle name="Total 2 24 3" xfId="35145"/>
    <cellStyle name="Total 2 19 3 2" xfId="35146"/>
    <cellStyle name="Total 2 24 3 2" xfId="35147"/>
    <cellStyle name="Total 2 19 3 3" xfId="35148"/>
    <cellStyle name="Total 2 24 3 3" xfId="35149"/>
    <cellStyle name="Total 2 19 3 4" xfId="35150"/>
    <cellStyle name="Total 2 24 3 4" xfId="35151"/>
    <cellStyle name="Total 2 19 4" xfId="35152"/>
    <cellStyle name="Total 2 24 4" xfId="35153"/>
    <cellStyle name="Total 2 19 4 2" xfId="35154"/>
    <cellStyle name="Total 2 24 4 2" xfId="35155"/>
    <cellStyle name="Total 2 19 4 3" xfId="35156"/>
    <cellStyle name="Total 2 24 4 3" xfId="35157"/>
    <cellStyle name="Total 2 19 5" xfId="35158"/>
    <cellStyle name="Total 2 24 5" xfId="35159"/>
    <cellStyle name="Total 2 19 5 2" xfId="35160"/>
    <cellStyle name="Total 2 24 5 2" xfId="35161"/>
    <cellStyle name="Total 2 19 5 3" xfId="35162"/>
    <cellStyle name="Total 2 24 5 3" xfId="35163"/>
    <cellStyle name="Total 2 19 6" xfId="35164"/>
    <cellStyle name="Total 2 24 6" xfId="35165"/>
    <cellStyle name="Total 2 19 7" xfId="35166"/>
    <cellStyle name="Total 2 24 7" xfId="35167"/>
    <cellStyle name="Total 2 19 8" xfId="35168"/>
    <cellStyle name="Total 2 24 8" xfId="35169"/>
    <cellStyle name="Total 2 2" xfId="35170"/>
    <cellStyle name="Total 2 2 10" xfId="35171"/>
    <cellStyle name="Total 2 2 10 2" xfId="35172"/>
    <cellStyle name="Total 2 2 10 2 2" xfId="35173"/>
    <cellStyle name="Total 2 2 10 2 3" xfId="35174"/>
    <cellStyle name="Total 2 2 10 2 4" xfId="35175"/>
    <cellStyle name="Total 2 2 10 3" xfId="35176"/>
    <cellStyle name="Total 2 2 10 3 2" xfId="35177"/>
    <cellStyle name="Total 2 2 10 3 3" xfId="35178"/>
    <cellStyle name="Total 2 2 10 3 4" xfId="35179"/>
    <cellStyle name="Total 2 2 10 4" xfId="35180"/>
    <cellStyle name="Total 2 2 10 4 2" xfId="35181"/>
    <cellStyle name="Total 2 2 10 4 3" xfId="35182"/>
    <cellStyle name="Total 2 2 10 5" xfId="35183"/>
    <cellStyle name="Total 2 2 10 5 2" xfId="35184"/>
    <cellStyle name="Total 2 2 10 5 3" xfId="35185"/>
    <cellStyle name="Total 2 2 10 6" xfId="35186"/>
    <cellStyle name="Total 2 2 10 7" xfId="35187"/>
    <cellStyle name="Total 2 2 10 8" xfId="35188"/>
    <cellStyle name="Total 2 2 11" xfId="35189"/>
    <cellStyle name="Total 2 2 11 2" xfId="35190"/>
    <cellStyle name="Total 2 2 11 2 2" xfId="35191"/>
    <cellStyle name="Total 2 2 11 2 3" xfId="35192"/>
    <cellStyle name="Total 2 2 11 2 4" xfId="35193"/>
    <cellStyle name="Total 2 2 11 3" xfId="35194"/>
    <cellStyle name="Total 2 2 11 3 2" xfId="35195"/>
    <cellStyle name="Total 2 2 11 3 3" xfId="35196"/>
    <cellStyle name="Total 2 2 11 3 4" xfId="35197"/>
    <cellStyle name="Total 2 2 11 4" xfId="35198"/>
    <cellStyle name="Total 2 2 11 4 2" xfId="35199"/>
    <cellStyle name="Total 2 2 11 4 3" xfId="35200"/>
    <cellStyle name="Total 2 2 11 5" xfId="35201"/>
    <cellStyle name="Total 2 2 11 5 2" xfId="35202"/>
    <cellStyle name="Total 2 2 11 5 3" xfId="35203"/>
    <cellStyle name="Total 2 2 11 6" xfId="35204"/>
    <cellStyle name="Total 2 2 11 7" xfId="35205"/>
    <cellStyle name="Total 2 2 11 8" xfId="35206"/>
    <cellStyle name="Total 2 2 12" xfId="35207"/>
    <cellStyle name="Total 2 2 12 2" xfId="35208"/>
    <cellStyle name="Total 2 2 12 2 2" xfId="35209"/>
    <cellStyle name="Total 2 2 12 2 3" xfId="35210"/>
    <cellStyle name="Total 2 2 12 2 4" xfId="35211"/>
    <cellStyle name="Total 2 2 12 3" xfId="35212"/>
    <cellStyle name="Total 2 2 12 3 2" xfId="35213"/>
    <cellStyle name="Total 2 2 12 3 3" xfId="35214"/>
    <cellStyle name="Total 2 9 2 2 2" xfId="35215"/>
    <cellStyle name="Total 2 2 12 3 4" xfId="35216"/>
    <cellStyle name="Total 2 9 2 2 3" xfId="35217"/>
    <cellStyle name="Total 2 2 12 4" xfId="35218"/>
    <cellStyle name="Total 2 2 12 4 2" xfId="35219"/>
    <cellStyle name="Total 2 2 12 4 3" xfId="35220"/>
    <cellStyle name="Total 2 9 2 3 2" xfId="35221"/>
    <cellStyle name="Total 2 2 12 5" xfId="35222"/>
    <cellStyle name="Total 2 2 12 5 2" xfId="35223"/>
    <cellStyle name="Total 2 2 12 5 3" xfId="35224"/>
    <cellStyle name="Total 2 9 2 4 2" xfId="35225"/>
    <cellStyle name="Total 2 2 12 6" xfId="35226"/>
    <cellStyle name="Total 2 2 12 7" xfId="35227"/>
    <cellStyle name="Total 2 2 13" xfId="35228"/>
    <cellStyle name="Total 2 2 13 2" xfId="35229"/>
    <cellStyle name="Total 2 2 13 3" xfId="35230"/>
    <cellStyle name="Total 2 2 13 4" xfId="35231"/>
    <cellStyle name="Total 2 2 13 5" xfId="35232"/>
    <cellStyle name="Total 2 2 14" xfId="35233"/>
    <cellStyle name="Total 2 2 14 2" xfId="35234"/>
    <cellStyle name="Total 2 2 14 3" xfId="35235"/>
    <cellStyle name="Total 2 2 14 4" xfId="35236"/>
    <cellStyle name="Total 2 2 14 5" xfId="35237"/>
    <cellStyle name="Total 2 2 15" xfId="35238"/>
    <cellStyle name="Total 2 2 20" xfId="35239"/>
    <cellStyle name="Total 2 2 15 2" xfId="35240"/>
    <cellStyle name="Total 2 2 15 3" xfId="35241"/>
    <cellStyle name="Total 2 2 15 4" xfId="35242"/>
    <cellStyle name="Total 2 2 16" xfId="35243"/>
    <cellStyle name="Total 2 2 21" xfId="35244"/>
    <cellStyle name="Total 2 2 16 2" xfId="35245"/>
    <cellStyle name="Total 2 2 16 3" xfId="35246"/>
    <cellStyle name="Total 2 2 16 4" xfId="35247"/>
    <cellStyle name="Total 2 2 17" xfId="35248"/>
    <cellStyle name="Total 2 2 22" xfId="35249"/>
    <cellStyle name="Total 2 2 17 2" xfId="35250"/>
    <cellStyle name="Total 2 2 18" xfId="35251"/>
    <cellStyle name="Total 2 2 23" xfId="35252"/>
    <cellStyle name="Total 2 2 18 2" xfId="35253"/>
    <cellStyle name="Total 2 2 19" xfId="35254"/>
    <cellStyle name="Total 2 2 24" xfId="35255"/>
    <cellStyle name="Total 2 2 19 2" xfId="35256"/>
    <cellStyle name="Total 2 2 2" xfId="35257"/>
    <cellStyle name="Total 2 2 2 10 2" xfId="35258"/>
    <cellStyle name="Total 2 2 2 10 2 2" xfId="35259"/>
    <cellStyle name="Total 2 2 2 10 2 3" xfId="35260"/>
    <cellStyle name="Total 2 2 2 10 2 4" xfId="35261"/>
    <cellStyle name="Total 2 2 2 10 3" xfId="35262"/>
    <cellStyle name="Total 2 2 2 10 3 2" xfId="35263"/>
    <cellStyle name="Total 2 2 2 10 3 3" xfId="35264"/>
    <cellStyle name="Total 2 2 2 10 3 4" xfId="35265"/>
    <cellStyle name="Total 2 2 2 10 4" xfId="35266"/>
    <cellStyle name="Total 2 2 2 10 4 2" xfId="35267"/>
    <cellStyle name="Total 2 2 2 10 4 3" xfId="35268"/>
    <cellStyle name="Total 2 2 2 10 5" xfId="35269"/>
    <cellStyle name="Total 2 2 2 10 5 2" xfId="35270"/>
    <cellStyle name="Total 2 2 2 10 5 3" xfId="35271"/>
    <cellStyle name="Total 2 2 2 10 6" xfId="35272"/>
    <cellStyle name="Total 2 2 2 10 7" xfId="35273"/>
    <cellStyle name="Total 2 2 2 11 2" xfId="35274"/>
    <cellStyle name="Total 2 2 2 11 3" xfId="35275"/>
    <cellStyle name="Total 2 2 2 11 4" xfId="35276"/>
    <cellStyle name="Total 2 2 2 12" xfId="35277"/>
    <cellStyle name="Total 2 2 2 12 2" xfId="35278"/>
    <cellStyle name="Total 2 2 2 12 3" xfId="35279"/>
    <cellStyle name="Total 2 2 2 12 4" xfId="35280"/>
    <cellStyle name="Total 2 2 2 13" xfId="35281"/>
    <cellStyle name="Total 2 2 2 13 2" xfId="35282"/>
    <cellStyle name="Total 2 2 2 13 3" xfId="35283"/>
    <cellStyle name="Total 2 2 2 14" xfId="35284"/>
    <cellStyle name="Total 2 2 2 14 2" xfId="35285"/>
    <cellStyle name="Total 2 2 2 14 3" xfId="35286"/>
    <cellStyle name="Total 2 2 2 15" xfId="35287"/>
    <cellStyle name="Total 2 2 2 16" xfId="35288"/>
    <cellStyle name="Total 2 2 2 17" xfId="35289"/>
    <cellStyle name="Total 2 2 2 18" xfId="35290"/>
    <cellStyle name="Total 2 2 2 2" xfId="35291"/>
    <cellStyle name="Total 2 2 2 2 2" xfId="35292"/>
    <cellStyle name="Total 2 2 2 2 2 2" xfId="35293"/>
    <cellStyle name="Total 2 2 2 2 2 3" xfId="35294"/>
    <cellStyle name="Total 2 2 2 2 2 4" xfId="35295"/>
    <cellStyle name="Total 2 2 2 2 3" xfId="35296"/>
    <cellStyle name="Total 2 2 2 2 3 2" xfId="35297"/>
    <cellStyle name="Total 2 2 2 2 3 3" xfId="35298"/>
    <cellStyle name="Total 2 2 2 2 3 4" xfId="35299"/>
    <cellStyle name="Total 2 2 2 2 4 2" xfId="35300"/>
    <cellStyle name="Total 2 2 2 2 4 3" xfId="35301"/>
    <cellStyle name="Total 2 2 2 2 5 2" xfId="35302"/>
    <cellStyle name="Total 2 2 2 2 5 3" xfId="35303"/>
    <cellStyle name="Total 2 2 2 2 7" xfId="35304"/>
    <cellStyle name="Total 2 2 2 2 8" xfId="35305"/>
    <cellStyle name="Total 2 2 2 3 2" xfId="35306"/>
    <cellStyle name="Total 2 2 2 3 2 2" xfId="35307"/>
    <cellStyle name="Total 2 2 2 3 2 3" xfId="35308"/>
    <cellStyle name="Total 2 2 2 3 2 4" xfId="35309"/>
    <cellStyle name="Total 2 2 2 3 3" xfId="35310"/>
    <cellStyle name="Total 2 2 2 3 3 2" xfId="35311"/>
    <cellStyle name="Total 2 2 2 3 3 3" xfId="35312"/>
    <cellStyle name="Total 2 2 2 3 3 4" xfId="35313"/>
    <cellStyle name="Total 2 2 2 3 4 2" xfId="35314"/>
    <cellStyle name="Total 2 2 2 3 4 3" xfId="35315"/>
    <cellStyle name="Total 2 2 2 3 5 2" xfId="35316"/>
    <cellStyle name="Total 2 2 2 3 5 3" xfId="35317"/>
    <cellStyle name="Total 2 2 2 3 6" xfId="35318"/>
    <cellStyle name="Total 2 2 2 3 7" xfId="35319"/>
    <cellStyle name="Total 2 2 2 4 2" xfId="35320"/>
    <cellStyle name="Total 2 2 2 4 2 2" xfId="35321"/>
    <cellStyle name="Total 2 2 2 4 2 3" xfId="35322"/>
    <cellStyle name="Total 2 2 2 4 2 4" xfId="35323"/>
    <cellStyle name="Total 2 2 2 4 3" xfId="35324"/>
    <cellStyle name="Total 2 2 2 4 3 2" xfId="35325"/>
    <cellStyle name="Total 2 2 2 4 3 3" xfId="35326"/>
    <cellStyle name="Total 2 2 2 4 3 4" xfId="35327"/>
    <cellStyle name="Total 2 2 2 4 4 2" xfId="35328"/>
    <cellStyle name="Total 2 2 2 4 4 3" xfId="35329"/>
    <cellStyle name="Total 2 2 2 4 5 2" xfId="35330"/>
    <cellStyle name="Total 2 2 2 4 5 3" xfId="35331"/>
    <cellStyle name="Total 2 2 2 4 6" xfId="35332"/>
    <cellStyle name="Total 2 2 2 4 7" xfId="35333"/>
    <cellStyle name="Total 2 2 2 5 2" xfId="35334"/>
    <cellStyle name="Total 2 2 2 5 2 2" xfId="35335"/>
    <cellStyle name="Total 2 2 2 5 2 3" xfId="35336"/>
    <cellStyle name="Total 2 2 2 5 2 4" xfId="35337"/>
    <cellStyle name="Total 2 2 2 5 3" xfId="35338"/>
    <cellStyle name="Total 2 2 2 5 3 2" xfId="35339"/>
    <cellStyle name="Total 2 2 2 5 3 3" xfId="35340"/>
    <cellStyle name="Total 2 2 2 5 3 4" xfId="35341"/>
    <cellStyle name="Total 2 2 2 5 4" xfId="35342"/>
    <cellStyle name="Total 2 2 2 5 4 2" xfId="35343"/>
    <cellStyle name="Total 2 2 2 5 4 3" xfId="35344"/>
    <cellStyle name="Total 2 2 2 5 5" xfId="35345"/>
    <cellStyle name="Total 2 2 2 5 5 2" xfId="35346"/>
    <cellStyle name="Total 2 2 2 5 5 3" xfId="35347"/>
    <cellStyle name="Total 2 2 2 5 6" xfId="35348"/>
    <cellStyle name="Total 2 2 2 5 7" xfId="35349"/>
    <cellStyle name="Total 2 2 2 6" xfId="35350"/>
    <cellStyle name="Total 2 2 2 6 2" xfId="35351"/>
    <cellStyle name="Total 2 2 2 6 2 2" xfId="35352"/>
    <cellStyle name="Total 2 2 2 6 2 3" xfId="35353"/>
    <cellStyle name="Total 2 2 2 6 2 4" xfId="35354"/>
    <cellStyle name="Total 2 2 2 6 3" xfId="35355"/>
    <cellStyle name="Total 2 2 2 6 3 2" xfId="35356"/>
    <cellStyle name="Total 2 2 2 6 3 3" xfId="35357"/>
    <cellStyle name="Total 2 2 2 6 3 4" xfId="35358"/>
    <cellStyle name="Total 2 2 2 6 4" xfId="35359"/>
    <cellStyle name="Total 2 2 2 6 4 2" xfId="35360"/>
    <cellStyle name="Total 2 2 2 6 4 3" xfId="35361"/>
    <cellStyle name="Total 2 2 2 6 5" xfId="35362"/>
    <cellStyle name="Total 2 2 2 6 5 2" xfId="35363"/>
    <cellStyle name="Total 2 2 2 6 5 3" xfId="35364"/>
    <cellStyle name="Total 2 2 2 6 6" xfId="35365"/>
    <cellStyle name="Total 2 2 2 6 7" xfId="35366"/>
    <cellStyle name="Total 2 2 2 7" xfId="35367"/>
    <cellStyle name="Total 2 2 2 7 2" xfId="35368"/>
    <cellStyle name="Total 2 2 2 7 2 2" xfId="35369"/>
    <cellStyle name="Total 2 2 2 7 2 3" xfId="35370"/>
    <cellStyle name="Total 2 2 2 7 2 4" xfId="35371"/>
    <cellStyle name="Total 2 2 2 7 3" xfId="35372"/>
    <cellStyle name="Total 2 2 2 7 3 2" xfId="35373"/>
    <cellStyle name="Total 2 2 2 7 3 3" xfId="35374"/>
    <cellStyle name="Total 2 2 2 7 3 4" xfId="35375"/>
    <cellStyle name="Total 2 2 2 7 4" xfId="35376"/>
    <cellStyle name="Total 2 2 2 7 4 2" xfId="35377"/>
    <cellStyle name="Total 2 2 2 7 4 3" xfId="35378"/>
    <cellStyle name="Total 2 2 2 7 5" xfId="35379"/>
    <cellStyle name="Total 2 2 2 7 5 2" xfId="35380"/>
    <cellStyle name="Total 2 2 2 7 5 3" xfId="35381"/>
    <cellStyle name="Total 2 2 2 7 6" xfId="35382"/>
    <cellStyle name="Total 2 2 2 7 7" xfId="35383"/>
    <cellStyle name="Total 2 2 2 8" xfId="35384"/>
    <cellStyle name="Total 2 2 2 8 2" xfId="35385"/>
    <cellStyle name="Total 2 2 2 8 2 2" xfId="35386"/>
    <cellStyle name="Total 2 2 2 8 2 3" xfId="35387"/>
    <cellStyle name="Total 2 2 2 8 2 4" xfId="35388"/>
    <cellStyle name="Total 2 2 2 8 3" xfId="35389"/>
    <cellStyle name="Total 2 2 2 8 3 2" xfId="35390"/>
    <cellStyle name="Total 2 2 2 8 3 3" xfId="35391"/>
    <cellStyle name="Total 2 2 2 8 3 4" xfId="35392"/>
    <cellStyle name="Total 2 2 2 8 4" xfId="35393"/>
    <cellStyle name="Total 2 2 2 8 4 2" xfId="35394"/>
    <cellStyle name="Total 2 2 2 8 4 3" xfId="35395"/>
    <cellStyle name="Total 2 2 2 8 5" xfId="35396"/>
    <cellStyle name="Total 2 2 2 8 5 2" xfId="35397"/>
    <cellStyle name="Total 2 2 2 8 5 3" xfId="35398"/>
    <cellStyle name="Total 2 2 2 8 6" xfId="35399"/>
    <cellStyle name="Total 2 2 2 8 7" xfId="35400"/>
    <cellStyle name="Total 2 2 2 9" xfId="35401"/>
    <cellStyle name="Total 2 2 2 9 2" xfId="35402"/>
    <cellStyle name="Total 2 2 2 9 2 2" xfId="35403"/>
    <cellStyle name="Total 2 2 2 9 2 3" xfId="35404"/>
    <cellStyle name="Total 2 2 2 9 2 4" xfId="35405"/>
    <cellStyle name="Total 2 2 2 9 3" xfId="35406"/>
    <cellStyle name="Total 2 2 2 9 3 2" xfId="35407"/>
    <cellStyle name="Total 2 2 2 9 3 3" xfId="35408"/>
    <cellStyle name="Total 2 2 2 9 3 4" xfId="35409"/>
    <cellStyle name="Total 2 2 2 9 4" xfId="35410"/>
    <cellStyle name="Total 2 2 2 9 4 2" xfId="35411"/>
    <cellStyle name="Total 2 2 2 9 4 3" xfId="35412"/>
    <cellStyle name="Total 2 2 2 9 5" xfId="35413"/>
    <cellStyle name="Total 2 2 2 9 5 2" xfId="35414"/>
    <cellStyle name="Total 2 2 2 9 5 3" xfId="35415"/>
    <cellStyle name="Total 2 2 2 9 6" xfId="35416"/>
    <cellStyle name="Total 2 2 2 9 7" xfId="35417"/>
    <cellStyle name="Total 2 2 28" xfId="35418"/>
    <cellStyle name="Total 2 2 29" xfId="35419"/>
    <cellStyle name="Total 2 2 3" xfId="35420"/>
    <cellStyle name="Total 2 2 3 10" xfId="35421"/>
    <cellStyle name="Total 2 2 3 10 2" xfId="35422"/>
    <cellStyle name="Total 2 2 3 10 2 2" xfId="35423"/>
    <cellStyle name="Total 2 2 3 10 2 3" xfId="35424"/>
    <cellStyle name="Total 2 2 3 10 2 4" xfId="35425"/>
    <cellStyle name="Total 2 2 3 10 3" xfId="35426"/>
    <cellStyle name="Total 2 2 3 10 3 2" xfId="35427"/>
    <cellStyle name="Total 2 2 3 10 3 3" xfId="35428"/>
    <cellStyle name="Total 2 2 3 10 4 2" xfId="35429"/>
    <cellStyle name="Total 2 2 3 10 4 3" xfId="35430"/>
    <cellStyle name="Total 2 2 3 10 5 2" xfId="35431"/>
    <cellStyle name="Total 2 2 3 10 5 3" xfId="35432"/>
    <cellStyle name="Total 2 2 3 10 7" xfId="35433"/>
    <cellStyle name="Total 2 2 3 11" xfId="35434"/>
    <cellStyle name="Total 2 2 3 11 2" xfId="35435"/>
    <cellStyle name="Total 2 2 3 11 3" xfId="35436"/>
    <cellStyle name="Total 2 2 3 12" xfId="35437"/>
    <cellStyle name="Total 2 2 3 12 2" xfId="35438"/>
    <cellStyle name="Total 2 2 3 12 3" xfId="35439"/>
    <cellStyle name="Total 2 2 3 13" xfId="35440"/>
    <cellStyle name="Total 2 2 3 13 2" xfId="35441"/>
    <cellStyle name="Total 2 2 3 13 3" xfId="35442"/>
    <cellStyle name="Total 2 2 3 14" xfId="35443"/>
    <cellStyle name="Total 2 2 3 14 2" xfId="35444"/>
    <cellStyle name="Total 2 2 3 14 3" xfId="35445"/>
    <cellStyle name="Total 2 2 3 15" xfId="35446"/>
    <cellStyle name="Total 2 2 3 16" xfId="35447"/>
    <cellStyle name="Total 2 2 3 17" xfId="35448"/>
    <cellStyle name="Total 2 2 3 18" xfId="35449"/>
    <cellStyle name="Total 2 4 3 5 2" xfId="35450"/>
    <cellStyle name="Total 2 2 3 2" xfId="35451"/>
    <cellStyle name="Total 2 2 3 2 2" xfId="35452"/>
    <cellStyle name="Total 2 2 3 2 2 2" xfId="35453"/>
    <cellStyle name="Total 2 2 3 2 2 3" xfId="35454"/>
    <cellStyle name="Total 2 2 3 2 2 4" xfId="35455"/>
    <cellStyle name="Total 2 2 3 2 3" xfId="35456"/>
    <cellStyle name="Total 2 2 3 2 3 2" xfId="35457"/>
    <cellStyle name="Total 2 2 3 2 3 3" xfId="35458"/>
    <cellStyle name="Total 2 2 3 2 3 4" xfId="35459"/>
    <cellStyle name="Total 2 2 3 2 4 2" xfId="35460"/>
    <cellStyle name="Total 2 2 3 2 4 3" xfId="35461"/>
    <cellStyle name="Total 2 2 3 2 5 2" xfId="35462"/>
    <cellStyle name="Total 2 2 3 2 5 3" xfId="35463"/>
    <cellStyle name="Total 2 2 3 2 7" xfId="35464"/>
    <cellStyle name="Total 2 4 3 14 2" xfId="35465"/>
    <cellStyle name="Total 2 2 3 2 8" xfId="35466"/>
    <cellStyle name="Total 2 4 3 14 3" xfId="35467"/>
    <cellStyle name="Total 2 2 3 3 2" xfId="35468"/>
    <cellStyle name="Total 2 2 3 3 2 2" xfId="35469"/>
    <cellStyle name="Total 2 2 3 3 2 3" xfId="35470"/>
    <cellStyle name="Total 2 2 3 3 2 4" xfId="35471"/>
    <cellStyle name="Total 2 2 3 3 3" xfId="35472"/>
    <cellStyle name="Total 2 2 3 3 3 2" xfId="35473"/>
    <cellStyle name="Total 2 2 3 3 3 3" xfId="35474"/>
    <cellStyle name="Total 2 2 3 3 3 4" xfId="35475"/>
    <cellStyle name="Total 2 2 3 3 4 2" xfId="35476"/>
    <cellStyle name="Total 2 2 3 3 4 3" xfId="35477"/>
    <cellStyle name="Total 2 2 3 3 5 2" xfId="35478"/>
    <cellStyle name="Total 2 2 3 3 5 3" xfId="35479"/>
    <cellStyle name="Total 2 2 3 3 6" xfId="35480"/>
    <cellStyle name="Total 2 2 3 3 7" xfId="35481"/>
    <cellStyle name="Total 2 2 3 4 2" xfId="35482"/>
    <cellStyle name="Total 2 2 3 4 2 2" xfId="35483"/>
    <cellStyle name="Total 2 2 3 4 2 3" xfId="35484"/>
    <cellStyle name="Total 2 2 3 4 3" xfId="35485"/>
    <cellStyle name="Total 2 2 3 4 3 2" xfId="35486"/>
    <cellStyle name="Total 2 2 3 4 3 3" xfId="35487"/>
    <cellStyle name="Total 2 2 3 4 4 2" xfId="35488"/>
    <cellStyle name="Total 2 2 3 4 4 3" xfId="35489"/>
    <cellStyle name="Total 2 2 3 4 5 2" xfId="35490"/>
    <cellStyle name="Total 2 2 3 4 5 3" xfId="35491"/>
    <cellStyle name="Total 2 2 3 4 6" xfId="35492"/>
    <cellStyle name="Total 2 2 3 4 7" xfId="35493"/>
    <cellStyle name="Total 2 2 3 5" xfId="35494"/>
    <cellStyle name="Total 2 2 3 5 2" xfId="35495"/>
    <cellStyle name="Total 2 2 3 5 2 2" xfId="35496"/>
    <cellStyle name="Total 2 2 3 5 2 3" xfId="35497"/>
    <cellStyle name="Total 2 2 3 5 2 4" xfId="35498"/>
    <cellStyle name="Total 2 2 3 5 3" xfId="35499"/>
    <cellStyle name="Total 2 2 3 5 3 2" xfId="35500"/>
    <cellStyle name="Total 2 2 3 5 3 3" xfId="35501"/>
    <cellStyle name="Total 2 2 3 5 3 4" xfId="35502"/>
    <cellStyle name="Total 2 2 3 5 4" xfId="35503"/>
    <cellStyle name="Total 2 2 3 5 4 2" xfId="35504"/>
    <cellStyle name="Total 2 2 3 5 4 3" xfId="35505"/>
    <cellStyle name="Total 2 2 3 5 5" xfId="35506"/>
    <cellStyle name="Total 2 2 3 5 5 2" xfId="35507"/>
    <cellStyle name="Total 2 2 3 5 5 3" xfId="35508"/>
    <cellStyle name="Total 2 2 3 5 6" xfId="35509"/>
    <cellStyle name="Total 2 2 3 5 7" xfId="35510"/>
    <cellStyle name="Total 2 2 3 6" xfId="35511"/>
    <cellStyle name="Total 2 2 3 6 2" xfId="35512"/>
    <cellStyle name="Total 2 2 3 6 2 2" xfId="35513"/>
    <cellStyle name="Total 2 2 3 6 2 3" xfId="35514"/>
    <cellStyle name="Total 2 2 3 6 2 4" xfId="35515"/>
    <cellStyle name="Total 2 2 3 6 3" xfId="35516"/>
    <cellStyle name="Total 2 2 3 6 3 2" xfId="35517"/>
    <cellStyle name="Total 2 2 3 6 3 3" xfId="35518"/>
    <cellStyle name="Total 2 2 3 6 3 4" xfId="35519"/>
    <cellStyle name="Total 2 2 3 6 4" xfId="35520"/>
    <cellStyle name="Total 2 2 3 6 4 2" xfId="35521"/>
    <cellStyle name="Total 2 2 3 6 4 3" xfId="35522"/>
    <cellStyle name="Total 2 2 3 6 5" xfId="35523"/>
    <cellStyle name="Total 2 2 3 6 5 2" xfId="35524"/>
    <cellStyle name="Total 2 2 3 6 5 3" xfId="35525"/>
    <cellStyle name="Total 2 2 3 6 6" xfId="35526"/>
    <cellStyle name="Total 2 2 3 6 7" xfId="35527"/>
    <cellStyle name="Total 2 2 3 7" xfId="35528"/>
    <cellStyle name="Total 2 2 3 7 2" xfId="35529"/>
    <cellStyle name="Total 2 2 3 7 2 2" xfId="35530"/>
    <cellStyle name="Total 2 2 3 7 2 3" xfId="35531"/>
    <cellStyle name="Total 2 2 3 7 2 4" xfId="35532"/>
    <cellStyle name="Total 2 2 3 7 3" xfId="35533"/>
    <cellStyle name="Total 2 2 3 7 3 2" xfId="35534"/>
    <cellStyle name="Total 2 2 3 7 3 3" xfId="35535"/>
    <cellStyle name="Total 2 2 3 7 3 4" xfId="35536"/>
    <cellStyle name="Total 2 2 3 7 4" xfId="35537"/>
    <cellStyle name="Total 2 2 3 7 4 2" xfId="35538"/>
    <cellStyle name="Total 2 2 3 7 4 3" xfId="35539"/>
    <cellStyle name="Total 2 2 3 7 5" xfId="35540"/>
    <cellStyle name="Total 2 2 3 7 5 2" xfId="35541"/>
    <cellStyle name="Total 2 2 3 7 5 3" xfId="35542"/>
    <cellStyle name="Total 2 2 3 7 6" xfId="35543"/>
    <cellStyle name="Total 2 2 3 7 7" xfId="35544"/>
    <cellStyle name="Total 2 2 3 8" xfId="35545"/>
    <cellStyle name="Total 2 2 3 8 2" xfId="35546"/>
    <cellStyle name="Total 2 2 3 8 2 2" xfId="35547"/>
    <cellStyle name="Total 2 2 3 8 2 3" xfId="35548"/>
    <cellStyle name="Total 2 2 3 8 2 4" xfId="35549"/>
    <cellStyle name="Total 2 2 3 8 3" xfId="35550"/>
    <cellStyle name="Total 2 2 3 8 3 2" xfId="35551"/>
    <cellStyle name="Total 2 2 3 8 3 3" xfId="35552"/>
    <cellStyle name="Total 2 2 3 8 3 4" xfId="35553"/>
    <cellStyle name="Total 2 2 3 8 4" xfId="35554"/>
    <cellStyle name="Total 2 2 3 8 4 2" xfId="35555"/>
    <cellStyle name="Total 2 2 3 8 4 3" xfId="35556"/>
    <cellStyle name="Total 2 2 3 8 5" xfId="35557"/>
    <cellStyle name="Total 2 2 3 8 5 2" xfId="35558"/>
    <cellStyle name="Total 2 2 3 8 5 3" xfId="35559"/>
    <cellStyle name="Total 2 2 3 8 6" xfId="35560"/>
    <cellStyle name="Total 2 2 3 8 7" xfId="35561"/>
    <cellStyle name="Total 2 2 3 9" xfId="35562"/>
    <cellStyle name="Total 2 2 3 9 2" xfId="35563"/>
    <cellStyle name="Total 2 2 3 9 2 2" xfId="35564"/>
    <cellStyle name="Total 2 2 3 9 2 3" xfId="35565"/>
    <cellStyle name="Total 2 2 3 9 3" xfId="35566"/>
    <cellStyle name="Total 2 2 3 9 3 2" xfId="35567"/>
    <cellStyle name="Total 2 2 3 9 3 3" xfId="35568"/>
    <cellStyle name="Total 2 2 3 9 4" xfId="35569"/>
    <cellStyle name="Total 2 2 3 9 4 2" xfId="35570"/>
    <cellStyle name="Total 2 2 3 9 4 3" xfId="35571"/>
    <cellStyle name="Total 2 2 3 9 5" xfId="35572"/>
    <cellStyle name="Total 2 2 3 9 5 2" xfId="35573"/>
    <cellStyle name="Total 2 2 3 9 5 3" xfId="35574"/>
    <cellStyle name="Total 2 2 3 9 6" xfId="35575"/>
    <cellStyle name="Total 2 2 3 9 7" xfId="35576"/>
    <cellStyle name="Total 2 2 4" xfId="35577"/>
    <cellStyle name="Total 2 2 4 2" xfId="35578"/>
    <cellStyle name="Total 2 2 4 2 2" xfId="35579"/>
    <cellStyle name="Total 2 2 4 2 3" xfId="35580"/>
    <cellStyle name="Total 2 2 4 3 2" xfId="35581"/>
    <cellStyle name="Total 2 2 4 3 3" xfId="35582"/>
    <cellStyle name="Total 2 2 4 4 2" xfId="35583"/>
    <cellStyle name="Total 2 2 4 4 3" xfId="35584"/>
    <cellStyle name="Total 2 2 4 5" xfId="35585"/>
    <cellStyle name="Total 2 2 4 5 2" xfId="35586"/>
    <cellStyle name="Total 2 2 4 5 3" xfId="35587"/>
    <cellStyle name="Total 2 2 4 6" xfId="35588"/>
    <cellStyle name="Total 2 2 4 7" xfId="35589"/>
    <cellStyle name="Total 2 2 4 8" xfId="35590"/>
    <cellStyle name="Total 2 2 5" xfId="35591"/>
    <cellStyle name="Total 2 2 5 2" xfId="35592"/>
    <cellStyle name="Total 2 2 5 2 2" xfId="35593"/>
    <cellStyle name="Total 2 2 5 2 3" xfId="35594"/>
    <cellStyle name="Total 2 2 5 3" xfId="35595"/>
    <cellStyle name="Total 2 2 5 3 2" xfId="35596"/>
    <cellStyle name="Total 2 2 5 3 3" xfId="35597"/>
    <cellStyle name="Total 2 2 5 4" xfId="35598"/>
    <cellStyle name="Total 2 2 5 4 2" xfId="35599"/>
    <cellStyle name="Total 2 2 5 4 3" xfId="35600"/>
    <cellStyle name="Total 2 2 5 5" xfId="35601"/>
    <cellStyle name="Total 2 2 5 5 2" xfId="35602"/>
    <cellStyle name="Total 2 2 5 5 3" xfId="35603"/>
    <cellStyle name="Total 2 2 5 6" xfId="35604"/>
    <cellStyle name="Total 2 2 5 7" xfId="35605"/>
    <cellStyle name="Total 2 2 5 8" xfId="35606"/>
    <cellStyle name="Total 2 2 6" xfId="35607"/>
    <cellStyle name="Total 2 2 6 2" xfId="35608"/>
    <cellStyle name="Total 2 2 6 2 2" xfId="35609"/>
    <cellStyle name="Total 2 2 6 2 3" xfId="35610"/>
    <cellStyle name="Total 2 2 6 3" xfId="35611"/>
    <cellStyle name="Total 2 2 6 3 2" xfId="35612"/>
    <cellStyle name="Total 2 2 6 3 3" xfId="35613"/>
    <cellStyle name="Total 2 2 6 4" xfId="35614"/>
    <cellStyle name="Total 2 2 6 4 2" xfId="35615"/>
    <cellStyle name="Total 2 2 6 4 3" xfId="35616"/>
    <cellStyle name="Total 2 2 6 5" xfId="35617"/>
    <cellStyle name="Total 2 2 6 5 2" xfId="35618"/>
    <cellStyle name="Total 2 2 6 5 3" xfId="35619"/>
    <cellStyle name="Total 2 2 6 6" xfId="35620"/>
    <cellStyle name="Total 2 2 6 7" xfId="35621"/>
    <cellStyle name="Total 2 2 6 8" xfId="35622"/>
    <cellStyle name="Total 2 2 7" xfId="35623"/>
    <cellStyle name="Total 2 2 7 2" xfId="35624"/>
    <cellStyle name="Total 2 2 7 2 2" xfId="35625"/>
    <cellStyle name="Total 2 2 7 2 3" xfId="35626"/>
    <cellStyle name="Total 2 2 7 2 4" xfId="35627"/>
    <cellStyle name="Total 2 2 7 3" xfId="35628"/>
    <cellStyle name="Total 2 2 7 3 2" xfId="35629"/>
    <cellStyle name="Total 2 2 7 3 3" xfId="35630"/>
    <cellStyle name="Total 2 2 7 3 4" xfId="35631"/>
    <cellStyle name="Total 2 2 7 4" xfId="35632"/>
    <cellStyle name="Total 2 2 7 4 2" xfId="35633"/>
    <cellStyle name="Total 2 2 7 4 3" xfId="35634"/>
    <cellStyle name="Total 2 2 7 5" xfId="35635"/>
    <cellStyle name="Total 2 2 7 5 2" xfId="35636"/>
    <cellStyle name="Total 2 2 7 5 3" xfId="35637"/>
    <cellStyle name="Total 2 2 7 6" xfId="35638"/>
    <cellStyle name="Total 2 2 7 7" xfId="35639"/>
    <cellStyle name="Total 2 2 7 8" xfId="35640"/>
    <cellStyle name="Total 2 2 8" xfId="35641"/>
    <cellStyle name="Total 2 2 8 2" xfId="35642"/>
    <cellStyle name="Total 2 2 8 2 2" xfId="35643"/>
    <cellStyle name="Total 2 2 8 2 3" xfId="35644"/>
    <cellStyle name="Total 2 2 8 2 4" xfId="35645"/>
    <cellStyle name="Total 2 2 8 3" xfId="35646"/>
    <cellStyle name="Total 2 2 8 3 2" xfId="35647"/>
    <cellStyle name="Total 2 2 8 3 3" xfId="35648"/>
    <cellStyle name="Total 2 2 8 3 4" xfId="35649"/>
    <cellStyle name="Total 2 2 8 4" xfId="35650"/>
    <cellStyle name="Total 2 2 8 4 2" xfId="35651"/>
    <cellStyle name="Total 2 2 8 4 3" xfId="35652"/>
    <cellStyle name="Total 2 2 8 5" xfId="35653"/>
    <cellStyle name="Total 2 2 8 5 2" xfId="35654"/>
    <cellStyle name="Total 2 2 8 5 3" xfId="35655"/>
    <cellStyle name="Total 2 2 8 6" xfId="35656"/>
    <cellStyle name="Total 2 2 8 7" xfId="35657"/>
    <cellStyle name="Total 2 2 8 8" xfId="35658"/>
    <cellStyle name="Total 2 2 9" xfId="35659"/>
    <cellStyle name="Total 2 2 9 2 2" xfId="35660"/>
    <cellStyle name="Total 2 2 9 2 3" xfId="35661"/>
    <cellStyle name="Total 2 2 9 2 4" xfId="35662"/>
    <cellStyle name="Total 2 2 9 3" xfId="35663"/>
    <cellStyle name="Total 2 2 9 3 2" xfId="35664"/>
    <cellStyle name="Total 2 2 9 3 3" xfId="35665"/>
    <cellStyle name="Total 2 2 9 3 4" xfId="35666"/>
    <cellStyle name="Total 2 2 9 4" xfId="35667"/>
    <cellStyle name="Total 2 2 9 4 2" xfId="35668"/>
    <cellStyle name="Total 2 2 9 4 3" xfId="35669"/>
    <cellStyle name="Total 2 2 9 5" xfId="35670"/>
    <cellStyle name="Total 2 2 9 5 2" xfId="35671"/>
    <cellStyle name="Total 2 2 9 5 3" xfId="35672"/>
    <cellStyle name="Total 2 2 9 6" xfId="35673"/>
    <cellStyle name="Total 2 2 9 7" xfId="35674"/>
    <cellStyle name="Total 2 2 9 8" xfId="35675"/>
    <cellStyle name="Total 2 25 2 2" xfId="35676"/>
    <cellStyle name="Total 2 25 2 3" xfId="35677"/>
    <cellStyle name="Total 2 25 2 4" xfId="35678"/>
    <cellStyle name="Total 2 25 3 2" xfId="35679"/>
    <cellStyle name="Total 2 25 3 3" xfId="35680"/>
    <cellStyle name="Total 2 25 3 4" xfId="35681"/>
    <cellStyle name="Total 2 25 4 2" xfId="35682"/>
    <cellStyle name="Total 2 25 4 3" xfId="35683"/>
    <cellStyle name="Total 2 25 5" xfId="35684"/>
    <cellStyle name="Total 2 25 5 2" xfId="35685"/>
    <cellStyle name="Total 2 25 5 3" xfId="35686"/>
    <cellStyle name="Total 2 25 6" xfId="35687"/>
    <cellStyle name="Total 2 25 7" xfId="35688"/>
    <cellStyle name="Total 2 25 8" xfId="35689"/>
    <cellStyle name="Total 2 27 4" xfId="35690"/>
    <cellStyle name="Total 2 27 5" xfId="35691"/>
    <cellStyle name="Total 2 28 4" xfId="35692"/>
    <cellStyle name="Total 2 29 3" xfId="35693"/>
    <cellStyle name="Total 2 29 4" xfId="35694"/>
    <cellStyle name="Total 2 3 10" xfId="35695"/>
    <cellStyle name="Total 2 3 10 2" xfId="35696"/>
    <cellStyle name="Total 2 3 10 2 2" xfId="35697"/>
    <cellStyle name="Total 2 3 10 2 3" xfId="35698"/>
    <cellStyle name="Total 2 3 10 2 4" xfId="35699"/>
    <cellStyle name="Total 2 3 10 3" xfId="35700"/>
    <cellStyle name="Total 2 3 10 3 2" xfId="35701"/>
    <cellStyle name="Total 2 3 10 3 3" xfId="35702"/>
    <cellStyle name="Total 2 3 10 3 4" xfId="35703"/>
    <cellStyle name="Total 2 3 10 4" xfId="35704"/>
    <cellStyle name="Total 2 3 10 4 2" xfId="35705"/>
    <cellStyle name="Total 2 3 10 4 3" xfId="35706"/>
    <cellStyle name="Total 2 3 10 5" xfId="35707"/>
    <cellStyle name="Total 2 3 10 5 2" xfId="35708"/>
    <cellStyle name="Total 2 3 10 5 3" xfId="35709"/>
    <cellStyle name="Total 2 3 10 6" xfId="35710"/>
    <cellStyle name="Total 2 3 10 7" xfId="35711"/>
    <cellStyle name="Total 2 3 11" xfId="35712"/>
    <cellStyle name="Total 2 3 11 2" xfId="35713"/>
    <cellStyle name="Total 2 3 11 2 2" xfId="35714"/>
    <cellStyle name="Total 2 3 11 2 3" xfId="35715"/>
    <cellStyle name="Total 2 3 11 2 4" xfId="35716"/>
    <cellStyle name="Total 2 3 11 3" xfId="35717"/>
    <cellStyle name="Total 2 3 11 3 2" xfId="35718"/>
    <cellStyle name="Total 2 3 11 3 3" xfId="35719"/>
    <cellStyle name="Total 2 3 11 3 4" xfId="35720"/>
    <cellStyle name="Total 2 3 11 4" xfId="35721"/>
    <cellStyle name="Total 2 3 11 4 2" xfId="35722"/>
    <cellStyle name="Total 2 3 11 4 3" xfId="35723"/>
    <cellStyle name="Total 2 3 11 5" xfId="35724"/>
    <cellStyle name="Total 2 3 11 5 2" xfId="35725"/>
    <cellStyle name="Total 2 3 11 5 3" xfId="35726"/>
    <cellStyle name="Total 2 3 11 6" xfId="35727"/>
    <cellStyle name="Total 2 3 11 7" xfId="35728"/>
    <cellStyle name="Total 2 3 12" xfId="35729"/>
    <cellStyle name="Total 2 3 12 2" xfId="35730"/>
    <cellStyle name="Total 2 3 12 2 2" xfId="35731"/>
    <cellStyle name="Total 2 3 12 2 3" xfId="35732"/>
    <cellStyle name="Total 2 3 12 2 4" xfId="35733"/>
    <cellStyle name="Total 2 3 12 3" xfId="35734"/>
    <cellStyle name="Total 2 3 12 3 2" xfId="35735"/>
    <cellStyle name="Total 2 3 12 3 3" xfId="35736"/>
    <cellStyle name="Total 2 3 12 3 4" xfId="35737"/>
    <cellStyle name="Total 2 3 12 4" xfId="35738"/>
    <cellStyle name="Total 2 3 12 4 2" xfId="35739"/>
    <cellStyle name="Total 2 3 12 4 3" xfId="35740"/>
    <cellStyle name="Total 2 3 12 5" xfId="35741"/>
    <cellStyle name="Total 2 3 12 5 2" xfId="35742"/>
    <cellStyle name="Total 2 3 12 5 3" xfId="35743"/>
    <cellStyle name="Total 2 3 12 6" xfId="35744"/>
    <cellStyle name="Total 2 3 12 7" xfId="35745"/>
    <cellStyle name="Total 2 3 13" xfId="35746"/>
    <cellStyle name="Total 2 3 13 2" xfId="35747"/>
    <cellStyle name="Total 2 3 13 4" xfId="35748"/>
    <cellStyle name="Total 2 3 14" xfId="35749"/>
    <cellStyle name="Total 2 3 14 2" xfId="35750"/>
    <cellStyle name="Total 2 3 14 3" xfId="35751"/>
    <cellStyle name="Total 2 3 14 4" xfId="35752"/>
    <cellStyle name="Total 2 3 15" xfId="35753"/>
    <cellStyle name="Total 2 3 20" xfId="35754"/>
    <cellStyle name="Total 2 3 15 2" xfId="35755"/>
    <cellStyle name="Total 2 3 15 3" xfId="35756"/>
    <cellStyle name="Total 2 3 16" xfId="35757"/>
    <cellStyle name="Total 2 3 16 2" xfId="35758"/>
    <cellStyle name="Total 2 3 16 3" xfId="35759"/>
    <cellStyle name="Total 2 3 17" xfId="35760"/>
    <cellStyle name="Total 2 3 18" xfId="35761"/>
    <cellStyle name="Total 2 3 19" xfId="35762"/>
    <cellStyle name="Total 2 3 2" xfId="35763"/>
    <cellStyle name="Total 2 3 2 10 2 2" xfId="35764"/>
    <cellStyle name="Total 2 3 2 10 2 3" xfId="35765"/>
    <cellStyle name="Total 2 3 2 10 2 4" xfId="35766"/>
    <cellStyle name="Total 2 3 2 10 3 2" xfId="35767"/>
    <cellStyle name="Total 2 3 2 10 3 3" xfId="35768"/>
    <cellStyle name="Total 2 3 2 10 3 4" xfId="35769"/>
    <cellStyle name="Total 2 3 2 10 5" xfId="35770"/>
    <cellStyle name="Total 2 3 2 10 5 2" xfId="35771"/>
    <cellStyle name="Total 2 3 2 10 5 3" xfId="35772"/>
    <cellStyle name="Total 2 3 2 10 6" xfId="35773"/>
    <cellStyle name="Total 2 3 2 10 7" xfId="35774"/>
    <cellStyle name="Total 2 3 2 12 4" xfId="35775"/>
    <cellStyle name="Total 2 3 2 14 2" xfId="35776"/>
    <cellStyle name="Total 2 3 2 14 3" xfId="35777"/>
    <cellStyle name="Total 2 3 2 2" xfId="35778"/>
    <cellStyle name="Total 2 3 2 2 2" xfId="35779"/>
    <cellStyle name="Total 2 3 2 2 2 2" xfId="35780"/>
    <cellStyle name="Total 2 3 2 2 2 3" xfId="35781"/>
    <cellStyle name="Total 2 3 2 2 2 4" xfId="35782"/>
    <cellStyle name="Total 2 3 2 2 3" xfId="35783"/>
    <cellStyle name="Total 2 3 2 2 3 2" xfId="35784"/>
    <cellStyle name="Total 2 3 2 2 3 3" xfId="35785"/>
    <cellStyle name="Total 2 3 2 2 3 4" xfId="35786"/>
    <cellStyle name="Total 2 3 2 2 4" xfId="35787"/>
    <cellStyle name="Total 2 3 2 2 4 2" xfId="35788"/>
    <cellStyle name="Total 2 3 2 2 4 3" xfId="35789"/>
    <cellStyle name="Total 2 3 2 2 5" xfId="35790"/>
    <cellStyle name="Total 2 3 2 2 5 2" xfId="35791"/>
    <cellStyle name="Total 2 3 2 2 5 3" xfId="35792"/>
    <cellStyle name="Total 2 3 2 2 6" xfId="35793"/>
    <cellStyle name="Total 2 3 2 2 7" xfId="35794"/>
    <cellStyle name="Total 2 3 2 3 2" xfId="35795"/>
    <cellStyle name="Total 2 3 2 3 2 2" xfId="35796"/>
    <cellStyle name="Total 2 3 2 3 2 3" xfId="35797"/>
    <cellStyle name="Total 2 3 2 3 2 4" xfId="35798"/>
    <cellStyle name="Total 2 3 2 3 3" xfId="35799"/>
    <cellStyle name="Total 2 3 2 3 3 2" xfId="35800"/>
    <cellStyle name="Total 2 3 2 3 3 3" xfId="35801"/>
    <cellStyle name="Total 2 3 2 3 3 4" xfId="35802"/>
    <cellStyle name="Total 2 3 2 3 4" xfId="35803"/>
    <cellStyle name="Total 2 3 2 3 4 2" xfId="35804"/>
    <cellStyle name="Total 2 3 2 3 4 3" xfId="35805"/>
    <cellStyle name="Total 2 3 2 3 5" xfId="35806"/>
    <cellStyle name="Total 2 3 2 3 5 2" xfId="35807"/>
    <cellStyle name="Total 2 3 2 3 5 3" xfId="35808"/>
    <cellStyle name="Total 2 3 2 3 6" xfId="35809"/>
    <cellStyle name="Total 2 3 2 3 7" xfId="35810"/>
    <cellStyle name="Total 2 3 2 4 2" xfId="35811"/>
    <cellStyle name="Total 2 3 2 4 2 2" xfId="35812"/>
    <cellStyle name="Total 2 3 2 4 2 3" xfId="35813"/>
    <cellStyle name="Total 2 3 2 4 2 4" xfId="35814"/>
    <cellStyle name="Total 2 3 2 4 3" xfId="35815"/>
    <cellStyle name="Total 2 3 2 4 3 2" xfId="35816"/>
    <cellStyle name="Total 2 3 2 4 3 3" xfId="35817"/>
    <cellStyle name="Total 2 3 2 4 3 4" xfId="35818"/>
    <cellStyle name="Total 2 3 2 4 4" xfId="35819"/>
    <cellStyle name="Total 2 3 2 4 4 2" xfId="35820"/>
    <cellStyle name="Total 2 3 2 4 4 3" xfId="35821"/>
    <cellStyle name="Total 2 3 2 4 5" xfId="35822"/>
    <cellStyle name="Total 2 3 2 4 5 2" xfId="35823"/>
    <cellStyle name="Total 2 3 2 4 5 3" xfId="35824"/>
    <cellStyle name="Total 2 3 2 4 6" xfId="35825"/>
    <cellStyle name="Total 2 3 2 5 2" xfId="35826"/>
    <cellStyle name="Total 2 3 2 5 2 2" xfId="35827"/>
    <cellStyle name="Total 2 3 2 5 2 3" xfId="35828"/>
    <cellStyle name="Total 2 3 2 5 2 4" xfId="35829"/>
    <cellStyle name="Total 2 3 2 5 3" xfId="35830"/>
    <cellStyle name="Total 2 3 2 5 3 2" xfId="35831"/>
    <cellStyle name="Total 2 3 2 5 3 3" xfId="35832"/>
    <cellStyle name="Total 2 3 2 5 3 4" xfId="35833"/>
    <cellStyle name="Total 2 3 2 5 4" xfId="35834"/>
    <cellStyle name="Total 2 3 2 5 4 2" xfId="35835"/>
    <cellStyle name="Total 2 3 2 5 4 3" xfId="35836"/>
    <cellStyle name="Total 2 3 2 5 5" xfId="35837"/>
    <cellStyle name="Total 2 3 2 5 5 2" xfId="35838"/>
    <cellStyle name="Total 2 3 2 5 5 3" xfId="35839"/>
    <cellStyle name="Total 2 3 2 5 6" xfId="35840"/>
    <cellStyle name="Total 2 3 2 5 7" xfId="35841"/>
    <cellStyle name="Total 2 3 2 6" xfId="35842"/>
    <cellStyle name="Total 2 3 2 6 2" xfId="35843"/>
    <cellStyle name="Total 2 3 2 6 2 2" xfId="35844"/>
    <cellStyle name="Total 2 3 2 6 2 3" xfId="35845"/>
    <cellStyle name="Total 2 3 2 6 2 4" xfId="35846"/>
    <cellStyle name="Total 2 3 2 6 3" xfId="35847"/>
    <cellStyle name="Total 2 3 2 6 3 2" xfId="35848"/>
    <cellStyle name="Total 2 3 2 6 3 3" xfId="35849"/>
    <cellStyle name="Total 2 3 2 6 3 4" xfId="35850"/>
    <cellStyle name="Total 2 3 2 6 4" xfId="35851"/>
    <cellStyle name="Total 2 3 2 6 4 2" xfId="35852"/>
    <cellStyle name="Total 2 3 2 6 4 3" xfId="35853"/>
    <cellStyle name="Total 2 3 2 6 5" xfId="35854"/>
    <cellStyle name="Total 2 3 2 6 5 2" xfId="35855"/>
    <cellStyle name="Total 2 3 2 6 5 3" xfId="35856"/>
    <cellStyle name="Total 2 3 2 6 6" xfId="35857"/>
    <cellStyle name="Total 2 3 2 6 7" xfId="35858"/>
    <cellStyle name="Total 2 3 2 7" xfId="35859"/>
    <cellStyle name="Total 2 3 2 7 2" xfId="35860"/>
    <cellStyle name="Total 2 3 2 7 2 2" xfId="35861"/>
    <cellStyle name="Total 2 3 2 7 2 3" xfId="35862"/>
    <cellStyle name="Total 2 3 2 7 2 4" xfId="35863"/>
    <cellStyle name="Total 2 3 2 7 3" xfId="35864"/>
    <cellStyle name="Total 2 3 2 7 3 2" xfId="35865"/>
    <cellStyle name="Total 2 3 2 7 3 3" xfId="35866"/>
    <cellStyle name="Total 2 3 2 7 3 4" xfId="35867"/>
    <cellStyle name="Total 2 3 2 7 4" xfId="35868"/>
    <cellStyle name="Total 2 3 2 7 4 2" xfId="35869"/>
    <cellStyle name="Total 2 3 2 7 4 3" xfId="35870"/>
    <cellStyle name="Total 2 3 2 7 5" xfId="35871"/>
    <cellStyle name="Total 2 3 2 7 5 2" xfId="35872"/>
    <cellStyle name="Total 2 3 2 7 5 3" xfId="35873"/>
    <cellStyle name="Total 2 3 2 7 6" xfId="35874"/>
    <cellStyle name="Total 2 3 2 7 7" xfId="35875"/>
    <cellStyle name="Total 2 3 2 8" xfId="35876"/>
    <cellStyle name="Total 2 3 2 8 2" xfId="35877"/>
    <cellStyle name="Total 2 3 2 8 2 2" xfId="35878"/>
    <cellStyle name="Total 2 3 2 8 2 3" xfId="35879"/>
    <cellStyle name="Total 2 3 2 8 2 4" xfId="35880"/>
    <cellStyle name="Total 2 3 2 8 3" xfId="35881"/>
    <cellStyle name="Total 2 3 2 8 3 2" xfId="35882"/>
    <cellStyle name="Total 2 3 2 8 3 3" xfId="35883"/>
    <cellStyle name="Total 2 3 2 8 3 4" xfId="35884"/>
    <cellStyle name="Total 2 3 2 8 4" xfId="35885"/>
    <cellStyle name="Total 2 3 2 8 4 2" xfId="35886"/>
    <cellStyle name="Total 2 3 2 8 4 3" xfId="35887"/>
    <cellStyle name="Total 2 3 2 8 5" xfId="35888"/>
    <cellStyle name="Total 2 3 2 8 5 2" xfId="35889"/>
    <cellStyle name="Total 2 3 2 8 5 3" xfId="35890"/>
    <cellStyle name="Total 2 3 2 8 6" xfId="35891"/>
    <cellStyle name="Total 2 3 2 8 7" xfId="35892"/>
    <cellStyle name="Total 2 3 2 9" xfId="35893"/>
    <cellStyle name="Total 2 3 2 9 2" xfId="35894"/>
    <cellStyle name="Total 2 3 2 9 2 2" xfId="35895"/>
    <cellStyle name="Total 2 3 2 9 2 3" xfId="35896"/>
    <cellStyle name="Total 2 3 2 9 2 4" xfId="35897"/>
    <cellStyle name="Total 2 3 2 9 3" xfId="35898"/>
    <cellStyle name="Total 2 3 2 9 3 2" xfId="35899"/>
    <cellStyle name="Total 2 3 2 9 3 3" xfId="35900"/>
    <cellStyle name="Total 2 3 2 9 3 4" xfId="35901"/>
    <cellStyle name="Total 2 3 2 9 4" xfId="35902"/>
    <cellStyle name="Total 2 3 2 9 4 2" xfId="35903"/>
    <cellStyle name="Total 2 3 2 9 4 3" xfId="35904"/>
    <cellStyle name="Total 2 3 2 9 5" xfId="35905"/>
    <cellStyle name="Total 2 3 2 9 5 2" xfId="35906"/>
    <cellStyle name="Total 2 3 2 9 5 3" xfId="35907"/>
    <cellStyle name="Total 2 3 2 9 6" xfId="35908"/>
    <cellStyle name="Total 2 3 2 9 7" xfId="35909"/>
    <cellStyle name="Total 2 3 3" xfId="35910"/>
    <cellStyle name="Total 2 3 3 10" xfId="35911"/>
    <cellStyle name="Total 2 3 3 10 2" xfId="35912"/>
    <cellStyle name="Total 2 3 3 10 2 2" xfId="35913"/>
    <cellStyle name="Total 2 3 3 10 2 3" xfId="35914"/>
    <cellStyle name="Total 2 3 3 10 2 4" xfId="35915"/>
    <cellStyle name="Total 2 3 3 10 3" xfId="35916"/>
    <cellStyle name="Total 2 3 3 10 3 2" xfId="35917"/>
    <cellStyle name="Total 2 3 3 10 3 3" xfId="35918"/>
    <cellStyle name="Total 2 3 3 10 3 4" xfId="35919"/>
    <cellStyle name="Total 2 3 3 10 4" xfId="35920"/>
    <cellStyle name="Total 2 3 3 10 4 2" xfId="35921"/>
    <cellStyle name="Total 2 3 3 10 4 3" xfId="35922"/>
    <cellStyle name="Total 2 3 3 10 5" xfId="35923"/>
    <cellStyle name="Total 2 3 3 10 5 2" xfId="35924"/>
    <cellStyle name="Total 2 3 3 10 5 3" xfId="35925"/>
    <cellStyle name="Total 2 3 3 10 6" xfId="35926"/>
    <cellStyle name="Total 2 3 3 10 7" xfId="35927"/>
    <cellStyle name="Total 2 3 3 11" xfId="35928"/>
    <cellStyle name="Total 2 3 3 11 2" xfId="35929"/>
    <cellStyle name="Total 2 3 3 11 3" xfId="35930"/>
    <cellStyle name="Total 2 3 3 11 4" xfId="35931"/>
    <cellStyle name="Total 2 3 3 12 2" xfId="35932"/>
    <cellStyle name="Total 2 3 3 12 3" xfId="35933"/>
    <cellStyle name="Total 2 3 3 12 4" xfId="35934"/>
    <cellStyle name="Total 2 3 3 13 2" xfId="35935"/>
    <cellStyle name="Total 2 3 3 13 3" xfId="35936"/>
    <cellStyle name="Total 2 3 3 14" xfId="35937"/>
    <cellStyle name="Total 2 3 3 14 2" xfId="35938"/>
    <cellStyle name="Total 2 3 3 14 3" xfId="35939"/>
    <cellStyle name="Total 2 3 3 15" xfId="35940"/>
    <cellStyle name="Total 2 3 3 16" xfId="35941"/>
    <cellStyle name="Total 2 3 3 2" xfId="35942"/>
    <cellStyle name="Total 2 3 3 2 2" xfId="35943"/>
    <cellStyle name="Total 2 3 3 2 2 2" xfId="35944"/>
    <cellStyle name="Total 2 3 3 2 2 3" xfId="35945"/>
    <cellStyle name="Total 2 3 3 2 2 4" xfId="35946"/>
    <cellStyle name="Total 2 3 3 2 3" xfId="35947"/>
    <cellStyle name="Total 2 3 3 2 3 2" xfId="35948"/>
    <cellStyle name="Total 2 3 3 2 3 3" xfId="35949"/>
    <cellStyle name="Total 2 3 3 2 3 4" xfId="35950"/>
    <cellStyle name="Total 2 3 3 2 4" xfId="35951"/>
    <cellStyle name="Total 2 3 3 2 4 2" xfId="35952"/>
    <cellStyle name="Total 2 3 3 2 4 3" xfId="35953"/>
    <cellStyle name="Total 2 3 3 2 5" xfId="35954"/>
    <cellStyle name="Total 2 3 3 2 5 2" xfId="35955"/>
    <cellStyle name="Total 2 3 3 2 5 3" xfId="35956"/>
    <cellStyle name="Total 2 3 3 2 6" xfId="35957"/>
    <cellStyle name="Total 2 3 3 2 7" xfId="35958"/>
    <cellStyle name="Total 2 3 3 3 2" xfId="35959"/>
    <cellStyle name="Total 2 3 3 3 2 2" xfId="35960"/>
    <cellStyle name="Total 2 3 3 3 2 3" xfId="35961"/>
    <cellStyle name="Total 2 3 3 3 2 4" xfId="35962"/>
    <cellStyle name="Total 2 3 3 3 3" xfId="35963"/>
    <cellStyle name="Total 2 3 3 3 3 2" xfId="35964"/>
    <cellStyle name="Total 2 3 3 3 3 3" xfId="35965"/>
    <cellStyle name="Total 2 3 3 3 4" xfId="35966"/>
    <cellStyle name="Total 2 3 3 3 4 2" xfId="35967"/>
    <cellStyle name="Total 2 3 3 3 4 3" xfId="35968"/>
    <cellStyle name="Total 2 3 3 3 5" xfId="35969"/>
    <cellStyle name="Total 2 3 3 3 5 2" xfId="35970"/>
    <cellStyle name="Total 2 3 3 3 5 3" xfId="35971"/>
    <cellStyle name="Total 2 3 3 3 6" xfId="35972"/>
    <cellStyle name="Total 2 3 3 3 7" xfId="35973"/>
    <cellStyle name="Total 2 3 3 4 2" xfId="35974"/>
    <cellStyle name="Total 2 3 3 4 2 2" xfId="35975"/>
    <cellStyle name="Total 2 3 3 4 2 3" xfId="35976"/>
    <cellStyle name="Total 2 3 3 4 2 4" xfId="35977"/>
    <cellStyle name="Total 2 3 3 4 3" xfId="35978"/>
    <cellStyle name="Total 2 3 3 4 3 2" xfId="35979"/>
    <cellStyle name="Total 2 3 3 4 3 3" xfId="35980"/>
    <cellStyle name="Total 2 3 3 4 3 4" xfId="35981"/>
    <cellStyle name="Total 2 3 3 4 4" xfId="35982"/>
    <cellStyle name="Total 2 3 3 4 4 2" xfId="35983"/>
    <cellStyle name="Total 2 3 3 4 4 3" xfId="35984"/>
    <cellStyle name="Total 2 3 3 4 5" xfId="35985"/>
    <cellStyle name="Total 2 3 3 4 5 2" xfId="35986"/>
    <cellStyle name="Total 2 3 3 4 5 3" xfId="35987"/>
    <cellStyle name="Total 2 3 3 4 6" xfId="35988"/>
    <cellStyle name="Total 2 3 3 4 7" xfId="35989"/>
    <cellStyle name="Total 2 3 3 5" xfId="35990"/>
    <cellStyle name="Total 2 3 3 5 2" xfId="35991"/>
    <cellStyle name="Total 2 3 3 5 2 2" xfId="35992"/>
    <cellStyle name="Total 2 3 3 5 2 3" xfId="35993"/>
    <cellStyle name="Total 2 3 3 5 2 4" xfId="35994"/>
    <cellStyle name="Total 2 3 3 5 3" xfId="35995"/>
    <cellStyle name="Total 2 3 3 5 3 2" xfId="35996"/>
    <cellStyle name="Total 2 3 3 5 3 3" xfId="35997"/>
    <cellStyle name="Total 2 3 3 5 3 4" xfId="35998"/>
    <cellStyle name="Total 2 3 3 5 4" xfId="35999"/>
    <cellStyle name="Total 2 3 3 5 4 2" xfId="36000"/>
    <cellStyle name="Total 2 3 3 5 4 3" xfId="36001"/>
    <cellStyle name="Total 2 3 3 5 5" xfId="36002"/>
    <cellStyle name="Total 2 3 3 5 5 2" xfId="36003"/>
    <cellStyle name="Total 2 3 3 5 5 3" xfId="36004"/>
    <cellStyle name="Total 2 3 3 5 6" xfId="36005"/>
    <cellStyle name="Total 2 3 3 5 7" xfId="36006"/>
    <cellStyle name="Total 2 3 3 6" xfId="36007"/>
    <cellStyle name="Total 2 3 3 6 2" xfId="36008"/>
    <cellStyle name="Total 2 3 3 6 2 2" xfId="36009"/>
    <cellStyle name="Total 2 3 3 6 2 3" xfId="36010"/>
    <cellStyle name="Total 2 3 3 6 2 4" xfId="36011"/>
    <cellStyle name="Total 2 3 3 6 3" xfId="36012"/>
    <cellStyle name="Total 2 3 3 6 3 2" xfId="36013"/>
    <cellStyle name="Total 2 3 3 6 3 3" xfId="36014"/>
    <cellStyle name="Total 2 3 3 6 3 4" xfId="36015"/>
    <cellStyle name="Total 2 3 3 6 4" xfId="36016"/>
    <cellStyle name="Total 2 3 3 6 4 2" xfId="36017"/>
    <cellStyle name="Total 2 3 3 6 4 3" xfId="36018"/>
    <cellStyle name="Total 2 3 3 6 5" xfId="36019"/>
    <cellStyle name="Total 2 3 3 6 5 2" xfId="36020"/>
    <cellStyle name="Total 2 3 3 6 5 3" xfId="36021"/>
    <cellStyle name="Total 2 3 3 6 6" xfId="36022"/>
    <cellStyle name="Total 2 3 3 6 7" xfId="36023"/>
    <cellStyle name="Total 2 3 3 7" xfId="36024"/>
    <cellStyle name="Total 2 3 3 7 2" xfId="36025"/>
    <cellStyle name="Total 2 3 3 7 2 2" xfId="36026"/>
    <cellStyle name="Total 2 3 3 7 2 3" xfId="36027"/>
    <cellStyle name="Total 2 3 3 7 2 4" xfId="36028"/>
    <cellStyle name="Total 2 3 3 7 3" xfId="36029"/>
    <cellStyle name="Total 2 3 3 7 3 2" xfId="36030"/>
    <cellStyle name="Total 2 3 3 7 3 3" xfId="36031"/>
    <cellStyle name="Total 2 3 3 7 3 4" xfId="36032"/>
    <cellStyle name="Total 2 3 3 7 4" xfId="36033"/>
    <cellStyle name="Total 2 3 3 7 4 2" xfId="36034"/>
    <cellStyle name="Total 2 3 3 7 4 3" xfId="36035"/>
    <cellStyle name="Total 2 3 3 7 5" xfId="36036"/>
    <cellStyle name="Total 2 3 3 7 5 2" xfId="36037"/>
    <cellStyle name="Total 2 3 3 7 5 3" xfId="36038"/>
    <cellStyle name="Total 2 3 3 7 6" xfId="36039"/>
    <cellStyle name="Total 2 3 3 7 7" xfId="36040"/>
    <cellStyle name="Total 2 3 3 8" xfId="36041"/>
    <cellStyle name="Total 2 3 3 8 2" xfId="36042"/>
    <cellStyle name="Total 2 3 3 8 2 2" xfId="36043"/>
    <cellStyle name="Total 2 3 3 8 2 3" xfId="36044"/>
    <cellStyle name="Total 2 3 3 8 2 4" xfId="36045"/>
    <cellStyle name="Total 2 3 3 8 3" xfId="36046"/>
    <cellStyle name="Total 2 3 3 8 3 2" xfId="36047"/>
    <cellStyle name="Total 2 3 3 8 3 3" xfId="36048"/>
    <cellStyle name="Total 2 3 3 8 3 4" xfId="36049"/>
    <cellStyle name="Total 2 3 3 8 4" xfId="36050"/>
    <cellStyle name="Total 2 3 3 8 4 2" xfId="36051"/>
    <cellStyle name="Total 2 3 3 8 4 3" xfId="36052"/>
    <cellStyle name="Total 2 3 3 8 5" xfId="36053"/>
    <cellStyle name="Total 2 3 3 8 5 2" xfId="36054"/>
    <cellStyle name="Total 2 3 3 8 5 3" xfId="36055"/>
    <cellStyle name="Total 2 3 3 8 6" xfId="36056"/>
    <cellStyle name="Total 2 3 3 8 7" xfId="36057"/>
    <cellStyle name="Total 2 3 3 9" xfId="36058"/>
    <cellStyle name="Total 2 3 3 9 2" xfId="36059"/>
    <cellStyle name="Total 2 3 3 9 2 2" xfId="36060"/>
    <cellStyle name="Total 2 3 3 9 2 3" xfId="36061"/>
    <cellStyle name="Total 2 3 3 9 2 4" xfId="36062"/>
    <cellStyle name="Total 2 3 3 9 3" xfId="36063"/>
    <cellStyle name="Total 2 3 3 9 3 2" xfId="36064"/>
    <cellStyle name="Total 2 3 3 9 3 3" xfId="36065"/>
    <cellStyle name="Total 2 3 3 9 3 4" xfId="36066"/>
    <cellStyle name="Total 2 3 3 9 4" xfId="36067"/>
    <cellStyle name="Total 2 3 3 9 4 2" xfId="36068"/>
    <cellStyle name="Total 2 3 3 9 4 3" xfId="36069"/>
    <cellStyle name="Total 2 3 3 9 5" xfId="36070"/>
    <cellStyle name="Total 2 3 3 9 5 2" xfId="36071"/>
    <cellStyle name="Total 2 3 3 9 5 3" xfId="36072"/>
    <cellStyle name="Total 2 3 3 9 6" xfId="36073"/>
    <cellStyle name="Total 2 3 3 9 7" xfId="36074"/>
    <cellStyle name="Total 2 3 4" xfId="36075"/>
    <cellStyle name="Total 2 3 4 2" xfId="36076"/>
    <cellStyle name="Total 2 3 4 2 2" xfId="36077"/>
    <cellStyle name="Total 2 3 4 2 3" xfId="36078"/>
    <cellStyle name="Total 2 3 4 2 4" xfId="36079"/>
    <cellStyle name="Total 2 3 4 3 2" xfId="36080"/>
    <cellStyle name="Total 2 3 4 3 3" xfId="36081"/>
    <cellStyle name="Total 2 3 4 3 4" xfId="36082"/>
    <cellStyle name="Total 2 3 4 4 2" xfId="36083"/>
    <cellStyle name="Total 2 3 4 4 3" xfId="36084"/>
    <cellStyle name="Total 2 3 4 5" xfId="36085"/>
    <cellStyle name="Total 2 3 4 5 2" xfId="36086"/>
    <cellStyle name="Total 2 3 4 5 3" xfId="36087"/>
    <cellStyle name="Total 2 3 4 6" xfId="36088"/>
    <cellStyle name="Total 2 3 4 7" xfId="36089"/>
    <cellStyle name="Total 2 3 5" xfId="36090"/>
    <cellStyle name="Total 2 3 5 2" xfId="36091"/>
    <cellStyle name="Total 2 3 5 2 2" xfId="36092"/>
    <cellStyle name="Total 2 3 5 2 3" xfId="36093"/>
    <cellStyle name="Total 2 3 5 2 4" xfId="36094"/>
    <cellStyle name="Total 2 3 5 3" xfId="36095"/>
    <cellStyle name="Total 2 3 5 3 2" xfId="36096"/>
    <cellStyle name="Total 2 3 5 3 3" xfId="36097"/>
    <cellStyle name="Total 2 3 5 3 4" xfId="36098"/>
    <cellStyle name="Total 2 3 5 4" xfId="36099"/>
    <cellStyle name="Total 2 3 5 4 2" xfId="36100"/>
    <cellStyle name="Total 2 3 5 4 3" xfId="36101"/>
    <cellStyle name="Total 2 3 5 5" xfId="36102"/>
    <cellStyle name="Total 2 3 5 5 2" xfId="36103"/>
    <cellStyle name="Total 2 3 5 5 3" xfId="36104"/>
    <cellStyle name="Total 2 3 5 6" xfId="36105"/>
    <cellStyle name="Total 2 3 5 7" xfId="36106"/>
    <cellStyle name="Total 2 3 6" xfId="36107"/>
    <cellStyle name="Total 2 3 6 2" xfId="36108"/>
    <cellStyle name="Total 2 3 6 2 2" xfId="36109"/>
    <cellStyle name="Total 2 3 6 2 3" xfId="36110"/>
    <cellStyle name="Total 2 3 6 2 4" xfId="36111"/>
    <cellStyle name="Total 2 3 6 3" xfId="36112"/>
    <cellStyle name="Total 2 3 6 3 2" xfId="36113"/>
    <cellStyle name="Total 2 3 6 3 3" xfId="36114"/>
    <cellStyle name="Total 2 3 6 3 4" xfId="36115"/>
    <cellStyle name="Total 2 3 6 4" xfId="36116"/>
    <cellStyle name="Total 2 3 6 4 2" xfId="36117"/>
    <cellStyle name="Total 2 3 6 4 3" xfId="36118"/>
    <cellStyle name="Total 2 3 6 5" xfId="36119"/>
    <cellStyle name="Total 2 3 6 5 2" xfId="36120"/>
    <cellStyle name="Total 2 3 6 5 3" xfId="36121"/>
    <cellStyle name="Total 2 3 6 6" xfId="36122"/>
    <cellStyle name="Total 2 3 6 7" xfId="36123"/>
    <cellStyle name="Total 2 3 7" xfId="36124"/>
    <cellStyle name="Total 2 3 7 2" xfId="36125"/>
    <cellStyle name="Total 2 3 7 2 2" xfId="36126"/>
    <cellStyle name="Total 2 3 7 2 3" xfId="36127"/>
    <cellStyle name="Total 2 3 7 2 4" xfId="36128"/>
    <cellStyle name="Total 2 3 7 3" xfId="36129"/>
    <cellStyle name="Total 2 3 7 3 2" xfId="36130"/>
    <cellStyle name="Total 2 3 7 3 3" xfId="36131"/>
    <cellStyle name="Total 2 3 7 3 4" xfId="36132"/>
    <cellStyle name="Total 2 3 7 4" xfId="36133"/>
    <cellStyle name="Total 2 3 7 4 2" xfId="36134"/>
    <cellStyle name="Total 2 3 7 4 3" xfId="36135"/>
    <cellStyle name="Total 2 3 7 5" xfId="36136"/>
    <cellStyle name="Total 2 3 7 5 2" xfId="36137"/>
    <cellStyle name="Total 2 3 7 5 3" xfId="36138"/>
    <cellStyle name="Total 2 3 7 6" xfId="36139"/>
    <cellStyle name="Total 2 3 7 7" xfId="36140"/>
    <cellStyle name="Total 2 3 8" xfId="36141"/>
    <cellStyle name="Total 2 3 8 2" xfId="36142"/>
    <cellStyle name="Total 2 3 8 2 2" xfId="36143"/>
    <cellStyle name="Total 2 3 8 2 3" xfId="36144"/>
    <cellStyle name="Total 2 3 8 2 4" xfId="36145"/>
    <cellStyle name="Total 2 3 8 3" xfId="36146"/>
    <cellStyle name="Total 2 3 8 3 2" xfId="36147"/>
    <cellStyle name="Total 2 3 8 3 3" xfId="36148"/>
    <cellStyle name="Total 2 3 8 3 4" xfId="36149"/>
    <cellStyle name="Total 2 3 8 4" xfId="36150"/>
    <cellStyle name="Total 2 3 8 4 2" xfId="36151"/>
    <cellStyle name="Total 2 3 8 4 3" xfId="36152"/>
    <cellStyle name="Total 2 3 8 5" xfId="36153"/>
    <cellStyle name="Total 2 3 8 5 2" xfId="36154"/>
    <cellStyle name="Total 2 3 8 5 3" xfId="36155"/>
    <cellStyle name="Total 2 3 8 6" xfId="36156"/>
    <cellStyle name="Total 2 3 8 7" xfId="36157"/>
    <cellStyle name="Total 2 3 9" xfId="36158"/>
    <cellStyle name="Total 2 3 9 2 2" xfId="36159"/>
    <cellStyle name="Total 2 3 9 2 3" xfId="36160"/>
    <cellStyle name="Total 2 3 9 2 4" xfId="36161"/>
    <cellStyle name="Total 2 3 9 3" xfId="36162"/>
    <cellStyle name="Total 2 3 9 3 2" xfId="36163"/>
    <cellStyle name="Total 2 3 9 3 3" xfId="36164"/>
    <cellStyle name="Total 2 3 9 3 4" xfId="36165"/>
    <cellStyle name="Total 2 3 9 4" xfId="36166"/>
    <cellStyle name="Total 2 3 9 4 2" xfId="36167"/>
    <cellStyle name="Total 2 3 9 4 3" xfId="36168"/>
    <cellStyle name="Total 2 3 9 5" xfId="36169"/>
    <cellStyle name="Total 2 3 9 5 2" xfId="36170"/>
    <cellStyle name="Total 2 3 9 5 3" xfId="36171"/>
    <cellStyle name="Total 2 3 9 6" xfId="36172"/>
    <cellStyle name="Total 2 3 9 7" xfId="36173"/>
    <cellStyle name="Total 2 4 10 2" xfId="36174"/>
    <cellStyle name="Total 2 4 10 2 3" xfId="36175"/>
    <cellStyle name="Total 2 4 10 2 4" xfId="36176"/>
    <cellStyle name="Total 2 4 10 3" xfId="36177"/>
    <cellStyle name="Total 2 4 10 3 2" xfId="36178"/>
    <cellStyle name="Total 2 4 10 3 3" xfId="36179"/>
    <cellStyle name="Total 2 4 10 3 4" xfId="36180"/>
    <cellStyle name="Total 2 4 10 4" xfId="36181"/>
    <cellStyle name="Total 2 4 10 4 2" xfId="36182"/>
    <cellStyle name="Total 2 4 10 4 3" xfId="36183"/>
    <cellStyle name="Total 2 4 10 5" xfId="36184"/>
    <cellStyle name="Total 2 4 10 5 2" xfId="36185"/>
    <cellStyle name="Total 2 4 10 5 3" xfId="36186"/>
    <cellStyle name="Total 2 4 10 6" xfId="36187"/>
    <cellStyle name="Total 2 4 10 7" xfId="36188"/>
    <cellStyle name="Total 2 4 11 2" xfId="36189"/>
    <cellStyle name="Total 2 4 11 2 3" xfId="36190"/>
    <cellStyle name="Total 2 4 11 2 4" xfId="36191"/>
    <cellStyle name="Total 2 4 11 3" xfId="36192"/>
    <cellStyle name="Total 2 4 11 3 2" xfId="36193"/>
    <cellStyle name="Total 2 4 11 3 3" xfId="36194"/>
    <cellStyle name="Total 2 4 11 3 4" xfId="36195"/>
    <cellStyle name="Total 2 4 11 4" xfId="36196"/>
    <cellStyle name="Total 2 4 11 4 2" xfId="36197"/>
    <cellStyle name="Total 2 4 11 4 3" xfId="36198"/>
    <cellStyle name="Total 2 4 11 5" xfId="36199"/>
    <cellStyle name="Total 2 4 11 5 2" xfId="36200"/>
    <cellStyle name="Total 2 4 11 5 3" xfId="36201"/>
    <cellStyle name="Total 2 4 11 6" xfId="36202"/>
    <cellStyle name="Total 2 4 11 7" xfId="36203"/>
    <cellStyle name="Total 2 4 12" xfId="36204"/>
    <cellStyle name="Total 2 4 12 2" xfId="36205"/>
    <cellStyle name="Total 2 4 12 2 3" xfId="36206"/>
    <cellStyle name="Total 2 4 12 2 4" xfId="36207"/>
    <cellStyle name="Total 2 4 12 3" xfId="36208"/>
    <cellStyle name="Total 2 4 12 3 2" xfId="36209"/>
    <cellStyle name="Total 2 4 12 3 3" xfId="36210"/>
    <cellStyle name="Total 2 4 12 3 4" xfId="36211"/>
    <cellStyle name="Total 2 4 12 4" xfId="36212"/>
    <cellStyle name="Total 2 4 12 4 2" xfId="36213"/>
    <cellStyle name="Total 2 4 12 4 3" xfId="36214"/>
    <cellStyle name="Total 2 4 12 5" xfId="36215"/>
    <cellStyle name="Total 2 4 12 5 2" xfId="36216"/>
    <cellStyle name="Total 2 4 12 5 3" xfId="36217"/>
    <cellStyle name="Total 2 4 12 6" xfId="36218"/>
    <cellStyle name="Total 2 4 12 7" xfId="36219"/>
    <cellStyle name="Total 2 4 13" xfId="36220"/>
    <cellStyle name="Total 2 4 13 2" xfId="36221"/>
    <cellStyle name="Total 2 4 13 3" xfId="36222"/>
    <cellStyle name="Total 2 4 13 4" xfId="36223"/>
    <cellStyle name="Total 2 4 14" xfId="36224"/>
    <cellStyle name="Total 2 4 14 2" xfId="36225"/>
    <cellStyle name="Total 2 4 14 3" xfId="36226"/>
    <cellStyle name="Total 2 4 14 4" xfId="36227"/>
    <cellStyle name="Total 2 4 15" xfId="36228"/>
    <cellStyle name="Total 2 4 20" xfId="36229"/>
    <cellStyle name="Total 2 4 15 2" xfId="36230"/>
    <cellStyle name="Total 2 4 15 3" xfId="36231"/>
    <cellStyle name="Total 2 4 16" xfId="36232"/>
    <cellStyle name="Total 2 4 16 2" xfId="36233"/>
    <cellStyle name="Total 2 4 16 3" xfId="36234"/>
    <cellStyle name="Total 2 4 17" xfId="36235"/>
    <cellStyle name="Total 2 4 17 2" xfId="36236"/>
    <cellStyle name="Total 2 4 17 2 2" xfId="36237"/>
    <cellStyle name="Total 2 4 18" xfId="36238"/>
    <cellStyle name="Total 2 4 19" xfId="36239"/>
    <cellStyle name="Total 2 4 2" xfId="36240"/>
    <cellStyle name="Total 2 4 2 10 2 2" xfId="36241"/>
    <cellStyle name="Total 2 4 2 10 2 3" xfId="36242"/>
    <cellStyle name="Total 2 4 2 10 2 4" xfId="36243"/>
    <cellStyle name="Total 2 4 2 10 3 2" xfId="36244"/>
    <cellStyle name="Total 2 4 2 10 3 3" xfId="36245"/>
    <cellStyle name="Total 2 4 2 10 3 4" xfId="36246"/>
    <cellStyle name="Total 2 4 2 10 4 2" xfId="36247"/>
    <cellStyle name="Total 2 4 2 10 4 3" xfId="36248"/>
    <cellStyle name="Total 2 4 2 10 5" xfId="36249"/>
    <cellStyle name="Total 2 4 2 10 5 2" xfId="36250"/>
    <cellStyle name="Total 2 4 2 10 5 3" xfId="36251"/>
    <cellStyle name="Total 2 4 2 10 6" xfId="36252"/>
    <cellStyle name="Total 2 4 2 10 7" xfId="36253"/>
    <cellStyle name="Total 2 4 2 12 4" xfId="36254"/>
    <cellStyle name="Total 2 4 2 14 2" xfId="36255"/>
    <cellStyle name="Total 2 4 2 14 3" xfId="36256"/>
    <cellStyle name="Total 2 4 2 16" xfId="36257"/>
    <cellStyle name="Total 2 4 2 2" xfId="36258"/>
    <cellStyle name="Total 2 4 2 2 2" xfId="36259"/>
    <cellStyle name="Total 2 4 2 2 2 2" xfId="36260"/>
    <cellStyle name="Total 2 4 2 2 2 2 2" xfId="36261"/>
    <cellStyle name="Total 2 4 2 2 2 2 2 2" xfId="36262"/>
    <cellStyle name="Total 2 4 2 2 2 2 2 2 2" xfId="36263"/>
    <cellStyle name="Total 2 4 2 2 2 2 2 2 2 2" xfId="36264"/>
    <cellStyle name="Total 2 4 2 2 2 2 2 3" xfId="36265"/>
    <cellStyle name="Total 2 4 2 2 2 3" xfId="36266"/>
    <cellStyle name="Total 2 4 2 2 2 4" xfId="36267"/>
    <cellStyle name="Total 2 4 2 2 3" xfId="36268"/>
    <cellStyle name="Total 2 4 2 2 3 2" xfId="36269"/>
    <cellStyle name="Total 2 4 2 2 3 3" xfId="36270"/>
    <cellStyle name="Total 2 4 2 2 3 4" xfId="36271"/>
    <cellStyle name="Total 2 4 2 2 4" xfId="36272"/>
    <cellStyle name="Total 2 4 2 2 4 2" xfId="36273"/>
    <cellStyle name="Total 2 4 2 2 4 3" xfId="36274"/>
    <cellStyle name="Total 2 4 2 2 5" xfId="36275"/>
    <cellStyle name="Total 2 4 2 2 5 2" xfId="36276"/>
    <cellStyle name="Total 2 4 2 2 5 3" xfId="36277"/>
    <cellStyle name="Total 2 4 2 2 6" xfId="36278"/>
    <cellStyle name="Total 2 4 2 2 6 2" xfId="36279"/>
    <cellStyle name="Total 2 4 2 2 6 2 2" xfId="36280"/>
    <cellStyle name="Total 2 4 2 2 7" xfId="36281"/>
    <cellStyle name="Total 2 4 2 3 2" xfId="36282"/>
    <cellStyle name="Total 2 4 2 3 2 2" xfId="36283"/>
    <cellStyle name="Total 2 4 2 3 2 3" xfId="36284"/>
    <cellStyle name="Total 2 4 2 3 2 4" xfId="36285"/>
    <cellStyle name="Total 2 4 2 3 3" xfId="36286"/>
    <cellStyle name="Total 2 4 2 3 3 2" xfId="36287"/>
    <cellStyle name="Total 2 4 2 3 3 3" xfId="36288"/>
    <cellStyle name="Total 2 4 2 3 3 4" xfId="36289"/>
    <cellStyle name="Total 2 4 2 3 4" xfId="36290"/>
    <cellStyle name="Total 2 4 2 3 4 2" xfId="36291"/>
    <cellStyle name="Total 2 4 2 3 4 3" xfId="36292"/>
    <cellStyle name="Total 2 4 2 3 5" xfId="36293"/>
    <cellStyle name="Total 2 4 2 3 5 2" xfId="36294"/>
    <cellStyle name="Total 2 4 2 3 5 3" xfId="36295"/>
    <cellStyle name="Total 2 4 2 3 6" xfId="36296"/>
    <cellStyle name="Total 2 4 2 3 6 2" xfId="36297"/>
    <cellStyle name="Total 2 4 2 3 6 2 2" xfId="36298"/>
    <cellStyle name="Total 2 4 2 3 7" xfId="36299"/>
    <cellStyle name="Total 2 4 2 4 2" xfId="36300"/>
    <cellStyle name="Total 2 4 2 4 2 2" xfId="36301"/>
    <cellStyle name="Total 2 4 2 4 2 3" xfId="36302"/>
    <cellStyle name="Total 2 4 2 4 2 4" xfId="36303"/>
    <cellStyle name="Total 2 4 2 4 3" xfId="36304"/>
    <cellStyle name="Total 2 4 2 4 3 2" xfId="36305"/>
    <cellStyle name="Total 2 4 2 4 3 3" xfId="36306"/>
    <cellStyle name="Total 2 4 2 4 3 4" xfId="36307"/>
    <cellStyle name="Total 2 4 2 4 4" xfId="36308"/>
    <cellStyle name="Total 2 4 2 4 4 2" xfId="36309"/>
    <cellStyle name="Total 2 4 2 4 4 3" xfId="36310"/>
    <cellStyle name="Total 2 4 2 4 5" xfId="36311"/>
    <cellStyle name="Total 2 4 2 4 5 2" xfId="36312"/>
    <cellStyle name="Total 2 4 2 4 5 3" xfId="36313"/>
    <cellStyle name="Total 2 4 2 4 6" xfId="36314"/>
    <cellStyle name="Total 2 4 2 4 7" xfId="36315"/>
    <cellStyle name="Total 2 4 2 5 2" xfId="36316"/>
    <cellStyle name="Total 2 4 2 5 2 2" xfId="36317"/>
    <cellStyle name="Total 2 4 2 5 2 3" xfId="36318"/>
    <cellStyle name="Total 2 4 2 5 2 4" xfId="36319"/>
    <cellStyle name="Total 2 4 2 5 3" xfId="36320"/>
    <cellStyle name="Total 2 4 2 5 3 2" xfId="36321"/>
    <cellStyle name="Total 2 4 2 5 3 3" xfId="36322"/>
    <cellStyle name="Total 2 4 2 5 3 4" xfId="36323"/>
    <cellStyle name="Total 2 4 2 5 4" xfId="36324"/>
    <cellStyle name="Total 2 4 2 5 4 2" xfId="36325"/>
    <cellStyle name="Total 2 4 2 5 4 3" xfId="36326"/>
    <cellStyle name="Total 2 4 2 5 5" xfId="36327"/>
    <cellStyle name="Total 2 4 2 5 5 2" xfId="36328"/>
    <cellStyle name="Total 2 4 2 5 5 3" xfId="36329"/>
    <cellStyle name="Total 2 4 2 5 6" xfId="36330"/>
    <cellStyle name="Total 2 4 2 5 7" xfId="36331"/>
    <cellStyle name="Total 2 4 2 6" xfId="36332"/>
    <cellStyle name="Total 2 4 2 6 2" xfId="36333"/>
    <cellStyle name="Total 2 4 2 6 2 2" xfId="36334"/>
    <cellStyle name="Total 2 4 2 6 2 3" xfId="36335"/>
    <cellStyle name="Total 2 4 2 6 2 4" xfId="36336"/>
    <cellStyle name="Total 2 4 2 6 3" xfId="36337"/>
    <cellStyle name="Total 2 4 2 6 3 2" xfId="36338"/>
    <cellStyle name="Total 2 4 2 6 3 3" xfId="36339"/>
    <cellStyle name="Total 2 4 2 6 3 4" xfId="36340"/>
    <cellStyle name="Total 2 4 2 6 4" xfId="36341"/>
    <cellStyle name="Total 2 4 2 6 4 2" xfId="36342"/>
    <cellStyle name="Total 2 4 2 6 4 3" xfId="36343"/>
    <cellStyle name="Total 2 4 2 6 5" xfId="36344"/>
    <cellStyle name="Total 2 4 2 6 5 2" xfId="36345"/>
    <cellStyle name="Total 2 4 2 6 5 3" xfId="36346"/>
    <cellStyle name="Total 2 4 2 6 6" xfId="36347"/>
    <cellStyle name="Total 2 4 2 6 7" xfId="36348"/>
    <cellStyle name="Total 2 4 2 7" xfId="36349"/>
    <cellStyle name="Total 2 4 2 7 2" xfId="36350"/>
    <cellStyle name="Total 2 4 2 7 2 2" xfId="36351"/>
    <cellStyle name="Total 2 4 2 7 2 3" xfId="36352"/>
    <cellStyle name="Total 2 4 2 7 2 4" xfId="36353"/>
    <cellStyle name="Total 2 4 2 7 3" xfId="36354"/>
    <cellStyle name="Total 2 4 2 7 3 2" xfId="36355"/>
    <cellStyle name="Total 2 4 2 7 3 3" xfId="36356"/>
    <cellStyle name="Total 2 4 2 7 3 4" xfId="36357"/>
    <cellStyle name="Total 2 4 2 7 4" xfId="36358"/>
    <cellStyle name="Total 2 4 2 7 4 2" xfId="36359"/>
    <cellStyle name="Total 2 4 2 7 4 3" xfId="36360"/>
    <cellStyle name="Total 2 4 2 7 5" xfId="36361"/>
    <cellStyle name="Total 2 4 2 7 5 2" xfId="36362"/>
    <cellStyle name="Total 2 4 2 7 5 3" xfId="36363"/>
    <cellStyle name="Total 2 4 2 7 6" xfId="36364"/>
    <cellStyle name="Total 2 4 2 7 7" xfId="36365"/>
    <cellStyle name="Total 2 4 2 8" xfId="36366"/>
    <cellStyle name="Total 2 4 2 8 2" xfId="36367"/>
    <cellStyle name="Total 2 4 2 8 2 2" xfId="36368"/>
    <cellStyle name="Total 2 4 2 8 2 3" xfId="36369"/>
    <cellStyle name="Total 2 4 2 8 3" xfId="36370"/>
    <cellStyle name="Total 2 4 2 8 3 2" xfId="36371"/>
    <cellStyle name="Total 2 4 2 8 3 3" xfId="36372"/>
    <cellStyle name="Total 2 4 2 8 4" xfId="36373"/>
    <cellStyle name="Total 2 4 2 8 4 2" xfId="36374"/>
    <cellStyle name="Total 2 4 2 8 4 3" xfId="36375"/>
    <cellStyle name="Total 2 4 2 8 5" xfId="36376"/>
    <cellStyle name="Total 2 4 2 8 5 2" xfId="36377"/>
    <cellStyle name="Total 2 4 2 8 5 3" xfId="36378"/>
    <cellStyle name="Total 2 4 2 8 6" xfId="36379"/>
    <cellStyle name="Total 2 4 2 8 7" xfId="36380"/>
    <cellStyle name="Total 2 4 2 9" xfId="36381"/>
    <cellStyle name="Total 2 4 2 9 2" xfId="36382"/>
    <cellStyle name="Total 2 4 2 9 2 2" xfId="36383"/>
    <cellStyle name="Total 2 4 2 9 3" xfId="36384"/>
    <cellStyle name="Total 2 4 2 9 3 2" xfId="36385"/>
    <cellStyle name="Total 2 4 2 9 4" xfId="36386"/>
    <cellStyle name="Total 2 4 2 9 4 2" xfId="36387"/>
    <cellStyle name="Total 2 4 2 9 4 3" xfId="36388"/>
    <cellStyle name="Total 2 4 2 9 5" xfId="36389"/>
    <cellStyle name="Total 2 4 2 9 5 2" xfId="36390"/>
    <cellStyle name="Total 2 4 2 9 5 3" xfId="36391"/>
    <cellStyle name="Total 2 4 2 9 6" xfId="36392"/>
    <cellStyle name="Total 2 4 2 9 7" xfId="36393"/>
    <cellStyle name="Total 2 4 3" xfId="36394"/>
    <cellStyle name="Total 2 4 3 10" xfId="36395"/>
    <cellStyle name="Total 2 4 3 10 2" xfId="36396"/>
    <cellStyle name="Total 2 4 3 10 2 2" xfId="36397"/>
    <cellStyle name="Total 2 4 3 10 2 3" xfId="36398"/>
    <cellStyle name="Total 2 4 3 10 3" xfId="36399"/>
    <cellStyle name="Total 2 4 3 10 3 2" xfId="36400"/>
    <cellStyle name="Total 2 4 3 10 3 3" xfId="36401"/>
    <cellStyle name="Total 2 4 3 10 4" xfId="36402"/>
    <cellStyle name="Total 2 4 3 10 4 2" xfId="36403"/>
    <cellStyle name="Total 2 4 3 10 4 3" xfId="36404"/>
    <cellStyle name="Total 2 4 3 10 5" xfId="36405"/>
    <cellStyle name="Total 2 4 3 10 5 2" xfId="36406"/>
    <cellStyle name="Total 2 4 3 10 5 3" xfId="36407"/>
    <cellStyle name="Total 2 4 3 10 6" xfId="36408"/>
    <cellStyle name="Total 2 4 3 10 7" xfId="36409"/>
    <cellStyle name="Total 2 4 3 11" xfId="36410"/>
    <cellStyle name="Total 2 4 3 11 2" xfId="36411"/>
    <cellStyle name="Total 2 4 3 11 3" xfId="36412"/>
    <cellStyle name="Total 2 4 3 11 4" xfId="36413"/>
    <cellStyle name="Total 2 4 3 12" xfId="36414"/>
    <cellStyle name="Total 2 4 3 12 2" xfId="36415"/>
    <cellStyle name="Total 2 4 3 12 3" xfId="36416"/>
    <cellStyle name="Total 2 4 3 12 4" xfId="36417"/>
    <cellStyle name="Total 2 4 3 13" xfId="36418"/>
    <cellStyle name="Total 2 4 3 13 2" xfId="36419"/>
    <cellStyle name="Total 2 4 3 13 3" xfId="36420"/>
    <cellStyle name="Total 2 4 3 14" xfId="36421"/>
    <cellStyle name="Total 2 4 3 15" xfId="36422"/>
    <cellStyle name="Total 2 4 3 16" xfId="36423"/>
    <cellStyle name="Total 2 4 3 2" xfId="36424"/>
    <cellStyle name="Total 2 4 3 2 2" xfId="36425"/>
    <cellStyle name="Total 2 4 3 2 2 2" xfId="36426"/>
    <cellStyle name="Total 2 4 3 2 2 3" xfId="36427"/>
    <cellStyle name="Total 2 4 3 2 2 4" xfId="36428"/>
    <cellStyle name="Total 2 4 3 2 3" xfId="36429"/>
    <cellStyle name="Total 2 4 3 2 3 2" xfId="36430"/>
    <cellStyle name="Total 2 4 3 2 3 3" xfId="36431"/>
    <cellStyle name="Total 2 4 3 2 3 4" xfId="36432"/>
    <cellStyle name="Total 2 4 3 2 4" xfId="36433"/>
    <cellStyle name="Total 2 4 3 2 4 2" xfId="36434"/>
    <cellStyle name="Total 2 4 3 2 4 3" xfId="36435"/>
    <cellStyle name="Total 2 4 3 2 5" xfId="36436"/>
    <cellStyle name="Total 2 4 3 2 5 2" xfId="36437"/>
    <cellStyle name="Total 2 4 3 2 5 3" xfId="36438"/>
    <cellStyle name="Total 2 4 3 2 6" xfId="36439"/>
    <cellStyle name="Total 2 4 3 2 7" xfId="36440"/>
    <cellStyle name="Total 2 4 3 3 2" xfId="36441"/>
    <cellStyle name="Total 2 4 3 3 2 2" xfId="36442"/>
    <cellStyle name="Total 2 4 3 3 2 3" xfId="36443"/>
    <cellStyle name="Total 2 4 3 3 2 4" xfId="36444"/>
    <cellStyle name="Total 2 4 3 3 3" xfId="36445"/>
    <cellStyle name="Total 2 4 3 3 3 2" xfId="36446"/>
    <cellStyle name="Total 2 4 3 3 3 3" xfId="36447"/>
    <cellStyle name="Total 2 4 3 3 3 4" xfId="36448"/>
    <cellStyle name="Total 2 4 3 3 4" xfId="36449"/>
    <cellStyle name="Total 2 4 3 3 4 2" xfId="36450"/>
    <cellStyle name="Total 2 4 3 3 4 3" xfId="36451"/>
    <cellStyle name="Total 2 4 3 3 5" xfId="36452"/>
    <cellStyle name="Total 2 4 3 3 5 2" xfId="36453"/>
    <cellStyle name="Total 2 4 3 3 5 3" xfId="36454"/>
    <cellStyle name="Total 2 4 3 3 6" xfId="36455"/>
    <cellStyle name="Total 2 4 3 3 7" xfId="36456"/>
    <cellStyle name="Total 2 4 3 4 2" xfId="36457"/>
    <cellStyle name="Total 2 4 3 4 2 2" xfId="36458"/>
    <cellStyle name="Total 2 4 3 4 2 3" xfId="36459"/>
    <cellStyle name="Total 2 4 3 4 2 4" xfId="36460"/>
    <cellStyle name="Total 2 4 3 4 3" xfId="36461"/>
    <cellStyle name="Total 2 4 3 4 3 2" xfId="36462"/>
    <cellStyle name="Total 2 4 3 4 3 3" xfId="36463"/>
    <cellStyle name="Total 2 4 3 4 3 4" xfId="36464"/>
    <cellStyle name="Total 2 4 3 4 4" xfId="36465"/>
    <cellStyle name="Total 2 4 3 4 4 2" xfId="36466"/>
    <cellStyle name="Total 2 4 3 4 4 3" xfId="36467"/>
    <cellStyle name="Total 2 4 3 4 5" xfId="36468"/>
    <cellStyle name="Total 2 4 3 4 5 2" xfId="36469"/>
    <cellStyle name="Total 2 4 3 4 5 3" xfId="36470"/>
    <cellStyle name="Total 2 4 3 4 6" xfId="36471"/>
    <cellStyle name="Total 2 4 3 4 7" xfId="36472"/>
    <cellStyle name="Total 2 4 3 5" xfId="36473"/>
    <cellStyle name="Total 2 4 3 5 2 2" xfId="36474"/>
    <cellStyle name="Total 2 4 3 5 2 3" xfId="36475"/>
    <cellStyle name="Total 2 4 3 5 2 4" xfId="36476"/>
    <cellStyle name="Total 2 4 3 5 3" xfId="36477"/>
    <cellStyle name="Total 2 4 3 5 3 2" xfId="36478"/>
    <cellStyle name="Total 2 4 3 5 3 3" xfId="36479"/>
    <cellStyle name="Total 2 4 3 5 3 4" xfId="36480"/>
    <cellStyle name="Total 2 4 3 5 4" xfId="36481"/>
    <cellStyle name="Total 2 4 3 5 4 2" xfId="36482"/>
    <cellStyle name="Total 2 4 3 5 4 3" xfId="36483"/>
    <cellStyle name="Total 2 4 3 5 5" xfId="36484"/>
    <cellStyle name="Total 2 4 3 5 5 2" xfId="36485"/>
    <cellStyle name="Total 2 4 3 5 5 3" xfId="36486"/>
    <cellStyle name="Total 2 4 3 5 6" xfId="36487"/>
    <cellStyle name="Total 2 4 3 5 7" xfId="36488"/>
    <cellStyle name="Total 2 4 3 6" xfId="36489"/>
    <cellStyle name="Total 2 4 3 6 2" xfId="36490"/>
    <cellStyle name="Total 2 4 3 6 2 2" xfId="36491"/>
    <cellStyle name="Total 2 4 3 6 2 3" xfId="36492"/>
    <cellStyle name="Total 2 4 3 6 2 4" xfId="36493"/>
    <cellStyle name="Total 2 4 3 6 3" xfId="36494"/>
    <cellStyle name="Total 2 4 3 6 3 2" xfId="36495"/>
    <cellStyle name="Total 2 4 3 6 3 3" xfId="36496"/>
    <cellStyle name="Total 2 4 3 6 3 4" xfId="36497"/>
    <cellStyle name="Total 2 4 3 6 4" xfId="36498"/>
    <cellStyle name="Total 2 4 3 6 4 2" xfId="36499"/>
    <cellStyle name="Total 2 4 3 6 4 3" xfId="36500"/>
    <cellStyle name="Total 2 4 3 6 5" xfId="36501"/>
    <cellStyle name="Total 2 4 3 6 5 2" xfId="36502"/>
    <cellStyle name="Total 2 4 3 6 5 3" xfId="36503"/>
    <cellStyle name="Total 2 4 3 6 6" xfId="36504"/>
    <cellStyle name="Total 2 4 3 6 7" xfId="36505"/>
    <cellStyle name="Total 2 4 3 7" xfId="36506"/>
    <cellStyle name="Total 2 4 3 7 2" xfId="36507"/>
    <cellStyle name="Total 2 4 3 7 2 2" xfId="36508"/>
    <cellStyle name="Total 2 4 3 7 2 3" xfId="36509"/>
    <cellStyle name="Total 2 4 3 7 2 4" xfId="36510"/>
    <cellStyle name="Total 2 4 3 7 3" xfId="36511"/>
    <cellStyle name="Total 2 4 3 7 3 2" xfId="36512"/>
    <cellStyle name="Total 2 4 3 7 3 3" xfId="36513"/>
    <cellStyle name="Total 2 4 3 7 3 4" xfId="36514"/>
    <cellStyle name="Total 2 4 3 7 4" xfId="36515"/>
    <cellStyle name="Total 2 4 3 7 4 2" xfId="36516"/>
    <cellStyle name="Total 2 4 3 7 4 3" xfId="36517"/>
    <cellStyle name="Total 2 4 3 7 5" xfId="36518"/>
    <cellStyle name="Total 2 4 3 7 5 2" xfId="36519"/>
    <cellStyle name="Total 2 4 3 7 5 3" xfId="36520"/>
    <cellStyle name="Total 2 4 3 7 6" xfId="36521"/>
    <cellStyle name="Total 2 4 3 7 7" xfId="36522"/>
    <cellStyle name="Total 2 4 3 8" xfId="36523"/>
    <cellStyle name="Total 2 4 3 8 2" xfId="36524"/>
    <cellStyle name="Total 2 4 3 8 2 2" xfId="36525"/>
    <cellStyle name="Total 2 4 3 8 2 3" xfId="36526"/>
    <cellStyle name="Total 2 4 3 8 2 4" xfId="36527"/>
    <cellStyle name="Total 2 4 3 8 3" xfId="36528"/>
    <cellStyle name="Total 2 4 3 8 3 2" xfId="36529"/>
    <cellStyle name="Total 2 4 3 8 3 3" xfId="36530"/>
    <cellStyle name="Total 2 4 3 8 3 4" xfId="36531"/>
    <cellStyle name="Total 2 4 3 8 4" xfId="36532"/>
    <cellStyle name="Total 2 4 3 8 4 2" xfId="36533"/>
    <cellStyle name="Total 2 4 3 8 4 3" xfId="36534"/>
    <cellStyle name="Total 2 4 3 8 5" xfId="36535"/>
    <cellStyle name="Total 2 4 3 8 5 2" xfId="36536"/>
    <cellStyle name="Total 2 4 3 8 5 3" xfId="36537"/>
    <cellStyle name="Total 2 4 3 8 6" xfId="36538"/>
    <cellStyle name="Total 2 4 3 8 7" xfId="36539"/>
    <cellStyle name="Total 2 4 3 9" xfId="36540"/>
    <cellStyle name="Total 2 4 3 9 2" xfId="36541"/>
    <cellStyle name="Total 2 4 3 9 2 2" xfId="36542"/>
    <cellStyle name="Total 2 4 3 9 2 3" xfId="36543"/>
    <cellStyle name="Total 2 4 3 9 2 4" xfId="36544"/>
    <cellStyle name="Total 2 4 3 9 3" xfId="36545"/>
    <cellStyle name="Total 2 4 3 9 3 2" xfId="36546"/>
    <cellStyle name="Total 2 4 3 9 3 3" xfId="36547"/>
    <cellStyle name="Total 2 4 3 9 3 4" xfId="36548"/>
    <cellStyle name="Total 2 4 3 9 4" xfId="36549"/>
    <cellStyle name="Total 2 4 3 9 4 2" xfId="36550"/>
    <cellStyle name="Total 2 4 3 9 4 3" xfId="36551"/>
    <cellStyle name="Total 2 4 3 9 5" xfId="36552"/>
    <cellStyle name="Total 2 4 3 9 5 2" xfId="36553"/>
    <cellStyle name="Total 2 4 3 9 5 3" xfId="36554"/>
    <cellStyle name="Total 2 4 3 9 6" xfId="36555"/>
    <cellStyle name="Total 2 4 3 9 7" xfId="36556"/>
    <cellStyle name="Total 2 4 4" xfId="36557"/>
    <cellStyle name="Total 2 4 4 2" xfId="36558"/>
    <cellStyle name="Total 2 4 4 2 2" xfId="36559"/>
    <cellStyle name="Total 2 4 4 2 3" xfId="36560"/>
    <cellStyle name="Total 2 4 4 2 4" xfId="36561"/>
    <cellStyle name="Total 2 4 4 3 2" xfId="36562"/>
    <cellStyle name="Total 2 4 4 3 3" xfId="36563"/>
    <cellStyle name="Total 2 4 4 3 4" xfId="36564"/>
    <cellStyle name="Total 2 4 4 4 2" xfId="36565"/>
    <cellStyle name="Total 2 4 4 4 3" xfId="36566"/>
    <cellStyle name="Total 2 4 4 5" xfId="36567"/>
    <cellStyle name="Total 2 4 4 5 2" xfId="36568"/>
    <cellStyle name="Total 2 4 4 5 3" xfId="36569"/>
    <cellStyle name="Total 2 4 4 6" xfId="36570"/>
    <cellStyle name="Total 2 4 4 7" xfId="36571"/>
    <cellStyle name="Total 2 4 5" xfId="36572"/>
    <cellStyle name="Total 2 4 5 2" xfId="36573"/>
    <cellStyle name="Total 2 4 5 2 2" xfId="36574"/>
    <cellStyle name="Total 2 4 5 2 3" xfId="36575"/>
    <cellStyle name="Total 2 4 5 2 4" xfId="36576"/>
    <cellStyle name="Total 2 4 5 3" xfId="36577"/>
    <cellStyle name="Total 2 4 5 3 2" xfId="36578"/>
    <cellStyle name="Total 2 4 5 3 3" xfId="36579"/>
    <cellStyle name="Total 2 4 5 3 4" xfId="36580"/>
    <cellStyle name="Total 2 4 5 4" xfId="36581"/>
    <cellStyle name="Total 2 4 5 4 2" xfId="36582"/>
    <cellStyle name="Total 2 4 5 4 3" xfId="36583"/>
    <cellStyle name="Total 2 4 5 5" xfId="36584"/>
    <cellStyle name="Total 2 4 5 5 2" xfId="36585"/>
    <cellStyle name="Total 2 4 5 5 3" xfId="36586"/>
    <cellStyle name="Total 2 4 5 6" xfId="36587"/>
    <cellStyle name="Total 2 4 5 6 2" xfId="36588"/>
    <cellStyle name="Total 2 4 5 7" xfId="36589"/>
    <cellStyle name="Total 2 4 6" xfId="36590"/>
    <cellStyle name="Total 2 4 6 2" xfId="36591"/>
    <cellStyle name="Total 2 4 6 2 2" xfId="36592"/>
    <cellStyle name="Total 2 4 6 2 3" xfId="36593"/>
    <cellStyle name="Total 2 4 6 2 4" xfId="36594"/>
    <cellStyle name="Total 2 4 6 3" xfId="36595"/>
    <cellStyle name="Total 2 4 6 3 2" xfId="36596"/>
    <cellStyle name="Total 2 4 6 3 3" xfId="36597"/>
    <cellStyle name="Total 2 4 6 3 4" xfId="36598"/>
    <cellStyle name="Total 2 4 6 4" xfId="36599"/>
    <cellStyle name="Total 2 4 6 4 2" xfId="36600"/>
    <cellStyle name="Total 2 4 6 4 3" xfId="36601"/>
    <cellStyle name="Total 2 4 6 5" xfId="36602"/>
    <cellStyle name="Total 2 4 6 5 2" xfId="36603"/>
    <cellStyle name="Total 2 4 6 5 3" xfId="36604"/>
    <cellStyle name="Total 2 4 6 6" xfId="36605"/>
    <cellStyle name="Total 2 4 6 6 2" xfId="36606"/>
    <cellStyle name="Total 2 4 6 7" xfId="36607"/>
    <cellStyle name="Total 2 4 7" xfId="36608"/>
    <cellStyle name="Total 2 4 7 2" xfId="36609"/>
    <cellStyle name="Total 2 4 7 2 2" xfId="36610"/>
    <cellStyle name="Total 2 4 7 2 3" xfId="36611"/>
    <cellStyle name="Total 2 4 7 2 4" xfId="36612"/>
    <cellStyle name="Total 2 4 7 3" xfId="36613"/>
    <cellStyle name="Total 2 4 7 3 2" xfId="36614"/>
    <cellStyle name="Total 2 4 7 3 3" xfId="36615"/>
    <cellStyle name="Total 2 4 7 3 4" xfId="36616"/>
    <cellStyle name="Total 2 4 7 4" xfId="36617"/>
    <cellStyle name="Total 2 4 7 4 2" xfId="36618"/>
    <cellStyle name="Total 2 4 7 4 3" xfId="36619"/>
    <cellStyle name="Total 2 4 7 5" xfId="36620"/>
    <cellStyle name="Total 2 4 7 5 2" xfId="36621"/>
    <cellStyle name="Total 2 4 7 5 3" xfId="36622"/>
    <cellStyle name="Total 2 4 7 6" xfId="36623"/>
    <cellStyle name="Total 2 4 7 6 2" xfId="36624"/>
    <cellStyle name="Total 2 4 7 7" xfId="36625"/>
    <cellStyle name="Total 2 4 8" xfId="36626"/>
    <cellStyle name="Total 2 4 8 2" xfId="36627"/>
    <cellStyle name="Total 2 4 8 2 2" xfId="36628"/>
    <cellStyle name="Total 2 4 8 2 3" xfId="36629"/>
    <cellStyle name="Total 2 4 8 2 4" xfId="36630"/>
    <cellStyle name="Total 2 4 8 3" xfId="36631"/>
    <cellStyle name="Total 2 4 8 3 2" xfId="36632"/>
    <cellStyle name="Total 2 4 8 3 3" xfId="36633"/>
    <cellStyle name="Total 2 4 8 3 4" xfId="36634"/>
    <cellStyle name="Total 2 4 8 4" xfId="36635"/>
    <cellStyle name="Total 2 4 8 4 2" xfId="36636"/>
    <cellStyle name="Total 2 4 8 4 3" xfId="36637"/>
    <cellStyle name="Total 2 4 8 5" xfId="36638"/>
    <cellStyle name="Total 2 4 8 5 2" xfId="36639"/>
    <cellStyle name="Total 2 4 8 5 3" xfId="36640"/>
    <cellStyle name="Total 2 4 8 6" xfId="36641"/>
    <cellStyle name="Total 2 4 8 7" xfId="36642"/>
    <cellStyle name="Total 2 4 9" xfId="36643"/>
    <cellStyle name="Total 2 4 9 2 2" xfId="36644"/>
    <cellStyle name="Total 2 4 9 2 3" xfId="36645"/>
    <cellStyle name="Total 2 4 9 2 4" xfId="36646"/>
    <cellStyle name="Total 2 4 9 3" xfId="36647"/>
    <cellStyle name="Total 2 4 9 3 2" xfId="36648"/>
    <cellStyle name="Total 2 4 9 3 3" xfId="36649"/>
    <cellStyle name="Total 2 4 9 3 4" xfId="36650"/>
    <cellStyle name="Total 2 4 9 4" xfId="36651"/>
    <cellStyle name="Total 2 4 9 4 2" xfId="36652"/>
    <cellStyle name="Total 2 4 9 4 3" xfId="36653"/>
    <cellStyle name="Total 2 4 9 5" xfId="36654"/>
    <cellStyle name="Total 2 4 9 5 2" xfId="36655"/>
    <cellStyle name="Total 2 4 9 5 3" xfId="36656"/>
    <cellStyle name="Total 2 4 9 6" xfId="36657"/>
    <cellStyle name="Total 2 4 9 7" xfId="36658"/>
    <cellStyle name="Total 2 5" xfId="36659"/>
    <cellStyle name="Total 2 5 10" xfId="36660"/>
    <cellStyle name="Total 2 5 10 2" xfId="36661"/>
    <cellStyle name="Total 2 5 10 2 2" xfId="36662"/>
    <cellStyle name="Total 2 5 10 2 3" xfId="36663"/>
    <cellStyle name="Total 2 5 10 2 4" xfId="36664"/>
    <cellStyle name="Total 2 5 10 3" xfId="36665"/>
    <cellStyle name="Total 2 5 10 3 2" xfId="36666"/>
    <cellStyle name="Total 2 5 10 3 3" xfId="36667"/>
    <cellStyle name="Total 2 5 10 3 4" xfId="36668"/>
    <cellStyle name="Total 2 5 10 4" xfId="36669"/>
    <cellStyle name="Total 2 5 10 4 2" xfId="36670"/>
    <cellStyle name="Total 2 5 10 4 3" xfId="36671"/>
    <cellStyle name="Total 2 5 10 5" xfId="36672"/>
    <cellStyle name="Total 2 5 10 5 2" xfId="36673"/>
    <cellStyle name="Total 2 5 10 5 3" xfId="36674"/>
    <cellStyle name="Total 2 5 10 6" xfId="36675"/>
    <cellStyle name="Total 2 5 10 7" xfId="36676"/>
    <cellStyle name="Total 2 5 11" xfId="36677"/>
    <cellStyle name="Total 2 5 11 2" xfId="36678"/>
    <cellStyle name="Total 2 5 11 2 2" xfId="36679"/>
    <cellStyle name="Total 2 5 11 2 3" xfId="36680"/>
    <cellStyle name="Total 2 5 11 2 4" xfId="36681"/>
    <cellStyle name="Total 2 5 11 3" xfId="36682"/>
    <cellStyle name="Total 2 5 11 3 2" xfId="36683"/>
    <cellStyle name="Total 2 5 11 3 3" xfId="36684"/>
    <cellStyle name="Total 2 5 11 3 4" xfId="36685"/>
    <cellStyle name="Total 2 5 11 4" xfId="36686"/>
    <cellStyle name="Total 2 5 11 4 2" xfId="36687"/>
    <cellStyle name="Total 2 5 11 4 3" xfId="36688"/>
    <cellStyle name="Total 2 5 11 5" xfId="36689"/>
    <cellStyle name="Total 2 5 11 5 2" xfId="36690"/>
    <cellStyle name="Total 2 5 11 5 3" xfId="36691"/>
    <cellStyle name="Total 2 5 11 6" xfId="36692"/>
    <cellStyle name="Total 2 5 11 7" xfId="36693"/>
    <cellStyle name="Total 2 5 12" xfId="36694"/>
    <cellStyle name="Total 2 5 12 2" xfId="36695"/>
    <cellStyle name="Total 2 5 12 2 2" xfId="36696"/>
    <cellStyle name="Total 2 5 12 2 3" xfId="36697"/>
    <cellStyle name="Total 2 5 12 2 4" xfId="36698"/>
    <cellStyle name="Total 2 5 12 3" xfId="36699"/>
    <cellStyle name="Total 2 5 12 3 2" xfId="36700"/>
    <cellStyle name="Total 2 5 12 3 3" xfId="36701"/>
    <cellStyle name="Total 2 5 12 3 4" xfId="36702"/>
    <cellStyle name="Total 2 5 12 4" xfId="36703"/>
    <cellStyle name="Total 2 5 12 4 2" xfId="36704"/>
    <cellStyle name="Total 2 5 12 4 3" xfId="36705"/>
    <cellStyle name="Total 2 5 12 5" xfId="36706"/>
    <cellStyle name="Total 2 5 12 5 2" xfId="36707"/>
    <cellStyle name="Total 2 5 12 5 3" xfId="36708"/>
    <cellStyle name="Total 2 5 12 6" xfId="36709"/>
    <cellStyle name="Total 2 5 12 7" xfId="36710"/>
    <cellStyle name="Total 2 5 13" xfId="36711"/>
    <cellStyle name="Total 2 5 13 2" xfId="36712"/>
    <cellStyle name="Total 2 5 13 3" xfId="36713"/>
    <cellStyle name="Total 2 5 13 4" xfId="36714"/>
    <cellStyle name="Total 2 5 14" xfId="36715"/>
    <cellStyle name="Total 2 5 14 2" xfId="36716"/>
    <cellStyle name="Total 2 5 14 3" xfId="36717"/>
    <cellStyle name="Total 2 5 14 4" xfId="36718"/>
    <cellStyle name="Total 2 5 15" xfId="36719"/>
    <cellStyle name="Total 2 5 20" xfId="36720"/>
    <cellStyle name="Total 2 5 15 2" xfId="36721"/>
    <cellStyle name="Total 2 5 15 3" xfId="36722"/>
    <cellStyle name="Total 2 5 16" xfId="36723"/>
    <cellStyle name="Total 2 5 16 2" xfId="36724"/>
    <cellStyle name="Total 2 5 16 3" xfId="36725"/>
    <cellStyle name="Total 2 5 17" xfId="36726"/>
    <cellStyle name="Total 2 5 17 2" xfId="36727"/>
    <cellStyle name="Total 2 5 17 2 2" xfId="36728"/>
    <cellStyle name="Total 2 5 18" xfId="36729"/>
    <cellStyle name="Total 2 5 19" xfId="36730"/>
    <cellStyle name="Total 2 5 2" xfId="36731"/>
    <cellStyle name="Total 2 5 2 10 2" xfId="36732"/>
    <cellStyle name="Total 2 5 2 10 2 2" xfId="36733"/>
    <cellStyle name="Total 2 5 2 10 2 3" xfId="36734"/>
    <cellStyle name="Total 2 5 2 10 2 4" xfId="36735"/>
    <cellStyle name="Total 2 5 2 10 3" xfId="36736"/>
    <cellStyle name="Total 2 5 2 10 3 2" xfId="36737"/>
    <cellStyle name="Total 2 5 2 10 3 3" xfId="36738"/>
    <cellStyle name="Total 2 5 2 10 3 4" xfId="36739"/>
    <cellStyle name="Total 2 5 2 10 4" xfId="36740"/>
    <cellStyle name="Total 2 5 2 10 4 2" xfId="36741"/>
    <cellStyle name="Total 2 5 2 10 4 3" xfId="36742"/>
    <cellStyle name="Total 2 5 2 10 5" xfId="36743"/>
    <cellStyle name="Total 2 5 2 10 5 2" xfId="36744"/>
    <cellStyle name="Total 2 5 2 10 5 3" xfId="36745"/>
    <cellStyle name="Total 2 5 2 10 6" xfId="36746"/>
    <cellStyle name="Total 2 5 2 10 7" xfId="36747"/>
    <cellStyle name="Total 2 5 2 11 2" xfId="36748"/>
    <cellStyle name="Total 2 5 2 11 3" xfId="36749"/>
    <cellStyle name="Total 2 5 2 11 4" xfId="36750"/>
    <cellStyle name="Total 2 5 2 12" xfId="36751"/>
    <cellStyle name="Total 2 5 2 12 2" xfId="36752"/>
    <cellStyle name="Total 2 5 2 12 3" xfId="36753"/>
    <cellStyle name="Total 2 5 2 12 4" xfId="36754"/>
    <cellStyle name="Total 2 5 2 13" xfId="36755"/>
    <cellStyle name="Total 2 5 2 13 2" xfId="36756"/>
    <cellStyle name="Total 2 5 2 13 3" xfId="36757"/>
    <cellStyle name="Total 2 5 2 14" xfId="36758"/>
    <cellStyle name="Total 2 5 2 14 2" xfId="36759"/>
    <cellStyle name="Total 2 5 2 14 3" xfId="36760"/>
    <cellStyle name="Total 2 5 2 15" xfId="36761"/>
    <cellStyle name="Total 2 5 2 16" xfId="36762"/>
    <cellStyle name="Total 2 5 2 17" xfId="36763"/>
    <cellStyle name="Total 2 5 2 2" xfId="36764"/>
    <cellStyle name="Total 2 5 2 2 2" xfId="36765"/>
    <cellStyle name="Total 2 5 2 2 2 2" xfId="36766"/>
    <cellStyle name="Total 2 5 2 2 2 2 2" xfId="36767"/>
    <cellStyle name="Total 2 5 2 2 2 3" xfId="36768"/>
    <cellStyle name="Total 2 5 2 2 2 4" xfId="36769"/>
    <cellStyle name="Total 2 5 2 2 3" xfId="36770"/>
    <cellStyle name="Total 2 5 2 2 3 2" xfId="36771"/>
    <cellStyle name="Total 2 5 2 2 3 3" xfId="36772"/>
    <cellStyle name="Total 2 5 2 2 3 4" xfId="36773"/>
    <cellStyle name="Total 2 5 2 2 4" xfId="36774"/>
    <cellStyle name="Total 2 5 2 2 4 2" xfId="36775"/>
    <cellStyle name="Total 2 5 2 2 4 3" xfId="36776"/>
    <cellStyle name="Total 2 5 2 2 5" xfId="36777"/>
    <cellStyle name="Total 2 5 2 2 5 2" xfId="36778"/>
    <cellStyle name="Total 2 5 2 2 5 3" xfId="36779"/>
    <cellStyle name="Total 2 5 2 2 6" xfId="36780"/>
    <cellStyle name="Total 2 5 2 2 6 2" xfId="36781"/>
    <cellStyle name="Total 2 5 2 2 6 2 2" xfId="36782"/>
    <cellStyle name="Total 2 5 2 2 7" xfId="36783"/>
    <cellStyle name="Total 2 5 2 3 2" xfId="36784"/>
    <cellStyle name="Total 2 5 2 3 2 2" xfId="36785"/>
    <cellStyle name="Total 2 5 2 3 2 3" xfId="36786"/>
    <cellStyle name="Total 2 5 2 3 2 4" xfId="36787"/>
    <cellStyle name="Total 2 5 2 3 3" xfId="36788"/>
    <cellStyle name="Total 2 5 2 3 3 2" xfId="36789"/>
    <cellStyle name="Total 2 5 2 3 3 3" xfId="36790"/>
    <cellStyle name="Total 2 5 2 3 3 4" xfId="36791"/>
    <cellStyle name="Total 2 5 2 3 4" xfId="36792"/>
    <cellStyle name="Total 2 5 2 3 4 2" xfId="36793"/>
    <cellStyle name="Total 2 5 2 3 4 3" xfId="36794"/>
    <cellStyle name="Total 2 5 2 3 5" xfId="36795"/>
    <cellStyle name="Total 2 5 2 3 5 2" xfId="36796"/>
    <cellStyle name="Total 2 5 2 3 5 3" xfId="36797"/>
    <cellStyle name="Total 2 5 2 3 6" xfId="36798"/>
    <cellStyle name="Total 2 5 2 3 7" xfId="36799"/>
    <cellStyle name="Total 2 5 2 4 2" xfId="36800"/>
    <cellStyle name="Total 2 5 2 4 2 2" xfId="36801"/>
    <cellStyle name="Total 2 5 2 4 2 3" xfId="36802"/>
    <cellStyle name="Total 2 5 2 4 2 4" xfId="36803"/>
    <cellStyle name="Total 2 5 2 4 3" xfId="36804"/>
    <cellStyle name="Total 2 5 2 4 3 2" xfId="36805"/>
    <cellStyle name="Total 2 5 2 4 3 3" xfId="36806"/>
    <cellStyle name="Total 2 5 2 4 3 4" xfId="36807"/>
    <cellStyle name="Total 2 5 2 4 4" xfId="36808"/>
    <cellStyle name="Total 2 5 2 4 4 2" xfId="36809"/>
    <cellStyle name="Total 2 5 2 4 4 3" xfId="36810"/>
    <cellStyle name="Total 2 5 2 4 5" xfId="36811"/>
    <cellStyle name="Total 2 5 2 4 5 2" xfId="36812"/>
    <cellStyle name="Total 2 5 2 4 5 3" xfId="36813"/>
    <cellStyle name="Total 2 5 2 4 6" xfId="36814"/>
    <cellStyle name="Total 2 5 2 4 7" xfId="36815"/>
    <cellStyle name="Total 2 5 2 5 2 4" xfId="36816"/>
    <cellStyle name="Total 2 5 2 5 3 2" xfId="36817"/>
    <cellStyle name="Total 2 5 2 5 3 3" xfId="36818"/>
    <cellStyle name="Total 2 5 2 5 3 4" xfId="36819"/>
    <cellStyle name="Total 2 5 2 5 4" xfId="36820"/>
    <cellStyle name="Total 2 5 2 5 4 2" xfId="36821"/>
    <cellStyle name="Total 2 5 2 5 4 3" xfId="36822"/>
    <cellStyle name="Total 2 5 2 5 5" xfId="36823"/>
    <cellStyle name="Total 2 5 2 5 5 2" xfId="36824"/>
    <cellStyle name="Total 2 5 2 5 5 3" xfId="36825"/>
    <cellStyle name="Total 2 5 2 5 6" xfId="36826"/>
    <cellStyle name="Total 2 5 2 5 7" xfId="36827"/>
    <cellStyle name="Total 2 5 2 6" xfId="36828"/>
    <cellStyle name="Total 2 5 2 6 2" xfId="36829"/>
    <cellStyle name="Total 2 5 2 6 2 2" xfId="36830"/>
    <cellStyle name="Total 2 5 2 6 2 3" xfId="36831"/>
    <cellStyle name="Total 2 5 2 6 2 4" xfId="36832"/>
    <cellStyle name="Total 2 5 2 6 3" xfId="36833"/>
    <cellStyle name="Total 2 5 2 6 3 2" xfId="36834"/>
    <cellStyle name="Total 2 5 2 6 3 3" xfId="36835"/>
    <cellStyle name="Total 2 5 2 6 3 4" xfId="36836"/>
    <cellStyle name="Total 2 5 2 6 4" xfId="36837"/>
    <cellStyle name="Total 2 5 2 6 4 2" xfId="36838"/>
    <cellStyle name="Total 2 5 2 6 4 3" xfId="36839"/>
    <cellStyle name="Total 2 5 2 6 5" xfId="36840"/>
    <cellStyle name="Total 2 5 2 6 6" xfId="36841"/>
    <cellStyle name="Total 2 5 2 6 7" xfId="36842"/>
    <cellStyle name="Total 2 5 2 7" xfId="36843"/>
    <cellStyle name="Total 2 5 2 7 2" xfId="36844"/>
    <cellStyle name="Total 2 5 2 7 2 2" xfId="36845"/>
    <cellStyle name="Total 2 5 2 7 2 3" xfId="36846"/>
    <cellStyle name="Total 2 5 2 7 2 4" xfId="36847"/>
    <cellStyle name="Total 2 5 2 7 3" xfId="36848"/>
    <cellStyle name="Total 2 5 2 7 3 2" xfId="36849"/>
    <cellStyle name="Total 2 5 2 7 3 3" xfId="36850"/>
    <cellStyle name="Total 2 5 2 7 3 4" xfId="36851"/>
    <cellStyle name="Total 2 5 2 7 4" xfId="36852"/>
    <cellStyle name="Total 2 5 2 7 4 2" xfId="36853"/>
    <cellStyle name="Total 2 5 2 7 4 3" xfId="36854"/>
    <cellStyle name="Total 2 5 2 7 5" xfId="36855"/>
    <cellStyle name="Total 2 5 2 7 5 2" xfId="36856"/>
    <cellStyle name="Total 2 5 2 7 5 3" xfId="36857"/>
    <cellStyle name="Total 2 5 2 7 6" xfId="36858"/>
    <cellStyle name="Total 2 5 2 7 7" xfId="36859"/>
    <cellStyle name="Total 2 5 2 8" xfId="36860"/>
    <cellStyle name="Total 2 5 2 8 2" xfId="36861"/>
    <cellStyle name="Total 2 5 2 8 2 2" xfId="36862"/>
    <cellStyle name="Total 2 5 2 8 2 3" xfId="36863"/>
    <cellStyle name="Total 2 5 2 8 2 4" xfId="36864"/>
    <cellStyle name="Total 2 5 2 8 3" xfId="36865"/>
    <cellStyle name="Total 2 5 2 8 3 2" xfId="36866"/>
    <cellStyle name="Total 2 5 2 8 3 3" xfId="36867"/>
    <cellStyle name="Total 2 5 2 8 3 4" xfId="36868"/>
    <cellStyle name="Total 2 5 2 8 4" xfId="36869"/>
    <cellStyle name="Total 2 5 2 8 4 2" xfId="36870"/>
    <cellStyle name="Total 2 5 2 8 4 3" xfId="36871"/>
    <cellStyle name="Total 2 5 2 8 5" xfId="36872"/>
    <cellStyle name="Total 2 5 2 8 5 2" xfId="36873"/>
    <cellStyle name="Total 2 5 2 8 5 3" xfId="36874"/>
    <cellStyle name="Total 2 5 2 8 6" xfId="36875"/>
    <cellStyle name="Total 2 5 2 8 7" xfId="36876"/>
    <cellStyle name="Total 2 5 2 9" xfId="36877"/>
    <cellStyle name="Total 2 5 2 9 2" xfId="36878"/>
    <cellStyle name="Total 2 5 2 9 2 2" xfId="36879"/>
    <cellStyle name="Total 2 5 2 9 2 3" xfId="36880"/>
    <cellStyle name="Total 2 5 2 9 2 4" xfId="36881"/>
    <cellStyle name="Total 2 5 2 9 3" xfId="36882"/>
    <cellStyle name="Total 2 5 2 9 3 2" xfId="36883"/>
    <cellStyle name="Total 2 5 2 9 3 3" xfId="36884"/>
    <cellStyle name="Total 2 5 2 9 3 4" xfId="36885"/>
    <cellStyle name="Total 2 5 2 9 4" xfId="36886"/>
    <cellStyle name="Total 2 5 2 9 4 2" xfId="36887"/>
    <cellStyle name="Total 2 5 2 9 4 3" xfId="36888"/>
    <cellStyle name="Total 2 5 2 9 5" xfId="36889"/>
    <cellStyle name="Total 2 5 2 9 5 2" xfId="36890"/>
    <cellStyle name="Total 2 5 2 9 5 3" xfId="36891"/>
    <cellStyle name="Total 2 5 2 9 6" xfId="36892"/>
    <cellStyle name="Total 2 5 2 9 7" xfId="36893"/>
    <cellStyle name="Total 2 5 3" xfId="36894"/>
    <cellStyle name="Total 2 5 3 10" xfId="36895"/>
    <cellStyle name="Total 2 5 3 10 2" xfId="36896"/>
    <cellStyle name="Total 2 5 3 10 2 2" xfId="36897"/>
    <cellStyle name="Total 2 5 3 10 2 3" xfId="36898"/>
    <cellStyle name="Total 2 5 3 10 3" xfId="36899"/>
    <cellStyle name="Total 2 5 3 10 3 2" xfId="36900"/>
    <cellStyle name="Total 2 5 3 10 3 3" xfId="36901"/>
    <cellStyle name="Total 2 5 3 10 4" xfId="36902"/>
    <cellStyle name="Total 2 5 3 10 4 2" xfId="36903"/>
    <cellStyle name="Total 2 5 3 10 4 3" xfId="36904"/>
    <cellStyle name="Total 2 5 3 10 5" xfId="36905"/>
    <cellStyle name="Total 2 5 3 10 5 2" xfId="36906"/>
    <cellStyle name="Total 2 5 3 10 5 3" xfId="36907"/>
    <cellStyle name="Total 2 5 3 10 6" xfId="36908"/>
    <cellStyle name="Total 2 5 3 10 7" xfId="36909"/>
    <cellStyle name="Total 2 5 3 11" xfId="36910"/>
    <cellStyle name="Total 2 5 3 11 2" xfId="36911"/>
    <cellStyle name="Total 2 5 3 11 3" xfId="36912"/>
    <cellStyle name="Total 2 5 3 11 4" xfId="36913"/>
    <cellStyle name="Total 2 5 3 12" xfId="36914"/>
    <cellStyle name="Total 2 5 3 12 2" xfId="36915"/>
    <cellStyle name="Total 2 5 3 12 3" xfId="36916"/>
    <cellStyle name="Total 2 5 3 12 4" xfId="36917"/>
    <cellStyle name="Total 2 5 3 13" xfId="36918"/>
    <cellStyle name="Total 2 5 3 13 2" xfId="36919"/>
    <cellStyle name="Total 2 5 3 13 3" xfId="36920"/>
    <cellStyle name="Total 2 5 3 14" xfId="36921"/>
    <cellStyle name="Total 2 5 3 14 2" xfId="36922"/>
    <cellStyle name="Total 2 7 3 2 7" xfId="36923"/>
    <cellStyle name="Total 2 5 3 14 3" xfId="36924"/>
    <cellStyle name="Total 2 5 3 15" xfId="36925"/>
    <cellStyle name="Total 2 5 3 16" xfId="36926"/>
    <cellStyle name="Total 2 5 3 2" xfId="36927"/>
    <cellStyle name="Total 2 5 3 2 2" xfId="36928"/>
    <cellStyle name="Total 2 5 3 2 2 2" xfId="36929"/>
    <cellStyle name="Total 2 5 3 2 2 3" xfId="36930"/>
    <cellStyle name="Total 2 5 3 2 2 4" xfId="36931"/>
    <cellStyle name="Total 2 5 3 2 3" xfId="36932"/>
    <cellStyle name="Total 2 5 3 2 3 2" xfId="36933"/>
    <cellStyle name="Total 2 5 3 2 3 3" xfId="36934"/>
    <cellStyle name="Total 2 5 3 2 3 4" xfId="36935"/>
    <cellStyle name="Total 2 5 3 2 4" xfId="36936"/>
    <cellStyle name="Total 2 5 3 2 4 2" xfId="36937"/>
    <cellStyle name="Total 2 5 3 2 4 3" xfId="36938"/>
    <cellStyle name="Total 2 5 3 2 5" xfId="36939"/>
    <cellStyle name="Total 2 5 3 2 5 2" xfId="36940"/>
    <cellStyle name="Total 2 5 3 2 5 3" xfId="36941"/>
    <cellStyle name="Total 2 5 3 2 6" xfId="36942"/>
    <cellStyle name="Total 2 5 3 2 7" xfId="36943"/>
    <cellStyle name="Total 2 5 3 3 2" xfId="36944"/>
    <cellStyle name="Total 2 5 3 3 2 2" xfId="36945"/>
    <cellStyle name="Total 2 5 3 3 2 3" xfId="36946"/>
    <cellStyle name="Total 2 5 3 3 2 4" xfId="36947"/>
    <cellStyle name="Total 2 5 3 3 3" xfId="36948"/>
    <cellStyle name="Total 2 5 3 3 3 2" xfId="36949"/>
    <cellStyle name="Total 2 5 3 3 3 3" xfId="36950"/>
    <cellStyle name="Total 2 5 3 3 3 4" xfId="36951"/>
    <cellStyle name="Total 2 5 3 3 4" xfId="36952"/>
    <cellStyle name="Total 2 5 3 3 4 2" xfId="36953"/>
    <cellStyle name="Total 2 5 3 3 4 3" xfId="36954"/>
    <cellStyle name="Total 2 5 3 3 5" xfId="36955"/>
    <cellStyle name="Total 2 5 3 3 5 2" xfId="36956"/>
    <cellStyle name="Total 2 5 3 3 5 3" xfId="36957"/>
    <cellStyle name="Total 2 5 3 3 6" xfId="36958"/>
    <cellStyle name="Total 2 5 3 3 7" xfId="36959"/>
    <cellStyle name="Total 2 5 3 4 2" xfId="36960"/>
    <cellStyle name="Total 2 5 3 4 2 2" xfId="36961"/>
    <cellStyle name="Total 2 5 3 4 2 3" xfId="36962"/>
    <cellStyle name="Total 2 5 3 4 2 4" xfId="36963"/>
    <cellStyle name="Total 2 5 3 4 3" xfId="36964"/>
    <cellStyle name="Total 2 5 3 4 3 2" xfId="36965"/>
    <cellStyle name="Total 2 5 3 4 3 3" xfId="36966"/>
    <cellStyle name="Total 2 5 3 4 3 4" xfId="36967"/>
    <cellStyle name="Total 2 5 3 4 4" xfId="36968"/>
    <cellStyle name="Total 2 5 3 4 4 2" xfId="36969"/>
    <cellStyle name="Total 2 5 3 4 4 3" xfId="36970"/>
    <cellStyle name="Total 2 5 3 4 5" xfId="36971"/>
    <cellStyle name="Total 2 5 3 4 5 2" xfId="36972"/>
    <cellStyle name="Total 2 5 3 4 5 3" xfId="36973"/>
    <cellStyle name="Total 2 5 3 4 6" xfId="36974"/>
    <cellStyle name="Total 2 5 3 4 7" xfId="36975"/>
    <cellStyle name="Total 2 5 3 5 2 2" xfId="36976"/>
    <cellStyle name="Total 2 5 3 5 2 3" xfId="36977"/>
    <cellStyle name="Total 2 5 3 5 2 4" xfId="36978"/>
    <cellStyle name="Total 2 5 3 5 3" xfId="36979"/>
    <cellStyle name="Total 2 5 3 5 3 2" xfId="36980"/>
    <cellStyle name="Total 2 5 3 5 3 3" xfId="36981"/>
    <cellStyle name="Total 2 5 3 5 3 4" xfId="36982"/>
    <cellStyle name="Total 2 5 3 5 4" xfId="36983"/>
    <cellStyle name="Total 2 5 3 5 4 2" xfId="36984"/>
    <cellStyle name="Total 2 5 3 5 4 3" xfId="36985"/>
    <cellStyle name="Total 2 5 3 5 5" xfId="36986"/>
    <cellStyle name="Total 2 5 3 5 5 2" xfId="36987"/>
    <cellStyle name="Total 2 5 3 5 5 3" xfId="36988"/>
    <cellStyle name="Total 2 5 3 5 6" xfId="36989"/>
    <cellStyle name="Total 2 5 3 5 7" xfId="36990"/>
    <cellStyle name="Total 2 5 3 6" xfId="36991"/>
    <cellStyle name="Total 2 5 3 6 2" xfId="36992"/>
    <cellStyle name="Total 2 5 3 6 2 2" xfId="36993"/>
    <cellStyle name="Total 2 5 3 6 2 3" xfId="36994"/>
    <cellStyle name="Total 2 5 3 6 2 4" xfId="36995"/>
    <cellStyle name="Total 2 5 3 6 3" xfId="36996"/>
    <cellStyle name="Total 2 5 3 6 3 2" xfId="36997"/>
    <cellStyle name="Total 2 5 3 6 3 3" xfId="36998"/>
    <cellStyle name="Total 2 5 3 6 3 4" xfId="36999"/>
    <cellStyle name="Total 2 5 3 6 4" xfId="37000"/>
    <cellStyle name="Total 2 5 3 6 4 2" xfId="37001"/>
    <cellStyle name="Total 2 5 3 6 4 3" xfId="37002"/>
    <cellStyle name="Total 2 5 3 6 5" xfId="37003"/>
    <cellStyle name="Total 2 5 3 6 5 2" xfId="37004"/>
    <cellStyle name="Total 2 5 3 6 5 3" xfId="37005"/>
    <cellStyle name="Total 2 5 3 6 6" xfId="37006"/>
    <cellStyle name="Total 2 5 3 6 7" xfId="37007"/>
    <cellStyle name="Total 2 5 3 7" xfId="37008"/>
    <cellStyle name="Total 2 5 3 7 2" xfId="37009"/>
    <cellStyle name="Total 2 5 3 7 2 2" xfId="37010"/>
    <cellStyle name="Total 2 5 3 7 2 3" xfId="37011"/>
    <cellStyle name="Total 2 5 3 7 2 4" xfId="37012"/>
    <cellStyle name="Total 2 5 3 7 3" xfId="37013"/>
    <cellStyle name="Total 2 5 3 7 3 2" xfId="37014"/>
    <cellStyle name="Total 2 5 3 7 3 3" xfId="37015"/>
    <cellStyle name="Total 2 5 3 7 3 4" xfId="37016"/>
    <cellStyle name="Total 2 5 3 7 4" xfId="37017"/>
    <cellStyle name="Total 2 5 3 7 4 2" xfId="37018"/>
    <cellStyle name="Total 2 5 3 7 4 3" xfId="37019"/>
    <cellStyle name="Total 2 5 3 7 5" xfId="37020"/>
    <cellStyle name="Total 2 5 3 7 5 2" xfId="37021"/>
    <cellStyle name="Total 2 5 3 7 5 3" xfId="37022"/>
    <cellStyle name="Total 2 5 3 7 6" xfId="37023"/>
    <cellStyle name="Total 2 5 3 7 7" xfId="37024"/>
    <cellStyle name="Total 2 5 3 8" xfId="37025"/>
    <cellStyle name="Total 2 5 3 8 2" xfId="37026"/>
    <cellStyle name="Total 2 5 3 8 2 2" xfId="37027"/>
    <cellStyle name="Total 2 5 3 8 2 3" xfId="37028"/>
    <cellStyle name="Total 2 5 3 8 2 4" xfId="37029"/>
    <cellStyle name="Total 2 5 3 8 3" xfId="37030"/>
    <cellStyle name="Total 2 5 3 8 3 2" xfId="37031"/>
    <cellStyle name="Total 2 5 3 8 3 3" xfId="37032"/>
    <cellStyle name="Total 2 5 3 8 3 4" xfId="37033"/>
    <cellStyle name="Total 2 5 3 8 4" xfId="37034"/>
    <cellStyle name="Total 2 5 3 8 4 2" xfId="37035"/>
    <cellStyle name="Total 2 5 3 8 4 3" xfId="37036"/>
    <cellStyle name="Total 2 5 3 8 5" xfId="37037"/>
    <cellStyle name="Total 2 5 3 8 5 2" xfId="37038"/>
    <cellStyle name="Total 2 5 3 8 5 3" xfId="37039"/>
    <cellStyle name="Total 2 5 3 8 6" xfId="37040"/>
    <cellStyle name="Total 2 5 3 8 7" xfId="37041"/>
    <cellStyle name="Total 2 5 3 9" xfId="37042"/>
    <cellStyle name="Total 2 5 3 9 2" xfId="37043"/>
    <cellStyle name="Total 2 5 3 9 2 2" xfId="37044"/>
    <cellStyle name="Total 2 5 3 9 2 3" xfId="37045"/>
    <cellStyle name="Total 2 5 3 9 2 4" xfId="37046"/>
    <cellStyle name="Total 2 5 3 9 3" xfId="37047"/>
    <cellStyle name="Total 2 5 3 9 3 2" xfId="37048"/>
    <cellStyle name="Total 2 5 3 9 3 3" xfId="37049"/>
    <cellStyle name="Total 2 5 3 9 3 4" xfId="37050"/>
    <cellStyle name="Total 2 5 3 9 4" xfId="37051"/>
    <cellStyle name="Total 2 5 3 9 4 2" xfId="37052"/>
    <cellStyle name="Total 2 5 3 9 4 3" xfId="37053"/>
    <cellStyle name="Total 2 5 3 9 5" xfId="37054"/>
    <cellStyle name="Total 2 5 3 9 5 2" xfId="37055"/>
    <cellStyle name="Total 2 5 3 9 5 3" xfId="37056"/>
    <cellStyle name="Total 2 5 3 9 6" xfId="37057"/>
    <cellStyle name="Total 2 5 3 9 7" xfId="37058"/>
    <cellStyle name="Total 2 5 4" xfId="37059"/>
    <cellStyle name="Total 2 5 4 2" xfId="37060"/>
    <cellStyle name="Total 2 5 4 2 2" xfId="37061"/>
    <cellStyle name="Total 2 5 4 2 3" xfId="37062"/>
    <cellStyle name="Total 2 5 4 2 4" xfId="37063"/>
    <cellStyle name="Total 2 5 4 3 2" xfId="37064"/>
    <cellStyle name="Total 2 5 4 3 3" xfId="37065"/>
    <cellStyle name="Total 2 5 4 3 4" xfId="37066"/>
    <cellStyle name="Total 2 5 4 4 2" xfId="37067"/>
    <cellStyle name="Total 2 5 4 4 3" xfId="37068"/>
    <cellStyle name="Total 2 5 4 5" xfId="37069"/>
    <cellStyle name="Total 2 5 4 5 2" xfId="37070"/>
    <cellStyle name="Total 2 5 4 5 3" xfId="37071"/>
    <cellStyle name="Total 2 5 4 6" xfId="37072"/>
    <cellStyle name="Total 2 5 4 7" xfId="37073"/>
    <cellStyle name="Total 2 5 5" xfId="37074"/>
    <cellStyle name="Total 2 5 5 2" xfId="37075"/>
    <cellStyle name="Total 2 5 5 2 4" xfId="37076"/>
    <cellStyle name="Total 2 5 5 3" xfId="37077"/>
    <cellStyle name="Total 2 5 5 3 2" xfId="37078"/>
    <cellStyle name="Total 2 5 5 3 3" xfId="37079"/>
    <cellStyle name="Total 2 5 5 3 4" xfId="37080"/>
    <cellStyle name="Total 2 5 5 4" xfId="37081"/>
    <cellStyle name="Total 2 5 5 4 2" xfId="37082"/>
    <cellStyle name="Total 2 5 5 4 3" xfId="37083"/>
    <cellStyle name="Total 2 5 5 5" xfId="37084"/>
    <cellStyle name="Total 2 5 5 5 2" xfId="37085"/>
    <cellStyle name="Total 2 5 5 5 3" xfId="37086"/>
    <cellStyle name="Total 2 5 5 6" xfId="37087"/>
    <cellStyle name="Total 2 5 5 7" xfId="37088"/>
    <cellStyle name="Total 2 5 6" xfId="37089"/>
    <cellStyle name="Total 2 5 6 2" xfId="37090"/>
    <cellStyle name="Total 2 5 6 2 2" xfId="37091"/>
    <cellStyle name="Total 2 5 6 2 3" xfId="37092"/>
    <cellStyle name="Total 2 5 6 2 4" xfId="37093"/>
    <cellStyle name="Total 2 5 6 3" xfId="37094"/>
    <cellStyle name="Total 2 5 6 3 2" xfId="37095"/>
    <cellStyle name="Total 2 5 6 3 3" xfId="37096"/>
    <cellStyle name="Total 2 5 6 3 4" xfId="37097"/>
    <cellStyle name="Total 2 5 6 4" xfId="37098"/>
    <cellStyle name="Total 2 5 6 4 2" xfId="37099"/>
    <cellStyle name="Total 2 5 6 4 3" xfId="37100"/>
    <cellStyle name="Total 2 5 6 5" xfId="37101"/>
    <cellStyle name="Total 2 5 6 5 2" xfId="37102"/>
    <cellStyle name="Total 2 5 6 5 3" xfId="37103"/>
    <cellStyle name="Total 2 5 6 6" xfId="37104"/>
    <cellStyle name="Total 2 5 6 7" xfId="37105"/>
    <cellStyle name="Total 2 5 7" xfId="37106"/>
    <cellStyle name="Total 2 5 7 2" xfId="37107"/>
    <cellStyle name="Total 2 5 7 2 2" xfId="37108"/>
    <cellStyle name="Total 2 5 7 2 3" xfId="37109"/>
    <cellStyle name="Total 2 5 7 2 4" xfId="37110"/>
    <cellStyle name="Total 2 5 7 3" xfId="37111"/>
    <cellStyle name="Total 2 5 7 3 2" xfId="37112"/>
    <cellStyle name="Total 2 5 7 3 3" xfId="37113"/>
    <cellStyle name="Total 2 5 7 3 4" xfId="37114"/>
    <cellStyle name="Total 2 5 7 4" xfId="37115"/>
    <cellStyle name="Total 2 5 7 4 2" xfId="37116"/>
    <cellStyle name="Total 2 5 7 4 3" xfId="37117"/>
    <cellStyle name="Total 2 5 7 5" xfId="37118"/>
    <cellStyle name="Total 2 5 7 5 2" xfId="37119"/>
    <cellStyle name="Total 2 5 7 5 3" xfId="37120"/>
    <cellStyle name="Total 2 5 7 6" xfId="37121"/>
    <cellStyle name="Total 2 5 7 7" xfId="37122"/>
    <cellStyle name="Total 2 5 8" xfId="37123"/>
    <cellStyle name="Total 2 5 8 2" xfId="37124"/>
    <cellStyle name="Total 2 5 8 2 2" xfId="37125"/>
    <cellStyle name="Total 2 5 8 2 3" xfId="37126"/>
    <cellStyle name="Total 2 5 8 2 4" xfId="37127"/>
    <cellStyle name="Total 2 5 8 3" xfId="37128"/>
    <cellStyle name="Total 2 5 8 3 2" xfId="37129"/>
    <cellStyle name="Total 2 5 8 3 3" xfId="37130"/>
    <cellStyle name="Total 2 5 8 3 4" xfId="37131"/>
    <cellStyle name="Total 2 5 8 4" xfId="37132"/>
    <cellStyle name="Total 2 5 8 4 2" xfId="37133"/>
    <cellStyle name="Total 2 5 8 4 3" xfId="37134"/>
    <cellStyle name="Total 2 5 8 5" xfId="37135"/>
    <cellStyle name="Total 2 5 8 5 2" xfId="37136"/>
    <cellStyle name="Total 2 5 8 5 3" xfId="37137"/>
    <cellStyle name="Total 2 5 8 6" xfId="37138"/>
    <cellStyle name="Total 2 5 8 7" xfId="37139"/>
    <cellStyle name="Total 2 5 9" xfId="37140"/>
    <cellStyle name="Total 2 5 9 2" xfId="37141"/>
    <cellStyle name="Total 2 5 9 2 2" xfId="37142"/>
    <cellStyle name="Total 2 5 9 2 3" xfId="37143"/>
    <cellStyle name="Total 2 5 9 2 4" xfId="37144"/>
    <cellStyle name="Total 2 5 9 3" xfId="37145"/>
    <cellStyle name="Total 2 5 9 3 2" xfId="37146"/>
    <cellStyle name="Total 2 5 9 3 3" xfId="37147"/>
    <cellStyle name="Total 2 5 9 3 4" xfId="37148"/>
    <cellStyle name="Total 2 5 9 4" xfId="37149"/>
    <cellStyle name="Total 2 5 9 4 2" xfId="37150"/>
    <cellStyle name="Total 2 5 9 4 3" xfId="37151"/>
    <cellStyle name="Total 2 5 9 5" xfId="37152"/>
    <cellStyle name="Total 2 5 9 5 2" xfId="37153"/>
    <cellStyle name="Total 2 5 9 5 3" xfId="37154"/>
    <cellStyle name="Total 2 5 9 6" xfId="37155"/>
    <cellStyle name="Total 2 5 9 7" xfId="37156"/>
    <cellStyle name="Total 2 6" xfId="37157"/>
    <cellStyle name="Total 2 6 10" xfId="37158"/>
    <cellStyle name="Total 2 6 10 2" xfId="37159"/>
    <cellStyle name="Total 2 6 10 2 2" xfId="37160"/>
    <cellStyle name="Total 2 6 10 2 3" xfId="37161"/>
    <cellStyle name="Total 2 6 10 2 4" xfId="37162"/>
    <cellStyle name="Total 2 6 10 3" xfId="37163"/>
    <cellStyle name="Total 2 6 10 3 2" xfId="37164"/>
    <cellStyle name="Total 2 6 10 3 3" xfId="37165"/>
    <cellStyle name="Total 2 6 10 3 4" xfId="37166"/>
    <cellStyle name="Total 2 6 10 4" xfId="37167"/>
    <cellStyle name="Total 2 6 10 4 2" xfId="37168"/>
    <cellStyle name="Total 2 6 10 4 3" xfId="37169"/>
    <cellStyle name="Total 2 6 10 5" xfId="37170"/>
    <cellStyle name="Total 2 6 10 5 2" xfId="37171"/>
    <cellStyle name="Total 2 6 10 5 3" xfId="37172"/>
    <cellStyle name="Total 2 6 10 6" xfId="37173"/>
    <cellStyle name="Total 2 6 10 7" xfId="37174"/>
    <cellStyle name="Total 2 6 11" xfId="37175"/>
    <cellStyle name="Total 2 6 11 2" xfId="37176"/>
    <cellStyle name="Total 2 6 11 2 2" xfId="37177"/>
    <cellStyle name="Total 2 6 11 2 3" xfId="37178"/>
    <cellStyle name="Total 2 6 11 2 4" xfId="37179"/>
    <cellStyle name="Total 2 6 11 3" xfId="37180"/>
    <cellStyle name="Total 2 6 11 3 2" xfId="37181"/>
    <cellStyle name="Total 2 6 11 3 3" xfId="37182"/>
    <cellStyle name="Total 2 6 11 3 4" xfId="37183"/>
    <cellStyle name="Total 2 6 11 4" xfId="37184"/>
    <cellStyle name="Total 2 6 11 4 2" xfId="37185"/>
    <cellStyle name="Total 2 6 11 4 3" xfId="37186"/>
    <cellStyle name="Total 2 6 11 5" xfId="37187"/>
    <cellStyle name="Total 2 6 11 5 2" xfId="37188"/>
    <cellStyle name="Total 2 6 11 5 3" xfId="37189"/>
    <cellStyle name="Total 2 6 11 6" xfId="37190"/>
    <cellStyle name="Total 2 6 11 7" xfId="37191"/>
    <cellStyle name="Total 2 6 12" xfId="37192"/>
    <cellStyle name="Total 2 6 12 2" xfId="37193"/>
    <cellStyle name="Total 2 6 12 2 2" xfId="37194"/>
    <cellStyle name="Total 2 6 12 2 3" xfId="37195"/>
    <cellStyle name="Total 2 6 12 2 4" xfId="37196"/>
    <cellStyle name="Total 2 6 12 3" xfId="37197"/>
    <cellStyle name="Total 2 6 12 3 2" xfId="37198"/>
    <cellStyle name="Total 2 6 12 3 3" xfId="37199"/>
    <cellStyle name="Total 2 6 12 3 4" xfId="37200"/>
    <cellStyle name="Total 2 6 12 4" xfId="37201"/>
    <cellStyle name="Total 2 6 12 4 2" xfId="37202"/>
    <cellStyle name="Total 2 6 12 4 3" xfId="37203"/>
    <cellStyle name="Total 2 6 12 5" xfId="37204"/>
    <cellStyle name="Total 2 6 12 5 2" xfId="37205"/>
    <cellStyle name="Total 2 6 12 5 3" xfId="37206"/>
    <cellStyle name="Total 2 6 12 6" xfId="37207"/>
    <cellStyle name="Total 2 6 12 7" xfId="37208"/>
    <cellStyle name="Total 2 6 13" xfId="37209"/>
    <cellStyle name="Total 2 6 13 2" xfId="37210"/>
    <cellStyle name="Total 2 6 13 3" xfId="37211"/>
    <cellStyle name="Total 2 6 13 4" xfId="37212"/>
    <cellStyle name="Total 2 6 14" xfId="37213"/>
    <cellStyle name="Total 2 6 14 2" xfId="37214"/>
    <cellStyle name="Total 2 6 14 3" xfId="37215"/>
    <cellStyle name="Total 2 6 14 4" xfId="37216"/>
    <cellStyle name="Total 2 6 15" xfId="37217"/>
    <cellStyle name="Total 2 6 20" xfId="37218"/>
    <cellStyle name="Total 2 6 15 2" xfId="37219"/>
    <cellStyle name="Total 2 6 15 3" xfId="37220"/>
    <cellStyle name="Total 2 6 16" xfId="37221"/>
    <cellStyle name="Total 2 6 16 2" xfId="37222"/>
    <cellStyle name="Total 2 6 16 3" xfId="37223"/>
    <cellStyle name="Total 2 6 17" xfId="37224"/>
    <cellStyle name="Total 2 6 17 2" xfId="37225"/>
    <cellStyle name="Total 2 6 17 2 2" xfId="37226"/>
    <cellStyle name="Total 2 6 18" xfId="37227"/>
    <cellStyle name="Total 2 6 19" xfId="37228"/>
    <cellStyle name="Total 2 6 2" xfId="37229"/>
    <cellStyle name="Total 2 6 2 10 2 2" xfId="37230"/>
    <cellStyle name="Total 2 6 2 10 2 3" xfId="37231"/>
    <cellStyle name="Total 2 6 2 10 2 4" xfId="37232"/>
    <cellStyle name="Total 2 6 2 10 3" xfId="37233"/>
    <cellStyle name="Total 2 6 2 10 3 2" xfId="37234"/>
    <cellStyle name="Total 2 6 2 10 3 3" xfId="37235"/>
    <cellStyle name="Total 2 6 2 10 3 4" xfId="37236"/>
    <cellStyle name="Total 2 6 2 10 4" xfId="37237"/>
    <cellStyle name="Total 2 6 2 10 4 2" xfId="37238"/>
    <cellStyle name="Total 2 6 2 10 4 3" xfId="37239"/>
    <cellStyle name="Total 2 6 2 10 5" xfId="37240"/>
    <cellStyle name="Total 2 6 2 10 5 2" xfId="37241"/>
    <cellStyle name="Total 2 6 2 10 5 3" xfId="37242"/>
    <cellStyle name="Total 2 6 2 10 6" xfId="37243"/>
    <cellStyle name="Total 2 6 2 10 7" xfId="37244"/>
    <cellStyle name="Total 2 6 2 11 3" xfId="37245"/>
    <cellStyle name="Total 2 6 2 11 4" xfId="37246"/>
    <cellStyle name="Total 2 6 2 12 2" xfId="37247"/>
    <cellStyle name="Total 2 6 2 12 3" xfId="37248"/>
    <cellStyle name="Total 2 6 2 12 4" xfId="37249"/>
    <cellStyle name="Total 2 6 2 13" xfId="37250"/>
    <cellStyle name="Total 2 6 2 13 2" xfId="37251"/>
    <cellStyle name="Total 2 6 2 13 3" xfId="37252"/>
    <cellStyle name="Total 2 6 2 14" xfId="37253"/>
    <cellStyle name="Total 2 6 2 14 2" xfId="37254"/>
    <cellStyle name="Total 2 6 2 14 3" xfId="37255"/>
    <cellStyle name="Total 2 6 2 15" xfId="37256"/>
    <cellStyle name="Total 2 6 2 16" xfId="37257"/>
    <cellStyle name="Total 2 6 2 17" xfId="37258"/>
    <cellStyle name="Total 2 6 2 2" xfId="37259"/>
    <cellStyle name="Total 2 6 2 2 2" xfId="37260"/>
    <cellStyle name="Total 2 6 2 2 2 2" xfId="37261"/>
    <cellStyle name="Total 2 6 2 2 2 3" xfId="37262"/>
    <cellStyle name="Total 2 6 2 2 3" xfId="37263"/>
    <cellStyle name="Total 2 6 2 2 3 2" xfId="37264"/>
    <cellStyle name="Total 2 6 2 2 3 3" xfId="37265"/>
    <cellStyle name="Total 2 6 2 2 3 4" xfId="37266"/>
    <cellStyle name="Total 2 6 2 2 4" xfId="37267"/>
    <cellStyle name="Total 2 6 2 2 4 2" xfId="37268"/>
    <cellStyle name="Total 2 6 2 2 4 3" xfId="37269"/>
    <cellStyle name="Total 2 6 2 2 5" xfId="37270"/>
    <cellStyle name="Total 2 6 2 2 5 2" xfId="37271"/>
    <cellStyle name="Total 2 6 2 2 5 3" xfId="37272"/>
    <cellStyle name="Total 2 6 2 2 6" xfId="37273"/>
    <cellStyle name="Total 2 6 2 2 7" xfId="37274"/>
    <cellStyle name="Total 2 6 2 3 2" xfId="37275"/>
    <cellStyle name="Total 2 6 2 3 2 2" xfId="37276"/>
    <cellStyle name="Total 2 6 2 3 2 3" xfId="37277"/>
    <cellStyle name="Total 2 6 2 3 2 4" xfId="37278"/>
    <cellStyle name="Total 2 6 2 3 3" xfId="37279"/>
    <cellStyle name="Total 2 6 2 3 3 2" xfId="37280"/>
    <cellStyle name="Total 2 6 2 3 3 3" xfId="37281"/>
    <cellStyle name="Total 2 6 2 3 3 4" xfId="37282"/>
    <cellStyle name="Total 2 6 2 3 4" xfId="37283"/>
    <cellStyle name="Total 2 6 2 3 4 2" xfId="37284"/>
    <cellStyle name="Total 2 6 2 3 4 3" xfId="37285"/>
    <cellStyle name="Total 2 6 2 3 5" xfId="37286"/>
    <cellStyle name="Total 2 6 2 3 5 2" xfId="37287"/>
    <cellStyle name="Total 2 6 2 3 5 3" xfId="37288"/>
    <cellStyle name="Total 2 6 2 3 6" xfId="37289"/>
    <cellStyle name="Total 2 6 2 3 7" xfId="37290"/>
    <cellStyle name="Total 2 6 2 4 2" xfId="37291"/>
    <cellStyle name="Total 2 6 2 4 2 2" xfId="37292"/>
    <cellStyle name="Total 2 6 2 4 2 3" xfId="37293"/>
    <cellStyle name="Total 2 6 2 4 2 4" xfId="37294"/>
    <cellStyle name="Total 2 6 2 4 3" xfId="37295"/>
    <cellStyle name="Total 2 6 2 4 3 2" xfId="37296"/>
    <cellStyle name="Total 2 6 2 4 3 3" xfId="37297"/>
    <cellStyle name="Total 2 6 2 4 3 4" xfId="37298"/>
    <cellStyle name="Total 2 6 2 4 4" xfId="37299"/>
    <cellStyle name="Total 2 6 2 4 4 2" xfId="37300"/>
    <cellStyle name="Total 2 6 2 4 4 3" xfId="37301"/>
    <cellStyle name="Total 2 6 2 4 5" xfId="37302"/>
    <cellStyle name="Total 2 6 2 4 5 2" xfId="37303"/>
    <cellStyle name="Total 2 6 2 4 5 3" xfId="37304"/>
    <cellStyle name="Total 2 6 2 4 6" xfId="37305"/>
    <cellStyle name="Total 2 6 2 4 7" xfId="37306"/>
    <cellStyle name="Total 2 6 2 5 2 2" xfId="37307"/>
    <cellStyle name="Total 2 6 2 5 2 3" xfId="37308"/>
    <cellStyle name="Total 2 6 2 5 2 4" xfId="37309"/>
    <cellStyle name="Total 2 6 2 5 3" xfId="37310"/>
    <cellStyle name="Total 2 6 2 5 3 2" xfId="37311"/>
    <cellStyle name="Total 2 6 2 5 3 3" xfId="37312"/>
    <cellStyle name="Total 2 6 2 5 3 4" xfId="37313"/>
    <cellStyle name="Total 2 6 2 5 4" xfId="37314"/>
    <cellStyle name="Total 2 6 2 5 4 2" xfId="37315"/>
    <cellStyle name="Total 2 6 2 5 4 3" xfId="37316"/>
    <cellStyle name="Total 2 6 2 5 5" xfId="37317"/>
    <cellStyle name="Total 2 6 2 5 5 2" xfId="37318"/>
    <cellStyle name="Total 2 6 2 5 5 3" xfId="37319"/>
    <cellStyle name="Total 2 6 2 5 6" xfId="37320"/>
    <cellStyle name="Total 2 6 2 5 7" xfId="37321"/>
    <cellStyle name="Total 2 6 2 6" xfId="37322"/>
    <cellStyle name="Total 2 6 2 6 2" xfId="37323"/>
    <cellStyle name="Total 2 6 2 6 2 2" xfId="37324"/>
    <cellStyle name="Total 2 6 2 6 2 3" xfId="37325"/>
    <cellStyle name="Total 2 6 2 6 2 4" xfId="37326"/>
    <cellStyle name="Total 2 6 2 6 3" xfId="37327"/>
    <cellStyle name="Total 2 6 2 6 3 2" xfId="37328"/>
    <cellStyle name="Total 2 6 2 6 3 3" xfId="37329"/>
    <cellStyle name="Total 2 6 2 6 3 4" xfId="37330"/>
    <cellStyle name="Total 2 6 2 6 4" xfId="37331"/>
    <cellStyle name="Total 2 6 2 6 4 2" xfId="37332"/>
    <cellStyle name="Total 2 6 2 6 4 3" xfId="37333"/>
    <cellStyle name="Total 2 6 2 6 5" xfId="37334"/>
    <cellStyle name="Total 2 6 2 6 5 2" xfId="37335"/>
    <cellStyle name="Total 2 6 2 6 5 3" xfId="37336"/>
    <cellStyle name="Total 2 6 2 6 6" xfId="37337"/>
    <cellStyle name="Total 2 6 2 6 7" xfId="37338"/>
    <cellStyle name="Total 2 6 2 7" xfId="37339"/>
    <cellStyle name="Total 2 6 2 7 2" xfId="37340"/>
    <cellStyle name="Total 2 6 2 7 2 2" xfId="37341"/>
    <cellStyle name="Total 2 6 2 7 2 3" xfId="37342"/>
    <cellStyle name="Total 2 6 2 7 2 4" xfId="37343"/>
    <cellStyle name="Total 2 6 2 7 3" xfId="37344"/>
    <cellStyle name="Total 2 6 2 7 3 2" xfId="37345"/>
    <cellStyle name="Total 2 6 2 7 3 3" xfId="37346"/>
    <cellStyle name="Total 2 6 2 7 3 4" xfId="37347"/>
    <cellStyle name="Total 2 6 2 7 4" xfId="37348"/>
    <cellStyle name="Total 2 6 2 7 4 2" xfId="37349"/>
    <cellStyle name="Total 2 6 2 7 4 3" xfId="37350"/>
    <cellStyle name="Total 2 6 2 7 5" xfId="37351"/>
    <cellStyle name="Total 2 6 2 7 5 2" xfId="37352"/>
    <cellStyle name="Total 2 6 2 7 5 3" xfId="37353"/>
    <cellStyle name="Total 2 6 2 7 6" xfId="37354"/>
    <cellStyle name="Total 2 6 2 7 7" xfId="37355"/>
    <cellStyle name="Total 2 6 2 8" xfId="37356"/>
    <cellStyle name="Total 2 6 2 8 2" xfId="37357"/>
    <cellStyle name="Total 2 6 2 8 2 2" xfId="37358"/>
    <cellStyle name="Total 2 6 2 8 2 3" xfId="37359"/>
    <cellStyle name="Total 2 6 2 8 2 4" xfId="37360"/>
    <cellStyle name="Total 2 6 2 8 3" xfId="37361"/>
    <cellStyle name="Total 2 6 2 8 3 2" xfId="37362"/>
    <cellStyle name="Total 2 6 2 8 3 3" xfId="37363"/>
    <cellStyle name="Total 2 6 2 8 3 4" xfId="37364"/>
    <cellStyle name="Total 2 6 2 8 4" xfId="37365"/>
    <cellStyle name="Total 2 6 2 8 4 2" xfId="37366"/>
    <cellStyle name="Total 2 6 2 8 4 3" xfId="37367"/>
    <cellStyle name="Total 2 6 2 8 5" xfId="37368"/>
    <cellStyle name="Total 2 6 2 8 5 2" xfId="37369"/>
    <cellStyle name="Total 2 6 2 8 5 3" xfId="37370"/>
    <cellStyle name="Total 2 6 2 8 6" xfId="37371"/>
    <cellStyle name="Total 2 6 2 8 7" xfId="37372"/>
    <cellStyle name="Total 2 6 2 9" xfId="37373"/>
    <cellStyle name="Total 2 6 2 9 2" xfId="37374"/>
    <cellStyle name="Total 2 6 2 9 2 2" xfId="37375"/>
    <cellStyle name="Total 2 6 2 9 2 3" xfId="37376"/>
    <cellStyle name="Total 2 6 2 9 2 4" xfId="37377"/>
    <cellStyle name="Total 2 6 2 9 3" xfId="37378"/>
    <cellStyle name="Total 2 6 2 9 3 2" xfId="37379"/>
    <cellStyle name="Total 2 6 2 9 3 3" xfId="37380"/>
    <cellStyle name="Total 2 6 2 9 3 4" xfId="37381"/>
    <cellStyle name="Total 2 6 2 9 4" xfId="37382"/>
    <cellStyle name="Total 2 6 2 9 4 2" xfId="37383"/>
    <cellStyle name="Total 2 6 2 9 4 3" xfId="37384"/>
    <cellStyle name="Total 2 6 2 9 5" xfId="37385"/>
    <cellStyle name="Total 2 6 2 9 5 2" xfId="37386"/>
    <cellStyle name="Total 2 6 2 9 5 3" xfId="37387"/>
    <cellStyle name="Total 2 6 2 9 6" xfId="37388"/>
    <cellStyle name="Total 2 6 2 9 7" xfId="37389"/>
    <cellStyle name="Total 2 6 3" xfId="37390"/>
    <cellStyle name="Total 2 6 3 10" xfId="37391"/>
    <cellStyle name="Total 2 6 3 10 2 2" xfId="37392"/>
    <cellStyle name="Total 2 6 3 10 2 3" xfId="37393"/>
    <cellStyle name="Total 2 6 3 10 2 4" xfId="37394"/>
    <cellStyle name="Total 2 6 3 10 3" xfId="37395"/>
    <cellStyle name="Total 2 6 3 10 3 2" xfId="37396"/>
    <cellStyle name="Total 2 6 3 10 3 3" xfId="37397"/>
    <cellStyle name="Total 2 6 3 10 3 4" xfId="37398"/>
    <cellStyle name="Total 2 6 3 10 4" xfId="37399"/>
    <cellStyle name="Total 2 6 3 10 4 2" xfId="37400"/>
    <cellStyle name="Total 2 6 3 10 4 3" xfId="37401"/>
    <cellStyle name="Total 2 6 3 10 5" xfId="37402"/>
    <cellStyle name="Total 2 6 3 10 5 2" xfId="37403"/>
    <cellStyle name="Total 2 6 3 10 5 3" xfId="37404"/>
    <cellStyle name="Total 2 6 3 10 6" xfId="37405"/>
    <cellStyle name="Total 2 6 3 10 7" xfId="37406"/>
    <cellStyle name="Total 2 6 3 11" xfId="37407"/>
    <cellStyle name="Total 2 6 3 11 3" xfId="37408"/>
    <cellStyle name="Total 2 6 3 11 4" xfId="37409"/>
    <cellStyle name="Total 2 6 3 12" xfId="37410"/>
    <cellStyle name="Total 2 6 3 12 2" xfId="37411"/>
    <cellStyle name="Total 2 6 3 12 3" xfId="37412"/>
    <cellStyle name="Total 2 6 3 12 4" xfId="37413"/>
    <cellStyle name="Total 2 6 3 13" xfId="37414"/>
    <cellStyle name="Total 2 6 3 13 2" xfId="37415"/>
    <cellStyle name="Total 2 6 3 13 3" xfId="37416"/>
    <cellStyle name="Total 2 6 3 14" xfId="37417"/>
    <cellStyle name="Total 2 6 3 14 2" xfId="37418"/>
    <cellStyle name="Total 2 6 3 14 3" xfId="37419"/>
    <cellStyle name="Total 2 6 3 15" xfId="37420"/>
    <cellStyle name="Total 2 6 3 16" xfId="37421"/>
    <cellStyle name="Total 2 6 3 2" xfId="37422"/>
    <cellStyle name="Total 2 6 3 2 2" xfId="37423"/>
    <cellStyle name="Total 2 6 3 2 2 2" xfId="37424"/>
    <cellStyle name="Total 2 6 3 2 2 3" xfId="37425"/>
    <cellStyle name="Total 2 6 3 2 2 4" xfId="37426"/>
    <cellStyle name="Total 2 6 3 2 3" xfId="37427"/>
    <cellStyle name="Total 2 6 3 2 3 2" xfId="37428"/>
    <cellStyle name="Total 2 6 3 2 3 3" xfId="37429"/>
    <cellStyle name="Total 2 6 3 2 3 4" xfId="37430"/>
    <cellStyle name="Total 2 6 3 2 4" xfId="37431"/>
    <cellStyle name="Total 2 6 3 2 4 2" xfId="37432"/>
    <cellStyle name="Total 2 6 3 2 4 3" xfId="37433"/>
    <cellStyle name="Total 2 6 3 2 5" xfId="37434"/>
    <cellStyle name="Total 2 6 3 2 5 2" xfId="37435"/>
    <cellStyle name="Total 2 6 3 2 5 3" xfId="37436"/>
    <cellStyle name="Total 2 6 3 2 6" xfId="37437"/>
    <cellStyle name="Total 2 6 3 2 7" xfId="37438"/>
    <cellStyle name="Total 2 6 3 3 2" xfId="37439"/>
    <cellStyle name="Total 2 6 3 3 2 2" xfId="37440"/>
    <cellStyle name="Total 2 6 3 3 2 3" xfId="37441"/>
    <cellStyle name="Total 2 6 3 3 2 4" xfId="37442"/>
    <cellStyle name="Total 2 6 3 3 3" xfId="37443"/>
    <cellStyle name="Total 2 6 3 3 3 2" xfId="37444"/>
    <cellStyle name="Total 2 6 3 3 3 3" xfId="37445"/>
    <cellStyle name="Total 2 6 3 3 3 4" xfId="37446"/>
    <cellStyle name="Total 2 6 3 3 4" xfId="37447"/>
    <cellStyle name="Total 2 6 3 3 4 2" xfId="37448"/>
    <cellStyle name="Total 2 6 3 3 4 3" xfId="37449"/>
    <cellStyle name="Total 2 6 3 3 5" xfId="37450"/>
    <cellStyle name="Total 2 6 3 3 5 2" xfId="37451"/>
    <cellStyle name="Total 2 6 3 3 5 3" xfId="37452"/>
    <cellStyle name="Total 2 6 3 3 6" xfId="37453"/>
    <cellStyle name="Total 2 6 3 3 7" xfId="37454"/>
    <cellStyle name="Total 2 6 3 4 2" xfId="37455"/>
    <cellStyle name="Total 2 6 3 4 2 2" xfId="37456"/>
    <cellStyle name="Total 2 6 3 4 2 3" xfId="37457"/>
    <cellStyle name="Total 2 6 3 4 2 4" xfId="37458"/>
    <cellStyle name="Total 2 6 3 4 3" xfId="37459"/>
    <cellStyle name="Total 2 6 3 4 3 2" xfId="37460"/>
    <cellStyle name="Total 2 6 3 4 3 3" xfId="37461"/>
    <cellStyle name="Total 2 6 3 4 3 4" xfId="37462"/>
    <cellStyle name="Total 2 6 3 4 4" xfId="37463"/>
    <cellStyle name="Total 2 6 3 4 4 2" xfId="37464"/>
    <cellStyle name="Total 2 6 3 4 4 3" xfId="37465"/>
    <cellStyle name="Total 2 6 3 4 5" xfId="37466"/>
    <cellStyle name="Total 2 6 3 4 5 2" xfId="37467"/>
    <cellStyle name="Total 2 6 3 4 5 3" xfId="37468"/>
    <cellStyle name="Total 2 6 3 4 6" xfId="37469"/>
    <cellStyle name="Total 2 6 3 4 7" xfId="37470"/>
    <cellStyle name="Total 2 6 3 5" xfId="37471"/>
    <cellStyle name="Total 2 6 3 5 2" xfId="37472"/>
    <cellStyle name="Total 2 6 3 5 2 2" xfId="37473"/>
    <cellStyle name="Total 2 6 3 5 2 3" xfId="37474"/>
    <cellStyle name="Total 2 6 3 5 2 4" xfId="37475"/>
    <cellStyle name="Total 2 6 3 5 3" xfId="37476"/>
    <cellStyle name="Total 2 6 3 5 3 2" xfId="37477"/>
    <cellStyle name="Total 2 6 3 5 3 3" xfId="37478"/>
    <cellStyle name="Total 2 6 3 5 3 4" xfId="37479"/>
    <cellStyle name="Total 2 6 3 5 4" xfId="37480"/>
    <cellStyle name="Total 2 6 3 5 4 2" xfId="37481"/>
    <cellStyle name="Total 2 6 3 5 4 3" xfId="37482"/>
    <cellStyle name="Total 2 6 3 5 5" xfId="37483"/>
    <cellStyle name="Total 2 6 3 5 5 2" xfId="37484"/>
    <cellStyle name="Total 2 6 3 5 5 3" xfId="37485"/>
    <cellStyle name="Total 2 6 3 5 6" xfId="37486"/>
    <cellStyle name="Total 2 6 3 5 7" xfId="37487"/>
    <cellStyle name="Total 2 6 3 6" xfId="37488"/>
    <cellStyle name="Total 2 6 3 6 2" xfId="37489"/>
    <cellStyle name="Total 2 6 3 6 2 2" xfId="37490"/>
    <cellStyle name="Total 2 6 3 6 2 3" xfId="37491"/>
    <cellStyle name="Total 2 6 3 6 2 4" xfId="37492"/>
    <cellStyle name="Total 2 6 3 6 3" xfId="37493"/>
    <cellStyle name="Total 2 6 3 6 3 2" xfId="37494"/>
    <cellStyle name="Total 2 6 3 6 3 3" xfId="37495"/>
    <cellStyle name="Total 2 6 3 6 3 4" xfId="37496"/>
    <cellStyle name="Total 2 6 3 6 4" xfId="37497"/>
    <cellStyle name="Total 2 6 3 6 4 2" xfId="37498"/>
    <cellStyle name="Total 2 6 3 6 4 3" xfId="37499"/>
    <cellStyle name="Total 2 6 3 6 5" xfId="37500"/>
    <cellStyle name="Total 2 6 3 6 5 2" xfId="37501"/>
    <cellStyle name="Total 2 6 3 6 5 3" xfId="37502"/>
    <cellStyle name="Total 2 6 3 6 6" xfId="37503"/>
    <cellStyle name="Total 2 6 3 6 7" xfId="37504"/>
    <cellStyle name="Total 2 6 3 7" xfId="37505"/>
    <cellStyle name="Total 2 6 3 7 2" xfId="37506"/>
    <cellStyle name="Total 2 6 3 7 2 2" xfId="37507"/>
    <cellStyle name="Total 2 6 3 7 2 3" xfId="37508"/>
    <cellStyle name="Total 2 6 3 7 2 4" xfId="37509"/>
    <cellStyle name="Total 2 6 3 7 3" xfId="37510"/>
    <cellStyle name="Total 2 6 3 7 3 2" xfId="37511"/>
    <cellStyle name="Total 2 6 3 7 3 3" xfId="37512"/>
    <cellStyle name="Total 2 6 3 7 3 4" xfId="37513"/>
    <cellStyle name="Total 2 6 3 7 4" xfId="37514"/>
    <cellStyle name="Total 2 6 3 7 4 2" xfId="37515"/>
    <cellStyle name="Total 2 6 3 7 4 3" xfId="37516"/>
    <cellStyle name="Total 2 6 3 7 5" xfId="37517"/>
    <cellStyle name="Total 2 6 3 7 5 2" xfId="37518"/>
    <cellStyle name="Total 2 6 3 7 5 3" xfId="37519"/>
    <cellStyle name="Total 2 6 3 7 6" xfId="37520"/>
    <cellStyle name="Total 2 6 3 7 7" xfId="37521"/>
    <cellStyle name="Total 2 6 3 8" xfId="37522"/>
    <cellStyle name="Total 2 6 3 8 2" xfId="37523"/>
    <cellStyle name="Total 2 6 3 8 2 2" xfId="37524"/>
    <cellStyle name="Total 2 6 3 8 2 3" xfId="37525"/>
    <cellStyle name="Total 2 6 3 8 2 4" xfId="37526"/>
    <cellStyle name="Total 2 6 3 8 3" xfId="37527"/>
    <cellStyle name="Total 2 6 3 8 3 2" xfId="37528"/>
    <cellStyle name="Total 2 6 3 8 3 3" xfId="37529"/>
    <cellStyle name="Total 2 6 3 8 3 4" xfId="37530"/>
    <cellStyle name="Total 2 6 3 8 4" xfId="37531"/>
    <cellStyle name="Total 2 6 3 8 4 2" xfId="37532"/>
    <cellStyle name="Total 2 6 3 8 4 3" xfId="37533"/>
    <cellStyle name="Total 2 6 3 8 5" xfId="37534"/>
    <cellStyle name="Total 2 6 3 8 5 2" xfId="37535"/>
    <cellStyle name="Total 2 6 3 8 5 3" xfId="37536"/>
    <cellStyle name="Total 2 6 3 8 6" xfId="37537"/>
    <cellStyle name="Total 2 6 3 8 7" xfId="37538"/>
    <cellStyle name="Total 2 6 3 9" xfId="37539"/>
    <cellStyle name="Total 2 6 3 9 2" xfId="37540"/>
    <cellStyle name="Total 2 6 3 9 2 2" xfId="37541"/>
    <cellStyle name="Total 2 6 3 9 2 3" xfId="37542"/>
    <cellStyle name="Total 2 6 3 9 2 4" xfId="37543"/>
    <cellStyle name="Total 2 6 3 9 3" xfId="37544"/>
    <cellStyle name="Total 2 6 3 9 3 2" xfId="37545"/>
    <cellStyle name="Total 2 6 3 9 3 3" xfId="37546"/>
    <cellStyle name="Total 2 6 3 9 3 4" xfId="37547"/>
    <cellStyle name="Total 2 6 3 9 4" xfId="37548"/>
    <cellStyle name="Total 2 6 3 9 4 2" xfId="37549"/>
    <cellStyle name="Total 2 6 3 9 4 3" xfId="37550"/>
    <cellStyle name="Total 2 6 3 9 5" xfId="37551"/>
    <cellStyle name="Total 2 6 3 9 5 2" xfId="37552"/>
    <cellStyle name="Total 2 6 3 9 5 3" xfId="37553"/>
    <cellStyle name="Total 2 6 3 9 6" xfId="37554"/>
    <cellStyle name="Total 2 6 3 9 7" xfId="37555"/>
    <cellStyle name="Total 2 6 4" xfId="37556"/>
    <cellStyle name="Total 2 6 4 2" xfId="37557"/>
    <cellStyle name="Total 2 6 4 2 2" xfId="37558"/>
    <cellStyle name="Total 2 6 4 2 3" xfId="37559"/>
    <cellStyle name="Total 2 6 4 2 4" xfId="37560"/>
    <cellStyle name="Total 2 6 4 3 2" xfId="37561"/>
    <cellStyle name="Total 2 6 4 3 3" xfId="37562"/>
    <cellStyle name="Total 2 6 4 3 4" xfId="37563"/>
    <cellStyle name="Total 2 6 4 4 2" xfId="37564"/>
    <cellStyle name="Total 2 6 4 4 3" xfId="37565"/>
    <cellStyle name="Total 2 6 4 5" xfId="37566"/>
    <cellStyle name="Total 2 6 4 5 2" xfId="37567"/>
    <cellStyle name="Total 2 6 4 5 3" xfId="37568"/>
    <cellStyle name="Total 2 6 4 6" xfId="37569"/>
    <cellStyle name="Total 2 6 4 7" xfId="37570"/>
    <cellStyle name="Total 2 6 5" xfId="37571"/>
    <cellStyle name="Total 2 6 5 2" xfId="37572"/>
    <cellStyle name="Total 2 6 5 2 2" xfId="37573"/>
    <cellStyle name="Total 2 6 5 2 3" xfId="37574"/>
    <cellStyle name="Total 2 6 5 2 4" xfId="37575"/>
    <cellStyle name="Total 2 6 5 3" xfId="37576"/>
    <cellStyle name="Total 2 6 5 3 2" xfId="37577"/>
    <cellStyle name="Total 2 6 5 3 3" xfId="37578"/>
    <cellStyle name="Total 2 6 5 3 4" xfId="37579"/>
    <cellStyle name="Total 2 6 5 4" xfId="37580"/>
    <cellStyle name="Total 2 6 5 4 2" xfId="37581"/>
    <cellStyle name="Total 2 6 5 4 3" xfId="37582"/>
    <cellStyle name="Total 2 6 5 5" xfId="37583"/>
    <cellStyle name="Total 2 6 5 5 2" xfId="37584"/>
    <cellStyle name="Total 2 6 5 5 3" xfId="37585"/>
    <cellStyle name="Total 2 6 5 6" xfId="37586"/>
    <cellStyle name="Total 2 6 5 7" xfId="37587"/>
    <cellStyle name="Total 2 6 6" xfId="37588"/>
    <cellStyle name="Total 2 6 6 2" xfId="37589"/>
    <cellStyle name="Total 2 6 6 2 2" xfId="37590"/>
    <cellStyle name="Total 2 6 6 2 3" xfId="37591"/>
    <cellStyle name="Total 2 6 6 2 4" xfId="37592"/>
    <cellStyle name="Total 2 6 6 3" xfId="37593"/>
    <cellStyle name="Total 2 6 6 3 2" xfId="37594"/>
    <cellStyle name="Total 2 6 6 3 3" xfId="37595"/>
    <cellStyle name="Total 2 6 6 3 4" xfId="37596"/>
    <cellStyle name="Total 2 6 6 4" xfId="37597"/>
    <cellStyle name="Total 2 6 6 4 2" xfId="37598"/>
    <cellStyle name="Total 2 6 6 4 3" xfId="37599"/>
    <cellStyle name="Total 2 6 6 5" xfId="37600"/>
    <cellStyle name="Total 2 6 6 5 2" xfId="37601"/>
    <cellStyle name="Total 2 6 6 5 3" xfId="37602"/>
    <cellStyle name="Total 2 6 6 6" xfId="37603"/>
    <cellStyle name="Total 2 6 6 7" xfId="37604"/>
    <cellStyle name="Total 2 6 7" xfId="37605"/>
    <cellStyle name="Total 2 6 7 2" xfId="37606"/>
    <cellStyle name="Total 2 6 7 2 2" xfId="37607"/>
    <cellStyle name="Total 2 6 7 2 3" xfId="37608"/>
    <cellStyle name="Total 2 6 7 2 4" xfId="37609"/>
    <cellStyle name="Total 2 6 7 3" xfId="37610"/>
    <cellStyle name="Total 2 6 7 3 2" xfId="37611"/>
    <cellStyle name="Total 2 6 7 3 3" xfId="37612"/>
    <cellStyle name="Total 2 6 7 3 4" xfId="37613"/>
    <cellStyle name="Total 2 6 7 4" xfId="37614"/>
    <cellStyle name="Total 2 6 7 4 2" xfId="37615"/>
    <cellStyle name="Total 2 6 7 4 3" xfId="37616"/>
    <cellStyle name="Total 2 6 7 5" xfId="37617"/>
    <cellStyle name="Total 2 6 7 5 2" xfId="37618"/>
    <cellStyle name="Total 2 6 7 5 3" xfId="37619"/>
    <cellStyle name="Total 2 6 7 6" xfId="37620"/>
    <cellStyle name="Total 2 6 7 7" xfId="37621"/>
    <cellStyle name="Total 2 6 8" xfId="37622"/>
    <cellStyle name="Total 2 6 8 2" xfId="37623"/>
    <cellStyle name="Total 2 6 8 2 2" xfId="37624"/>
    <cellStyle name="Total 2 6 8 2 3" xfId="37625"/>
    <cellStyle name="Total 2 6 8 2 4" xfId="37626"/>
    <cellStyle name="Total 2 6 8 3" xfId="37627"/>
    <cellStyle name="Total 2 6 8 3 2" xfId="37628"/>
    <cellStyle name="Total 2 6 8 3 3" xfId="37629"/>
    <cellStyle name="Total 2 6 8 3 4" xfId="37630"/>
    <cellStyle name="Total 2 6 8 4" xfId="37631"/>
    <cellStyle name="Total 2 6 8 4 2" xfId="37632"/>
    <cellStyle name="Total 2 6 8 4 3" xfId="37633"/>
    <cellStyle name="Total 2 6 8 5" xfId="37634"/>
    <cellStyle name="Total 2 6 8 5 2" xfId="37635"/>
    <cellStyle name="Total 2 6 8 5 3" xfId="37636"/>
    <cellStyle name="Total 2 6 8 6" xfId="37637"/>
    <cellStyle name="Total 2 6 8 7" xfId="37638"/>
    <cellStyle name="Total 2 6 9" xfId="37639"/>
    <cellStyle name="Total 2 6 9 2" xfId="37640"/>
    <cellStyle name="Total 2 6 9 2 2" xfId="37641"/>
    <cellStyle name="Total 2 6 9 2 3" xfId="37642"/>
    <cellStyle name="Total 2 6 9 2 4" xfId="37643"/>
    <cellStyle name="Total 2 6 9 3" xfId="37644"/>
    <cellStyle name="Total 2 6 9 3 2" xfId="37645"/>
    <cellStyle name="Total 2 6 9 3 3" xfId="37646"/>
    <cellStyle name="Total 2 6 9 3 4" xfId="37647"/>
    <cellStyle name="Total 2 6 9 4" xfId="37648"/>
    <cellStyle name="Total 2 6 9 4 2" xfId="37649"/>
    <cellStyle name="Total 2 6 9 4 3" xfId="37650"/>
    <cellStyle name="Total 2 6 9 5" xfId="37651"/>
    <cellStyle name="Total 2 6 9 5 2" xfId="37652"/>
    <cellStyle name="Total 2 6 9 5 3" xfId="37653"/>
    <cellStyle name="Total 2 6 9 6" xfId="37654"/>
    <cellStyle name="Total 2 6 9 7" xfId="37655"/>
    <cellStyle name="Total 2 7" xfId="37656"/>
    <cellStyle name="Total 2 7 10" xfId="37657"/>
    <cellStyle name="Total 2 7 10 2" xfId="37658"/>
    <cellStyle name="Total 2 7 10 2 2" xfId="37659"/>
    <cellStyle name="Total 2 7 10 2 3" xfId="37660"/>
    <cellStyle name="Total 2 7 10 2 4" xfId="37661"/>
    <cellStyle name="Total 2 7 10 3" xfId="37662"/>
    <cellStyle name="Total 2 7 10 3 2" xfId="37663"/>
    <cellStyle name="Total 2 7 10 3 3" xfId="37664"/>
    <cellStyle name="Total 2 7 10 3 4" xfId="37665"/>
    <cellStyle name="Total 2 7 10 4" xfId="37666"/>
    <cellStyle name="Total 2 7 10 4 2" xfId="37667"/>
    <cellStyle name="Total 2 7 10 4 3" xfId="37668"/>
    <cellStyle name="Total 2 7 10 5" xfId="37669"/>
    <cellStyle name="Total 2 7 10 5 2" xfId="37670"/>
    <cellStyle name="Total 2 7 10 5 3" xfId="37671"/>
    <cellStyle name="Total 2 7 10 6" xfId="37672"/>
    <cellStyle name="Total 2 7 10 7" xfId="37673"/>
    <cellStyle name="Total 2 7 11" xfId="37674"/>
    <cellStyle name="Total 2 7 11 2" xfId="37675"/>
    <cellStyle name="Total 2 7 11 2 2" xfId="37676"/>
    <cellStyle name="Total 2 7 11 2 3" xfId="37677"/>
    <cellStyle name="Total 2 7 11 2 4" xfId="37678"/>
    <cellStyle name="Total 2 7 11 3" xfId="37679"/>
    <cellStyle name="Total 2 7 11 3 2" xfId="37680"/>
    <cellStyle name="Total 2 7 11 3 3" xfId="37681"/>
    <cellStyle name="Total 2 7 11 3 4" xfId="37682"/>
    <cellStyle name="Total 2 7 11 4" xfId="37683"/>
    <cellStyle name="Total 2 7 11 4 2" xfId="37684"/>
    <cellStyle name="Total 2 7 11 4 3" xfId="37685"/>
    <cellStyle name="Total 2 7 11 5" xfId="37686"/>
    <cellStyle name="Total 2 7 11 5 2" xfId="37687"/>
    <cellStyle name="Total 2 7 11 5 3" xfId="37688"/>
    <cellStyle name="Total 2 7 11 6" xfId="37689"/>
    <cellStyle name="Total 2 7 11 7" xfId="37690"/>
    <cellStyle name="Total 2 7 12" xfId="37691"/>
    <cellStyle name="Total 2 7 12 2" xfId="37692"/>
    <cellStyle name="Total 2 7 12 2 2" xfId="37693"/>
    <cellStyle name="Total 2 7 12 2 3" xfId="37694"/>
    <cellStyle name="Total 2 7 12 2 4" xfId="37695"/>
    <cellStyle name="Total 2 7 12 3" xfId="37696"/>
    <cellStyle name="Total 2 7 12 3 2" xfId="37697"/>
    <cellStyle name="Total 2 7 12 3 3" xfId="37698"/>
    <cellStyle name="Total 2 7 12 3 4" xfId="37699"/>
    <cellStyle name="Total 2 7 12 4" xfId="37700"/>
    <cellStyle name="Total 2 7 12 4 2" xfId="37701"/>
    <cellStyle name="Total 2 7 12 4 3" xfId="37702"/>
    <cellStyle name="Total 2 7 12 5" xfId="37703"/>
    <cellStyle name="Total 2 7 12 5 2" xfId="37704"/>
    <cellStyle name="Total 2 7 12 5 3" xfId="37705"/>
    <cellStyle name="Total 2 7 12 6" xfId="37706"/>
    <cellStyle name="Total 2 7 12 7" xfId="37707"/>
    <cellStyle name="Total 2 7 13" xfId="37708"/>
    <cellStyle name="Total 2 7 13 2" xfId="37709"/>
    <cellStyle name="Total 2 7 13 3" xfId="37710"/>
    <cellStyle name="Total 2 7 13 4" xfId="37711"/>
    <cellStyle name="Total 2 7 14" xfId="37712"/>
    <cellStyle name="Total 2 7 14 2" xfId="37713"/>
    <cellStyle name="Total 2 7 14 3" xfId="37714"/>
    <cellStyle name="Total 2 7 14 4" xfId="37715"/>
    <cellStyle name="Total 2 7 15" xfId="37716"/>
    <cellStyle name="Total 2 7 20" xfId="37717"/>
    <cellStyle name="Total 2 7 15 2" xfId="37718"/>
    <cellStyle name="Total 2 7 15 3" xfId="37719"/>
    <cellStyle name="Total 2 7 16" xfId="37720"/>
    <cellStyle name="Total 2 7 16 2" xfId="37721"/>
    <cellStyle name="Total 2 7 16 3" xfId="37722"/>
    <cellStyle name="Total 2 7 17" xfId="37723"/>
    <cellStyle name="Total 2 7 17 2" xfId="37724"/>
    <cellStyle name="Total 2 7 17 2 2" xfId="37725"/>
    <cellStyle name="Total 2 7 18" xfId="37726"/>
    <cellStyle name="Total 2 7 19" xfId="37727"/>
    <cellStyle name="Total 2 7 2" xfId="37728"/>
    <cellStyle name="Total 2 7 2 10 2" xfId="37729"/>
    <cellStyle name="Total 2 7 2 10 2 2" xfId="37730"/>
    <cellStyle name="Total 2 7 2 10 2 3" xfId="37731"/>
    <cellStyle name="Total 2 7 2 10 2 4" xfId="37732"/>
    <cellStyle name="Total 2 7 2 10 3" xfId="37733"/>
    <cellStyle name="Total 2 7 2 10 3 2" xfId="37734"/>
    <cellStyle name="Total 2 7 2 10 3 3" xfId="37735"/>
    <cellStyle name="Total 2 7 2 10 3 4" xfId="37736"/>
    <cellStyle name="Total 2 7 2 10 4" xfId="37737"/>
    <cellStyle name="Total 2 7 2 10 4 2" xfId="37738"/>
    <cellStyle name="Total 2 7 2 10 4 3" xfId="37739"/>
    <cellStyle name="Total 2 7 2 10 5" xfId="37740"/>
    <cellStyle name="Total 2 7 2 10 5 2" xfId="37741"/>
    <cellStyle name="Total 2 7 2 10 5 3" xfId="37742"/>
    <cellStyle name="Total 2 7 2 10 6" xfId="37743"/>
    <cellStyle name="Total 2 7 2 10 7" xfId="37744"/>
    <cellStyle name="Total 2 7 2 11 2" xfId="37745"/>
    <cellStyle name="Total 2 7 2 11 3" xfId="37746"/>
    <cellStyle name="Total 2 7 2 11 4" xfId="37747"/>
    <cellStyle name="Total 2 7 2 12 2" xfId="37748"/>
    <cellStyle name="Total 2 7 2 12 3" xfId="37749"/>
    <cellStyle name="Total 2 7 2 12 4" xfId="37750"/>
    <cellStyle name="Total 2 7 2 13" xfId="37751"/>
    <cellStyle name="Total 2 7 2 13 2" xfId="37752"/>
    <cellStyle name="Total 2 7 2 13 3" xfId="37753"/>
    <cellStyle name="Total 2 7 2 14" xfId="37754"/>
    <cellStyle name="Total 2 7 2 14 2" xfId="37755"/>
    <cellStyle name="Total 2 7 2 14 3" xfId="37756"/>
    <cellStyle name="Total 2 7 2 15" xfId="37757"/>
    <cellStyle name="Total 2 7 2 16" xfId="37758"/>
    <cellStyle name="Total 2 7 2 17" xfId="37759"/>
    <cellStyle name="Total 2 7 2 2" xfId="37760"/>
    <cellStyle name="Total 2 7 2 2 2" xfId="37761"/>
    <cellStyle name="Total 2 7 2 2 3" xfId="37762"/>
    <cellStyle name="Total 2 7 2 2 3 2" xfId="37763"/>
    <cellStyle name="Total 2 7 2 2 3 3" xfId="37764"/>
    <cellStyle name="Total 2 7 2 2 3 4" xfId="37765"/>
    <cellStyle name="Total 2 7 2 2 4" xfId="37766"/>
    <cellStyle name="Total 2 7 2 2 5" xfId="37767"/>
    <cellStyle name="Total 2 7 2 2 5 2" xfId="37768"/>
    <cellStyle name="Total 2 7 2 2 5 3" xfId="37769"/>
    <cellStyle name="Total 2 7 2 2 6" xfId="37770"/>
    <cellStyle name="Total 2 7 2 2 7" xfId="37771"/>
    <cellStyle name="Total 2 7 2 3 2" xfId="37772"/>
    <cellStyle name="Total 2 7 2 3 2 2" xfId="37773"/>
    <cellStyle name="Total 2 7 2 3 2 3" xfId="37774"/>
    <cellStyle name="Total 2 7 2 3 2 4" xfId="37775"/>
    <cellStyle name="Total 2 7 2 3 3" xfId="37776"/>
    <cellStyle name="Total 2 7 2 3 3 2" xfId="37777"/>
    <cellStyle name="Total 2 7 2 3 3 3" xfId="37778"/>
    <cellStyle name="Total 2 7 2 3 3 4" xfId="37779"/>
    <cellStyle name="Total 2 7 2 3 4" xfId="37780"/>
    <cellStyle name="Total 2 7 2 3 4 2" xfId="37781"/>
    <cellStyle name="Total 2 7 2 3 4 3" xfId="37782"/>
    <cellStyle name="Total 2 7 2 3 5" xfId="37783"/>
    <cellStyle name="Total 2 7 2 3 5 2" xfId="37784"/>
    <cellStyle name="Total 2 7 2 3 5 3" xfId="37785"/>
    <cellStyle name="Total 2 7 2 3 6" xfId="37786"/>
    <cellStyle name="Total 2 7 2 3 7" xfId="37787"/>
    <cellStyle name="Total 2 7 2 4 2" xfId="37788"/>
    <cellStyle name="Total 2 7 2 4 2 2" xfId="37789"/>
    <cellStyle name="Total 2 7 2 4 2 3" xfId="37790"/>
    <cellStyle name="Total 2 7 2 4 2 4" xfId="37791"/>
    <cellStyle name="Total 2 7 2 4 3" xfId="37792"/>
    <cellStyle name="Total 2 7 2 4 3 2" xfId="37793"/>
    <cellStyle name="Total 2 7 2 4 3 3" xfId="37794"/>
    <cellStyle name="Total 2 7 2 4 3 4" xfId="37795"/>
    <cellStyle name="Total 2 7 2 4 4" xfId="37796"/>
    <cellStyle name="Total 2 7 2 4 4 2" xfId="37797"/>
    <cellStyle name="Total 2 7 2 4 4 3" xfId="37798"/>
    <cellStyle name="Total 2 7 2 4 5" xfId="37799"/>
    <cellStyle name="Total 2 7 2 4 5 2" xfId="37800"/>
    <cellStyle name="Total 2 7 2 4 5 3" xfId="37801"/>
    <cellStyle name="Total 2 7 2 4 6" xfId="37802"/>
    <cellStyle name="Total 2 7 2 4 7" xfId="37803"/>
    <cellStyle name="Total 2 7 2 5 2" xfId="37804"/>
    <cellStyle name="Total 2 7 2 5 2 2" xfId="37805"/>
    <cellStyle name="Total 2 7 2 5 2 3" xfId="37806"/>
    <cellStyle name="Total 2 7 2 5 2 4" xfId="37807"/>
    <cellStyle name="Total 2 7 2 5 3" xfId="37808"/>
    <cellStyle name="Total 2 7 2 5 3 2" xfId="37809"/>
    <cellStyle name="Total 2 7 2 5 3 3" xfId="37810"/>
    <cellStyle name="Total 2 7 2 5 3 4" xfId="37811"/>
    <cellStyle name="Total 2 7 2 5 4" xfId="37812"/>
    <cellStyle name="Total 2 7 2 5 4 2" xfId="37813"/>
    <cellStyle name="Total 2 7 2 5 4 3" xfId="37814"/>
    <cellStyle name="Total 2 7 2 5 5" xfId="37815"/>
    <cellStyle name="Total 2 7 2 5 5 2" xfId="37816"/>
    <cellStyle name="Total 2 7 2 5 5 3" xfId="37817"/>
    <cellStyle name="Total 2 7 2 5 6" xfId="37818"/>
    <cellStyle name="Total 2 7 2 5 7" xfId="37819"/>
    <cellStyle name="Total 2 7 2 6" xfId="37820"/>
    <cellStyle name="Total 2 7 2 6 2" xfId="37821"/>
    <cellStyle name="Total 2 7 2 6 2 2" xfId="37822"/>
    <cellStyle name="Total 2 7 2 6 2 3" xfId="37823"/>
    <cellStyle name="Total 2 7 2 6 2 4" xfId="37824"/>
    <cellStyle name="Total 2 7 2 6 3" xfId="37825"/>
    <cellStyle name="Total 2 7 2 6 3 2" xfId="37826"/>
    <cellStyle name="Total 2 7 2 6 3 3" xfId="37827"/>
    <cellStyle name="Total 2 7 2 6 3 4" xfId="37828"/>
    <cellStyle name="Total 2 7 2 6 4" xfId="37829"/>
    <cellStyle name="Total 2 7 2 6 4 2" xfId="37830"/>
    <cellStyle name="Total 2 7 2 6 4 3" xfId="37831"/>
    <cellStyle name="Total 2 7 2 6 5" xfId="37832"/>
    <cellStyle name="Total 2 7 2 6 5 2" xfId="37833"/>
    <cellStyle name="Total 2 7 2 6 5 3" xfId="37834"/>
    <cellStyle name="Total 2 7 2 6 6" xfId="37835"/>
    <cellStyle name="Total 2 7 2 6 7" xfId="37836"/>
    <cellStyle name="Total 2 7 2 7" xfId="37837"/>
    <cellStyle name="Total 2 7 2 7 2" xfId="37838"/>
    <cellStyle name="Total 2 7 2 7 2 2" xfId="37839"/>
    <cellStyle name="Total 2 7 2 7 2 3" xfId="37840"/>
    <cellStyle name="Total 2 7 2 7 2 4" xfId="37841"/>
    <cellStyle name="Total 2 7 2 7 3" xfId="37842"/>
    <cellStyle name="Total 2 7 2 7 3 2" xfId="37843"/>
    <cellStyle name="Total 2 7 2 7 3 3" xfId="37844"/>
    <cellStyle name="Total 2 7 2 7 3 4" xfId="37845"/>
    <cellStyle name="Total 2 7 2 7 4" xfId="37846"/>
    <cellStyle name="Total 2 7 2 7 5" xfId="37847"/>
    <cellStyle name="Total 2 7 2 7 5 2" xfId="37848"/>
    <cellStyle name="Total 2 7 2 7 5 3" xfId="37849"/>
    <cellStyle name="Total 2 7 2 7 6" xfId="37850"/>
    <cellStyle name="Total 2 7 2 7 7" xfId="37851"/>
    <cellStyle name="Total 2 7 2 8" xfId="37852"/>
    <cellStyle name="Total 2 7 2 8 2" xfId="37853"/>
    <cellStyle name="Total 2 7 2 8 2 2" xfId="37854"/>
    <cellStyle name="Total 2 7 2 8 2 3" xfId="37855"/>
    <cellStyle name="Total 2 7 2 8 2 4" xfId="37856"/>
    <cellStyle name="Total 2 7 2 8 3" xfId="37857"/>
    <cellStyle name="Total 2 7 2 8 3 2" xfId="37858"/>
    <cellStyle name="Total 2 7 2 8 3 3" xfId="37859"/>
    <cellStyle name="Total 2 7 2 8 3 4" xfId="37860"/>
    <cellStyle name="Total 2 7 2 8 4" xfId="37861"/>
    <cellStyle name="Total 2 7 2 8 4 2" xfId="37862"/>
    <cellStyle name="Total 2 7 2 8 4 3" xfId="37863"/>
    <cellStyle name="Total 2 7 2 8 5" xfId="37864"/>
    <cellStyle name="Total 2 7 2 8 5 2" xfId="37865"/>
    <cellStyle name="Total 2 7 2 8 5 3" xfId="37866"/>
    <cellStyle name="Total 2 7 2 8 6" xfId="37867"/>
    <cellStyle name="Total 2 7 2 8 7" xfId="37868"/>
    <cellStyle name="Total 2 7 2 9" xfId="37869"/>
    <cellStyle name="Total 2 7 2 9 2" xfId="37870"/>
    <cellStyle name="Total 2 7 2 9 2 2" xfId="37871"/>
    <cellStyle name="Total 2 7 2 9 2 3" xfId="37872"/>
    <cellStyle name="Total 2 7 2 9 2 4" xfId="37873"/>
    <cellStyle name="Total 2 7 2 9 3" xfId="37874"/>
    <cellStyle name="Total 2 7 2 9 3 2" xfId="37875"/>
    <cellStyle name="Total 2 7 2 9 3 3" xfId="37876"/>
    <cellStyle name="Total 2 7 2 9 3 4" xfId="37877"/>
    <cellStyle name="Total 2 7 2 9 4" xfId="37878"/>
    <cellStyle name="Total 2 7 2 9 4 2" xfId="37879"/>
    <cellStyle name="Total 2 7 2 9 4 3" xfId="37880"/>
    <cellStyle name="Total 2 7 2 9 5" xfId="37881"/>
    <cellStyle name="Total 2 7 2 9 5 2" xfId="37882"/>
    <cellStyle name="Total 2 7 2 9 5 3" xfId="37883"/>
    <cellStyle name="Total 2 7 2 9 6" xfId="37884"/>
    <cellStyle name="Total 2 7 2 9 7" xfId="37885"/>
    <cellStyle name="Total 2 7 3" xfId="37886"/>
    <cellStyle name="Total 2 7 3 10" xfId="37887"/>
    <cellStyle name="Total 2 7 3 10 2" xfId="37888"/>
    <cellStyle name="Total 2 7 3 10 3" xfId="37889"/>
    <cellStyle name="Total 2 7 3 10 7" xfId="37890"/>
    <cellStyle name="Total 2 7 3 11" xfId="37891"/>
    <cellStyle name="Total 2 7 3 11 2" xfId="37892"/>
    <cellStyle name="Total 2 7 3 11 3" xfId="37893"/>
    <cellStyle name="Total 2 7 3 12" xfId="37894"/>
    <cellStyle name="Total 2 7 3 12 2" xfId="37895"/>
    <cellStyle name="Total 2 7 3 12 3" xfId="37896"/>
    <cellStyle name="Total 2 7 3 13" xfId="37897"/>
    <cellStyle name="Total 2 7 3 13 2" xfId="37898"/>
    <cellStyle name="Total 2 7 3 13 3" xfId="37899"/>
    <cellStyle name="Total 2 7 3 14" xfId="37900"/>
    <cellStyle name="Total 2 7 3 14 2" xfId="37901"/>
    <cellStyle name="Total 2 7 3 14 3" xfId="37902"/>
    <cellStyle name="Total 2 7 3 15" xfId="37903"/>
    <cellStyle name="Total 2 7 3 16" xfId="37904"/>
    <cellStyle name="Total 2 7 3 2" xfId="37905"/>
    <cellStyle name="Total 2 7 3 2 2" xfId="37906"/>
    <cellStyle name="Total 2 7 3 2 2 2" xfId="37907"/>
    <cellStyle name="Total 2 7 3 2 2 3" xfId="37908"/>
    <cellStyle name="Total 2 7 3 2 2 4" xfId="37909"/>
    <cellStyle name="Total 2 7 3 2 3" xfId="37910"/>
    <cellStyle name="Total 2 7 3 2 3 2" xfId="37911"/>
    <cellStyle name="Total 2 7 3 2 3 3" xfId="37912"/>
    <cellStyle name="Total 2 7 3 2 3 4" xfId="37913"/>
    <cellStyle name="Total 2 7 3 2 4" xfId="37914"/>
    <cellStyle name="Total 2 7 3 2 4 2" xfId="37915"/>
    <cellStyle name="Total 2 7 3 2 5" xfId="37916"/>
    <cellStyle name="Total 2 7 3 2 6" xfId="37917"/>
    <cellStyle name="Total 2 7 3 3 2" xfId="37918"/>
    <cellStyle name="Total 2 7 3 3 2 2" xfId="37919"/>
    <cellStyle name="Total 2 7 3 3 2 3" xfId="37920"/>
    <cellStyle name="Total 2 7 3 3 2 4" xfId="37921"/>
    <cellStyle name="Total 2 7 3 3 3" xfId="37922"/>
    <cellStyle name="Total 2 7 3 3 3 2" xfId="37923"/>
    <cellStyle name="Total 2 7 3 3 3 3" xfId="37924"/>
    <cellStyle name="Total 2 7 3 3 3 4" xfId="37925"/>
    <cellStyle name="Total 2 7 3 3 4" xfId="37926"/>
    <cellStyle name="Total 2 7 3 3 4 2" xfId="37927"/>
    <cellStyle name="Total 2 7 3 3 5" xfId="37928"/>
    <cellStyle name="Total 2 7 3 3 6" xfId="37929"/>
    <cellStyle name="Total 2 7 3 3 7" xfId="37930"/>
    <cellStyle name="Total 2 7 3 4 2" xfId="37931"/>
    <cellStyle name="Total 2 7 3 4 2 2" xfId="37932"/>
    <cellStyle name="Total 2 7 3 4 2 3" xfId="37933"/>
    <cellStyle name="Total 2 7 3 4 2 4" xfId="37934"/>
    <cellStyle name="Total 2 7 3 4 3" xfId="37935"/>
    <cellStyle name="Total 2 7 3 4 3 2" xfId="37936"/>
    <cellStyle name="Total 2 7 3 4 3 3" xfId="37937"/>
    <cellStyle name="Total 2 7 3 4 3 4" xfId="37938"/>
    <cellStyle name="Total 2 7 3 4 4" xfId="37939"/>
    <cellStyle name="Total 2 7 3 4 4 2" xfId="37940"/>
    <cellStyle name="Total 2 7 3 4 5" xfId="37941"/>
    <cellStyle name="Total 2 7 3 4 6" xfId="37942"/>
    <cellStyle name="Total 2 7 3 4 7" xfId="37943"/>
    <cellStyle name="Total 2 7 3 5" xfId="37944"/>
    <cellStyle name="Total 2 7 3 5 2" xfId="37945"/>
    <cellStyle name="Total 2 7 3 5 2 2" xfId="37946"/>
    <cellStyle name="Total 2 7 3 5 2 3" xfId="37947"/>
    <cellStyle name="Total 2 7 3 5 2 4" xfId="37948"/>
    <cellStyle name="Total 2 7 3 5 3" xfId="37949"/>
    <cellStyle name="Total 2 7 3 5 3 2" xfId="37950"/>
    <cellStyle name="Total 2 7 3 5 3 3" xfId="37951"/>
    <cellStyle name="Total 2 7 3 5 3 4" xfId="37952"/>
    <cellStyle name="Total 2 7 3 5 4" xfId="37953"/>
    <cellStyle name="Total 2 7 3 5 4 2" xfId="37954"/>
    <cellStyle name="Total 2 7 3 5 5" xfId="37955"/>
    <cellStyle name="Total 2 7 3 5 6" xfId="37956"/>
    <cellStyle name="Total 2 7 3 5 7" xfId="37957"/>
    <cellStyle name="Total 2 7 3 6" xfId="37958"/>
    <cellStyle name="Total 2 7 3 6 2" xfId="37959"/>
    <cellStyle name="Total 2 7 3 6 2 2" xfId="37960"/>
    <cellStyle name="Total 2 7 3 6 2 3" xfId="37961"/>
    <cellStyle name="Total 2 7 3 6 2 4" xfId="37962"/>
    <cellStyle name="Total 2 7 3 6 3" xfId="37963"/>
    <cellStyle name="Total 2 7 3 6 3 2" xfId="37964"/>
    <cellStyle name="Total 2 7 3 6 3 3" xfId="37965"/>
    <cellStyle name="Total 2 7 3 6 3 4" xfId="37966"/>
    <cellStyle name="Total 2 7 3 6 4" xfId="37967"/>
    <cellStyle name="Total 2 7 3 6 4 2" xfId="37968"/>
    <cellStyle name="Total 2 7 3 6 5" xfId="37969"/>
    <cellStyle name="Total 2 7 3 6 6" xfId="37970"/>
    <cellStyle name="Total 2 7 3 6 7" xfId="37971"/>
    <cellStyle name="Total 2 7 3 7" xfId="37972"/>
    <cellStyle name="Total 2 7 3 7 2" xfId="37973"/>
    <cellStyle name="Total 2 7 3 7 2 2" xfId="37974"/>
    <cellStyle name="Total 2 7 3 7 2 3" xfId="37975"/>
    <cellStyle name="Total 2 7 3 7 2 4" xfId="37976"/>
    <cellStyle name="Total 2 7 3 7 3" xfId="37977"/>
    <cellStyle name="Total 2 7 3 7 3 2" xfId="37978"/>
    <cellStyle name="Total 2 7 3 7 3 3" xfId="37979"/>
    <cellStyle name="Total 2 7 3 7 3 4" xfId="37980"/>
    <cellStyle name="Total 2 7 3 7 4" xfId="37981"/>
    <cellStyle name="Total 2 7 3 7 4 2" xfId="37982"/>
    <cellStyle name="Total 2 7 3 7 5" xfId="37983"/>
    <cellStyle name="Total 2 7 3 7 5 2" xfId="37984"/>
    <cellStyle name="Total 2 7 3 7 6" xfId="37985"/>
    <cellStyle name="Total 2 7 3 7 7" xfId="37986"/>
    <cellStyle name="Total 2 7 3 8" xfId="37987"/>
    <cellStyle name="Total 2 7 3 8 2" xfId="37988"/>
    <cellStyle name="Total 2 7 3 8 2 2" xfId="37989"/>
    <cellStyle name="Total 2 7 3 8 2 3" xfId="37990"/>
    <cellStyle name="Total 2 7 3 8 2 4" xfId="37991"/>
    <cellStyle name="Total 2 7 3 8 3" xfId="37992"/>
    <cellStyle name="Total 2 7 3 8 3 2" xfId="37993"/>
    <cellStyle name="Total 2 7 3 8 3 3" xfId="37994"/>
    <cellStyle name="Total 2 7 3 8 3 4" xfId="37995"/>
    <cellStyle name="Total 2 7 3 8 4" xfId="37996"/>
    <cellStyle name="Total 2 7 3 8 4 2" xfId="37997"/>
    <cellStyle name="Total 2 7 3 8 5" xfId="37998"/>
    <cellStyle name="Total 2 7 3 8 5 2" xfId="37999"/>
    <cellStyle name="Total 2 7 3 8 6" xfId="38000"/>
    <cellStyle name="Total 2 7 3 8 7" xfId="38001"/>
    <cellStyle name="Total 2 7 3 9" xfId="38002"/>
    <cellStyle name="Total 2 7 3 9 2" xfId="38003"/>
    <cellStyle name="Total 2 7 3 9 2 2" xfId="38004"/>
    <cellStyle name="Total 2 7 3 9 2 3" xfId="38005"/>
    <cellStyle name="Total 2 7 3 9 2 4" xfId="38006"/>
    <cellStyle name="Total 2 7 3 9 3" xfId="38007"/>
    <cellStyle name="Total 2 7 3 9 3 2" xfId="38008"/>
    <cellStyle name="Total 2 7 3 9 3 3" xfId="38009"/>
    <cellStyle name="Total 2 7 3 9 3 4" xfId="38010"/>
    <cellStyle name="Total 2 7 3 9 4" xfId="38011"/>
    <cellStyle name="Total 2 7 3 9 4 2" xfId="38012"/>
    <cellStyle name="Total 2 7 3 9 5" xfId="38013"/>
    <cellStyle name="Total 2 7 3 9 5 2" xfId="38014"/>
    <cellStyle name="Total 2 7 3 9 6" xfId="38015"/>
    <cellStyle name="Total 2 7 3 9 7" xfId="38016"/>
    <cellStyle name="Total 2 7 4" xfId="38017"/>
    <cellStyle name="Total 2 7 4 2" xfId="38018"/>
    <cellStyle name="Total 2 7 4 2 2" xfId="38019"/>
    <cellStyle name="Total 2 7 4 2 3" xfId="38020"/>
    <cellStyle name="Total 2 7 4 2 4" xfId="38021"/>
    <cellStyle name="Total 2 7 4 3 2" xfId="38022"/>
    <cellStyle name="Total 2 7 4 3 3" xfId="38023"/>
    <cellStyle name="Total 2 7 4 3 4" xfId="38024"/>
    <cellStyle name="Total 2 7 4 4 2" xfId="38025"/>
    <cellStyle name="Total 2 7 4 5" xfId="38026"/>
    <cellStyle name="Total 2 7 4 5 2" xfId="38027"/>
    <cellStyle name="Total 2 7 4 6" xfId="38028"/>
    <cellStyle name="Total 2 7 4 7" xfId="38029"/>
    <cellStyle name="Total 2 7 5" xfId="38030"/>
    <cellStyle name="Total 2 7 5 2" xfId="38031"/>
    <cellStyle name="Total 2 7 5 2 2" xfId="38032"/>
    <cellStyle name="Total 2 7 5 2 3" xfId="38033"/>
    <cellStyle name="Total 2 7 5 2 4" xfId="38034"/>
    <cellStyle name="Total 2 7 5 3" xfId="38035"/>
    <cellStyle name="Total 2 7 5 3 2" xfId="38036"/>
    <cellStyle name="Total 2 7 5 3 3" xfId="38037"/>
    <cellStyle name="Total 2 7 5 3 4" xfId="38038"/>
    <cellStyle name="Total 2 7 5 4" xfId="38039"/>
    <cellStyle name="Total 2 7 5 4 2" xfId="38040"/>
    <cellStyle name="Total 2 7 5 4 3" xfId="38041"/>
    <cellStyle name="Total 2 7 5 5" xfId="38042"/>
    <cellStyle name="Total 2 7 5 5 2" xfId="38043"/>
    <cellStyle name="Total 2 7 5 5 3" xfId="38044"/>
    <cellStyle name="Total 2 7 5 6" xfId="38045"/>
    <cellStyle name="Total 2 7 5 7" xfId="38046"/>
    <cellStyle name="Total 2 7 6" xfId="38047"/>
    <cellStyle name="Total 2 7 6 2" xfId="38048"/>
    <cellStyle name="Total 2 7 6 2 2" xfId="38049"/>
    <cellStyle name="Total 2 7 6 2 3" xfId="38050"/>
    <cellStyle name="Total 2 7 6 2 4" xfId="38051"/>
    <cellStyle name="Total 2 7 6 3" xfId="38052"/>
    <cellStyle name="Total 2 7 6 3 2" xfId="38053"/>
    <cellStyle name="Total 2 7 6 3 3" xfId="38054"/>
    <cellStyle name="Total 2 7 6 3 4" xfId="38055"/>
    <cellStyle name="Total 2 7 6 4" xfId="38056"/>
    <cellStyle name="Total 2 7 6 4 2" xfId="38057"/>
    <cellStyle name="Total 2 7 6 4 3" xfId="38058"/>
    <cellStyle name="Total 2 7 6 5" xfId="38059"/>
    <cellStyle name="Total 2 7 6 5 2" xfId="38060"/>
    <cellStyle name="Total 2 7 6 5 3" xfId="38061"/>
    <cellStyle name="Total 2 7 6 6" xfId="38062"/>
    <cellStyle name="Total 2 7 6 7" xfId="38063"/>
    <cellStyle name="Total 2 7 7" xfId="38064"/>
    <cellStyle name="Total 2 7 7 2" xfId="38065"/>
    <cellStyle name="Total 2 7 7 2 2" xfId="38066"/>
    <cellStyle name="Total 2 7 7 2 3" xfId="38067"/>
    <cellStyle name="Total 2 7 7 2 4" xfId="38068"/>
    <cellStyle name="Total 2 7 7 3" xfId="38069"/>
    <cellStyle name="Total 2 7 7 3 2" xfId="38070"/>
    <cellStyle name="Total 2 7 7 3 3" xfId="38071"/>
    <cellStyle name="Total 2 7 7 3 4" xfId="38072"/>
    <cellStyle name="Total 2 7 7 4" xfId="38073"/>
    <cellStyle name="Total 2 7 7 4 2" xfId="38074"/>
    <cellStyle name="Total 2 7 7 4 3" xfId="38075"/>
    <cellStyle name="Total 2 7 7 5" xfId="38076"/>
    <cellStyle name="Total 2 7 7 5 2" xfId="38077"/>
    <cellStyle name="Total 2 7 7 5 3" xfId="38078"/>
    <cellStyle name="Total 2 7 7 6" xfId="38079"/>
    <cellStyle name="Total 2 7 7 7" xfId="38080"/>
    <cellStyle name="Total 2 7 8" xfId="38081"/>
    <cellStyle name="Total 2 7 8 2" xfId="38082"/>
    <cellStyle name="Total 2 7 8 2 2" xfId="38083"/>
    <cellStyle name="Total 2 7 8 2 3" xfId="38084"/>
    <cellStyle name="Total 2 7 8 2 4" xfId="38085"/>
    <cellStyle name="Total 2 7 8 3" xfId="38086"/>
    <cellStyle name="Total 2 7 8 3 2" xfId="38087"/>
    <cellStyle name="Total 2 7 8 3 3" xfId="38088"/>
    <cellStyle name="Total 2 7 8 3 4" xfId="38089"/>
    <cellStyle name="Total 2 7 8 4" xfId="38090"/>
    <cellStyle name="Total 2 7 8 4 2" xfId="38091"/>
    <cellStyle name="Total 2 7 8 4 3" xfId="38092"/>
    <cellStyle name="Total 2 7 8 5" xfId="38093"/>
    <cellStyle name="Total 2 7 8 5 2" xfId="38094"/>
    <cellStyle name="Total 2 7 8 5 3" xfId="38095"/>
    <cellStyle name="Total 2 7 8 6" xfId="38096"/>
    <cellStyle name="Total 2 7 8 7" xfId="38097"/>
    <cellStyle name="Total 2 7 9" xfId="38098"/>
    <cellStyle name="Total 2 7 9 2" xfId="38099"/>
    <cellStyle name="Total 2 7 9 2 2" xfId="38100"/>
    <cellStyle name="Total 2 7 9 2 3" xfId="38101"/>
    <cellStyle name="Total 2 7 9 2 4" xfId="38102"/>
    <cellStyle name="Total 2 7 9 3" xfId="38103"/>
    <cellStyle name="Total 2 7 9 3 2" xfId="38104"/>
    <cellStyle name="Total 2 7 9 3 3" xfId="38105"/>
    <cellStyle name="Total 2 7 9 3 4" xfId="38106"/>
    <cellStyle name="Total 2 7 9 4" xfId="38107"/>
    <cellStyle name="Total 2 7 9 4 2" xfId="38108"/>
    <cellStyle name="Total 2 7 9 5" xfId="38109"/>
    <cellStyle name="Total 2 7 9 5 2" xfId="38110"/>
    <cellStyle name="Total 2 7 9 6" xfId="38111"/>
    <cellStyle name="Total 2 7 9 7" xfId="38112"/>
    <cellStyle name="Total 2 8" xfId="38113"/>
    <cellStyle name="Total 2 8 10" xfId="38114"/>
    <cellStyle name="Total 2 8 10 2" xfId="38115"/>
    <cellStyle name="Total 2 8 10 2 2" xfId="38116"/>
    <cellStyle name="Total 2 8 10 2 3" xfId="38117"/>
    <cellStyle name="Total 2 8 10 2 4" xfId="38118"/>
    <cellStyle name="Total 2 8 10 3" xfId="38119"/>
    <cellStyle name="Total 2 8 10 3 2" xfId="38120"/>
    <cellStyle name="Total 2 8 10 3 3" xfId="38121"/>
    <cellStyle name="Total 2 8 10 3 4" xfId="38122"/>
    <cellStyle name="Total 2 8 10 4" xfId="38123"/>
    <cellStyle name="Total 2 8 10 4 2" xfId="38124"/>
    <cellStyle name="Total 2 8 10 4 3" xfId="38125"/>
    <cellStyle name="Total 2 8 10 5" xfId="38126"/>
    <cellStyle name="Total 2 8 10 5 2" xfId="38127"/>
    <cellStyle name="Total 2 8 10 5 3" xfId="38128"/>
    <cellStyle name="Total 2 8 10 6" xfId="38129"/>
    <cellStyle name="Total 2 8 10 7" xfId="38130"/>
    <cellStyle name="Total 2 8 11" xfId="38131"/>
    <cellStyle name="Total 2 8 11 2" xfId="38132"/>
    <cellStyle name="Total 2 8 11 2 2" xfId="38133"/>
    <cellStyle name="Total 2 8 11 2 3" xfId="38134"/>
    <cellStyle name="Total 2 8 11 2 4" xfId="38135"/>
    <cellStyle name="Total 2 8 11 3" xfId="38136"/>
    <cellStyle name="Total 2 8 11 3 2" xfId="38137"/>
    <cellStyle name="Total 2 8 11 3 3" xfId="38138"/>
    <cellStyle name="Total 2 8 11 3 4" xfId="38139"/>
    <cellStyle name="Total 2 8 11 4" xfId="38140"/>
    <cellStyle name="Total 2 8 11 4 2" xfId="38141"/>
    <cellStyle name="Total 2 8 11 4 3" xfId="38142"/>
    <cellStyle name="Total 2 8 11 5" xfId="38143"/>
    <cellStyle name="Total 2 8 11 5 2" xfId="38144"/>
    <cellStyle name="Total 2 8 11 5 3" xfId="38145"/>
    <cellStyle name="Total 2 8 11 6" xfId="38146"/>
    <cellStyle name="Total 2 8 11 7" xfId="38147"/>
    <cellStyle name="Total 2 8 12" xfId="38148"/>
    <cellStyle name="Total 2 8 12 2" xfId="38149"/>
    <cellStyle name="Total 2 8 12 2 2" xfId="38150"/>
    <cellStyle name="Total 2 8 12 2 3" xfId="38151"/>
    <cellStyle name="Total 2 8 12 2 4" xfId="38152"/>
    <cellStyle name="Total 2 8 12 3" xfId="38153"/>
    <cellStyle name="Total 2 8 12 3 2" xfId="38154"/>
    <cellStyle name="Total 2 8 12 3 3" xfId="38155"/>
    <cellStyle name="Total 2 8 12 3 4" xfId="38156"/>
    <cellStyle name="Total 2 8 12 4" xfId="38157"/>
    <cellStyle name="Total 2 8 12 4 2" xfId="38158"/>
    <cellStyle name="Total 2 8 12 4 3" xfId="38159"/>
    <cellStyle name="Total 2 8 12 5" xfId="38160"/>
    <cellStyle name="Total 2 8 12 5 2" xfId="38161"/>
    <cellStyle name="Total 2 9 10 4" xfId="38162"/>
    <cellStyle name="Total 2 8 12 5 3" xfId="38163"/>
    <cellStyle name="Total 2 9 10 5" xfId="38164"/>
    <cellStyle name="Total 2 8 12 6" xfId="38165"/>
    <cellStyle name="Total 2 8 12 7" xfId="38166"/>
    <cellStyle name="Total 2 8 13" xfId="38167"/>
    <cellStyle name="Total 2 8 13 2" xfId="38168"/>
    <cellStyle name="Total 2 8 13 4" xfId="38169"/>
    <cellStyle name="Total 2 8 14" xfId="38170"/>
    <cellStyle name="Total 2 8 14 2" xfId="38171"/>
    <cellStyle name="Total 2 8 14 3" xfId="38172"/>
    <cellStyle name="Total 2 8 14 4" xfId="38173"/>
    <cellStyle name="Total 2 8 15" xfId="38174"/>
    <cellStyle name="Total 2 8 20" xfId="38175"/>
    <cellStyle name="Total 2 8 15 2" xfId="38176"/>
    <cellStyle name="Total 2 8 15 3" xfId="38177"/>
    <cellStyle name="Total 2 8 16" xfId="38178"/>
    <cellStyle name="Total 2 8 16 2" xfId="38179"/>
    <cellStyle name="Total 2 8 16 3" xfId="38180"/>
    <cellStyle name="Total 2 8 17" xfId="38181"/>
    <cellStyle name="Total 2 8 17 2" xfId="38182"/>
    <cellStyle name="Total 2 8 17 2 2" xfId="38183"/>
    <cellStyle name="Total 2 8 18" xfId="38184"/>
    <cellStyle name="Total 2 8 2" xfId="38185"/>
    <cellStyle name="Total 2 8 2 10" xfId="38186"/>
    <cellStyle name="Total 2 8 2 10 2" xfId="38187"/>
    <cellStyle name="Total 2 8 2 10 2 2" xfId="38188"/>
    <cellStyle name="Total 2 8 2 10 2 3" xfId="38189"/>
    <cellStyle name="Total 2 8 2 10 2 4" xfId="38190"/>
    <cellStyle name="Total 2 8 2 10 3" xfId="38191"/>
    <cellStyle name="Total 2 8 2 10 3 2" xfId="38192"/>
    <cellStyle name="Total 2 8 2 10 3 3" xfId="38193"/>
    <cellStyle name="Total 2 8 2 10 3 4" xfId="38194"/>
    <cellStyle name="Total 2 8 2 10 4 2" xfId="38195"/>
    <cellStyle name="Total 2 8 2 10 4 3" xfId="38196"/>
    <cellStyle name="Total 2 8 2 10 5 2" xfId="38197"/>
    <cellStyle name="Total 2 8 2 10 5 3" xfId="38198"/>
    <cellStyle name="Total 2 8 2 10 7" xfId="38199"/>
    <cellStyle name="Total 2 8 2 11" xfId="38200"/>
    <cellStyle name="Total 2 8 2 11 2" xfId="38201"/>
    <cellStyle name="Total 2 8 2 11 3" xfId="38202"/>
    <cellStyle name="Total 2 8 2 12" xfId="38203"/>
    <cellStyle name="Total 2 8 2 12 2" xfId="38204"/>
    <cellStyle name="Total 2 8 2 12 3" xfId="38205"/>
    <cellStyle name="Total 2 8 2 13" xfId="38206"/>
    <cellStyle name="Total 2 8 2 13 2" xfId="38207"/>
    <cellStyle name="Total 2 8 2 13 3" xfId="38208"/>
    <cellStyle name="Total 2 8 2 14" xfId="38209"/>
    <cellStyle name="Total 2 8 2 14 2" xfId="38210"/>
    <cellStyle name="Total 2 8 2 14 3" xfId="38211"/>
    <cellStyle name="Total 2 8 2 15" xfId="38212"/>
    <cellStyle name="Total 2 8 2 16" xfId="38213"/>
    <cellStyle name="Total 2 8 2 17" xfId="38214"/>
    <cellStyle name="Total 2 8 2 2" xfId="38215"/>
    <cellStyle name="Total 2 8 2 2 2" xfId="38216"/>
    <cellStyle name="Total 2 8 2 2 2 2" xfId="38217"/>
    <cellStyle name="Total 2 8 2 2 2 3" xfId="38218"/>
    <cellStyle name="Total 2 8 2 2 2 4" xfId="38219"/>
    <cellStyle name="Total 2 8 2 2 3" xfId="38220"/>
    <cellStyle name="Total 2 8 2 2 3 2" xfId="38221"/>
    <cellStyle name="Total 2 8 2 2 3 3" xfId="38222"/>
    <cellStyle name="Total 2 8 2 2 3 4" xfId="38223"/>
    <cellStyle name="Total 2 8 2 2 4" xfId="38224"/>
    <cellStyle name="Total 2 8 2 2 4 2" xfId="38225"/>
    <cellStyle name="Total 2 8 2 2 4 3" xfId="38226"/>
    <cellStyle name="Total 2 8 2 2 5" xfId="38227"/>
    <cellStyle name="Total 2 8 2 2 5 2" xfId="38228"/>
    <cellStyle name="Total 2 8 2 2 5 3" xfId="38229"/>
    <cellStyle name="Total 2 8 2 2 6" xfId="38230"/>
    <cellStyle name="Total 2 8 2 2 7" xfId="38231"/>
    <cellStyle name="Total 2 8 2 3" xfId="38232"/>
    <cellStyle name="Total 2 8 2 3 2" xfId="38233"/>
    <cellStyle name="Total 2 8 2 3 2 2" xfId="38234"/>
    <cellStyle name="Total 2 8 2 3 2 3" xfId="38235"/>
    <cellStyle name="Total 2 8 2 3 2 4" xfId="38236"/>
    <cellStyle name="Total 2 8 2 3 3" xfId="38237"/>
    <cellStyle name="Total 2 8 2 3 3 2" xfId="38238"/>
    <cellStyle name="Total 2 8 2 3 3 3" xfId="38239"/>
    <cellStyle name="Total 2 8 2 3 3 4" xfId="38240"/>
    <cellStyle name="Total 2 8 2 3 4" xfId="38241"/>
    <cellStyle name="Total 2 8 2 3 4 2" xfId="38242"/>
    <cellStyle name="Total 2 8 2 3 4 3" xfId="38243"/>
    <cellStyle name="Total 2 8 2 3 5" xfId="38244"/>
    <cellStyle name="Total 2 8 2 3 5 2" xfId="38245"/>
    <cellStyle name="Total 2 8 2 3 5 3" xfId="38246"/>
    <cellStyle name="Total 2 8 2 3 6" xfId="38247"/>
    <cellStyle name="Total 2 8 2 3 7" xfId="38248"/>
    <cellStyle name="Total 2 8 2 4" xfId="38249"/>
    <cellStyle name="Total 2 8 2 4 2" xfId="38250"/>
    <cellStyle name="Total 2 8 2 4 2 2" xfId="38251"/>
    <cellStyle name="Total 2 8 2 4 2 3" xfId="38252"/>
    <cellStyle name="Total 2 8 2 4 2 4" xfId="38253"/>
    <cellStyle name="Total 2 8 2 4 3" xfId="38254"/>
    <cellStyle name="Total 2 8 2 4 3 2" xfId="38255"/>
    <cellStyle name="Total 2 8 2 4 3 3" xfId="38256"/>
    <cellStyle name="Total 2 8 2 4 3 4" xfId="38257"/>
    <cellStyle name="Total 2 8 2 4 4" xfId="38258"/>
    <cellStyle name="Total 2 8 2 4 4 2" xfId="38259"/>
    <cellStyle name="Total 2 8 2 4 4 3" xfId="38260"/>
    <cellStyle name="Total 2 8 2 4 5" xfId="38261"/>
    <cellStyle name="Total 2 8 2 4 5 2" xfId="38262"/>
    <cellStyle name="Total 2 8 2 4 5 3" xfId="38263"/>
    <cellStyle name="Total 2 8 2 4 6" xfId="38264"/>
    <cellStyle name="Total 2 8 2 4 7" xfId="38265"/>
    <cellStyle name="Total 2 8 2 5" xfId="38266"/>
    <cellStyle name="Total 2 8 2 5 2" xfId="38267"/>
    <cellStyle name="Total 2 8 2 5 2 2" xfId="38268"/>
    <cellStyle name="Total 2 8 2 5 2 3" xfId="38269"/>
    <cellStyle name="Total 2 8 2 5 2 4" xfId="38270"/>
    <cellStyle name="Total 2 8 2 5 3" xfId="38271"/>
    <cellStyle name="Total 2 8 2 5 3 2" xfId="38272"/>
    <cellStyle name="Total 2 8 2 5 3 3" xfId="38273"/>
    <cellStyle name="Total 2 8 2 5 3 4" xfId="38274"/>
    <cellStyle name="Total 2 8 2 5 4" xfId="38275"/>
    <cellStyle name="Total 2 8 2 5 4 2" xfId="38276"/>
    <cellStyle name="Total 2 8 2 5 4 3" xfId="38277"/>
    <cellStyle name="Total 2 8 2 5 5" xfId="38278"/>
    <cellStyle name="Total 2 8 2 5 5 2" xfId="38279"/>
    <cellStyle name="Total 2 8 2 5 5 3" xfId="38280"/>
    <cellStyle name="Total 2 8 2 5 6" xfId="38281"/>
    <cellStyle name="Total 2 8 2 5 7" xfId="38282"/>
    <cellStyle name="Total 2 8 2 6" xfId="38283"/>
    <cellStyle name="Total 2 8 2 6 2" xfId="38284"/>
    <cellStyle name="Total 2 8 2 6 2 2" xfId="38285"/>
    <cellStyle name="Total 2 8 2 6 2 3" xfId="38286"/>
    <cellStyle name="Total 2 8 2 6 2 4" xfId="38287"/>
    <cellStyle name="Total 2 8 2 6 3" xfId="38288"/>
    <cellStyle name="Total 2 8 2 6 3 2" xfId="38289"/>
    <cellStyle name="Total 2 8 2 6 3 3" xfId="38290"/>
    <cellStyle name="Total 2 8 2 6 3 4" xfId="38291"/>
    <cellStyle name="Total 2 8 2 6 4" xfId="38292"/>
    <cellStyle name="Total 2 8 2 6 4 2" xfId="38293"/>
    <cellStyle name="Total 2 8 2 6 4 3" xfId="38294"/>
    <cellStyle name="Total 2 8 2 6 5" xfId="38295"/>
    <cellStyle name="Total 2 8 2 6 5 2" xfId="38296"/>
    <cellStyle name="Total 2 8 2 6 5 3" xfId="38297"/>
    <cellStyle name="Total 2 8 2 6 6" xfId="38298"/>
    <cellStyle name="Total 2 8 2 6 7" xfId="38299"/>
    <cellStyle name="Total 2 8 2 7" xfId="38300"/>
    <cellStyle name="Total 2 8 2 7 2" xfId="38301"/>
    <cellStyle name="Total 2 8 2 7 2 2" xfId="38302"/>
    <cellStyle name="Total 2 8 2 7 2 3" xfId="38303"/>
    <cellStyle name="Total 2 8 2 7 2 4" xfId="38304"/>
    <cellStyle name="Total 2 8 2 7 3" xfId="38305"/>
    <cellStyle name="Total 2 8 2 7 3 2" xfId="38306"/>
    <cellStyle name="Total 2 8 2 7 3 3" xfId="38307"/>
    <cellStyle name="Total 2 8 2 7 3 4" xfId="38308"/>
    <cellStyle name="Total 2 8 2 7 4" xfId="38309"/>
    <cellStyle name="Total 2 8 2 7 4 2" xfId="38310"/>
    <cellStyle name="Total 2 8 2 7 4 3" xfId="38311"/>
    <cellStyle name="Total 2 8 2 7 5" xfId="38312"/>
    <cellStyle name="Total 2 8 2 7 5 2" xfId="38313"/>
    <cellStyle name="Total 2 8 2 7 5 3" xfId="38314"/>
    <cellStyle name="Total 2 8 2 7 6" xfId="38315"/>
    <cellStyle name="Total 2 8 2 7 7" xfId="38316"/>
    <cellStyle name="Total 2 8 2 8" xfId="38317"/>
    <cellStyle name="Total 2 8 2 8 2" xfId="38318"/>
    <cellStyle name="Total 2 8 2 8 2 2" xfId="38319"/>
    <cellStyle name="Total 2 8 2 8 2 3" xfId="38320"/>
    <cellStyle name="Total 2 8 2 8 2 4" xfId="38321"/>
    <cellStyle name="Total 2 8 2 8 3" xfId="38322"/>
    <cellStyle name="Total 2 8 2 8 3 2" xfId="38323"/>
    <cellStyle name="Total 2 8 2 8 3 3" xfId="38324"/>
    <cellStyle name="Total 2 8 2 8 3 4" xfId="38325"/>
    <cellStyle name="Total 2 8 2 8 4" xfId="38326"/>
    <cellStyle name="Total 2 8 2 8 4 2" xfId="38327"/>
    <cellStyle name="Total 2 8 2 8 4 3" xfId="38328"/>
    <cellStyle name="Total 2 8 2 8 5" xfId="38329"/>
    <cellStyle name="Total 2 8 2 8 5 2" xfId="38330"/>
    <cellStyle name="Total 2 8 2 8 5 3" xfId="38331"/>
    <cellStyle name="Total 2 8 2 8 6" xfId="38332"/>
    <cellStyle name="Total 2 8 2 8 7" xfId="38333"/>
    <cellStyle name="Total 2 8 2 9" xfId="38334"/>
    <cellStyle name="Total 2 8 2 9 2" xfId="38335"/>
    <cellStyle name="Total 2 8 2 9 2 2" xfId="38336"/>
    <cellStyle name="Total 2 8 2 9 2 3" xfId="38337"/>
    <cellStyle name="Total 2 8 2 9 2 4" xfId="38338"/>
    <cellStyle name="Total 2 8 2 9 3" xfId="38339"/>
    <cellStyle name="Total 2 8 2 9 3 2" xfId="38340"/>
    <cellStyle name="Total 2 8 2 9 3 3" xfId="38341"/>
    <cellStyle name="Total 2 8 2 9 3 4" xfId="38342"/>
    <cellStyle name="Total 2 8 2 9 4" xfId="38343"/>
    <cellStyle name="Total 2 8 2 9 4 2" xfId="38344"/>
    <cellStyle name="Total 2 8 2 9 4 3" xfId="38345"/>
    <cellStyle name="Total 2 8 2 9 5" xfId="38346"/>
    <cellStyle name="Total 2 8 2 9 5 2" xfId="38347"/>
    <cellStyle name="Total 2 8 2 9 5 3" xfId="38348"/>
    <cellStyle name="Total 2 8 2 9 6" xfId="38349"/>
    <cellStyle name="Total 2 8 2 9 7" xfId="38350"/>
    <cellStyle name="Total 2 8 3" xfId="38351"/>
    <cellStyle name="Total 2 8 3 10" xfId="38352"/>
    <cellStyle name="Total 2 8 3 10 2" xfId="38353"/>
    <cellStyle name="Total 2 8 3 10 2 2" xfId="38354"/>
    <cellStyle name="Total 2 8 3 10 2 3" xfId="38355"/>
    <cellStyle name="Total 2 8 3 10 2 4" xfId="38356"/>
    <cellStyle name="Total 2 8 3 10 3" xfId="38357"/>
    <cellStyle name="Total 2 8 3 10 3 2" xfId="38358"/>
    <cellStyle name="Total 2 8 3 10 3 3" xfId="38359"/>
    <cellStyle name="Total 2 8 3 10 3 4" xfId="38360"/>
    <cellStyle name="Total 2 8 3 10 4" xfId="38361"/>
    <cellStyle name="Total 2 8 3 10 4 2" xfId="38362"/>
    <cellStyle name="Total 2 8 3 10 4 3" xfId="38363"/>
    <cellStyle name="Total 2 8 3 10 5" xfId="38364"/>
    <cellStyle name="Total 2 8 3 10 5 2" xfId="38365"/>
    <cellStyle name="Total 2 8 3 10 5 3" xfId="38366"/>
    <cellStyle name="Total 2 8 3 10 6" xfId="38367"/>
    <cellStyle name="Total 2 8 3 10 7" xfId="38368"/>
    <cellStyle name="Total 2 8 3 11" xfId="38369"/>
    <cellStyle name="Total 2 8 3 11 2" xfId="38370"/>
    <cellStyle name="Total 2 8 3 11 3" xfId="38371"/>
    <cellStyle name="Total 2 8 3 11 4" xfId="38372"/>
    <cellStyle name="Total 2 8 3 12" xfId="38373"/>
    <cellStyle name="Total 2 8 3 12 2" xfId="38374"/>
    <cellStyle name="Total 2 8 3 12 3" xfId="38375"/>
    <cellStyle name="Total 2 8 3 12 4" xfId="38376"/>
    <cellStyle name="Total 2 8 3 13" xfId="38377"/>
    <cellStyle name="Total 2 8 3 13 2" xfId="38378"/>
    <cellStyle name="Total 2 8 3 13 3" xfId="38379"/>
    <cellStyle name="Total 2 8 3 14" xfId="38380"/>
    <cellStyle name="Total 2 8 3 14 2" xfId="38381"/>
    <cellStyle name="Total 2 8 3 14 3" xfId="38382"/>
    <cellStyle name="Total 2 8 3 15" xfId="38383"/>
    <cellStyle name="Total 2 8 3 16" xfId="38384"/>
    <cellStyle name="Total 2 8 3 2" xfId="38385"/>
    <cellStyle name="Total 2 8 3 2 2" xfId="38386"/>
    <cellStyle name="Total 2 8 3 2 2 2" xfId="38387"/>
    <cellStyle name="Total 2 8 3 2 2 3" xfId="38388"/>
    <cellStyle name="Total 2 8 3 2 2 4" xfId="38389"/>
    <cellStyle name="Total 2 8 3 2 3" xfId="38390"/>
    <cellStyle name="Total 2 8 3 2 3 3" xfId="38391"/>
    <cellStyle name="Total 2 8 3 2 3 4" xfId="38392"/>
    <cellStyle name="Total 2 8 3 2 4" xfId="38393"/>
    <cellStyle name="Total 2 8 3 2 4 3" xfId="38394"/>
    <cellStyle name="Total 2 8 3 2 5" xfId="38395"/>
    <cellStyle name="Total 2 8 3 2 5 2" xfId="38396"/>
    <cellStyle name="Total 2 8 3 2 5 3" xfId="38397"/>
    <cellStyle name="Total 2 8 3 2 6" xfId="38398"/>
    <cellStyle name="Total 2 8 3 2 7" xfId="38399"/>
    <cellStyle name="Total 2 8 3 3" xfId="38400"/>
    <cellStyle name="Total 2 8 3 3 2" xfId="38401"/>
    <cellStyle name="Total 2 8 3 3 2 2" xfId="38402"/>
    <cellStyle name="Total 2 8 3 3 2 3" xfId="38403"/>
    <cellStyle name="Total 2 8 3 3 2 4" xfId="38404"/>
    <cellStyle name="Total 2 8 3 3 3" xfId="38405"/>
    <cellStyle name="Total 2 8 3 3 3 2" xfId="38406"/>
    <cellStyle name="Total 2 8 3 3 3 3" xfId="38407"/>
    <cellStyle name="Total 2 8 3 3 3 4" xfId="38408"/>
    <cellStyle name="Total 2 8 3 3 4" xfId="38409"/>
    <cellStyle name="Total 2 8 3 3 4 2" xfId="38410"/>
    <cellStyle name="Total 2 8 3 3 4 3" xfId="38411"/>
    <cellStyle name="Total 2 8 3 3 5" xfId="38412"/>
    <cellStyle name="Total 2 8 3 3 5 2" xfId="38413"/>
    <cellStyle name="Total 2 8 3 3 5 3" xfId="38414"/>
    <cellStyle name="Total 2 8 3 3 6" xfId="38415"/>
    <cellStyle name="Total 2 8 3 3 7" xfId="38416"/>
    <cellStyle name="Total 2 8 3 4" xfId="38417"/>
    <cellStyle name="Total 2 8 3 4 2" xfId="38418"/>
    <cellStyle name="Total 2 8 3 4 2 2" xfId="38419"/>
    <cellStyle name="Total 2 8 3 4 2 3" xfId="38420"/>
    <cellStyle name="Total 2 8 3 4 2 4" xfId="38421"/>
    <cellStyle name="Total 2 8 3 4 3" xfId="38422"/>
    <cellStyle name="Total 2 8 3 4 3 2" xfId="38423"/>
    <cellStyle name="Total 2 8 3 4 3 3" xfId="38424"/>
    <cellStyle name="Total 2 8 3 4 3 4" xfId="38425"/>
    <cellStyle name="Total 2 8 3 4 4" xfId="38426"/>
    <cellStyle name="Total 2 8 3 4 4 2" xfId="38427"/>
    <cellStyle name="Total 2 8 3 4 4 3" xfId="38428"/>
    <cellStyle name="Total 2 8 3 4 5" xfId="38429"/>
    <cellStyle name="Total 2 8 3 4 5 2" xfId="38430"/>
    <cellStyle name="Total 2 8 3 4 5 3" xfId="38431"/>
    <cellStyle name="Total 2 8 3 4 6" xfId="38432"/>
    <cellStyle name="Total 2 8 3 4 7" xfId="38433"/>
    <cellStyle name="Total 2 8 3 5" xfId="38434"/>
    <cellStyle name="Total 2 8 3 5 2" xfId="38435"/>
    <cellStyle name="Total 2 8 3 5 2 2" xfId="38436"/>
    <cellStyle name="Total 2 8 3 5 2 3" xfId="38437"/>
    <cellStyle name="Total 2 8 3 5 2 4" xfId="38438"/>
    <cellStyle name="Total 2 8 3 5 3" xfId="38439"/>
    <cellStyle name="Total 2 8 3 5 3 2" xfId="38440"/>
    <cellStyle name="Total 2 8 3 5 3 3" xfId="38441"/>
    <cellStyle name="Total 2 8 3 5 3 4" xfId="38442"/>
    <cellStyle name="Total 2 8 3 5 4" xfId="38443"/>
    <cellStyle name="Total 2 8 3 5 4 2" xfId="38444"/>
    <cellStyle name="Total 2 8 3 5 4 3" xfId="38445"/>
    <cellStyle name="Total 2 8 3 5 5" xfId="38446"/>
    <cellStyle name="Total 2 8 3 5 5 2" xfId="38447"/>
    <cellStyle name="Total 2 8 3 5 5 3" xfId="38448"/>
    <cellStyle name="Total 2 8 3 5 6" xfId="38449"/>
    <cellStyle name="Total 2 8 3 5 7" xfId="38450"/>
    <cellStyle name="Total 2 8 3 6" xfId="38451"/>
    <cellStyle name="Total 2 8 3 6 2" xfId="38452"/>
    <cellStyle name="Total 2 8 3 6 2 2" xfId="38453"/>
    <cellStyle name="Total 2 8 3 6 2 3" xfId="38454"/>
    <cellStyle name="Total 2 8 3 6 2 4" xfId="38455"/>
    <cellStyle name="Total 2 8 3 6 3" xfId="38456"/>
    <cellStyle name="Total 2 8 3 6 3 2" xfId="38457"/>
    <cellStyle name="Total 2 8 3 6 3 3" xfId="38458"/>
    <cellStyle name="Total 2 8 3 6 3 4" xfId="38459"/>
    <cellStyle name="Total 2 8 3 6 4" xfId="38460"/>
    <cellStyle name="Total 2 8 3 6 4 2" xfId="38461"/>
    <cellStyle name="Total 2 8 3 6 4 3" xfId="38462"/>
    <cellStyle name="Total 2 8 3 6 5" xfId="38463"/>
    <cellStyle name="Total 2 8 3 6 5 2" xfId="38464"/>
    <cellStyle name="Total 2 8 3 6 5 3" xfId="38465"/>
    <cellStyle name="Total 2 8 3 6 6" xfId="38466"/>
    <cellStyle name="Total 2 8 3 6 7" xfId="38467"/>
    <cellStyle name="Total 2 8 3 7" xfId="38468"/>
    <cellStyle name="Total 2 8 3 7 2" xfId="38469"/>
    <cellStyle name="Total 2 8 3 7 2 2" xfId="38470"/>
    <cellStyle name="Total 2 8 3 7 2 3" xfId="38471"/>
    <cellStyle name="Total 2 8 3 7 2 4" xfId="38472"/>
    <cellStyle name="Total 2 8 3 7 3" xfId="38473"/>
    <cellStyle name="Total 2 8 3 7 3 2" xfId="38474"/>
    <cellStyle name="Total 2 8 3 7 3 3" xfId="38475"/>
    <cellStyle name="Total 2 8 3 7 3 4" xfId="38476"/>
    <cellStyle name="Total 2 8 3 7 4" xfId="38477"/>
    <cellStyle name="Total 2 8 3 7 4 2" xfId="38478"/>
    <cellStyle name="Total 2 8 3 7 4 3" xfId="38479"/>
    <cellStyle name="Total 2 8 3 7 5" xfId="38480"/>
    <cellStyle name="Total 2 8 3 7 5 2" xfId="38481"/>
    <cellStyle name="Total 2 8 3 7 5 3" xfId="38482"/>
    <cellStyle name="Total 2 8 3 7 6" xfId="38483"/>
    <cellStyle name="Total 2 8 3 7 7" xfId="38484"/>
    <cellStyle name="Total 2 8 3 8" xfId="38485"/>
    <cellStyle name="Total 2 8 3 8 2" xfId="38486"/>
    <cellStyle name="Total 2 8 3 8 2 2" xfId="38487"/>
    <cellStyle name="Total 2 8 3 8 2 3" xfId="38488"/>
    <cellStyle name="Total 2 8 3 8 2 4" xfId="38489"/>
    <cellStyle name="Total 2 8 3 8 3" xfId="38490"/>
    <cellStyle name="Total 2 8 3 8 3 2" xfId="38491"/>
    <cellStyle name="Total 2 8 3 8 3 3" xfId="38492"/>
    <cellStyle name="Total 2 8 3 8 3 4" xfId="38493"/>
    <cellStyle name="Total 2 8 3 8 4" xfId="38494"/>
    <cellStyle name="Total 2 8 3 8 4 2" xfId="38495"/>
    <cellStyle name="Total 2 8 3 8 4 3" xfId="38496"/>
    <cellStyle name="Total 2 8 3 8 5" xfId="38497"/>
    <cellStyle name="Total 2 8 3 8 5 2" xfId="38498"/>
    <cellStyle name="Total 2 8 3 8 5 3" xfId="38499"/>
    <cellStyle name="Total 2 8 3 8 6" xfId="38500"/>
    <cellStyle name="Total 2 8 3 8 7" xfId="38501"/>
    <cellStyle name="Total 2 8 3 9" xfId="38502"/>
    <cellStyle name="Total 2 8 3 9 2" xfId="38503"/>
    <cellStyle name="Total 2 8 3 9 2 2" xfId="38504"/>
    <cellStyle name="Total 2 8 3 9 2 3" xfId="38505"/>
    <cellStyle name="Total 2 8 3 9 2 4" xfId="38506"/>
    <cellStyle name="Total 2 8 3 9 3" xfId="38507"/>
    <cellStyle name="Total 2 8 3 9 3 2" xfId="38508"/>
    <cellStyle name="Total 2 8 3 9 3 3" xfId="38509"/>
    <cellStyle name="Total 2 8 3 9 3 4" xfId="38510"/>
    <cellStyle name="Total 2 8 3 9 4" xfId="38511"/>
    <cellStyle name="Total 2 8 3 9 4 2" xfId="38512"/>
    <cellStyle name="Total 2 8 3 9 4 3" xfId="38513"/>
    <cellStyle name="Total 2 8 3 9 5" xfId="38514"/>
    <cellStyle name="Total 2 8 3 9 5 2" xfId="38515"/>
    <cellStyle name="Total 2 8 3 9 5 3" xfId="38516"/>
    <cellStyle name="Total 2 8 3 9 6" xfId="38517"/>
    <cellStyle name="Total 2 8 3 9 7" xfId="38518"/>
    <cellStyle name="Total 2 8 4" xfId="38519"/>
    <cellStyle name="Total 2 8 4 2" xfId="38520"/>
    <cellStyle name="Total 2 8 4 2 2" xfId="38521"/>
    <cellStyle name="Total 2 8 4 2 3" xfId="38522"/>
    <cellStyle name="Total 2 8 4 2 4" xfId="38523"/>
    <cellStyle name="Total 2 8 4 3" xfId="38524"/>
    <cellStyle name="Total 2 8 4 3 2" xfId="38525"/>
    <cellStyle name="Total 2 8 4 3 3" xfId="38526"/>
    <cellStyle name="Total 2 8 4 3 4" xfId="38527"/>
    <cellStyle name="Total 2 8 4 4" xfId="38528"/>
    <cellStyle name="Total 2 8 4 4 2" xfId="38529"/>
    <cellStyle name="Total 2 8 4 4 3" xfId="38530"/>
    <cellStyle name="Total 2 8 4 5" xfId="38531"/>
    <cellStyle name="Total 2 8 4 5 2" xfId="38532"/>
    <cellStyle name="Total 2 8 4 5 3" xfId="38533"/>
    <cellStyle name="Total 2 8 4 6" xfId="38534"/>
    <cellStyle name="Total 2 8 4 7" xfId="38535"/>
    <cellStyle name="Total 2 8 5" xfId="38536"/>
    <cellStyle name="Total 2 8 5 2" xfId="38537"/>
    <cellStyle name="Total 2 8 5 2 2" xfId="38538"/>
    <cellStyle name="Total 2 8 5 2 3" xfId="38539"/>
    <cellStyle name="Total 2 8 5 2 4" xfId="38540"/>
    <cellStyle name="Total 2 8 5 3" xfId="38541"/>
    <cellStyle name="Total 2 8 5 3 2" xfId="38542"/>
    <cellStyle name="Total 2 8 5 3 3" xfId="38543"/>
    <cellStyle name="Total 2 8 5 3 4" xfId="38544"/>
    <cellStyle name="Total 2 8 5 4" xfId="38545"/>
    <cellStyle name="Total 2 8 5 4 2" xfId="38546"/>
    <cellStyle name="Total 2 8 5 4 3" xfId="38547"/>
    <cellStyle name="Total 2 8 5 5" xfId="38548"/>
    <cellStyle name="Total 2 8 5 5 2" xfId="38549"/>
    <cellStyle name="Total 2 8 5 5 3" xfId="38550"/>
    <cellStyle name="Total 2 8 5 6" xfId="38551"/>
    <cellStyle name="Total 2 8 5 7" xfId="38552"/>
    <cellStyle name="Total 2 8 6" xfId="38553"/>
    <cellStyle name="Total 2 8 6 2" xfId="38554"/>
    <cellStyle name="Total 2 8 6 2 2" xfId="38555"/>
    <cellStyle name="Total 2 8 6 2 3" xfId="38556"/>
    <cellStyle name="Total 2 8 6 2 4" xfId="38557"/>
    <cellStyle name="Total 2 8 6 3" xfId="38558"/>
    <cellStyle name="Total 2 8 6 3 2" xfId="38559"/>
    <cellStyle name="Total 2 8 6 3 3" xfId="38560"/>
    <cellStyle name="Total 2 8 6 3 4" xfId="38561"/>
    <cellStyle name="Total 2 8 6 4" xfId="38562"/>
    <cellStyle name="Total 2 8 6 4 2" xfId="38563"/>
    <cellStyle name="Total 2 8 6 4 3" xfId="38564"/>
    <cellStyle name="Total 2 8 6 5" xfId="38565"/>
    <cellStyle name="Total 2 8 6 5 2" xfId="38566"/>
    <cellStyle name="Total 2 8 6 5 3" xfId="38567"/>
    <cellStyle name="Total 2 8 6 6" xfId="38568"/>
    <cellStyle name="Total 2 8 6 7" xfId="38569"/>
    <cellStyle name="Total 2 8 7" xfId="38570"/>
    <cellStyle name="Total 2 8 7 2" xfId="38571"/>
    <cellStyle name="Total 2 8 7 2 2" xfId="38572"/>
    <cellStyle name="Total 2 8 7 2 3" xfId="38573"/>
    <cellStyle name="Total 2 8 7 2 4" xfId="38574"/>
    <cellStyle name="Total 2 8 7 3" xfId="38575"/>
    <cellStyle name="Total 2 8 7 3 2" xfId="38576"/>
    <cellStyle name="Total 2 8 7 3 3" xfId="38577"/>
    <cellStyle name="Total 2 8 7 3 4" xfId="38578"/>
    <cellStyle name="Total 2 8 7 4" xfId="38579"/>
    <cellStyle name="Total 2 8 7 4 2" xfId="38580"/>
    <cellStyle name="Total 2 8 7 4 3" xfId="38581"/>
    <cellStyle name="Total 2 8 7 5" xfId="38582"/>
    <cellStyle name="Total 2 8 7 5 2" xfId="38583"/>
    <cellStyle name="Total 2 8 7 5 3" xfId="38584"/>
    <cellStyle name="Total 2 8 7 6" xfId="38585"/>
    <cellStyle name="Total 2 8 7 7" xfId="38586"/>
    <cellStyle name="Total 2 8 8" xfId="38587"/>
    <cellStyle name="Total 2 8 8 2" xfId="38588"/>
    <cellStyle name="Total 2 8 8 2 2" xfId="38589"/>
    <cellStyle name="Total 2 8 8 2 3" xfId="38590"/>
    <cellStyle name="Total 2 8 8 2 4" xfId="38591"/>
    <cellStyle name="Total 2 8 8 3" xfId="38592"/>
    <cellStyle name="Total 2 8 8 3 2" xfId="38593"/>
    <cellStyle name="Total 2 8 8 3 3" xfId="38594"/>
    <cellStyle name="Total 2 8 8 3 4" xfId="38595"/>
    <cellStyle name="Total 2 8 8 4" xfId="38596"/>
    <cellStyle name="Total 2 8 8 4 2" xfId="38597"/>
    <cellStyle name="Total 2 8 8 4 3" xfId="38598"/>
    <cellStyle name="Total 2 8 8 5" xfId="38599"/>
    <cellStyle name="Total 2 8 8 5 2" xfId="38600"/>
    <cellStyle name="Total 2 8 8 5 3" xfId="38601"/>
    <cellStyle name="Total 2 8 8 6" xfId="38602"/>
    <cellStyle name="Total 2 8 8 7" xfId="38603"/>
    <cellStyle name="Total 2 8 9" xfId="38604"/>
    <cellStyle name="Total 2 8 9 2" xfId="38605"/>
    <cellStyle name="Total 2 8 9 2 2" xfId="38606"/>
    <cellStyle name="Total 2 8 9 2 3" xfId="38607"/>
    <cellStyle name="Total 2 8 9 2 4" xfId="38608"/>
    <cellStyle name="Total 2 8 9 3" xfId="38609"/>
    <cellStyle name="Total 2 8 9 3 2" xfId="38610"/>
    <cellStyle name="Total 2 8 9 3 3" xfId="38611"/>
    <cellStyle name="Total 2 8 9 3 4" xfId="38612"/>
    <cellStyle name="Total 2 8 9 4" xfId="38613"/>
    <cellStyle name="Total 2 8 9 4 2" xfId="38614"/>
    <cellStyle name="Total 2 8 9 4 3" xfId="38615"/>
    <cellStyle name="Total 2 8 9 5" xfId="38616"/>
    <cellStyle name="Total 2 8 9 5 2" xfId="38617"/>
    <cellStyle name="Total 2 8 9 5 3" xfId="38618"/>
    <cellStyle name="Total 2 8 9 6" xfId="38619"/>
    <cellStyle name="Total 2 9" xfId="38620"/>
    <cellStyle name="Total 2 9 10 2" xfId="38621"/>
    <cellStyle name="Total 2 9 10 2 3" xfId="38622"/>
    <cellStyle name="Total 2 9 10 2 4" xfId="38623"/>
    <cellStyle name="Total 2 9 10 3" xfId="38624"/>
    <cellStyle name="Total 2 9 10 3 2" xfId="38625"/>
    <cellStyle name="Total 2 9 10 3 3" xfId="38626"/>
    <cellStyle name="Total 2 9 10 3 4" xfId="38627"/>
    <cellStyle name="Total 2 9 10 4 2" xfId="38628"/>
    <cellStyle name="Total 2 9 10 4 3" xfId="38629"/>
    <cellStyle name="Total 2 9 10 5 2" xfId="38630"/>
    <cellStyle name="Total 2 9 10 5 3" xfId="38631"/>
    <cellStyle name="Total 2 9 10 6" xfId="38632"/>
    <cellStyle name="Total 2 9 10 7" xfId="38633"/>
    <cellStyle name="Total 2 9 11 2" xfId="38634"/>
    <cellStyle name="Total 2 9 11 2 3" xfId="38635"/>
    <cellStyle name="Total 2 9 11 2 4" xfId="38636"/>
    <cellStyle name="Total 2 9 11 3" xfId="38637"/>
    <cellStyle name="Total 2 9 11 4" xfId="38638"/>
    <cellStyle name="Total 2 9 11 5" xfId="38639"/>
    <cellStyle name="Total 2 9 11 6" xfId="38640"/>
    <cellStyle name="Total 2 9 11 7" xfId="38641"/>
    <cellStyle name="Total 2 9 12" xfId="38642"/>
    <cellStyle name="Total 2 9 12 2" xfId="38643"/>
    <cellStyle name="Total 2 9 12 2 3" xfId="38644"/>
    <cellStyle name="Total 2 9 12 2 4" xfId="38645"/>
    <cellStyle name="Total 2 9 12 3" xfId="38646"/>
    <cellStyle name="Total 2 9 12 4" xfId="38647"/>
    <cellStyle name="Total 2 9 12 5" xfId="38648"/>
    <cellStyle name="Total 2 9 12 6" xfId="38649"/>
    <cellStyle name="Total 2 9 12 7" xfId="38650"/>
    <cellStyle name="Total 2 9 13" xfId="38651"/>
    <cellStyle name="Total 2 9 13 2" xfId="38652"/>
    <cellStyle name="Total 2 9 13 3" xfId="38653"/>
    <cellStyle name="Total 2 9 13 4" xfId="38654"/>
    <cellStyle name="Total 2 9 14" xfId="38655"/>
    <cellStyle name="Total 2 9 14 2" xfId="38656"/>
    <cellStyle name="Total 2 9 14 3" xfId="38657"/>
    <cellStyle name="Total 2 9 14 4" xfId="38658"/>
    <cellStyle name="Total 2 9 15" xfId="38659"/>
    <cellStyle name="Total 2 9 20" xfId="38660"/>
    <cellStyle name="Total 2 9 15 2" xfId="38661"/>
    <cellStyle name="Total 2 9 15 3" xfId="38662"/>
    <cellStyle name="Total 2 9 16" xfId="38663"/>
    <cellStyle name="Total 2 9 16 2" xfId="38664"/>
    <cellStyle name="Total 2 9 16 3" xfId="38665"/>
    <cellStyle name="Total 2 9 17" xfId="38666"/>
    <cellStyle name="Total 2 9 17 2" xfId="38667"/>
    <cellStyle name="Total 2 9 17 2 2" xfId="38668"/>
    <cellStyle name="Total 2 9 18" xfId="38669"/>
    <cellStyle name="Total 2 9 19" xfId="38670"/>
    <cellStyle name="Total 2 9 2" xfId="38671"/>
    <cellStyle name="Total 2 9 2 10" xfId="38672"/>
    <cellStyle name="Total 2 9 2 10 2" xfId="38673"/>
    <cellStyle name="Total 2 9 2 10 2 2" xfId="38674"/>
    <cellStyle name="Total 2 9 2 10 2 3" xfId="38675"/>
    <cellStyle name="Total 2 9 2 10 2 4" xfId="38676"/>
    <cellStyle name="Total 2 9 2 10 3" xfId="38677"/>
    <cellStyle name="Total 2 9 2 10 3 2" xfId="38678"/>
    <cellStyle name="Total 2 9 2 10 3 4" xfId="38679"/>
    <cellStyle name="Total 2 9 2 10 4" xfId="38680"/>
    <cellStyle name="Total 2 9 2 10 4 2" xfId="38681"/>
    <cellStyle name="Total 2 9 2 10 4 3" xfId="38682"/>
    <cellStyle name="Total 2 9 2 10 5" xfId="38683"/>
    <cellStyle name="Total 2 9 2 10 6" xfId="38684"/>
    <cellStyle name="Total 2 9 2 10 7" xfId="38685"/>
    <cellStyle name="Total 2 9 2 11" xfId="38686"/>
    <cellStyle name="Total 2 9 2 11 2" xfId="38687"/>
    <cellStyle name="Total 2 9 2 11 3" xfId="38688"/>
    <cellStyle name="Total 2 9 2 11 4" xfId="38689"/>
    <cellStyle name="Total 2 9 2 12" xfId="38690"/>
    <cellStyle name="Total 2 9 2 12 2" xfId="38691"/>
    <cellStyle name="Total 2 9 2 12 3" xfId="38692"/>
    <cellStyle name="Total 2 9 2 12 4" xfId="38693"/>
    <cellStyle name="Total 2 9 2 13" xfId="38694"/>
    <cellStyle name="Total 2 9 2 13 2" xfId="38695"/>
    <cellStyle name="Total 2 9 2 13 3" xfId="38696"/>
    <cellStyle name="Total 2 9 2 14" xfId="38697"/>
    <cellStyle name="Total 2 9 2 14 2" xfId="38698"/>
    <cellStyle name="Total 2 9 2 14 3" xfId="38699"/>
    <cellStyle name="Total 2 9 2 15" xfId="38700"/>
    <cellStyle name="Total 2 9 2 16" xfId="38701"/>
    <cellStyle name="Total 2 9 2 17" xfId="38702"/>
    <cellStyle name="Total 2 9 2 2" xfId="38703"/>
    <cellStyle name="Total 2 9 2 2 2 2" xfId="38704"/>
    <cellStyle name="Total 2 9 2 2 2 3" xfId="38705"/>
    <cellStyle name="Total 2 9 2 2 2 4" xfId="38706"/>
    <cellStyle name="Total 2 9 2 2 3 2" xfId="38707"/>
    <cellStyle name="Total 2 9 2 2 3 3" xfId="38708"/>
    <cellStyle name="Total 2 9 2 2 3 4" xfId="38709"/>
    <cellStyle name="Total 2 9 2 2 4" xfId="38710"/>
    <cellStyle name="Total 2 9 2 2 4 2" xfId="38711"/>
    <cellStyle name="Total 2 9 2 2 4 3" xfId="38712"/>
    <cellStyle name="Total 2 9 2 2 5" xfId="38713"/>
    <cellStyle name="Total 2 9 2 2 5 2" xfId="38714"/>
    <cellStyle name="Total 2 9 2 2 5 3" xfId="38715"/>
    <cellStyle name="Total 2 9 2 2 6" xfId="38716"/>
    <cellStyle name="Total 2 9 2 2 7" xfId="38717"/>
    <cellStyle name="Total 2 9 2 3" xfId="38718"/>
    <cellStyle name="Total 2 9 2 3 2 2" xfId="38719"/>
    <cellStyle name="Total 2 9 2 3 2 3" xfId="38720"/>
    <cellStyle name="Total 2 9 2 3 2 4" xfId="38721"/>
    <cellStyle name="Total 2 9 2 3 3" xfId="38722"/>
    <cellStyle name="Total 2 9 2 3 3 2" xfId="38723"/>
    <cellStyle name="Total 2 9 2 3 3 3" xfId="38724"/>
    <cellStyle name="Total 2 9 2 3 3 4" xfId="38725"/>
    <cellStyle name="Total 2 9 2 3 4" xfId="38726"/>
    <cellStyle name="Total 2 9 2 3 4 2" xfId="38727"/>
    <cellStyle name="Total 2 9 2 3 4 3" xfId="38728"/>
    <cellStyle name="Total 2 9 2 3 5" xfId="38729"/>
    <cellStyle name="Total 2 9 2 3 5 2" xfId="38730"/>
    <cellStyle name="Total 2 9 2 3 5 3" xfId="38731"/>
    <cellStyle name="Total 2 9 2 3 6" xfId="38732"/>
    <cellStyle name="Total 2 9 2 3 7" xfId="38733"/>
    <cellStyle name="Total 2 9 2 4" xfId="38734"/>
    <cellStyle name="Total 2 9 2 4 2 2" xfId="38735"/>
    <cellStyle name="Total 2 9 2 4 2 3" xfId="38736"/>
    <cellStyle name="Total 2 9 2 4 2 4" xfId="38737"/>
    <cellStyle name="Total 2 9 2 4 3" xfId="38738"/>
    <cellStyle name="Total 2 9 2 4 3 2" xfId="38739"/>
    <cellStyle name="Total 2 9 2 4 3 3" xfId="38740"/>
    <cellStyle name="Total 2 9 2 4 3 4" xfId="38741"/>
    <cellStyle name="Total 2 9 2 4 4" xfId="38742"/>
    <cellStyle name="Total 2 9 2 4 4 2" xfId="38743"/>
    <cellStyle name="Total 2 9 2 4 4 3" xfId="38744"/>
    <cellStyle name="Total 2 9 2 4 5" xfId="38745"/>
    <cellStyle name="Total 2 9 2 4 5 2" xfId="38746"/>
    <cellStyle name="Total 2 9 2 4 5 3" xfId="38747"/>
    <cellStyle name="Total 2 9 2 4 6" xfId="38748"/>
    <cellStyle name="Total 2 9 2 4 7" xfId="38749"/>
    <cellStyle name="Total 2 9 2 5 2" xfId="38750"/>
    <cellStyle name="Total 2 9 2 5 2 2" xfId="38751"/>
    <cellStyle name="Total 2 9 2 5 2 3" xfId="38752"/>
    <cellStyle name="Total 2 9 2 5 2 4" xfId="38753"/>
    <cellStyle name="Total 2 9 2 5 3" xfId="38754"/>
    <cellStyle name="Total 2 9 2 5 3 2" xfId="38755"/>
    <cellStyle name="Total 2 9 2 5 3 3" xfId="38756"/>
    <cellStyle name="Total 2 9 2 5 3 4" xfId="38757"/>
    <cellStyle name="Total 2 9 2 5 4" xfId="38758"/>
    <cellStyle name="Total 2 9 2 5 4 2" xfId="38759"/>
    <cellStyle name="Total 2 9 2 5 4 3" xfId="38760"/>
    <cellStyle name="Total 2 9 2 5 5" xfId="38761"/>
    <cellStyle name="Total 2 9 2 5 5 2" xfId="38762"/>
    <cellStyle name="Total 2 9 2 5 5 3" xfId="38763"/>
    <cellStyle name="Total 2 9 2 5 6" xfId="38764"/>
    <cellStyle name="Total 2 9 2 5 7" xfId="38765"/>
    <cellStyle name="Total 2 9 2 6" xfId="38766"/>
    <cellStyle name="Total 2 9 2 6 2" xfId="38767"/>
    <cellStyle name="Total 2 9 2 6 2 2" xfId="38768"/>
    <cellStyle name="Total 2 9 2 6 2 3" xfId="38769"/>
    <cellStyle name="Total 2 9 2 6 2 4" xfId="38770"/>
    <cellStyle name="Total 2 9 2 6 3" xfId="38771"/>
    <cellStyle name="Total 2 9 2 6 3 2" xfId="38772"/>
    <cellStyle name="Total 2 9 2 6 3 3" xfId="38773"/>
    <cellStyle name="Total 2 9 2 6 3 4" xfId="38774"/>
    <cellStyle name="Total 2 9 2 6 4" xfId="38775"/>
    <cellStyle name="Total 2 9 2 6 4 2" xfId="38776"/>
    <cellStyle name="Total 2 9 2 6 4 3" xfId="38777"/>
    <cellStyle name="Total 2 9 2 6 5" xfId="38778"/>
    <cellStyle name="Total 2 9 2 6 5 2" xfId="38779"/>
    <cellStyle name="Total 2 9 2 6 5 3" xfId="38780"/>
    <cellStyle name="Total 2 9 2 6 6" xfId="38781"/>
    <cellStyle name="Total 2 9 2 6 7" xfId="38782"/>
    <cellStyle name="Total 2 9 2 7" xfId="38783"/>
    <cellStyle name="Total 2 9 2 7 2" xfId="38784"/>
    <cellStyle name="Total 2 9 2 7 2 2" xfId="38785"/>
    <cellStyle name="Total 2 9 2 7 2 3" xfId="38786"/>
    <cellStyle name="Total 2 9 2 7 2 4" xfId="38787"/>
    <cellStyle name="Total 2 9 2 7 3" xfId="38788"/>
    <cellStyle name="Total 2 9 2 7 3 2" xfId="38789"/>
    <cellStyle name="Total 2 9 2 7 3 3" xfId="38790"/>
    <cellStyle name="Total 2 9 2 7 3 4" xfId="38791"/>
    <cellStyle name="Total 2 9 2 7 4" xfId="38792"/>
    <cellStyle name="Total 2 9 2 7 4 2" xfId="38793"/>
    <cellStyle name="Total 2 9 2 7 4 3" xfId="38794"/>
    <cellStyle name="Total 2 9 2 7 5" xfId="38795"/>
    <cellStyle name="Total 2 9 2 7 5 2" xfId="38796"/>
    <cellStyle name="Total 2 9 2 7 5 3" xfId="38797"/>
    <cellStyle name="Total 2 9 2 7 6" xfId="38798"/>
    <cellStyle name="Total 2 9 2 7 7" xfId="38799"/>
    <cellStyle name="Total 2 9 2 8" xfId="38800"/>
    <cellStyle name="Total 2 9 2 8 2" xfId="38801"/>
    <cellStyle name="Total 2 9 2 8 2 2" xfId="38802"/>
    <cellStyle name="Total 2 9 2 8 2 3" xfId="38803"/>
    <cellStyle name="Total 2 9 2 8 3 2" xfId="38804"/>
    <cellStyle name="Total 2 9 2 8 3 3" xfId="38805"/>
    <cellStyle name="Total 2 9 2 8 4 2" xfId="38806"/>
    <cellStyle name="Total 2 9 2 8 4 3" xfId="38807"/>
    <cellStyle name="Total 2 9 2 8 5 2" xfId="38808"/>
    <cellStyle name="Total 2 9 2 8 5 3" xfId="38809"/>
    <cellStyle name="Total 2 9 2 8 6" xfId="38810"/>
    <cellStyle name="Total 2 9 2 8 7" xfId="38811"/>
    <cellStyle name="Total 2 9 2 9" xfId="38812"/>
    <cellStyle name="Total 2 9 2 9 2" xfId="38813"/>
    <cellStyle name="Total 2 9 2 9 2 2" xfId="38814"/>
    <cellStyle name="Total 2 9 2 9 3 2" xfId="38815"/>
    <cellStyle name="Total 2 9 2 9 4 2" xfId="38816"/>
    <cellStyle name="Total 2 9 2 9 4 3" xfId="38817"/>
    <cellStyle name="Total 2 9 2 9 5 2" xfId="38818"/>
    <cellStyle name="Total 2 9 2 9 5 3" xfId="38819"/>
    <cellStyle name="Total 2 9 2 9 6" xfId="38820"/>
    <cellStyle name="Total 2 9 2 9 7" xfId="38821"/>
    <cellStyle name="Total 2 9 3" xfId="38822"/>
    <cellStyle name="Total 2 9 3 10" xfId="38823"/>
    <cellStyle name="Total 2 9 3 10 2" xfId="38824"/>
    <cellStyle name="Total 2 9 3 10 2 2" xfId="38825"/>
    <cellStyle name="Total 2 9 3 10 2 3" xfId="38826"/>
    <cellStyle name="Total 2 9 3 10 2 4" xfId="38827"/>
    <cellStyle name="Total 2 9 3 10 3" xfId="38828"/>
    <cellStyle name="Total 2 9 3 10 3 2" xfId="38829"/>
    <cellStyle name="Total 2 9 3 10 3 3" xfId="38830"/>
    <cellStyle name="Total 2 9 3 10 3 4" xfId="38831"/>
    <cellStyle name="Total 2 9 3 10 4" xfId="38832"/>
    <cellStyle name="Total 2 9 3 10 4 2" xfId="38833"/>
    <cellStyle name="Total 2 9 3 10 4 3" xfId="38834"/>
    <cellStyle name="Total 2 9 3 10 5" xfId="38835"/>
    <cellStyle name="Total 2 9 3 10 5 2" xfId="38836"/>
    <cellStyle name="Total 2 9 3 10 5 3" xfId="38837"/>
    <cellStyle name="Total 2 9 3 10 6" xfId="38838"/>
    <cellStyle name="Total 2 9 3 10 7" xfId="38839"/>
    <cellStyle name="Total 2 9 3 11" xfId="38840"/>
    <cellStyle name="Total 2 9 3 11 2" xfId="38841"/>
    <cellStyle name="Total 2 9 3 11 3" xfId="38842"/>
    <cellStyle name="Total 2 9 3 11 4" xfId="38843"/>
    <cellStyle name="Total 2 9 3 12" xfId="38844"/>
    <cellStyle name="Total 2 9 3 12 2" xfId="38845"/>
    <cellStyle name="Total 2 9 3 12 3" xfId="38846"/>
    <cellStyle name="Total 2 9 3 12 4" xfId="38847"/>
    <cellStyle name="Total 2 9 3 13" xfId="38848"/>
    <cellStyle name="Total 2 9 3 13 2" xfId="38849"/>
    <cellStyle name="Total 2 9 3 13 3" xfId="38850"/>
    <cellStyle name="Total 2 9 3 14" xfId="38851"/>
    <cellStyle name="Total 2 9 3 14 2" xfId="38852"/>
    <cellStyle name="Total 2 9 3 14 3" xfId="38853"/>
    <cellStyle name="Total 2 9 3 15" xfId="38854"/>
    <cellStyle name="Total 2 9 3 16" xfId="38855"/>
    <cellStyle name="Total 2 9 3 2" xfId="38856"/>
    <cellStyle name="Total 2 9 3 2 2" xfId="38857"/>
    <cellStyle name="Total 2 9 3 2 2 2" xfId="38858"/>
    <cellStyle name="Total 2 9 3 2 2 3" xfId="38859"/>
    <cellStyle name="Total 2 9 3 2 2 4" xfId="38860"/>
    <cellStyle name="Total 2 9 3 2 3" xfId="38861"/>
    <cellStyle name="Total 2 9 3 2 3 3" xfId="38862"/>
    <cellStyle name="Total 2 9 3 2 3 4" xfId="38863"/>
    <cellStyle name="Total 2 9 3 2 4" xfId="38864"/>
    <cellStyle name="Total 2 9 3 2 4 3" xfId="38865"/>
    <cellStyle name="Total 2 9 3 2 5" xfId="38866"/>
    <cellStyle name="Total 2 9 3 2 5 2" xfId="38867"/>
    <cellStyle name="Total 2 9 3 2 5 3" xfId="38868"/>
    <cellStyle name="Total 2 9 3 2 6" xfId="38869"/>
    <cellStyle name="Total 2 9 3 2 7" xfId="38870"/>
    <cellStyle name="Total 2 9 3 3" xfId="38871"/>
    <cellStyle name="Total 2 9 3 3 2" xfId="38872"/>
    <cellStyle name="Total 2 9 3 3 2 2" xfId="38873"/>
    <cellStyle name="Total 2 9 3 3 2 3" xfId="38874"/>
    <cellStyle name="Total 2 9 3 3 2 4" xfId="38875"/>
    <cellStyle name="Total 2 9 3 3 3" xfId="38876"/>
    <cellStyle name="Total 2 9 3 3 3 2" xfId="38877"/>
    <cellStyle name="Total 2 9 3 3 3 3" xfId="38878"/>
    <cellStyle name="Total 2 9 3 3 3 4" xfId="38879"/>
    <cellStyle name="Total 2 9 3 3 4" xfId="38880"/>
    <cellStyle name="Total 2 9 3 3 4 2" xfId="38881"/>
    <cellStyle name="Total 2 9 3 3 4 3" xfId="38882"/>
    <cellStyle name="Total 2 9 3 3 5" xfId="38883"/>
    <cellStyle name="Total 2 9 3 3 5 2" xfId="38884"/>
    <cellStyle name="Total 2 9 3 3 5 3" xfId="38885"/>
    <cellStyle name="Total 2 9 3 3 6" xfId="38886"/>
    <cellStyle name="Total 2 9 3 3 7" xfId="38887"/>
    <cellStyle name="Total 2 9 3 4" xfId="38888"/>
    <cellStyle name="Total 2 9 3 4 2" xfId="38889"/>
    <cellStyle name="Total 2 9 3 4 2 2" xfId="38890"/>
    <cellStyle name="Total 2 9 3 4 2 3" xfId="38891"/>
    <cellStyle name="Total 2 9 3 4 2 4" xfId="38892"/>
    <cellStyle name="Total 2 9 3 4 3" xfId="38893"/>
    <cellStyle name="Total 2 9 3 4 3 2" xfId="38894"/>
    <cellStyle name="Total 2 9 3 4 3 3" xfId="38895"/>
    <cellStyle name="Total 2 9 3 4 3 4" xfId="38896"/>
    <cellStyle name="Total 2 9 3 4 4" xfId="38897"/>
    <cellStyle name="Total 2 9 3 4 4 2" xfId="38898"/>
    <cellStyle name="Total 2 9 3 4 4 3" xfId="38899"/>
    <cellStyle name="Total 2 9 3 4 5" xfId="38900"/>
    <cellStyle name="Total 2 9 3 4 5 2" xfId="38901"/>
    <cellStyle name="Total 2 9 3 4 5 3" xfId="38902"/>
    <cellStyle name="Total 2 9 3 4 6" xfId="38903"/>
    <cellStyle name="Total 2 9 3 4 7" xfId="38904"/>
    <cellStyle name="Total 2 9 3 5" xfId="38905"/>
    <cellStyle name="Total 2 9 3 5 2" xfId="38906"/>
    <cellStyle name="Total 2 9 3 5 2 2" xfId="38907"/>
    <cellStyle name="Total 2 9 3 5 2 3" xfId="38908"/>
    <cellStyle name="Total 2 9 3 5 2 4" xfId="38909"/>
    <cellStyle name="Total 2 9 3 5 3" xfId="38910"/>
    <cellStyle name="Total 2 9 3 5 3 2" xfId="38911"/>
    <cellStyle name="Total 2 9 3 5 3 3" xfId="38912"/>
    <cellStyle name="Total 2 9 3 5 3 4" xfId="38913"/>
    <cellStyle name="Total 2 9 3 5 4" xfId="38914"/>
    <cellStyle name="Total 2 9 3 5 4 2" xfId="38915"/>
    <cellStyle name="Total 2 9 3 5 4 3" xfId="38916"/>
    <cellStyle name="Total 2 9 3 5 5" xfId="38917"/>
    <cellStyle name="Total 2 9 3 5 5 2" xfId="38918"/>
    <cellStyle name="Total 2 9 3 5 5 3" xfId="38919"/>
    <cellStyle name="Total 2 9 3 5 6" xfId="38920"/>
    <cellStyle name="Total 2 9 3 5 7" xfId="38921"/>
    <cellStyle name="Total 2 9 3 6" xfId="38922"/>
    <cellStyle name="Total 2 9 3 6 2" xfId="38923"/>
    <cellStyle name="Total 2 9 3 6 2 2" xfId="38924"/>
    <cellStyle name="Total 2 9 3 6 2 3" xfId="38925"/>
    <cellStyle name="Total 2 9 3 6 2 4" xfId="38926"/>
    <cellStyle name="Total 2 9 3 6 3" xfId="38927"/>
    <cellStyle name="Total 2 9 3 6 3 2" xfId="38928"/>
    <cellStyle name="Total 2 9 3 6 3 3" xfId="38929"/>
    <cellStyle name="Total 2 9 3 6 3 4" xfId="38930"/>
    <cellStyle name="Total 2 9 3 6 4" xfId="38931"/>
    <cellStyle name="Total 2 9 3 6 4 2" xfId="38932"/>
    <cellStyle name="Total 2 9 3 6 4 3" xfId="38933"/>
    <cellStyle name="Total 2 9 3 6 5" xfId="38934"/>
    <cellStyle name="Total 2 9 3 6 5 2" xfId="38935"/>
    <cellStyle name="Total 2 9 3 6 5 3" xfId="38936"/>
    <cellStyle name="Total 2 9 3 6 6" xfId="38937"/>
    <cellStyle name="Total 2 9 3 6 7" xfId="38938"/>
    <cellStyle name="Total 2 9 3 7" xfId="38939"/>
    <cellStyle name="Total 2 9 3 7 2" xfId="38940"/>
    <cellStyle name="Total 2 9 3 7 2 2" xfId="38941"/>
    <cellStyle name="Total 2 9 3 7 2 3" xfId="38942"/>
    <cellStyle name="Total 2 9 3 7 2 4" xfId="38943"/>
    <cellStyle name="Total 2 9 3 7 3" xfId="38944"/>
    <cellStyle name="Total 2 9 3 7 3 2" xfId="38945"/>
    <cellStyle name="Total 2 9 3 7 3 3" xfId="38946"/>
    <cellStyle name="Total 2 9 3 7 3 4" xfId="38947"/>
    <cellStyle name="Total 2 9 3 7 4" xfId="38948"/>
    <cellStyle name="Total 2 9 3 7 4 2" xfId="38949"/>
    <cellStyle name="Total 2 9 3 7 4 3" xfId="38950"/>
    <cellStyle name="Total 2 9 3 7 5" xfId="38951"/>
    <cellStyle name="Total 2 9 3 7 5 2" xfId="38952"/>
    <cellStyle name="Total 2 9 3 7 5 3" xfId="38953"/>
    <cellStyle name="Total 2 9 3 7 6" xfId="38954"/>
    <cellStyle name="Total 2 9 3 7 7" xfId="38955"/>
    <cellStyle name="Total 2 9 3 8" xfId="38956"/>
    <cellStyle name="Total 2 9 3 8 2" xfId="38957"/>
    <cellStyle name="Total 2 9 3 8 2 2" xfId="38958"/>
    <cellStyle name="Total 2 9 3 8 2 3" xfId="38959"/>
    <cellStyle name="Total 2 9 3 8 2 4" xfId="38960"/>
    <cellStyle name="Total 2 9 3 8 3 2" xfId="38961"/>
    <cellStyle name="Total 2 9 3 8 3 3" xfId="38962"/>
    <cellStyle name="Total 2 9 3 8 3 4" xfId="38963"/>
    <cellStyle name="Total 2 9 3 8 4 2" xfId="38964"/>
    <cellStyle name="Total 2 9 3 8 4 3" xfId="38965"/>
    <cellStyle name="Total 2 9 3 8 5 2" xfId="38966"/>
    <cellStyle name="Total 2 9 3 8 5 3" xfId="38967"/>
    <cellStyle name="Total 2 9 3 8 6" xfId="38968"/>
    <cellStyle name="Total 2 9 3 8 7" xfId="38969"/>
    <cellStyle name="Total 2 9 3 9" xfId="38970"/>
    <cellStyle name="Total 2 9 3 9 2" xfId="38971"/>
    <cellStyle name="Total 2 9 3 9 2 2" xfId="38972"/>
    <cellStyle name="Total 2 9 3 9 2 3" xfId="38973"/>
    <cellStyle name="Total 2 9 3 9 2 4" xfId="38974"/>
    <cellStyle name="Total 2 9 3 9 3 2" xfId="38975"/>
    <cellStyle name="Total 2 9 3 9 3 3" xfId="38976"/>
    <cellStyle name="Total 2 9 3 9 3 4" xfId="38977"/>
    <cellStyle name="Total 2 9 3 9 4 2" xfId="38978"/>
    <cellStyle name="Total 2 9 3 9 4 3" xfId="38979"/>
    <cellStyle name="Total 2 9 3 9 5 2" xfId="38980"/>
    <cellStyle name="Total 2 9 3 9 5 3" xfId="38981"/>
    <cellStyle name="Total 2 9 3 9 6" xfId="38982"/>
    <cellStyle name="Total 2 9 3 9 7" xfId="38983"/>
    <cellStyle name="Total 2 9 4" xfId="38984"/>
    <cellStyle name="Total 2 9 4 2" xfId="38985"/>
    <cellStyle name="Total 2 9 4 2 2" xfId="38986"/>
    <cellStyle name="Total 2 9 4 2 3" xfId="38987"/>
    <cellStyle name="Total 2 9 4 2 4" xfId="38988"/>
    <cellStyle name="Total 2 9 4 3" xfId="38989"/>
    <cellStyle name="Total 2 9 4 3 2" xfId="38990"/>
    <cellStyle name="Total 2 9 4 3 3" xfId="38991"/>
    <cellStyle name="Total 2 9 4 3 4" xfId="38992"/>
    <cellStyle name="Total 2 9 4 4" xfId="38993"/>
    <cellStyle name="Total 2 9 4 4 2" xfId="38994"/>
    <cellStyle name="Total 2 9 4 4 3" xfId="38995"/>
    <cellStyle name="Total 2 9 4 5" xfId="38996"/>
    <cellStyle name="Total 2 9 4 5 2" xfId="38997"/>
    <cellStyle name="Total 2 9 4 5 3" xfId="38998"/>
    <cellStyle name="Total 2 9 4 6" xfId="38999"/>
    <cellStyle name="Total 2 9 4 7" xfId="39000"/>
    <cellStyle name="Total 2 9 5" xfId="39001"/>
    <cellStyle name="Total 2 9 5 2" xfId="39002"/>
    <cellStyle name="Total 2 9 5 2 2" xfId="39003"/>
    <cellStyle name="Total 2 9 5 2 3" xfId="39004"/>
    <cellStyle name="Total 2 9 5 2 4" xfId="39005"/>
    <cellStyle name="Total 2 9 5 3" xfId="39006"/>
    <cellStyle name="Total 2 9 5 3 2" xfId="39007"/>
    <cellStyle name="Total 2 9 5 3 3" xfId="39008"/>
    <cellStyle name="Total 2 9 5 3 4" xfId="39009"/>
    <cellStyle name="Total 2 9 5 4" xfId="39010"/>
    <cellStyle name="Total 2 9 5 4 2" xfId="39011"/>
    <cellStyle name="Total 2 9 5 4 3" xfId="39012"/>
    <cellStyle name="Total 2 9 5 5" xfId="39013"/>
    <cellStyle name="Total 2 9 5 5 2" xfId="39014"/>
    <cellStyle name="Total 2 9 5 5 3" xfId="39015"/>
    <cellStyle name="Total 2 9 5 6" xfId="39016"/>
    <cellStyle name="Total 2 9 5 7" xfId="39017"/>
    <cellStyle name="Total 2 9 6" xfId="39018"/>
    <cellStyle name="Total 2 9 6 2" xfId="39019"/>
    <cellStyle name="Total 2 9 6 2 2" xfId="39020"/>
    <cellStyle name="Total 2 9 6 2 3" xfId="39021"/>
    <cellStyle name="Total 2 9 6 2 4" xfId="39022"/>
    <cellStyle name="Total 2 9 6 3" xfId="39023"/>
    <cellStyle name="Total 2 9 6 3 2" xfId="39024"/>
    <cellStyle name="Total 2 9 6 3 3" xfId="39025"/>
    <cellStyle name="Total 2 9 6 3 4" xfId="39026"/>
    <cellStyle name="Total 2 9 6 4" xfId="39027"/>
    <cellStyle name="Total 2 9 6 4 2" xfId="39028"/>
    <cellStyle name="Total 2 9 6 4 3" xfId="39029"/>
    <cellStyle name="Total 2 9 6 5" xfId="39030"/>
    <cellStyle name="Total 2 9 6 5 2" xfId="39031"/>
    <cellStyle name="Total 2 9 6 5 3" xfId="39032"/>
    <cellStyle name="Total 2 9 6 6" xfId="39033"/>
    <cellStyle name="Total 2 9 6 7" xfId="39034"/>
    <cellStyle name="Total 2 9 7" xfId="39035"/>
    <cellStyle name="Total 2 9 7 2" xfId="39036"/>
    <cellStyle name="Total 2 9 7 2 2" xfId="39037"/>
    <cellStyle name="Total 2 9 7 2 3" xfId="39038"/>
    <cellStyle name="Total 2 9 7 2 4" xfId="39039"/>
    <cellStyle name="Total 2 9 7 3" xfId="39040"/>
    <cellStyle name="Total 2 9 7 3 2" xfId="39041"/>
    <cellStyle name="Total 2 9 7 3 3" xfId="39042"/>
    <cellStyle name="Total 2 9 7 3 4" xfId="39043"/>
    <cellStyle name="Total 2 9 7 4" xfId="39044"/>
    <cellStyle name="Total 2 9 7 4 2" xfId="39045"/>
    <cellStyle name="Total 2 9 7 4 3" xfId="39046"/>
    <cellStyle name="Total 2 9 7 5" xfId="39047"/>
    <cellStyle name="Total 2 9 7 5 2" xfId="39048"/>
    <cellStyle name="Total 2 9 7 5 3" xfId="39049"/>
    <cellStyle name="Total 2 9 7 6" xfId="39050"/>
    <cellStyle name="Total 2 9 7 7" xfId="39051"/>
    <cellStyle name="Total 2 9 8" xfId="39052"/>
    <cellStyle name="Total 2 9 8 2" xfId="39053"/>
    <cellStyle name="Total 2 9 8 2 2" xfId="39054"/>
    <cellStyle name="Total 2 9 8 2 3" xfId="39055"/>
    <cellStyle name="Total 2 9 8 2 4" xfId="39056"/>
    <cellStyle name="Total 2 9 8 3" xfId="39057"/>
    <cellStyle name="Total 2 9 8 3 2" xfId="39058"/>
    <cellStyle name="Total 2 9 8 3 3" xfId="39059"/>
    <cellStyle name="Total 2 9 8 3 4" xfId="39060"/>
    <cellStyle name="Total 2 9 8 4" xfId="39061"/>
    <cellStyle name="Total 2 9 8 4 2" xfId="39062"/>
    <cellStyle name="Total 2 9 8 4 3" xfId="39063"/>
    <cellStyle name="Total 2 9 8 5" xfId="39064"/>
    <cellStyle name="Total 2 9 8 5 2" xfId="39065"/>
    <cellStyle name="Total 2 9 8 5 3" xfId="39066"/>
    <cellStyle name="Total 2 9 8 6" xfId="39067"/>
    <cellStyle name="Total 2 9 8 7" xfId="39068"/>
    <cellStyle name="Total 2 9 9" xfId="39069"/>
    <cellStyle name="Total 2 9 9 2" xfId="39070"/>
    <cellStyle name="Total 2 9 9 2 2" xfId="39071"/>
    <cellStyle name="Total 2 9 9 2 3" xfId="39072"/>
    <cellStyle name="Total 2 9 9 2 4" xfId="39073"/>
    <cellStyle name="Total 2 9 9 3" xfId="39074"/>
    <cellStyle name="Total 2 9 9 3 2" xfId="39075"/>
    <cellStyle name="Total 2 9 9 3 3" xfId="39076"/>
    <cellStyle name="Total 2 9 9 3 4" xfId="39077"/>
    <cellStyle name="Total 2 9 9 4" xfId="39078"/>
    <cellStyle name="Total 2 9 9 4 2" xfId="39079"/>
    <cellStyle name="Total 2 9 9 4 3" xfId="39080"/>
    <cellStyle name="Total 2 9 9 5" xfId="39081"/>
    <cellStyle name="Total 2 9 9 5 2" xfId="39082"/>
    <cellStyle name="Total 2 9 9 5 3" xfId="39083"/>
    <cellStyle name="Total 2 9 9 6" xfId="39084"/>
    <cellStyle name="Total 2 9 9 7" xfId="39085"/>
    <cellStyle name="Total 3" xfId="39086"/>
    <cellStyle name="Total 3 2" xfId="39087"/>
    <cellStyle name="Total 3 2 2" xfId="39088"/>
    <cellStyle name="Total 4" xfId="39089"/>
    <cellStyle name="Total 4 2" xfId="39090"/>
    <cellStyle name="Total 4 2 2" xfId="39091"/>
    <cellStyle name="Total 4 3" xfId="39092"/>
    <cellStyle name="Total 5" xfId="39093"/>
    <cellStyle name="Total 5 2" xfId="39094"/>
    <cellStyle name="Total 5 2 2" xfId="39095"/>
    <cellStyle name="Total 5 3" xfId="39096"/>
    <cellStyle name="Total 6" xfId="39097"/>
    <cellStyle name="Total 6 2" xfId="39098"/>
    <cellStyle name="Total 6 2 2" xfId="39099"/>
    <cellStyle name="Total 6 3" xfId="39100"/>
    <cellStyle name="Total 7" xfId="39101"/>
    <cellStyle name="Two decimals" xfId="39102"/>
    <cellStyle name="Two decimals 2" xfId="39103"/>
    <cellStyle name="Valuta (0)_results" xfId="39104"/>
    <cellStyle name="Valuta_results" xfId="39105"/>
    <cellStyle name="Währung [0]_Mappe1" xfId="39106"/>
    <cellStyle name="Warning Text 2" xfId="39107"/>
    <cellStyle name="Warning Text 2 2" xfId="39108"/>
    <cellStyle name="Warning Text 2 3" xfId="39109"/>
    <cellStyle name="Warning Text 3" xfId="39110"/>
    <cellStyle name="Warning Text 4" xfId="39111"/>
    <cellStyle name="Warning Text 5" xfId="39112"/>
    <cellStyle name="Warning Text 6" xfId="39113"/>
    <cellStyle name="Comma 8" xfId="39114"/>
    <cellStyle name="Percent" xfId="39115" builtinId="5"/>
    <cellStyle name="Normal 14" xfId="39116"/>
    <cellStyle name="Normal 15" xfId="39117"/>
    <cellStyle name="Normal 16" xfId="39118"/>
    <cellStyle name="Normal 35" xfId="39119"/>
  </cellStyles>
  <dxfs count="46">
    <dxf>
      <font>
        <color theme="9" tint="0.7999816888943144"/>
      </font>
      <fill>
        <patternFill>
          <bgColor theme="9" tint="0.7999816888943144"/>
        </patternFill>
      </fill>
    </dxf>
    <dxf>
      <fill>
        <patternFill>
          <bgColor theme="8" tint="0.7999816888943144"/>
        </patternFill>
      </fill>
      <border>
        <left style="thin">
          <color theme="8" tint="-0.249946592608417"/>
        </left>
        <right style="thin">
          <color theme="8" tint="-0.249946592608417"/>
        </right>
      </border>
    </dxf>
    <dxf>
      <font>
        <strike val="0"/>
        <color theme="1"/>
      </font>
      <fill>
        <patternFill patternType="lightUp">
          <fgColor theme="0" tint="-0.499984740745262"/>
          <bgColor theme="0" tint="-0.0499893185216834"/>
        </patternFill>
      </fill>
      <border>
        <top style="thin">
          <color theme="9" tint="-0.249946592608417"/>
        </top>
        <bottom style="thin">
          <color theme="9" tint="-0.249946592608417"/>
        </bottom>
      </border>
    </dxf>
    <dxf>
      <fill>
        <patternFill patternType="darkUp">
          <fgColor theme="0" tint="-0.3499862666707358"/>
          <bgColor theme="2" tint="-0.09994811853389081"/>
        </patternFill>
      </fill>
      <border>
        <top style="thin">
          <color theme="9"/>
        </top>
        <bottom style="thin">
          <color theme="9"/>
        </bottom>
        <vertical/>
        <horizontal/>
      </border>
    </dxf>
    <dxf>
      <fill>
        <patternFill>
          <bgColor theme="9" tint="0.5999633777886288"/>
        </patternFill>
      </fill>
    </dxf>
    <dxf>
      <font>
        <color theme="1"/>
      </font>
      <fill>
        <patternFill>
          <bgColor theme="0" tint="-0.0499893185216834"/>
        </patternFill>
      </fill>
      <border>
        <left style="thin">
          <color auto="1"/>
        </left>
        <right style="thin">
          <color auto="1"/>
        </right>
        <top style="thin">
          <color auto="1"/>
        </top>
        <bottom style="thin">
          <color auto="1"/>
        </bottom>
      </border>
    </dxf>
    <dxf>
      <fill>
        <patternFill>
          <bgColor rgb="FF92D050"/>
        </patternFill>
      </fill>
    </dxf>
    <dxf>
      <fill>
        <patternFill>
          <bgColor rgb="FFFFFF00"/>
        </patternFill>
      </fill>
    </dxf>
    <dxf>
      <font>
        <color auto="1"/>
      </font>
      <fill>
        <patternFill patternType="solid">
          <bgColor rgb="FF92D050"/>
        </patternFill>
      </fill>
    </dxf>
    <dxf>
      <font>
        <b val="1"/>
        <color auto="1"/>
      </font>
      <fill>
        <patternFill patternType="solid">
          <bgColor rgb="FFFFB3B3"/>
        </patternFill>
      </fill>
    </dxf>
    <dxf>
      <font>
        <color theme="1"/>
      </font>
      <fill>
        <patternFill>
          <bgColor rgb="FF00FFFF"/>
        </patternFill>
      </fill>
    </dxf>
    <dxf>
      <font>
        <color theme="0" tint="-0.249946592608417"/>
      </font>
      <fill>
        <patternFill>
          <bgColor rgb="FF800080"/>
        </patternFill>
      </fill>
    </dxf>
    <dxf>
      <font>
        <color theme="0" tint="-0.0499893185216834"/>
      </font>
      <fill>
        <patternFill>
          <bgColor theme="0" tint="-0.0499893185216834"/>
        </patternFill>
      </fill>
    </dxf>
    <dxf>
      <font>
        <b val="1"/>
        <color theme="0" tint="-0.249946592608417"/>
      </font>
      <fill>
        <patternFill>
          <bgColor theme="9" tint="-0.499984740745262"/>
        </patternFill>
      </fill>
    </dxf>
    <dxf>
      <font>
        <b val="1"/>
        <color auto="1"/>
      </font>
      <fill>
        <patternFill>
          <bgColor rgb="FF0070C0"/>
        </patternFill>
      </fill>
    </dxf>
    <dxf>
      <font>
        <b val="1"/>
        <color auto="1"/>
      </font>
      <fill>
        <patternFill>
          <bgColor rgb="FF00B0F0"/>
        </patternFill>
      </fill>
    </dxf>
    <dxf>
      <font>
        <b val="1"/>
      </font>
      <fill>
        <patternFill>
          <bgColor theme="9"/>
        </patternFill>
      </fill>
    </dxf>
    <dxf>
      <font>
        <b val="1"/>
        <color auto="1"/>
      </font>
      <fill>
        <patternFill patternType="solid">
          <bgColor rgb="FFFFFF00"/>
        </patternFill>
      </fill>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FF0000"/>
      </font>
      <fill>
        <patternFill>
          <bgColor theme="3" tint="0.5999633777886288"/>
        </patternFill>
      </fill>
    </dxf>
    <dxf>
      <font>
        <color theme="0"/>
      </font>
      <fill>
        <patternFill>
          <bgColor rgb="FFFF0000"/>
        </patternFill>
      </fill>
    </dxf>
    <dxf>
      <font>
        <b val="1"/>
      </font>
      <fill>
        <patternFill patternType="solid">
          <bgColor rgb="FF92D050"/>
        </patternFill>
      </fill>
    </dxf>
    <dxf>
      <font>
        <b val="1"/>
        <color theme="0"/>
      </font>
      <fill>
        <patternFill patternType="solid">
          <bgColor rgb="FFFF0000"/>
        </patternFill>
      </fill>
    </dxf>
    <dxf>
      <font>
        <b val="1"/>
        <color theme="0"/>
      </font>
      <fill>
        <patternFill patternType="solid">
          <bgColor rgb="FFFF0000"/>
        </patternFill>
      </fill>
    </dxf>
    <dxf>
      <fill>
        <patternFill>
          <bgColor rgb="FFFF0000"/>
        </patternFill>
      </fill>
    </dxf>
    <dxf>
      <font>
        <b val="1"/>
        <color theme="0"/>
      </font>
      <fill>
        <patternFill>
          <bgColor rgb="FFFF0000"/>
        </patternFill>
      </fill>
    </dxf>
    <dxf>
      <font>
        <b val="1"/>
        <color theme="0"/>
      </font>
      <fill>
        <patternFill patternType="solid">
          <bgColor rgb="FFFF0000"/>
        </patternFill>
      </fill>
    </dxf>
    <dxf>
      <font>
        <b val="1"/>
        <color theme="0"/>
      </font>
      <fill>
        <patternFill patternType="solid">
          <bgColor rgb="FFFF0000"/>
        </patternFill>
      </fill>
    </dxf>
    <dxf>
      <font>
        <b val="1"/>
        <color theme="0"/>
      </font>
      <fill>
        <patternFill patternType="solid">
          <bgColor rgb="FFFF0000"/>
        </patternFill>
      </fill>
    </dxf>
    <dxf>
      <font>
        <color rgb="FFFF0000"/>
      </font>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FF0000"/>
      </font>
    </dxf>
    <dxf>
      <font>
        <color rgb="FFFF0000"/>
      </font>
    </dxf>
    <dxf>
      <fill>
        <patternFill>
          <bgColor rgb="FFFF0000"/>
        </patternFill>
      </fill>
    </dxf>
    <dxf>
      <font>
        <color rgb="FFFF0000"/>
      </font>
    </dxf>
    <dxf>
      <font>
        <color auto="1"/>
      </font>
      <fill>
        <patternFill>
          <bgColor rgb="FFFF0000"/>
        </patternFill>
      </fill>
    </dxf>
    <dxf>
      <font>
        <color rgb="FFFF0000"/>
      </font>
    </dxf>
    <dxf>
      <font>
        <color theme="0" tint="-0.0499893185216834"/>
      </font>
      <fill>
        <patternFill>
          <bgColor theme="0" tint="-0.0499893185216834"/>
        </patternFill>
      </fill>
      <border>
        <left/>
        <right/>
        <top/>
        <bottom/>
        <vertical/>
        <horizontal/>
      </border>
    </dxf>
    <dxf>
      <font>
        <color rgb="FFFF0000"/>
      </font>
    </dxf>
    <dxf>
      <font>
        <color theme="0" tint="-0.0499893185216834"/>
      </font>
      <fill>
        <patternFill>
          <bgColor theme="0" tint="-0.0499893185216834"/>
        </patternFill>
      </fill>
      <border>
        <left/>
        <right/>
        <top/>
        <bottom/>
        <vertical/>
        <horizontal/>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BIJUZ</author>
    <author>Administrator</author>
  </authors>
  <commentList>
    <comment ref="C1" authorId="0" shapeId="0">
      <text>
        <t>Sales Order number</t>
      </text>
    </comment>
    <comment ref="AB1" authorId="1" shapeId="0">
      <text>
        <t>Actual Panel Dispatch End Date -Actual Panel Manufacturing Start Date+1</t>
      </text>
    </comment>
    <comment ref="C2" authorId="0" shapeId="0">
      <text>
        <t>Master Sales Order number.</t>
      </text>
    </comment>
    <comment ref="C3" authorId="0" shapeId="0">
      <text>
        <t>Master Sales Order number.</t>
      </text>
    </comment>
    <comment ref="F6" authorId="0" shapeId="0">
      <text>
        <t xml:space="preserve">Project Phase
</t>
      </text>
    </comment>
    <comment ref="G6" authorId="0" shapeId="0">
      <text>
        <t xml:space="preserve">Task Function Owner
</t>
      </text>
    </comment>
    <comment ref="F7" authorId="0" shapeId="0">
      <text>
        <t xml:space="preserve">Project Phase
</t>
      </text>
    </comment>
    <comment ref="G7" authorId="0" shapeId="0">
      <text>
        <t xml:space="preserve">Task Function Owner
</t>
      </text>
    </comment>
    <comment ref="V11" authorId="1" shapeId="0">
      <text>
        <t>Indicates with RED background if this date is smaller than the Internal KOM date</t>
      </text>
    </comment>
    <comment ref="D17" authorId="0" shapeId="0">
      <text>
        <t>(sizing in Days)
Small : 1 to 14
Medium : 15 to 60 
Large : 61 to 100
Very Large : 101 to 150
Non-Standard : 151 &amp; above</t>
      </text>
    </comment>
  </commentList>
</comments>
</file>

<file path=xl/comments/comment2.xml><?xml version="1.0" encoding="utf-8"?>
<comments xmlns="http://schemas.openxmlformats.org/spreadsheetml/2006/main">
  <authors>
    <author>BIJUZ</author>
  </authors>
  <commentList>
    <comment ref="AD7" authorId="0" shapeId="0">
      <text>
        <t>Sales + HW + SW + SP + AC + MF</t>
      </text>
    </comment>
    <comment ref="AD23" authorId="0" shapeId="0">
      <text>
        <t xml:space="preserve">If you have very less time for dispatch then order Packing Material
</t>
      </text>
    </comment>
  </commentList>
</comments>
</file>

<file path=xl/externalLinks/_rels/externalLink1.xml.rels><Relationships xmlns="http://schemas.openxmlformats.org/package/2006/relationships"><Relationship Type="http://schemas.openxmlformats.org/officeDocument/2006/relationships/externalLinkPath" Target="file:///D:\Projects\BPR\PM\PM_202502\PrjSch_FSL_2425_NSK_OR000_SectionName_250226_V1.07.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VersionControl"/>
      <sheetName val="ReadMe"/>
      <sheetName val="PrjSch"/>
      <sheetName val="@LeadT_Setting"/>
    </sheetNames>
    <sheetDataSet>
      <sheetData sheetId="0" refreshError="1"/>
      <sheetData sheetId="1" refreshError="1"/>
      <sheetData sheetId="2">
        <row r="2">
          <cell r="D2" t="str"/>
        </row>
        <row r="3">
          <cell r="S3">
            <v>0</v>
          </cell>
        </row>
        <row r="4">
          <cell r="S4">
            <v>0</v>
          </cell>
        </row>
        <row r="9">
          <cell r="D9">
            <v>0</v>
          </cell>
          <cell r="S9">
            <v>0</v>
          </cell>
          <cell r="Z9">
            <v>0</v>
          </cell>
          <cell r="AD9">
            <v>0</v>
          </cell>
          <cell r="AG9" t="str">
            <v>N</v>
          </cell>
          <cell r="AH9" t="str">
            <v>N</v>
          </cell>
          <cell r="AI9" t="str">
            <v>N</v>
          </cell>
          <cell r="AJ9" t="str">
            <v>N</v>
          </cell>
          <cell r="AK9" t="str">
            <v>N</v>
          </cell>
        </row>
        <row r="10">
          <cell r="S10">
            <v>0</v>
          </cell>
          <cell r="Z10">
            <v>0</v>
          </cell>
        </row>
        <row r="11">
          <cell r="S11">
            <v>0</v>
          </cell>
          <cell r="Z11">
            <v>0</v>
          </cell>
        </row>
        <row r="12">
          <cell r="S12">
            <v>0</v>
          </cell>
          <cell r="U12">
            <v>0</v>
          </cell>
          <cell r="Z12">
            <v>0</v>
          </cell>
        </row>
        <row r="13">
          <cell r="S13">
            <v>0</v>
          </cell>
          <cell r="U13">
            <v>0</v>
          </cell>
          <cell r="Z13">
            <v>0</v>
          </cell>
        </row>
        <row r="14">
          <cell r="U14">
            <v>0</v>
          </cell>
          <cell r="Z14">
            <v>0</v>
          </cell>
          <cell r="AI14" t="str">
            <v>PO#</v>
          </cell>
        </row>
        <row r="15">
          <cell r="D15" t="str">
            <v>GON</v>
          </cell>
          <cell r="U15">
            <v>0</v>
          </cell>
          <cell r="Z15">
            <v>0</v>
          </cell>
          <cell r="AD15">
            <v>0</v>
          </cell>
        </row>
        <row r="16">
          <cell r="S16">
            <v>0</v>
          </cell>
          <cell r="U16">
            <v>0</v>
          </cell>
          <cell r="Z16">
            <v>0</v>
          </cell>
          <cell r="AD16">
            <v>0</v>
          </cell>
          <cell r="AI16" t="str"/>
        </row>
        <row r="17">
          <cell r="D17">
            <v>0</v>
          </cell>
          <cell r="S17">
            <v>0</v>
          </cell>
          <cell r="U17">
            <v>0</v>
          </cell>
          <cell r="Z17">
            <v>0</v>
          </cell>
        </row>
        <row r="18">
          <cell r="D18">
            <v>0</v>
          </cell>
          <cell r="U18">
            <v>0</v>
          </cell>
          <cell r="Z18">
            <v>0</v>
          </cell>
        </row>
        <row r="19">
          <cell r="D19">
            <v>0</v>
          </cell>
          <cell r="U19">
            <v>0</v>
          </cell>
          <cell r="Z19">
            <v>0</v>
          </cell>
          <cell r="AD19">
            <v>0</v>
          </cell>
        </row>
        <row r="20">
          <cell r="D20">
            <v>0</v>
          </cell>
          <cell r="U20">
            <v>0</v>
          </cell>
          <cell r="Z20">
            <v>0</v>
          </cell>
        </row>
        <row r="21">
          <cell r="U21">
            <v>0</v>
          </cell>
          <cell r="Z21">
            <v>0</v>
          </cell>
        </row>
        <row r="22">
          <cell r="S22">
            <v>0</v>
          </cell>
          <cell r="U22">
            <v>0</v>
          </cell>
          <cell r="Z22">
            <v>0</v>
          </cell>
          <cell r="AD22">
            <v>0</v>
          </cell>
        </row>
        <row r="23">
          <cell r="S23">
            <v>0</v>
          </cell>
          <cell r="U23">
            <v>0</v>
          </cell>
          <cell r="Z23">
            <v>0</v>
          </cell>
        </row>
        <row r="24">
          <cell r="S24">
            <v>0</v>
          </cell>
          <cell r="Z24">
            <v>0</v>
          </cell>
          <cell r="AD24">
            <v>0</v>
          </cell>
        </row>
        <row r="25">
          <cell r="S25">
            <v>0</v>
          </cell>
          <cell r="Z25">
            <v>0</v>
          </cell>
          <cell r="AD25">
            <v>0</v>
          </cell>
        </row>
        <row r="26">
          <cell r="Z26">
            <v>0</v>
          </cell>
        </row>
        <row r="27">
          <cell r="S27">
            <v>0</v>
          </cell>
          <cell r="Z27">
            <v>0</v>
          </cell>
        </row>
        <row r="28">
          <cell r="S28">
            <v>0</v>
          </cell>
          <cell r="Z28">
            <v>0</v>
          </cell>
          <cell r="AD28">
            <v>0</v>
          </cell>
        </row>
        <row r="29">
          <cell r="S29">
            <v>0</v>
          </cell>
          <cell r="Z29">
            <v>0</v>
          </cell>
        </row>
        <row r="30">
          <cell r="S30">
            <v>0</v>
          </cell>
          <cell r="Z30">
            <v>0</v>
          </cell>
        </row>
        <row r="31">
          <cell r="S31">
            <v>1</v>
          </cell>
          <cell r="U31">
            <v>0</v>
          </cell>
          <cell r="Z31">
            <v>0</v>
          </cell>
          <cell r="AD31">
            <v>0</v>
          </cell>
        </row>
        <row r="32">
          <cell r="S32">
            <v>0</v>
          </cell>
          <cell r="Z32">
            <v>0</v>
          </cell>
        </row>
        <row r="33">
          <cell r="S33">
            <v>0</v>
          </cell>
          <cell r="Z33">
            <v>0</v>
          </cell>
          <cell r="AD33">
            <v>0</v>
          </cell>
        </row>
        <row r="34">
          <cell r="S34">
            <v>0</v>
          </cell>
          <cell r="Z34">
            <v>0</v>
          </cell>
          <cell r="AD34">
            <v>0</v>
          </cell>
        </row>
        <row r="35">
          <cell r="S35">
            <v>0</v>
          </cell>
          <cell r="U35">
            <v>0</v>
          </cell>
          <cell r="Z35">
            <v>0</v>
          </cell>
          <cell r="AD35">
            <v>0</v>
          </cell>
        </row>
        <row r="36">
          <cell r="S36">
            <v>0</v>
          </cell>
          <cell r="U36">
            <v>0</v>
          </cell>
          <cell r="Z36">
            <v>0</v>
          </cell>
        </row>
        <row r="37">
          <cell r="S37">
            <v>0</v>
          </cell>
          <cell r="U37">
            <v>0</v>
          </cell>
          <cell r="Z37">
            <v>0</v>
          </cell>
        </row>
        <row r="38">
          <cell r="S38">
            <v>0</v>
          </cell>
          <cell r="U38">
            <v>0</v>
          </cell>
          <cell r="Z38">
            <v>0</v>
          </cell>
        </row>
        <row r="39">
          <cell r="S39">
            <v>0</v>
          </cell>
          <cell r="U39">
            <v>0</v>
          </cell>
          <cell r="Z39">
            <v>0</v>
          </cell>
        </row>
        <row r="40">
          <cell r="S40">
            <v>0</v>
          </cell>
          <cell r="U40">
            <v>1</v>
          </cell>
          <cell r="Z40">
            <v>0</v>
          </cell>
          <cell r="AD40">
            <v>0</v>
          </cell>
        </row>
        <row r="41">
          <cell r="S41">
            <v>0</v>
          </cell>
          <cell r="U41">
            <v>0</v>
          </cell>
          <cell r="Z41">
            <v>0</v>
          </cell>
        </row>
        <row r="42">
          <cell r="U42">
            <v>0</v>
          </cell>
          <cell r="Z42">
            <v>0</v>
          </cell>
        </row>
        <row r="43">
          <cell r="U43">
            <v>0</v>
          </cell>
          <cell r="Z43">
            <v>0</v>
          </cell>
          <cell r="AD43">
            <v>0</v>
          </cell>
        </row>
        <row r="44">
          <cell r="U44">
            <v>0</v>
          </cell>
          <cell r="Z44">
            <v>0</v>
          </cell>
        </row>
        <row r="45">
          <cell r="U45">
            <v>0</v>
          </cell>
          <cell r="Z45">
            <v>0</v>
          </cell>
        </row>
        <row r="46">
          <cell r="S46">
            <v>0</v>
          </cell>
          <cell r="U46">
            <v>0</v>
          </cell>
          <cell r="Z46">
            <v>0</v>
          </cell>
        </row>
        <row r="47">
          <cell r="S47">
            <v>0</v>
          </cell>
          <cell r="U47">
            <v>0</v>
          </cell>
          <cell r="Z47">
            <v>0</v>
          </cell>
        </row>
        <row r="48">
          <cell r="S48">
            <v>0</v>
          </cell>
          <cell r="U48">
            <v>0</v>
          </cell>
          <cell r="Z48">
            <v>0</v>
          </cell>
          <cell r="AD48">
            <v>0</v>
          </cell>
        </row>
        <row r="49">
          <cell r="S49">
            <v>0</v>
          </cell>
          <cell r="U49">
            <v>0</v>
          </cell>
          <cell r="Z49">
            <v>0</v>
          </cell>
          <cell r="AD49">
            <v>0</v>
          </cell>
        </row>
        <row r="50">
          <cell r="S50">
            <v>0</v>
          </cell>
          <cell r="U50">
            <v>0</v>
          </cell>
          <cell r="Z50">
            <v>0</v>
          </cell>
          <cell r="AD50">
            <v>0</v>
          </cell>
        </row>
        <row r="51">
          <cell r="S51">
            <v>0</v>
          </cell>
          <cell r="U51">
            <v>0</v>
          </cell>
          <cell r="Z51">
            <v>0</v>
          </cell>
          <cell r="AD51">
            <v>0</v>
          </cell>
        </row>
        <row r="52">
          <cell r="S52">
            <v>0</v>
          </cell>
          <cell r="U52">
            <v>0</v>
          </cell>
          <cell r="Z52">
            <v>0</v>
          </cell>
          <cell r="AD52">
            <v>0</v>
          </cell>
        </row>
        <row r="53">
          <cell r="S53">
            <v>0</v>
          </cell>
          <cell r="Z53">
            <v>0</v>
          </cell>
          <cell r="AD53">
            <v>0</v>
          </cell>
        </row>
        <row r="54">
          <cell r="S54">
            <v>0</v>
          </cell>
          <cell r="U54">
            <v>0</v>
          </cell>
          <cell r="Z54">
            <v>0</v>
          </cell>
          <cell r="AD54">
            <v>0</v>
          </cell>
        </row>
        <row r="55">
          <cell r="S55">
            <v>0</v>
          </cell>
          <cell r="Z55">
            <v>0</v>
          </cell>
          <cell r="AD55">
            <v>0</v>
          </cell>
        </row>
      </sheetData>
      <sheetData sheetId="3">
        <row r="7">
          <cell r="Y7" t="str">
            <v>GON</v>
          </cell>
        </row>
        <row r="8">
          <cell r="Y8" t="str">
            <v>DUB</v>
          </cell>
        </row>
        <row r="16">
          <cell r="V16">
            <v>76</v>
          </cell>
          <cell r="W16">
            <v>151</v>
          </cell>
          <cell r="X16">
            <v>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4">
    <outlinePr summaryBelow="1" summaryRight="1"/>
    <pageSetUpPr/>
  </sheetPr>
  <dimension ref="A1:P25"/>
  <sheetViews>
    <sheetView workbookViewId="0">
      <pane xSplit="16" ySplit="4" topLeftCell="Q5" activePane="bottomRight" state="frozen"/>
      <selection pane="topRight" activeCell="Q1" sqref="Q1"/>
      <selection pane="bottomLeft" activeCell="A5" sqref="A5"/>
      <selection pane="bottomRight" activeCell="C10" sqref="C10:P10"/>
    </sheetView>
  </sheetViews>
  <sheetFormatPr baseColWidth="8" defaultColWidth="9" defaultRowHeight="14.4"/>
  <cols>
    <col width="9.88671875" bestFit="1" customWidth="1" min="2" max="2"/>
    <col width="0.88671875" customWidth="1" min="17" max="17"/>
  </cols>
  <sheetData>
    <row r="1">
      <c r="A1" s="346" t="inlineStr">
        <is>
          <t>Document Name</t>
        </is>
      </c>
      <c r="B1" s="386" t="n"/>
      <c r="C1" s="347" t="inlineStr">
        <is>
          <t>Mfg Scheduling Template</t>
        </is>
      </c>
      <c r="D1" s="387" t="n"/>
      <c r="E1" s="386" t="n"/>
      <c r="F1" s="348" t="inlineStr">
        <is>
          <t>Running Version</t>
        </is>
      </c>
      <c r="G1" s="388" t="n"/>
      <c r="H1" s="211">
        <f>"V " &amp; INDEX(A5:A25,COUNTA(A5:A25))</f>
        <v/>
      </c>
    </row>
    <row r="2">
      <c r="A2" s="212" t="n"/>
    </row>
    <row r="3">
      <c r="A3" s="152" t="inlineStr">
        <is>
          <t>Revision Control</t>
        </is>
      </c>
      <c r="B3" s="153" t="n"/>
      <c r="C3" s="153" t="n"/>
      <c r="D3" s="153" t="n"/>
      <c r="E3" s="153" t="n"/>
      <c r="F3" s="153" t="n"/>
      <c r="G3" s="153" t="n"/>
      <c r="H3" s="153" t="n"/>
      <c r="I3" s="153" t="n"/>
      <c r="J3" s="153" t="n"/>
      <c r="K3" s="153" t="n"/>
      <c r="L3" s="153" t="n"/>
      <c r="M3" s="153" t="n"/>
      <c r="N3" s="153" t="n"/>
      <c r="O3" s="153" t="n"/>
      <c r="P3" s="154" t="n"/>
    </row>
    <row r="4">
      <c r="A4" s="158" t="inlineStr">
        <is>
          <t>Rev No</t>
        </is>
      </c>
      <c r="B4" s="158" t="inlineStr">
        <is>
          <t>Rev Date</t>
        </is>
      </c>
      <c r="C4" s="349" t="inlineStr">
        <is>
          <t>Revision Reason</t>
        </is>
      </c>
    </row>
    <row r="5" ht="30" customHeight="1">
      <c r="A5" s="151" t="n">
        <v>0</v>
      </c>
      <c r="B5" s="157" t="n">
        <v>45779</v>
      </c>
      <c r="C5" s="351" t="inlineStr">
        <is>
          <t>Developing the SWE schedule sheet. Identifying and listing activities. Working on Lead Times according to SWE activities/KPI. Discussing on SWE activities to analyse the suitabel KPI and visualizing execution workflow. Working on Layout of SWE Schedule for required information and fields. Discussing on SWE activities to analyse the suitabel KPI and visualizing execution workflow.In depth analysis on workflow in SWE environment and usability approach to link with cross-functional function. Inclusion of other fields to further improve the contents with respect to entry or no-entry of information in the schedule.</t>
        </is>
      </c>
      <c r="D5" s="387" t="n"/>
      <c r="E5" s="387" t="n"/>
      <c r="F5" s="387" t="n"/>
      <c r="G5" s="387" t="n"/>
      <c r="H5" s="387" t="n"/>
      <c r="I5" s="387" t="n"/>
      <c r="J5" s="387" t="n"/>
      <c r="K5" s="387" t="n"/>
      <c r="L5" s="387" t="n"/>
      <c r="M5" s="387" t="n"/>
      <c r="N5" s="387" t="n"/>
      <c r="O5" s="387" t="n"/>
      <c r="P5" s="386" t="n"/>
    </row>
    <row r="6" ht="30" customHeight="1">
      <c r="A6" s="333" t="inlineStr">
        <is>
          <t>2.0</t>
        </is>
      </c>
      <c r="B6" s="334" t="n">
        <v>45803</v>
      </c>
      <c r="C6" s="345" t="inlineStr">
        <is>
          <t>Version with improvement as user informed observations for functionalities. Integrationr ready to generate automatically from PM.</t>
        </is>
      </c>
      <c r="D6" s="389" t="n"/>
      <c r="E6" s="389" t="n"/>
      <c r="F6" s="389" t="n"/>
      <c r="G6" s="389" t="n"/>
      <c r="H6" s="389" t="n"/>
      <c r="I6" s="389" t="n"/>
      <c r="J6" s="389" t="n"/>
      <c r="K6" s="389" t="n"/>
      <c r="L6" s="389" t="n"/>
      <c r="M6" s="389" t="n"/>
      <c r="N6" s="389" t="n"/>
      <c r="O6" s="389" t="n"/>
      <c r="P6" s="390" t="n"/>
    </row>
    <row r="7" ht="30" customHeight="1">
      <c r="A7" s="151" t="n">
        <v>2.1</v>
      </c>
      <c r="B7" s="157" t="n">
        <v>45824</v>
      </c>
      <c r="C7" s="342" t="inlineStr">
        <is>
          <t>Addition of SWE Comm efforts, Correction of SWE Stage</t>
        </is>
      </c>
      <c r="D7" s="387" t="n"/>
      <c r="E7" s="387" t="n"/>
      <c r="F7" s="387" t="n"/>
      <c r="G7" s="387" t="n"/>
      <c r="H7" s="387" t="n"/>
      <c r="I7" s="387" t="n"/>
      <c r="J7" s="387" t="n"/>
      <c r="K7" s="387" t="n"/>
      <c r="L7" s="387" t="n"/>
      <c r="M7" s="387" t="n"/>
      <c r="N7" s="387" t="n"/>
      <c r="O7" s="387" t="n"/>
      <c r="P7" s="386" t="n"/>
    </row>
    <row r="8" ht="30" customHeight="1">
      <c r="A8" s="151" t="n">
        <v>2.2</v>
      </c>
      <c r="B8" s="157" t="n">
        <v>45825</v>
      </c>
      <c r="C8" s="343" t="inlineStr">
        <is>
          <t>Showing value error at some places in schedule, corrected the same. Installation, Pre-commissioning and Commissioning Lead time linked to PM Editables.</t>
        </is>
      </c>
      <c r="D8" s="387" t="n"/>
      <c r="E8" s="387" t="n"/>
      <c r="F8" s="387" t="n"/>
      <c r="G8" s="387" t="n"/>
      <c r="H8" s="387" t="n"/>
      <c r="I8" s="387" t="n"/>
      <c r="J8" s="387" t="n"/>
      <c r="K8" s="387" t="n"/>
      <c r="L8" s="387" t="n"/>
      <c r="M8" s="387" t="n"/>
      <c r="N8" s="387" t="n"/>
      <c r="O8" s="387" t="n"/>
      <c r="P8" s="386" t="n"/>
    </row>
    <row r="9" ht="37.2" customHeight="1">
      <c r="A9" s="151" t="n">
        <v>2.3</v>
      </c>
      <c r="B9" s="157" t="n">
        <v>45831</v>
      </c>
      <c r="C9" s="344" t="inlineStr">
        <is>
          <t>Correction of percent update basis on efforts only.</t>
        </is>
      </c>
      <c r="D9" s="387" t="n"/>
      <c r="E9" s="387" t="n"/>
      <c r="F9" s="387" t="n"/>
      <c r="G9" s="387" t="n"/>
      <c r="H9" s="387" t="n"/>
      <c r="I9" s="387" t="n"/>
      <c r="J9" s="387" t="n"/>
      <c r="K9" s="387" t="n"/>
      <c r="L9" s="387" t="n"/>
      <c r="M9" s="387" t="n"/>
      <c r="N9" s="387" t="n"/>
      <c r="O9" s="387" t="n"/>
      <c r="P9" s="386" t="n"/>
    </row>
    <row r="10" ht="30" customHeight="1">
      <c r="A10" s="151" t="n"/>
      <c r="B10" s="157" t="n"/>
      <c r="C10" s="341" t="n"/>
      <c r="D10" s="387" t="n"/>
      <c r="E10" s="387" t="n"/>
      <c r="F10" s="387" t="n"/>
      <c r="G10" s="387" t="n"/>
      <c r="H10" s="387" t="n"/>
      <c r="I10" s="387" t="n"/>
      <c r="J10" s="387" t="n"/>
      <c r="K10" s="387" t="n"/>
      <c r="L10" s="387" t="n"/>
      <c r="M10" s="387" t="n"/>
      <c r="N10" s="387" t="n"/>
      <c r="O10" s="387" t="n"/>
      <c r="P10" s="386" t="n"/>
    </row>
    <row r="11" ht="30" customHeight="1">
      <c r="A11" s="151" t="n"/>
      <c r="B11" s="157" t="n"/>
      <c r="C11" s="341" t="n"/>
      <c r="D11" s="387" t="n"/>
      <c r="E11" s="387" t="n"/>
      <c r="F11" s="387" t="n"/>
      <c r="G11" s="387" t="n"/>
      <c r="H11" s="387" t="n"/>
      <c r="I11" s="387" t="n"/>
      <c r="J11" s="387" t="n"/>
      <c r="K11" s="387" t="n"/>
      <c r="L11" s="387" t="n"/>
      <c r="M11" s="387" t="n"/>
      <c r="N11" s="387" t="n"/>
      <c r="O11" s="387" t="n"/>
      <c r="P11" s="386" t="n"/>
    </row>
    <row r="12" ht="30" customHeight="1">
      <c r="A12" s="151" t="n"/>
      <c r="B12" s="157" t="n"/>
      <c r="C12" s="341" t="n"/>
      <c r="D12" s="387" t="n"/>
      <c r="E12" s="387" t="n"/>
      <c r="F12" s="387" t="n"/>
      <c r="G12" s="387" t="n"/>
      <c r="H12" s="387" t="n"/>
      <c r="I12" s="387" t="n"/>
      <c r="J12" s="387" t="n"/>
      <c r="K12" s="387" t="n"/>
      <c r="L12" s="387" t="n"/>
      <c r="M12" s="387" t="n"/>
      <c r="N12" s="387" t="n"/>
      <c r="O12" s="387" t="n"/>
      <c r="P12" s="386" t="n"/>
    </row>
    <row r="13" ht="30" customHeight="1">
      <c r="A13" s="151" t="n"/>
      <c r="B13" s="157" t="n"/>
      <c r="C13" s="341" t="n"/>
      <c r="D13" s="387" t="n"/>
      <c r="E13" s="387" t="n"/>
      <c r="F13" s="387" t="n"/>
      <c r="G13" s="387" t="n"/>
      <c r="H13" s="387" t="n"/>
      <c r="I13" s="387" t="n"/>
      <c r="J13" s="387" t="n"/>
      <c r="K13" s="387" t="n"/>
      <c r="L13" s="387" t="n"/>
      <c r="M13" s="387" t="n"/>
      <c r="N13" s="387" t="n"/>
      <c r="O13" s="387" t="n"/>
      <c r="P13" s="386" t="n"/>
    </row>
    <row r="14" ht="30" customHeight="1">
      <c r="A14" s="151" t="n"/>
      <c r="B14" s="157" t="n"/>
      <c r="C14" s="341" t="n"/>
      <c r="D14" s="387" t="n"/>
      <c r="E14" s="387" t="n"/>
      <c r="F14" s="387" t="n"/>
      <c r="G14" s="387" t="n"/>
      <c r="H14" s="387" t="n"/>
      <c r="I14" s="387" t="n"/>
      <c r="J14" s="387" t="n"/>
      <c r="K14" s="387" t="n"/>
      <c r="L14" s="387" t="n"/>
      <c r="M14" s="387" t="n"/>
      <c r="N14" s="387" t="n"/>
      <c r="O14" s="387" t="n"/>
      <c r="P14" s="386" t="n"/>
    </row>
    <row r="15" ht="30" customHeight="1">
      <c r="A15" s="151" t="n"/>
      <c r="B15" s="157" t="n"/>
      <c r="C15" s="341" t="n"/>
      <c r="D15" s="387" t="n"/>
      <c r="E15" s="387" t="n"/>
      <c r="F15" s="387" t="n"/>
      <c r="G15" s="387" t="n"/>
      <c r="H15" s="387" t="n"/>
      <c r="I15" s="387" t="n"/>
      <c r="J15" s="387" t="n"/>
      <c r="K15" s="387" t="n"/>
      <c r="L15" s="387" t="n"/>
      <c r="M15" s="387" t="n"/>
      <c r="N15" s="387" t="n"/>
      <c r="O15" s="387" t="n"/>
      <c r="P15" s="386" t="n"/>
    </row>
    <row r="16" ht="30" customHeight="1">
      <c r="A16" s="151" t="n"/>
      <c r="B16" s="157" t="n"/>
      <c r="C16" s="341" t="n"/>
      <c r="D16" s="387" t="n"/>
      <c r="E16" s="387" t="n"/>
      <c r="F16" s="387" t="n"/>
      <c r="G16" s="387" t="n"/>
      <c r="H16" s="387" t="n"/>
      <c r="I16" s="387" t="n"/>
      <c r="J16" s="387" t="n"/>
      <c r="K16" s="387" t="n"/>
      <c r="L16" s="387" t="n"/>
      <c r="M16" s="387" t="n"/>
      <c r="N16" s="387" t="n"/>
      <c r="O16" s="387" t="n"/>
      <c r="P16" s="386" t="n"/>
    </row>
    <row r="17" ht="30" customHeight="1">
      <c r="A17" s="151" t="n"/>
      <c r="B17" s="157" t="n"/>
      <c r="C17" s="341" t="n"/>
      <c r="D17" s="387" t="n"/>
      <c r="E17" s="387" t="n"/>
      <c r="F17" s="387" t="n"/>
      <c r="G17" s="387" t="n"/>
      <c r="H17" s="387" t="n"/>
      <c r="I17" s="387" t="n"/>
      <c r="J17" s="387" t="n"/>
      <c r="K17" s="387" t="n"/>
      <c r="L17" s="387" t="n"/>
      <c r="M17" s="387" t="n"/>
      <c r="N17" s="387" t="n"/>
      <c r="O17" s="387" t="n"/>
      <c r="P17" s="386" t="n"/>
    </row>
    <row r="18" ht="30" customHeight="1">
      <c r="A18" s="151" t="n"/>
      <c r="B18" s="157" t="n"/>
      <c r="C18" s="341" t="n"/>
      <c r="D18" s="387" t="n"/>
      <c r="E18" s="387" t="n"/>
      <c r="F18" s="387" t="n"/>
      <c r="G18" s="387" t="n"/>
      <c r="H18" s="387" t="n"/>
      <c r="I18" s="387" t="n"/>
      <c r="J18" s="387" t="n"/>
      <c r="K18" s="387" t="n"/>
      <c r="L18" s="387" t="n"/>
      <c r="M18" s="387" t="n"/>
      <c r="N18" s="387" t="n"/>
      <c r="O18" s="387" t="n"/>
      <c r="P18" s="386" t="n"/>
    </row>
    <row r="19" ht="30" customHeight="1">
      <c r="A19" s="151" t="n"/>
      <c r="B19" s="157" t="n"/>
      <c r="C19" s="341" t="n"/>
      <c r="D19" s="387" t="n"/>
      <c r="E19" s="387" t="n"/>
      <c r="F19" s="387" t="n"/>
      <c r="G19" s="387" t="n"/>
      <c r="H19" s="387" t="n"/>
      <c r="I19" s="387" t="n"/>
      <c r="J19" s="387" t="n"/>
      <c r="K19" s="387" t="n"/>
      <c r="L19" s="387" t="n"/>
      <c r="M19" s="387" t="n"/>
      <c r="N19" s="387" t="n"/>
      <c r="O19" s="387" t="n"/>
      <c r="P19" s="386" t="n"/>
    </row>
    <row r="20" ht="30" customHeight="1">
      <c r="A20" s="151" t="n"/>
      <c r="B20" s="157" t="n"/>
      <c r="C20" s="341" t="n"/>
      <c r="D20" s="387" t="n"/>
      <c r="E20" s="387" t="n"/>
      <c r="F20" s="387" t="n"/>
      <c r="G20" s="387" t="n"/>
      <c r="H20" s="387" t="n"/>
      <c r="I20" s="387" t="n"/>
      <c r="J20" s="387" t="n"/>
      <c r="K20" s="387" t="n"/>
      <c r="L20" s="387" t="n"/>
      <c r="M20" s="387" t="n"/>
      <c r="N20" s="387" t="n"/>
      <c r="O20" s="387" t="n"/>
      <c r="P20" s="386" t="n"/>
    </row>
    <row r="21" ht="30" customHeight="1">
      <c r="A21" s="151" t="n"/>
      <c r="B21" s="157" t="n"/>
      <c r="C21" s="341" t="n"/>
      <c r="D21" s="387" t="n"/>
      <c r="E21" s="387" t="n"/>
      <c r="F21" s="387" t="n"/>
      <c r="G21" s="387" t="n"/>
      <c r="H21" s="387" t="n"/>
      <c r="I21" s="387" t="n"/>
      <c r="J21" s="387" t="n"/>
      <c r="K21" s="387" t="n"/>
      <c r="L21" s="387" t="n"/>
      <c r="M21" s="387" t="n"/>
      <c r="N21" s="387" t="n"/>
      <c r="O21" s="387" t="n"/>
      <c r="P21" s="386" t="n"/>
    </row>
    <row r="22" ht="30" customHeight="1">
      <c r="A22" s="151" t="n"/>
      <c r="B22" s="157" t="n"/>
      <c r="C22" s="341" t="n"/>
      <c r="D22" s="387" t="n"/>
      <c r="E22" s="387" t="n"/>
      <c r="F22" s="387" t="n"/>
      <c r="G22" s="387" t="n"/>
      <c r="H22" s="387" t="n"/>
      <c r="I22" s="387" t="n"/>
      <c r="J22" s="387" t="n"/>
      <c r="K22" s="387" t="n"/>
      <c r="L22" s="387" t="n"/>
      <c r="M22" s="387" t="n"/>
      <c r="N22" s="387" t="n"/>
      <c r="O22" s="387" t="n"/>
      <c r="P22" s="386" t="n"/>
    </row>
    <row r="23" ht="30" customHeight="1">
      <c r="A23" s="151" t="n"/>
      <c r="B23" s="157" t="n"/>
      <c r="C23" s="341" t="n"/>
      <c r="D23" s="387" t="n"/>
      <c r="E23" s="387" t="n"/>
      <c r="F23" s="387" t="n"/>
      <c r="G23" s="387" t="n"/>
      <c r="H23" s="387" t="n"/>
      <c r="I23" s="387" t="n"/>
      <c r="J23" s="387" t="n"/>
      <c r="K23" s="387" t="n"/>
      <c r="L23" s="387" t="n"/>
      <c r="M23" s="387" t="n"/>
      <c r="N23" s="387" t="n"/>
      <c r="O23" s="387" t="n"/>
      <c r="P23" s="386" t="n"/>
    </row>
    <row r="24" ht="30" customHeight="1">
      <c r="A24" s="151" t="n"/>
      <c r="B24" s="157" t="n"/>
      <c r="C24" s="341" t="n"/>
      <c r="D24" s="387" t="n"/>
      <c r="E24" s="387" t="n"/>
      <c r="F24" s="387" t="n"/>
      <c r="G24" s="387" t="n"/>
      <c r="H24" s="387" t="n"/>
      <c r="I24" s="387" t="n"/>
      <c r="J24" s="387" t="n"/>
      <c r="K24" s="387" t="n"/>
      <c r="L24" s="387" t="n"/>
      <c r="M24" s="387" t="n"/>
      <c r="N24" s="387" t="n"/>
      <c r="O24" s="387" t="n"/>
      <c r="P24" s="386" t="n"/>
    </row>
    <row r="25" ht="30" customHeight="1">
      <c r="A25" s="151" t="n"/>
      <c r="B25" s="157" t="n"/>
      <c r="C25" s="341" t="n"/>
      <c r="D25" s="387" t="n"/>
      <c r="E25" s="387" t="n"/>
      <c r="F25" s="387" t="n"/>
      <c r="G25" s="387" t="n"/>
      <c r="H25" s="387" t="n"/>
      <c r="I25" s="387" t="n"/>
      <c r="J25" s="387" t="n"/>
      <c r="K25" s="387" t="n"/>
      <c r="L25" s="387" t="n"/>
      <c r="M25" s="387" t="n"/>
      <c r="N25" s="387" t="n"/>
      <c r="O25" s="387" t="n"/>
      <c r="P25" s="386" t="n"/>
    </row>
  </sheetData>
  <sheetProtection selectLockedCells="0" selectUnlockedCells="0" algorithmName="SHA-512" sheet="1" objects="1" insertRows="1" insertHyperlinks="1" autoFilter="1" scenarios="1" formatColumns="1" deleteColumns="1" insertColumns="1" pivotTables="1" deleteRows="1" formatCells="1" saltValue="NQXayCwda7cu3pLpiABmpw==" formatRows="1" sort="1" spinCount="100000" hashValue="gb7YT9yb33559sun9LfoeK0LEzEvk5SQlPqAsoWR5umU4gWxlM/JZr1h5+B+pkyubmPIN4+WRm//Yrsob/X4ZA=="/>
  <mergeCells count="25">
    <mergeCell ref="C18:P18"/>
    <mergeCell ref="C1:E1"/>
    <mergeCell ref="C6:P6"/>
    <mergeCell ref="C24:P24"/>
    <mergeCell ref="C15:P15"/>
    <mergeCell ref="A1:B1"/>
    <mergeCell ref="C5:P5"/>
    <mergeCell ref="C14:P14"/>
    <mergeCell ref="C4:P4"/>
    <mergeCell ref="C20:P20"/>
    <mergeCell ref="C10:P10"/>
    <mergeCell ref="C16:P16"/>
    <mergeCell ref="C25:P25"/>
    <mergeCell ref="C22:P22"/>
    <mergeCell ref="C9:P9"/>
    <mergeCell ref="C21:P21"/>
    <mergeCell ref="C12:P12"/>
    <mergeCell ref="C11:P11"/>
    <mergeCell ref="C23:P23"/>
    <mergeCell ref="C17:P17"/>
    <mergeCell ref="C8:P8"/>
    <mergeCell ref="C7:P7"/>
    <mergeCell ref="C19:P19"/>
    <mergeCell ref="F1:G1"/>
    <mergeCell ref="C13:P13"/>
  </mergeCells>
  <pageMargins left="0.699305555555556" right="0.699305555555556" top="0.75" bottom="0.75" header="0.3" footer="0.3"/>
</worksheet>
</file>

<file path=xl/worksheets/sheet2.xml><?xml version="1.0" encoding="utf-8"?>
<worksheet xmlns="http://schemas.openxmlformats.org/spreadsheetml/2006/main">
  <sheetPr codeName="Sheet3">
    <outlinePr summaryBelow="1" summaryRight="1"/>
    <pageSetUpPr/>
  </sheetPr>
  <dimension ref="A1:P50"/>
  <sheetViews>
    <sheetView workbookViewId="0">
      <pane xSplit="16" ySplit="4" topLeftCell="Q5" activePane="bottomRight" state="frozen"/>
      <selection pane="topRight" activeCell="Q1" sqref="Q1"/>
      <selection pane="bottomLeft" activeCell="A5" sqref="A5"/>
      <selection pane="bottomRight" activeCell="B11" sqref="B11"/>
    </sheetView>
  </sheetViews>
  <sheetFormatPr baseColWidth="8" defaultColWidth="9" defaultRowHeight="14.4"/>
  <cols>
    <col width="9.88671875" bestFit="1" customWidth="1" min="2" max="2"/>
    <col width="0.88671875" customWidth="1" min="17" max="17"/>
  </cols>
  <sheetData>
    <row r="1">
      <c r="A1" s="346" t="inlineStr">
        <is>
          <t>Document Name</t>
        </is>
      </c>
      <c r="B1" s="386" t="n"/>
      <c r="C1" s="359">
        <f>VersionControl!C1</f>
        <v/>
      </c>
      <c r="D1" s="387" t="n"/>
      <c r="E1" s="386" t="n"/>
      <c r="F1" s="348" t="inlineStr">
        <is>
          <t>Running Version</t>
        </is>
      </c>
      <c r="G1" s="388" t="n"/>
      <c r="H1" s="211">
        <f>VersionControl!H1</f>
        <v/>
      </c>
    </row>
    <row r="3">
      <c r="A3" s="155" t="inlineStr">
        <is>
          <t>Guidelines for use</t>
        </is>
      </c>
      <c r="B3" s="156" t="n"/>
      <c r="C3" s="156" t="n"/>
      <c r="D3" s="156" t="n"/>
      <c r="E3" s="156" t="n"/>
      <c r="F3" s="156" t="n"/>
      <c r="G3" s="156" t="n"/>
      <c r="H3" s="156" t="n"/>
      <c r="I3" s="156" t="n"/>
      <c r="J3" s="156" t="n"/>
      <c r="K3" s="156" t="n"/>
      <c r="L3" s="156" t="n"/>
      <c r="M3" s="156" t="n"/>
      <c r="N3" s="156" t="n"/>
      <c r="O3" s="156" t="n"/>
      <c r="P3" s="156" t="n"/>
    </row>
    <row r="4">
      <c r="A4" s="158" t="inlineStr">
        <is>
          <t>SrNo</t>
        </is>
      </c>
      <c r="B4" s="158" t="inlineStr">
        <is>
          <t>Function</t>
        </is>
      </c>
      <c r="C4" s="349" t="inlineStr">
        <is>
          <t>Guidelines</t>
        </is>
      </c>
    </row>
    <row r="5" ht="36" customHeight="1">
      <c r="A5" s="168" t="n">
        <v>1</v>
      </c>
      <c r="B5" s="335" t="inlineStr">
        <is>
          <t>SWE</t>
        </is>
      </c>
      <c r="C5" s="352" t="inlineStr">
        <is>
          <t>Buffertime is normally to be kept '0'. Required only in  rare cases where more time available and some customer milestones need to be synched.</t>
        </is>
      </c>
      <c r="D5" s="391" t="n"/>
      <c r="E5" s="391" t="n"/>
      <c r="F5" s="391" t="n"/>
      <c r="G5" s="391" t="n"/>
      <c r="H5" s="391" t="n"/>
      <c r="I5" s="391" t="n"/>
      <c r="J5" s="391" t="n"/>
      <c r="K5" s="391" t="n"/>
      <c r="L5" s="391" t="n"/>
      <c r="M5" s="391" t="n"/>
      <c r="N5" s="391" t="n"/>
      <c r="O5" s="391" t="n"/>
      <c r="P5" s="392" t="n"/>
    </row>
    <row r="6" ht="36" customHeight="1">
      <c r="A6" s="168" t="n">
        <v>2</v>
      </c>
      <c r="B6" s="335" t="inlineStr">
        <is>
          <t>SWE</t>
        </is>
      </c>
      <c r="C6" s="352" t="inlineStr">
        <is>
          <t>Mismatch in  "Customer Dates" &amp; "PM Dates" is highlighted by  red text. This needs to be resolved so that there is no RED, or comment should have clear solution.</t>
        </is>
      </c>
      <c r="D6" s="391" t="n"/>
      <c r="E6" s="391" t="n"/>
      <c r="F6" s="391" t="n"/>
      <c r="G6" s="391" t="n"/>
      <c r="H6" s="391" t="n"/>
      <c r="I6" s="391" t="n"/>
      <c r="J6" s="391" t="n"/>
      <c r="K6" s="391" t="n"/>
      <c r="L6" s="391" t="n"/>
      <c r="M6" s="391" t="n"/>
      <c r="N6" s="391" t="n"/>
      <c r="O6" s="391" t="n"/>
      <c r="P6" s="392" t="n"/>
    </row>
    <row r="7" ht="36" customHeight="1">
      <c r="A7" s="168" t="n">
        <v>3</v>
      </c>
      <c r="B7" s="335" t="inlineStr">
        <is>
          <t>SWE</t>
        </is>
      </c>
      <c r="C7" s="352" t="inlineStr">
        <is>
          <t>For each applicable efforts on KPI, the applicable non-zero value is to be entered. '0' or ' '  value in efforts column will affect status in dashboard</t>
        </is>
      </c>
      <c r="D7" s="391" t="n"/>
      <c r="E7" s="391" t="n"/>
      <c r="F7" s="391" t="n"/>
      <c r="G7" s="391" t="n"/>
      <c r="H7" s="391" t="n"/>
      <c r="I7" s="391" t="n"/>
      <c r="J7" s="391" t="n"/>
      <c r="K7" s="391" t="n"/>
      <c r="L7" s="391" t="n"/>
      <c r="M7" s="391" t="n"/>
      <c r="N7" s="391" t="n"/>
      <c r="O7" s="391" t="n"/>
      <c r="P7" s="392" t="n"/>
    </row>
    <row r="8" ht="36" customHeight="1">
      <c r="A8" s="168" t="n">
        <v>4</v>
      </c>
      <c r="B8" s="335" t="inlineStr">
        <is>
          <t>SWE</t>
        </is>
      </c>
      <c r="C8" s="352" t="inlineStr">
        <is>
          <t>LD fields to be filled carefully. There are 4 fields namely, LD Date, LD max/wk, LD max of OV, LD remarks</t>
        </is>
      </c>
      <c r="D8" s="391" t="n"/>
      <c r="E8" s="391" t="n"/>
      <c r="F8" s="391" t="n"/>
      <c r="G8" s="391" t="n"/>
      <c r="H8" s="391" t="n"/>
      <c r="I8" s="391" t="n"/>
      <c r="J8" s="391" t="n"/>
      <c r="K8" s="391" t="n"/>
      <c r="L8" s="391" t="n"/>
      <c r="M8" s="391" t="n"/>
      <c r="N8" s="391" t="n"/>
      <c r="O8" s="391" t="n"/>
      <c r="P8" s="392" t="n"/>
    </row>
    <row r="9" ht="36" customHeight="1">
      <c r="A9" s="168" t="n">
        <v>5</v>
      </c>
      <c r="B9" s="335" t="inlineStr">
        <is>
          <t>SWE</t>
        </is>
      </c>
      <c r="C9" s="352" t="inlineStr">
        <is>
          <t>The LD max/wk is the max value when multiple LD terms exists based on milestone delivery period</t>
        </is>
      </c>
      <c r="D9" s="391" t="n"/>
      <c r="E9" s="391" t="n"/>
      <c r="F9" s="391" t="n"/>
      <c r="G9" s="391" t="n"/>
      <c r="H9" s="391" t="n"/>
      <c r="I9" s="391" t="n"/>
      <c r="J9" s="391" t="n"/>
      <c r="K9" s="391" t="n"/>
      <c r="L9" s="391" t="n"/>
      <c r="M9" s="391" t="n"/>
      <c r="N9" s="391" t="n"/>
      <c r="O9" s="391" t="n"/>
      <c r="P9" s="392" t="n"/>
    </row>
    <row r="10" ht="36" customHeight="1">
      <c r="A10" s="168" t="n">
        <v>6</v>
      </c>
      <c r="B10" s="335" t="inlineStr">
        <is>
          <t>SWE</t>
        </is>
      </c>
      <c r="C10" s="355" t="inlineStr">
        <is>
          <t>The warranty terms are to be written in detail as mentioned in PO.</t>
        </is>
      </c>
      <c r="D10" s="391" t="n"/>
      <c r="E10" s="391" t="n"/>
      <c r="F10" s="391" t="n"/>
      <c r="G10" s="391" t="n"/>
      <c r="H10" s="391" t="n"/>
      <c r="I10" s="391" t="n"/>
      <c r="J10" s="391" t="n"/>
      <c r="K10" s="391" t="n"/>
      <c r="L10" s="391" t="n"/>
      <c r="M10" s="391" t="n"/>
      <c r="N10" s="391" t="n"/>
      <c r="O10" s="391" t="n"/>
      <c r="P10" s="392" t="n"/>
    </row>
    <row r="11" ht="36" customHeight="1">
      <c r="A11" s="168" t="n">
        <v>7</v>
      </c>
      <c r="B11" s="335" t="inlineStr">
        <is>
          <t>SWE</t>
        </is>
      </c>
      <c r="C11" s="352" t="inlineStr">
        <is>
          <t>The scope definition is done at scope area.</t>
        </is>
      </c>
      <c r="D11" s="391" t="n"/>
      <c r="E11" s="391" t="n"/>
      <c r="F11" s="391" t="n"/>
      <c r="G11" s="391" t="n"/>
      <c r="H11" s="391" t="n"/>
      <c r="I11" s="391" t="n"/>
      <c r="J11" s="391" t="n"/>
      <c r="K11" s="391" t="n"/>
      <c r="L11" s="391" t="n"/>
      <c r="M11" s="391" t="n"/>
      <c r="N11" s="391" t="n"/>
      <c r="O11" s="391" t="n"/>
      <c r="P11" s="392" t="n"/>
    </row>
    <row r="12" ht="36" customHeight="1">
      <c r="A12" s="168" t="n">
        <v>8</v>
      </c>
      <c r="B12" s="335" t="inlineStr">
        <is>
          <t>SWE</t>
        </is>
      </c>
      <c r="C12" s="352" t="inlineStr">
        <is>
          <t>User to enter the actual dates and % completion as per activity completion. The necessary warning &amp; alarms are configured to get wake up call.</t>
        </is>
      </c>
      <c r="D12" s="391" t="n"/>
      <c r="E12" s="391" t="n"/>
      <c r="F12" s="391" t="n"/>
      <c r="G12" s="391" t="n"/>
      <c r="H12" s="391" t="n"/>
      <c r="I12" s="391" t="n"/>
      <c r="J12" s="391" t="n"/>
      <c r="K12" s="391" t="n"/>
      <c r="L12" s="391" t="n"/>
      <c r="M12" s="391" t="n"/>
      <c r="N12" s="391" t="n"/>
      <c r="O12" s="391" t="n"/>
      <c r="P12" s="392" t="n"/>
    </row>
    <row r="13" ht="36" customHeight="1">
      <c r="A13" s="168" t="n">
        <v>9</v>
      </c>
      <c r="B13" s="335" t="inlineStr">
        <is>
          <t>SWE</t>
        </is>
      </c>
      <c r="C13" s="393" t="inlineStr">
        <is>
          <t>For each stuck KPI, the provision is made to identify the stake holder who can help to progress the KPI. User to select correct from the list. The list contents Engineering (Lite RED) ,Purchase (Orange) ,Software (Lit Blue),Project Management (Blue),Manufacturing (Brown),Sales (Cyan),Client (Purple).</t>
        </is>
      </c>
      <c r="D13" s="391" t="n"/>
      <c r="E13" s="391" t="n"/>
      <c r="F13" s="391" t="n"/>
      <c r="G13" s="391" t="n"/>
      <c r="H13" s="391" t="n"/>
      <c r="I13" s="391" t="n"/>
      <c r="J13" s="391" t="n"/>
      <c r="K13" s="391" t="n"/>
      <c r="L13" s="391" t="n"/>
      <c r="M13" s="391" t="n"/>
      <c r="N13" s="391" t="n"/>
      <c r="O13" s="391" t="n"/>
      <c r="P13" s="394" t="n"/>
    </row>
    <row r="14" ht="36" customHeight="1">
      <c r="A14" s="168" t="n">
        <v>10</v>
      </c>
      <c r="B14" s="335" t="inlineStr">
        <is>
          <t>SWE</t>
        </is>
      </c>
      <c r="C14" s="352" t="inlineStr">
        <is>
          <t>User can enter suitable remark in the remark column. Essentially, the remark areas is scribble area that can be utilised to generate reminders or list of to do or store historical information for user to refere in later time</t>
        </is>
      </c>
      <c r="D14" s="391" t="n"/>
      <c r="E14" s="391" t="n"/>
      <c r="F14" s="391" t="n"/>
      <c r="G14" s="391" t="n"/>
      <c r="H14" s="391" t="n"/>
      <c r="I14" s="391" t="n"/>
      <c r="J14" s="391" t="n"/>
      <c r="K14" s="391" t="n"/>
      <c r="L14" s="391" t="n"/>
      <c r="M14" s="391" t="n"/>
      <c r="N14" s="391" t="n"/>
      <c r="O14" s="391" t="n"/>
      <c r="P14" s="392" t="n"/>
    </row>
    <row r="15" ht="36" customHeight="1">
      <c r="A15" s="168" t="n">
        <v>11</v>
      </c>
      <c r="B15" s="335" t="n"/>
      <c r="C15" s="352" t="n"/>
      <c r="D15" s="391" t="n"/>
      <c r="E15" s="391" t="n"/>
      <c r="F15" s="391" t="n"/>
      <c r="G15" s="391" t="n"/>
      <c r="H15" s="391" t="n"/>
      <c r="I15" s="391" t="n"/>
      <c r="J15" s="391" t="n"/>
      <c r="K15" s="391" t="n"/>
      <c r="L15" s="391" t="n"/>
      <c r="M15" s="391" t="n"/>
      <c r="N15" s="391" t="n"/>
      <c r="O15" s="391" t="n"/>
      <c r="P15" s="392" t="n"/>
    </row>
    <row r="16" ht="36" customHeight="1">
      <c r="A16" s="168" t="n">
        <v>12</v>
      </c>
      <c r="B16" s="169" t="n"/>
      <c r="C16" s="352" t="n"/>
      <c r="D16" s="391" t="n"/>
      <c r="E16" s="391" t="n"/>
      <c r="F16" s="391" t="n"/>
      <c r="G16" s="391" t="n"/>
      <c r="H16" s="391" t="n"/>
      <c r="I16" s="391" t="n"/>
      <c r="J16" s="391" t="n"/>
      <c r="K16" s="391" t="n"/>
      <c r="L16" s="391" t="n"/>
      <c r="M16" s="391" t="n"/>
      <c r="N16" s="391" t="n"/>
      <c r="O16" s="391" t="n"/>
      <c r="P16" s="392" t="n"/>
    </row>
    <row r="17" ht="36" customHeight="1">
      <c r="A17" s="168" t="n">
        <v>13</v>
      </c>
      <c r="B17" s="169" t="n"/>
      <c r="C17" s="352" t="n"/>
      <c r="D17" s="391" t="n"/>
      <c r="E17" s="391" t="n"/>
      <c r="F17" s="391" t="n"/>
      <c r="G17" s="391" t="n"/>
      <c r="H17" s="391" t="n"/>
      <c r="I17" s="391" t="n"/>
      <c r="J17" s="391" t="n"/>
      <c r="K17" s="391" t="n"/>
      <c r="L17" s="391" t="n"/>
      <c r="M17" s="391" t="n"/>
      <c r="N17" s="391" t="n"/>
      <c r="O17" s="391" t="n"/>
      <c r="P17" s="392" t="n"/>
    </row>
    <row r="18" ht="36" customHeight="1">
      <c r="A18" s="168" t="n">
        <v>14</v>
      </c>
      <c r="B18" s="169" t="n"/>
      <c r="C18" s="352" t="n"/>
      <c r="D18" s="391" t="n"/>
      <c r="E18" s="391" t="n"/>
      <c r="F18" s="391" t="n"/>
      <c r="G18" s="391" t="n"/>
      <c r="H18" s="391" t="n"/>
      <c r="I18" s="391" t="n"/>
      <c r="J18" s="391" t="n"/>
      <c r="K18" s="391" t="n"/>
      <c r="L18" s="391" t="n"/>
      <c r="M18" s="391" t="n"/>
      <c r="N18" s="391" t="n"/>
      <c r="O18" s="391" t="n"/>
      <c r="P18" s="392" t="n"/>
    </row>
    <row r="19" ht="36" customHeight="1">
      <c r="A19" s="168" t="n">
        <v>15</v>
      </c>
      <c r="B19" s="169" t="n"/>
      <c r="C19" s="352" t="n"/>
      <c r="D19" s="391" t="n"/>
      <c r="E19" s="391" t="n"/>
      <c r="F19" s="391" t="n"/>
      <c r="G19" s="391" t="n"/>
      <c r="H19" s="391" t="n"/>
      <c r="I19" s="391" t="n"/>
      <c r="J19" s="391" t="n"/>
      <c r="K19" s="391" t="n"/>
      <c r="L19" s="391" t="n"/>
      <c r="M19" s="391" t="n"/>
      <c r="N19" s="391" t="n"/>
      <c r="O19" s="391" t="n"/>
      <c r="P19" s="392" t="n"/>
    </row>
    <row r="20" ht="36" customHeight="1">
      <c r="A20" s="168" t="n">
        <v>16</v>
      </c>
      <c r="B20" s="169" t="n"/>
      <c r="C20" s="352" t="n"/>
      <c r="D20" s="391" t="n"/>
      <c r="E20" s="391" t="n"/>
      <c r="F20" s="391" t="n"/>
      <c r="G20" s="391" t="n"/>
      <c r="H20" s="391" t="n"/>
      <c r="I20" s="391" t="n"/>
      <c r="J20" s="391" t="n"/>
      <c r="K20" s="391" t="n"/>
      <c r="L20" s="391" t="n"/>
      <c r="M20" s="391" t="n"/>
      <c r="N20" s="391" t="n"/>
      <c r="O20" s="391" t="n"/>
      <c r="P20" s="392" t="n"/>
    </row>
    <row r="21" ht="36" customHeight="1">
      <c r="A21" s="168" t="n">
        <v>17</v>
      </c>
      <c r="B21" s="169" t="n"/>
      <c r="C21" s="352" t="n"/>
      <c r="D21" s="391" t="n"/>
      <c r="E21" s="391" t="n"/>
      <c r="F21" s="391" t="n"/>
      <c r="G21" s="391" t="n"/>
      <c r="H21" s="391" t="n"/>
      <c r="I21" s="391" t="n"/>
      <c r="J21" s="391" t="n"/>
      <c r="K21" s="391" t="n"/>
      <c r="L21" s="391" t="n"/>
      <c r="M21" s="391" t="n"/>
      <c r="N21" s="391" t="n"/>
      <c r="O21" s="391" t="n"/>
      <c r="P21" s="392" t="n"/>
    </row>
    <row r="22" ht="36" customHeight="1">
      <c r="A22" s="168" t="n">
        <v>18</v>
      </c>
      <c r="B22" s="169" t="n"/>
      <c r="C22" s="352" t="n"/>
      <c r="D22" s="391" t="n"/>
      <c r="E22" s="391" t="n"/>
      <c r="F22" s="391" t="n"/>
      <c r="G22" s="391" t="n"/>
      <c r="H22" s="391" t="n"/>
      <c r="I22" s="391" t="n"/>
      <c r="J22" s="391" t="n"/>
      <c r="K22" s="391" t="n"/>
      <c r="L22" s="391" t="n"/>
      <c r="M22" s="391" t="n"/>
      <c r="N22" s="391" t="n"/>
      <c r="O22" s="391" t="n"/>
      <c r="P22" s="392" t="n"/>
    </row>
    <row r="23" ht="36" customHeight="1">
      <c r="A23" s="168" t="n">
        <v>19</v>
      </c>
      <c r="B23" s="169" t="n"/>
      <c r="C23" s="352" t="n"/>
      <c r="D23" s="391" t="n"/>
      <c r="E23" s="391" t="n"/>
      <c r="F23" s="391" t="n"/>
      <c r="G23" s="391" t="n"/>
      <c r="H23" s="391" t="n"/>
      <c r="I23" s="391" t="n"/>
      <c r="J23" s="391" t="n"/>
      <c r="K23" s="391" t="n"/>
      <c r="L23" s="391" t="n"/>
      <c r="M23" s="391" t="n"/>
      <c r="N23" s="391" t="n"/>
      <c r="O23" s="391" t="n"/>
      <c r="P23" s="392" t="n"/>
    </row>
    <row r="24" ht="36" customHeight="1">
      <c r="A24" s="168" t="n">
        <v>20</v>
      </c>
      <c r="B24" s="169" t="n"/>
      <c r="C24" s="352" t="n"/>
      <c r="D24" s="391" t="n"/>
      <c r="E24" s="391" t="n"/>
      <c r="F24" s="391" t="n"/>
      <c r="G24" s="391" t="n"/>
      <c r="H24" s="391" t="n"/>
      <c r="I24" s="391" t="n"/>
      <c r="J24" s="391" t="n"/>
      <c r="K24" s="391" t="n"/>
      <c r="L24" s="391" t="n"/>
      <c r="M24" s="391" t="n"/>
      <c r="N24" s="391" t="n"/>
      <c r="O24" s="391" t="n"/>
      <c r="P24" s="392" t="n"/>
    </row>
    <row r="25" ht="36" customHeight="1">
      <c r="A25" s="168" t="n">
        <v>21</v>
      </c>
      <c r="B25" s="167" t="n"/>
      <c r="C25" s="352" t="n"/>
      <c r="D25" s="391" t="n"/>
      <c r="E25" s="391" t="n"/>
      <c r="F25" s="391" t="n"/>
      <c r="G25" s="391" t="n"/>
      <c r="H25" s="391" t="n"/>
      <c r="I25" s="391" t="n"/>
      <c r="J25" s="391" t="n"/>
      <c r="K25" s="391" t="n"/>
      <c r="L25" s="391" t="n"/>
      <c r="M25" s="391" t="n"/>
      <c r="N25" s="391" t="n"/>
      <c r="O25" s="391" t="n"/>
      <c r="P25" s="392" t="n"/>
    </row>
    <row r="26" ht="36" customHeight="1">
      <c r="A26" s="168" t="n">
        <v>22</v>
      </c>
      <c r="B26" s="167" t="n"/>
      <c r="C26" s="352" t="n"/>
      <c r="D26" s="391" t="n"/>
      <c r="E26" s="391" t="n"/>
      <c r="F26" s="391" t="n"/>
      <c r="G26" s="391" t="n"/>
      <c r="H26" s="391" t="n"/>
      <c r="I26" s="391" t="n"/>
      <c r="J26" s="391" t="n"/>
      <c r="K26" s="391" t="n"/>
      <c r="L26" s="391" t="n"/>
      <c r="M26" s="391" t="n"/>
      <c r="N26" s="391" t="n"/>
      <c r="O26" s="391" t="n"/>
      <c r="P26" s="392" t="n"/>
    </row>
    <row r="27" ht="36" customHeight="1">
      <c r="A27" s="168" t="n">
        <v>23</v>
      </c>
      <c r="B27" s="167" t="n"/>
      <c r="C27" s="352" t="n"/>
      <c r="D27" s="391" t="n"/>
      <c r="E27" s="391" t="n"/>
      <c r="F27" s="391" t="n"/>
      <c r="G27" s="391" t="n"/>
      <c r="H27" s="391" t="n"/>
      <c r="I27" s="391" t="n"/>
      <c r="J27" s="391" t="n"/>
      <c r="K27" s="391" t="n"/>
      <c r="L27" s="391" t="n"/>
      <c r="M27" s="391" t="n"/>
      <c r="N27" s="391" t="n"/>
      <c r="O27" s="391" t="n"/>
      <c r="P27" s="392" t="n"/>
    </row>
    <row r="28" ht="36" customHeight="1">
      <c r="A28" s="168" t="n">
        <v>24</v>
      </c>
      <c r="B28" s="167" t="n"/>
      <c r="C28" s="352" t="n"/>
      <c r="D28" s="391" t="n"/>
      <c r="E28" s="391" t="n"/>
      <c r="F28" s="391" t="n"/>
      <c r="G28" s="391" t="n"/>
      <c r="H28" s="391" t="n"/>
      <c r="I28" s="391" t="n"/>
      <c r="J28" s="391" t="n"/>
      <c r="K28" s="391" t="n"/>
      <c r="L28" s="391" t="n"/>
      <c r="M28" s="391" t="n"/>
      <c r="N28" s="391" t="n"/>
      <c r="O28" s="391" t="n"/>
      <c r="P28" s="392" t="n"/>
    </row>
    <row r="29" ht="36" customHeight="1">
      <c r="A29" s="168" t="n">
        <v>25</v>
      </c>
      <c r="B29" s="167" t="n"/>
      <c r="C29" s="352" t="n"/>
      <c r="D29" s="391" t="n"/>
      <c r="E29" s="391" t="n"/>
      <c r="F29" s="391" t="n"/>
      <c r="G29" s="391" t="n"/>
      <c r="H29" s="391" t="n"/>
      <c r="I29" s="391" t="n"/>
      <c r="J29" s="391" t="n"/>
      <c r="K29" s="391" t="n"/>
      <c r="L29" s="391" t="n"/>
      <c r="M29" s="391" t="n"/>
      <c r="N29" s="391" t="n"/>
      <c r="O29" s="391" t="n"/>
      <c r="P29" s="392" t="n"/>
    </row>
    <row r="30" ht="36" customHeight="1">
      <c r="A30" s="168" t="n">
        <v>26</v>
      </c>
      <c r="B30" s="167" t="n"/>
      <c r="C30" s="352" t="n"/>
      <c r="D30" s="391" t="n"/>
      <c r="E30" s="391" t="n"/>
      <c r="F30" s="391" t="n"/>
      <c r="G30" s="391" t="n"/>
      <c r="H30" s="391" t="n"/>
      <c r="I30" s="391" t="n"/>
      <c r="J30" s="391" t="n"/>
      <c r="K30" s="391" t="n"/>
      <c r="L30" s="391" t="n"/>
      <c r="M30" s="391" t="n"/>
      <c r="N30" s="391" t="n"/>
      <c r="O30" s="391" t="n"/>
      <c r="P30" s="392" t="n"/>
    </row>
    <row r="31" ht="36" customHeight="1">
      <c r="A31" s="168" t="n">
        <v>27</v>
      </c>
      <c r="B31" s="167" t="n"/>
      <c r="C31" s="352" t="n"/>
      <c r="D31" s="391" t="n"/>
      <c r="E31" s="391" t="n"/>
      <c r="F31" s="391" t="n"/>
      <c r="G31" s="391" t="n"/>
      <c r="H31" s="391" t="n"/>
      <c r="I31" s="391" t="n"/>
      <c r="J31" s="391" t="n"/>
      <c r="K31" s="391" t="n"/>
      <c r="L31" s="391" t="n"/>
      <c r="M31" s="391" t="n"/>
      <c r="N31" s="391" t="n"/>
      <c r="O31" s="391" t="n"/>
      <c r="P31" s="392" t="n"/>
    </row>
    <row r="32" ht="36" customHeight="1">
      <c r="A32" s="168" t="n">
        <v>28</v>
      </c>
      <c r="B32" s="167" t="n"/>
      <c r="C32" s="352" t="n"/>
      <c r="D32" s="391" t="n"/>
      <c r="E32" s="391" t="n"/>
      <c r="F32" s="391" t="n"/>
      <c r="G32" s="391" t="n"/>
      <c r="H32" s="391" t="n"/>
      <c r="I32" s="391" t="n"/>
      <c r="J32" s="391" t="n"/>
      <c r="K32" s="391" t="n"/>
      <c r="L32" s="391" t="n"/>
      <c r="M32" s="391" t="n"/>
      <c r="N32" s="391" t="n"/>
      <c r="O32" s="391" t="n"/>
      <c r="P32" s="392" t="n"/>
    </row>
    <row r="33" ht="36" customHeight="1">
      <c r="A33" s="168" t="n">
        <v>29</v>
      </c>
      <c r="B33" s="167" t="n"/>
      <c r="C33" s="352" t="n"/>
      <c r="D33" s="391" t="n"/>
      <c r="E33" s="391" t="n"/>
      <c r="F33" s="391" t="n"/>
      <c r="G33" s="391" t="n"/>
      <c r="H33" s="391" t="n"/>
      <c r="I33" s="391" t="n"/>
      <c r="J33" s="391" t="n"/>
      <c r="K33" s="391" t="n"/>
      <c r="L33" s="391" t="n"/>
      <c r="M33" s="391" t="n"/>
      <c r="N33" s="391" t="n"/>
      <c r="O33" s="391" t="n"/>
      <c r="P33" s="392" t="n"/>
    </row>
    <row r="34" ht="36" customHeight="1">
      <c r="A34" s="168" t="n">
        <v>30</v>
      </c>
      <c r="B34" s="167" t="n"/>
      <c r="C34" s="352" t="n"/>
      <c r="D34" s="391" t="n"/>
      <c r="E34" s="391" t="n"/>
      <c r="F34" s="391" t="n"/>
      <c r="G34" s="391" t="n"/>
      <c r="H34" s="391" t="n"/>
      <c r="I34" s="391" t="n"/>
      <c r="J34" s="391" t="n"/>
      <c r="K34" s="391" t="n"/>
      <c r="L34" s="391" t="n"/>
      <c r="M34" s="391" t="n"/>
      <c r="N34" s="391" t="n"/>
      <c r="O34" s="391" t="n"/>
      <c r="P34" s="392" t="n"/>
    </row>
    <row r="35" ht="36" customHeight="1">
      <c r="A35" s="168" t="n">
        <v>31</v>
      </c>
      <c r="B35" s="167" t="n"/>
      <c r="C35" s="352" t="n"/>
      <c r="D35" s="391" t="n"/>
      <c r="E35" s="391" t="n"/>
      <c r="F35" s="391" t="n"/>
      <c r="G35" s="391" t="n"/>
      <c r="H35" s="391" t="n"/>
      <c r="I35" s="391" t="n"/>
      <c r="J35" s="391" t="n"/>
      <c r="K35" s="391" t="n"/>
      <c r="L35" s="391" t="n"/>
      <c r="M35" s="391" t="n"/>
      <c r="N35" s="391" t="n"/>
      <c r="O35" s="391" t="n"/>
      <c r="P35" s="392" t="n"/>
    </row>
    <row r="36" ht="36" customHeight="1">
      <c r="A36" s="168" t="n">
        <v>32</v>
      </c>
      <c r="B36" s="167" t="n"/>
      <c r="C36" s="352" t="n"/>
      <c r="D36" s="391" t="n"/>
      <c r="E36" s="391" t="n"/>
      <c r="F36" s="391" t="n"/>
      <c r="G36" s="391" t="n"/>
      <c r="H36" s="391" t="n"/>
      <c r="I36" s="391" t="n"/>
      <c r="J36" s="391" t="n"/>
      <c r="K36" s="391" t="n"/>
      <c r="L36" s="391" t="n"/>
      <c r="M36" s="391" t="n"/>
      <c r="N36" s="391" t="n"/>
      <c r="O36" s="391" t="n"/>
      <c r="P36" s="392" t="n"/>
    </row>
    <row r="37" ht="36" customHeight="1">
      <c r="A37" s="168" t="n">
        <v>33</v>
      </c>
      <c r="B37" s="167" t="n"/>
      <c r="C37" s="352" t="n"/>
      <c r="D37" s="391" t="n"/>
      <c r="E37" s="391" t="n"/>
      <c r="F37" s="391" t="n"/>
      <c r="G37" s="391" t="n"/>
      <c r="H37" s="391" t="n"/>
      <c r="I37" s="391" t="n"/>
      <c r="J37" s="391" t="n"/>
      <c r="K37" s="391" t="n"/>
      <c r="L37" s="391" t="n"/>
      <c r="M37" s="391" t="n"/>
      <c r="N37" s="391" t="n"/>
      <c r="O37" s="391" t="n"/>
      <c r="P37" s="392" t="n"/>
    </row>
    <row r="38" ht="36" customHeight="1">
      <c r="A38" s="168" t="n">
        <v>34</v>
      </c>
      <c r="B38" s="167" t="n"/>
      <c r="C38" s="352" t="n"/>
      <c r="D38" s="391" t="n"/>
      <c r="E38" s="391" t="n"/>
      <c r="F38" s="391" t="n"/>
      <c r="G38" s="391" t="n"/>
      <c r="H38" s="391" t="n"/>
      <c r="I38" s="391" t="n"/>
      <c r="J38" s="391" t="n"/>
      <c r="K38" s="391" t="n"/>
      <c r="L38" s="391" t="n"/>
      <c r="M38" s="391" t="n"/>
      <c r="N38" s="391" t="n"/>
      <c r="O38" s="391" t="n"/>
      <c r="P38" s="392" t="n"/>
    </row>
    <row r="39" ht="36" customHeight="1">
      <c r="A39" s="168" t="n">
        <v>35</v>
      </c>
      <c r="B39" s="167" t="n"/>
      <c r="C39" s="352" t="n"/>
      <c r="D39" s="391" t="n"/>
      <c r="E39" s="391" t="n"/>
      <c r="F39" s="391" t="n"/>
      <c r="G39" s="391" t="n"/>
      <c r="H39" s="391" t="n"/>
      <c r="I39" s="391" t="n"/>
      <c r="J39" s="391" t="n"/>
      <c r="K39" s="391" t="n"/>
      <c r="L39" s="391" t="n"/>
      <c r="M39" s="391" t="n"/>
      <c r="N39" s="391" t="n"/>
      <c r="O39" s="391" t="n"/>
      <c r="P39" s="392" t="n"/>
    </row>
    <row r="40" ht="36" customHeight="1">
      <c r="A40" s="168" t="n">
        <v>36</v>
      </c>
      <c r="B40" s="167" t="n"/>
      <c r="C40" s="352" t="n"/>
      <c r="D40" s="391" t="n"/>
      <c r="E40" s="391" t="n"/>
      <c r="F40" s="391" t="n"/>
      <c r="G40" s="391" t="n"/>
      <c r="H40" s="391" t="n"/>
      <c r="I40" s="391" t="n"/>
      <c r="J40" s="391" t="n"/>
      <c r="K40" s="391" t="n"/>
      <c r="L40" s="391" t="n"/>
      <c r="M40" s="391" t="n"/>
      <c r="N40" s="391" t="n"/>
      <c r="O40" s="391" t="n"/>
      <c r="P40" s="392" t="n"/>
    </row>
    <row r="41" ht="36" customHeight="1">
      <c r="A41" s="168" t="n">
        <v>37</v>
      </c>
      <c r="B41" s="167" t="n"/>
      <c r="C41" s="352" t="n"/>
      <c r="D41" s="391" t="n"/>
      <c r="E41" s="391" t="n"/>
      <c r="F41" s="391" t="n"/>
      <c r="G41" s="391" t="n"/>
      <c r="H41" s="391" t="n"/>
      <c r="I41" s="391" t="n"/>
      <c r="J41" s="391" t="n"/>
      <c r="K41" s="391" t="n"/>
      <c r="L41" s="391" t="n"/>
      <c r="M41" s="391" t="n"/>
      <c r="N41" s="391" t="n"/>
      <c r="O41" s="391" t="n"/>
      <c r="P41" s="392" t="n"/>
    </row>
    <row r="42" ht="36" customHeight="1">
      <c r="A42" s="168" t="n">
        <v>38</v>
      </c>
      <c r="B42" s="167" t="n"/>
      <c r="C42" s="352" t="n"/>
      <c r="D42" s="391" t="n"/>
      <c r="E42" s="391" t="n"/>
      <c r="F42" s="391" t="n"/>
      <c r="G42" s="391" t="n"/>
      <c r="H42" s="391" t="n"/>
      <c r="I42" s="391" t="n"/>
      <c r="J42" s="391" t="n"/>
      <c r="K42" s="391" t="n"/>
      <c r="L42" s="391" t="n"/>
      <c r="M42" s="391" t="n"/>
      <c r="N42" s="391" t="n"/>
      <c r="O42" s="391" t="n"/>
      <c r="P42" s="392" t="n"/>
    </row>
    <row r="43" ht="36" customHeight="1">
      <c r="A43" s="168" t="n">
        <v>39</v>
      </c>
      <c r="B43" s="167" t="n"/>
      <c r="C43" s="352" t="n"/>
      <c r="D43" s="391" t="n"/>
      <c r="E43" s="391" t="n"/>
      <c r="F43" s="391" t="n"/>
      <c r="G43" s="391" t="n"/>
      <c r="H43" s="391" t="n"/>
      <c r="I43" s="391" t="n"/>
      <c r="J43" s="391" t="n"/>
      <c r="K43" s="391" t="n"/>
      <c r="L43" s="391" t="n"/>
      <c r="M43" s="391" t="n"/>
      <c r="N43" s="391" t="n"/>
      <c r="O43" s="391" t="n"/>
      <c r="P43" s="392" t="n"/>
    </row>
    <row r="44" ht="36" customHeight="1">
      <c r="A44" s="168" t="n">
        <v>40</v>
      </c>
      <c r="B44" s="167" t="n"/>
      <c r="C44" s="352" t="n"/>
      <c r="D44" s="391" t="n"/>
      <c r="E44" s="391" t="n"/>
      <c r="F44" s="391" t="n"/>
      <c r="G44" s="391" t="n"/>
      <c r="H44" s="391" t="n"/>
      <c r="I44" s="391" t="n"/>
      <c r="J44" s="391" t="n"/>
      <c r="K44" s="391" t="n"/>
      <c r="L44" s="391" t="n"/>
      <c r="M44" s="391" t="n"/>
      <c r="N44" s="391" t="n"/>
      <c r="O44" s="391" t="n"/>
      <c r="P44" s="392" t="n"/>
    </row>
    <row r="45" ht="36" customHeight="1">
      <c r="A45" s="168" t="n">
        <v>41</v>
      </c>
      <c r="B45" s="167" t="n"/>
      <c r="C45" s="352" t="n"/>
      <c r="D45" s="391" t="n"/>
      <c r="E45" s="391" t="n"/>
      <c r="F45" s="391" t="n"/>
      <c r="G45" s="391" t="n"/>
      <c r="H45" s="391" t="n"/>
      <c r="I45" s="391" t="n"/>
      <c r="J45" s="391" t="n"/>
      <c r="K45" s="391" t="n"/>
      <c r="L45" s="391" t="n"/>
      <c r="M45" s="391" t="n"/>
      <c r="N45" s="391" t="n"/>
      <c r="O45" s="391" t="n"/>
      <c r="P45" s="392" t="n"/>
    </row>
    <row r="46" ht="36" customHeight="1">
      <c r="A46" s="168" t="n">
        <v>42</v>
      </c>
      <c r="B46" s="167" t="n"/>
      <c r="C46" s="352" t="n"/>
      <c r="D46" s="391" t="n"/>
      <c r="E46" s="391" t="n"/>
      <c r="F46" s="391" t="n"/>
      <c r="G46" s="391" t="n"/>
      <c r="H46" s="391" t="n"/>
      <c r="I46" s="391" t="n"/>
      <c r="J46" s="391" t="n"/>
      <c r="K46" s="391" t="n"/>
      <c r="L46" s="391" t="n"/>
      <c r="M46" s="391" t="n"/>
      <c r="N46" s="391" t="n"/>
      <c r="O46" s="391" t="n"/>
      <c r="P46" s="392" t="n"/>
    </row>
    <row r="47" ht="36" customHeight="1">
      <c r="A47" s="168" t="n">
        <v>43</v>
      </c>
      <c r="B47" s="167" t="n"/>
      <c r="C47" s="352" t="n"/>
      <c r="D47" s="391" t="n"/>
      <c r="E47" s="391" t="n"/>
      <c r="F47" s="391" t="n"/>
      <c r="G47" s="391" t="n"/>
      <c r="H47" s="391" t="n"/>
      <c r="I47" s="391" t="n"/>
      <c r="J47" s="391" t="n"/>
      <c r="K47" s="391" t="n"/>
      <c r="L47" s="391" t="n"/>
      <c r="M47" s="391" t="n"/>
      <c r="N47" s="391" t="n"/>
      <c r="O47" s="391" t="n"/>
      <c r="P47" s="392" t="n"/>
    </row>
    <row r="48" ht="36" customHeight="1">
      <c r="A48" s="168" t="n">
        <v>44</v>
      </c>
      <c r="B48" s="167" t="n"/>
      <c r="C48" s="352" t="n"/>
      <c r="D48" s="391" t="n"/>
      <c r="E48" s="391" t="n"/>
      <c r="F48" s="391" t="n"/>
      <c r="G48" s="391" t="n"/>
      <c r="H48" s="391" t="n"/>
      <c r="I48" s="391" t="n"/>
      <c r="J48" s="391" t="n"/>
      <c r="K48" s="391" t="n"/>
      <c r="L48" s="391" t="n"/>
      <c r="M48" s="391" t="n"/>
      <c r="N48" s="391" t="n"/>
      <c r="O48" s="391" t="n"/>
      <c r="P48" s="392" t="n"/>
    </row>
    <row r="49" ht="36" customHeight="1">
      <c r="A49" s="168" t="n">
        <v>45</v>
      </c>
      <c r="B49" s="167" t="n"/>
      <c r="C49" s="352" t="n"/>
      <c r="D49" s="391" t="n"/>
      <c r="E49" s="391" t="n"/>
      <c r="F49" s="391" t="n"/>
      <c r="G49" s="391" t="n"/>
      <c r="H49" s="391" t="n"/>
      <c r="I49" s="391" t="n"/>
      <c r="J49" s="391" t="n"/>
      <c r="K49" s="391" t="n"/>
      <c r="L49" s="391" t="n"/>
      <c r="M49" s="391" t="n"/>
      <c r="N49" s="391" t="n"/>
      <c r="O49" s="391" t="n"/>
      <c r="P49" s="392" t="n"/>
    </row>
    <row r="50">
      <c r="A50" s="166" t="n"/>
      <c r="B50" s="167" t="n"/>
      <c r="C50" s="352" t="n"/>
      <c r="D50" s="391" t="n"/>
      <c r="E50" s="391" t="n"/>
      <c r="F50" s="391" t="n"/>
      <c r="G50" s="391" t="n"/>
      <c r="H50" s="391" t="n"/>
      <c r="I50" s="391" t="n"/>
      <c r="J50" s="391" t="n"/>
      <c r="K50" s="391" t="n"/>
      <c r="L50" s="391" t="n"/>
      <c r="M50" s="391" t="n"/>
      <c r="N50" s="391" t="n"/>
      <c r="O50" s="391" t="n"/>
      <c r="P50" s="392" t="n"/>
    </row>
  </sheetData>
  <sheetProtection selectLockedCells="0" selectUnlockedCells="0" algorithmName="SHA-512" sheet="1" objects="1" insertRows="1" insertHyperlinks="1" autoFilter="1" scenarios="1" formatColumns="1" deleteColumns="1" insertColumns="1" pivotTables="1" deleteRows="1" formatCells="1" saltValue="wFi5I6AYWy46zKPE7XcD4Q==" formatRows="1" sort="1" spinCount="100000" hashValue="e4eCniCP2W1LvSUaUaDbQk3v4Blt7FjT3iHa8Prg4dT4Rp2bpbrdnMh2ZyUvttDLd3hJ9aN9oXyYtMdbg0BwmA=="/>
  <mergeCells count="50">
    <mergeCell ref="C18:P18"/>
    <mergeCell ref="C1:E1"/>
    <mergeCell ref="C49:P49"/>
    <mergeCell ref="C34:P34"/>
    <mergeCell ref="C6:P6"/>
    <mergeCell ref="C24:P24"/>
    <mergeCell ref="C30:P30"/>
    <mergeCell ref="C42:P42"/>
    <mergeCell ref="C15:P15"/>
    <mergeCell ref="C33:P33"/>
    <mergeCell ref="F1:G1"/>
    <mergeCell ref="A1:B1"/>
    <mergeCell ref="C5:P5"/>
    <mergeCell ref="C14:P14"/>
    <mergeCell ref="C45:P45"/>
    <mergeCell ref="C26:P26"/>
    <mergeCell ref="C35:P35"/>
    <mergeCell ref="C4:P4"/>
    <mergeCell ref="C20:P20"/>
    <mergeCell ref="C29:P29"/>
    <mergeCell ref="C10:P10"/>
    <mergeCell ref="C16:P16"/>
    <mergeCell ref="C47:P47"/>
    <mergeCell ref="C25:P25"/>
    <mergeCell ref="C41:P41"/>
    <mergeCell ref="C50:P50"/>
    <mergeCell ref="C44:P44"/>
    <mergeCell ref="C22:P22"/>
    <mergeCell ref="C40:P40"/>
    <mergeCell ref="C9:P9"/>
    <mergeCell ref="C31:P31"/>
    <mergeCell ref="C21:P21"/>
    <mergeCell ref="C43:P43"/>
    <mergeCell ref="C12:P12"/>
    <mergeCell ref="C46:P46"/>
    <mergeCell ref="C11:P11"/>
    <mergeCell ref="C27:P27"/>
    <mergeCell ref="C36:P36"/>
    <mergeCell ref="C23:P23"/>
    <mergeCell ref="C48:P48"/>
    <mergeCell ref="C17:P17"/>
    <mergeCell ref="C39:P39"/>
    <mergeCell ref="C8:P8"/>
    <mergeCell ref="C32:P32"/>
    <mergeCell ref="C7:P7"/>
    <mergeCell ref="C38:P38"/>
    <mergeCell ref="C19:P19"/>
    <mergeCell ref="C37:P37"/>
    <mergeCell ref="C28:P28"/>
    <mergeCell ref="C13:P13"/>
  </mergeCells>
  <pageMargins left="0.699305555555556" right="0.699305555555556" top="0.75" bottom="0.75" header="0.3" footer="0.3"/>
</worksheet>
</file>

<file path=xl/worksheets/sheet3.xml><?xml version="1.0" encoding="utf-8"?>
<worksheet xmlns="http://schemas.openxmlformats.org/spreadsheetml/2006/main">
  <sheetPr codeName="Sheet1">
    <outlinePr summaryBelow="1" summaryRight="1"/>
    <pageSetUpPr fitToPage="1"/>
  </sheetPr>
  <dimension ref="A1:DM57"/>
  <sheetViews>
    <sheetView tabSelected="1" zoomScale="80" zoomScaleNormal="80" zoomScaleSheetLayoutView="70" workbookViewId="0">
      <pane xSplit="28" ySplit="8" topLeftCell="AC9" activePane="bottomRight" state="frozen"/>
      <selection pane="topRight" activeCell="A1" sqref="A1"/>
      <selection pane="bottomLeft" activeCell="A1" sqref="A1"/>
      <selection pane="bottomRight" activeCell="L4" sqref="L4"/>
    </sheetView>
  </sheetViews>
  <sheetFormatPr baseColWidth="8" defaultColWidth="0.88671875" defaultRowHeight="14.4"/>
  <cols>
    <col hidden="1" width="4.6640625" customWidth="1" min="1" max="1"/>
    <col width="15.109375" customWidth="1" min="2" max="2"/>
    <col width="19.109375" customWidth="1" min="3" max="3"/>
    <col width="17.6640625" customWidth="1" min="4" max="4"/>
    <col width="8" bestFit="1" customWidth="1" min="5" max="5"/>
    <col width="6.109375" customWidth="1" min="6" max="6"/>
    <col width="4.44140625" customWidth="1" min="7" max="7"/>
    <col width="8" bestFit="1" customWidth="1" min="8" max="8"/>
    <col width="28.6640625" customWidth="1" min="9" max="9"/>
    <col hidden="1" outlineLevel="1" width="9.109375" customWidth="1" min="10" max="17"/>
    <col collapsed="1" width="7.5546875" customWidth="1" min="18" max="18"/>
    <col width="7.88671875" customWidth="1" min="19" max="19"/>
    <col width="5.6640625" customWidth="1" min="20" max="20"/>
    <col width="5.44140625" customWidth="1" min="21" max="21"/>
    <col width="12.5546875" customWidth="1" min="22" max="22"/>
    <col width="11.33203125" customWidth="1" min="23" max="23"/>
    <col outlineLevel="1" width="9.6640625" customWidth="1" min="24" max="25"/>
    <col outlineLevel="1" width="9.109375" customWidth="1" min="26" max="27"/>
    <col width="11.33203125" customWidth="1" min="28" max="28"/>
    <col width="7.88671875" customWidth="1" min="29" max="29"/>
    <col width="15.33203125" bestFit="1" customWidth="1" min="30" max="30"/>
    <col width="14.5546875" customWidth="1" min="31" max="31"/>
    <col width="30" customWidth="1" min="32" max="32"/>
    <col hidden="1" outlineLevel="1" width="6.33203125" customWidth="1" min="33" max="37"/>
    <col collapsed="1" width="5.6640625" customWidth="1" min="38" max="38"/>
    <col hidden="1" outlineLevel="1" width="2.33203125" customWidth="1" min="39" max="99"/>
    <col collapsed="1" width="2.6640625" customWidth="1" min="100" max="100"/>
    <col outlineLevel="1" width="0.88671875" customWidth="1" min="102" max="102"/>
    <col outlineLevel="1" width="15.6640625" customWidth="1" min="103" max="107"/>
    <col outlineLevel="1" width="13.6640625" customWidth="1" min="108" max="108"/>
    <col outlineLevel="1" width="10.109375" customWidth="1" min="109" max="109"/>
    <col outlineLevel="1" width="13.6640625" customWidth="1" min="110" max="110"/>
    <col outlineLevel="1" width="16.6640625" customWidth="1" min="111" max="111"/>
    <col outlineLevel="1" width="14.5546875" customWidth="1" min="112" max="112"/>
    <col outlineLevel="1" width="11.33203125" customWidth="1" min="113" max="113"/>
    <col outlineLevel="1" width="5.6640625" customWidth="1" min="114" max="114"/>
    <col outlineLevel="1" width="0.88671875" customWidth="1" min="115" max="116"/>
    <col width="2.6640625" customWidth="1" min="117" max="117"/>
  </cols>
  <sheetData>
    <row r="1" ht="15" customHeight="1">
      <c r="B1" s="16" t="inlineStr">
        <is>
          <t>Guidelines</t>
        </is>
      </c>
      <c r="C1" s="71" t="inlineStr">
        <is>
          <t>*OR No.</t>
        </is>
      </c>
      <c r="D1" s="319" t="inlineStr">
        <is>
          <t>FSL/2122/CEN/OR002</t>
        </is>
      </c>
      <c r="E1" s="15" t="n"/>
      <c r="F1" s="14" t="n"/>
      <c r="G1" s="14" t="n"/>
      <c r="H1" s="14" t="n"/>
      <c r="I1" s="14" t="n"/>
      <c r="J1" s="14" t="n"/>
      <c r="K1" s="14" t="n"/>
      <c r="L1" s="14" t="inlineStr">
        <is>
          <t>Doc Name &amp; Ver.</t>
        </is>
      </c>
      <c r="M1" s="14" t="n"/>
      <c r="N1" s="133" t="inlineStr">
        <is>
          <t>Trial Release V2.0</t>
        </is>
      </c>
      <c r="O1" s="14" t="n"/>
      <c r="P1" s="14" t="n"/>
      <c r="Q1" s="14" t="n"/>
      <c r="R1" s="14" t="n"/>
      <c r="S1" s="14" t="n"/>
      <c r="T1" s="14" t="n"/>
      <c r="U1" s="14" t="n"/>
      <c r="V1" s="14" t="n"/>
      <c r="W1" s="121" t="inlineStr">
        <is>
          <t>Start Date</t>
        </is>
      </c>
      <c r="X1" s="14" t="n"/>
      <c r="Y1" s="14" t="n"/>
      <c r="Z1" s="14" t="n"/>
      <c r="AA1" s="14" t="n"/>
      <c r="AB1" s="31" t="inlineStr">
        <is>
          <t>Days in SWE</t>
        </is>
      </c>
      <c r="AC1" s="14" t="n"/>
      <c r="AD1" s="14" t="n"/>
      <c r="AE1" s="122" t="inlineStr">
        <is>
          <t>LD Date</t>
        </is>
      </c>
      <c r="AF1" s="395" t="n"/>
      <c r="AG1" s="55" t="n"/>
      <c r="AH1" s="55" t="n"/>
      <c r="AI1" s="55" t="n"/>
      <c r="AJ1" s="55" t="n"/>
      <c r="AK1" s="55" t="n"/>
      <c r="AL1" s="226" t="n"/>
      <c r="AM1" s="56" t="n"/>
      <c r="AN1" s="56" t="n"/>
      <c r="AO1" s="56" t="n"/>
      <c r="AP1" s="56" t="n"/>
      <c r="AQ1" s="56" t="n"/>
      <c r="AR1" s="56" t="n"/>
      <c r="AS1" s="56" t="n"/>
      <c r="AT1" s="56" t="n"/>
      <c r="AU1" s="56" t="n"/>
      <c r="AV1" s="56" t="n"/>
      <c r="AW1" s="56" t="n"/>
      <c r="AX1" s="56" t="n"/>
      <c r="AY1" s="56" t="n"/>
      <c r="AZ1" s="56" t="n"/>
      <c r="BA1" s="56" t="n"/>
      <c r="BB1" s="56" t="n"/>
      <c r="BC1" s="56" t="n"/>
      <c r="BD1" s="56" t="n"/>
      <c r="BE1" s="56" t="n"/>
      <c r="BF1" s="56" t="n"/>
      <c r="BG1" s="56" t="n"/>
      <c r="BH1" s="56" t="n"/>
      <c r="BI1" s="56" t="n"/>
      <c r="BJ1" s="56" t="n"/>
      <c r="BK1" s="56" t="n"/>
      <c r="BL1" s="56" t="n"/>
      <c r="BM1" s="56" t="n"/>
      <c r="BN1" s="56" t="n"/>
      <c r="BO1" s="56" t="n"/>
      <c r="BP1" s="56" t="n"/>
      <c r="BQ1" s="56" t="n"/>
      <c r="BR1" s="56" t="n"/>
      <c r="BS1" s="56" t="n"/>
      <c r="BT1" s="56" t="n"/>
      <c r="BU1" s="56" t="n"/>
      <c r="BV1" s="56" t="n"/>
      <c r="BW1" s="56" t="n"/>
      <c r="BX1" s="56" t="n"/>
      <c r="BY1" s="56" t="n"/>
      <c r="BZ1" s="56" t="n"/>
      <c r="CA1" s="56" t="n"/>
      <c r="CB1" s="56" t="n"/>
      <c r="CC1" s="56" t="n"/>
      <c r="CD1" s="56" t="n"/>
      <c r="CE1" s="56" t="n"/>
      <c r="CF1" s="56" t="n"/>
      <c r="CG1" s="56" t="n"/>
      <c r="CH1" s="56" t="n"/>
      <c r="CI1" s="56" t="n"/>
      <c r="CJ1" s="56" t="n"/>
      <c r="CK1" s="56" t="n"/>
      <c r="CL1" s="56" t="n"/>
      <c r="CM1" s="146" t="n"/>
      <c r="CN1" s="56" t="n"/>
      <c r="CO1" s="382" t="inlineStr">
        <is>
          <t>Today</t>
        </is>
      </c>
      <c r="CP1" s="396" t="n"/>
      <c r="CQ1" s="396" t="n"/>
      <c r="CR1" s="396" t="n"/>
      <c r="CS1" s="388" t="n"/>
      <c r="CT1" s="56" t="n"/>
      <c r="CU1" s="56" t="n"/>
      <c r="CV1" s="87" t="n"/>
      <c r="CW1" s="87" t="n"/>
      <c r="CX1" s="78" t="n"/>
      <c r="CY1" s="79" t="n"/>
      <c r="CZ1" s="79" t="n"/>
      <c r="DA1" s="79" t="n"/>
      <c r="DB1" s="79" t="n"/>
      <c r="DC1" s="79" t="n"/>
      <c r="DD1" s="79" t="n"/>
      <c r="DE1" s="95" t="inlineStr">
        <is>
          <t>PrjComl%</t>
        </is>
      </c>
      <c r="DF1" s="94">
        <f>IFERROR((DE7+DF7)/(DE6+DF6),0)</f>
        <v/>
      </c>
      <c r="DG1" s="82" t="n"/>
      <c r="DH1" s="79" t="n"/>
      <c r="DI1" s="301" t="n"/>
      <c r="DJ1" s="303" t="n"/>
      <c r="DK1" s="79" t="n"/>
      <c r="DL1" s="80" t="n"/>
      <c r="DM1" s="87" t="n"/>
    </row>
    <row r="2" ht="15" customHeight="1">
      <c r="B2" s="18" t="inlineStr">
        <is>
          <t>Cautions!!</t>
        </is>
      </c>
      <c r="C2" s="89" t="inlineStr">
        <is>
          <t>*Master OR</t>
        </is>
      </c>
      <c r="D2" s="207">
        <f>D1</f>
        <v/>
      </c>
      <c r="E2" s="17" t="n"/>
      <c r="F2" s="70" t="inlineStr">
        <is>
          <t>*Sales Engineer</t>
        </is>
      </c>
      <c r="G2" s="21" t="n"/>
      <c r="H2" s="22" t="n"/>
      <c r="I2" s="328" t="inlineStr">
        <is>
          <t>Girish Sulakshane</t>
        </is>
      </c>
      <c r="J2" s="14" t="n"/>
      <c r="K2" s="14" t="n"/>
      <c r="L2" s="14" t="n"/>
      <c r="M2" s="14" t="n"/>
      <c r="N2" s="14" t="n"/>
      <c r="O2" s="14" t="n"/>
      <c r="P2" s="14" t="n"/>
      <c r="Q2" s="14" t="n"/>
      <c r="R2" s="14" t="n"/>
      <c r="S2" s="192" t="n"/>
      <c r="T2" s="193" t="n"/>
      <c r="U2" s="193" t="n"/>
      <c r="V2" s="14" t="n"/>
      <c r="W2" s="51">
        <f>V9</f>
        <v/>
      </c>
      <c r="X2" s="14" t="n"/>
      <c r="Y2" s="14" t="n"/>
      <c r="Z2" s="14" t="n"/>
      <c r="AA2" s="14" t="n"/>
      <c r="AB2" s="314">
        <f>IF(ISBLANK(X9),0,(IF(ISBLANK(Y23),TODAY(),Y23)-X9+1)+IF(ISBLANK(Y30),TODAY(),Y30)-IF(ISBLANK(X28),TODAY(),X28)+1)</f>
        <v/>
      </c>
      <c r="AC2" s="14" t="n"/>
      <c r="AD2" s="14" t="n"/>
      <c r="AE2" s="124" t="inlineStr">
        <is>
          <t>LD max/ wk</t>
        </is>
      </c>
      <c r="AF2" s="324" t="n"/>
      <c r="AG2" s="55" t="n"/>
      <c r="AH2" s="55" t="n"/>
      <c r="AI2" s="55" t="n"/>
      <c r="AJ2" s="55" t="n"/>
      <c r="AK2" s="55" t="n"/>
      <c r="AL2" s="226" t="n"/>
      <c r="AM2" s="368" t="inlineStr">
        <is>
          <t>Calender Setting</t>
        </is>
      </c>
      <c r="AN2" s="396" t="n"/>
      <c r="AO2" s="396" t="n"/>
      <c r="AP2" s="396" t="n"/>
      <c r="AQ2" s="396" t="n"/>
      <c r="AR2" s="396" t="n"/>
      <c r="AS2" s="388" t="n"/>
      <c r="AT2" s="397" t="inlineStr">
        <is>
          <t>Day</t>
        </is>
      </c>
      <c r="AU2" s="398" t="n"/>
      <c r="AV2" s="399" t="n"/>
      <c r="AW2" s="56" t="n"/>
      <c r="AX2" s="400" t="inlineStr">
        <is>
          <t>Weeklyoff setting1 (Shop)</t>
        </is>
      </c>
      <c r="AY2" s="396" t="n"/>
      <c r="AZ2" s="396" t="n"/>
      <c r="BA2" s="396" t="n"/>
      <c r="BB2" s="396" t="n"/>
      <c r="BC2" s="396" t="n"/>
      <c r="BD2" s="396" t="n"/>
      <c r="BE2" s="396" t="n"/>
      <c r="BF2" s="388" t="n"/>
      <c r="BG2" s="397" t="inlineStr">
        <is>
          <t>Sat</t>
        </is>
      </c>
      <c r="BH2" s="398" t="n"/>
      <c r="BI2" s="399" t="n"/>
      <c r="BJ2" s="56" t="n"/>
      <c r="BK2" s="56" t="n"/>
      <c r="BL2" s="56" t="n"/>
      <c r="BM2" s="401" t="inlineStr">
        <is>
          <t>Schedule Max Date</t>
        </is>
      </c>
      <c r="BN2" s="396" t="n"/>
      <c r="BO2" s="396" t="n"/>
      <c r="BP2" s="396" t="n"/>
      <c r="BQ2" s="396" t="n"/>
      <c r="BR2" s="396" t="n"/>
      <c r="BS2" s="396" t="n"/>
      <c r="BT2" s="388" t="n"/>
      <c r="BU2" s="402">
        <f>MAX(W9:W55)</f>
        <v/>
      </c>
      <c r="BV2" s="396" t="n"/>
      <c r="BW2" s="396" t="n"/>
      <c r="BX2" s="396" t="n"/>
      <c r="BY2" s="388" t="n"/>
      <c r="BZ2" s="56" t="n"/>
      <c r="CA2" s="401" t="inlineStr">
        <is>
          <t>Print, % Completion</t>
        </is>
      </c>
      <c r="CB2" s="396" t="n"/>
      <c r="CC2" s="396" t="n"/>
      <c r="CD2" s="396" t="n"/>
      <c r="CE2" s="396" t="n"/>
      <c r="CF2" s="396" t="n"/>
      <c r="CG2" s="396" t="n"/>
      <c r="CH2" s="388" t="n"/>
      <c r="CI2" s="397" t="inlineStr">
        <is>
          <t>No</t>
        </is>
      </c>
      <c r="CJ2" s="398" t="n"/>
      <c r="CK2" s="399" t="n"/>
      <c r="CL2" s="56" t="n"/>
      <c r="CM2" s="144" t="n"/>
      <c r="CN2" s="56" t="n"/>
      <c r="CO2" s="382" t="inlineStr">
        <is>
          <t>Current Plan</t>
        </is>
      </c>
      <c r="CP2" s="396" t="n"/>
      <c r="CQ2" s="396" t="n"/>
      <c r="CR2" s="396" t="n"/>
      <c r="CS2" s="388" t="n"/>
      <c r="CT2" s="56" t="n"/>
      <c r="CU2" s="56" t="n"/>
      <c r="CV2" s="87" t="n"/>
      <c r="CW2" s="87" t="n"/>
      <c r="CX2" s="81" t="n"/>
      <c r="CY2" s="366" t="inlineStr">
        <is>
          <t>System Memory Area</t>
        </is>
      </c>
      <c r="DD2" s="82" t="n"/>
      <c r="DE2" s="108">
        <f>'@LeadT_Setting'!AR10</f>
        <v/>
      </c>
      <c r="DF2" s="108">
        <f>'@LeadT_Setting'!AR24</f>
        <v/>
      </c>
      <c r="DG2" s="247" t="n"/>
      <c r="DH2" s="246" t="n"/>
      <c r="DI2" s="302" t="n"/>
      <c r="DJ2" s="241" t="n"/>
      <c r="DK2" s="107" t="n"/>
      <c r="DL2" s="83" t="n"/>
      <c r="DM2" s="87" t="n"/>
    </row>
    <row r="3">
      <c r="B3" s="14" t="n"/>
      <c r="C3" s="89" t="inlineStr">
        <is>
          <t>*WOR No</t>
        </is>
      </c>
      <c r="D3" s="208" t="n"/>
      <c r="E3" s="19" t="n"/>
      <c r="F3" s="20" t="inlineStr">
        <is>
          <t>*Sales Manager</t>
        </is>
      </c>
      <c r="G3" s="21" t="n"/>
      <c r="H3" s="22" t="n"/>
      <c r="I3" s="329" t="inlineStr">
        <is>
          <t>Girish Sulakshane</t>
        </is>
      </c>
      <c r="J3" s="14" t="n"/>
      <c r="K3" s="14" t="n"/>
      <c r="L3" s="14" t="n"/>
      <c r="M3" s="14" t="n"/>
      <c r="N3" s="14" t="n"/>
      <c r="O3" s="14" t="n"/>
      <c r="P3" s="14" t="n"/>
      <c r="Q3" s="14" t="n"/>
      <c r="R3" s="14" t="n"/>
      <c r="S3" s="192" t="n"/>
      <c r="T3" s="193" t="n"/>
      <c r="U3" s="193" t="n"/>
      <c r="V3" s="14" t="n"/>
      <c r="W3" s="44" t="n"/>
      <c r="X3" s="14" t="n"/>
      <c r="Y3" s="14" t="n"/>
      <c r="Z3" s="14" t="n"/>
      <c r="AA3" s="14" t="n"/>
      <c r="AB3" s="316" t="n"/>
      <c r="AC3" s="14" t="n"/>
      <c r="AD3" s="14" t="n"/>
      <c r="AE3" s="124" t="inlineStr">
        <is>
          <t>LD max of OV</t>
        </is>
      </c>
      <c r="AF3" s="324" t="n"/>
      <c r="AG3" s="55" t="n"/>
      <c r="AH3" s="55" t="n"/>
      <c r="AI3" s="55" t="n"/>
      <c r="AJ3" s="55" t="n"/>
      <c r="AK3" s="55" t="n"/>
      <c r="AL3" s="226" t="n"/>
      <c r="AM3" s="368" t="inlineStr">
        <is>
          <t>Days</t>
        </is>
      </c>
      <c r="AN3" s="396" t="n"/>
      <c r="AO3" s="396" t="n"/>
      <c r="AP3" s="396" t="n"/>
      <c r="AQ3" s="396" t="n"/>
      <c r="AR3" s="396" t="n"/>
      <c r="AS3" s="388" t="n"/>
      <c r="AT3" s="403">
        <f>IF(AT2="Day",1,IF(AT2="Week",7,IF(AT2="2Day",2,IF(AT2="3Day",3,""))))</f>
        <v/>
      </c>
      <c r="AU3" s="396" t="n"/>
      <c r="AV3" s="388" t="n"/>
      <c r="AW3" s="56" t="n"/>
      <c r="AX3" s="400" t="inlineStr">
        <is>
          <t>Weeklyoff setting2 (Office)</t>
        </is>
      </c>
      <c r="AY3" s="396" t="n"/>
      <c r="AZ3" s="396" t="n"/>
      <c r="BA3" s="396" t="n"/>
      <c r="BB3" s="396" t="n"/>
      <c r="BC3" s="396" t="n"/>
      <c r="BD3" s="396" t="n"/>
      <c r="BE3" s="396" t="n"/>
      <c r="BF3" s="388" t="n"/>
      <c r="BG3" s="397" t="inlineStr">
        <is>
          <t>Sat</t>
        </is>
      </c>
      <c r="BH3" s="398" t="n"/>
      <c r="BI3" s="399" t="n"/>
      <c r="BJ3" s="56" t="n"/>
      <c r="BK3" s="56" t="n"/>
      <c r="BL3" s="56" t="n"/>
      <c r="BM3" s="401" t="inlineStr">
        <is>
          <t>Select Date</t>
        </is>
      </c>
      <c r="BN3" s="396" t="n"/>
      <c r="BO3" s="396" t="n"/>
      <c r="BP3" s="396" t="n"/>
      <c r="BQ3" s="396" t="n"/>
      <c r="BR3" s="396" t="n"/>
      <c r="BS3" s="396" t="n"/>
      <c r="BT3" s="388" t="n"/>
      <c r="BU3" s="404" t="inlineStr">
        <is>
          <t>FirstMonth</t>
        </is>
      </c>
      <c r="BV3" s="398" t="n"/>
      <c r="BW3" s="398" t="n"/>
      <c r="BX3" s="398" t="n"/>
      <c r="BY3" s="399" t="n"/>
      <c r="BZ3" s="56" t="n"/>
      <c r="CA3" s="56" t="n"/>
      <c r="CB3" s="56" t="n"/>
      <c r="CC3" s="56" t="n"/>
      <c r="CD3" s="56" t="n"/>
      <c r="CE3" s="56" t="n"/>
      <c r="CF3" s="56" t="n"/>
      <c r="CG3" s="56" t="n"/>
      <c r="CH3" s="56" t="n"/>
      <c r="CI3" s="56" t="n"/>
      <c r="CJ3" s="56" t="n"/>
      <c r="CK3" s="56" t="n"/>
      <c r="CL3" s="56" t="n"/>
      <c r="CM3" s="145" t="n"/>
      <c r="CN3" s="56" t="n"/>
      <c r="CO3" s="382" t="inlineStr">
        <is>
          <t>Actual Plan</t>
        </is>
      </c>
      <c r="CP3" s="396" t="n"/>
      <c r="CQ3" s="396" t="n"/>
      <c r="CR3" s="396" t="n"/>
      <c r="CS3" s="388" t="n"/>
      <c r="CT3" s="56" t="n"/>
      <c r="CU3" s="56" t="n"/>
      <c r="CV3" s="87" t="n"/>
      <c r="CW3" s="87" t="n"/>
      <c r="CX3" s="81" t="n"/>
      <c r="CY3" s="82" t="n"/>
      <c r="CZ3" s="82" t="n"/>
      <c r="DA3" s="82" t="n"/>
      <c r="DB3" s="82" t="n"/>
      <c r="DC3" s="82" t="n"/>
      <c r="DD3" s="92" t="n"/>
      <c r="DE3" s="94">
        <f>IFERROR(DE7/DE6,0)</f>
        <v/>
      </c>
      <c r="DF3" s="94">
        <f>IFERROR(DF7/DF6,0)</f>
        <v/>
      </c>
      <c r="DG3" s="247" t="n"/>
      <c r="DH3" s="246" t="n"/>
      <c r="DI3" s="302" t="n"/>
      <c r="DJ3" s="241" t="n"/>
      <c r="DK3" s="82" t="n"/>
      <c r="DL3" s="83" t="n"/>
      <c r="DM3" s="87" t="n"/>
    </row>
    <row r="4">
      <c r="B4" s="23" t="inlineStr">
        <is>
          <t>IMS Doc Name</t>
        </is>
      </c>
      <c r="C4" s="24" t="inlineStr">
        <is>
          <t>FOX/IA/SALES/019 : Lead Time Chart</t>
        </is>
      </c>
      <c r="D4" s="25" t="n"/>
      <c r="E4" s="26" t="inlineStr">
        <is>
          <t>Ver</t>
        </is>
      </c>
      <c r="F4" s="213">
        <f>ReadMe!H1</f>
        <v/>
      </c>
      <c r="G4" s="27" t="n"/>
      <c r="H4" s="27" t="n"/>
      <c r="I4" s="27" t="n"/>
      <c r="J4" s="28" t="n"/>
      <c r="K4" s="28" t="n"/>
      <c r="L4" s="28" t="n"/>
      <c r="M4" s="28" t="n"/>
      <c r="N4" s="28" t="n"/>
      <c r="O4" s="28" t="n"/>
      <c r="P4" s="28" t="n"/>
      <c r="Q4" s="28" t="n"/>
      <c r="R4" s="14" t="n"/>
      <c r="S4" s="14" t="n"/>
      <c r="T4" s="14" t="n"/>
      <c r="U4" s="14" t="n"/>
      <c r="V4" s="14" t="n"/>
      <c r="W4" s="27" t="n"/>
      <c r="X4" s="28" t="n"/>
      <c r="Y4" s="28" t="n"/>
      <c r="Z4" s="28" t="n"/>
      <c r="AA4" s="28" t="n"/>
      <c r="AB4" s="317" t="n"/>
      <c r="AC4" s="14" t="n"/>
      <c r="AD4" s="14" t="n"/>
      <c r="AE4" s="124" t="inlineStr">
        <is>
          <t>LD remarks</t>
        </is>
      </c>
      <c r="AF4" s="325" t="n"/>
      <c r="AG4" s="14" t="n"/>
      <c r="AH4" s="14" t="n"/>
      <c r="AI4" s="14" t="n"/>
      <c r="AJ4" s="14" t="n"/>
      <c r="AK4" s="14" t="n"/>
      <c r="AL4" s="226" t="n"/>
      <c r="AM4" s="136">
        <f>IF(OR(AM$6=$BG$2,AM$6=$BG$3),1,"")</f>
        <v/>
      </c>
      <c r="AN4" s="136">
        <f>IF(OR(AN$6=$BG$2,AN$6=$BG$3),1,"")</f>
        <v/>
      </c>
      <c r="AO4" s="136">
        <f>IF(OR(AO$6=$BG$2,AO$6=$BG$3),1,"")</f>
        <v/>
      </c>
      <c r="AP4" s="136">
        <f>IF(OR(AP$6=$BG$2,AP$6=$BG$3),1,"")</f>
        <v/>
      </c>
      <c r="AQ4" s="136">
        <f>IF(OR(AQ$6=$BG$2,AQ$6=$BG$3),1,"")</f>
        <v/>
      </c>
      <c r="AR4" s="136">
        <f>IF(OR(AR$6=$BG$2,AR$6=$BG$3),1,"")</f>
        <v/>
      </c>
      <c r="AS4" s="136">
        <f>IF(OR(AS$6=$BG$2,AS$6=$BG$3),1,"")</f>
        <v/>
      </c>
      <c r="AT4" s="136">
        <f>IF(OR(AT$6=$BG$2,AT$6=$BG$3),1,"")</f>
        <v/>
      </c>
      <c r="AU4" s="136">
        <f>IF(OR(AU$6=$BG$2,AU$6=$BG$3),1,"")</f>
        <v/>
      </c>
      <c r="AV4" s="136">
        <f>IF(OR(AV$6=$BG$2,AV$6=$BG$3),1,"")</f>
        <v/>
      </c>
      <c r="AW4" s="136">
        <f>IF(OR(AW$6=$BG$2,AW$6=$BG$3),1,"")</f>
        <v/>
      </c>
      <c r="AX4" s="136">
        <f>IF(OR(AX$6=$BG$2,AX$6=$BG$3),1,"")</f>
        <v/>
      </c>
      <c r="AY4" s="136">
        <f>IF(OR(AY$6=$BG$2,AY$6=$BG$3),1,"")</f>
        <v/>
      </c>
      <c r="AZ4" s="136">
        <f>IF(OR(AZ$6=$BG$2,AZ$6=$BG$3),1,"")</f>
        <v/>
      </c>
      <c r="BA4" s="136">
        <f>IF(OR(BA$6=$BG$2,BA$6=$BG$3),1,"")</f>
        <v/>
      </c>
      <c r="BB4" s="136">
        <f>IF(OR(BB$6=$BG$2,BB$6=$BG$3),1,"")</f>
        <v/>
      </c>
      <c r="BC4" s="136">
        <f>IF(OR(BC$6=$BG$2,BC$6=$BG$3),1,"")</f>
        <v/>
      </c>
      <c r="BD4" s="136">
        <f>IF(OR(BD$6=$BG$2,BD$6=$BG$3),1,"")</f>
        <v/>
      </c>
      <c r="BE4" s="136">
        <f>IF(OR(BE$6=$BG$2,BE$6=$BG$3),1,"")</f>
        <v/>
      </c>
      <c r="BF4" s="136">
        <f>IF(OR(BF$6=$BG$2,BF$6=$BG$3),1,"")</f>
        <v/>
      </c>
      <c r="BG4" s="136">
        <f>IF(OR(BG$6=$BG$2,BG$6=$BG$3),1,"")</f>
        <v/>
      </c>
      <c r="BH4" s="136">
        <f>IF(OR(BH$6=$BG$2,BH$6=$BG$3),1,"")</f>
        <v/>
      </c>
      <c r="BI4" s="136">
        <f>IF(OR(BI$6=$BG$2,BI$6=$BG$3),1,"")</f>
        <v/>
      </c>
      <c r="BJ4" s="136">
        <f>IF(OR(BJ$6=$BG$2,BJ$6=$BG$3),1,"")</f>
        <v/>
      </c>
      <c r="BK4" s="136">
        <f>IF(OR(BK$6=$BG$2,BK$6=$BG$3),1,"")</f>
        <v/>
      </c>
      <c r="BL4" s="136">
        <f>IF(OR(BL$6=$BG$2,BL$6=$BG$3),1,"")</f>
        <v/>
      </c>
      <c r="BM4" s="136">
        <f>IF(OR(BM$6=$BG$2,BM$6=$BG$3),1,"")</f>
        <v/>
      </c>
      <c r="BN4" s="136">
        <f>IF(OR(BN$6=$BG$2,BN$6=$BG$3),1,"")</f>
        <v/>
      </c>
      <c r="BO4" s="136">
        <f>IF(OR(BO$6=$BG$2,BO$6=$BG$3),1,"")</f>
        <v/>
      </c>
      <c r="BP4" s="136">
        <f>IF(OR(BP$6=$BG$2,BP$6=$BG$3),1,"")</f>
        <v/>
      </c>
      <c r="BQ4" s="136">
        <f>IF(OR(BQ$6=$BG$2,BQ$6=$BG$3),1,"")</f>
        <v/>
      </c>
      <c r="BR4" s="136">
        <f>IF(OR(BR$6=$BG$2,BR$6=$BG$3),1,"")</f>
        <v/>
      </c>
      <c r="BS4" s="136">
        <f>IF(OR(BS$6=$BG$2,BS$6=$BG$3),1,"")</f>
        <v/>
      </c>
      <c r="BT4" s="136">
        <f>IF(OR(BT$6=$BG$2,BT$6=$BG$3),1,"")</f>
        <v/>
      </c>
      <c r="BU4" s="136">
        <f>IF(OR(BU$6=$BG$2,BU$6=$BG$3),1,"")</f>
        <v/>
      </c>
      <c r="BV4" s="136">
        <f>IF(OR(BV$6=$BG$2,BV$6=$BG$3),1,"")</f>
        <v/>
      </c>
      <c r="BW4" s="136">
        <f>IF(OR(BW$6=$BG$2,BW$6=$BG$3),1,"")</f>
        <v/>
      </c>
      <c r="BX4" s="136">
        <f>IF(OR(BX$6=$BG$2,BX$6=$BG$3),1,"")</f>
        <v/>
      </c>
      <c r="BY4" s="136">
        <f>IF(OR(BY$6=$BG$2,BY$6=$BG$3),1,"")</f>
        <v/>
      </c>
      <c r="BZ4" s="136">
        <f>IF(OR(BZ$6=$BG$2,BZ$6=$BG$3),1,"")</f>
        <v/>
      </c>
      <c r="CA4" s="136">
        <f>IF(OR(CA$6=$BG$2,CA$6=$BG$3),1,"")</f>
        <v/>
      </c>
      <c r="CB4" s="136">
        <f>IF(OR(CB$6=$BG$2,CB$6=$BG$3),1,"")</f>
        <v/>
      </c>
      <c r="CC4" s="136">
        <f>IF(OR(CC$6=$BG$2,CC$6=$BG$3),1,"")</f>
        <v/>
      </c>
      <c r="CD4" s="136">
        <f>IF(OR(CD$6=$BG$2,CD$6=$BG$3),1,"")</f>
        <v/>
      </c>
      <c r="CE4" s="136">
        <f>IF(OR(CE$6=$BG$2,CE$6=$BG$3),1,"")</f>
        <v/>
      </c>
      <c r="CF4" s="136">
        <f>IF(OR(CF$6=$BG$2,CF$6=$BG$3),1,"")</f>
        <v/>
      </c>
      <c r="CG4" s="136">
        <f>IF(OR(CG$6=$BG$2,CG$6=$BG$3),1,"")</f>
        <v/>
      </c>
      <c r="CH4" s="136">
        <f>IF(OR(CH$6=$BG$2,CH$6=$BG$3),1,"")</f>
        <v/>
      </c>
      <c r="CI4" s="136">
        <f>IF(OR(CI$6=$BG$2,CI$6=$BG$3),1,"")</f>
        <v/>
      </c>
      <c r="CJ4" s="136">
        <f>IF(OR(CJ$6=$BG$2,CJ$6=$BG$3),1,"")</f>
        <v/>
      </c>
      <c r="CK4" s="136">
        <f>IF(OR(CK$6=$BG$2,CK$6=$BG$3),1,"")</f>
        <v/>
      </c>
      <c r="CL4" s="136">
        <f>IF(OR(CL$6=$BG$2,CL$6=$BG$3),1,"")</f>
        <v/>
      </c>
      <c r="CM4" s="136">
        <f>IF(OR(CM$6=$BG$2,CM$6=$BG$3),1,"")</f>
        <v/>
      </c>
      <c r="CN4" s="136">
        <f>IF(OR(CN$6=$BG$2,CN$6=$BG$3),1,"")</f>
        <v/>
      </c>
      <c r="CO4" s="136">
        <f>IF(OR(CO$6=$BG$2,CO$6=$BG$3),1,"")</f>
        <v/>
      </c>
      <c r="CP4" s="136">
        <f>IF(OR(CP$6=$BG$2,CP$6=$BG$3),1,"")</f>
        <v/>
      </c>
      <c r="CQ4" s="136">
        <f>IF(OR(CQ$6=$BG$2,CQ$6=$BG$3),1,"")</f>
        <v/>
      </c>
      <c r="CR4" s="136">
        <f>IF(OR(CR$6=$BG$2,CR$6=$BG$3),1,"")</f>
        <v/>
      </c>
      <c r="CS4" s="136">
        <f>IF(OR(CS$6=$BG$2,CS$6=$BG$3),1,"")</f>
        <v/>
      </c>
      <c r="CT4" s="136">
        <f>IF(OR(CT$6=$BG$2,CT$6=$BG$3),1,"")</f>
        <v/>
      </c>
      <c r="CU4" s="136">
        <f>IF(OR(CU$6=$BG$2,CU$6=$BG$3),1,"")</f>
        <v/>
      </c>
      <c r="CV4" s="87" t="n"/>
      <c r="CW4" s="87" t="n"/>
      <c r="CX4" s="81" t="n"/>
      <c r="CY4" s="82" t="n"/>
      <c r="CZ4" s="242" t="n"/>
      <c r="DA4" s="242" t="n"/>
      <c r="DB4" s="242" t="n"/>
      <c r="DC4" s="242" t="n"/>
      <c r="DD4" s="242" t="n"/>
      <c r="DE4" s="95" t="inlineStr">
        <is>
          <t>TEfforts</t>
        </is>
      </c>
      <c r="DF4" s="95" t="inlineStr">
        <is>
          <t>TEfforts</t>
        </is>
      </c>
      <c r="DG4" s="82" t="n"/>
      <c r="DH4" s="82" t="n"/>
      <c r="DI4" s="302" t="n"/>
      <c r="DJ4" s="241" t="n"/>
      <c r="DK4" s="82" t="n"/>
      <c r="DL4" s="83" t="n"/>
      <c r="DM4" s="87" t="n"/>
    </row>
    <row r="5" ht="19.95" customHeight="1">
      <c r="B5" s="14" t="n"/>
      <c r="C5" s="27" t="n"/>
      <c r="D5" s="27" t="n"/>
      <c r="E5" s="28" t="n"/>
      <c r="F5" s="28" t="n"/>
      <c r="G5" s="28" t="n"/>
      <c r="H5" s="28" t="n"/>
      <c r="I5" s="28" t="n"/>
      <c r="J5" s="28">
        <f>IFERROR(MATCH($B$1,#REF!,0)+8,"")</f>
        <v/>
      </c>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326" t="n"/>
      <c r="AG5" s="14" t="n"/>
      <c r="AH5" s="14" t="n"/>
      <c r="AI5" s="14" t="n"/>
      <c r="AJ5" s="14" t="n"/>
      <c r="AK5" s="14" t="n"/>
      <c r="AL5" s="226" t="n"/>
      <c r="AM5" s="56" t="n"/>
      <c r="AN5" s="56" t="n"/>
      <c r="AO5" s="56" t="n"/>
      <c r="AP5" s="56" t="n"/>
      <c r="AQ5" s="56" t="n"/>
      <c r="AR5" s="56" t="n"/>
      <c r="AS5" s="56" t="n"/>
      <c r="AT5" s="56" t="n"/>
      <c r="AU5" s="56" t="n"/>
      <c r="AV5" s="56" t="n"/>
      <c r="AW5" s="56" t="n"/>
      <c r="AX5" s="56" t="n"/>
      <c r="AY5" s="56" t="n"/>
      <c r="AZ5" s="56" t="n"/>
      <c r="BA5" s="56" t="n"/>
      <c r="BB5" s="56" t="n"/>
      <c r="BC5" s="56" t="n"/>
      <c r="BD5" s="56" t="n"/>
      <c r="BE5" s="56" t="n"/>
      <c r="BF5" s="56" t="n"/>
      <c r="BG5" s="56" t="n"/>
      <c r="BH5" s="56" t="n"/>
      <c r="BI5" s="56" t="n"/>
      <c r="BJ5" s="56" t="n"/>
      <c r="BK5" s="56" t="n"/>
      <c r="BL5" s="56" t="n"/>
      <c r="BM5" s="56" t="n"/>
      <c r="BN5" s="56" t="n"/>
      <c r="BO5" s="56" t="n"/>
      <c r="BP5" s="56" t="n"/>
      <c r="BQ5" s="56" t="n"/>
      <c r="BR5" s="56" t="n"/>
      <c r="BS5" s="56" t="n"/>
      <c r="BT5" s="56" t="n"/>
      <c r="BU5" s="56" t="n"/>
      <c r="BV5" s="56" t="n"/>
      <c r="BW5" s="56" t="n"/>
      <c r="BX5" s="56" t="n"/>
      <c r="BY5" s="56" t="n"/>
      <c r="BZ5" s="56" t="n"/>
      <c r="CA5" s="56" t="n"/>
      <c r="CB5" s="56" t="n"/>
      <c r="CC5" s="56" t="n"/>
      <c r="CD5" s="56" t="n"/>
      <c r="CE5" s="56" t="n"/>
      <c r="CF5" s="56" t="n"/>
      <c r="CG5" s="56" t="n"/>
      <c r="CH5" s="56" t="n"/>
      <c r="CI5" s="56" t="n"/>
      <c r="CJ5" s="56" t="n"/>
      <c r="CK5" s="56" t="n"/>
      <c r="CL5" s="56" t="n"/>
      <c r="CM5" s="56" t="n"/>
      <c r="CN5" s="56" t="n"/>
      <c r="CO5" s="56" t="n"/>
      <c r="CP5" s="56" t="n"/>
      <c r="CQ5" s="56" t="n"/>
      <c r="CR5" s="56" t="n"/>
      <c r="CS5" s="56" t="n"/>
      <c r="CT5" s="56" t="n"/>
      <c r="CU5" s="56" t="n"/>
      <c r="CV5" s="87" t="n"/>
      <c r="CW5" s="87" t="n"/>
      <c r="CX5" s="81" t="n"/>
      <c r="CY5" s="82" t="n"/>
      <c r="CZ5" s="82" t="n"/>
      <c r="DA5" s="82" t="n"/>
      <c r="DB5" s="82" t="n"/>
      <c r="DC5" s="82" t="n"/>
      <c r="DD5" s="82" t="n"/>
      <c r="DE5" s="96" t="n"/>
      <c r="DF5" s="96" t="n"/>
      <c r="DG5" s="82" t="n"/>
      <c r="DH5" s="82" t="n"/>
      <c r="DI5" s="302" t="n"/>
      <c r="DJ5" s="241" t="n"/>
      <c r="DK5" s="82" t="n"/>
      <c r="DL5" s="83" t="n"/>
      <c r="DM5" s="87" t="n"/>
    </row>
    <row r="6" ht="19.5" customHeight="1" thickBot="1">
      <c r="B6" s="14" t="n"/>
      <c r="C6" s="14" t="n"/>
      <c r="D6" s="14" t="n"/>
      <c r="E6" s="29" t="inlineStr">
        <is>
          <t>BFT</t>
        </is>
      </c>
      <c r="F6" s="29" t="inlineStr">
        <is>
          <t>Ph</t>
        </is>
      </c>
      <c r="G6" s="29" t="inlineStr">
        <is>
          <t>TFO</t>
        </is>
      </c>
      <c r="H6" s="30" t="inlineStr">
        <is>
          <t>Phase ID</t>
        </is>
      </c>
      <c r="I6" s="38" t="inlineStr">
        <is>
          <t>Task Description</t>
        </is>
      </c>
      <c r="J6" s="39" t="inlineStr">
        <is>
          <t>Revised</t>
        </is>
      </c>
      <c r="K6" s="40" t="inlineStr">
        <is>
          <t>Plan-1</t>
        </is>
      </c>
      <c r="L6" s="39" t="inlineStr">
        <is>
          <t>Revised</t>
        </is>
      </c>
      <c r="M6" s="40" t="inlineStr">
        <is>
          <t>Plan-2</t>
        </is>
      </c>
      <c r="N6" s="39" t="inlineStr">
        <is>
          <t>Revised</t>
        </is>
      </c>
      <c r="O6" s="40" t="inlineStr">
        <is>
          <t>Plan-3</t>
        </is>
      </c>
      <c r="P6" s="39" t="inlineStr">
        <is>
          <t>Original</t>
        </is>
      </c>
      <c r="Q6" s="45" t="inlineStr">
        <is>
          <t>Plan</t>
        </is>
      </c>
      <c r="R6" s="36" t="inlineStr">
        <is>
          <t>Ref</t>
        </is>
      </c>
      <c r="S6" s="361" t="inlineStr">
        <is>
          <t>Lead Time</t>
        </is>
      </c>
      <c r="T6" s="362" t="inlineStr">
        <is>
          <t>Intlk</t>
        </is>
      </c>
      <c r="U6" s="363" t="inlineStr">
        <is>
          <t>Effort Days</t>
        </is>
      </c>
      <c r="V6" s="39" t="inlineStr">
        <is>
          <t>Current</t>
        </is>
      </c>
      <c r="W6" s="45" t="inlineStr">
        <is>
          <t>Plan</t>
        </is>
      </c>
      <c r="X6" s="39" t="inlineStr">
        <is>
          <t>Actual</t>
        </is>
      </c>
      <c r="Y6" s="45" t="inlineStr">
        <is>
          <t>Dates</t>
        </is>
      </c>
      <c r="Z6" s="77" t="n"/>
      <c r="AA6" s="76" t="n"/>
      <c r="AB6" s="76" t="n"/>
      <c r="AC6" s="14" t="n"/>
      <c r="AD6" s="14" t="n"/>
      <c r="AE6" s="140" t="inlineStr">
        <is>
          <t>Warranty</t>
        </is>
      </c>
      <c r="AF6" s="327" t="inlineStr">
        <is>
          <t>Warranty of 24 Months from the date of Supply or 12 Months from the date of commissioning whichever is earlier</t>
        </is>
      </c>
      <c r="AG6" s="52" t="inlineStr">
        <is>
          <t>Scope</t>
        </is>
      </c>
      <c r="AH6" s="52" t="inlineStr">
        <is>
          <t>Scope</t>
        </is>
      </c>
      <c r="AI6" s="52" t="inlineStr">
        <is>
          <t>Scope</t>
        </is>
      </c>
      <c r="AJ6" s="52" t="inlineStr">
        <is>
          <t>Scope</t>
        </is>
      </c>
      <c r="AK6" s="57" t="inlineStr">
        <is>
          <t>Scope</t>
        </is>
      </c>
      <c r="AL6" s="226" t="n"/>
      <c r="AM6" s="224">
        <f>IFERROR(INDEX({"Sun","Mon","Tue","Wed","Thus","Fri","Sat"},WEEKDAY(AM7)),"")</f>
        <v/>
      </c>
      <c r="AN6" s="135">
        <f>IFERROR(INDEX({"Sun","Mon","Tue","Wed","Thus","Fri","Sat"},WEEKDAY(AN7)),"")</f>
        <v/>
      </c>
      <c r="AO6" s="135">
        <f>IFERROR(INDEX({"Sun","Mon","Tue","Wed","Thus","Fri","Sat"},WEEKDAY(AO7)),"")</f>
        <v/>
      </c>
      <c r="AP6" s="135">
        <f>IFERROR(INDEX({"Sun","Mon","Tue","Wed","Thus","Fri","Sat"},WEEKDAY(AP7)),"")</f>
        <v/>
      </c>
      <c r="AQ6" s="135">
        <f>IFERROR(INDEX({"Sun","Mon","Tue","Wed","Thus","Fri","Sat"},WEEKDAY(AQ7)),"")</f>
        <v/>
      </c>
      <c r="AR6" s="135">
        <f>IFERROR(INDEX({"Sun","Mon","Tue","Wed","Thus","Fri","Sat"},WEEKDAY(AR7)),"")</f>
        <v/>
      </c>
      <c r="AS6" s="135">
        <f>IFERROR(INDEX({"Sun","Mon","Tue","Wed","Thus","Fri","Sat"},WEEKDAY(AS7)),"")</f>
        <v/>
      </c>
      <c r="AT6" s="135">
        <f>IFERROR(INDEX({"Sun","Mon","Tue","Wed","Thus","Fri","Sat"},WEEKDAY(AT7)),"")</f>
        <v/>
      </c>
      <c r="AU6" s="135">
        <f>IFERROR(INDEX({"Sun","Mon","Tue","Wed","Thus","Fri","Sat"},WEEKDAY(AU7)),"")</f>
        <v/>
      </c>
      <c r="AV6" s="135">
        <f>IFERROR(INDEX({"Sun","Mon","Tue","Wed","Thus","Fri","Sat"},WEEKDAY(AV7)),"")</f>
        <v/>
      </c>
      <c r="AW6" s="135">
        <f>IFERROR(INDEX({"Sun","Mon","Tue","Wed","Thus","Fri","Sat"},WEEKDAY(AW7)),"")</f>
        <v/>
      </c>
      <c r="AX6" s="135">
        <f>IFERROR(INDEX({"Sun","Mon","Tue","Wed","Thus","Fri","Sat"},WEEKDAY(AX7)),"")</f>
        <v/>
      </c>
      <c r="AY6" s="135">
        <f>IFERROR(INDEX({"Sun","Mon","Tue","Wed","Thus","Fri","Sat"},WEEKDAY(AY7)),"")</f>
        <v/>
      </c>
      <c r="AZ6" s="135">
        <f>IFERROR(INDEX({"Sun","Mon","Tue","Wed","Thus","Fri","Sat"},WEEKDAY(AZ7)),"")</f>
        <v/>
      </c>
      <c r="BA6" s="135">
        <f>IFERROR(INDEX({"Sun","Mon","Tue","Wed","Thus","Fri","Sat"},WEEKDAY(BA7)),"")</f>
        <v/>
      </c>
      <c r="BB6" s="135">
        <f>IFERROR(INDEX({"Sun","Mon","Tue","Wed","Thus","Fri","Sat"},WEEKDAY(BB7)),"")</f>
        <v/>
      </c>
      <c r="BC6" s="135">
        <f>IFERROR(INDEX({"Sun","Mon","Tue","Wed","Thus","Fri","Sat"},WEEKDAY(BC7)),"")</f>
        <v/>
      </c>
      <c r="BD6" s="135">
        <f>IFERROR(INDEX({"Sun","Mon","Tue","Wed","Thus","Fri","Sat"},WEEKDAY(BD7)),"")</f>
        <v/>
      </c>
      <c r="BE6" s="135">
        <f>IFERROR(INDEX({"Sun","Mon","Tue","Wed","Thus","Fri","Sat"},WEEKDAY(BE7)),"")</f>
        <v/>
      </c>
      <c r="BF6" s="135">
        <f>IFERROR(INDEX({"Sun","Mon","Tue","Wed","Thus","Fri","Sat"},WEEKDAY(BF7)),"")</f>
        <v/>
      </c>
      <c r="BG6" s="135">
        <f>IFERROR(INDEX({"Sun","Mon","Tue","Wed","Thus","Fri","Sat"},WEEKDAY(BG7)),"")</f>
        <v/>
      </c>
      <c r="BH6" s="135">
        <f>IFERROR(INDEX({"Sun","Mon","Tue","Wed","Thus","Fri","Sat"},WEEKDAY(BH7)),"")</f>
        <v/>
      </c>
      <c r="BI6" s="135">
        <f>IFERROR(INDEX({"Sun","Mon","Tue","Wed","Thus","Fri","Sat"},WEEKDAY(BI7)),"")</f>
        <v/>
      </c>
      <c r="BJ6" s="135">
        <f>IFERROR(INDEX({"Sun","Mon","Tue","Wed","Thus","Fri","Sat"},WEEKDAY(BJ7)),"")</f>
        <v/>
      </c>
      <c r="BK6" s="135">
        <f>IFERROR(INDEX({"Sun","Mon","Tue","Wed","Thus","Fri","Sat"},WEEKDAY(BK7)),"")</f>
        <v/>
      </c>
      <c r="BL6" s="135">
        <f>IFERROR(INDEX({"Sun","Mon","Tue","Wed","Thus","Fri","Sat"},WEEKDAY(BL7)),"")</f>
        <v/>
      </c>
      <c r="BM6" s="135">
        <f>IFERROR(INDEX({"Sun","Mon","Tue","Wed","Thus","Fri","Sat"},WEEKDAY(BM7)),"")</f>
        <v/>
      </c>
      <c r="BN6" s="135">
        <f>IFERROR(INDEX({"Sun","Mon","Tue","Wed","Thus","Fri","Sat"},WEEKDAY(BN7)),"")</f>
        <v/>
      </c>
      <c r="BO6" s="135">
        <f>IFERROR(INDEX({"Sun","Mon","Tue","Wed","Thus","Fri","Sat"},WEEKDAY(BO7)),"")</f>
        <v/>
      </c>
      <c r="BP6" s="135">
        <f>IFERROR(INDEX({"Sun","Mon","Tue","Wed","Thus","Fri","Sat"},WEEKDAY(BP7)),"")</f>
        <v/>
      </c>
      <c r="BQ6" s="135">
        <f>IFERROR(INDEX({"Sun","Mon","Tue","Wed","Thus","Fri","Sat"},WEEKDAY(BQ7)),"")</f>
        <v/>
      </c>
      <c r="BR6" s="135">
        <f>IFERROR(INDEX({"Sun","Mon","Tue","Wed","Thus","Fri","Sat"},WEEKDAY(BR7)),"")</f>
        <v/>
      </c>
      <c r="BS6" s="135">
        <f>IFERROR(INDEX({"Sun","Mon","Tue","Wed","Thus","Fri","Sat"},WEEKDAY(BS7)),"")</f>
        <v/>
      </c>
      <c r="BT6" s="135">
        <f>IFERROR(INDEX({"Sun","Mon","Tue","Wed","Thus","Fri","Sat"},WEEKDAY(BT7)),"")</f>
        <v/>
      </c>
      <c r="BU6" s="135">
        <f>IFERROR(INDEX({"Sun","Mon","Tue","Wed","Thus","Fri","Sat"},WEEKDAY(BU7)),"")</f>
        <v/>
      </c>
      <c r="BV6" s="135">
        <f>IFERROR(INDEX({"Sun","Mon","Tue","Wed","Thus","Fri","Sat"},WEEKDAY(BV7)),"")</f>
        <v/>
      </c>
      <c r="BW6" s="135">
        <f>IFERROR(INDEX({"Sun","Mon","Tue","Wed","Thus","Fri","Sat"},WEEKDAY(BW7)),"")</f>
        <v/>
      </c>
      <c r="BX6" s="135">
        <f>IFERROR(INDEX({"Sun","Mon","Tue","Wed","Thus","Fri","Sat"},WEEKDAY(BX7)),"")</f>
        <v/>
      </c>
      <c r="BY6" s="135">
        <f>IFERROR(INDEX({"Sun","Mon","Tue","Wed","Thus","Fri","Sat"},WEEKDAY(BY7)),"")</f>
        <v/>
      </c>
      <c r="BZ6" s="135">
        <f>IFERROR(INDEX({"Sun","Mon","Tue","Wed","Thus","Fri","Sat"},WEEKDAY(BZ7)),"")</f>
        <v/>
      </c>
      <c r="CA6" s="135">
        <f>IFERROR(INDEX({"Sun","Mon","Tue","Wed","Thus","Fri","Sat"},WEEKDAY(CA7)),"")</f>
        <v/>
      </c>
      <c r="CB6" s="135">
        <f>IFERROR(INDEX({"Sun","Mon","Tue","Wed","Thus","Fri","Sat"},WEEKDAY(CB7)),"")</f>
        <v/>
      </c>
      <c r="CC6" s="135">
        <f>IFERROR(INDEX({"Sun","Mon","Tue","Wed","Thus","Fri","Sat"},WEEKDAY(CC7)),"")</f>
        <v/>
      </c>
      <c r="CD6" s="135">
        <f>IFERROR(INDEX({"Sun","Mon","Tue","Wed","Thus","Fri","Sat"},WEEKDAY(CD7)),"")</f>
        <v/>
      </c>
      <c r="CE6" s="135">
        <f>IFERROR(INDEX({"Sun","Mon","Tue","Wed","Thus","Fri","Sat"},WEEKDAY(CE7)),"")</f>
        <v/>
      </c>
      <c r="CF6" s="135">
        <f>IFERROR(INDEX({"Sun","Mon","Tue","Wed","Thus","Fri","Sat"},WEEKDAY(CF7)),"")</f>
        <v/>
      </c>
      <c r="CG6" s="135">
        <f>IFERROR(INDEX({"Sun","Mon","Tue","Wed","Thus","Fri","Sat"},WEEKDAY(CG7)),"")</f>
        <v/>
      </c>
      <c r="CH6" s="135">
        <f>IFERROR(INDEX({"Sun","Mon","Tue","Wed","Thus","Fri","Sat"},WEEKDAY(CH7)),"")</f>
        <v/>
      </c>
      <c r="CI6" s="135">
        <f>IFERROR(INDEX({"Sun","Mon","Tue","Wed","Thus","Fri","Sat"},WEEKDAY(CI7)),"")</f>
        <v/>
      </c>
      <c r="CJ6" s="135">
        <f>IFERROR(INDEX({"Sun","Mon","Tue","Wed","Thus","Fri","Sat"},WEEKDAY(CJ7)),"")</f>
        <v/>
      </c>
      <c r="CK6" s="135">
        <f>IFERROR(INDEX({"Sun","Mon","Tue","Wed","Thus","Fri","Sat"},WEEKDAY(CK7)),"")</f>
        <v/>
      </c>
      <c r="CL6" s="135">
        <f>IFERROR(INDEX({"Sun","Mon","Tue","Wed","Thus","Fri","Sat"},WEEKDAY(CL7)),"")</f>
        <v/>
      </c>
      <c r="CM6" s="135">
        <f>IFERROR(INDEX({"Sun","Mon","Tue","Wed","Thus","Fri","Sat"},WEEKDAY(CM7)),"")</f>
        <v/>
      </c>
      <c r="CN6" s="135">
        <f>IFERROR(INDEX({"Sun","Mon","Tue","Wed","Thus","Fri","Sat"},WEEKDAY(CN7)),"")</f>
        <v/>
      </c>
      <c r="CO6" s="135">
        <f>IFERROR(INDEX({"Sun","Mon","Tue","Wed","Thus","Fri","Sat"},WEEKDAY(CO7)),"")</f>
        <v/>
      </c>
      <c r="CP6" s="135">
        <f>IFERROR(INDEX({"Sun","Mon","Tue","Wed","Thus","Fri","Sat"},WEEKDAY(CP7)),"")</f>
        <v/>
      </c>
      <c r="CQ6" s="135">
        <f>IFERROR(INDEX({"Sun","Mon","Tue","Wed","Thus","Fri","Sat"},WEEKDAY(CQ7)),"")</f>
        <v/>
      </c>
      <c r="CR6" s="135">
        <f>IFERROR(INDEX({"Sun","Mon","Tue","Wed","Thus","Fri","Sat"},WEEKDAY(CR7)),"")</f>
        <v/>
      </c>
      <c r="CS6" s="135">
        <f>IFERROR(INDEX({"Sun","Mon","Tue","Wed","Thus","Fri","Sat"},WEEKDAY(CS7)),"")</f>
        <v/>
      </c>
      <c r="CT6" s="135">
        <f>IFERROR(INDEX({"Sun","Mon","Tue","Wed","Thus","Fri","Sat"},WEEKDAY(CT7)),"")</f>
        <v/>
      </c>
      <c r="CU6" s="135">
        <f>IFERROR(INDEX({"Sun","Mon","Tue","Wed","Thus","Fri","Sat"},WEEKDAY(CU7)),"")</f>
        <v/>
      </c>
      <c r="CV6" s="87" t="n"/>
      <c r="CW6" s="87" t="n"/>
      <c r="CX6" s="81" t="n"/>
      <c r="CY6" s="243" t="n"/>
      <c r="CZ6" s="241" t="n"/>
      <c r="DA6" s="241" t="n"/>
      <c r="DB6" s="243" t="n"/>
      <c r="DC6" s="241" t="n"/>
      <c r="DD6" s="241" t="n"/>
      <c r="DE6" s="405">
        <f>SUMIF(G:G,"SW",DG:DG)</f>
        <v/>
      </c>
      <c r="DF6" s="97">
        <f>SUMIF(G:G,"EC",DG:DG)</f>
        <v/>
      </c>
      <c r="DG6" s="300" t="n"/>
      <c r="DH6" s="299" t="n"/>
      <c r="DI6" s="302" t="n"/>
      <c r="DJ6" s="241" t="n"/>
      <c r="DK6" s="82" t="n"/>
      <c r="DL6" s="83" t="n"/>
      <c r="DM6" s="87" t="n"/>
    </row>
    <row r="7" ht="28.5" customHeight="1" thickBot="1">
      <c r="B7" s="14" t="n"/>
      <c r="C7" s="31" t="inlineStr">
        <is>
          <t>*Compulsory field</t>
        </is>
      </c>
      <c r="D7" s="90" t="inlineStr">
        <is>
          <t>SWE</t>
        </is>
      </c>
      <c r="E7" s="361" t="inlineStr">
        <is>
          <t>Buffer Time</t>
        </is>
      </c>
      <c r="F7" s="363" t="inlineStr">
        <is>
          <t>Ph</t>
        </is>
      </c>
      <c r="G7" s="363" t="inlineStr">
        <is>
          <t>TFO</t>
        </is>
      </c>
      <c r="H7" s="363" t="inlineStr">
        <is>
          <t>Phase ID</t>
        </is>
      </c>
      <c r="I7" s="363" t="inlineStr">
        <is>
          <t>Task Description</t>
        </is>
      </c>
      <c r="J7" s="41" t="inlineStr">
        <is>
          <t>Start
Date</t>
        </is>
      </c>
      <c r="K7" s="41" t="inlineStr">
        <is>
          <t>End 
Date</t>
        </is>
      </c>
      <c r="L7" s="363" t="inlineStr">
        <is>
          <t>Start
Date</t>
        </is>
      </c>
      <c r="M7" s="363" t="inlineStr">
        <is>
          <t>End 
Date</t>
        </is>
      </c>
      <c r="N7" s="363" t="inlineStr">
        <is>
          <t>Start
Date</t>
        </is>
      </c>
      <c r="O7" s="363" t="inlineStr">
        <is>
          <t>End 
Date</t>
        </is>
      </c>
      <c r="P7" s="363" t="inlineStr">
        <is>
          <t>Start
Date</t>
        </is>
      </c>
      <c r="Q7" s="46" t="inlineStr">
        <is>
          <t>End 
Date</t>
        </is>
      </c>
      <c r="R7" s="47" t="inlineStr">
        <is>
          <t>Lead Time</t>
        </is>
      </c>
      <c r="S7" s="406" t="n"/>
      <c r="T7" s="407" t="n"/>
      <c r="U7" s="407" t="n"/>
      <c r="V7" s="363" t="inlineStr">
        <is>
          <t>Start
 Date</t>
        </is>
      </c>
      <c r="W7" s="363" t="inlineStr">
        <is>
          <t>End 
Date</t>
        </is>
      </c>
      <c r="X7" s="363" t="inlineStr">
        <is>
          <t>Start
 Date</t>
        </is>
      </c>
      <c r="Y7" s="363" t="inlineStr">
        <is>
          <t>End 
Date</t>
        </is>
      </c>
      <c r="Z7" s="41" t="inlineStr">
        <is>
          <t>% Complete</t>
        </is>
      </c>
      <c r="AA7" s="41" t="inlineStr">
        <is>
          <t>Exptd % Complete</t>
        </is>
      </c>
      <c r="AB7" s="41" t="inlineStr">
        <is>
          <t>Alert Date for 80%</t>
        </is>
      </c>
      <c r="AC7" s="14" t="n"/>
      <c r="AD7" s="249" t="inlineStr">
        <is>
          <t>Help required from</t>
        </is>
      </c>
      <c r="AE7" s="14" t="n"/>
      <c r="AF7" s="41" t="inlineStr">
        <is>
          <t>Remark</t>
        </is>
      </c>
      <c r="AG7" s="53" t="inlineStr">
        <is>
          <t>HW</t>
        </is>
      </c>
      <c r="AH7" s="53" t="inlineStr">
        <is>
          <t>SW</t>
        </is>
      </c>
      <c r="AI7" s="53" t="inlineStr">
        <is>
          <t>MFG</t>
        </is>
      </c>
      <c r="AJ7" s="53" t="inlineStr">
        <is>
          <t>Inst</t>
        </is>
      </c>
      <c r="AK7" s="53" t="inlineStr">
        <is>
          <t>COM</t>
        </is>
      </c>
      <c r="AL7" s="137" t="inlineStr">
        <is>
          <t>% Compl</t>
        </is>
      </c>
      <c r="AM7" s="408">
        <f>IF(WEEKDAY(MIN(V9:V55))&lt;&gt;7,IF($BU$3="SecondMonth",MIN(V9:V55)+30,MIN(V9:V55)-(WEEKDAY(MIN(V9:V55))-1)),IF($BU$3="SecondMonth",MIN(V9:V55)+30,MIN(V9:V55)-(WEEKDAY(MIN(V9:V55))-1)))</f>
        <v/>
      </c>
      <c r="AN7" s="409">
        <f>IF(AM7&lt;$BU$2,AM7+$AT$3,"")</f>
        <v/>
      </c>
      <c r="AO7" s="409">
        <f>IF(AN7&lt;$BU$2,AN7+$AT$3,"")</f>
        <v/>
      </c>
      <c r="AP7" s="409">
        <f>IF(AO7&lt;$BU$2,AO7+$AT$3,"")</f>
        <v/>
      </c>
      <c r="AQ7" s="409">
        <f>IF(AP7&lt;$BU$2,AP7+$AT$3,"")</f>
        <v/>
      </c>
      <c r="AR7" s="409">
        <f>IF(AQ7&lt;$BU$2,AQ7+$AT$3,"")</f>
        <v/>
      </c>
      <c r="AS7" s="409">
        <f>IF(AR7&lt;$BU$2,AR7+$AT$3,"")</f>
        <v/>
      </c>
      <c r="AT7" s="409">
        <f>IF(AS7&lt;$BU$2,AS7+$AT$3,"")</f>
        <v/>
      </c>
      <c r="AU7" s="409">
        <f>IF(AT7&lt;$BU$2,AT7+$AT$3,"")</f>
        <v/>
      </c>
      <c r="AV7" s="409">
        <f>IF(AU7&lt;$BU$2,AU7+$AT$3,"")</f>
        <v/>
      </c>
      <c r="AW7" s="409">
        <f>IF(AV7&lt;$BU$2,AV7+$AT$3,"")</f>
        <v/>
      </c>
      <c r="AX7" s="409">
        <f>IF(AW7&lt;$BU$2,AW7+$AT$3,"")</f>
        <v/>
      </c>
      <c r="AY7" s="409">
        <f>IF(AX7&lt;$BU$2,AX7+$AT$3,"")</f>
        <v/>
      </c>
      <c r="AZ7" s="409">
        <f>IF(AY7&lt;$BU$2,AY7+$AT$3,"")</f>
        <v/>
      </c>
      <c r="BA7" s="409">
        <f>IF(AZ7&lt;$BU$2,AZ7+$AT$3,"")</f>
        <v/>
      </c>
      <c r="BB7" s="409">
        <f>IF(BA7&lt;$BU$2,BA7+$AT$3,"")</f>
        <v/>
      </c>
      <c r="BC7" s="409">
        <f>IF(BB7&lt;$BU$2,BB7+$AT$3,"")</f>
        <v/>
      </c>
      <c r="BD7" s="409">
        <f>IF(BC7&lt;$BU$2,BC7+$AT$3,"")</f>
        <v/>
      </c>
      <c r="BE7" s="409">
        <f>IF(BD7&lt;$BU$2,BD7+$AT$3,"")</f>
        <v/>
      </c>
      <c r="BF7" s="409">
        <f>IF(BE7&lt;$BU$2,BE7+$AT$3,"")</f>
        <v/>
      </c>
      <c r="BG7" s="409">
        <f>IF(BF7&lt;$BU$2,BF7+$AT$3,"")</f>
        <v/>
      </c>
      <c r="BH7" s="409">
        <f>IF(BG7&lt;$BU$2,BG7+$AT$3,"")</f>
        <v/>
      </c>
      <c r="BI7" s="409">
        <f>IF(BH7&lt;$BU$2,BH7+$AT$3,"")</f>
        <v/>
      </c>
      <c r="BJ7" s="409">
        <f>IF(BI7&lt;$BU$2,BI7+$AT$3,"")</f>
        <v/>
      </c>
      <c r="BK7" s="409">
        <f>IF(BJ7&lt;$BU$2,BJ7+$AT$3,"")</f>
        <v/>
      </c>
      <c r="BL7" s="409">
        <f>IF(BK7&lt;$BU$2,BK7+$AT$3,"")</f>
        <v/>
      </c>
      <c r="BM7" s="409">
        <f>IF(BL7&lt;$BU$2,BL7+$AT$3,"")</f>
        <v/>
      </c>
      <c r="BN7" s="409">
        <f>IF(BM7&lt;$BU$2,BM7+$AT$3,"")</f>
        <v/>
      </c>
      <c r="BO7" s="409">
        <f>IF(BN7&lt;$BU$2,BN7+$AT$3,"")</f>
        <v/>
      </c>
      <c r="BP7" s="409">
        <f>IF(BO7&lt;$BU$2,BO7+$AT$3,"")</f>
        <v/>
      </c>
      <c r="BQ7" s="409">
        <f>IF(BP7&lt;$BU$2,BP7+$AT$3,"")</f>
        <v/>
      </c>
      <c r="BR7" s="409">
        <f>IF(BQ7&lt;$BU$2,BQ7+$AT$3,"")</f>
        <v/>
      </c>
      <c r="BS7" s="409">
        <f>IF(BR7&lt;$BU$2,BR7+$AT$3,"")</f>
        <v/>
      </c>
      <c r="BT7" s="409">
        <f>IF(BS7&lt;$BU$2,BS7+$AT$3,"")</f>
        <v/>
      </c>
      <c r="BU7" s="409">
        <f>IF(BT7&lt;$BU$2,BT7+$AT$3,"")</f>
        <v/>
      </c>
      <c r="BV7" s="409">
        <f>IF(BU7&lt;$BU$2,BU7+$AT$3,"")</f>
        <v/>
      </c>
      <c r="BW7" s="409">
        <f>IF(BV7&lt;$BU$2,BV7+$AT$3,"")</f>
        <v/>
      </c>
      <c r="BX7" s="409">
        <f>IF(BW7&lt;$BU$2,BW7+$AT$3,"")</f>
        <v/>
      </c>
      <c r="BY7" s="409">
        <f>IF(BX7&lt;$BU$2,BX7+$AT$3,"")</f>
        <v/>
      </c>
      <c r="BZ7" s="409">
        <f>IF(BY7&lt;$BU$2,BY7+$AT$3,"")</f>
        <v/>
      </c>
      <c r="CA7" s="409">
        <f>IF(BZ7&lt;$BU$2,BZ7+$AT$3,"")</f>
        <v/>
      </c>
      <c r="CB7" s="409">
        <f>IF(CA7&lt;$BU$2,CA7+$AT$3,"")</f>
        <v/>
      </c>
      <c r="CC7" s="409">
        <f>IF(CB7&lt;$BU$2,CB7+$AT$3,"")</f>
        <v/>
      </c>
      <c r="CD7" s="409">
        <f>IF(CC7&lt;$BU$2,CC7+$AT$3,"")</f>
        <v/>
      </c>
      <c r="CE7" s="409">
        <f>IF(CD7&lt;$BU$2,CD7+$AT$3,"")</f>
        <v/>
      </c>
      <c r="CF7" s="409">
        <f>IF(CE7&lt;$BU$2,CE7+$AT$3,"")</f>
        <v/>
      </c>
      <c r="CG7" s="409">
        <f>IF(CF7&lt;$BU$2,CF7+$AT$3,"")</f>
        <v/>
      </c>
      <c r="CH7" s="409">
        <f>IF(CG7&lt;$BU$2,CG7+$AT$3,"")</f>
        <v/>
      </c>
      <c r="CI7" s="409">
        <f>IF(CH7&lt;$BU$2,CH7+$AT$3,"")</f>
        <v/>
      </c>
      <c r="CJ7" s="409">
        <f>IF(CI7&lt;$BU$2,CI7+$AT$3,"")</f>
        <v/>
      </c>
      <c r="CK7" s="409">
        <f>IF(CJ7&lt;$BU$2,CJ7+$AT$3,"")</f>
        <v/>
      </c>
      <c r="CL7" s="409">
        <f>IF(CK7&lt;$BU$2,CK7+$AT$3,"")</f>
        <v/>
      </c>
      <c r="CM7" s="409">
        <f>IF(CL7&lt;$BU$2,CL7+$AT$3,"")</f>
        <v/>
      </c>
      <c r="CN7" s="409">
        <f>IF(CM7&lt;$BU$2,CM7+$AT$3,"")</f>
        <v/>
      </c>
      <c r="CO7" s="409">
        <f>IF(CN7&lt;$BU$2,CN7+$AT$3,"")</f>
        <v/>
      </c>
      <c r="CP7" s="409">
        <f>IF(CO7&lt;$BU$2,CO7+$AT$3,"")</f>
        <v/>
      </c>
      <c r="CQ7" s="409">
        <f>IF(CP7&lt;$BU$2,CP7+$AT$3,"")</f>
        <v/>
      </c>
      <c r="CR7" s="409">
        <f>IF(CQ7&lt;$BU$2,CQ7+$AT$3,"")</f>
        <v/>
      </c>
      <c r="CS7" s="409">
        <f>IF(CR7&lt;$BU$2,CR7+$AT$3,"")</f>
        <v/>
      </c>
      <c r="CT7" s="409">
        <f>IF(CS7&lt;$BU$2,CS7+$AT$3,"")</f>
        <v/>
      </c>
      <c r="CU7" s="409">
        <f>IF(CT7&lt;$BU$2,CT7+$AT$3,"")</f>
        <v/>
      </c>
      <c r="CV7" s="87" t="n"/>
      <c r="CW7" s="87" t="n"/>
      <c r="CX7" s="81" t="n"/>
      <c r="CY7" s="243" t="n"/>
      <c r="CZ7" s="241" t="n"/>
      <c r="DA7" s="241" t="n"/>
      <c r="DB7" s="243" t="n"/>
      <c r="DC7" s="241" t="n"/>
      <c r="DD7" s="241" t="n"/>
      <c r="DE7" s="204">
        <f>SUMIF(G9:G55,"SW",DF9:DF55)</f>
        <v/>
      </c>
      <c r="DF7" s="93">
        <f>SUMIF(G9:G55,"EC",DF9:DF55)</f>
        <v/>
      </c>
      <c r="DG7" s="82" t="n"/>
      <c r="DH7" s="82" t="n"/>
      <c r="DI7" s="302" t="n"/>
      <c r="DJ7" s="241" t="n"/>
      <c r="DK7" s="82" t="n"/>
      <c r="DL7" s="83" t="n"/>
      <c r="DM7" s="87" t="n"/>
    </row>
    <row r="8">
      <c r="A8" s="34" t="inlineStr">
        <is>
          <t>FL</t>
        </is>
      </c>
      <c r="B8" s="34" t="inlineStr">
        <is>
          <t>FL</t>
        </is>
      </c>
      <c r="C8" s="35" t="inlineStr">
        <is>
          <t>FL</t>
        </is>
      </c>
      <c r="D8" s="35" t="inlineStr">
        <is>
          <t>FL</t>
        </is>
      </c>
      <c r="E8" s="36" t="inlineStr">
        <is>
          <t>FL</t>
        </is>
      </c>
      <c r="F8" s="36" t="inlineStr">
        <is>
          <t>FL</t>
        </is>
      </c>
      <c r="G8" s="36" t="inlineStr">
        <is>
          <t>FL</t>
        </is>
      </c>
      <c r="H8" s="36" t="inlineStr">
        <is>
          <t>FL</t>
        </is>
      </c>
      <c r="I8" s="36" t="inlineStr">
        <is>
          <t>FL</t>
        </is>
      </c>
      <c r="J8" s="36" t="inlineStr">
        <is>
          <t>FL</t>
        </is>
      </c>
      <c r="K8" s="36" t="inlineStr">
        <is>
          <t>FL</t>
        </is>
      </c>
      <c r="L8" s="36" t="inlineStr">
        <is>
          <t>FL</t>
        </is>
      </c>
      <c r="M8" s="36" t="inlineStr">
        <is>
          <t>FL</t>
        </is>
      </c>
      <c r="N8" s="36" t="inlineStr">
        <is>
          <t>FL</t>
        </is>
      </c>
      <c r="O8" s="36" t="inlineStr">
        <is>
          <t>FL</t>
        </is>
      </c>
      <c r="P8" s="36" t="inlineStr">
        <is>
          <t>FL</t>
        </is>
      </c>
      <c r="Q8" s="36" t="inlineStr">
        <is>
          <t>FL</t>
        </is>
      </c>
      <c r="R8" s="36" t="inlineStr">
        <is>
          <t>FL</t>
        </is>
      </c>
      <c r="S8" s="36" t="inlineStr">
        <is>
          <t>FL</t>
        </is>
      </c>
      <c r="T8" s="36" t="inlineStr">
        <is>
          <t>FL</t>
        </is>
      </c>
      <c r="U8" s="36" t="inlineStr">
        <is>
          <t>FL</t>
        </is>
      </c>
      <c r="V8" s="36" t="inlineStr">
        <is>
          <t>FL</t>
        </is>
      </c>
      <c r="W8" s="36" t="inlineStr">
        <is>
          <t>FL</t>
        </is>
      </c>
      <c r="X8" s="36" t="inlineStr">
        <is>
          <t>FL</t>
        </is>
      </c>
      <c r="Y8" s="36" t="inlineStr">
        <is>
          <t>FL</t>
        </is>
      </c>
      <c r="Z8" s="36" t="inlineStr">
        <is>
          <t>FL</t>
        </is>
      </c>
      <c r="AA8" s="36" t="inlineStr">
        <is>
          <t>FL</t>
        </is>
      </c>
      <c r="AB8" s="36" t="inlineStr">
        <is>
          <t>FL</t>
        </is>
      </c>
      <c r="AC8" s="14" t="n"/>
      <c r="AD8" s="36" t="inlineStr">
        <is>
          <t>FL</t>
        </is>
      </c>
      <c r="AE8" s="14" t="n"/>
      <c r="AF8" s="34" t="inlineStr">
        <is>
          <t>FL</t>
        </is>
      </c>
      <c r="AG8" s="34" t="inlineStr">
        <is>
          <t>FL</t>
        </is>
      </c>
      <c r="AH8" s="34" t="inlineStr">
        <is>
          <t>FL</t>
        </is>
      </c>
      <c r="AI8" s="34" t="inlineStr">
        <is>
          <t>FL</t>
        </is>
      </c>
      <c r="AJ8" s="34" t="inlineStr">
        <is>
          <t>FL</t>
        </is>
      </c>
      <c r="AK8" s="34" t="inlineStr">
        <is>
          <t>FL</t>
        </is>
      </c>
      <c r="AL8" s="138" t="n"/>
      <c r="AM8" s="59" t="inlineStr">
        <is>
          <t>FL</t>
        </is>
      </c>
      <c r="AN8" s="59" t="inlineStr">
        <is>
          <t>FL</t>
        </is>
      </c>
      <c r="AO8" s="59" t="inlineStr">
        <is>
          <t>FL</t>
        </is>
      </c>
      <c r="AP8" s="59" t="inlineStr">
        <is>
          <t>FL</t>
        </is>
      </c>
      <c r="AQ8" s="59" t="inlineStr">
        <is>
          <t>FL</t>
        </is>
      </c>
      <c r="AR8" s="59" t="inlineStr">
        <is>
          <t>FL</t>
        </is>
      </c>
      <c r="AS8" s="59" t="inlineStr">
        <is>
          <t>FL</t>
        </is>
      </c>
      <c r="AT8" s="59" t="inlineStr">
        <is>
          <t>FL</t>
        </is>
      </c>
      <c r="AU8" s="59" t="inlineStr">
        <is>
          <t>FL</t>
        </is>
      </c>
      <c r="AV8" s="59" t="inlineStr">
        <is>
          <t>FL</t>
        </is>
      </c>
      <c r="AW8" s="59" t="inlineStr">
        <is>
          <t>FL</t>
        </is>
      </c>
      <c r="AX8" s="59" t="inlineStr">
        <is>
          <t>FL</t>
        </is>
      </c>
      <c r="AY8" s="59" t="inlineStr">
        <is>
          <t>FL</t>
        </is>
      </c>
      <c r="AZ8" s="59" t="inlineStr">
        <is>
          <t>FL</t>
        </is>
      </c>
      <c r="BA8" s="59" t="inlineStr">
        <is>
          <t>FL</t>
        </is>
      </c>
      <c r="BB8" s="59" t="inlineStr">
        <is>
          <t>FL</t>
        </is>
      </c>
      <c r="BC8" s="59" t="inlineStr">
        <is>
          <t>FL</t>
        </is>
      </c>
      <c r="BD8" s="59" t="inlineStr">
        <is>
          <t>FL</t>
        </is>
      </c>
      <c r="BE8" s="59" t="inlineStr">
        <is>
          <t>FL</t>
        </is>
      </c>
      <c r="BF8" s="59" t="inlineStr">
        <is>
          <t>FL</t>
        </is>
      </c>
      <c r="BG8" s="59" t="inlineStr">
        <is>
          <t>FL</t>
        </is>
      </c>
      <c r="BH8" s="59" t="inlineStr">
        <is>
          <t>FL</t>
        </is>
      </c>
      <c r="BI8" s="59" t="inlineStr">
        <is>
          <t>FL</t>
        </is>
      </c>
      <c r="BJ8" s="59" t="inlineStr">
        <is>
          <t>FL</t>
        </is>
      </c>
      <c r="BK8" s="59" t="inlineStr">
        <is>
          <t>FL</t>
        </is>
      </c>
      <c r="BL8" s="59" t="inlineStr">
        <is>
          <t>FL</t>
        </is>
      </c>
      <c r="BM8" s="59" t="inlineStr">
        <is>
          <t>FL</t>
        </is>
      </c>
      <c r="BN8" s="59" t="inlineStr">
        <is>
          <t>FL</t>
        </is>
      </c>
      <c r="BO8" s="59" t="inlineStr">
        <is>
          <t>FL</t>
        </is>
      </c>
      <c r="BP8" s="59" t="inlineStr">
        <is>
          <t>FL</t>
        </is>
      </c>
      <c r="BQ8" s="59" t="inlineStr">
        <is>
          <t>FL</t>
        </is>
      </c>
      <c r="BR8" s="59" t="inlineStr">
        <is>
          <t>FL</t>
        </is>
      </c>
      <c r="BS8" s="59" t="inlineStr">
        <is>
          <t>FL</t>
        </is>
      </c>
      <c r="BT8" s="59" t="inlineStr">
        <is>
          <t>FL</t>
        </is>
      </c>
      <c r="BU8" s="59" t="inlineStr">
        <is>
          <t>FL</t>
        </is>
      </c>
      <c r="BV8" s="59" t="inlineStr">
        <is>
          <t>FL</t>
        </is>
      </c>
      <c r="BW8" s="59" t="inlineStr">
        <is>
          <t>FL</t>
        </is>
      </c>
      <c r="BX8" s="59" t="inlineStr">
        <is>
          <t>FL</t>
        </is>
      </c>
      <c r="BY8" s="59" t="inlineStr">
        <is>
          <t>FL</t>
        </is>
      </c>
      <c r="BZ8" s="59" t="inlineStr">
        <is>
          <t>FL</t>
        </is>
      </c>
      <c r="CA8" s="59" t="inlineStr">
        <is>
          <t>FL</t>
        </is>
      </c>
      <c r="CB8" s="59" t="inlineStr">
        <is>
          <t>FL</t>
        </is>
      </c>
      <c r="CC8" s="59" t="inlineStr">
        <is>
          <t>FL</t>
        </is>
      </c>
      <c r="CD8" s="59" t="inlineStr">
        <is>
          <t>FL</t>
        </is>
      </c>
      <c r="CE8" s="59" t="inlineStr">
        <is>
          <t>FL</t>
        </is>
      </c>
      <c r="CF8" s="59" t="inlineStr">
        <is>
          <t>FL</t>
        </is>
      </c>
      <c r="CG8" s="59" t="inlineStr">
        <is>
          <t>FL</t>
        </is>
      </c>
      <c r="CH8" s="59" t="inlineStr">
        <is>
          <t>FL</t>
        </is>
      </c>
      <c r="CI8" s="59" t="inlineStr">
        <is>
          <t>FL</t>
        </is>
      </c>
      <c r="CJ8" s="59" t="inlineStr">
        <is>
          <t>FL</t>
        </is>
      </c>
      <c r="CK8" s="59" t="inlineStr">
        <is>
          <t>FL</t>
        </is>
      </c>
      <c r="CL8" s="59" t="inlineStr">
        <is>
          <t>FL</t>
        </is>
      </c>
      <c r="CM8" s="59" t="inlineStr">
        <is>
          <t>FL</t>
        </is>
      </c>
      <c r="CN8" s="59" t="inlineStr">
        <is>
          <t>FL</t>
        </is>
      </c>
      <c r="CO8" s="59" t="inlineStr">
        <is>
          <t>FL</t>
        </is>
      </c>
      <c r="CP8" s="59" t="inlineStr">
        <is>
          <t>FL</t>
        </is>
      </c>
      <c r="CQ8" s="59" t="inlineStr">
        <is>
          <t>FL</t>
        </is>
      </c>
      <c r="CR8" s="59" t="inlineStr">
        <is>
          <t>FL</t>
        </is>
      </c>
      <c r="CS8" s="59" t="inlineStr">
        <is>
          <t>FL</t>
        </is>
      </c>
      <c r="CT8" s="59" t="inlineStr">
        <is>
          <t>FL</t>
        </is>
      </c>
      <c r="CU8" s="59" t="inlineStr">
        <is>
          <t>FL</t>
        </is>
      </c>
      <c r="CV8" s="87" t="n"/>
      <c r="CW8" s="87" t="n"/>
      <c r="CX8" s="81" t="n"/>
      <c r="CY8" s="110" t="inlineStr">
        <is>
          <t>PMREDActivity</t>
        </is>
      </c>
      <c r="CZ8" s="111" t="inlineStr">
        <is>
          <t>Exptd Compl Days</t>
        </is>
      </c>
      <c r="DA8" s="111" t="inlineStr">
        <is>
          <t>Act Compl Days</t>
        </is>
      </c>
      <c r="DB8" s="112" t="inlineStr">
        <is>
          <t>Exptd%</t>
        </is>
      </c>
      <c r="DC8" s="110" t="inlineStr">
        <is>
          <t>PLREDActivity</t>
        </is>
      </c>
      <c r="DD8" s="245" t="inlineStr">
        <is>
          <t>Progress Flag</t>
        </is>
      </c>
      <c r="DE8" s="201" t="n"/>
      <c r="DF8" s="340" t="inlineStr">
        <is>
          <t>BalEfforts</t>
        </is>
      </c>
      <c r="DG8" s="340" t="inlineStr">
        <is>
          <t>AssignedEfforts</t>
        </is>
      </c>
      <c r="DH8" s="113" t="inlineStr">
        <is>
          <t>AlertDt Yellow</t>
        </is>
      </c>
      <c r="DI8" s="113" t="n"/>
      <c r="DJ8" s="113" t="n"/>
      <c r="DK8" s="82" t="n"/>
      <c r="DL8" s="83" t="n"/>
      <c r="DM8" s="87" t="n"/>
    </row>
    <row r="9">
      <c r="A9" s="336" t="inlineStr">
        <is>
          <t>SW</t>
        </is>
      </c>
      <c r="B9" s="126" t="n"/>
      <c r="C9" s="305" t="inlineStr">
        <is>
          <t>*PO Value in lacs</t>
        </is>
      </c>
      <c r="D9" s="320" t="n">
        <v>54</v>
      </c>
      <c r="E9" s="188" t="n"/>
      <c r="F9" s="8" t="inlineStr">
        <is>
          <t>P1</t>
        </is>
      </c>
      <c r="G9" s="8" t="inlineStr">
        <is>
          <t>SW</t>
        </is>
      </c>
      <c r="H9" s="410" t="inlineStr">
        <is>
          <t>P1-01</t>
        </is>
      </c>
      <c r="I9" s="411" t="inlineStr">
        <is>
          <t>Project Scheduling</t>
        </is>
      </c>
      <c r="J9" s="130" t="n"/>
      <c r="K9" s="130" t="n"/>
      <c r="L9" s="130" t="n"/>
      <c r="M9" s="130" t="n"/>
      <c r="N9" s="130" t="n"/>
      <c r="O9" s="130" t="n"/>
      <c r="P9" s="130" t="n">
        <v>44353</v>
      </c>
      <c r="Q9" s="130" t="n">
        <v>44353</v>
      </c>
      <c r="R9" s="48">
        <f>IFERROR(INDEX('@LeadT_Setting'!$F$6:$J$52,MATCH(I9,'@LeadT_Setting'!$E$6:$E$52,0),MATCH(INDEX('@LeadT_Setting'!$AI$1:$AI$3,MATCH($A9,'@LeadT_Setting'!$AD$1:$AD$3,0),0),'@LeadT_Setting'!$F$1:$J$1,0)),0)</f>
        <v/>
      </c>
      <c r="S9" s="412" t="n">
        <v>1</v>
      </c>
      <c r="T9" s="413" t="n"/>
      <c r="U9" s="414" t="n">
        <v>0.001</v>
      </c>
      <c r="V9" s="206">
        <f>IFERROR(IF(S9&gt;0,W9-S9+1,W9),"")</f>
        <v/>
      </c>
      <c r="W9" s="43">
        <f>IFERROR(IF(S9&gt;0,V10-1,V10),"")</f>
        <v/>
      </c>
      <c r="X9" s="127" t="n">
        <v>44353</v>
      </c>
      <c r="Y9" s="127" t="n">
        <v>44353</v>
      </c>
      <c r="Z9" s="189" t="n">
        <v>1</v>
      </c>
      <c r="AA9" s="190">
        <f>IFERROR(IF(OR(U9&lt;=0,TODAY()&lt;V9),0,IF(TODAY()&gt;=W9,1,((TODAY()-V9))/((W9-V9)))),0)</f>
        <v/>
      </c>
      <c r="AB9" s="43">
        <f>IFERROR(IF(V9&lt;&gt;"",V9+(W9-V9)*0.8,""),"")</f>
        <v/>
      </c>
      <c r="AC9" s="415" t="n"/>
      <c r="AD9" s="127" t="n"/>
      <c r="AE9" s="14" t="n"/>
      <c r="AF9" s="128" t="inlineStr"/>
      <c r="AG9" s="132" t="inlineStr">
        <is>
          <t>N</t>
        </is>
      </c>
      <c r="AH9" s="132" t="inlineStr">
        <is>
          <t>N</t>
        </is>
      </c>
      <c r="AI9" s="132" t="inlineStr">
        <is>
          <t>N</t>
        </is>
      </c>
      <c r="AJ9" s="91" t="inlineStr">
        <is>
          <t>N</t>
        </is>
      </c>
      <c r="AK9" s="132" t="inlineStr">
        <is>
          <t>N</t>
        </is>
      </c>
      <c r="AL9" s="139">
        <f>Z9</f>
        <v/>
      </c>
      <c r="AM9" s="60"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1" t="n"/>
      <c r="BZ9" s="61" t="n"/>
      <c r="CA9" s="61" t="n"/>
      <c r="CB9" s="61" t="n"/>
      <c r="CC9" s="61" t="n"/>
      <c r="CD9" s="61" t="n"/>
      <c r="CE9" s="61" t="n"/>
      <c r="CF9" s="61" t="n"/>
      <c r="CG9" s="61" t="n"/>
      <c r="CH9" s="61" t="n"/>
      <c r="CI9" s="61" t="n"/>
      <c r="CJ9" s="61" t="n"/>
      <c r="CK9" s="61" t="n"/>
      <c r="CL9" s="61" t="n"/>
      <c r="CM9" s="61" t="n"/>
      <c r="CN9" s="61" t="n"/>
      <c r="CO9" s="61" t="n"/>
      <c r="CP9" s="61" t="n"/>
      <c r="CQ9" s="61" t="n"/>
      <c r="CR9" s="61" t="n"/>
      <c r="CS9" s="61" t="n"/>
      <c r="CT9" s="61" t="n"/>
      <c r="CU9" s="66" t="n"/>
      <c r="CV9" s="87" t="n"/>
      <c r="CW9" s="87" t="n"/>
      <c r="CX9" s="78" t="n"/>
      <c r="CY9" s="114">
        <f>IF(OR(AND(TODAY()&gt;W9,Z9&lt;&gt;1,DB9=1),AND(DB9&gt;='@LeadT_Setting'!$AK$6,Z9&lt;='@LeadT_Setting'!$AK$6),AND(Z9&lt;(DB9-'@LeadT_Setting'!$AI$6),DB9&gt;Z9,U9&gt;0,DB9&lt;'@LeadT_Setting'!$AK$6)),1,0)</f>
        <v/>
      </c>
      <c r="CZ9" s="114">
        <f>IFERROR(AA9*U9,0)</f>
        <v/>
      </c>
      <c r="DA9" s="115">
        <f>IFERROR(Z9*U9,0)</f>
        <v/>
      </c>
      <c r="DB9" s="116">
        <f>IFERROR(IF(OR(U9&lt;=0,TODAY()&lt;V9),0,IF(TODAY()&gt;=W9,1,((TODAY()-V9))/((W9-V9)))),0)</f>
        <v/>
      </c>
      <c r="DC9" s="117">
        <f>IF(OR(AND(TODAY()&gt;W9,Z9&lt;&gt;1,DB9=1),AND(DB9&gt;='@LeadT_Setting'!$AK$6,Z9&lt;='@LeadT_Setting'!$AK$6),AND(Z9&lt;(DB9-'@LeadT_Setting'!$AJ$6),DB9&gt;Z9,U9&gt;0)),1,0)</f>
        <v/>
      </c>
      <c r="DD9" s="117">
        <f>IF(Z9=1,0,IF(AD9="Engineering",1,IF(AD9="Purchase",2,IF(AD9="Software",3,IF(AD9="Project Management",4,IF(AD9="Manufacturing",5,IF(AD9="Sales",6,IF(AD9="Client",7,0))))))))</f>
        <v/>
      </c>
      <c r="DE9" s="202" t="n"/>
      <c r="DF9" s="119" t="n"/>
      <c r="DG9" s="117" t="n"/>
      <c r="DH9" s="117">
        <f>IF(OR(AND(U9&gt;0,TODAY()&gt;=AB9,Z9&lt;80%,NOT(ISBLANK(AB9))),AND(Z9&lt;&gt;1,U9&gt;0,$V9&lt;TODAY(),ISBLANK($Y9))),1,0)</f>
        <v/>
      </c>
      <c r="DI9" s="82" t="n"/>
      <c r="DJ9" s="93" t="n"/>
      <c r="DK9" s="79" t="n"/>
      <c r="DL9" s="80" t="n"/>
      <c r="DM9" s="87" t="n"/>
    </row>
    <row r="10" ht="15.6" customHeight="1">
      <c r="A10" s="336" t="inlineStr">
        <is>
          <t>SW</t>
        </is>
      </c>
      <c r="B10" s="69" t="n"/>
      <c r="C10" s="148" t="inlineStr">
        <is>
          <t>*Customer Name</t>
        </is>
      </c>
      <c r="D10" s="319" t="inlineStr">
        <is>
          <t>CORE ENERGY SYSTEMS PVT LTD.</t>
        </is>
      </c>
      <c r="E10" s="188" t="n"/>
      <c r="F10" s="8" t="inlineStr">
        <is>
          <t>P1</t>
        </is>
      </c>
      <c r="G10" s="8" t="inlineStr">
        <is>
          <t>SW</t>
        </is>
      </c>
      <c r="H10" s="410" t="inlineStr">
        <is>
          <t>P1-02</t>
        </is>
      </c>
      <c r="I10" s="411" t="inlineStr">
        <is>
          <t>Internal KOM</t>
        </is>
      </c>
      <c r="J10" s="130" t="n"/>
      <c r="K10" s="130" t="n"/>
      <c r="L10" s="130" t="n"/>
      <c r="M10" s="130" t="n"/>
      <c r="N10" s="130" t="n"/>
      <c r="O10" s="130" t="n"/>
      <c r="P10" s="130" t="n">
        <v>44354</v>
      </c>
      <c r="Q10" s="130" t="n">
        <v>44354</v>
      </c>
      <c r="R10" s="48">
        <f>IFERROR(INDEX('@LeadT_Setting'!$F$6:$J$52,MATCH(I10,'@LeadT_Setting'!$E$6:$E$52,0),MATCH(INDEX('@LeadT_Setting'!$AI$1:$AI$3,MATCH($A10,'@LeadT_Setting'!$AD$1:$AD$3,0),0),'@LeadT_Setting'!$F$1:$J$1,0)),0)</f>
        <v/>
      </c>
      <c r="S10" s="412" t="n">
        <v>1</v>
      </c>
      <c r="T10" s="413" t="n"/>
      <c r="U10" s="414" t="n">
        <v>0.001</v>
      </c>
      <c r="V10" s="43">
        <f>IF(ISBLANK(C28),"",C28)</f>
        <v/>
      </c>
      <c r="W10" s="43">
        <f>IFERROR(IF(S10=0,V10,V10+S10-1),"")</f>
        <v/>
      </c>
      <c r="X10" s="127" t="n">
        <v>44354</v>
      </c>
      <c r="Y10" s="127" t="n">
        <v>44354</v>
      </c>
      <c r="Z10" s="189" t="n">
        <v>1</v>
      </c>
      <c r="AA10" s="190">
        <f>IFERROR(IF(OR(U10&lt;=0,TODAY()&lt;V10),0,IF(TODAY()&gt;=W10,1,((TODAY()-V10))/((W10-V10)))),0)</f>
        <v/>
      </c>
      <c r="AB10" s="43">
        <f>IFERROR(IF(V10&lt;&gt;"",V10+(W10-V10)*0.8,""),"")</f>
        <v/>
      </c>
      <c r="AC10" s="209" t="n"/>
      <c r="AD10" s="127" t="n"/>
      <c r="AE10" s="14" t="n"/>
      <c r="AF10" s="238" t="n"/>
      <c r="AG10" s="251" t="n"/>
      <c r="AH10" s="54" t="n"/>
      <c r="AI10" s="54" t="inlineStr">
        <is>
          <t>Scope Details</t>
        </is>
      </c>
      <c r="AJ10" s="54" t="n"/>
      <c r="AK10" s="62" t="n"/>
      <c r="AL10" s="139">
        <f>Z10</f>
        <v/>
      </c>
      <c r="AM10" s="63" t="n"/>
      <c r="AN10" s="55" t="n"/>
      <c r="AO10" s="55" t="n"/>
      <c r="AP10" s="55" t="n"/>
      <c r="AQ10" s="55" t="n"/>
      <c r="AR10" s="55" t="n"/>
      <c r="AS10" s="55" t="n"/>
      <c r="AT10" s="55" t="n"/>
      <c r="AU10" s="55" t="n"/>
      <c r="AV10" s="55" t="n"/>
      <c r="AW10" s="55" t="n"/>
      <c r="AX10" s="55" t="n"/>
      <c r="AY10" s="55" t="n"/>
      <c r="AZ10" s="55" t="n"/>
      <c r="BA10" s="55" t="n"/>
      <c r="BB10" s="55" t="n"/>
      <c r="BC10" s="55" t="n"/>
      <c r="BD10" s="55" t="n"/>
      <c r="BE10" s="55" t="n"/>
      <c r="BF10" s="55" t="n"/>
      <c r="BG10" s="55" t="n"/>
      <c r="BH10" s="55" t="n"/>
      <c r="BI10" s="55" t="n"/>
      <c r="BJ10" s="55" t="n"/>
      <c r="BK10" s="55" t="n"/>
      <c r="BL10" s="55" t="n"/>
      <c r="BM10" s="55" t="n"/>
      <c r="BN10" s="55" t="n"/>
      <c r="BO10" s="55" t="n"/>
      <c r="BP10" s="55" t="n"/>
      <c r="BQ10" s="55" t="n"/>
      <c r="BR10" s="55" t="n"/>
      <c r="BS10" s="55" t="n"/>
      <c r="BT10" s="55" t="n"/>
      <c r="BU10" s="55" t="n"/>
      <c r="BV10" s="55" t="n"/>
      <c r="BW10" s="55" t="n"/>
      <c r="BX10" s="55" t="n"/>
      <c r="BY10" s="55" t="n"/>
      <c r="BZ10" s="55" t="n"/>
      <c r="CA10" s="55" t="n"/>
      <c r="CB10" s="55" t="n"/>
      <c r="CC10" s="55" t="n"/>
      <c r="CD10" s="55" t="n"/>
      <c r="CE10" s="55" t="n"/>
      <c r="CF10" s="55" t="n"/>
      <c r="CG10" s="55" t="n"/>
      <c r="CH10" s="55" t="n"/>
      <c r="CI10" s="55" t="n"/>
      <c r="CJ10" s="55" t="n"/>
      <c r="CK10" s="55" t="n"/>
      <c r="CL10" s="55" t="n"/>
      <c r="CM10" s="55" t="n"/>
      <c r="CN10" s="55" t="n"/>
      <c r="CO10" s="55" t="n"/>
      <c r="CP10" s="55" t="n"/>
      <c r="CQ10" s="55" t="n"/>
      <c r="CR10" s="55" t="n"/>
      <c r="CS10" s="55" t="n"/>
      <c r="CT10" s="55" t="n"/>
      <c r="CU10" s="67" t="n"/>
      <c r="CV10" s="87" t="n"/>
      <c r="CW10" s="87" t="n"/>
      <c r="CX10" s="81" t="n"/>
      <c r="CY10" s="87">
        <f>IF(OR(AND(TODAY()&gt;W10,Z10&lt;&gt;1,DB10=1),AND(DB10&gt;='@LeadT_Setting'!$AK$6,Z10&lt;='@LeadT_Setting'!$AK$6),AND(Z10&lt;(DB10-'@LeadT_Setting'!$AI$6),DB10&gt;Z10,U10&gt;0,DB10&lt;'@LeadT_Setting'!$AK$6)),1,0)</f>
        <v/>
      </c>
      <c r="CZ10" s="87">
        <f>IFERROR(AA10*U10,0)</f>
        <v/>
      </c>
      <c r="DA10" s="118">
        <f>IFERROR(Z10*U10,0)</f>
        <v/>
      </c>
      <c r="DB10" s="88">
        <f>IFERROR(IF(OR(U10&lt;=0,TODAY()&lt;V10),0,IF(TODAY()&gt;=W10,1,((TODAY()-V10))/((W10-V10)))),0)</f>
        <v/>
      </c>
      <c r="DC10" s="118">
        <f>IF(OR(AND(TODAY()&gt;W10,Z10&lt;&gt;1,DB10=1),AND(DB10&gt;='@LeadT_Setting'!$AK$6,Z10&lt;='@LeadT_Setting'!$AK$6),AND(Z10&lt;(DB10-'@LeadT_Setting'!$AJ$6),DB10&gt;Z10,U10&gt;0)),1,0)</f>
        <v/>
      </c>
      <c r="DD10" s="119">
        <f>IF(Z10=1,0,IF(AD10="Engineering",1,IF(AD10="Purchase",2,IF(AD10="Software",3,IF(AD10="Project Management",4,IF(AD10="Manufacturing",5,IF(AD10="Sales",6,IF(AD10="Client",7,0))))))))</f>
        <v/>
      </c>
      <c r="DE10" s="202" t="n"/>
      <c r="DF10" s="119" t="n"/>
      <c r="DG10" s="119" t="n"/>
      <c r="DH10" s="119">
        <f>IF(OR(AND(U10&gt;0,TODAY()&gt;=AB10,Z10&lt;80%,NOT(ISBLANK(AB10))),AND(Z10&lt;&gt;1,U10&gt;0,$V10&lt;TODAY(),ISBLANK($Y10))),1,0)</f>
        <v/>
      </c>
      <c r="DI10" s="82" t="n"/>
      <c r="DJ10" s="93" t="n"/>
      <c r="DK10" s="82" t="n"/>
      <c r="DL10" s="83" t="n"/>
      <c r="DM10" s="87" t="n"/>
    </row>
    <row r="11">
      <c r="A11" s="336" t="inlineStr">
        <is>
          <t>SW</t>
        </is>
      </c>
      <c r="B11" s="69" t="n"/>
      <c r="C11" s="149" t="inlineStr">
        <is>
          <t>End Customer</t>
        </is>
      </c>
      <c r="D11" s="319" t="inlineStr">
        <is>
          <t>NPCIL Kudankulam Power Project</t>
        </is>
      </c>
      <c r="E11" s="188" t="n"/>
      <c r="F11" s="8" t="inlineStr">
        <is>
          <t>P2</t>
        </is>
      </c>
      <c r="G11" s="8" t="inlineStr">
        <is>
          <t>SW</t>
        </is>
      </c>
      <c r="H11" s="410" t="inlineStr">
        <is>
          <t>P2-01</t>
        </is>
      </c>
      <c r="I11" s="411" t="inlineStr">
        <is>
          <t>SW I/P Collection</t>
        </is>
      </c>
      <c r="J11" s="130" t="n"/>
      <c r="K11" s="130" t="n"/>
      <c r="L11" s="130" t="n"/>
      <c r="M11" s="130" t="n"/>
      <c r="N11" s="130" t="n"/>
      <c r="O11" s="130" t="n"/>
      <c r="P11" s="130" t="n">
        <v>45085</v>
      </c>
      <c r="Q11" s="130" t="n">
        <v>45089</v>
      </c>
      <c r="R11" s="48">
        <f>IFERROR(INDEX('@LeadT_Setting'!$F$6:$J$52,MATCH(I11,'@LeadT_Setting'!$E$6:$E$52,0),MATCH(INDEX('@LeadT_Setting'!$AI$1:$AI$3,MATCH($A11,'@LeadT_Setting'!$AD$1:$AD$3,0),0),'@LeadT_Setting'!$F$1:$J$1,0)),0)</f>
        <v/>
      </c>
      <c r="S11" s="412" t="n">
        <v>5</v>
      </c>
      <c r="T11" s="413" t="n"/>
      <c r="U11" s="416" t="n">
        <v>3</v>
      </c>
      <c r="V11" s="43">
        <f>IFERROR(IF(OR(S11=0,S11=""),W11,W11-S11+1),"")</f>
        <v/>
      </c>
      <c r="W11" s="43">
        <f>IFERROR(V12-1+E11,"")</f>
        <v/>
      </c>
      <c r="X11" s="127" t="n">
        <v>45085</v>
      </c>
      <c r="Y11" s="127" t="n">
        <v>45089</v>
      </c>
      <c r="Z11" s="189" t="n">
        <v>1</v>
      </c>
      <c r="AA11" s="190">
        <f>IFERROR(IF(OR(U11&lt;=0,TODAY()&lt;V11),0,IF(TODAY()&gt;=W11,1,((TODAY()-V11))/((W11-V11)))),0)</f>
        <v/>
      </c>
      <c r="AB11" s="43">
        <f>IFERROR(IF(V11&lt;&gt;"",V11+(W11-V11)*0.8,""),"")</f>
        <v/>
      </c>
      <c r="AC11" s="209" t="n"/>
      <c r="AD11" s="127" t="n"/>
      <c r="AE11" s="209" t="n"/>
      <c r="AF11" s="128" t="n"/>
      <c r="AG11" s="274" t="n"/>
      <c r="AH11" s="275" t="n"/>
      <c r="AI11" s="275" t="n"/>
      <c r="AJ11" s="275" t="n"/>
      <c r="AK11" s="276" t="n"/>
      <c r="AL11" s="139">
        <f>Z11</f>
        <v/>
      </c>
      <c r="AM11" s="63" t="n"/>
      <c r="AN11" s="55" t="n"/>
      <c r="AO11" s="55" t="n"/>
      <c r="AP11" s="55" t="n"/>
      <c r="AQ11" s="55" t="n"/>
      <c r="AR11" s="55" t="n"/>
      <c r="AS11" s="55" t="n"/>
      <c r="AT11" s="55" t="n"/>
      <c r="AU11" s="55" t="n"/>
      <c r="AV11" s="55" t="n"/>
      <c r="AW11" s="55" t="n"/>
      <c r="AX11" s="55" t="n"/>
      <c r="AY11" s="55" t="n"/>
      <c r="AZ11" s="55" t="n"/>
      <c r="BA11" s="55" t="n"/>
      <c r="BB11" s="55" t="n"/>
      <c r="BC11" s="55" t="n"/>
      <c r="BD11" s="55" t="n"/>
      <c r="BE11" s="55" t="n"/>
      <c r="BF11" s="55" t="n"/>
      <c r="BG11" s="55" t="n"/>
      <c r="BH11" s="55" t="n"/>
      <c r="BI11" s="55" t="n"/>
      <c r="BJ11" s="55" t="n"/>
      <c r="BK11" s="55" t="n"/>
      <c r="BL11" s="55" t="n"/>
      <c r="BM11" s="55" t="n"/>
      <c r="BN11" s="55" t="n"/>
      <c r="BO11" s="55" t="n"/>
      <c r="BP11" s="55" t="n"/>
      <c r="BQ11" s="55" t="n"/>
      <c r="BR11" s="55" t="n"/>
      <c r="BS11" s="55" t="n"/>
      <c r="BT11" s="55" t="n"/>
      <c r="BU11" s="55" t="n"/>
      <c r="BV11" s="55" t="n"/>
      <c r="BW11" s="55" t="n"/>
      <c r="BX11" s="55" t="n"/>
      <c r="BY11" s="55" t="n"/>
      <c r="BZ11" s="55" t="n"/>
      <c r="CA11" s="55" t="n"/>
      <c r="CB11" s="55" t="n"/>
      <c r="CC11" s="55" t="n"/>
      <c r="CD11" s="55" t="n"/>
      <c r="CE11" s="55" t="n"/>
      <c r="CF11" s="55" t="n"/>
      <c r="CG11" s="55" t="n"/>
      <c r="CH11" s="55" t="n"/>
      <c r="CI11" s="55" t="n"/>
      <c r="CJ11" s="55" t="n"/>
      <c r="CK11" s="55" t="n"/>
      <c r="CL11" s="55" t="n"/>
      <c r="CM11" s="55" t="n"/>
      <c r="CN11" s="55" t="n"/>
      <c r="CO11" s="55" t="n"/>
      <c r="CP11" s="55" t="n"/>
      <c r="CQ11" s="55" t="n"/>
      <c r="CR11" s="55" t="n"/>
      <c r="CS11" s="55" t="n"/>
      <c r="CT11" s="55" t="n"/>
      <c r="CU11" s="67" t="n"/>
      <c r="CV11" s="87" t="n"/>
      <c r="CW11" s="87" t="n"/>
      <c r="CX11" s="81" t="n"/>
      <c r="CY11" s="87">
        <f>IF(OR(AND(TODAY()&gt;W11,Z11&lt;&gt;1,DB11=1),AND(DB11&gt;='@LeadT_Setting'!$AK$6,Z11&lt;='@LeadT_Setting'!$AK$6),AND(Z11&lt;(DB11-'@LeadT_Setting'!$AI$6),DB11&gt;Z11,U11&gt;0,DB11&lt;'@LeadT_Setting'!$AK$6)),1,0)</f>
        <v/>
      </c>
      <c r="CZ11" s="87">
        <f>IFERROR(AA11*U11,0)</f>
        <v/>
      </c>
      <c r="DA11" s="118">
        <f>IFERROR(Z11*U11,0)</f>
        <v/>
      </c>
      <c r="DB11" s="88">
        <f>IFERROR(IF(OR(U11&lt;=0,TODAY()&lt;V11),0,IF(TODAY()&gt;=W11,1,((TODAY()-V11))/((W11-V11)))),0)</f>
        <v/>
      </c>
      <c r="DC11" s="118">
        <f>IF(OR(AND(TODAY()&gt;W11,Z11&lt;&gt;1,DB11=1),AND(DB11&gt;='@LeadT_Setting'!$AK$6,Z11&lt;='@LeadT_Setting'!$AK$6),AND(Z11&lt;(DB11-'@LeadT_Setting'!$AJ$6),DB11&gt;Z11,U11&gt;0)),1,0)</f>
        <v/>
      </c>
      <c r="DD11" s="119">
        <f>IF(Z11=1,0,IF(AD11="Engineering",1,IF(AD11="Purchase",2,IF(AD11="Software",3,IF(AD11="Project Management",4,IF(AD11="Manufacturing",5,IF(AD11="Sales",6,IF(AD11="Client",7,0))))))))</f>
        <v/>
      </c>
      <c r="DE11" s="202" t="n"/>
      <c r="DF11" s="119">
        <f>Z11*U11</f>
        <v/>
      </c>
      <c r="DG11" s="119">
        <f>U11</f>
        <v/>
      </c>
      <c r="DH11" s="119">
        <f>IF(OR(AND(U11&gt;0,TODAY()&gt;=AB11,Z11&lt;80%,NOT(ISBLANK(AB11))),AND(Z11&lt;&gt;1,U11&gt;0,$V11&lt;TODAY(),ISBLANK($Y11))),1,0)</f>
        <v/>
      </c>
      <c r="DI11" s="82" t="n"/>
      <c r="DJ11" s="93" t="n"/>
      <c r="DK11" s="82" t="n"/>
      <c r="DL11" s="83" t="n"/>
      <c r="DM11" s="87" t="n"/>
    </row>
    <row r="12">
      <c r="A12" s="336" t="inlineStr">
        <is>
          <t>SW</t>
        </is>
      </c>
      <c r="B12" s="69" t="n"/>
      <c r="C12" s="149" t="inlineStr">
        <is>
          <t>Consultant</t>
        </is>
      </c>
      <c r="D12" s="319" t="inlineStr">
        <is>
          <t>Reliance Infrastructure Ltd.</t>
        </is>
      </c>
      <c r="E12" s="188" t="n"/>
      <c r="F12" s="8" t="inlineStr">
        <is>
          <t>P2</t>
        </is>
      </c>
      <c r="G12" s="8" t="inlineStr">
        <is>
          <t>SW</t>
        </is>
      </c>
      <c r="H12" s="410" t="inlineStr">
        <is>
          <t>P2-02</t>
        </is>
      </c>
      <c r="I12" s="411" t="inlineStr">
        <is>
          <t>SW Design Preparation</t>
        </is>
      </c>
      <c r="J12" s="130" t="n"/>
      <c r="K12" s="130" t="n"/>
      <c r="L12" s="130" t="n"/>
      <c r="M12" s="130" t="n"/>
      <c r="N12" s="130" t="n"/>
      <c r="O12" s="130" t="n"/>
      <c r="P12" s="130" t="n">
        <v>45090</v>
      </c>
      <c r="Q12" s="130" t="n">
        <v>45095</v>
      </c>
      <c r="R12" s="330">
        <f>IFERROR(INDEX('@LeadT_Setting'!$F$6:$J$52,MATCH(I12,'@LeadT_Setting'!$E$6:$E$52,0),MATCH(INDEX('@LeadT_Setting'!$AI$1:$AI$3,MATCH($A12,'@LeadT_Setting'!$AD$1:$AD$3,0),0),'@LeadT_Setting'!$F$1:$J$1,0)),0)</f>
        <v/>
      </c>
      <c r="S12" s="412" t="n">
        <v>6</v>
      </c>
      <c r="T12" s="410" t="inlineStr">
        <is>
          <t>P1-03</t>
        </is>
      </c>
      <c r="U12" s="416" t="n">
        <v>1</v>
      </c>
      <c r="V12" s="43">
        <f>IFERROR(IF(OR(S12=0,S12=""),W12,W12-S12+1),"")</f>
        <v/>
      </c>
      <c r="W12" s="43">
        <f>IFERROR(IF(S13=0,V13,V13-1),"")</f>
        <v/>
      </c>
      <c r="X12" s="127" t="n">
        <v>45090</v>
      </c>
      <c r="Y12" s="127" t="n">
        <v>45095</v>
      </c>
      <c r="Z12" s="189" t="n">
        <v>1</v>
      </c>
      <c r="AA12" s="190">
        <f>IFERROR(IF(OR(U12&lt;=0,TODAY()&lt;V12),0,IF(TODAY()&gt;=W12,1,((TODAY()-V12))/((W12-V12)))),0)</f>
        <v/>
      </c>
      <c r="AB12" s="43">
        <f>IFERROR(IF(V12&lt;&gt;"",V12+(W12-V12)*0.8,""),"")</f>
        <v/>
      </c>
      <c r="AC12" s="209" t="n"/>
      <c r="AD12" s="127" t="n"/>
      <c r="AE12" s="14" t="n"/>
      <c r="AF12" s="128" t="n"/>
      <c r="AG12" s="277" t="n"/>
      <c r="AH12" s="278" t="n"/>
      <c r="AI12" s="278" t="n"/>
      <c r="AJ12" s="279" t="n"/>
      <c r="AK12" s="280" t="n"/>
      <c r="AL12" s="139">
        <f>Z12</f>
        <v/>
      </c>
      <c r="AM12" s="63" t="n"/>
      <c r="AN12" s="55" t="n"/>
      <c r="AO12" s="55" t="n"/>
      <c r="AP12" s="55" t="n"/>
      <c r="AQ12" s="55" t="n"/>
      <c r="AR12" s="55" t="n"/>
      <c r="AS12" s="55" t="n"/>
      <c r="AT12" s="55" t="n"/>
      <c r="AU12" s="55" t="n"/>
      <c r="AV12" s="55" t="n"/>
      <c r="AW12" s="55" t="n"/>
      <c r="AX12" s="55" t="n"/>
      <c r="AY12" s="55" t="n"/>
      <c r="AZ12" s="55" t="n"/>
      <c r="BA12" s="55" t="n"/>
      <c r="BB12" s="55" t="n"/>
      <c r="BC12" s="55" t="n"/>
      <c r="BD12" s="55" t="n"/>
      <c r="BE12" s="55" t="n"/>
      <c r="BF12" s="55" t="n"/>
      <c r="BG12" s="55" t="n"/>
      <c r="BH12" s="55" t="n"/>
      <c r="BI12" s="55" t="n"/>
      <c r="BJ12" s="55" t="n"/>
      <c r="BK12" s="55" t="n"/>
      <c r="BL12" s="55" t="n"/>
      <c r="BM12" s="55" t="n"/>
      <c r="BN12" s="55" t="n"/>
      <c r="BO12" s="55" t="n"/>
      <c r="BP12" s="55" t="n"/>
      <c r="BQ12" s="55" t="n"/>
      <c r="BR12" s="55" t="n"/>
      <c r="BS12" s="55" t="n"/>
      <c r="BT12" s="55" t="n"/>
      <c r="BU12" s="55" t="n"/>
      <c r="BV12" s="55" t="n"/>
      <c r="BW12" s="55" t="n"/>
      <c r="BX12" s="55" t="n"/>
      <c r="BY12" s="55" t="n"/>
      <c r="BZ12" s="55" t="n"/>
      <c r="CA12" s="55" t="n"/>
      <c r="CB12" s="55" t="n"/>
      <c r="CC12" s="55" t="n"/>
      <c r="CD12" s="55" t="n"/>
      <c r="CE12" s="55" t="n"/>
      <c r="CF12" s="55" t="n"/>
      <c r="CG12" s="55" t="n"/>
      <c r="CH12" s="55" t="n"/>
      <c r="CI12" s="55" t="n"/>
      <c r="CJ12" s="55" t="n"/>
      <c r="CK12" s="55" t="n"/>
      <c r="CL12" s="55" t="n"/>
      <c r="CM12" s="55" t="n"/>
      <c r="CN12" s="55" t="n"/>
      <c r="CO12" s="55" t="n"/>
      <c r="CP12" s="55" t="n"/>
      <c r="CQ12" s="55" t="n"/>
      <c r="CR12" s="55" t="n"/>
      <c r="CS12" s="55" t="n"/>
      <c r="CT12" s="55" t="n"/>
      <c r="CU12" s="67" t="n"/>
      <c r="CV12" s="87" t="n"/>
      <c r="CW12" s="87" t="n"/>
      <c r="CX12" s="81" t="n"/>
      <c r="CY12" s="87">
        <f>IF(OR(AND(TODAY()&gt;W12,Z12&lt;&gt;1,DB12=1),AND(DB12&gt;='@LeadT_Setting'!$AK$6,Z12&lt;='@LeadT_Setting'!$AK$6),AND(Z12&lt;(DB12-'@LeadT_Setting'!$AI$6),DB12&gt;Z12,U12&gt;0,DB12&lt;'@LeadT_Setting'!$AK$6)),1,0)</f>
        <v/>
      </c>
      <c r="CZ12" s="87">
        <f>IFERROR(AA12*U12,0)</f>
        <v/>
      </c>
      <c r="DA12" s="118">
        <f>IFERROR(Z12*U12,0)</f>
        <v/>
      </c>
      <c r="DB12" s="88">
        <f>IFERROR(IF(OR(U12&lt;=0,TODAY()&lt;V12),0,IF(TODAY()&gt;=W12,1,((TODAY()-V12))/((W12-V12)))),0)</f>
        <v/>
      </c>
      <c r="DC12" s="118">
        <f>IF(OR(AND(TODAY()&gt;W12,Z12&lt;&gt;1,DB12=1),AND(DB12&gt;='@LeadT_Setting'!$AK$6,Z12&lt;='@LeadT_Setting'!$AK$6),AND(Z12&lt;(DB12-'@LeadT_Setting'!$AJ$6),DB12&gt;Z12,U12&gt;0)),1,0)</f>
        <v/>
      </c>
      <c r="DD12" s="119">
        <f>IF(Z12=1,0,IF(AD12="Engineering",1,IF(AD12="Purchase",2,IF(AD12="Software",3,IF(AD12="Project Management",4,IF(AD12="Manufacturing",5,IF(AD12="Sales",6,IF(AD12="Client",7,0))))))))</f>
        <v/>
      </c>
      <c r="DE12" s="240" t="n"/>
      <c r="DF12" s="119">
        <f>Z12*U12</f>
        <v/>
      </c>
      <c r="DG12" s="119">
        <f>U12</f>
        <v/>
      </c>
      <c r="DH12" s="119">
        <f>IF(OR(AND(U12&gt;0,TODAY()&gt;=AB12,Z12&lt;80%,NOT(ISBLANK(AB12))),AND(Z12&lt;&gt;1,U12&gt;0,$V12&lt;TODAY(),ISBLANK($Y12))),1,0)</f>
        <v/>
      </c>
      <c r="DI12" s="82" t="n"/>
      <c r="DJ12" s="93" t="n"/>
      <c r="DK12" s="82" t="n"/>
      <c r="DL12" s="83" t="n"/>
      <c r="DM12" s="87" t="n"/>
    </row>
    <row r="13">
      <c r="A13" s="336" t="inlineStr">
        <is>
          <t>SW</t>
        </is>
      </c>
      <c r="B13" s="14" t="n"/>
      <c r="C13" s="148" t="inlineStr">
        <is>
          <t>*Project Desc.</t>
        </is>
      </c>
      <c r="D13" s="319" t="inlineStr">
        <is>
          <t>Supply of PLC SCADA Package for Compressor System for NPCIL KKNPP 3 &amp; 4</t>
        </is>
      </c>
      <c r="E13" s="188" t="n"/>
      <c r="F13" s="8" t="inlineStr">
        <is>
          <t>P2</t>
        </is>
      </c>
      <c r="G13" s="8" t="inlineStr">
        <is>
          <t>SW</t>
        </is>
      </c>
      <c r="H13" s="410" t="inlineStr">
        <is>
          <t>P2-03</t>
        </is>
      </c>
      <c r="I13" s="411" t="inlineStr">
        <is>
          <t>SW Design Validation</t>
        </is>
      </c>
      <c r="J13" s="130" t="n"/>
      <c r="K13" s="130" t="n"/>
      <c r="L13" s="130" t="n"/>
      <c r="M13" s="130" t="n"/>
      <c r="N13" s="130" t="n"/>
      <c r="O13" s="130" t="n"/>
      <c r="P13" s="130" t="n">
        <v>45096</v>
      </c>
      <c r="Q13" s="130" t="n">
        <v>45096</v>
      </c>
      <c r="R13" s="330">
        <f>IFERROR(INDEX('@LeadT_Setting'!$F$6:$J$52,MATCH(I13,'@LeadT_Setting'!$E$6:$E$52,0),MATCH(INDEX('@LeadT_Setting'!$AI$1:$AI$3,MATCH($A13,'@LeadT_Setting'!$AD$1:$AD$3,0),0),'@LeadT_Setting'!$F$1:$J$1,0)),0)</f>
        <v/>
      </c>
      <c r="S13" s="412" t="n">
        <v>1</v>
      </c>
      <c r="T13" s="413" t="n"/>
      <c r="U13" s="416" t="n">
        <v>2</v>
      </c>
      <c r="V13" s="43">
        <f>IFERROR(IF(OR(S13=0,S13=""),W13,W13-S13+1),"")</f>
        <v/>
      </c>
      <c r="W13" s="43">
        <f>IFERROR(IF(S14=0,V14,V14-1),"")</f>
        <v/>
      </c>
      <c r="X13" s="127" t="n">
        <v>45096</v>
      </c>
      <c r="Y13" s="127" t="n">
        <v>45096</v>
      </c>
      <c r="Z13" s="189" t="n">
        <v>1</v>
      </c>
      <c r="AA13" s="190">
        <f>IFERROR(IF(OR(U13&lt;=0,TODAY()&lt;V13),0,IF(TODAY()&gt;=W13,1,((TODAY()-V13))/((W13-V13)))),0)</f>
        <v/>
      </c>
      <c r="AB13" s="43">
        <f>IFERROR(IF(V13&lt;&gt;"",V13+(W13-V13)*0.8,""),"")</f>
        <v/>
      </c>
      <c r="AC13" s="209" t="n"/>
      <c r="AD13" s="127" t="n"/>
      <c r="AE13" s="14" t="n"/>
      <c r="AF13" s="128" t="n"/>
      <c r="AG13" s="281" t="n"/>
      <c r="AH13" s="282" t="n"/>
      <c r="AI13" s="56" t="n"/>
      <c r="AJ13" s="56" t="n"/>
      <c r="AK13" s="283" t="n"/>
      <c r="AL13" s="139">
        <f>Z13</f>
        <v/>
      </c>
      <c r="AM13" s="63" t="n"/>
      <c r="AN13" s="55" t="n"/>
      <c r="AO13" s="55" t="n"/>
      <c r="AP13" s="55" t="n"/>
      <c r="AQ13" s="55" t="n"/>
      <c r="AR13" s="55" t="n"/>
      <c r="AS13" s="55" t="n"/>
      <c r="AT13" s="55" t="n"/>
      <c r="AU13" s="55" t="n"/>
      <c r="AV13" s="55" t="n"/>
      <c r="AW13" s="55" t="n"/>
      <c r="AX13" s="55" t="n"/>
      <c r="AY13" s="55" t="n"/>
      <c r="AZ13" s="55" t="n"/>
      <c r="BA13" s="55" t="n"/>
      <c r="BB13" s="55" t="n"/>
      <c r="BC13" s="55" t="n"/>
      <c r="BD13" s="55" t="n"/>
      <c r="BE13" s="55" t="n"/>
      <c r="BF13" s="55" t="n"/>
      <c r="BG13" s="55" t="n"/>
      <c r="BH13" s="55" t="n"/>
      <c r="BI13" s="55" t="n"/>
      <c r="BJ13" s="55" t="n"/>
      <c r="BK13" s="55" t="n"/>
      <c r="BL13" s="55" t="n"/>
      <c r="BM13" s="55" t="n"/>
      <c r="BN13" s="55" t="n"/>
      <c r="BO13" s="55" t="n"/>
      <c r="BP13" s="55" t="n"/>
      <c r="BQ13" s="55" t="n"/>
      <c r="BR13" s="55" t="n"/>
      <c r="BS13" s="55" t="n"/>
      <c r="BT13" s="55" t="n"/>
      <c r="BU13" s="55" t="n"/>
      <c r="BV13" s="55" t="n"/>
      <c r="BW13" s="55" t="n"/>
      <c r="BX13" s="55" t="n"/>
      <c r="BY13" s="55" t="n"/>
      <c r="BZ13" s="55" t="n"/>
      <c r="CA13" s="55" t="n"/>
      <c r="CB13" s="55" t="n"/>
      <c r="CC13" s="55" t="n"/>
      <c r="CD13" s="55" t="n"/>
      <c r="CE13" s="55" t="n"/>
      <c r="CF13" s="55" t="n"/>
      <c r="CG13" s="55" t="n"/>
      <c r="CH13" s="55" t="n"/>
      <c r="CI13" s="55" t="n"/>
      <c r="CJ13" s="55" t="n"/>
      <c r="CK13" s="55" t="n"/>
      <c r="CL13" s="55" t="n"/>
      <c r="CM13" s="55" t="n"/>
      <c r="CN13" s="55" t="n"/>
      <c r="CO13" s="55" t="n"/>
      <c r="CP13" s="55" t="n"/>
      <c r="CQ13" s="55" t="n"/>
      <c r="CR13" s="55" t="n"/>
      <c r="CS13" s="55" t="n"/>
      <c r="CT13" s="55" t="n"/>
      <c r="CU13" s="67" t="n"/>
      <c r="CV13" s="87" t="n"/>
      <c r="CW13" s="87" t="n"/>
      <c r="CX13" s="81" t="n"/>
      <c r="CY13" s="87">
        <f>IF(OR(AND(TODAY()&gt;W13,Z13&lt;&gt;1,DB13=1),AND(DB13&gt;='@LeadT_Setting'!$AK$6,Z13&lt;='@LeadT_Setting'!$AK$6),AND(Z13&lt;(DB13-'@LeadT_Setting'!$AI$6),DB13&gt;Z13,U13&gt;0,DB13&lt;'@LeadT_Setting'!$AK$6)),1,0)</f>
        <v/>
      </c>
      <c r="CZ13" s="87">
        <f>IFERROR(AA13*U13,0)</f>
        <v/>
      </c>
      <c r="DA13" s="118">
        <f>IFERROR(Z13*U13,0)</f>
        <v/>
      </c>
      <c r="DB13" s="88">
        <f>IFERROR(IF(OR(U13&lt;=0,TODAY()&lt;V13),0,IF(TODAY()&gt;=W13,1,((TODAY()-V13))/((W13-V13)))),0)</f>
        <v/>
      </c>
      <c r="DC13" s="118">
        <f>IF(OR(AND(TODAY()&gt;W13,Z13&lt;&gt;1,DB13=1),AND(DB13&gt;='@LeadT_Setting'!$AK$6,Z13&lt;='@LeadT_Setting'!$AK$6),AND(Z13&lt;(DB13-'@LeadT_Setting'!$AJ$6),DB13&gt;Z13,U13&gt;0)),1,0)</f>
        <v/>
      </c>
      <c r="DD13" s="119">
        <f>IF(Z13=1,0,IF(AD13="Engineering",1,IF(AD13="Purchase",2,IF(AD13="Software",3,IF(AD13="Project Management",4,IF(AD13="Manufacturing",5,IF(AD13="Sales",6,IF(AD13="Client",7,0))))))))</f>
        <v/>
      </c>
      <c r="DE13" s="203" t="n"/>
      <c r="DF13" s="119">
        <f>Z13*U13</f>
        <v/>
      </c>
      <c r="DG13" s="119">
        <f>U13</f>
        <v/>
      </c>
      <c r="DH13" s="119">
        <f>IF(OR(AND(U13&gt;0,TODAY()&gt;=AB13,Z13&lt;80%,NOT(ISBLANK(AB13))),AND(Z13&lt;&gt;1,U13&gt;0,$V13&lt;TODAY(),ISBLANK($Y13))),1,0)</f>
        <v/>
      </c>
      <c r="DI13" s="82" t="n"/>
      <c r="DJ13" s="93" t="n"/>
      <c r="DK13" s="82" t="n"/>
      <c r="DL13" s="83" t="n"/>
      <c r="DM13" s="87" t="n"/>
    </row>
    <row r="14" ht="15" customHeight="1">
      <c r="A14" s="336" t="inlineStr">
        <is>
          <t>SW</t>
        </is>
      </c>
      <c r="B14" s="14" t="n"/>
      <c r="C14" s="307" t="inlineStr">
        <is>
          <t>*Section</t>
        </is>
      </c>
      <c r="D14" s="319" t="inlineStr">
        <is>
          <t>PLC</t>
        </is>
      </c>
      <c r="E14" s="188" t="n"/>
      <c r="F14" s="8" t="inlineStr">
        <is>
          <t>P2</t>
        </is>
      </c>
      <c r="G14" s="8" t="inlineStr">
        <is>
          <t>SW</t>
        </is>
      </c>
      <c r="H14" s="410" t="inlineStr">
        <is>
          <t>P2-04</t>
        </is>
      </c>
      <c r="I14" s="411" t="inlineStr">
        <is>
          <t>SW Documents Submission</t>
        </is>
      </c>
      <c r="J14" s="130" t="n"/>
      <c r="K14" s="130" t="n"/>
      <c r="L14" s="130" t="n"/>
      <c r="M14" s="130" t="n"/>
      <c r="N14" s="130" t="n"/>
      <c r="O14" s="130" t="n"/>
      <c r="P14" s="130" t="n">
        <v>45097</v>
      </c>
      <c r="Q14" s="130" t="n">
        <v>45097</v>
      </c>
      <c r="R14" s="330">
        <f>IFERROR(INDEX('@LeadT_Setting'!$F$6:$J$52,MATCH(I14,'@LeadT_Setting'!$E$6:$E$52,0),MATCH(INDEX('@LeadT_Setting'!$AI$1:$AI$3,MATCH($A14,'@LeadT_Setting'!$AD$1:$AD$3,0),0),'@LeadT_Setting'!$F$1:$J$1,0)),0)</f>
        <v/>
      </c>
      <c r="S14" s="412" t="n">
        <v>1</v>
      </c>
      <c r="T14" s="410" t="n"/>
      <c r="U14" s="416" t="n">
        <v>3</v>
      </c>
      <c r="V14" s="43">
        <f>IFERROR(IF(OR(S14=0,S14=""),W14,W14-S14+1),"")</f>
        <v/>
      </c>
      <c r="W14" s="43">
        <f>IFERROR(IF(S15=0,V15,V15-1),"")</f>
        <v/>
      </c>
      <c r="X14" s="127" t="n">
        <v>45097</v>
      </c>
      <c r="Y14" s="127" t="n">
        <v>45097</v>
      </c>
      <c r="Z14" s="189" t="n">
        <v>1</v>
      </c>
      <c r="AA14" s="190">
        <f>IFERROR(IF(OR(U14&lt;=0,TODAY()&lt;V14),0,IF(TODAY()&gt;=W14,1,((TODAY()-V14))/((W14-V14)))),0)</f>
        <v/>
      </c>
      <c r="AB14" s="43">
        <f>IFERROR(IF(V14&lt;&gt;"",V14+(W14-V14)*0.8,""),"")</f>
        <v/>
      </c>
      <c r="AC14" s="209" t="n"/>
      <c r="AD14" s="127" t="n"/>
      <c r="AE14" s="14" t="n"/>
      <c r="AF14" s="128" t="n"/>
      <c r="AG14" s="293" t="n"/>
      <c r="AH14" s="294" t="n"/>
      <c r="AI14" s="295" t="n"/>
      <c r="AJ14" s="294" t="n"/>
      <c r="AK14" s="296" t="n"/>
      <c r="AL14" s="139">
        <f>Z14</f>
        <v/>
      </c>
      <c r="AM14" s="63" t="n"/>
      <c r="AN14" s="55" t="n"/>
      <c r="AO14" s="55" t="n"/>
      <c r="AP14" s="55" t="n"/>
      <c r="AQ14" s="55" t="n"/>
      <c r="AR14" s="55" t="n"/>
      <c r="AS14" s="55" t="n"/>
      <c r="AT14" s="55" t="n"/>
      <c r="AU14" s="55" t="n"/>
      <c r="AV14" s="55" t="n"/>
      <c r="AW14" s="55" t="n"/>
      <c r="AX14" s="55" t="n"/>
      <c r="AY14" s="55" t="n"/>
      <c r="AZ14" s="55" t="n"/>
      <c r="BA14" s="55" t="n"/>
      <c r="BB14" s="55" t="n"/>
      <c r="BC14" s="55" t="n"/>
      <c r="BD14" s="55" t="n"/>
      <c r="BE14" s="55" t="n"/>
      <c r="BF14" s="55" t="n"/>
      <c r="BG14" s="55" t="n"/>
      <c r="BH14" s="55" t="n"/>
      <c r="BI14" s="55" t="n"/>
      <c r="BJ14" s="55" t="n"/>
      <c r="BK14" s="55" t="n"/>
      <c r="BL14" s="55" t="n"/>
      <c r="BM14" s="55" t="n"/>
      <c r="BN14" s="55" t="n"/>
      <c r="BO14" s="55" t="n"/>
      <c r="BP14" s="55" t="n"/>
      <c r="BQ14" s="55" t="n"/>
      <c r="BR14" s="55" t="n"/>
      <c r="BS14" s="55" t="n"/>
      <c r="BT14" s="55" t="n"/>
      <c r="BU14" s="55" t="n"/>
      <c r="BV14" s="55" t="n"/>
      <c r="BW14" s="55" t="n"/>
      <c r="BX14" s="55" t="n"/>
      <c r="BY14" s="55" t="n"/>
      <c r="BZ14" s="55" t="n"/>
      <c r="CA14" s="55" t="n"/>
      <c r="CB14" s="55" t="n"/>
      <c r="CC14" s="55" t="n"/>
      <c r="CD14" s="55" t="n"/>
      <c r="CE14" s="55" t="n"/>
      <c r="CF14" s="55" t="n"/>
      <c r="CG14" s="55" t="n"/>
      <c r="CH14" s="55" t="n"/>
      <c r="CI14" s="55" t="n"/>
      <c r="CJ14" s="55" t="n"/>
      <c r="CK14" s="55" t="n"/>
      <c r="CL14" s="55" t="n"/>
      <c r="CM14" s="55" t="n"/>
      <c r="CN14" s="55" t="n"/>
      <c r="CO14" s="55" t="n"/>
      <c r="CP14" s="55" t="n"/>
      <c r="CQ14" s="55" t="n"/>
      <c r="CR14" s="55" t="n"/>
      <c r="CS14" s="55" t="n"/>
      <c r="CT14" s="55" t="n"/>
      <c r="CU14" s="67" t="n"/>
      <c r="CV14" s="87" t="n"/>
      <c r="CW14" s="87" t="n"/>
      <c r="CX14" s="81" t="n"/>
      <c r="CY14" s="87">
        <f>IF(OR(AND(TODAY()&gt;W14,Z14&lt;&gt;1,DB14=1),AND(DB14&gt;='@LeadT_Setting'!$AK$6,Z14&lt;='@LeadT_Setting'!$AK$6),AND(Z14&lt;(DB14-'@LeadT_Setting'!$AI$6),DB14&gt;Z14,U14&gt;0,DB14&lt;'@LeadT_Setting'!$AK$6)),1,0)</f>
        <v/>
      </c>
      <c r="CZ14" s="87">
        <f>IFERROR(AA14*U14,0)</f>
        <v/>
      </c>
      <c r="DA14" s="118">
        <f>IFERROR(Z14*U14,0)</f>
        <v/>
      </c>
      <c r="DB14" s="88">
        <f>IFERROR(IF(OR(U14&lt;=0,TODAY()&lt;V14),0,IF(TODAY()&gt;=W14,1,((TODAY()-V14))/((W14-V14)))),0)</f>
        <v/>
      </c>
      <c r="DC14" s="118">
        <f>IF(OR(AND(TODAY()&gt;W14,Z14&lt;&gt;1,DB14=1),AND(DB14&gt;='@LeadT_Setting'!$AK$6,Z14&lt;='@LeadT_Setting'!$AK$6),AND(Z14&lt;(DB14-'@LeadT_Setting'!$AJ$6),DB14&gt;Z14,U14&gt;0)),1,0)</f>
        <v/>
      </c>
      <c r="DD14" s="119">
        <f>IF(Z14=1,0,IF(AD14="Engineering",1,IF(AD14="Purchase",2,IF(AD14="Software",3,IF(AD14="Project Management",4,IF(AD14="Manufacturing",5,IF(AD14="Sales",6,IF(AD14="Client",7,0))))))))</f>
        <v/>
      </c>
      <c r="DE14" s="203" t="n"/>
      <c r="DF14" s="119">
        <f>Z14*U14</f>
        <v/>
      </c>
      <c r="DG14" s="119">
        <f>U14</f>
        <v/>
      </c>
      <c r="DH14" s="119">
        <f>IF(OR(AND(U14&gt;0,TODAY()&gt;=AB14,Z14&lt;80%,NOT(ISBLANK(AB14))),AND(Z14&lt;&gt;1,U14&gt;0,$V14&lt;TODAY(),ISBLANK($Y14))),1,0)</f>
        <v/>
      </c>
      <c r="DI14" s="82" t="n"/>
      <c r="DJ14" s="93" t="n"/>
      <c r="DK14" s="82" t="n"/>
      <c r="DL14" s="83" t="n"/>
      <c r="DM14" s="87" t="n"/>
    </row>
    <row r="15">
      <c r="A15" s="336" t="inlineStr">
        <is>
          <t>SW</t>
        </is>
      </c>
      <c r="B15" s="147" t="n"/>
      <c r="C15" s="69" t="n"/>
      <c r="D15" s="69" t="n"/>
      <c r="E15" s="188" t="n"/>
      <c r="F15" s="8" t="inlineStr">
        <is>
          <t>P3</t>
        </is>
      </c>
      <c r="G15" s="8" t="inlineStr">
        <is>
          <t>SW</t>
        </is>
      </c>
      <c r="H15" s="410" t="inlineStr">
        <is>
          <t>P3-01</t>
        </is>
      </c>
      <c r="I15" s="411" t="inlineStr">
        <is>
          <t>SW Documents Approval</t>
        </is>
      </c>
      <c r="J15" s="130" t="n"/>
      <c r="K15" s="130" t="n"/>
      <c r="L15" s="130" t="n"/>
      <c r="M15" s="130" t="n"/>
      <c r="N15" s="130" t="n"/>
      <c r="O15" s="130" t="n"/>
      <c r="P15" s="130" t="n">
        <v>45098</v>
      </c>
      <c r="Q15" s="130" t="n">
        <v>45105</v>
      </c>
      <c r="R15" s="330">
        <f>IFERROR(INDEX('@LeadT_Setting'!$F$6:$J$52,MATCH(I15,'@LeadT_Setting'!$E$6:$E$52,0),MATCH(INDEX('@LeadT_Setting'!$AI$1:$AI$3,MATCH($A15,'@LeadT_Setting'!$AD$1:$AD$3,0),0),'@LeadT_Setting'!$F$1:$J$1,0)),0)</f>
        <v/>
      </c>
      <c r="S15" s="412" t="n">
        <v>8</v>
      </c>
      <c r="T15" s="413" t="n"/>
      <c r="U15" s="416" t="n">
        <v>2</v>
      </c>
      <c r="V15" s="43">
        <f>IFERROR(IF(OR(S15=0,S15=""),W15,W15-S15+1),"")</f>
        <v/>
      </c>
      <c r="W15" s="43">
        <f>IFERROR(IF(S16=0,V16,V16-1),"")</f>
        <v/>
      </c>
      <c r="X15" s="127" t="n">
        <v>45098</v>
      </c>
      <c r="Y15" s="127" t="n">
        <v>45105</v>
      </c>
      <c r="Z15" s="189" t="n">
        <v>1</v>
      </c>
      <c r="AA15" s="190">
        <f>IFERROR(IF(OR(U15&lt;=0,TODAY()&lt;V15),0,IF(TODAY()&gt;=W15,1,((TODAY()-V15))/((W15-V15)))),0)</f>
        <v/>
      </c>
      <c r="AB15" s="43">
        <f>IFERROR(IF(V15&lt;&gt;"",V15+(W15-V15)*0.8,""),"")</f>
        <v/>
      </c>
      <c r="AC15" s="209" t="n"/>
      <c r="AD15" s="127" t="n"/>
      <c r="AE15" s="14" t="n"/>
      <c r="AF15" s="248" t="n"/>
      <c r="AG15" s="293" t="n"/>
      <c r="AH15" s="294" t="n"/>
      <c r="AI15" s="295" t="n"/>
      <c r="AJ15" s="294" t="n"/>
      <c r="AK15" s="296" t="n"/>
      <c r="AL15" s="139">
        <f>Z15</f>
        <v/>
      </c>
      <c r="AM15" s="63" t="n"/>
      <c r="AN15" s="55" t="n"/>
      <c r="AO15" s="55" t="n"/>
      <c r="AP15" s="55" t="n"/>
      <c r="AQ15" s="55" t="n"/>
      <c r="AR15" s="55" t="n"/>
      <c r="AS15" s="55" t="n"/>
      <c r="AT15" s="55" t="n"/>
      <c r="AU15" s="55" t="n"/>
      <c r="AV15" s="55" t="n"/>
      <c r="AW15" s="55" t="n"/>
      <c r="AX15" s="55" t="n"/>
      <c r="AY15" s="55" t="n"/>
      <c r="AZ15" s="55" t="n"/>
      <c r="BA15" s="55" t="n"/>
      <c r="BB15" s="55" t="n"/>
      <c r="BC15" s="55" t="n"/>
      <c r="BD15" s="55" t="n"/>
      <c r="BE15" s="55" t="n"/>
      <c r="BF15" s="55" t="n"/>
      <c r="BG15" s="55" t="n"/>
      <c r="BH15" s="55" t="n"/>
      <c r="BI15" s="55" t="n"/>
      <c r="BJ15" s="55" t="n"/>
      <c r="BK15" s="55" t="n"/>
      <c r="BL15" s="55" t="n"/>
      <c r="BM15" s="55" t="n"/>
      <c r="BN15" s="55" t="n"/>
      <c r="BO15" s="55" t="n"/>
      <c r="BP15" s="55" t="n"/>
      <c r="BQ15" s="55" t="n"/>
      <c r="BR15" s="55" t="n"/>
      <c r="BS15" s="55" t="n"/>
      <c r="BT15" s="55" t="n"/>
      <c r="BU15" s="55" t="n"/>
      <c r="BV15" s="55" t="n"/>
      <c r="BW15" s="55" t="n"/>
      <c r="BX15" s="55" t="n"/>
      <c r="BY15" s="55" t="n"/>
      <c r="BZ15" s="55" t="n"/>
      <c r="CA15" s="55" t="n"/>
      <c r="CB15" s="55" t="n"/>
      <c r="CC15" s="55" t="n"/>
      <c r="CD15" s="55" t="n"/>
      <c r="CE15" s="55" t="n"/>
      <c r="CF15" s="55" t="n"/>
      <c r="CG15" s="55" t="n"/>
      <c r="CH15" s="55" t="n"/>
      <c r="CI15" s="55" t="n"/>
      <c r="CJ15" s="55" t="n"/>
      <c r="CK15" s="55" t="n"/>
      <c r="CL15" s="55" t="n"/>
      <c r="CM15" s="55" t="n"/>
      <c r="CN15" s="55" t="n"/>
      <c r="CO15" s="55" t="n"/>
      <c r="CP15" s="55" t="n"/>
      <c r="CQ15" s="55" t="n"/>
      <c r="CR15" s="55" t="n"/>
      <c r="CS15" s="55" t="n"/>
      <c r="CT15" s="55" t="n"/>
      <c r="CU15" s="67" t="n"/>
      <c r="CV15" s="87" t="n"/>
      <c r="CW15" s="87" t="n"/>
      <c r="CX15" s="81" t="n"/>
      <c r="CY15" s="87">
        <f>IF(OR(AND(TODAY()&gt;W15,Z15&lt;&gt;1,DB15=1),AND(DB15&gt;='@LeadT_Setting'!$AK$6,Z15&lt;='@LeadT_Setting'!$AK$6),AND(Z15&lt;(DB15-'@LeadT_Setting'!$AI$6),DB15&gt;Z15,U15&gt;0,DB15&lt;'@LeadT_Setting'!$AK$6)),1,0)</f>
        <v/>
      </c>
      <c r="CZ15" s="87">
        <f>IFERROR(AA15*U15,0)</f>
        <v/>
      </c>
      <c r="DA15" s="118">
        <f>IFERROR(Z15*U15,0)</f>
        <v/>
      </c>
      <c r="DB15" s="88">
        <f>IFERROR(IF(OR(U15&lt;=0,TODAY()&lt;V15),0,IF(TODAY()&gt;=W15,1,((TODAY()-V15))/((W15-V15)))),0)</f>
        <v/>
      </c>
      <c r="DC15" s="118">
        <f>IF(OR(AND(TODAY()&gt;W15,Z15&lt;&gt;1,DB15=1),AND(DB15&gt;='@LeadT_Setting'!$AK$6,Z15&lt;='@LeadT_Setting'!$AK$6),AND(Z15&lt;(DB15-'@LeadT_Setting'!$AJ$6),DB15&gt;Z15,U15&gt;0)),1,0)</f>
        <v/>
      </c>
      <c r="DD15" s="119">
        <f>IF(Z15=1,0,IF(AD15="Engineering",1,IF(AD15="Purchase",2,IF(AD15="Software",3,IF(AD15="Project Management",4,IF(AD15="Manufacturing",5,IF(AD15="Sales",6,IF(AD15="Client",7,0))))))))</f>
        <v/>
      </c>
      <c r="DE15" s="203" t="n"/>
      <c r="DF15" s="119">
        <f>Z15*U15</f>
        <v/>
      </c>
      <c r="DG15" s="119">
        <f>U15</f>
        <v/>
      </c>
      <c r="DH15" s="119">
        <f>IF(OR(AND(U15&gt;0,TODAY()&gt;=AB15,Z15&lt;80%,NOT(ISBLANK(AB15))),AND(Z15&lt;&gt;1,U15&gt;0,$V15&lt;TODAY(),ISBLANK($Y15))),1,0)</f>
        <v/>
      </c>
      <c r="DI15" s="82" t="n"/>
      <c r="DJ15" s="93" t="n"/>
      <c r="DK15" s="82" t="n"/>
      <c r="DL15" s="83" t="n"/>
      <c r="DM15" s="87" t="n"/>
    </row>
    <row r="16">
      <c r="A16" s="336" t="inlineStr">
        <is>
          <t>SW</t>
        </is>
      </c>
      <c r="B16" s="244" t="inlineStr">
        <is>
          <t>Actual man-days</t>
        </is>
      </c>
      <c r="C16" s="309" t="n"/>
      <c r="D16" s="308">
        <f>'@LeadT_Setting'!AI3</f>
        <v/>
      </c>
      <c r="E16" s="188" t="n"/>
      <c r="F16" s="8" t="inlineStr">
        <is>
          <t>P3</t>
        </is>
      </c>
      <c r="G16" s="8" t="inlineStr">
        <is>
          <t>SW</t>
        </is>
      </c>
      <c r="H16" s="410" t="inlineStr">
        <is>
          <t>P3-02</t>
        </is>
      </c>
      <c r="I16" s="411" t="inlineStr">
        <is>
          <t>Drive SW</t>
        </is>
      </c>
      <c r="J16" s="130" t="n"/>
      <c r="K16" s="130" t="n"/>
      <c r="L16" s="130" t="n"/>
      <c r="M16" s="130" t="n"/>
      <c r="N16" s="130" t="n"/>
      <c r="O16" s="130" t="n"/>
      <c r="P16" s="130" t="n">
        <v>45106</v>
      </c>
      <c r="Q16" s="130" t="n">
        <v>45135</v>
      </c>
      <c r="R16" s="311">
        <f>IFERROR(INDEX('@LeadT_Setting'!$F$6:$J$52,MATCH(I16,'@LeadT_Setting'!$E$6:$E$52,0),MATCH(INDEX('@LeadT_Setting'!$AI$1:$AI$3,MATCH($A16,'@LeadT_Setting'!$AD$1:$AD$3,0),0),'@LeadT_Setting'!$F$1:$J$1,0)),0)</f>
        <v/>
      </c>
      <c r="S16" s="412" t="n">
        <v>30</v>
      </c>
      <c r="T16" s="410" t="n"/>
      <c r="U16" s="416" t="n">
        <v>0</v>
      </c>
      <c r="V16" s="43">
        <f>IFERROR(IF(OR(S16=0,S16=""),W16,W16-S16+1),"")</f>
        <v/>
      </c>
      <c r="W16" s="43">
        <f>W17</f>
        <v/>
      </c>
      <c r="X16" s="127" t="n">
        <v>45106</v>
      </c>
      <c r="Y16" s="127" t="n">
        <v>45135</v>
      </c>
      <c r="Z16" s="189" t="n">
        <v>1</v>
      </c>
      <c r="AA16" s="190">
        <f>IFERROR(IF(OR(U16&lt;=0,TODAY()&lt;V16),0,IF(TODAY()&gt;=W16,1,((TODAY()-V16))/((W16-V16)))),0)</f>
        <v/>
      </c>
      <c r="AB16" s="43">
        <f>IFERROR(IF(V16&lt;&gt;"",V16+(W16-V16)*0.8,""),"")</f>
        <v/>
      </c>
      <c r="AC16" s="209" t="n"/>
      <c r="AD16" s="127" t="n"/>
      <c r="AE16" s="14" t="n"/>
      <c r="AF16" s="128" t="n"/>
      <c r="AG16" s="297" t="n"/>
      <c r="AH16" s="284" t="n"/>
      <c r="AI16" s="284" t="n"/>
      <c r="AJ16" s="285" t="n"/>
      <c r="AK16" s="292" t="n"/>
      <c r="AL16" s="139">
        <f>Z16</f>
        <v/>
      </c>
      <c r="AM16" s="63" t="n"/>
      <c r="AN16" s="55" t="n"/>
      <c r="AO16" s="55" t="n"/>
      <c r="AP16" s="55" t="n"/>
      <c r="AQ16" s="55" t="n"/>
      <c r="AR16" s="55" t="n"/>
      <c r="AS16" s="55" t="n"/>
      <c r="AT16" s="55" t="n"/>
      <c r="AU16" s="55" t="n"/>
      <c r="AV16" s="55" t="n"/>
      <c r="AW16" s="55" t="n"/>
      <c r="AX16" s="55" t="n"/>
      <c r="AY16" s="55" t="n"/>
      <c r="AZ16" s="55" t="n"/>
      <c r="BA16" s="55" t="n"/>
      <c r="BB16" s="55" t="n"/>
      <c r="BC16" s="55" t="n"/>
      <c r="BD16" s="55" t="n"/>
      <c r="BE16" s="55" t="n"/>
      <c r="BF16" s="55" t="n"/>
      <c r="BG16" s="55" t="n"/>
      <c r="BH16" s="55" t="n"/>
      <c r="BI16" s="55" t="n"/>
      <c r="BJ16" s="55" t="n"/>
      <c r="BK16" s="55" t="n"/>
      <c r="BL16" s="55" t="n"/>
      <c r="BM16" s="55" t="n"/>
      <c r="BN16" s="55" t="n"/>
      <c r="BO16" s="55" t="n"/>
      <c r="BP16" s="55" t="n"/>
      <c r="BQ16" s="55" t="n"/>
      <c r="BR16" s="55" t="n"/>
      <c r="BS16" s="55" t="n"/>
      <c r="BT16" s="55" t="n"/>
      <c r="BU16" s="55" t="n"/>
      <c r="BV16" s="55" t="n"/>
      <c r="BW16" s="55" t="n"/>
      <c r="BX16" s="55" t="n"/>
      <c r="BY16" s="55" t="n"/>
      <c r="BZ16" s="55" t="n"/>
      <c r="CA16" s="55" t="n"/>
      <c r="CB16" s="55" t="n"/>
      <c r="CC16" s="55" t="n"/>
      <c r="CD16" s="55" t="n"/>
      <c r="CE16" s="55" t="n"/>
      <c r="CF16" s="55" t="n"/>
      <c r="CG16" s="55" t="n"/>
      <c r="CH16" s="55" t="n"/>
      <c r="CI16" s="55" t="n"/>
      <c r="CJ16" s="55" t="n"/>
      <c r="CK16" s="55" t="n"/>
      <c r="CL16" s="55" t="n"/>
      <c r="CM16" s="55" t="n"/>
      <c r="CN16" s="55" t="n"/>
      <c r="CO16" s="55" t="n"/>
      <c r="CP16" s="55" t="n"/>
      <c r="CQ16" s="55" t="n"/>
      <c r="CR16" s="55" t="n"/>
      <c r="CS16" s="55" t="n"/>
      <c r="CT16" s="55" t="n"/>
      <c r="CU16" s="67" t="n"/>
      <c r="CV16" s="87" t="n"/>
      <c r="CW16" s="87" t="n"/>
      <c r="CX16" s="81" t="n"/>
      <c r="CY16" s="87">
        <f>IF(OR(AND(TODAY()&gt;W16,Z16&lt;&gt;1,DB16=1),AND(DB16&gt;='@LeadT_Setting'!$AK$6,Z16&lt;='@LeadT_Setting'!$AK$6),AND(Z16&lt;(DB16-'@LeadT_Setting'!$AI$6),DB16&gt;Z16,U16&gt;0,DB16&lt;'@LeadT_Setting'!$AK$6)),1,0)</f>
        <v/>
      </c>
      <c r="CZ16" s="87">
        <f>IFERROR(AA16*U16,0)</f>
        <v/>
      </c>
      <c r="DA16" s="118">
        <f>IFERROR(Z16*U16,0)</f>
        <v/>
      </c>
      <c r="DB16" s="88">
        <f>IFERROR(IF(OR(U16&lt;=0,TODAY()&lt;V16),0,IF(TODAY()&gt;=W16,1,((TODAY()-V16))/((W16-V16)))),0)</f>
        <v/>
      </c>
      <c r="DC16" s="118">
        <f>IF(OR(AND(TODAY()&gt;W16,Z16&lt;&gt;1,DB16=1),AND(DB16&gt;='@LeadT_Setting'!$AK$6,Z16&lt;='@LeadT_Setting'!$AK$6),AND(Z16&lt;(DB16-'@LeadT_Setting'!$AJ$6),DB16&gt;Z16,U16&gt;0)),1,0)</f>
        <v/>
      </c>
      <c r="DD16" s="119">
        <f>IF(Z16=1,0,IF(AD16="Engineering",1,IF(AD16="Purchase",2,IF(AD16="Software",3,IF(AD16="Project Management",4,IF(AD16="Manufacturing",5,IF(AD16="Sales",6,IF(AD16="Client",7,0))))))))</f>
        <v/>
      </c>
      <c r="DE16" s="203" t="n"/>
      <c r="DF16" s="119">
        <f>Z16*U16</f>
        <v/>
      </c>
      <c r="DG16" s="119">
        <f>U16</f>
        <v/>
      </c>
      <c r="DH16" s="119">
        <f>IF(OR(AND(U16&gt;0,TODAY()&gt;=AB16,Z16&lt;80%,NOT(ISBLANK(AB16))),AND(Z16&lt;&gt;1,U16&gt;0,$V16&lt;TODAY(),ISBLANK($Y16))),1,0)</f>
        <v/>
      </c>
      <c r="DI16" s="82" t="n"/>
      <c r="DJ16" s="93" t="n"/>
      <c r="DK16" s="82" t="n"/>
      <c r="DL16" s="83" t="n"/>
      <c r="DM16" s="87" t="n"/>
    </row>
    <row r="17">
      <c r="A17" s="336" t="inlineStr">
        <is>
          <t>SW</t>
        </is>
      </c>
      <c r="B17" s="304" t="n">
        <v>0</v>
      </c>
      <c r="C17" s="318" t="inlineStr">
        <is>
          <t>*SW Efforts</t>
        </is>
      </c>
      <c r="D17" s="321" t="n">
        <v>35</v>
      </c>
      <c r="E17" s="188" t="n"/>
      <c r="F17" s="8" t="inlineStr">
        <is>
          <t>P3</t>
        </is>
      </c>
      <c r="G17" s="8" t="inlineStr">
        <is>
          <t>SW</t>
        </is>
      </c>
      <c r="H17" s="410" t="inlineStr">
        <is>
          <t>P3-03</t>
        </is>
      </c>
      <c r="I17" s="411" t="inlineStr">
        <is>
          <t>PLC SW</t>
        </is>
      </c>
      <c r="J17" s="130" t="n"/>
      <c r="K17" s="130" t="n"/>
      <c r="L17" s="130" t="n"/>
      <c r="M17" s="130" t="n"/>
      <c r="N17" s="130" t="n"/>
      <c r="O17" s="130" t="n"/>
      <c r="P17" s="130" t="n">
        <v>45106</v>
      </c>
      <c r="Q17" s="130" t="n">
        <v>45135</v>
      </c>
      <c r="R17" s="312" t="n"/>
      <c r="S17" s="417" t="n"/>
      <c r="T17" s="410" t="n"/>
      <c r="U17" s="416" t="n">
        <v>23</v>
      </c>
      <c r="V17" s="43">
        <f>V16</f>
        <v/>
      </c>
      <c r="W17" s="43">
        <f>W18</f>
        <v/>
      </c>
      <c r="X17" s="127" t="n">
        <v>45106</v>
      </c>
      <c r="Y17" s="127" t="n">
        <v>45135</v>
      </c>
      <c r="Z17" s="189" t="n">
        <v>1</v>
      </c>
      <c r="AA17" s="190">
        <f>IFERROR(IF(OR(U17&lt;=0,TODAY()&lt;V17),0,IF(TODAY()&gt;=W17,1,((TODAY()-V17))/((W17-V17)))),0)</f>
        <v/>
      </c>
      <c r="AB17" s="43">
        <f>IFERROR(IF(V17&lt;&gt;"",V17+(W17-V17)*0.8,""),"")</f>
        <v/>
      </c>
      <c r="AC17" s="209" t="n"/>
      <c r="AD17" s="127" t="n"/>
      <c r="AE17" s="14" t="n"/>
      <c r="AF17" s="339" t="n"/>
      <c r="AG17" s="297" t="n"/>
      <c r="AH17" s="284" t="n"/>
      <c r="AI17" s="284" t="n"/>
      <c r="AJ17" s="285" t="n"/>
      <c r="AK17" s="292" t="n"/>
      <c r="AL17" s="139">
        <f>Z17</f>
        <v/>
      </c>
      <c r="AM17" s="63" t="n"/>
      <c r="AN17" s="55" t="n"/>
      <c r="AO17" s="55" t="n"/>
      <c r="AP17" s="55" t="n"/>
      <c r="AQ17" s="55" t="n"/>
      <c r="AR17" s="55" t="n"/>
      <c r="AS17" s="55" t="n"/>
      <c r="AT17" s="55" t="n"/>
      <c r="AU17" s="55" t="n"/>
      <c r="AV17" s="55" t="n"/>
      <c r="AW17" s="55" t="n"/>
      <c r="AX17" s="55" t="n"/>
      <c r="AY17" s="55" t="n"/>
      <c r="AZ17" s="55" t="n"/>
      <c r="BA17" s="55" t="n"/>
      <c r="BB17" s="55" t="n"/>
      <c r="BC17" s="55" t="n"/>
      <c r="BD17" s="55" t="n"/>
      <c r="BE17" s="55" t="n"/>
      <c r="BF17" s="55" t="n"/>
      <c r="BG17" s="55" t="n"/>
      <c r="BH17" s="55" t="n"/>
      <c r="BI17" s="55" t="n"/>
      <c r="BJ17" s="55" t="n"/>
      <c r="BK17" s="55" t="n"/>
      <c r="BL17" s="55" t="n"/>
      <c r="BM17" s="55" t="n"/>
      <c r="BN17" s="55" t="n"/>
      <c r="BO17" s="55" t="n"/>
      <c r="BP17" s="55" t="n"/>
      <c r="BQ17" s="55" t="n"/>
      <c r="BR17" s="55" t="n"/>
      <c r="BS17" s="55" t="n"/>
      <c r="BT17" s="55" t="n"/>
      <c r="BU17" s="55" t="n"/>
      <c r="BV17" s="55" t="n"/>
      <c r="BW17" s="55" t="n"/>
      <c r="BX17" s="55" t="n"/>
      <c r="BY17" s="55" t="n"/>
      <c r="BZ17" s="55" t="n"/>
      <c r="CA17" s="55" t="n"/>
      <c r="CB17" s="55" t="n"/>
      <c r="CC17" s="55" t="n"/>
      <c r="CD17" s="55" t="n"/>
      <c r="CE17" s="55" t="n"/>
      <c r="CF17" s="55" t="n"/>
      <c r="CG17" s="55" t="n"/>
      <c r="CH17" s="55" t="n"/>
      <c r="CI17" s="55" t="n"/>
      <c r="CJ17" s="55" t="n"/>
      <c r="CK17" s="55" t="n"/>
      <c r="CL17" s="55" t="n"/>
      <c r="CM17" s="55" t="n"/>
      <c r="CN17" s="55" t="n"/>
      <c r="CO17" s="55" t="n"/>
      <c r="CP17" s="55" t="n"/>
      <c r="CQ17" s="55" t="n"/>
      <c r="CR17" s="55" t="n"/>
      <c r="CS17" s="55" t="n"/>
      <c r="CT17" s="55" t="n"/>
      <c r="CU17" s="67" t="n"/>
      <c r="CV17" s="87" t="n"/>
      <c r="CW17" s="87" t="n"/>
      <c r="CX17" s="81" t="n"/>
      <c r="CY17" s="87">
        <f>IF(OR(AND(TODAY()&gt;W17,Z17&lt;&gt;1,DB17=1),AND(DB17&gt;='@LeadT_Setting'!$AK$6,Z17&lt;='@LeadT_Setting'!$AK$6),AND(Z17&lt;(DB17-'@LeadT_Setting'!$AI$6),DB17&gt;Z17,U17&gt;0,DB17&lt;'@LeadT_Setting'!$AK$6)),1,0)</f>
        <v/>
      </c>
      <c r="CZ17" s="87">
        <f>IFERROR(AA17*U17,0)</f>
        <v/>
      </c>
      <c r="DA17" s="118">
        <f>IFERROR(Z17*U17,0)</f>
        <v/>
      </c>
      <c r="DB17" s="88">
        <f>IFERROR(IF(OR(U17&lt;=0,TODAY()&lt;V17),0,IF(TODAY()&gt;=W17,1,((TODAY()-V17))/((W17-V17)))),0)</f>
        <v/>
      </c>
      <c r="DC17" s="118">
        <f>IF(OR(AND(TODAY()&gt;W17,Z17&lt;&gt;1,DB17=1),AND(DB17&gt;='@LeadT_Setting'!$AK$6,Z17&lt;='@LeadT_Setting'!$AK$6),AND(Z17&lt;(DB17-'@LeadT_Setting'!$AJ$6),DB17&gt;Z17,U17&gt;0)),1,0)</f>
        <v/>
      </c>
      <c r="DD17" s="119">
        <f>IF(Z17=1,0,IF(AD17="Engineering",1,IF(AD17="Purchase",2,IF(AD17="Software",3,IF(AD17="Project Management",4,IF(AD17="Manufacturing",5,IF(AD17="Sales",6,IF(AD17="Client",7,0))))))))</f>
        <v/>
      </c>
      <c r="DE17" s="202" t="n"/>
      <c r="DF17" s="119">
        <f>Z17*U17</f>
        <v/>
      </c>
      <c r="DG17" s="119">
        <f>U17</f>
        <v/>
      </c>
      <c r="DH17" s="119">
        <f>IF(OR(AND(U17&gt;0,TODAY()&gt;=AB17,Z17&lt;80%,NOT(ISBLANK(AB17))),AND(Z17&lt;&gt;1,U17&gt;0,$V17&lt;TODAY(),ISBLANK($Y17))),1,0)</f>
        <v/>
      </c>
      <c r="DI17" s="82" t="n"/>
      <c r="DJ17" s="93" t="n"/>
      <c r="DK17" s="82" t="n"/>
      <c r="DL17" s="83" t="n"/>
      <c r="DM17" s="87" t="n"/>
    </row>
    <row r="18">
      <c r="A18" s="336" t="inlineStr">
        <is>
          <t>SW</t>
        </is>
      </c>
      <c r="B18" s="306" t="n"/>
      <c r="C18" s="306" t="n"/>
      <c r="D18" s="306" t="n"/>
      <c r="E18" s="188" t="n"/>
      <c r="F18" s="8" t="inlineStr">
        <is>
          <t>P3</t>
        </is>
      </c>
      <c r="G18" s="8" t="inlineStr">
        <is>
          <t>SW</t>
        </is>
      </c>
      <c r="H18" s="410" t="inlineStr">
        <is>
          <t>P3-04</t>
        </is>
      </c>
      <c r="I18" s="411" t="inlineStr">
        <is>
          <t>HMI/SCADA</t>
        </is>
      </c>
      <c r="J18" s="130" t="n"/>
      <c r="K18" s="130" t="n"/>
      <c r="L18" s="130" t="n"/>
      <c r="M18" s="130" t="n"/>
      <c r="N18" s="130" t="n"/>
      <c r="O18" s="130" t="n"/>
      <c r="P18" s="130" t="n">
        <v>45106</v>
      </c>
      <c r="Q18" s="130" t="n">
        <v>45135</v>
      </c>
      <c r="R18" s="312" t="n"/>
      <c r="S18" s="417" t="n"/>
      <c r="T18" s="413" t="n"/>
      <c r="U18" s="416" t="n">
        <v>10</v>
      </c>
      <c r="V18" s="43">
        <f>V17</f>
        <v/>
      </c>
      <c r="W18" s="43">
        <f>W19</f>
        <v/>
      </c>
      <c r="X18" s="127" t="n">
        <v>45106</v>
      </c>
      <c r="Y18" s="127" t="n">
        <v>45135</v>
      </c>
      <c r="Z18" s="189" t="n">
        <v>1</v>
      </c>
      <c r="AA18" s="190">
        <f>IFERROR(IF(OR(U18&lt;=0,TODAY()&lt;V18),0,IF(TODAY()&gt;=W18,1,((TODAY()-V18))/((W18-V18)))),0)</f>
        <v/>
      </c>
      <c r="AB18" s="43">
        <f>IFERROR(IF(V18&lt;&gt;"",V18+(W18-V18)*0.8,""),"")</f>
        <v/>
      </c>
      <c r="AC18" s="209" t="n"/>
      <c r="AD18" s="127" t="n"/>
      <c r="AE18" s="14" t="n"/>
      <c r="AF18" s="128" t="n"/>
      <c r="AG18" s="297" t="n"/>
      <c r="AH18" s="284" t="n"/>
      <c r="AI18" s="284" t="n"/>
      <c r="AJ18" s="285" t="n"/>
      <c r="AK18" s="292" t="n"/>
      <c r="AL18" s="139">
        <f>Z18</f>
        <v/>
      </c>
      <c r="AM18" s="63"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55" t="n"/>
      <c r="CF18" s="55" t="n"/>
      <c r="CG18" s="55" t="n"/>
      <c r="CH18" s="55" t="n"/>
      <c r="CI18" s="55" t="n"/>
      <c r="CJ18" s="55" t="n"/>
      <c r="CK18" s="55" t="n"/>
      <c r="CL18" s="55" t="n"/>
      <c r="CM18" s="55" t="n"/>
      <c r="CN18" s="55" t="n"/>
      <c r="CO18" s="55" t="n"/>
      <c r="CP18" s="55" t="n"/>
      <c r="CQ18" s="55" t="n"/>
      <c r="CR18" s="55" t="n"/>
      <c r="CS18" s="55" t="n"/>
      <c r="CT18" s="55" t="n"/>
      <c r="CU18" s="67" t="n"/>
      <c r="CV18" s="87" t="n"/>
      <c r="CW18" s="87" t="n"/>
      <c r="CX18" s="81" t="n"/>
      <c r="CY18" s="87">
        <f>IF(OR(AND(TODAY()&gt;W18,Z18&lt;&gt;1,DB18=1),AND(DB18&gt;='@LeadT_Setting'!$AK$6,Z18&lt;='@LeadT_Setting'!$AK$6),AND(Z18&lt;(DB18-'@LeadT_Setting'!$AI$6),DB18&gt;Z18,U18&gt;0,DB18&lt;'@LeadT_Setting'!$AK$6)),1,0)</f>
        <v/>
      </c>
      <c r="CZ18" s="87">
        <f>IFERROR(AA18*U18,0)</f>
        <v/>
      </c>
      <c r="DA18" s="118">
        <f>IFERROR(Z18*U18,0)</f>
        <v/>
      </c>
      <c r="DB18" s="88">
        <f>IFERROR(IF(OR(U18&lt;=0,TODAY()&lt;V18),0,IF(TODAY()&gt;=W18,1,((TODAY()-V18))/((W18-V18)))),0)</f>
        <v/>
      </c>
      <c r="DC18" s="118">
        <f>IF(OR(AND(TODAY()&gt;W18,Z18&lt;&gt;1,DB18=1),AND(DB18&gt;='@LeadT_Setting'!$AK$6,Z18&lt;='@LeadT_Setting'!$AK$6),AND(Z18&lt;(DB18-'@LeadT_Setting'!$AJ$6),DB18&gt;Z18,U18&gt;0)),1,0)</f>
        <v/>
      </c>
      <c r="DD18" s="119">
        <f>IF(Z18=1,0,IF(AD18="Engineering",1,IF(AD18="Purchase",2,IF(AD18="Software",3,IF(AD18="Project Management",4,IF(AD18="Manufacturing",5,IF(AD18="Sales",6,IF(AD18="Client",7,0))))))))</f>
        <v/>
      </c>
      <c r="DE18" s="203" t="n"/>
      <c r="DF18" s="119">
        <f>Z18*U18</f>
        <v/>
      </c>
      <c r="DG18" s="119">
        <f>U18</f>
        <v/>
      </c>
      <c r="DH18" s="119">
        <f>IF(OR(AND(U18&gt;0,TODAY()&gt;=AB18,Z18&lt;80%,NOT(ISBLANK(AB18))),AND(Z18&lt;&gt;1,U18&gt;0,$V18&lt;TODAY(),ISBLANK($Y18))),1,0)</f>
        <v/>
      </c>
      <c r="DI18" s="82" t="n"/>
      <c r="DJ18" s="93" t="n"/>
      <c r="DK18" s="82" t="n"/>
      <c r="DL18" s="83" t="n"/>
      <c r="DM18" s="87" t="n"/>
    </row>
    <row r="19">
      <c r="A19" s="336" t="inlineStr">
        <is>
          <t>SW</t>
        </is>
      </c>
      <c r="B19" s="306" t="n"/>
      <c r="C19" s="306" t="n"/>
      <c r="D19" s="306" t="n"/>
      <c r="E19" s="188" t="n"/>
      <c r="F19" s="8" t="inlineStr">
        <is>
          <t>P3</t>
        </is>
      </c>
      <c r="G19" s="8" t="inlineStr">
        <is>
          <t>SW</t>
        </is>
      </c>
      <c r="H19" s="410" t="inlineStr">
        <is>
          <t>P3-05</t>
        </is>
      </c>
      <c r="I19" s="411" t="inlineStr">
        <is>
          <t>Report</t>
        </is>
      </c>
      <c r="J19" s="130" t="n"/>
      <c r="K19" s="130" t="n"/>
      <c r="L19" s="130" t="n"/>
      <c r="M19" s="130" t="n"/>
      <c r="N19" s="130" t="n"/>
      <c r="O19" s="130" t="n"/>
      <c r="P19" s="130" t="n">
        <v>45106</v>
      </c>
      <c r="Q19" s="130" t="n">
        <v>45135</v>
      </c>
      <c r="R19" s="312" t="n"/>
      <c r="S19" s="417" t="n"/>
      <c r="T19" s="413" t="n"/>
      <c r="U19" s="416" t="n">
        <v>5</v>
      </c>
      <c r="V19" s="43">
        <f>V18</f>
        <v/>
      </c>
      <c r="W19" s="43">
        <f>W20</f>
        <v/>
      </c>
      <c r="X19" s="127" t="n">
        <v>45106</v>
      </c>
      <c r="Y19" s="127" t="n">
        <v>45135</v>
      </c>
      <c r="Z19" s="189" t="n">
        <v>1</v>
      </c>
      <c r="AA19" s="190">
        <f>IFERROR(IF(OR(U19&lt;=0,TODAY()&lt;V19),0,IF(TODAY()&gt;=W19,1,((TODAY()-V19))/((W19-V19)))),0)</f>
        <v/>
      </c>
      <c r="AB19" s="43">
        <f>IFERROR(IF(V19&lt;&gt;"",V19+(W19-V19)*0.8,""),"")</f>
        <v/>
      </c>
      <c r="AC19" s="209" t="n"/>
      <c r="AD19" s="127" t="n"/>
      <c r="AE19" s="14" t="n"/>
      <c r="AF19" s="128" t="n"/>
      <c r="AG19" s="297" t="n"/>
      <c r="AH19" s="284" t="n"/>
      <c r="AI19" s="284" t="n"/>
      <c r="AJ19" s="285" t="n"/>
      <c r="AK19" s="292" t="n"/>
      <c r="AL19" s="139">
        <f>Z19</f>
        <v/>
      </c>
      <c r="AM19" s="63"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c r="BO19" s="55" t="n"/>
      <c r="BP19" s="55" t="n"/>
      <c r="BQ19" s="55" t="n"/>
      <c r="BR19" s="55" t="n"/>
      <c r="BS19" s="55" t="n"/>
      <c r="BT19" s="55" t="n"/>
      <c r="BU19" s="55" t="n"/>
      <c r="BV19" s="55" t="n"/>
      <c r="BW19" s="55" t="n"/>
      <c r="BX19" s="55" t="n"/>
      <c r="BY19" s="55" t="n"/>
      <c r="BZ19" s="55" t="n"/>
      <c r="CA19" s="55" t="n"/>
      <c r="CB19" s="55" t="n"/>
      <c r="CC19" s="55" t="n"/>
      <c r="CD19" s="55" t="n"/>
      <c r="CE19" s="55" t="n"/>
      <c r="CF19" s="55" t="n"/>
      <c r="CG19" s="55" t="n"/>
      <c r="CH19" s="55" t="n"/>
      <c r="CI19" s="55" t="n"/>
      <c r="CJ19" s="55" t="n"/>
      <c r="CK19" s="55" t="n"/>
      <c r="CL19" s="55" t="n"/>
      <c r="CM19" s="55" t="n"/>
      <c r="CN19" s="55" t="n"/>
      <c r="CO19" s="55" t="n"/>
      <c r="CP19" s="55" t="n"/>
      <c r="CQ19" s="55" t="n"/>
      <c r="CR19" s="55" t="n"/>
      <c r="CS19" s="55" t="n"/>
      <c r="CT19" s="55" t="n"/>
      <c r="CU19" s="67" t="n"/>
      <c r="CV19" s="87" t="n"/>
      <c r="CW19" s="87" t="n"/>
      <c r="CX19" s="81" t="n"/>
      <c r="CY19" s="87">
        <f>IF(OR(AND(TODAY()&gt;W19,Z19&lt;&gt;1,DB19=1),AND(DB19&gt;='@LeadT_Setting'!$AK$6,Z19&lt;='@LeadT_Setting'!$AK$6),AND(Z19&lt;(DB19-'@LeadT_Setting'!$AI$6),DB19&gt;Z19,U19&gt;0,DB19&lt;'@LeadT_Setting'!$AK$6)),1,0)</f>
        <v/>
      </c>
      <c r="CZ19" s="87">
        <f>IFERROR(AA19*U19,0)</f>
        <v/>
      </c>
      <c r="DA19" s="118">
        <f>IFERROR(Z19*U19,0)</f>
        <v/>
      </c>
      <c r="DB19" s="88">
        <f>IFERROR(IF(OR(U19&lt;=0,TODAY()&lt;V19),0,IF(TODAY()&gt;=W19,1,((TODAY()-V19))/((W19-V19)))),0)</f>
        <v/>
      </c>
      <c r="DC19" s="118">
        <f>IF(OR(AND(TODAY()&gt;W19,Z19&lt;&gt;1,DB19=1),AND(DB19&gt;='@LeadT_Setting'!$AK$6,Z19&lt;='@LeadT_Setting'!$AK$6),AND(Z19&lt;(DB19-'@LeadT_Setting'!$AJ$6),DB19&gt;Z19,U19&gt;0)),1,0)</f>
        <v/>
      </c>
      <c r="DD19" s="119">
        <f>IF(Z19=1,0,IF(AD19="Engineering",1,IF(AD19="Purchase",2,IF(AD19="Software",3,IF(AD19="Project Management",4,IF(AD19="Manufacturing",5,IF(AD19="Sales",6,IF(AD19="Client",7,0))))))))</f>
        <v/>
      </c>
      <c r="DE19" s="203" t="n"/>
      <c r="DF19" s="119">
        <f>Z19*U19</f>
        <v/>
      </c>
      <c r="DG19" s="119">
        <f>U19</f>
        <v/>
      </c>
      <c r="DH19" s="119">
        <f>IF(OR(AND(U19&gt;0,TODAY()&gt;=AB19,Z19&lt;80%,NOT(ISBLANK(AB19))),AND(Z19&lt;&gt;1,U19&gt;0,$V19&lt;TODAY(),ISBLANK($Y19))),1,0)</f>
        <v/>
      </c>
      <c r="DI19" s="82" t="n"/>
      <c r="DJ19" s="93" t="n"/>
      <c r="DK19" s="82" t="n"/>
      <c r="DL19" s="83" t="n"/>
      <c r="DM19" s="87" t="n"/>
    </row>
    <row r="20">
      <c r="A20" s="336" t="inlineStr">
        <is>
          <t>SW</t>
        </is>
      </c>
      <c r="B20" s="306" t="n"/>
      <c r="C20" s="306" t="n"/>
      <c r="D20" s="306" t="n"/>
      <c r="E20" s="188" t="n"/>
      <c r="F20" s="8" t="inlineStr">
        <is>
          <t>P3</t>
        </is>
      </c>
      <c r="G20" s="8" t="inlineStr">
        <is>
          <t>SW</t>
        </is>
      </c>
      <c r="H20" s="410" t="inlineStr">
        <is>
          <t>P3-06</t>
        </is>
      </c>
      <c r="I20" s="411" t="inlineStr">
        <is>
          <t>Internal testing</t>
        </is>
      </c>
      <c r="J20" s="130" t="n"/>
      <c r="K20" s="130" t="n"/>
      <c r="L20" s="130" t="n"/>
      <c r="M20" s="130" t="n"/>
      <c r="N20" s="130" t="n"/>
      <c r="O20" s="130" t="n"/>
      <c r="P20" s="130" t="n">
        <v>45106</v>
      </c>
      <c r="Q20" s="130" t="n">
        <v>45135</v>
      </c>
      <c r="R20" s="312" t="n"/>
      <c r="S20" s="417" t="n"/>
      <c r="T20" s="413" t="n"/>
      <c r="U20" s="416" t="n">
        <v>4</v>
      </c>
      <c r="V20" s="43">
        <f>V19</f>
        <v/>
      </c>
      <c r="W20" s="43">
        <f>IFERROR(IF(S21=0,V21,V21-1),"")</f>
        <v/>
      </c>
      <c r="X20" s="127" t="n">
        <v>45106</v>
      </c>
      <c r="Y20" s="127" t="n">
        <v>45135</v>
      </c>
      <c r="Z20" s="189" t="n">
        <v>1</v>
      </c>
      <c r="AA20" s="190">
        <f>IFERROR(IF(OR(U20&lt;=0,TODAY()&lt;V20),0,IF(TODAY()&gt;=W20,1,((TODAY()-V20))/((W20-V20)))),0)</f>
        <v/>
      </c>
      <c r="AB20" s="43">
        <f>IFERROR(IF(V20&lt;&gt;"",V20+(W20-V20)*0.8,""),"")</f>
        <v/>
      </c>
      <c r="AC20" s="209" t="n"/>
      <c r="AD20" s="127" t="n"/>
      <c r="AE20" s="14" t="n"/>
      <c r="AF20" s="128" t="n"/>
      <c r="AG20" s="297" t="n"/>
      <c r="AH20" s="284" t="n"/>
      <c r="AI20" s="284" t="n"/>
      <c r="AJ20" s="285" t="n"/>
      <c r="AK20" s="292" t="n"/>
      <c r="AL20" s="139">
        <f>Z20</f>
        <v/>
      </c>
      <c r="AM20" s="63"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c r="BP20" s="55" t="n"/>
      <c r="BQ20" s="55" t="n"/>
      <c r="BR20" s="55" t="n"/>
      <c r="BS20" s="55" t="n"/>
      <c r="BT20" s="55" t="n"/>
      <c r="BU20" s="55" t="n"/>
      <c r="BV20" s="55" t="n"/>
      <c r="BW20" s="55" t="n"/>
      <c r="BX20" s="55" t="n"/>
      <c r="BY20" s="55" t="n"/>
      <c r="BZ20" s="55" t="n"/>
      <c r="CA20" s="55" t="n"/>
      <c r="CB20" s="55" t="n"/>
      <c r="CC20" s="55" t="n"/>
      <c r="CD20" s="55" t="n"/>
      <c r="CE20" s="55" t="n"/>
      <c r="CF20" s="55" t="n"/>
      <c r="CG20" s="55" t="n"/>
      <c r="CH20" s="55" t="n"/>
      <c r="CI20" s="55" t="n"/>
      <c r="CJ20" s="55" t="n"/>
      <c r="CK20" s="55" t="n"/>
      <c r="CL20" s="55" t="n"/>
      <c r="CM20" s="55" t="n"/>
      <c r="CN20" s="55" t="n"/>
      <c r="CO20" s="55" t="n"/>
      <c r="CP20" s="55" t="n"/>
      <c r="CQ20" s="55" t="n"/>
      <c r="CR20" s="55" t="n"/>
      <c r="CS20" s="55" t="n"/>
      <c r="CT20" s="55" t="n"/>
      <c r="CU20" s="67" t="n"/>
      <c r="CV20" s="87" t="n"/>
      <c r="CW20" s="87" t="n"/>
      <c r="CX20" s="81" t="n"/>
      <c r="CY20" s="87">
        <f>IF(OR(AND(TODAY()&gt;W20,Z20&lt;&gt;1,DB20=1),AND(DB20&gt;='@LeadT_Setting'!$AK$6,Z20&lt;='@LeadT_Setting'!$AK$6),AND(Z20&lt;(DB20-'@LeadT_Setting'!$AI$6),DB20&gt;Z20,U20&gt;0,DB20&lt;'@LeadT_Setting'!$AK$6)),1,0)</f>
        <v/>
      </c>
      <c r="CZ20" s="87">
        <f>IFERROR(AA20*U20,0)</f>
        <v/>
      </c>
      <c r="DA20" s="118">
        <f>IFERROR(Z20*U20,0)</f>
        <v/>
      </c>
      <c r="DB20" s="88">
        <f>IFERROR(IF(OR(U20&lt;=0,TODAY()&lt;V20),0,IF(TODAY()&gt;=W20,1,((TODAY()-V20))/((W20-V20)))),0)</f>
        <v/>
      </c>
      <c r="DC20" s="118">
        <f>IF(OR(AND(TODAY()&gt;W20,Z20&lt;&gt;1,DB20=1),AND(DB20&gt;='@LeadT_Setting'!$AK$6,Z20&lt;='@LeadT_Setting'!$AK$6),AND(Z20&lt;(DB20-'@LeadT_Setting'!$AJ$6),DB20&gt;Z20,U20&gt;0)),1,0)</f>
        <v/>
      </c>
      <c r="DD20" s="119">
        <f>IF(Z20=1,0,IF(AD20="Engineering",1,IF(AD20="Purchase",2,IF(AD20="Software",3,IF(AD20="Project Management",4,IF(AD20="Manufacturing",5,IF(AD20="Sales",6,IF(AD20="Client",7,0))))))))</f>
        <v/>
      </c>
      <c r="DE20" s="202" t="n"/>
      <c r="DF20" s="119">
        <f>Z20*U20</f>
        <v/>
      </c>
      <c r="DG20" s="119">
        <f>U20</f>
        <v/>
      </c>
      <c r="DH20" s="119">
        <f>IF(OR(AND(U20&gt;0,TODAY()&gt;=AB20,Z20&lt;80%,NOT(ISBLANK(AB20))),AND(Z20&lt;&gt;1,U20&gt;0,$V20&lt;TODAY(),ISBLANK($Y20))),1,0)</f>
        <v/>
      </c>
      <c r="DI20" s="82" t="n"/>
      <c r="DJ20" s="93" t="n"/>
      <c r="DK20" s="82" t="n"/>
      <c r="DL20" s="83" t="n"/>
      <c r="DM20" s="87" t="n"/>
    </row>
    <row r="21">
      <c r="A21" s="336" t="inlineStr">
        <is>
          <t>SW</t>
        </is>
      </c>
      <c r="B21" s="306" t="n"/>
      <c r="C21" s="306" t="n"/>
      <c r="D21" s="306" t="n"/>
      <c r="E21" s="188" t="n"/>
      <c r="F21" s="8" t="inlineStr">
        <is>
          <t>P3</t>
        </is>
      </c>
      <c r="G21" s="8" t="inlineStr">
        <is>
          <t>SW</t>
        </is>
      </c>
      <c r="H21" s="410" t="inlineStr">
        <is>
          <t>P3-07</t>
        </is>
      </c>
      <c r="I21" s="411" t="inlineStr">
        <is>
          <t>SW FAT Call with Test Report</t>
        </is>
      </c>
      <c r="J21" s="130" t="n"/>
      <c r="K21" s="130" t="n"/>
      <c r="L21" s="130" t="n"/>
      <c r="M21" s="130" t="n"/>
      <c r="N21" s="130" t="n"/>
      <c r="O21" s="130" t="n"/>
      <c r="P21" s="130" t="n">
        <v>45136</v>
      </c>
      <c r="Q21" s="130" t="n">
        <v>45139</v>
      </c>
      <c r="R21" s="330">
        <f>IFERROR(INDEX('@LeadT_Setting'!$F$6:$J$52,MATCH(I21,'@LeadT_Setting'!$E$6:$E$52,0),MATCH(INDEX('@LeadT_Setting'!$AI$1:$AI$3,MATCH($A21,'@LeadT_Setting'!$AD$1:$AD$3,0),0),'@LeadT_Setting'!$F$1:$J$1,0)),0)</f>
        <v/>
      </c>
      <c r="S21" s="412" t="n">
        <v>4</v>
      </c>
      <c r="T21" s="413" t="n"/>
      <c r="U21" s="416" t="n">
        <v>1</v>
      </c>
      <c r="V21" s="43">
        <f>IFERROR(IF(OR(S21=0,S21=""),W21,W21-S21+1),"")</f>
        <v/>
      </c>
      <c r="W21" s="43">
        <f>IFERROR(IF(S22=0,V22,V22-1),"")</f>
        <v/>
      </c>
      <c r="X21" s="127" t="n">
        <v>45136</v>
      </c>
      <c r="Y21" s="127" t="n">
        <v>45139</v>
      </c>
      <c r="Z21" s="189" t="n">
        <v>1</v>
      </c>
      <c r="AA21" s="190">
        <f>IFERROR(IF(OR(U21&lt;=0,TODAY()&lt;V21),0,IF(TODAY()&gt;=W21,1,((TODAY()-V21))/((W21-V21)))),0)</f>
        <v/>
      </c>
      <c r="AB21" s="43">
        <f>IFERROR(IF(V21&lt;&gt;"",V21+(W21-V21)*0.8,""),"")</f>
        <v/>
      </c>
      <c r="AC21" s="209" t="n"/>
      <c r="AD21" s="127" t="n"/>
      <c r="AE21" s="14" t="n"/>
      <c r="AF21" s="128" t="n"/>
      <c r="AG21" s="297" t="n"/>
      <c r="AH21" s="284" t="n"/>
      <c r="AI21" s="284" t="n"/>
      <c r="AJ21" s="285" t="n"/>
      <c r="AK21" s="292" t="n"/>
      <c r="AL21" s="139">
        <f>Z21</f>
        <v/>
      </c>
      <c r="AM21" s="63" t="n"/>
      <c r="AN21" s="55" t="n"/>
      <c r="AO21" s="55" t="n"/>
      <c r="AP21" s="55" t="n"/>
      <c r="AQ21" s="55" t="n"/>
      <c r="AR21" s="55" t="n"/>
      <c r="AS21" s="55" t="n"/>
      <c r="AT21" s="55" t="n"/>
      <c r="AU21" s="55" t="n"/>
      <c r="AV21" s="55" t="n"/>
      <c r="AW21" s="55" t="n"/>
      <c r="AX21" s="55" t="n"/>
      <c r="AY21" s="55" t="n"/>
      <c r="AZ21" s="55" t="n"/>
      <c r="BA21" s="55" t="n"/>
      <c r="BB21" s="55" t="n"/>
      <c r="BC21" s="55" t="n"/>
      <c r="BD21" s="55" t="n"/>
      <c r="BE21" s="55" t="n"/>
      <c r="BF21" s="55" t="n"/>
      <c r="BG21" s="55" t="n"/>
      <c r="BH21" s="55" t="n"/>
      <c r="BI21" s="55" t="n"/>
      <c r="BJ21" s="55" t="n"/>
      <c r="BK21" s="55" t="n"/>
      <c r="BL21" s="55" t="n"/>
      <c r="BM21" s="55" t="n"/>
      <c r="BN21" s="55" t="n"/>
      <c r="BO21" s="55" t="n"/>
      <c r="BP21" s="55" t="n"/>
      <c r="BQ21" s="55" t="n"/>
      <c r="BR21" s="55" t="n"/>
      <c r="BS21" s="55" t="n"/>
      <c r="BT21" s="55" t="n"/>
      <c r="BU21" s="55" t="n"/>
      <c r="BV21" s="55" t="n"/>
      <c r="BW21" s="55" t="n"/>
      <c r="BX21" s="55" t="n"/>
      <c r="BY21" s="55" t="n"/>
      <c r="BZ21" s="55" t="n"/>
      <c r="CA21" s="55" t="n"/>
      <c r="CB21" s="55" t="n"/>
      <c r="CC21" s="55" t="n"/>
      <c r="CD21" s="55" t="n"/>
      <c r="CE21" s="55" t="n"/>
      <c r="CF21" s="55" t="n"/>
      <c r="CG21" s="55" t="n"/>
      <c r="CH21" s="55" t="n"/>
      <c r="CI21" s="55" t="n"/>
      <c r="CJ21" s="55" t="n"/>
      <c r="CK21" s="55" t="n"/>
      <c r="CL21" s="55" t="n"/>
      <c r="CM21" s="55" t="n"/>
      <c r="CN21" s="55" t="n"/>
      <c r="CO21" s="55" t="n"/>
      <c r="CP21" s="55" t="n"/>
      <c r="CQ21" s="55" t="n"/>
      <c r="CR21" s="55" t="n"/>
      <c r="CS21" s="55" t="n"/>
      <c r="CT21" s="55" t="n"/>
      <c r="CU21" s="67" t="n"/>
      <c r="CV21" s="87" t="n"/>
      <c r="CW21" s="87" t="n"/>
      <c r="CX21" s="81" t="n"/>
      <c r="CY21" s="87">
        <f>IF(OR(AND(TODAY()&gt;W21,Z21&lt;&gt;1,DB21=1),AND(DB21&gt;='@LeadT_Setting'!$AK$6,Z21&lt;='@LeadT_Setting'!$AK$6),AND(Z21&lt;(DB21-'@LeadT_Setting'!$AI$6),DB21&gt;Z21,U21&gt;0,DB21&lt;'@LeadT_Setting'!$AK$6)),1,0)</f>
        <v/>
      </c>
      <c r="CZ21" s="87">
        <f>IFERROR(AA21*U21,0)</f>
        <v/>
      </c>
      <c r="DA21" s="118">
        <f>IFERROR(Z21*U21,0)</f>
        <v/>
      </c>
      <c r="DB21" s="88">
        <f>IFERROR(IF(OR(U21&lt;=0,TODAY()&lt;V21),0,IF(TODAY()&gt;=W21,1,((TODAY()-V21))/((W21-V21)))),0)</f>
        <v/>
      </c>
      <c r="DC21" s="118">
        <f>IF(OR(AND(TODAY()&gt;W21,Z21&lt;&gt;1,DB21=1),AND(DB21&gt;='@LeadT_Setting'!$AK$6,Z21&lt;='@LeadT_Setting'!$AK$6),AND(Z21&lt;(DB21-'@LeadT_Setting'!$AJ$6),DB21&gt;Z21,U21&gt;0)),1,0)</f>
        <v/>
      </c>
      <c r="DD21" s="119">
        <f>IF(Z21=1,0,IF(AD21="Engineering",1,IF(AD21="Purchase",2,IF(AD21="Software",3,IF(AD21="Project Management",4,IF(AD21="Manufacturing",5,IF(AD21="Sales",6,IF(AD21="Client",7,0))))))))</f>
        <v/>
      </c>
      <c r="DE21" s="202" t="n"/>
      <c r="DF21" s="119">
        <f>Z21*U21</f>
        <v/>
      </c>
      <c r="DG21" s="119">
        <f>U21</f>
        <v/>
      </c>
      <c r="DH21" s="119">
        <f>IF(OR(AND(U21&gt;0,TODAY()&gt;=AB21,Z21&lt;80%,NOT(ISBLANK(AB21))),AND(Z21&lt;&gt;1,U21&gt;0,$V21&lt;TODAY(),ISBLANK($Y21))),1,0)</f>
        <v/>
      </c>
      <c r="DI21" s="82" t="n"/>
      <c r="DJ21" s="93" t="n"/>
      <c r="DK21" s="82" t="n"/>
      <c r="DL21" s="83" t="n"/>
      <c r="DM21" s="87" t="n"/>
    </row>
    <row r="22">
      <c r="A22" s="336" t="inlineStr">
        <is>
          <t>SW</t>
        </is>
      </c>
      <c r="B22" s="306" t="n"/>
      <c r="C22" s="306" t="n"/>
      <c r="D22" s="306" t="n"/>
      <c r="E22" s="188" t="n"/>
      <c r="F22" s="8" t="inlineStr">
        <is>
          <t>P3</t>
        </is>
      </c>
      <c r="G22" s="8" t="inlineStr">
        <is>
          <t>SW</t>
        </is>
      </c>
      <c r="H22" s="410" t="inlineStr">
        <is>
          <t>P3-08</t>
        </is>
      </c>
      <c r="I22" s="411" t="inlineStr">
        <is>
          <t>SW FAT</t>
        </is>
      </c>
      <c r="J22" s="130" t="n"/>
      <c r="K22" s="130" t="n"/>
      <c r="L22" s="130" t="n"/>
      <c r="M22" s="130" t="n"/>
      <c r="N22" s="130" t="n"/>
      <c r="O22" s="130" t="n"/>
      <c r="P22" s="130" t="n">
        <v>45140</v>
      </c>
      <c r="Q22" s="130" t="n">
        <v>45141</v>
      </c>
      <c r="R22" s="48">
        <f>IFERROR(INDEX('@LeadT_Setting'!$F$6:$J$52,MATCH(I22,'@LeadT_Setting'!$E$6:$E$52,0),MATCH(INDEX('@LeadT_Setting'!$AI$1:$AI$3,MATCH($A22,'@LeadT_Setting'!$AD$1:$AD$3,0),0),'@LeadT_Setting'!$F$1:$J$1,0)),0)</f>
        <v/>
      </c>
      <c r="S22" s="412" t="n">
        <v>2</v>
      </c>
      <c r="T22" s="418" t="n"/>
      <c r="U22" s="416" t="n">
        <v>5</v>
      </c>
      <c r="V22" s="43">
        <f>IF(ISBLANK(C30),"",C30)</f>
        <v/>
      </c>
      <c r="W22" s="43">
        <f>IFERROR(IF($S22&lt;&gt;"",IF(OR(V22=0,V22=""),V22,V22+S22-1),""),"")</f>
        <v/>
      </c>
      <c r="X22" s="127" t="n">
        <v>45140</v>
      </c>
      <c r="Y22" s="127" t="n">
        <v>45141</v>
      </c>
      <c r="Z22" s="189" t="n">
        <v>1</v>
      </c>
      <c r="AA22" s="190">
        <f>IFERROR(IF(OR(U22&lt;=0,TODAY()&lt;V22),0,IF(TODAY()&gt;=W22,1,((TODAY()-V22))/((W22-V22)))),0)</f>
        <v/>
      </c>
      <c r="AB22" s="43">
        <f>IFERROR(IF(V22&lt;&gt;"",V22+(W22-V22)*0.8,""),"")</f>
        <v/>
      </c>
      <c r="AC22" s="209" t="n"/>
      <c r="AD22" s="127" t="n"/>
      <c r="AE22" s="14" t="n"/>
      <c r="AF22" s="128" t="n"/>
      <c r="AG22" s="297" t="n"/>
      <c r="AH22" s="284" t="n"/>
      <c r="AI22" s="284" t="n"/>
      <c r="AJ22" s="285" t="n"/>
      <c r="AK22" s="292" t="n"/>
      <c r="AL22" s="139">
        <f>Z22</f>
        <v/>
      </c>
      <c r="AM22" s="63" t="n"/>
      <c r="AN22" s="55" t="n"/>
      <c r="AO22" s="55" t="n"/>
      <c r="AP22" s="55" t="n"/>
      <c r="AQ22" s="55" t="n"/>
      <c r="AR22" s="55" t="n"/>
      <c r="AS22" s="55" t="n"/>
      <c r="AT22" s="55" t="n"/>
      <c r="AU22" s="55" t="n"/>
      <c r="AV22" s="55" t="n"/>
      <c r="AW22" s="55" t="n"/>
      <c r="AX22" s="55" t="n"/>
      <c r="AY22" s="55" t="n"/>
      <c r="AZ22" s="55" t="n"/>
      <c r="BA22" s="55" t="n"/>
      <c r="BB22" s="55" t="n"/>
      <c r="BC22" s="55" t="n"/>
      <c r="BD22" s="55" t="n"/>
      <c r="BE22" s="55" t="n"/>
      <c r="BF22" s="55" t="n"/>
      <c r="BG22" s="55" t="n"/>
      <c r="BH22" s="55" t="n"/>
      <c r="BI22" s="55" t="n"/>
      <c r="BJ22" s="55" t="n"/>
      <c r="BK22" s="55" t="n"/>
      <c r="BL22" s="55" t="n"/>
      <c r="BM22" s="55" t="n"/>
      <c r="BN22" s="55" t="n"/>
      <c r="BO22" s="55" t="n"/>
      <c r="BP22" s="55" t="n"/>
      <c r="BQ22" s="55" t="n"/>
      <c r="BR22" s="55" t="n"/>
      <c r="BS22" s="55" t="n"/>
      <c r="BT22" s="55" t="n"/>
      <c r="BU22" s="55" t="n"/>
      <c r="BV22" s="55" t="n"/>
      <c r="BW22" s="55" t="n"/>
      <c r="BX22" s="55" t="n"/>
      <c r="BY22" s="55" t="n"/>
      <c r="BZ22" s="55" t="n"/>
      <c r="CA22" s="55" t="n"/>
      <c r="CB22" s="55" t="n"/>
      <c r="CC22" s="55" t="n"/>
      <c r="CD22" s="55" t="n"/>
      <c r="CE22" s="55" t="n"/>
      <c r="CF22" s="55" t="n"/>
      <c r="CG22" s="55" t="n"/>
      <c r="CH22" s="55" t="n"/>
      <c r="CI22" s="55" t="n"/>
      <c r="CJ22" s="55" t="n"/>
      <c r="CK22" s="55" t="n"/>
      <c r="CL22" s="55" t="n"/>
      <c r="CM22" s="55" t="n"/>
      <c r="CN22" s="55" t="n"/>
      <c r="CO22" s="55" t="n"/>
      <c r="CP22" s="55" t="n"/>
      <c r="CQ22" s="55" t="n"/>
      <c r="CR22" s="55" t="n"/>
      <c r="CS22" s="55" t="n"/>
      <c r="CT22" s="55" t="n"/>
      <c r="CU22" s="67" t="n"/>
      <c r="CV22" s="87" t="n"/>
      <c r="CW22" s="87" t="n"/>
      <c r="CX22" s="81" t="n"/>
      <c r="CY22" s="87">
        <f>IF(OR(AND(TODAY()&gt;W22,Z22&lt;&gt;1,DB22=1),AND(DB22&gt;='@LeadT_Setting'!$AK$6,Z22&lt;='@LeadT_Setting'!$AK$6),AND(Z22&lt;(DB22-'@LeadT_Setting'!$AI$6),DB22&gt;Z22,U22&gt;0,DB22&lt;'@LeadT_Setting'!$AK$6)),1,0)</f>
        <v/>
      </c>
      <c r="CZ22" s="87">
        <f>IFERROR(AA22*U22,0)</f>
        <v/>
      </c>
      <c r="DA22" s="118">
        <f>IFERROR(Z22*U22,0)</f>
        <v/>
      </c>
      <c r="DB22" s="88">
        <f>IFERROR(IF(OR(U22&lt;=0,TODAY()&lt;V22),0,IF(TODAY()&gt;=W22,1,((TODAY()-V22))/((W22-V22)))),0)</f>
        <v/>
      </c>
      <c r="DC22" s="118">
        <f>IF(OR(AND(TODAY()&gt;W22,Z22&lt;&gt;1,DB22=1),AND(DB22&gt;='@LeadT_Setting'!$AK$6,Z22&lt;='@LeadT_Setting'!$AK$6),AND(Z22&lt;(DB22-'@LeadT_Setting'!$AJ$6),DB22&gt;Z22,U22&gt;0)),1,0)</f>
        <v/>
      </c>
      <c r="DD22" s="119">
        <f>IF(Z22=1,0,IF(AD22="Engineering",1,IF(AD22="Purchase",2,IF(AD22="Software",3,IF(AD22="Project Management",4,IF(AD22="Manufacturing",5,IF(AD22="Sales",6,IF(AD22="Client",7,0))))))))</f>
        <v/>
      </c>
      <c r="DE22" s="203" t="n"/>
      <c r="DF22" s="119">
        <f>Z22*U22</f>
        <v/>
      </c>
      <c r="DG22" s="119">
        <f>U22</f>
        <v/>
      </c>
      <c r="DH22" s="119">
        <f>IF(OR(AND(U22&gt;0,TODAY()&gt;=AB22,Z22&lt;80%,NOT(ISBLANK(AB22))),AND(Z22&lt;&gt;1,U22&gt;0,$V22&lt;TODAY(),ISBLANK($Y22))),1,0)</f>
        <v/>
      </c>
      <c r="DI22" s="82" t="n"/>
      <c r="DJ22" s="93" t="n"/>
      <c r="DK22" s="82" t="n"/>
      <c r="DL22" s="83" t="n"/>
      <c r="DM22" s="87" t="n"/>
    </row>
    <row r="23">
      <c r="A23" s="336" t="inlineStr">
        <is>
          <t>SW</t>
        </is>
      </c>
      <c r="B23" s="306" t="n"/>
      <c r="C23" s="306" t="n"/>
      <c r="D23" s="306" t="n"/>
      <c r="E23" s="188" t="n"/>
      <c r="F23" s="8" t="inlineStr">
        <is>
          <t>P3</t>
        </is>
      </c>
      <c r="G23" s="8" t="inlineStr">
        <is>
          <t>SW</t>
        </is>
      </c>
      <c r="H23" s="410" t="inlineStr">
        <is>
          <t>P3-09</t>
        </is>
      </c>
      <c r="I23" s="411" t="inlineStr">
        <is>
          <t xml:space="preserve">SW FAT Compliance </t>
        </is>
      </c>
      <c r="J23" s="130" t="n"/>
      <c r="K23" s="130" t="n"/>
      <c r="L23" s="130" t="n"/>
      <c r="M23" s="130" t="n"/>
      <c r="N23" s="130" t="n"/>
      <c r="O23" s="130" t="n"/>
      <c r="P23" s="130" t="n">
        <v>45142</v>
      </c>
      <c r="Q23" s="130" t="n">
        <v>45143</v>
      </c>
      <c r="R23" s="48">
        <f>IFERROR(INDEX('@LeadT_Setting'!$F$6:$J$52,MATCH(I23,'@LeadT_Setting'!$E$6:$E$52,0),MATCH(INDEX('@LeadT_Setting'!$AI$1:$AI$3,MATCH($A23,'@LeadT_Setting'!$AD$1:$AD$3,0),0),'@LeadT_Setting'!$F$1:$J$1,0)),0)</f>
        <v/>
      </c>
      <c r="S23" s="412" t="n">
        <v>2</v>
      </c>
      <c r="T23" s="418" t="n"/>
      <c r="U23" s="416" t="n">
        <v>2</v>
      </c>
      <c r="V23" s="43">
        <f>IFERROR(IF(S23=0,W22,W22+1),"")</f>
        <v/>
      </c>
      <c r="W23" s="43">
        <f>IFERROR(IF(OR(S23="",S23=0),V23,V23+S23-1),"")</f>
        <v/>
      </c>
      <c r="X23" s="127" t="n">
        <v>45142</v>
      </c>
      <c r="Y23" s="127" t="n">
        <v>45143</v>
      </c>
      <c r="Z23" s="189" t="n">
        <v>1</v>
      </c>
      <c r="AA23" s="190">
        <f>IFERROR(IF(OR(U23&lt;=0,TODAY()&lt;V23),0,IF(TODAY()&gt;=W23,1,((TODAY()-V23))/((W23-V23)))),0)</f>
        <v/>
      </c>
      <c r="AB23" s="43">
        <f>IFERROR(IF(V23&lt;&gt;"",V23+(W23-V23)*0.8,""),"")</f>
        <v/>
      </c>
      <c r="AC23" s="419" t="n"/>
      <c r="AD23" s="127" t="n"/>
      <c r="AE23" s="14" t="n"/>
      <c r="AF23" s="128" t="n"/>
      <c r="AG23" s="297" t="n"/>
      <c r="AH23" s="284" t="n"/>
      <c r="AI23" s="284" t="n"/>
      <c r="AJ23" s="285" t="n"/>
      <c r="AK23" s="292" t="n"/>
      <c r="AL23" s="139">
        <f>Z23</f>
        <v/>
      </c>
      <c r="AM23" s="63"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c r="BO23" s="55" t="n"/>
      <c r="BP23" s="55" t="n"/>
      <c r="BQ23" s="55" t="n"/>
      <c r="BR23" s="55" t="n"/>
      <c r="BS23" s="55" t="n"/>
      <c r="BT23" s="55" t="n"/>
      <c r="BU23" s="55" t="n"/>
      <c r="BV23" s="55" t="n"/>
      <c r="BW23" s="55" t="n"/>
      <c r="BX23" s="55" t="n"/>
      <c r="BY23" s="55" t="n"/>
      <c r="BZ23" s="55" t="n"/>
      <c r="CA23" s="55" t="n"/>
      <c r="CB23" s="55" t="n"/>
      <c r="CC23" s="55" t="n"/>
      <c r="CD23" s="55" t="n"/>
      <c r="CE23" s="55" t="n"/>
      <c r="CF23" s="55" t="n"/>
      <c r="CG23" s="55" t="n"/>
      <c r="CH23" s="55" t="n"/>
      <c r="CI23" s="55" t="n"/>
      <c r="CJ23" s="55" t="n"/>
      <c r="CK23" s="55" t="n"/>
      <c r="CL23" s="55" t="n"/>
      <c r="CM23" s="55" t="n"/>
      <c r="CN23" s="55" t="n"/>
      <c r="CO23" s="55" t="n"/>
      <c r="CP23" s="55" t="n"/>
      <c r="CQ23" s="55" t="n"/>
      <c r="CR23" s="55" t="n"/>
      <c r="CS23" s="55" t="n"/>
      <c r="CT23" s="55" t="n"/>
      <c r="CU23" s="67" t="n"/>
      <c r="CV23" s="87" t="n"/>
      <c r="CW23" s="87" t="n"/>
      <c r="CX23" s="81" t="n"/>
      <c r="CY23" s="87">
        <f>IF(OR(AND(TODAY()&gt;W23,Z23&lt;&gt;1,DB23=1),AND(DB23&gt;='@LeadT_Setting'!$AK$6,Z23&lt;='@LeadT_Setting'!$AK$6),AND(Z23&lt;(DB23-'@LeadT_Setting'!$AI$6),DB23&gt;Z23,U23&gt;0,DB23&lt;'@LeadT_Setting'!$AK$6)),1,0)</f>
        <v/>
      </c>
      <c r="CZ23" s="87">
        <f>IFERROR(AA23*U23,0)</f>
        <v/>
      </c>
      <c r="DA23" s="118">
        <f>IFERROR(Z23*U23,0)</f>
        <v/>
      </c>
      <c r="DB23" s="88">
        <f>IFERROR(IF(OR(U23&lt;=0,TODAY()&lt;V23),0,IF(TODAY()&gt;=W23,1,((TODAY()-V23))/((W23-V23)))),0)</f>
        <v/>
      </c>
      <c r="DC23" s="118">
        <f>IF(OR(AND(TODAY()&gt;W23,Z23&lt;&gt;1,DB23=1),AND(DB23&gt;='@LeadT_Setting'!$AK$6,Z23&lt;='@LeadT_Setting'!$AK$6),AND(Z23&lt;(DB23-'@LeadT_Setting'!$AJ$6),DB23&gt;Z23,U23&gt;0)),1,0)</f>
        <v/>
      </c>
      <c r="DD23" s="119">
        <f>IF(Z23=1,0,IF(AD23="Engineering",1,IF(AD23="Purchase",2,IF(AD23="Software",3,IF(AD23="Project Management",4,IF(AD23="Manufacturing",5,IF(AD23="Sales",6,IF(AD23="Client",7,0))))))))</f>
        <v/>
      </c>
      <c r="DE23" s="203" t="n"/>
      <c r="DF23" s="119">
        <f>Z23*U23</f>
        <v/>
      </c>
      <c r="DG23" s="119">
        <f>U23</f>
        <v/>
      </c>
      <c r="DH23" s="119">
        <f>IF(OR(AND(U23&gt;0,TODAY()&gt;=AB23,Z23&lt;80%,NOT(ISBLANK(AB23))),AND(Z23&lt;&gt;1,U23&gt;0,$V23&lt;TODAY(),ISBLANK($Y23))),1,0)</f>
        <v/>
      </c>
      <c r="DI23" s="82" t="n"/>
      <c r="DJ23" s="93" t="n"/>
      <c r="DK23" s="82" t="n"/>
      <c r="DL23" s="83" t="n"/>
      <c r="DM23" s="87" t="n"/>
    </row>
    <row r="24">
      <c r="A24" s="336" t="inlineStr">
        <is>
          <t>EC</t>
        </is>
      </c>
      <c r="B24" s="306" t="n"/>
      <c r="C24" s="306" t="n"/>
      <c r="D24" s="306" t="n"/>
      <c r="E24" s="188" t="n"/>
      <c r="F24" s="8" t="inlineStr">
        <is>
          <t>P4</t>
        </is>
      </c>
      <c r="G24" s="8" t="inlineStr">
        <is>
          <t>EC</t>
        </is>
      </c>
      <c r="H24" s="410" t="inlineStr">
        <is>
          <t>P4-01</t>
        </is>
      </c>
      <c r="I24" s="411" t="inlineStr">
        <is>
          <t>Installation</t>
        </is>
      </c>
      <c r="J24" s="130" t="n"/>
      <c r="K24" s="130" t="n"/>
      <c r="L24" s="130" t="n"/>
      <c r="M24" s="130" t="n"/>
      <c r="N24" s="130" t="n"/>
      <c r="O24" s="130" t="n"/>
      <c r="P24" s="130" t="inlineStr"/>
      <c r="Q24" s="130" t="inlineStr"/>
      <c r="R24" s="48">
        <f>S24</f>
        <v/>
      </c>
      <c r="S24" s="412" t="n">
        <v>0</v>
      </c>
      <c r="T24" s="418" t="n"/>
      <c r="U24" s="416" t="n">
        <v>0</v>
      </c>
      <c r="V24" s="315">
        <f>IF(ISBLANK(C31),"",C31)</f>
        <v/>
      </c>
      <c r="W24" s="43">
        <f>IFERROR(IF(S24=0,V24,V24+S24-1),"")</f>
        <v/>
      </c>
      <c r="X24" s="127" t="n"/>
      <c r="Y24" s="127" t="n"/>
      <c r="Z24" s="189" t="n">
        <v>1</v>
      </c>
      <c r="AA24" s="190">
        <f>IFERROR(IF(OR(U24&lt;=0,TODAY()&lt;V24),0,IF(TODAY()&gt;=W24,1,((TODAY()-V24))/((W24-V24)))),0)</f>
        <v/>
      </c>
      <c r="AB24" s="43">
        <f>IFERROR(IF(V24&lt;&gt;"",V24+(W24-V24)*0.8,""),"")</f>
        <v/>
      </c>
      <c r="AC24" s="419" t="n"/>
      <c r="AD24" s="127" t="n"/>
      <c r="AE24" s="14" t="n"/>
      <c r="AF24" s="128" t="inlineStr"/>
      <c r="AG24" s="277" t="n"/>
      <c r="AH24" s="278" t="n"/>
      <c r="AI24" s="278" t="n"/>
      <c r="AJ24" s="278" t="n"/>
      <c r="AK24" s="286" t="n"/>
      <c r="AL24" s="139">
        <f>Z24</f>
        <v/>
      </c>
      <c r="AM24" s="63"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c r="BO24" s="55" t="n"/>
      <c r="BP24" s="55" t="n"/>
      <c r="BQ24" s="55" t="n"/>
      <c r="BR24" s="55" t="n"/>
      <c r="BS24" s="55" t="n"/>
      <c r="BT24" s="55" t="n"/>
      <c r="BU24" s="55" t="n"/>
      <c r="BV24" s="55" t="n"/>
      <c r="BW24" s="55" t="n"/>
      <c r="BX24" s="55" t="n"/>
      <c r="BY24" s="55" t="n"/>
      <c r="BZ24" s="55" t="n"/>
      <c r="CA24" s="55" t="n"/>
      <c r="CB24" s="55" t="n"/>
      <c r="CC24" s="55" t="n"/>
      <c r="CD24" s="55" t="n"/>
      <c r="CE24" s="55" t="n"/>
      <c r="CF24" s="55" t="n"/>
      <c r="CG24" s="55" t="n"/>
      <c r="CH24" s="55" t="n"/>
      <c r="CI24" s="55" t="n"/>
      <c r="CJ24" s="55" t="n"/>
      <c r="CK24" s="55" t="n"/>
      <c r="CL24" s="55" t="n"/>
      <c r="CM24" s="55" t="n"/>
      <c r="CN24" s="55" t="n"/>
      <c r="CO24" s="55" t="n"/>
      <c r="CP24" s="55" t="n"/>
      <c r="CQ24" s="55" t="n"/>
      <c r="CR24" s="55" t="n"/>
      <c r="CS24" s="55" t="n"/>
      <c r="CT24" s="55" t="n"/>
      <c r="CU24" s="67" t="n"/>
      <c r="CV24" s="87" t="n"/>
      <c r="CW24" s="87" t="n"/>
      <c r="CX24" s="81" t="n"/>
      <c r="CY24" s="87">
        <f>IF(OR(AND(TODAY()&gt;W24,Z24&lt;&gt;1,DB24=1),AND(DB24&gt;='@LeadT_Setting'!$AK$6,Z24&lt;='@LeadT_Setting'!$AK$6),AND(Z24&lt;(DB24-'@LeadT_Setting'!$AI$6),DB24&gt;Z24,U24&gt;0,DB24&lt;'@LeadT_Setting'!$AK$6)),1,0)</f>
        <v/>
      </c>
      <c r="CZ24" s="87">
        <f>IFERROR(AA24*U24,0)</f>
        <v/>
      </c>
      <c r="DA24" s="118">
        <f>IFERROR(Z24*U24,0)</f>
        <v/>
      </c>
      <c r="DB24" s="88">
        <f>IFERROR(IF(OR(U24&lt;=0,TODAY()&lt;V24),0,IF(TODAY()&gt;=W24,1,((TODAY()-V24))/((W24-V24)))),0)</f>
        <v/>
      </c>
      <c r="DC24" s="118">
        <f>IF(OR(AND(TODAY()&gt;W24,Z24&lt;&gt;1,DB24=1),AND(DB24&gt;='@LeadT_Setting'!$AK$6,Z24&lt;='@LeadT_Setting'!$AK$6),AND(Z24&lt;(DB24-'@LeadT_Setting'!$AJ$6),DB24&gt;Z24,U24&gt;0)),1,0)</f>
        <v/>
      </c>
      <c r="DD24" s="119">
        <f>IF(Z24=1,0,IF(AD24="Engineering",1,IF(AD24="Purchase",2,IF(AD24="Software",3,IF(AD24="Project Management",4,IF(AD24="Manufacturing",5,IF(AD24="Sales",6,IF(AD24="Client",7,0))))))))</f>
        <v/>
      </c>
      <c r="DE24" s="202" t="n"/>
      <c r="DF24" s="119">
        <f>Z24*U24</f>
        <v/>
      </c>
      <c r="DG24" s="119">
        <f>U24</f>
        <v/>
      </c>
      <c r="DH24" s="119">
        <f>IF(OR(AND(U24&gt;0,TODAY()&gt;=AB24,Z24&lt;80%,NOT(ISBLANK(AB24))),AND(Z24&lt;&gt;1,U24&gt;0,$V24&lt;TODAY(),ISBLANK($Y24))),1,0)</f>
        <v/>
      </c>
      <c r="DI24" s="82" t="n"/>
      <c r="DJ24" s="93" t="n"/>
      <c r="DK24" s="82" t="n"/>
      <c r="DL24" s="83" t="n"/>
      <c r="DM24" s="87" t="n"/>
    </row>
    <row r="25">
      <c r="A25" s="336" t="inlineStr">
        <is>
          <t>EC</t>
        </is>
      </c>
      <c r="B25" s="306" t="n"/>
      <c r="C25" s="306" t="n"/>
      <c r="D25" s="306" t="n"/>
      <c r="E25" s="188" t="n"/>
      <c r="F25" s="8" t="inlineStr">
        <is>
          <t>P4</t>
        </is>
      </c>
      <c r="G25" s="8" t="inlineStr">
        <is>
          <t>EC</t>
        </is>
      </c>
      <c r="H25" s="410" t="inlineStr">
        <is>
          <t>P4-02</t>
        </is>
      </c>
      <c r="I25" s="411" t="inlineStr">
        <is>
          <t>Pre-Commissioning</t>
        </is>
      </c>
      <c r="J25" s="130" t="n"/>
      <c r="K25" s="130" t="n"/>
      <c r="L25" s="130" t="n"/>
      <c r="M25" s="130" t="n"/>
      <c r="N25" s="130" t="n"/>
      <c r="O25" s="130" t="n"/>
      <c r="P25" s="130" t="n">
        <v>46082</v>
      </c>
      <c r="Q25" s="130" t="n">
        <v>46091</v>
      </c>
      <c r="R25" s="48">
        <f>S25</f>
        <v/>
      </c>
      <c r="S25" s="412" t="n">
        <v>10</v>
      </c>
      <c r="T25" s="410" t="n"/>
      <c r="U25" s="416" t="n">
        <v>10</v>
      </c>
      <c r="V25" s="315">
        <f>IF(ISBLANK(C32),"",C32)</f>
        <v/>
      </c>
      <c r="W25" s="43">
        <f>IFERROR(IF(S25=0,V25,V25+S25-1),"")</f>
        <v/>
      </c>
      <c r="X25" s="127" t="n"/>
      <c r="Y25" s="127" t="n"/>
      <c r="Z25" s="189" t="n">
        <v>1</v>
      </c>
      <c r="AA25" s="190">
        <f>IFERROR(IF(OR(U25&lt;=0,TODAY()&lt;V25),0,IF(TODAY()&gt;=W25,1,((TODAY()-V25))/((W25-V25)))),0)</f>
        <v/>
      </c>
      <c r="AB25" s="43">
        <f>IFERROR(IF(V25&lt;&gt;"",V25+(W25-V25)*0.8,""),"")</f>
        <v/>
      </c>
      <c r="AC25" s="419" t="n"/>
      <c r="AD25" s="127" t="n"/>
      <c r="AE25" s="14" t="n"/>
      <c r="AF25" s="128" t="inlineStr"/>
      <c r="AG25" s="287" t="n"/>
      <c r="AH25" s="282" t="n"/>
      <c r="AI25" s="56" t="n"/>
      <c r="AJ25" s="56" t="n"/>
      <c r="AK25" s="288" t="n"/>
      <c r="AL25" s="139">
        <f>Z25</f>
        <v/>
      </c>
      <c r="AM25" s="63"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c r="BO25" s="55" t="n"/>
      <c r="BP25" s="55" t="n"/>
      <c r="BQ25" s="55" t="n"/>
      <c r="BR25" s="55" t="n"/>
      <c r="BS25" s="55" t="n"/>
      <c r="BT25" s="55" t="n"/>
      <c r="BU25" s="55" t="n"/>
      <c r="BV25" s="55" t="n"/>
      <c r="BW25" s="55" t="n"/>
      <c r="BX25" s="55" t="n"/>
      <c r="BY25" s="55" t="n"/>
      <c r="BZ25" s="55" t="n"/>
      <c r="CA25" s="55" t="n"/>
      <c r="CB25" s="55" t="n"/>
      <c r="CC25" s="55" t="n"/>
      <c r="CD25" s="55" t="n"/>
      <c r="CE25" s="55" t="n"/>
      <c r="CF25" s="55" t="n"/>
      <c r="CG25" s="55" t="n"/>
      <c r="CH25" s="55" t="n"/>
      <c r="CI25" s="55" t="n"/>
      <c r="CJ25" s="55" t="n"/>
      <c r="CK25" s="55" t="n"/>
      <c r="CL25" s="55" t="n"/>
      <c r="CM25" s="55" t="n"/>
      <c r="CN25" s="55" t="n"/>
      <c r="CO25" s="55" t="n"/>
      <c r="CP25" s="55" t="n"/>
      <c r="CQ25" s="55" t="n"/>
      <c r="CR25" s="55" t="n"/>
      <c r="CS25" s="55" t="n"/>
      <c r="CT25" s="55" t="n"/>
      <c r="CU25" s="67" t="n"/>
      <c r="CV25" s="87" t="n"/>
      <c r="CW25" s="87" t="n"/>
      <c r="CX25" s="81" t="n"/>
      <c r="CY25" s="87">
        <f>IF(OR(AND(TODAY()&gt;W25,Z25&lt;&gt;1,DB25=1),AND(DB25&gt;='@LeadT_Setting'!$AK$6,Z25&lt;='@LeadT_Setting'!$AK$6),AND(Z25&lt;(DB25-'@LeadT_Setting'!$AI$6),DB25&gt;Z25,U25&gt;0,DB25&lt;'@LeadT_Setting'!$AK$6)),1,0)</f>
        <v/>
      </c>
      <c r="CZ25" s="87">
        <f>IFERROR(AA25*U25,0)</f>
        <v/>
      </c>
      <c r="DA25" s="118">
        <f>IFERROR(Z25*U25,0)</f>
        <v/>
      </c>
      <c r="DB25" s="88">
        <f>IFERROR(IF(OR(U25&lt;=0,TODAY()&lt;V25),0,IF(TODAY()&gt;=W25,1,((TODAY()-V25))/((W25-V25)))),0)</f>
        <v/>
      </c>
      <c r="DC25" s="118">
        <f>IF(OR(AND(TODAY()&gt;W25,Z25&lt;&gt;1,DB25=1),AND(DB25&gt;='@LeadT_Setting'!$AK$6,Z25&lt;='@LeadT_Setting'!$AK$6),AND(Z25&lt;(DB25-'@LeadT_Setting'!$AJ$6),DB25&gt;Z25,U25&gt;0)),1,0)</f>
        <v/>
      </c>
      <c r="DD25" s="119">
        <f>IF(Z25=1,0,IF(AD25="Engineering",1,IF(AD25="Purchase",2,IF(AD25="Software",3,IF(AD25="Project Management",4,IF(AD25="Manufacturing",5,IF(AD25="Sales",6,IF(AD25="Client",7,0))))))))</f>
        <v/>
      </c>
      <c r="DE25" s="202" t="n"/>
      <c r="DF25" s="119">
        <f>Z25*U25</f>
        <v/>
      </c>
      <c r="DG25" s="119">
        <f>U25</f>
        <v/>
      </c>
      <c r="DH25" s="119">
        <f>IF(OR(AND(U25&gt;0,TODAY()&gt;=AB25,Z25&lt;80%,NOT(ISBLANK(AB25))),AND(Z25&lt;&gt;1,U25&gt;0,$V25&lt;TODAY(),ISBLANK($Y25))),1,0)</f>
        <v/>
      </c>
      <c r="DI25" s="82" t="n"/>
      <c r="DJ25" s="93" t="n"/>
      <c r="DK25" s="82" t="n"/>
      <c r="DL25" s="83" t="n"/>
      <c r="DM25" s="87" t="n"/>
    </row>
    <row r="26">
      <c r="A26" s="336" t="inlineStr">
        <is>
          <t>EC</t>
        </is>
      </c>
      <c r="B26" s="306" t="n"/>
      <c r="C26" s="306" t="n"/>
      <c r="D26" s="306" t="n"/>
      <c r="E26" s="188" t="n"/>
      <c r="F26" s="8" t="inlineStr">
        <is>
          <t>P5</t>
        </is>
      </c>
      <c r="G26" s="8" t="inlineStr">
        <is>
          <t>EC</t>
        </is>
      </c>
      <c r="H26" s="410" t="inlineStr">
        <is>
          <t>P5-01</t>
        </is>
      </c>
      <c r="I26" s="411" t="inlineStr">
        <is>
          <t>Commissioning</t>
        </is>
      </c>
      <c r="J26" s="130" t="n"/>
      <c r="K26" s="130" t="n"/>
      <c r="L26" s="130" t="n"/>
      <c r="M26" s="130" t="n"/>
      <c r="N26" s="130" t="n"/>
      <c r="O26" s="130" t="n"/>
      <c r="P26" s="130" t="n">
        <v>46091</v>
      </c>
      <c r="Q26" s="130" t="n">
        <v>46106</v>
      </c>
      <c r="R26" s="48">
        <f>S26</f>
        <v/>
      </c>
      <c r="S26" s="412" t="n">
        <v>16</v>
      </c>
      <c r="T26" s="418" t="n"/>
      <c r="U26" s="416" t="n">
        <v>16</v>
      </c>
      <c r="V26" s="315">
        <f>IF(ISBLANK(C33),"",C33)</f>
        <v/>
      </c>
      <c r="W26" s="43">
        <f>IFERROR(IF(S26=0,V26,V26+S26-1),"")</f>
        <v/>
      </c>
      <c r="X26" s="127" t="n"/>
      <c r="Y26" s="127" t="n"/>
      <c r="Z26" s="189" t="n">
        <v>1</v>
      </c>
      <c r="AA26" s="190">
        <f>IFERROR(IF(OR(U26&lt;=0,TODAY()&lt;V26),0,IF(TODAY()&gt;=W26,1,((TODAY()-V26))/((W26-V26)))),0)</f>
        <v/>
      </c>
      <c r="AB26" s="43">
        <f>IFERROR(IF(V26&lt;&gt;"",V26+(W26-V26)*0.8,""),"")</f>
        <v/>
      </c>
      <c r="AC26" s="419" t="n"/>
      <c r="AD26" s="127" t="n"/>
      <c r="AE26" s="14" t="n"/>
      <c r="AF26" s="128" t="inlineStr"/>
      <c r="AG26" s="298" t="n"/>
      <c r="AH26" s="294" t="n"/>
      <c r="AI26" s="294" t="n"/>
      <c r="AJ26" s="294" t="n"/>
      <c r="AK26" s="296" t="n"/>
      <c r="AL26" s="139">
        <f>Z26</f>
        <v/>
      </c>
      <c r="AM26" s="63" t="n"/>
      <c r="AN26" s="55" t="n"/>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c r="BO26" s="55" t="n"/>
      <c r="BP26" s="55" t="n"/>
      <c r="BQ26" s="55" t="n"/>
      <c r="BR26" s="55" t="n"/>
      <c r="BS26" s="55" t="n"/>
      <c r="BT26" s="55" t="n"/>
      <c r="BU26" s="55" t="n"/>
      <c r="BV26" s="55" t="n"/>
      <c r="BW26" s="55" t="n"/>
      <c r="BX26" s="55" t="n"/>
      <c r="BY26" s="55" t="n"/>
      <c r="BZ26" s="55" t="n"/>
      <c r="CA26" s="55" t="n"/>
      <c r="CB26" s="55" t="n"/>
      <c r="CC26" s="55" t="n"/>
      <c r="CD26" s="55" t="n"/>
      <c r="CE26" s="55" t="n"/>
      <c r="CF26" s="55" t="n"/>
      <c r="CG26" s="55" t="n"/>
      <c r="CH26" s="55" t="n"/>
      <c r="CI26" s="55" t="n"/>
      <c r="CJ26" s="55" t="n"/>
      <c r="CK26" s="55" t="n"/>
      <c r="CL26" s="55" t="n"/>
      <c r="CM26" s="55" t="n"/>
      <c r="CN26" s="55" t="n"/>
      <c r="CO26" s="55" t="n"/>
      <c r="CP26" s="55" t="n"/>
      <c r="CQ26" s="55" t="n"/>
      <c r="CR26" s="55" t="n"/>
      <c r="CS26" s="55" t="n"/>
      <c r="CT26" s="55" t="n"/>
      <c r="CU26" s="67" t="n"/>
      <c r="CV26" s="87" t="n"/>
      <c r="CW26" s="87" t="n"/>
      <c r="CX26" s="81" t="n"/>
      <c r="CY26" s="87">
        <f>IF(OR(AND(TODAY()&gt;W26,Z26&lt;&gt;1,DB26=1),AND(DB26&gt;='@LeadT_Setting'!$AK$6,Z26&lt;='@LeadT_Setting'!$AK$6),AND(Z26&lt;(DB26-'@LeadT_Setting'!$AI$6),DB26&gt;Z26,U26&gt;0,DB26&lt;'@LeadT_Setting'!$AK$6)),1,0)</f>
        <v/>
      </c>
      <c r="CZ26" s="87">
        <f>IFERROR(AA26*U26,0)</f>
        <v/>
      </c>
      <c r="DA26" s="118">
        <f>IFERROR(Z26*U26,0)</f>
        <v/>
      </c>
      <c r="DB26" s="88">
        <f>IFERROR(IF(OR(U26&lt;=0,TODAY()&lt;V26),0,IF(TODAY()&gt;=W26,1,((TODAY()-V26))/((W26-V26)))),0)</f>
        <v/>
      </c>
      <c r="DC26" s="118">
        <f>IF(OR(AND(TODAY()&gt;W26,Z26&lt;&gt;1,DB26=1),AND(DB26&gt;='@LeadT_Setting'!$AK$6,Z26&lt;='@LeadT_Setting'!$AK$6),AND(Z26&lt;(DB26-'@LeadT_Setting'!$AJ$6),DB26&gt;Z26,U26&gt;0)),1,0)</f>
        <v/>
      </c>
      <c r="DD26" s="119">
        <f>IF(Z26=1,0,IF(AD26="Engineering",1,IF(AD26="Purchase",2,IF(AD26="Software",3,IF(AD26="Project Management",4,IF(AD26="Manufacturing",5,IF(AD26="Sales",6,IF(AD26="Client",7,0))))))))</f>
        <v/>
      </c>
      <c r="DE26" s="202" t="n"/>
      <c r="DF26" s="119">
        <f>Z26*U26</f>
        <v/>
      </c>
      <c r="DG26" s="119">
        <f>U26</f>
        <v/>
      </c>
      <c r="DH26" s="119">
        <f>IF(OR(AND(U26&gt;0,TODAY()&gt;=AB26,Z26&lt;80%,NOT(ISBLANK(AB26))),AND(Z26&lt;&gt;1,U26&gt;0,$V26&lt;TODAY(),ISBLANK($Y26))),1,0)</f>
        <v/>
      </c>
      <c r="DI26" s="82" t="n"/>
      <c r="DJ26" s="93" t="n"/>
      <c r="DK26" s="82" t="n"/>
      <c r="DL26" s="83" t="n"/>
      <c r="DM26" s="87" t="n"/>
    </row>
    <row r="27">
      <c r="A27" s="336" t="inlineStr">
        <is>
          <t>EC</t>
        </is>
      </c>
      <c r="B27" s="147" t="n"/>
      <c r="C27" s="172" t="inlineStr">
        <is>
          <t>PM Dates</t>
        </is>
      </c>
      <c r="D27" s="125" t="inlineStr">
        <is>
          <t>SWE Dates</t>
        </is>
      </c>
      <c r="E27" s="188" t="n"/>
      <c r="F27" s="8" t="inlineStr">
        <is>
          <t>P5</t>
        </is>
      </c>
      <c r="G27" s="8" t="inlineStr">
        <is>
          <t>EC</t>
        </is>
      </c>
      <c r="H27" s="410" t="inlineStr">
        <is>
          <t>P5-02</t>
        </is>
      </c>
      <c r="I27" s="411" t="inlineStr">
        <is>
          <t>Final MOM/Site Report</t>
        </is>
      </c>
      <c r="J27" s="130" t="n"/>
      <c r="K27" s="130" t="n"/>
      <c r="L27" s="130" t="n"/>
      <c r="M27" s="130" t="n"/>
      <c r="N27" s="130" t="n"/>
      <c r="O27" s="130" t="n"/>
      <c r="P27" s="130" t="n">
        <v>46106</v>
      </c>
      <c r="Q27" s="130" t="n">
        <v>46108</v>
      </c>
      <c r="R27" s="48">
        <f>IFERROR(INDEX('@LeadT_Setting'!$F$6:$J$52,MATCH(I27,'@LeadT_Setting'!$E$6:$E$52,0),MATCH(INDEX('@LeadT_Setting'!$AI$1:$AI$3,MATCH($A27,'@LeadT_Setting'!$AD$1:$AD$3,0),0),'@LeadT_Setting'!$F$1:$J$1,0)),0)</f>
        <v/>
      </c>
      <c r="S27" s="412" t="n">
        <v>2</v>
      </c>
      <c r="T27" s="418" t="n"/>
      <c r="U27" s="416" t="n">
        <v>2</v>
      </c>
      <c r="V27" s="43">
        <f>IF(MAX(W23:W26)=0,"",MAX(W23:W26))</f>
        <v/>
      </c>
      <c r="W27" s="43">
        <f>IFERROR(S27+V27,"")</f>
        <v/>
      </c>
      <c r="X27" s="127" t="n"/>
      <c r="Y27" s="127" t="n"/>
      <c r="Z27" s="189" t="n">
        <v>1</v>
      </c>
      <c r="AA27" s="190">
        <f>IFERROR(IF(OR(U27&lt;=0,TODAY()&lt;V27),0,IF(TODAY()&gt;=W27,1,((TODAY()-V27))/((W27-V27)))),0)</f>
        <v/>
      </c>
      <c r="AB27" s="43">
        <f>IFERROR(IF(V27&lt;&gt;"",V27+(W27-V27)*0.8,""),"")</f>
        <v/>
      </c>
      <c r="AC27" s="209" t="n"/>
      <c r="AD27" s="127" t="n"/>
      <c r="AE27" s="14" t="n"/>
      <c r="AF27" s="128" t="inlineStr"/>
      <c r="AG27" s="298" t="n"/>
      <c r="AH27" s="294" t="n"/>
      <c r="AI27" s="294" t="n"/>
      <c r="AJ27" s="294" t="n"/>
      <c r="AK27" s="296" t="n"/>
      <c r="AL27" s="139">
        <f>Z27</f>
        <v/>
      </c>
      <c r="AM27" s="63" t="n"/>
      <c r="AN27" s="55" t="n"/>
      <c r="AO27" s="55" t="n"/>
      <c r="AP27" s="55" t="n"/>
      <c r="AQ27" s="55" t="n"/>
      <c r="AR27" s="55" t="n"/>
      <c r="AS27" s="55" t="n"/>
      <c r="AT27" s="55" t="n"/>
      <c r="AU27" s="55" t="n"/>
      <c r="AV27" s="55" t="n"/>
      <c r="AW27" s="55" t="n"/>
      <c r="AX27" s="55" t="n"/>
      <c r="AY27" s="55" t="n"/>
      <c r="AZ27" s="55" t="n"/>
      <c r="BA27" s="55" t="n"/>
      <c r="BB27" s="55" t="n"/>
      <c r="BC27" s="55" t="n"/>
      <c r="BD27" s="55" t="n"/>
      <c r="BE27" s="55" t="n"/>
      <c r="BF27" s="55" t="n"/>
      <c r="BG27" s="55" t="n"/>
      <c r="BH27" s="55" t="n"/>
      <c r="BI27" s="55" t="n"/>
      <c r="BJ27" s="55" t="n"/>
      <c r="BK27" s="55" t="n"/>
      <c r="BL27" s="55" t="n"/>
      <c r="BM27" s="55" t="n"/>
      <c r="BN27" s="55" t="n"/>
      <c r="BO27" s="55" t="n"/>
      <c r="BP27" s="55" t="n"/>
      <c r="BQ27" s="55" t="n"/>
      <c r="BR27" s="55" t="n"/>
      <c r="BS27" s="55" t="n"/>
      <c r="BT27" s="55" t="n"/>
      <c r="BU27" s="55" t="n"/>
      <c r="BV27" s="55" t="n"/>
      <c r="BW27" s="55" t="n"/>
      <c r="BX27" s="55" t="n"/>
      <c r="BY27" s="55" t="n"/>
      <c r="BZ27" s="55" t="n"/>
      <c r="CA27" s="55" t="n"/>
      <c r="CB27" s="55" t="n"/>
      <c r="CC27" s="55" t="n"/>
      <c r="CD27" s="55" t="n"/>
      <c r="CE27" s="55" t="n"/>
      <c r="CF27" s="55" t="n"/>
      <c r="CG27" s="55" t="n"/>
      <c r="CH27" s="55" t="n"/>
      <c r="CI27" s="55" t="n"/>
      <c r="CJ27" s="55" t="n"/>
      <c r="CK27" s="55" t="n"/>
      <c r="CL27" s="55" t="n"/>
      <c r="CM27" s="55" t="n"/>
      <c r="CN27" s="55" t="n"/>
      <c r="CO27" s="55" t="n"/>
      <c r="CP27" s="55" t="n"/>
      <c r="CQ27" s="55" t="n"/>
      <c r="CR27" s="55" t="n"/>
      <c r="CS27" s="55" t="n"/>
      <c r="CT27" s="55" t="n"/>
      <c r="CU27" s="67" t="n"/>
      <c r="CV27" s="87" t="n"/>
      <c r="CW27" s="87" t="n"/>
      <c r="CX27" s="81" t="n"/>
      <c r="CY27" s="87">
        <f>IF(OR(AND(TODAY()&gt;W27,Z27&lt;&gt;1,DB27=1),AND(DB27&gt;='@LeadT_Setting'!$AK$6,Z27&lt;='@LeadT_Setting'!$AK$6),AND(Z27&lt;(DB27-'@LeadT_Setting'!$AI$6),DB27&gt;Z27,U27&gt;0,DB27&lt;'@LeadT_Setting'!$AK$6)),1,0)</f>
        <v/>
      </c>
      <c r="CZ27" s="87">
        <f>IFERROR(AA27*U27,0)</f>
        <v/>
      </c>
      <c r="DA27" s="118">
        <f>IFERROR(Z27*U27,0)</f>
        <v/>
      </c>
      <c r="DB27" s="88">
        <f>IFERROR(IF(OR(U27&lt;=0,TODAY()&lt;V27),0,IF(TODAY()&gt;=W27,1,((TODAY()-V27))/((W27-V27)))),0)</f>
        <v/>
      </c>
      <c r="DC27" s="118">
        <f>IF(OR(AND(TODAY()&gt;W27,Z27&lt;&gt;1,DB27=1),AND(DB27&gt;='@LeadT_Setting'!$AK$6,Z27&lt;='@LeadT_Setting'!$AK$6),AND(Z27&lt;(DB27-'@LeadT_Setting'!$AJ$6),DB27&gt;Z27,U27&gt;0)),1,0)</f>
        <v/>
      </c>
      <c r="DD27" s="119">
        <f>IF(Z27=1,0,IF(AD27="Engineering",1,IF(AD27="Purchase",2,IF(AD27="Software",3,IF(AD27="Project Management",4,IF(AD27="Manufacturing",5,IF(AD27="Sales",6,IF(AD27="Client",7,0))))))))</f>
        <v/>
      </c>
      <c r="DE27" s="202" t="n"/>
      <c r="DF27" s="119">
        <f>Z27*U27</f>
        <v/>
      </c>
      <c r="DG27" s="119">
        <f>U27</f>
        <v/>
      </c>
      <c r="DH27" s="119">
        <f>IF(OR(AND(U27&gt;0,TODAY()&gt;=AB27,Z27&lt;80%,NOT(ISBLANK(AB27))),AND(Z27&lt;&gt;1,U27&gt;0,$V27&lt;TODAY(),ISBLANK($Y27))),1,0)</f>
        <v/>
      </c>
      <c r="DI27" s="82" t="n"/>
      <c r="DJ27" s="93" t="n"/>
      <c r="DK27" s="82" t="n"/>
      <c r="DL27" s="83" t="n"/>
      <c r="DM27" s="87" t="n"/>
    </row>
    <row r="28">
      <c r="A28" s="336" t="inlineStr">
        <is>
          <t>SW</t>
        </is>
      </c>
      <c r="B28" s="234" t="inlineStr">
        <is>
          <t>Internal KOM</t>
        </is>
      </c>
      <c r="C28" s="420" t="n">
        <v>44354</v>
      </c>
      <c r="D28" s="421">
        <f>V10</f>
        <v/>
      </c>
      <c r="E28" s="188" t="n"/>
      <c r="F28" s="8" t="inlineStr">
        <is>
          <t>P5</t>
        </is>
      </c>
      <c r="G28" s="8" t="inlineStr">
        <is>
          <t>SW</t>
        </is>
      </c>
      <c r="H28" s="410" t="inlineStr">
        <is>
          <t>P5-03</t>
        </is>
      </c>
      <c r="I28" s="411" t="inlineStr">
        <is>
          <t>As Comm. Doc (SW)</t>
        </is>
      </c>
      <c r="J28" s="130" t="n"/>
      <c r="K28" s="130" t="n"/>
      <c r="L28" s="130" t="n"/>
      <c r="M28" s="130" t="n"/>
      <c r="N28" s="130" t="n"/>
      <c r="O28" s="130" t="n"/>
      <c r="P28" s="130" t="n">
        <v>46106</v>
      </c>
      <c r="Q28" s="130" t="n">
        <v>46108</v>
      </c>
      <c r="R28" s="48">
        <f>IFERROR(INDEX('@LeadT_Setting'!$F$6:$J$52,MATCH(I28,'@LeadT_Setting'!$E$6:$E$52,0),MATCH(INDEX('@LeadT_Setting'!$AI$1:$AI$3,MATCH($A28,'@LeadT_Setting'!$AD$1:$AD$3,0),0),'@LeadT_Setting'!$F$1:$J$1,0)),0)</f>
        <v/>
      </c>
      <c r="S28" s="412" t="n">
        <v>0</v>
      </c>
      <c r="T28" s="418" t="n"/>
      <c r="U28" s="414" t="n">
        <v>0.001</v>
      </c>
      <c r="V28" s="43">
        <f>IF(S28&gt;0,W27+1,V27)</f>
        <v/>
      </c>
      <c r="W28" s="43">
        <f>IFERROR(IF(S28=0,W27,V28+S28-1),"")</f>
        <v/>
      </c>
      <c r="X28" s="127" t="n"/>
      <c r="Y28" s="127" t="n"/>
      <c r="Z28" s="189" t="n">
        <v>1</v>
      </c>
      <c r="AA28" s="190">
        <f>IFERROR(IF(OR(U28&lt;=0,TODAY()&lt;V28),0,IF(TODAY()&gt;=W28,1,((TODAY()-V28))/((W28-V28)))),0)</f>
        <v/>
      </c>
      <c r="AB28" s="43">
        <f>IFERROR(IF(V28&lt;&gt;"",V28+(W28-V28)*0.8,""),"")</f>
        <v/>
      </c>
      <c r="AC28" s="209" t="n"/>
      <c r="AD28" s="127" t="n"/>
      <c r="AE28" s="14" t="n"/>
      <c r="AF28" s="128" t="inlineStr"/>
      <c r="AG28" s="289" t="n"/>
      <c r="AH28" s="284" t="n"/>
      <c r="AI28" s="290" t="n"/>
      <c r="AJ28" s="290" t="n"/>
      <c r="AK28" s="292" t="n"/>
      <c r="AL28" s="139">
        <f>Z28</f>
        <v/>
      </c>
      <c r="AM28" s="63" t="n"/>
      <c r="AN28" s="55" t="n"/>
      <c r="AO28" s="55" t="n"/>
      <c r="AP28" s="55" t="n"/>
      <c r="AQ28" s="55" t="n"/>
      <c r="AR28" s="55" t="n"/>
      <c r="AS28" s="55" t="n"/>
      <c r="AT28" s="55" t="n"/>
      <c r="AU28" s="55" t="n"/>
      <c r="AV28" s="55" t="n"/>
      <c r="AW28" s="55" t="n"/>
      <c r="AX28" s="55" t="n"/>
      <c r="AY28" s="55" t="n"/>
      <c r="AZ28" s="55" t="n"/>
      <c r="BA28" s="55" t="n"/>
      <c r="BB28" s="55" t="n"/>
      <c r="BC28" s="55" t="n"/>
      <c r="BD28" s="55" t="n"/>
      <c r="BE28" s="55" t="n"/>
      <c r="BF28" s="55" t="n"/>
      <c r="BG28" s="55" t="n"/>
      <c r="BH28" s="55" t="n"/>
      <c r="BI28" s="55" t="n"/>
      <c r="BJ28" s="55" t="n"/>
      <c r="BK28" s="55" t="n"/>
      <c r="BL28" s="55" t="n"/>
      <c r="BM28" s="55" t="n"/>
      <c r="BN28" s="55" t="n"/>
      <c r="BO28" s="55" t="n"/>
      <c r="BP28" s="55" t="n"/>
      <c r="BQ28" s="55" t="n"/>
      <c r="BR28" s="55" t="n"/>
      <c r="BS28" s="55" t="n"/>
      <c r="BT28" s="55" t="n"/>
      <c r="BU28" s="55" t="n"/>
      <c r="BV28" s="55" t="n"/>
      <c r="BW28" s="55" t="n"/>
      <c r="BX28" s="55" t="n"/>
      <c r="BY28" s="55" t="n"/>
      <c r="BZ28" s="55" t="n"/>
      <c r="CA28" s="55" t="n"/>
      <c r="CB28" s="55" t="n"/>
      <c r="CC28" s="55" t="n"/>
      <c r="CD28" s="55" t="n"/>
      <c r="CE28" s="55" t="n"/>
      <c r="CF28" s="55" t="n"/>
      <c r="CG28" s="55" t="n"/>
      <c r="CH28" s="55" t="n"/>
      <c r="CI28" s="55" t="n"/>
      <c r="CJ28" s="55" t="n"/>
      <c r="CK28" s="55" t="n"/>
      <c r="CL28" s="55" t="n"/>
      <c r="CM28" s="55" t="n"/>
      <c r="CN28" s="55" t="n"/>
      <c r="CO28" s="55" t="n"/>
      <c r="CP28" s="55" t="n"/>
      <c r="CQ28" s="55" t="n"/>
      <c r="CR28" s="55" t="n"/>
      <c r="CS28" s="55" t="n"/>
      <c r="CT28" s="55" t="n"/>
      <c r="CU28" s="67" t="n"/>
      <c r="CV28" s="87" t="n"/>
      <c r="CW28" s="87" t="n"/>
      <c r="CX28" s="81" t="n"/>
      <c r="CY28" s="87">
        <f>IF(OR(AND(TODAY()&gt;W28,Z28&lt;&gt;1,DB28=1),AND(DB28&gt;='@LeadT_Setting'!$AK$6,Z28&lt;='@LeadT_Setting'!$AK$6),AND(Z28&lt;(DB28-'@LeadT_Setting'!$AI$6),DB28&gt;Z28,U28&gt;0,DB28&lt;'@LeadT_Setting'!$AK$6)),1,0)</f>
        <v/>
      </c>
      <c r="CZ28" s="87">
        <f>IFERROR(AA28*U28,0)</f>
        <v/>
      </c>
      <c r="DA28" s="118">
        <f>IFERROR(Z28*U28,0)</f>
        <v/>
      </c>
      <c r="DB28" s="88">
        <f>IFERROR(IF(OR(U28&lt;=0,TODAY()&lt;V28),0,IF(TODAY()&gt;=W28,1,((TODAY()-V28))/((W28-V28)))),0)</f>
        <v/>
      </c>
      <c r="DC28" s="118">
        <f>IF(OR(AND(TODAY()&gt;W28,Z28&lt;&gt;1,DB28=1),AND(DB28&gt;='@LeadT_Setting'!$AK$6,Z28&lt;='@LeadT_Setting'!$AK$6),AND(Z28&lt;(DB28-'@LeadT_Setting'!$AJ$6),DB28&gt;Z28,U28&gt;0)),1,0)</f>
        <v/>
      </c>
      <c r="DD28" s="119">
        <f>IF(Z28=1,0,IF(AD28="Engineering",1,IF(AD28="Purchase",2,IF(AD28="Software",3,IF(AD28="Project Management",4,IF(AD28="Manufacturing",5,IF(AD28="Sales",6,IF(AD28="Client",7,0))))))))</f>
        <v/>
      </c>
      <c r="DE28" s="202" t="n"/>
      <c r="DF28" s="119" t="n"/>
      <c r="DG28" s="119" t="n"/>
      <c r="DH28" s="119">
        <f>IF(OR(AND(U28&gt;0,TODAY()&gt;=AB28,Z28&lt;80%,NOT(ISBLANK(AB28))),AND(Z28&lt;&gt;1,U28&gt;0,$V28&lt;TODAY(),ISBLANK($Y28))),1,0)</f>
        <v/>
      </c>
      <c r="DI28" s="82" t="n"/>
      <c r="DJ28" s="93" t="n"/>
      <c r="DK28" s="82" t="n"/>
      <c r="DL28" s="83" t="n"/>
      <c r="DM28" s="87" t="n"/>
    </row>
    <row r="29">
      <c r="A29" s="336" t="inlineStr">
        <is>
          <t>EC</t>
        </is>
      </c>
      <c r="B29" s="235" t="inlineStr">
        <is>
          <t>SW Input</t>
        </is>
      </c>
      <c r="C29" s="420" t="n">
        <v>45085</v>
      </c>
      <c r="D29" s="421">
        <f>V11</f>
        <v/>
      </c>
      <c r="E29" s="188" t="n"/>
      <c r="F29" s="8" t="inlineStr">
        <is>
          <t>P5</t>
        </is>
      </c>
      <c r="G29" s="8" t="inlineStr">
        <is>
          <t>EC</t>
        </is>
      </c>
      <c r="H29" s="410" t="inlineStr">
        <is>
          <t>P5-04</t>
        </is>
      </c>
      <c r="I29" s="411" t="inlineStr">
        <is>
          <t>Post Comm. Support</t>
        </is>
      </c>
      <c r="J29" s="130" t="n"/>
      <c r="K29" s="130" t="n"/>
      <c r="L29" s="130" t="n"/>
      <c r="M29" s="130" t="n"/>
      <c r="N29" s="130" t="n"/>
      <c r="O29" s="130" t="n"/>
      <c r="P29" s="130" t="n">
        <v>46109</v>
      </c>
      <c r="Q29" s="130" t="n">
        <v>46110</v>
      </c>
      <c r="R29" s="48">
        <f>IFERROR(INDEX('@LeadT_Setting'!$F$6:$J$52,MATCH(I29,'@LeadT_Setting'!$E$6:$E$52,0),MATCH(INDEX('@LeadT_Setting'!$AI$1:$AI$3,MATCH($A29,'@LeadT_Setting'!$AD$1:$AD$3,0),0),'@LeadT_Setting'!$F$1:$J$1,0)),0)</f>
        <v/>
      </c>
      <c r="S29" s="412" t="n">
        <v>2</v>
      </c>
      <c r="T29" s="418" t="n"/>
      <c r="U29" s="416" t="n">
        <v>2</v>
      </c>
      <c r="V29" s="43">
        <f>IF(S29&gt;0,W28+1,V28)</f>
        <v/>
      </c>
      <c r="W29" s="43">
        <f>IFERROR(IF(S29=0,W28,V29+S29-1),"")</f>
        <v/>
      </c>
      <c r="X29" s="127" t="n"/>
      <c r="Y29" s="127" t="n"/>
      <c r="Z29" s="189" t="n">
        <v>1</v>
      </c>
      <c r="AA29" s="190">
        <f>IFERROR(IF(OR(U29&lt;=0,TODAY()&lt;V29),0,IF(TODAY()&gt;=W29,1,((TODAY()-V29))/((W29-V29)))),0)</f>
        <v/>
      </c>
      <c r="AB29" s="43">
        <f>IFERROR(IF(V29&lt;&gt;"",V29+(W29-V29)*0.8,""),"")</f>
        <v/>
      </c>
      <c r="AC29" s="209" t="n"/>
      <c r="AD29" s="127" t="n"/>
      <c r="AE29" s="14" t="n"/>
      <c r="AF29" s="128" t="inlineStr"/>
      <c r="AG29" s="289" t="n"/>
      <c r="AH29" s="284" t="n"/>
      <c r="AI29" s="290" t="n"/>
      <c r="AJ29" s="290" t="n"/>
      <c r="AK29" s="292" t="n"/>
      <c r="AL29" s="139">
        <f>Z29</f>
        <v/>
      </c>
      <c r="AM29" s="63" t="n"/>
      <c r="AN29" s="55" t="n"/>
      <c r="AO29" s="55" t="n"/>
      <c r="AP29" s="55" t="n"/>
      <c r="AQ29" s="55" t="n"/>
      <c r="AR29" s="55" t="n"/>
      <c r="AS29" s="55" t="n"/>
      <c r="AT29" s="55" t="n"/>
      <c r="AU29" s="55" t="n"/>
      <c r="AV29" s="55" t="n"/>
      <c r="AW29" s="55" t="n"/>
      <c r="AX29" s="55" t="n"/>
      <c r="AY29" s="55" t="n"/>
      <c r="AZ29" s="55" t="n"/>
      <c r="BA29" s="55" t="n"/>
      <c r="BB29" s="55" t="n"/>
      <c r="BC29" s="55" t="n"/>
      <c r="BD29" s="55" t="n"/>
      <c r="BE29" s="55" t="n"/>
      <c r="BF29" s="55" t="n"/>
      <c r="BG29" s="55" t="n"/>
      <c r="BH29" s="55" t="n"/>
      <c r="BI29" s="55" t="n"/>
      <c r="BJ29" s="55" t="n"/>
      <c r="BK29" s="55" t="n"/>
      <c r="BL29" s="55" t="n"/>
      <c r="BM29" s="55" t="n"/>
      <c r="BN29" s="55" t="n"/>
      <c r="BO29" s="55" t="n"/>
      <c r="BP29" s="55" t="n"/>
      <c r="BQ29" s="55" t="n"/>
      <c r="BR29" s="55" t="n"/>
      <c r="BS29" s="55" t="n"/>
      <c r="BT29" s="55" t="n"/>
      <c r="BU29" s="55" t="n"/>
      <c r="BV29" s="55" t="n"/>
      <c r="BW29" s="55" t="n"/>
      <c r="BX29" s="55" t="n"/>
      <c r="BY29" s="55" t="n"/>
      <c r="BZ29" s="55" t="n"/>
      <c r="CA29" s="55" t="n"/>
      <c r="CB29" s="55" t="n"/>
      <c r="CC29" s="55" t="n"/>
      <c r="CD29" s="55" t="n"/>
      <c r="CE29" s="55" t="n"/>
      <c r="CF29" s="55" t="n"/>
      <c r="CG29" s="55" t="n"/>
      <c r="CH29" s="55" t="n"/>
      <c r="CI29" s="55" t="n"/>
      <c r="CJ29" s="55" t="n"/>
      <c r="CK29" s="55" t="n"/>
      <c r="CL29" s="55" t="n"/>
      <c r="CM29" s="55" t="n"/>
      <c r="CN29" s="55" t="n"/>
      <c r="CO29" s="55" t="n"/>
      <c r="CP29" s="55" t="n"/>
      <c r="CQ29" s="55" t="n"/>
      <c r="CR29" s="55" t="n"/>
      <c r="CS29" s="55" t="n"/>
      <c r="CT29" s="55" t="n"/>
      <c r="CU29" s="67" t="n"/>
      <c r="CV29" s="87" t="n"/>
      <c r="CW29" s="87" t="n"/>
      <c r="CX29" s="81" t="n"/>
      <c r="CY29" s="87">
        <f>IF(OR(AND(TODAY()&gt;W29,Z29&lt;&gt;1,DB29=1),AND(DB29&gt;='@LeadT_Setting'!$AK$6,Z29&lt;='@LeadT_Setting'!$AK$6),AND(Z29&lt;(DB29-'@LeadT_Setting'!$AI$6),DB29&gt;Z29,U29&gt;0,DB29&lt;'@LeadT_Setting'!$AK$6)),1,0)</f>
        <v/>
      </c>
      <c r="CZ29" s="87">
        <f>IFERROR(AA29*U29,0)</f>
        <v/>
      </c>
      <c r="DA29" s="118">
        <f>IFERROR(Z29*U29,0)</f>
        <v/>
      </c>
      <c r="DB29" s="88">
        <f>IFERROR(IF(OR(U29&lt;=0,TODAY()&lt;V29),0,IF(TODAY()&gt;=W29,1,((TODAY()-V29))/((W29-V29)))),0)</f>
        <v/>
      </c>
      <c r="DC29" s="118">
        <f>IF(OR(AND(TODAY()&gt;W29,Z29&lt;&gt;1,DB29=1),AND(DB29&gt;='@LeadT_Setting'!$AK$6,Z29&lt;='@LeadT_Setting'!$AK$6),AND(Z29&lt;(DB29-'@LeadT_Setting'!$AJ$6),DB29&gt;Z29,U29&gt;0)),1,0)</f>
        <v/>
      </c>
      <c r="DD29" s="119">
        <f>IF(Z29=1,0,IF(AD29="Engineering",1,IF(AD29="Purchase",2,IF(AD29="Software",3,IF(AD29="Project Management",4,IF(AD29="Manufacturing",5,IF(AD29="Sales",6,IF(AD29="Client",7,0))))))))</f>
        <v/>
      </c>
      <c r="DE29" s="203" t="n"/>
      <c r="DF29" s="119">
        <f>Z29*U29</f>
        <v/>
      </c>
      <c r="DG29" s="119">
        <f>U29</f>
        <v/>
      </c>
      <c r="DH29" s="119">
        <f>IF(OR(AND(U29&gt;0,TODAY()&gt;=AB29,Z29&lt;80%,NOT(ISBLANK(AB29))),AND(Z29&lt;&gt;1,U29&gt;0,$V29&lt;TODAY(),ISBLANK($Y29))),1,0)</f>
        <v/>
      </c>
      <c r="DI29" s="82" t="n"/>
      <c r="DJ29" s="93" t="n"/>
      <c r="DK29" s="82" t="n"/>
      <c r="DL29" s="83" t="n"/>
      <c r="DM29" s="87" t="n"/>
    </row>
    <row r="30">
      <c r="A30" s="336" t="inlineStr">
        <is>
          <t>SW</t>
        </is>
      </c>
      <c r="B30" s="235" t="inlineStr">
        <is>
          <t>SW FAT</t>
        </is>
      </c>
      <c r="C30" s="420" t="n">
        <v>45140</v>
      </c>
      <c r="D30" s="421">
        <f>V22</f>
        <v/>
      </c>
      <c r="E30" s="188" t="n"/>
      <c r="F30" s="8" t="inlineStr">
        <is>
          <t>P5</t>
        </is>
      </c>
      <c r="G30" s="8" t="inlineStr">
        <is>
          <t>SW</t>
        </is>
      </c>
      <c r="H30" s="410" t="inlineStr">
        <is>
          <t>P5-05</t>
        </is>
      </c>
      <c r="I30" s="411" t="inlineStr">
        <is>
          <t>Project Closure</t>
        </is>
      </c>
      <c r="J30" s="130" t="n"/>
      <c r="K30" s="130" t="n"/>
      <c r="L30" s="130" t="n"/>
      <c r="M30" s="130" t="n"/>
      <c r="N30" s="130" t="n"/>
      <c r="O30" s="130" t="n"/>
      <c r="P30" s="130" t="n">
        <v>46109</v>
      </c>
      <c r="Q30" s="130" t="n">
        <v>46110</v>
      </c>
      <c r="R30" s="48">
        <f>IFERROR(INDEX('@LeadT_Setting'!$F$6:$J$52,MATCH(I30,'@LeadT_Setting'!$E$6:$E$52,0),MATCH(INDEX('@LeadT_Setting'!$AI$1:$AI$3,MATCH($A30,'@LeadT_Setting'!$AD$1:$AD$3,0),0),'@LeadT_Setting'!$F$1:$J$1,0)),0)</f>
        <v/>
      </c>
      <c r="S30" s="412" t="n">
        <v>0</v>
      </c>
      <c r="T30" s="418" t="n"/>
      <c r="U30" s="414" t="n">
        <v>0.001</v>
      </c>
      <c r="V30" s="43">
        <f>IF(S30&gt;0,W29+1,V29)</f>
        <v/>
      </c>
      <c r="W30" s="43">
        <f>IF(S30=0,W29,V30+S30-1)</f>
        <v/>
      </c>
      <c r="X30" s="127" t="n"/>
      <c r="Y30" s="127" t="n"/>
      <c r="Z30" s="189" t="n">
        <v>1</v>
      </c>
      <c r="AA30" s="190">
        <f>IFERROR(IF(OR(U30&lt;=0,TODAY()&lt;V30),0,IF(TODAY()&gt;=W30,1,((TODAY()-V30))/((W30-V30)))),0)</f>
        <v/>
      </c>
      <c r="AB30" s="43">
        <f>IFERROR(IF(V30&lt;&gt;"",V30+(W30-V30)*0.8,""),"")</f>
        <v/>
      </c>
      <c r="AC30" s="209" t="n"/>
      <c r="AD30" s="127" t="n"/>
      <c r="AE30" s="14" t="n"/>
      <c r="AF30" s="128" t="inlineStr"/>
      <c r="AG30" s="289" t="n"/>
      <c r="AH30" s="284" t="n"/>
      <c r="AI30" s="290" t="n"/>
      <c r="AJ30" s="290" t="n"/>
      <c r="AK30" s="292" t="n"/>
      <c r="AL30" s="139">
        <f>Z30</f>
        <v/>
      </c>
      <c r="AM30" s="63" t="n"/>
      <c r="AN30" s="55" t="n"/>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c r="BP30" s="55" t="n"/>
      <c r="BQ30" s="55" t="n"/>
      <c r="BR30" s="55" t="n"/>
      <c r="BS30" s="55" t="n"/>
      <c r="BT30" s="55" t="n"/>
      <c r="BU30" s="55" t="n"/>
      <c r="BV30" s="55" t="n"/>
      <c r="BW30" s="55" t="n"/>
      <c r="BX30" s="55" t="n"/>
      <c r="BY30" s="55" t="n"/>
      <c r="BZ30" s="55" t="n"/>
      <c r="CA30" s="55" t="n"/>
      <c r="CB30" s="55" t="n"/>
      <c r="CC30" s="55" t="n"/>
      <c r="CD30" s="55" t="n"/>
      <c r="CE30" s="55" t="n"/>
      <c r="CF30" s="55" t="n"/>
      <c r="CG30" s="55" t="n"/>
      <c r="CH30" s="55" t="n"/>
      <c r="CI30" s="55" t="n"/>
      <c r="CJ30" s="55" t="n"/>
      <c r="CK30" s="55" t="n"/>
      <c r="CL30" s="55" t="n"/>
      <c r="CM30" s="55" t="n"/>
      <c r="CN30" s="55" t="n"/>
      <c r="CO30" s="55" t="n"/>
      <c r="CP30" s="55" t="n"/>
      <c r="CQ30" s="55" t="n"/>
      <c r="CR30" s="55" t="n"/>
      <c r="CS30" s="55" t="n"/>
      <c r="CT30" s="55" t="n"/>
      <c r="CU30" s="67" t="n"/>
      <c r="CV30" s="87" t="n"/>
      <c r="CW30" s="87" t="n"/>
      <c r="CX30" s="81" t="n"/>
      <c r="CY30" s="87">
        <f>IF(OR(AND(TODAY()&gt;W30,Z30&lt;&gt;1,DB30=1),AND(DB30&gt;='@LeadT_Setting'!$AK$6,Z30&lt;='@LeadT_Setting'!$AK$6),AND(Z30&lt;(DB30-'@LeadT_Setting'!$AI$6),DB30&gt;Z30,U30&gt;0,DB30&lt;'@LeadT_Setting'!$AK$6)),1,0)</f>
        <v/>
      </c>
      <c r="CZ30" s="87">
        <f>IFERROR(AA30*U30,0)</f>
        <v/>
      </c>
      <c r="DA30" s="118">
        <f>IFERROR(Z30*U30,0)</f>
        <v/>
      </c>
      <c r="DB30" s="88">
        <f>IFERROR(IF(OR(U30&lt;=0,TODAY()&lt;V30),0,IF(TODAY()&gt;=W30,1,((TODAY()-V30))/((W30-V30)))),0)</f>
        <v/>
      </c>
      <c r="DC30" s="118">
        <f>IF(OR(AND(TODAY()&gt;W30,Z30&lt;&gt;1,DB30=1),AND(DB30&gt;='@LeadT_Setting'!$AK$6,Z30&lt;='@LeadT_Setting'!$AK$6),AND(Z30&lt;(DB30-'@LeadT_Setting'!$AJ$6),DB30&gt;Z30,U30&gt;0)),1,0)</f>
        <v/>
      </c>
      <c r="DD30" s="119">
        <f>IF(Z30=1,0,IF(AD30="Engineering",1,IF(AD30="Purchase",2,IF(AD30="Software",3,IF(AD30="Project Management",4,IF(AD30="Manufacturing",5,IF(AD30="Sales",6,IF(AD30="Client",7,0))))))))</f>
        <v/>
      </c>
      <c r="DE30" s="202" t="n"/>
      <c r="DF30" s="119" t="n"/>
      <c r="DG30" s="119" t="n"/>
      <c r="DH30" s="119">
        <f>IF(OR(AND(U30&gt;0,TODAY()&gt;=AB30,Z30&lt;80%,NOT(ISBLANK(AB30))),AND(Z30&lt;&gt;1,U30&gt;0,$V30&lt;TODAY(),ISBLANK($Y30))),1,0)</f>
        <v/>
      </c>
      <c r="DI30" s="82" t="n"/>
      <c r="DJ30" s="93" t="n"/>
      <c r="DK30" s="82" t="n"/>
      <c r="DL30" s="83" t="n"/>
      <c r="DM30" s="87" t="n"/>
    </row>
    <row r="31">
      <c r="B31" s="235" t="inlineStr">
        <is>
          <t>Install</t>
        </is>
      </c>
      <c r="C31" s="420" t="n"/>
      <c r="D31" s="421">
        <f>V24</f>
        <v/>
      </c>
      <c r="E31" s="173" t="n"/>
      <c r="F31" s="174" t="n"/>
      <c r="G31" s="174" t="n"/>
      <c r="H31" s="174" t="n"/>
      <c r="I31" s="174" t="n"/>
      <c r="J31" s="174" t="n"/>
      <c r="K31" s="174" t="n"/>
      <c r="L31" s="174" t="n"/>
      <c r="M31" s="174" t="n"/>
      <c r="N31" s="174" t="n"/>
      <c r="O31" s="174" t="n"/>
      <c r="P31" s="174" t="n"/>
      <c r="Q31" s="174" t="n"/>
      <c r="R31" s="174" t="n"/>
      <c r="S31" s="174" t="n"/>
      <c r="T31" s="174" t="n"/>
      <c r="U31" s="174" t="n"/>
      <c r="V31" s="174" t="n"/>
      <c r="W31" s="174" t="n"/>
      <c r="X31" s="174" t="n"/>
      <c r="Y31" s="174" t="n"/>
      <c r="Z31" s="174" t="n"/>
      <c r="AA31" s="174" t="n"/>
      <c r="AB31" s="175" t="n"/>
      <c r="AC31" s="209" t="n"/>
      <c r="AD31" s="14" t="n"/>
      <c r="AE31" s="14" t="n"/>
      <c r="AF31" s="129" t="n"/>
      <c r="AG31" s="289" t="n"/>
      <c r="AH31" s="284" t="n"/>
      <c r="AI31" s="290" t="n"/>
      <c r="AJ31" s="290" t="n"/>
      <c r="AK31" s="292" t="n"/>
      <c r="AL31" s="139">
        <f>Z31</f>
        <v/>
      </c>
      <c r="AM31" s="63"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c r="BP31" s="55" t="n"/>
      <c r="BQ31" s="55" t="n"/>
      <c r="BR31" s="55" t="n"/>
      <c r="BS31" s="55" t="n"/>
      <c r="BT31" s="55" t="n"/>
      <c r="BU31" s="55" t="n"/>
      <c r="BV31" s="55" t="n"/>
      <c r="BW31" s="55" t="n"/>
      <c r="BX31" s="55" t="n"/>
      <c r="BY31" s="55" t="n"/>
      <c r="BZ31" s="55" t="n"/>
      <c r="CA31" s="55" t="n"/>
      <c r="CB31" s="55" t="n"/>
      <c r="CC31" s="55" t="n"/>
      <c r="CD31" s="55" t="n"/>
      <c r="CE31" s="55" t="n"/>
      <c r="CF31" s="55" t="n"/>
      <c r="CG31" s="55" t="n"/>
      <c r="CH31" s="55" t="n"/>
      <c r="CI31" s="55" t="n"/>
      <c r="CJ31" s="55" t="n"/>
      <c r="CK31" s="55" t="n"/>
      <c r="CL31" s="55" t="n"/>
      <c r="CM31" s="55" t="n"/>
      <c r="CN31" s="55" t="n"/>
      <c r="CO31" s="55" t="n"/>
      <c r="CP31" s="55" t="n"/>
      <c r="CQ31" s="55" t="n"/>
      <c r="CR31" s="55" t="n"/>
      <c r="CS31" s="55" t="n"/>
      <c r="CT31" s="55" t="n"/>
      <c r="CU31" s="67" t="n"/>
      <c r="CV31" s="87" t="n"/>
      <c r="CW31" s="87" t="n"/>
      <c r="CX31" s="81" t="n"/>
      <c r="CY31" s="87">
        <f>IF(OR(AND(TODAY()&gt;W31,Z31&lt;&gt;1,DB31=1),AND(DB31&gt;='@LeadT_Setting'!$AK$6,Z31&lt;='@LeadT_Setting'!$AK$6),AND(Z31&lt;(DB31-'@LeadT_Setting'!$AI$6),DB31&gt;Z31,U31&gt;0,DB31&lt;'@LeadT_Setting'!$AK$6)),1,0)</f>
        <v/>
      </c>
      <c r="CZ31" s="87">
        <f>IFERROR(AA31*U31,0)</f>
        <v/>
      </c>
      <c r="DA31" s="118">
        <f>IFERROR(Z31*U31,0)</f>
        <v/>
      </c>
      <c r="DB31" s="88">
        <f>IFERROR(IF(OR(U31&lt;=0,TODAY()&lt;V31),0,IF(TODAY()&gt;=W31,1,((TODAY()-V31))/((W31-V31)))),0)</f>
        <v/>
      </c>
      <c r="DC31" s="118">
        <f>IF(OR(AND(TODAY()&gt;W31,Z31&lt;&gt;1,DB31=1),AND(DB31&gt;='@LeadT_Setting'!$AK$6,Z31&lt;='@LeadT_Setting'!$AK$6),AND(Z31&lt;(DB31-'@LeadT_Setting'!$AJ$6),DB31&gt;Z31,U31&gt;0)),1,0)</f>
        <v/>
      </c>
      <c r="DD31" s="119">
        <f>IF(Z31=1,0,IF(AD31="Engineering",1,IF(AD31="Purchase",2,IF(AD31="Software",3,IF(AD31="Project Management",4,IF(AD31="Manufacturing",5,IF(AD31="Sales",6,IF(AD31="Client",7,0))))))))</f>
        <v/>
      </c>
      <c r="DE31" s="202" t="n"/>
      <c r="DF31" s="119">
        <f>Z31*U31</f>
        <v/>
      </c>
      <c r="DG31" s="119" t="n"/>
      <c r="DH31" s="119">
        <f>IF(OR(AND(U31&gt;0,TODAY()&gt;=AB31,Z31&lt;80%,NOT(ISBLANK(AB31))),AND(Z31&lt;&gt;1,U31&gt;0,$V31&lt;TODAY(),ISBLANK($Y31))),1,0)</f>
        <v/>
      </c>
      <c r="DI31" s="82" t="n"/>
      <c r="DJ31" s="93" t="n"/>
      <c r="DK31" s="82" t="n"/>
      <c r="DL31" s="83" t="n"/>
      <c r="DM31" s="87" t="n"/>
    </row>
    <row r="32">
      <c r="B32" s="235" t="inlineStr">
        <is>
          <t>PreComm.</t>
        </is>
      </c>
      <c r="C32" s="420" t="n">
        <v>46082</v>
      </c>
      <c r="D32" s="421">
        <f>V25</f>
        <v/>
      </c>
      <c r="E32" s="173" t="n"/>
      <c r="F32" s="174" t="n"/>
      <c r="G32" s="174" t="n"/>
      <c r="H32" s="174" t="n"/>
      <c r="I32" s="174" t="n"/>
      <c r="J32" s="174" t="n"/>
      <c r="K32" s="174" t="n"/>
      <c r="L32" s="174" t="n"/>
      <c r="M32" s="174" t="n"/>
      <c r="N32" s="174" t="n"/>
      <c r="O32" s="174" t="n"/>
      <c r="P32" s="174" t="n"/>
      <c r="Q32" s="174" t="n"/>
      <c r="R32" s="174" t="n"/>
      <c r="S32" s="174" t="n"/>
      <c r="T32" s="174" t="n"/>
      <c r="U32" s="174" t="n"/>
      <c r="V32" s="174" t="n"/>
      <c r="W32" s="174" t="n"/>
      <c r="X32" s="174" t="n"/>
      <c r="Y32" s="174" t="n"/>
      <c r="Z32" s="174" t="n"/>
      <c r="AA32" s="174" t="n"/>
      <c r="AB32" s="175" t="n"/>
      <c r="AC32" s="14" t="n"/>
      <c r="AD32" s="14" t="n"/>
      <c r="AE32" s="14" t="n"/>
      <c r="AF32" s="128" t="n"/>
      <c r="AG32" s="289" t="n"/>
      <c r="AH32" s="284" t="n"/>
      <c r="AI32" s="290" t="n"/>
      <c r="AJ32" s="290" t="n"/>
      <c r="AK32" s="292" t="n"/>
      <c r="AL32" s="139">
        <f>Z32</f>
        <v/>
      </c>
      <c r="AM32" s="63" t="n"/>
      <c r="AN32" s="55" t="n"/>
      <c r="AO32" s="55" t="n"/>
      <c r="AP32" s="55" t="n"/>
      <c r="AQ32" s="55" t="n"/>
      <c r="AR32" s="55" t="n"/>
      <c r="AS32" s="55" t="n"/>
      <c r="AT32" s="55" t="n"/>
      <c r="AU32" s="55" t="n"/>
      <c r="AV32" s="55" t="n"/>
      <c r="AW32" s="55" t="n"/>
      <c r="AX32" s="55" t="n"/>
      <c r="AY32" s="55" t="n"/>
      <c r="AZ32" s="55" t="n"/>
      <c r="BA32" s="55" t="n"/>
      <c r="BB32" s="55" t="n"/>
      <c r="BC32" s="55" t="n"/>
      <c r="BD32" s="55" t="n"/>
      <c r="BE32" s="55" t="n"/>
      <c r="BF32" s="55" t="n"/>
      <c r="BG32" s="55" t="n"/>
      <c r="BH32" s="55" t="n"/>
      <c r="BI32" s="55" t="n"/>
      <c r="BJ32" s="55" t="n"/>
      <c r="BK32" s="55" t="n"/>
      <c r="BL32" s="55" t="n"/>
      <c r="BM32" s="55" t="n"/>
      <c r="BN32" s="55" t="n"/>
      <c r="BO32" s="55" t="n"/>
      <c r="BP32" s="55" t="n"/>
      <c r="BQ32" s="55" t="n"/>
      <c r="BR32" s="55" t="n"/>
      <c r="BS32" s="55" t="n"/>
      <c r="BT32" s="55" t="n"/>
      <c r="BU32" s="55" t="n"/>
      <c r="BV32" s="55" t="n"/>
      <c r="BW32" s="55" t="n"/>
      <c r="BX32" s="55" t="n"/>
      <c r="BY32" s="55" t="n"/>
      <c r="BZ32" s="55" t="n"/>
      <c r="CA32" s="55" t="n"/>
      <c r="CB32" s="55" t="n"/>
      <c r="CC32" s="55" t="n"/>
      <c r="CD32" s="55" t="n"/>
      <c r="CE32" s="55" t="n"/>
      <c r="CF32" s="55" t="n"/>
      <c r="CG32" s="55" t="n"/>
      <c r="CH32" s="55" t="n"/>
      <c r="CI32" s="55" t="n"/>
      <c r="CJ32" s="55" t="n"/>
      <c r="CK32" s="55" t="n"/>
      <c r="CL32" s="55" t="n"/>
      <c r="CM32" s="55" t="n"/>
      <c r="CN32" s="55" t="n"/>
      <c r="CO32" s="55" t="n"/>
      <c r="CP32" s="55" t="n"/>
      <c r="CQ32" s="55" t="n"/>
      <c r="CR32" s="55" t="n"/>
      <c r="CS32" s="55" t="n"/>
      <c r="CT32" s="55" t="n"/>
      <c r="CU32" s="67" t="n"/>
      <c r="CV32" s="87" t="n"/>
      <c r="CW32" s="87" t="n"/>
      <c r="CX32" s="81" t="n"/>
      <c r="CY32" s="87">
        <f>IF(OR(AND(TODAY()&gt;W32,Z32&lt;&gt;1,DB32=1),AND(DB32&gt;='@LeadT_Setting'!$AK$6,Z32&lt;='@LeadT_Setting'!$AK$6),AND(Z32&lt;(DB32-'@LeadT_Setting'!$AI$6),DB32&gt;Z32,U32&gt;0,DB32&lt;'@LeadT_Setting'!$AK$6)),1,0)</f>
        <v/>
      </c>
      <c r="CZ32" s="87">
        <f>IFERROR(AA32*U32,0)</f>
        <v/>
      </c>
      <c r="DA32" s="118">
        <f>IFERROR(Z32*U32,0)</f>
        <v/>
      </c>
      <c r="DB32" s="88">
        <f>IFERROR(IF(OR(U32&lt;=0,TODAY()&lt;V32),0,IF(TODAY()&gt;=W32,1,((TODAY()-V32))/((W32-V32)))),0)</f>
        <v/>
      </c>
      <c r="DC32" s="118">
        <f>IF(OR(AND(TODAY()&gt;W32,Z32&lt;&gt;1,DB32=1),AND(DB32&gt;='@LeadT_Setting'!$AK$6,Z32&lt;='@LeadT_Setting'!$AK$6),AND(Z32&lt;(DB32-'@LeadT_Setting'!$AJ$6),DB32&gt;Z32,U32&gt;0)),1,0)</f>
        <v/>
      </c>
      <c r="DD32" s="119">
        <f>IF(Z32=1,0,IF(AD32="Engineering",1,IF(AD32="Purchase",2,IF(AD32="Software",3,IF(AD32="Project Management",4,IF(AD32="Manufacturing",5,IF(AD32="Sales",6,IF(AD32="Client",7,0))))))))</f>
        <v/>
      </c>
      <c r="DE32" s="202" t="n"/>
      <c r="DF32" s="119">
        <f>Z32*U32</f>
        <v/>
      </c>
      <c r="DG32" s="119" t="n"/>
      <c r="DH32" s="119">
        <f>IF(OR(AND(U32&gt;0,TODAY()&gt;=AB32,Z32&lt;80%,NOT(ISBLANK(AB32))),AND(Z32&lt;&gt;1,U32&gt;0,$V32&lt;TODAY(),ISBLANK($Y32))),1,0)</f>
        <v/>
      </c>
      <c r="DI32" s="82" t="n"/>
      <c r="DJ32" s="93" t="n"/>
      <c r="DK32" s="82" t="n"/>
      <c r="DL32" s="83" t="n"/>
      <c r="DM32" s="87" t="n"/>
    </row>
    <row r="33">
      <c r="B33" s="236" t="inlineStr">
        <is>
          <t>Comm.</t>
        </is>
      </c>
      <c r="C33" s="420" t="n">
        <v>46091</v>
      </c>
      <c r="D33" s="421">
        <f>V26</f>
        <v/>
      </c>
      <c r="E33" s="173" t="n"/>
      <c r="F33" s="174" t="n"/>
      <c r="G33" s="174" t="n"/>
      <c r="H33" s="174" t="n"/>
      <c r="I33" s="174" t="n"/>
      <c r="J33" s="174" t="n"/>
      <c r="K33" s="174" t="n"/>
      <c r="L33" s="174" t="n"/>
      <c r="M33" s="174" t="n"/>
      <c r="N33" s="174" t="n"/>
      <c r="O33" s="174" t="n"/>
      <c r="P33" s="174" t="n"/>
      <c r="Q33" s="174" t="n"/>
      <c r="R33" s="174" t="n"/>
      <c r="S33" s="174" t="n"/>
      <c r="T33" s="174" t="n"/>
      <c r="U33" s="174" t="n"/>
      <c r="V33" s="174" t="n"/>
      <c r="W33" s="174" t="n"/>
      <c r="X33" s="174" t="n"/>
      <c r="Y33" s="174" t="n"/>
      <c r="Z33" s="174" t="n"/>
      <c r="AA33" s="174" t="n"/>
      <c r="AB33" s="175" t="n"/>
      <c r="AC33" s="209" t="n"/>
      <c r="AD33" s="14" t="n"/>
      <c r="AE33" s="14" t="n"/>
      <c r="AF33" s="128" t="n"/>
      <c r="AG33" s="289" t="n"/>
      <c r="AH33" s="284" t="n"/>
      <c r="AI33" s="290" t="n"/>
      <c r="AJ33" s="290" t="n"/>
      <c r="AK33" s="292" t="n"/>
      <c r="AL33" s="139">
        <f>Z33</f>
        <v/>
      </c>
      <c r="AM33" s="63"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c r="BP33" s="55" t="n"/>
      <c r="BQ33" s="55" t="n"/>
      <c r="BR33" s="55" t="n"/>
      <c r="BS33" s="55" t="n"/>
      <c r="BT33" s="55" t="n"/>
      <c r="BU33" s="55" t="n"/>
      <c r="BV33" s="55" t="n"/>
      <c r="BW33" s="55" t="n"/>
      <c r="BX33" s="55" t="n"/>
      <c r="BY33" s="55" t="n"/>
      <c r="BZ33" s="55" t="n"/>
      <c r="CA33" s="55" t="n"/>
      <c r="CB33" s="55" t="n"/>
      <c r="CC33" s="55" t="n"/>
      <c r="CD33" s="55" t="n"/>
      <c r="CE33" s="55" t="n"/>
      <c r="CF33" s="55" t="n"/>
      <c r="CG33" s="55" t="n"/>
      <c r="CH33" s="55" t="n"/>
      <c r="CI33" s="55" t="n"/>
      <c r="CJ33" s="55" t="n"/>
      <c r="CK33" s="55" t="n"/>
      <c r="CL33" s="55" t="n"/>
      <c r="CM33" s="55" t="n"/>
      <c r="CN33" s="55" t="n"/>
      <c r="CO33" s="55" t="n"/>
      <c r="CP33" s="55" t="n"/>
      <c r="CQ33" s="55" t="n"/>
      <c r="CR33" s="55" t="n"/>
      <c r="CS33" s="55" t="n"/>
      <c r="CT33" s="55" t="n"/>
      <c r="CU33" s="67" t="n"/>
      <c r="CV33" s="87" t="n"/>
      <c r="CW33" s="87" t="n"/>
      <c r="CX33" s="81" t="n"/>
      <c r="CY33" s="87">
        <f>IF(OR(AND(TODAY()&gt;W33,Z33&lt;&gt;1,DB33=1),AND(DB33&gt;='@LeadT_Setting'!$AK$6,Z33&lt;='@LeadT_Setting'!$AK$6),AND(Z33&lt;(DB33-'@LeadT_Setting'!$AI$6),DB33&gt;Z33,U33&gt;0,DB33&lt;'@LeadT_Setting'!$AK$6)),1,0)</f>
        <v/>
      </c>
      <c r="CZ33" s="87">
        <f>IFERROR(AA33*U33,0)</f>
        <v/>
      </c>
      <c r="DA33" s="118">
        <f>IFERROR(Z33*U33,0)</f>
        <v/>
      </c>
      <c r="DB33" s="88">
        <f>IFERROR(IF(OR(U33&lt;=0,TODAY()&lt;V33),0,IF(TODAY()&gt;=W33,1,((TODAY()-V33))/((W33-V33)))),0)</f>
        <v/>
      </c>
      <c r="DC33" s="118">
        <f>IF(OR(AND(TODAY()&gt;W33,Z33&lt;&gt;1,DB33=1),AND(DB33&gt;='@LeadT_Setting'!$AK$6,Z33&lt;='@LeadT_Setting'!$AK$6),AND(Z33&lt;(DB33-'@LeadT_Setting'!$AJ$6),DB33&gt;Z33,U33&gt;0)),1,0)</f>
        <v/>
      </c>
      <c r="DD33" s="119">
        <f>IF(Z33=1,0,IF(AD33="Engineering",1,IF(AD33="Purchase",2,IF(AD33="Software",3,IF(AD33="Project Management",4,IF(AD33="Manufacturing",5,IF(AD33="Sales",6,IF(AD33="Client",7,0))))))))</f>
        <v/>
      </c>
      <c r="DE33" s="202" t="n"/>
      <c r="DF33" s="119">
        <f>Z33*U33</f>
        <v/>
      </c>
      <c r="DG33" s="119" t="n"/>
      <c r="DH33" s="119">
        <f>IF(OR(AND(U33&gt;0,TODAY()&gt;=AB33,Z33&lt;80%,NOT(ISBLANK(AB33))),AND(Z33&lt;&gt;1,U33&gt;0,$V33&lt;TODAY(),ISBLANK($Y33))),1,0)</f>
        <v/>
      </c>
      <c r="DI33" s="82" t="n"/>
      <c r="DJ33" s="93" t="n"/>
      <c r="DK33" s="82" t="n"/>
      <c r="DL33" s="83" t="n"/>
      <c r="DM33" s="87" t="n"/>
    </row>
    <row r="34">
      <c r="B34" s="37" t="n"/>
      <c r="C34" s="37" t="n"/>
      <c r="D34" s="37" t="n"/>
      <c r="E34" s="173" t="n"/>
      <c r="F34" s="174" t="n"/>
      <c r="G34" s="174" t="n"/>
      <c r="H34" s="174" t="n"/>
      <c r="I34" s="174" t="n"/>
      <c r="J34" s="174" t="n"/>
      <c r="K34" s="174" t="n"/>
      <c r="L34" s="174" t="n"/>
      <c r="M34" s="174" t="n"/>
      <c r="N34" s="174" t="n"/>
      <c r="O34" s="174" t="n"/>
      <c r="P34" s="174" t="n"/>
      <c r="Q34" s="174" t="n"/>
      <c r="R34" s="174" t="n"/>
      <c r="S34" s="174" t="n"/>
      <c r="T34" s="174" t="n"/>
      <c r="U34" s="174" t="n"/>
      <c r="V34" s="174" t="n"/>
      <c r="W34" s="174" t="n"/>
      <c r="X34" s="174" t="n"/>
      <c r="Y34" s="174" t="n"/>
      <c r="Z34" s="174" t="n"/>
      <c r="AA34" s="174" t="n"/>
      <c r="AB34" s="175" t="n"/>
      <c r="AC34" s="14" t="n"/>
      <c r="AD34" s="14" t="n"/>
      <c r="AE34" s="14" t="n"/>
      <c r="AF34" s="128" t="n"/>
      <c r="AG34" s="289" t="n"/>
      <c r="AH34" s="284" t="n"/>
      <c r="AI34" s="290" t="n"/>
      <c r="AJ34" s="290" t="n"/>
      <c r="AK34" s="292" t="n"/>
      <c r="AL34" s="139">
        <f>Z34</f>
        <v/>
      </c>
      <c r="AM34" s="63" t="n"/>
      <c r="AN34" s="55" t="n"/>
      <c r="AO34" s="55" t="n"/>
      <c r="AP34" s="55" t="n"/>
      <c r="AQ34" s="55" t="n"/>
      <c r="AR34" s="55" t="n"/>
      <c r="AS34" s="55" t="n"/>
      <c r="AT34" s="55" t="n"/>
      <c r="AU34" s="55" t="n"/>
      <c r="AV34" s="55" t="n"/>
      <c r="AW34" s="55" t="n"/>
      <c r="AX34" s="55" t="n"/>
      <c r="AY34" s="55" t="n"/>
      <c r="AZ34" s="55" t="n"/>
      <c r="BA34" s="55" t="n"/>
      <c r="BB34" s="55" t="n"/>
      <c r="BC34" s="55" t="n"/>
      <c r="BD34" s="55" t="n"/>
      <c r="BE34" s="55" t="n"/>
      <c r="BF34" s="55" t="n"/>
      <c r="BG34" s="55" t="n"/>
      <c r="BH34" s="55" t="n"/>
      <c r="BI34" s="55" t="n"/>
      <c r="BJ34" s="55" t="n"/>
      <c r="BK34" s="55" t="n"/>
      <c r="BL34" s="55" t="n"/>
      <c r="BM34" s="55" t="n"/>
      <c r="BN34" s="55" t="n"/>
      <c r="BO34" s="55" t="n"/>
      <c r="BP34" s="55" t="n"/>
      <c r="BQ34" s="55" t="n"/>
      <c r="BR34" s="55" t="n"/>
      <c r="BS34" s="55" t="n"/>
      <c r="BT34" s="55" t="n"/>
      <c r="BU34" s="55" t="n"/>
      <c r="BV34" s="55" t="n"/>
      <c r="BW34" s="55" t="n"/>
      <c r="BX34" s="55" t="n"/>
      <c r="BY34" s="55" t="n"/>
      <c r="BZ34" s="55" t="n"/>
      <c r="CA34" s="55" t="n"/>
      <c r="CB34" s="55" t="n"/>
      <c r="CC34" s="55" t="n"/>
      <c r="CD34" s="55" t="n"/>
      <c r="CE34" s="55" t="n"/>
      <c r="CF34" s="55" t="n"/>
      <c r="CG34" s="55" t="n"/>
      <c r="CH34" s="55" t="n"/>
      <c r="CI34" s="55" t="n"/>
      <c r="CJ34" s="55" t="n"/>
      <c r="CK34" s="55" t="n"/>
      <c r="CL34" s="55" t="n"/>
      <c r="CM34" s="55" t="n"/>
      <c r="CN34" s="55" t="n"/>
      <c r="CO34" s="55" t="n"/>
      <c r="CP34" s="55" t="n"/>
      <c r="CQ34" s="55" t="n"/>
      <c r="CR34" s="55" t="n"/>
      <c r="CS34" s="55" t="n"/>
      <c r="CT34" s="55" t="n"/>
      <c r="CU34" s="67" t="n"/>
      <c r="CV34" s="87" t="n"/>
      <c r="CW34" s="87" t="n"/>
      <c r="CX34" s="81" t="n"/>
      <c r="CY34" s="87">
        <f>IF(OR(AND(TODAY()&gt;W34,Z34&lt;&gt;1,DB34=1),AND(DB34&gt;='@LeadT_Setting'!$AK$6,Z34&lt;='@LeadT_Setting'!$AK$6),AND(Z34&lt;(DB34-'@LeadT_Setting'!$AI$6),DB34&gt;Z34,U34&gt;0,DB34&lt;'@LeadT_Setting'!$AK$6)),1,0)</f>
        <v/>
      </c>
      <c r="CZ34" s="87">
        <f>IFERROR(AA34*U34,0)</f>
        <v/>
      </c>
      <c r="DA34" s="118">
        <f>IFERROR(Z34*U34,0)</f>
        <v/>
      </c>
      <c r="DB34" s="88">
        <f>IFERROR(IF(OR(U34&lt;=0,TODAY()&lt;V34),0,IF(TODAY()&gt;=W34,1,((TODAY()-V34))/((W34-V34)))),0)</f>
        <v/>
      </c>
      <c r="DC34" s="118">
        <f>IF(OR(AND(TODAY()&gt;W34,Z34&lt;&gt;1,DB34=1),AND(DB34&gt;='@LeadT_Setting'!$AK$6,Z34&lt;='@LeadT_Setting'!$AK$6),AND(Z34&lt;(DB34-'@LeadT_Setting'!$AJ$6),DB34&gt;Z34,U34&gt;0)),1,0)</f>
        <v/>
      </c>
      <c r="DD34" s="119">
        <f>IF(Z34=1,0,IF(AD34="Engineering",1,IF(AD34="Purchase",2,IF(AD34="Software",3,IF(AD34="Project Management",4,IF(AD34="Manufacturing",5,IF(AD34="Sales",6,IF(AD34="Client",7,0))))))))</f>
        <v/>
      </c>
      <c r="DE34" s="202" t="n"/>
      <c r="DF34" s="119">
        <f>Z34*U34</f>
        <v/>
      </c>
      <c r="DG34" s="119" t="n"/>
      <c r="DH34" s="119">
        <f>IF(OR(AND(U34&gt;0,TODAY()&gt;=AB34,Z34&lt;80%,NOT(ISBLANK(AB34))),AND(Z34&lt;&gt;1,U34&gt;0,$V34&lt;TODAY(),ISBLANK($Y34))),1,0)</f>
        <v/>
      </c>
      <c r="DI34" s="82" t="n"/>
      <c r="DJ34" s="93" t="n"/>
      <c r="DK34" s="82" t="n"/>
      <c r="DL34" s="83" t="n"/>
      <c r="DM34" s="87" t="n"/>
    </row>
    <row r="35">
      <c r="B35" s="197" t="inlineStr">
        <is>
          <t>Stake Holders</t>
        </is>
      </c>
      <c r="C35" s="198" t="n"/>
      <c r="D35" s="37" t="n"/>
      <c r="E35" s="173" t="n"/>
      <c r="F35" s="174" t="n"/>
      <c r="G35" s="174" t="n"/>
      <c r="H35" s="174" t="n"/>
      <c r="I35" s="174" t="n"/>
      <c r="J35" s="174" t="n"/>
      <c r="K35" s="174" t="n"/>
      <c r="L35" s="174" t="n"/>
      <c r="M35" s="174" t="n"/>
      <c r="N35" s="174" t="n"/>
      <c r="O35" s="174" t="n"/>
      <c r="P35" s="174" t="n"/>
      <c r="Q35" s="174" t="n"/>
      <c r="R35" s="174" t="n"/>
      <c r="S35" s="174" t="n"/>
      <c r="T35" s="174" t="n"/>
      <c r="U35" s="174" t="n"/>
      <c r="V35" s="174" t="n"/>
      <c r="W35" s="174" t="n"/>
      <c r="X35" s="174" t="n"/>
      <c r="Y35" s="174" t="n"/>
      <c r="Z35" s="174" t="n"/>
      <c r="AA35" s="174" t="n"/>
      <c r="AB35" s="175" t="n"/>
      <c r="AC35" s="209" t="n"/>
      <c r="AD35" s="14" t="n"/>
      <c r="AE35" s="14" t="n"/>
      <c r="AF35" s="128" t="n"/>
      <c r="AG35" s="289" t="n"/>
      <c r="AH35" s="284" t="n"/>
      <c r="AI35" s="290" t="n"/>
      <c r="AJ35" s="290" t="n"/>
      <c r="AK35" s="292" t="n"/>
      <c r="AL35" s="139">
        <f>Z35</f>
        <v/>
      </c>
      <c r="AM35" s="63"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c r="BP35" s="55" t="n"/>
      <c r="BQ35" s="55" t="n"/>
      <c r="BR35" s="55" t="n"/>
      <c r="BS35" s="55" t="n"/>
      <c r="BT35" s="55" t="n"/>
      <c r="BU35" s="55" t="n"/>
      <c r="BV35" s="55" t="n"/>
      <c r="BW35" s="55" t="n"/>
      <c r="BX35" s="55" t="n"/>
      <c r="BY35" s="55" t="n"/>
      <c r="BZ35" s="55" t="n"/>
      <c r="CA35" s="55" t="n"/>
      <c r="CB35" s="55" t="n"/>
      <c r="CC35" s="55" t="n"/>
      <c r="CD35" s="55" t="n"/>
      <c r="CE35" s="55" t="n"/>
      <c r="CF35" s="55" t="n"/>
      <c r="CG35" s="55" t="n"/>
      <c r="CH35" s="55" t="n"/>
      <c r="CI35" s="55" t="n"/>
      <c r="CJ35" s="55" t="n"/>
      <c r="CK35" s="55" t="n"/>
      <c r="CL35" s="55" t="n"/>
      <c r="CM35" s="55" t="n"/>
      <c r="CN35" s="55" t="n"/>
      <c r="CO35" s="55" t="n"/>
      <c r="CP35" s="55" t="n"/>
      <c r="CQ35" s="55" t="n"/>
      <c r="CR35" s="55" t="n"/>
      <c r="CS35" s="55" t="n"/>
      <c r="CT35" s="55" t="n"/>
      <c r="CU35" s="67" t="n"/>
      <c r="CV35" s="87" t="n"/>
      <c r="CW35" s="87" t="n"/>
      <c r="CX35" s="81" t="n"/>
      <c r="CY35" s="87">
        <f>IF(OR(AND(TODAY()&gt;W35,Z35&lt;&gt;1,DB35=1),AND(DB35&gt;='@LeadT_Setting'!$AK$6,Z35&lt;='@LeadT_Setting'!$AK$6),AND(Z35&lt;(DB35-'@LeadT_Setting'!$AI$6),DB35&gt;Z35,U35&gt;0,DB35&lt;'@LeadT_Setting'!$AK$6)),1,0)</f>
        <v/>
      </c>
      <c r="CZ35" s="87">
        <f>IFERROR(AA35*U35,0)</f>
        <v/>
      </c>
      <c r="DA35" s="118">
        <f>IFERROR(Z35*U35,0)</f>
        <v/>
      </c>
      <c r="DB35" s="88">
        <f>IFERROR(IF(OR(U35&lt;=0,TODAY()&lt;V35),0,IF(TODAY()&gt;=W35,1,((TODAY()-V35))/((W35-V35)))),0)</f>
        <v/>
      </c>
      <c r="DC35" s="118">
        <f>IF(OR(AND(TODAY()&gt;W35,Z35&lt;&gt;1,DB35=1),AND(DB35&gt;='@LeadT_Setting'!$AK$6,Z35&lt;='@LeadT_Setting'!$AK$6),AND(Z35&lt;(DB35-'@LeadT_Setting'!$AJ$6),DB35&gt;Z35,U35&gt;0)),1,0)</f>
        <v/>
      </c>
      <c r="DD35" s="119">
        <f>IF(Z35=1,0,IF(AD35="Engineering",1,IF(AD35="Purchase",2,IF(AD35="Software",3,IF(AD35="Project Management",4,IF(AD35="Manufacturing",5,IF(AD35="Sales",6,IF(AD35="Client",7,0))))))))</f>
        <v/>
      </c>
      <c r="DE35" s="202" t="n"/>
      <c r="DF35" s="119">
        <f>Z35*U35</f>
        <v/>
      </c>
      <c r="DG35" s="119" t="n"/>
      <c r="DH35" s="119">
        <f>IF(OR(AND(U35&gt;0,TODAY()&gt;=AB35,Z35&lt;80%,NOT(ISBLANK(AB35))),AND(Z35&lt;&gt;1,U35&gt;0,$V35&lt;TODAY(),ISBLANK($Y35))),1,0)</f>
        <v/>
      </c>
      <c r="DI35" s="82" t="n"/>
      <c r="DJ35" s="93" t="n"/>
      <c r="DK35" s="82" t="n"/>
      <c r="DL35" s="83" t="n"/>
      <c r="DM35" s="87" t="n"/>
    </row>
    <row r="36">
      <c r="B36" s="337" t="inlineStr">
        <is>
          <t>Sales</t>
        </is>
      </c>
      <c r="C36" s="338" t="inlineStr">
        <is>
          <t>GS</t>
        </is>
      </c>
      <c r="D36" s="150" t="n"/>
      <c r="E36" s="173" t="n"/>
      <c r="F36" s="174" t="n"/>
      <c r="G36" s="174" t="n"/>
      <c r="H36" s="174" t="n"/>
      <c r="I36" s="174" t="n"/>
      <c r="J36" s="174" t="n"/>
      <c r="K36" s="174" t="n"/>
      <c r="L36" s="174" t="n"/>
      <c r="M36" s="174" t="n"/>
      <c r="N36" s="174" t="n"/>
      <c r="O36" s="174" t="n"/>
      <c r="P36" s="174" t="n"/>
      <c r="Q36" s="174" t="n"/>
      <c r="R36" s="174" t="n"/>
      <c r="S36" s="174" t="n"/>
      <c r="T36" s="174" t="n"/>
      <c r="U36" s="174" t="n"/>
      <c r="V36" s="174" t="n"/>
      <c r="W36" s="174" t="n"/>
      <c r="X36" s="174" t="n"/>
      <c r="Y36" s="174" t="n"/>
      <c r="Z36" s="174" t="n"/>
      <c r="AA36" s="174" t="n"/>
      <c r="AB36" s="175" t="n"/>
      <c r="AC36" s="14" t="n"/>
      <c r="AD36" s="14" t="n"/>
      <c r="AE36" s="14" t="n"/>
      <c r="AF36" s="128" t="n"/>
      <c r="AG36" s="277" t="n"/>
      <c r="AH36" s="278" t="n"/>
      <c r="AI36" s="278" t="n"/>
      <c r="AJ36" s="278" t="n"/>
      <c r="AK36" s="286" t="n"/>
      <c r="AL36" s="139">
        <f>Z36</f>
        <v/>
      </c>
      <c r="AM36" s="63" t="n"/>
      <c r="AN36" s="55" t="n"/>
      <c r="AO36" s="55" t="n"/>
      <c r="AP36" s="55" t="n"/>
      <c r="AQ36" s="55" t="n"/>
      <c r="AR36" s="55" t="n"/>
      <c r="AS36" s="55" t="n"/>
      <c r="AT36" s="55" t="n"/>
      <c r="AU36" s="55" t="n"/>
      <c r="AV36" s="55" t="n"/>
      <c r="AW36" s="55" t="n"/>
      <c r="AX36" s="55" t="n"/>
      <c r="AY36" s="55" t="n"/>
      <c r="AZ36" s="55" t="n"/>
      <c r="BA36" s="55" t="n"/>
      <c r="BB36" s="55" t="n"/>
      <c r="BC36" s="55" t="n"/>
      <c r="BD36" s="55" t="n"/>
      <c r="BE36" s="55" t="n"/>
      <c r="BF36" s="55" t="n"/>
      <c r="BG36" s="55" t="n"/>
      <c r="BH36" s="55" t="n"/>
      <c r="BI36" s="55" t="n"/>
      <c r="BJ36" s="55" t="n"/>
      <c r="BK36" s="55" t="n"/>
      <c r="BL36" s="55" t="n"/>
      <c r="BM36" s="55" t="n"/>
      <c r="BN36" s="55" t="n"/>
      <c r="BO36" s="55" t="n"/>
      <c r="BP36" s="55" t="n"/>
      <c r="BQ36" s="55" t="n"/>
      <c r="BR36" s="55" t="n"/>
      <c r="BS36" s="55" t="n"/>
      <c r="BT36" s="55" t="n"/>
      <c r="BU36" s="55" t="n"/>
      <c r="BV36" s="55" t="n"/>
      <c r="BW36" s="55" t="n"/>
      <c r="BX36" s="55" t="n"/>
      <c r="BY36" s="55" t="n"/>
      <c r="BZ36" s="55" t="n"/>
      <c r="CA36" s="55" t="n"/>
      <c r="CB36" s="55" t="n"/>
      <c r="CC36" s="55" t="n"/>
      <c r="CD36" s="55" t="n"/>
      <c r="CE36" s="55" t="n"/>
      <c r="CF36" s="55" t="n"/>
      <c r="CG36" s="55" t="n"/>
      <c r="CH36" s="55" t="n"/>
      <c r="CI36" s="55" t="n"/>
      <c r="CJ36" s="55" t="n"/>
      <c r="CK36" s="55" t="n"/>
      <c r="CL36" s="55" t="n"/>
      <c r="CM36" s="55" t="n"/>
      <c r="CN36" s="55" t="n"/>
      <c r="CO36" s="55" t="n"/>
      <c r="CP36" s="55" t="n"/>
      <c r="CQ36" s="55" t="n"/>
      <c r="CR36" s="55" t="n"/>
      <c r="CS36" s="55" t="n"/>
      <c r="CT36" s="55" t="n"/>
      <c r="CU36" s="67" t="n"/>
      <c r="CV36" s="87" t="n"/>
      <c r="CW36" s="87" t="n"/>
      <c r="CX36" s="81" t="n"/>
      <c r="CY36" s="87">
        <f>IF(OR(AND(TODAY()&gt;W36,Z36&lt;&gt;1,DB36=1),AND(DB36&gt;='@LeadT_Setting'!$AK$6,Z36&lt;='@LeadT_Setting'!$AK$6),AND(Z36&lt;(DB36-'@LeadT_Setting'!$AI$6),DB36&gt;Z36,U36&gt;0,DB36&lt;'@LeadT_Setting'!$AK$6)),1,0)</f>
        <v/>
      </c>
      <c r="CZ36" s="87">
        <f>IFERROR(AA36*U36,0)</f>
        <v/>
      </c>
      <c r="DA36" s="118">
        <f>IFERROR(Z36*U36,0)</f>
        <v/>
      </c>
      <c r="DB36" s="88">
        <f>IFERROR(IF(OR(U36&lt;=0,TODAY()&lt;V36),0,IF(TODAY()&gt;=W36,1,((TODAY()-V36))/((W36-V36)))),0)</f>
        <v/>
      </c>
      <c r="DC36" s="118">
        <f>IF(OR(AND(TODAY()&gt;W36,Z36&lt;&gt;1,DB36=1),AND(DB36&gt;='@LeadT_Setting'!$AK$6,Z36&lt;='@LeadT_Setting'!$AK$6),AND(Z36&lt;(DB36-'@LeadT_Setting'!$AJ$6),DB36&gt;Z36,U36&gt;0)),1,0)</f>
        <v/>
      </c>
      <c r="DD36" s="119">
        <f>IF(Z36=1,0,IF(AD36="Engineering",1,IF(AD36="Purchase",2,IF(AD36="Software",3,IF(AD36="Project Management",4,IF(AD36="Manufacturing",5,IF(AD36="Sales",6,IF(AD36="Client",7,0))))))))</f>
        <v/>
      </c>
      <c r="DE36" s="202" t="n"/>
      <c r="DF36" s="119">
        <f>Z36*U36</f>
        <v/>
      </c>
      <c r="DG36" s="119" t="n"/>
      <c r="DH36" s="119">
        <f>IF(OR(AND(U36&gt;0,TODAY()&gt;=AB36,Z36&lt;80%,NOT(ISBLANK(AB36))),AND(Z36&lt;&gt;1,U36&gt;0,$V36&lt;TODAY(),ISBLANK($Y36))),1,0)</f>
        <v/>
      </c>
      <c r="DI36" s="82" t="n"/>
      <c r="DJ36" s="93" t="n"/>
      <c r="DK36" s="82" t="n"/>
      <c r="DL36" s="83" t="n"/>
      <c r="DM36" s="87" t="n"/>
    </row>
    <row r="37">
      <c r="B37" s="337" t="inlineStr">
        <is>
          <t>PM</t>
        </is>
      </c>
      <c r="C37" s="338" t="inlineStr">
        <is>
          <t>NSK</t>
        </is>
      </c>
      <c r="D37" s="150" t="n"/>
      <c r="E37" s="173" t="n"/>
      <c r="F37" s="174" t="n"/>
      <c r="G37" s="174" t="n"/>
      <c r="H37" s="174" t="n"/>
      <c r="I37" s="174" t="n"/>
      <c r="J37" s="174" t="n"/>
      <c r="K37" s="174" t="n"/>
      <c r="L37" s="174" t="n"/>
      <c r="M37" s="174" t="n"/>
      <c r="N37" s="174" t="n"/>
      <c r="O37" s="174" t="n"/>
      <c r="P37" s="174" t="n"/>
      <c r="Q37" s="174" t="n"/>
      <c r="R37" s="174" t="n"/>
      <c r="S37" s="174" t="n"/>
      <c r="T37" s="174" t="n"/>
      <c r="U37" s="174" t="n"/>
      <c r="V37" s="174" t="n"/>
      <c r="W37" s="174" t="n"/>
      <c r="X37" s="174" t="n"/>
      <c r="Y37" s="174" t="n"/>
      <c r="Z37" s="174" t="n"/>
      <c r="AA37" s="174" t="n"/>
      <c r="AB37" s="175" t="n"/>
      <c r="AC37" s="209" t="n"/>
      <c r="AD37" s="14" t="n"/>
      <c r="AE37" s="14" t="n"/>
      <c r="AF37" s="128" t="n"/>
      <c r="AG37" s="287" t="n"/>
      <c r="AH37" s="282" t="n"/>
      <c r="AI37" s="291" t="n"/>
      <c r="AJ37" s="56" t="n"/>
      <c r="AK37" s="283" t="n"/>
      <c r="AL37" s="139">
        <f>Z37</f>
        <v/>
      </c>
      <c r="AM37" s="63" t="n"/>
      <c r="AN37" s="55" t="n"/>
      <c r="AO37" s="55" t="n"/>
      <c r="AP37" s="55" t="n"/>
      <c r="AQ37" s="55" t="n"/>
      <c r="AR37" s="55" t="n"/>
      <c r="AS37" s="55" t="n"/>
      <c r="AT37" s="55" t="n"/>
      <c r="AU37" s="55" t="n"/>
      <c r="AV37" s="55" t="n"/>
      <c r="AW37" s="55" t="n"/>
      <c r="AX37" s="55" t="n"/>
      <c r="AY37" s="55" t="n"/>
      <c r="AZ37" s="55" t="n"/>
      <c r="BA37" s="55" t="n"/>
      <c r="BB37" s="55" t="n"/>
      <c r="BC37" s="55" t="n"/>
      <c r="BD37" s="55" t="n"/>
      <c r="BE37" s="55" t="n"/>
      <c r="BF37" s="55" t="n"/>
      <c r="BG37" s="55" t="n"/>
      <c r="BH37" s="55" t="n"/>
      <c r="BI37" s="55" t="n"/>
      <c r="BJ37" s="55" t="n"/>
      <c r="BK37" s="55" t="n"/>
      <c r="BL37" s="55" t="n"/>
      <c r="BM37" s="55" t="n"/>
      <c r="BN37" s="55" t="n"/>
      <c r="BO37" s="55" t="n"/>
      <c r="BP37" s="55" t="n"/>
      <c r="BQ37" s="55" t="n"/>
      <c r="BR37" s="55" t="n"/>
      <c r="BS37" s="55" t="n"/>
      <c r="BT37" s="55" t="n"/>
      <c r="BU37" s="55" t="n"/>
      <c r="BV37" s="55" t="n"/>
      <c r="BW37" s="55" t="n"/>
      <c r="BX37" s="55" t="n"/>
      <c r="BY37" s="55" t="n"/>
      <c r="BZ37" s="55" t="n"/>
      <c r="CA37" s="55" t="n"/>
      <c r="CB37" s="55" t="n"/>
      <c r="CC37" s="55" t="n"/>
      <c r="CD37" s="55" t="n"/>
      <c r="CE37" s="55" t="n"/>
      <c r="CF37" s="55" t="n"/>
      <c r="CG37" s="55" t="n"/>
      <c r="CH37" s="55" t="n"/>
      <c r="CI37" s="55" t="n"/>
      <c r="CJ37" s="55" t="n"/>
      <c r="CK37" s="55" t="n"/>
      <c r="CL37" s="55" t="n"/>
      <c r="CM37" s="55" t="n"/>
      <c r="CN37" s="55" t="n"/>
      <c r="CO37" s="55" t="n"/>
      <c r="CP37" s="55" t="n"/>
      <c r="CQ37" s="55" t="n"/>
      <c r="CR37" s="55" t="n"/>
      <c r="CS37" s="55" t="n"/>
      <c r="CT37" s="55" t="n"/>
      <c r="CU37" s="67" t="n"/>
      <c r="CV37" s="87" t="n"/>
      <c r="CW37" s="87" t="n"/>
      <c r="CX37" s="81" t="n"/>
      <c r="CY37" s="87">
        <f>IF(OR(AND(TODAY()&gt;W37,Z37&lt;&gt;1,DB37=1),AND(DB37&gt;='@LeadT_Setting'!$AK$6,Z37&lt;='@LeadT_Setting'!$AK$6),AND(Z37&lt;(DB37-'@LeadT_Setting'!$AI$6),DB37&gt;Z37,U37&gt;0,DB37&lt;'@LeadT_Setting'!$AK$6)),1,0)</f>
        <v/>
      </c>
      <c r="CZ37" s="87">
        <f>IFERROR(AA37*U37,0)</f>
        <v/>
      </c>
      <c r="DA37" s="118">
        <f>IFERROR(Z37*U37,0)</f>
        <v/>
      </c>
      <c r="DB37" s="88">
        <f>IFERROR(IF(OR(U37&lt;=0,TODAY()&lt;V37),0,IF(TODAY()&gt;=W37,1,((TODAY()-V37))/((W37-V37)))),0)</f>
        <v/>
      </c>
      <c r="DC37" s="118">
        <f>IF(OR(AND(TODAY()&gt;W37,Z37&lt;&gt;1,DB37=1),AND(DB37&gt;='@LeadT_Setting'!$AK$6,Z37&lt;='@LeadT_Setting'!$AK$6),AND(Z37&lt;(DB37-'@LeadT_Setting'!$AJ$6),DB37&gt;Z37,U37&gt;0)),1,0)</f>
        <v/>
      </c>
      <c r="DD37" s="119">
        <f>IF(Z37=1,0,IF(AD37="Engineering",1,IF(AD37="Purchase",2,IF(AD37="Software",3,IF(AD37="Project Management",4,IF(AD37="Manufacturing",5,IF(AD37="Sales",6,IF(AD37="Client",7,0))))))))</f>
        <v/>
      </c>
      <c r="DE37" s="202" t="n"/>
      <c r="DF37" s="119">
        <f>Z37*U37</f>
        <v/>
      </c>
      <c r="DG37" s="119" t="n"/>
      <c r="DH37" s="119">
        <f>IF(OR(AND(U37&gt;0,TODAY()&gt;=AB37,Z37&lt;80%,NOT(ISBLANK(AB37))),AND(Z37&lt;&gt;1,U37&gt;0,$V37&lt;TODAY(),ISBLANK($Y37))),1,0)</f>
        <v/>
      </c>
      <c r="DI37" s="82" t="n"/>
      <c r="DJ37" s="93" t="n"/>
      <c r="DK37" s="82" t="n"/>
      <c r="DL37" s="83" t="n"/>
      <c r="DM37" s="87" t="n"/>
    </row>
    <row r="38">
      <c r="B38" s="337" t="inlineStr">
        <is>
          <t>HW</t>
        </is>
      </c>
      <c r="C38" s="338" t="inlineStr">
        <is>
          <t>KSP</t>
        </is>
      </c>
      <c r="D38" s="147" t="n"/>
      <c r="E38" s="173" t="n"/>
      <c r="F38" s="174" t="n"/>
      <c r="G38" s="174" t="n"/>
      <c r="H38" s="174" t="n"/>
      <c r="I38" s="174" t="n"/>
      <c r="J38" s="174" t="n"/>
      <c r="K38" s="174" t="n"/>
      <c r="L38" s="174" t="n"/>
      <c r="M38" s="174" t="n"/>
      <c r="N38" s="174" t="n"/>
      <c r="O38" s="174" t="n"/>
      <c r="P38" s="174" t="n"/>
      <c r="Q38" s="174" t="n"/>
      <c r="R38" s="174" t="n"/>
      <c r="S38" s="174" t="n"/>
      <c r="T38" s="174" t="n"/>
      <c r="U38" s="174" t="n"/>
      <c r="V38" s="174" t="n"/>
      <c r="W38" s="174" t="n"/>
      <c r="X38" s="174" t="n"/>
      <c r="Y38" s="174" t="n"/>
      <c r="Z38" s="174" t="n"/>
      <c r="AA38" s="174" t="n"/>
      <c r="AB38" s="175" t="n"/>
      <c r="AC38" s="187" t="n"/>
      <c r="AD38" s="14" t="n"/>
      <c r="AE38" s="14" t="n"/>
      <c r="AF38" s="128" t="n"/>
      <c r="AG38" s="298" t="n"/>
      <c r="AH38" s="294" t="n"/>
      <c r="AI38" s="294" t="n"/>
      <c r="AJ38" s="294" t="n"/>
      <c r="AK38" s="296" t="n"/>
      <c r="AL38" s="139">
        <f>Z38</f>
        <v/>
      </c>
      <c r="AM38" s="63" t="n"/>
      <c r="AN38" s="55" t="n"/>
      <c r="AO38" s="55" t="n"/>
      <c r="AP38" s="55" t="n"/>
      <c r="AQ38" s="55" t="n"/>
      <c r="AR38" s="55" t="n"/>
      <c r="AS38" s="55" t="n"/>
      <c r="AT38" s="55" t="n"/>
      <c r="AU38" s="55" t="n"/>
      <c r="AV38" s="55" t="n"/>
      <c r="AW38" s="55" t="n"/>
      <c r="AX38" s="55" t="n"/>
      <c r="AY38" s="55" t="n"/>
      <c r="AZ38" s="55" t="n"/>
      <c r="BA38" s="55" t="n"/>
      <c r="BB38" s="55" t="n"/>
      <c r="BC38" s="55" t="n"/>
      <c r="BD38" s="55" t="n"/>
      <c r="BE38" s="55" t="n"/>
      <c r="BF38" s="55" t="n"/>
      <c r="BG38" s="55" t="n"/>
      <c r="BH38" s="55" t="n"/>
      <c r="BI38" s="55" t="n"/>
      <c r="BJ38" s="55" t="n"/>
      <c r="BK38" s="55" t="n"/>
      <c r="BL38" s="55" t="n"/>
      <c r="BM38" s="55" t="n"/>
      <c r="BN38" s="55" t="n"/>
      <c r="BO38" s="55" t="n"/>
      <c r="BP38" s="55" t="n"/>
      <c r="BQ38" s="55" t="n"/>
      <c r="BR38" s="55" t="n"/>
      <c r="BS38" s="55" t="n"/>
      <c r="BT38" s="55" t="n"/>
      <c r="BU38" s="55" t="n"/>
      <c r="BV38" s="55" t="n"/>
      <c r="BW38" s="55" t="n"/>
      <c r="BX38" s="55" t="n"/>
      <c r="BY38" s="55" t="n"/>
      <c r="BZ38" s="55" t="n"/>
      <c r="CA38" s="55" t="n"/>
      <c r="CB38" s="55" t="n"/>
      <c r="CC38" s="55" t="n"/>
      <c r="CD38" s="55" t="n"/>
      <c r="CE38" s="55" t="n"/>
      <c r="CF38" s="55" t="n"/>
      <c r="CG38" s="55" t="n"/>
      <c r="CH38" s="55" t="n"/>
      <c r="CI38" s="55" t="n"/>
      <c r="CJ38" s="55" t="n"/>
      <c r="CK38" s="55" t="n"/>
      <c r="CL38" s="55" t="n"/>
      <c r="CM38" s="55" t="n"/>
      <c r="CN38" s="55" t="n"/>
      <c r="CO38" s="55" t="n"/>
      <c r="CP38" s="55" t="n"/>
      <c r="CQ38" s="55" t="n"/>
      <c r="CR38" s="55" t="n"/>
      <c r="CS38" s="55" t="n"/>
      <c r="CT38" s="55" t="n"/>
      <c r="CU38" s="67" t="n"/>
      <c r="CV38" s="87" t="n"/>
      <c r="CW38" s="87" t="n"/>
      <c r="CX38" s="81" t="n"/>
      <c r="CY38" s="87">
        <f>IF(OR(AND(TODAY()&gt;W38,Z38&lt;&gt;1,DB38=1),AND(DB38&gt;='@LeadT_Setting'!$AK$6,Z38&lt;='@LeadT_Setting'!$AK$6),AND(Z38&lt;(DB38-'@LeadT_Setting'!$AI$6),DB38&gt;Z38,U38&gt;0,DB38&lt;'@LeadT_Setting'!$AK$6)),1,0)</f>
        <v/>
      </c>
      <c r="CZ38" s="87">
        <f>IFERROR(AA38*U38,0)</f>
        <v/>
      </c>
      <c r="DA38" s="118">
        <f>IFERROR(Z38*U38,0)</f>
        <v/>
      </c>
      <c r="DB38" s="88">
        <f>IFERROR(IF(OR(U38&lt;=0,TODAY()&lt;V38),0,IF(TODAY()&gt;=W38,1,((TODAY()-V38))/((W38-V38)))),0)</f>
        <v/>
      </c>
      <c r="DC38" s="118">
        <f>IF(OR(AND(TODAY()&gt;W38,Z38&lt;&gt;1,DB38=1),AND(DB38&gt;='@LeadT_Setting'!$AK$6,Z38&lt;='@LeadT_Setting'!$AK$6),AND(Z38&lt;(DB38-'@LeadT_Setting'!$AJ$6),DB38&gt;Z38,U38&gt;0)),1,0)</f>
        <v/>
      </c>
      <c r="DD38" s="119">
        <f>IF(Z38=1,0,IF(AD38="Engineering",1,IF(AD38="Purchase",2,IF(AD38="Software",3,IF(AD38="Project Management",4,IF(AD38="Manufacturing",5,IF(AD38="Sales",6,IF(AD38="Client",7,0))))))))</f>
        <v/>
      </c>
      <c r="DE38" s="202" t="n"/>
      <c r="DF38" s="119">
        <f>Z38*U38</f>
        <v/>
      </c>
      <c r="DG38" s="119" t="n"/>
      <c r="DH38" s="119">
        <f>IF(OR(AND(U38&gt;0,TODAY()&gt;=AB38,Z38&lt;80%,NOT(ISBLANK(AB38))),AND(Z38&lt;&gt;1,U38&gt;0,$V38&lt;TODAY(),ISBLANK($Y38))),1,0)</f>
        <v/>
      </c>
      <c r="DI38" s="82" t="n"/>
      <c r="DJ38" s="93" t="n"/>
      <c r="DK38" s="82" t="n"/>
      <c r="DL38" s="83" t="n"/>
      <c r="DM38" s="87" t="n"/>
    </row>
    <row r="39">
      <c r="B39" s="337" t="inlineStr">
        <is>
          <t>BYR</t>
        </is>
      </c>
      <c r="C39" s="338" t="inlineStr">
        <is>
          <t>RVL</t>
        </is>
      </c>
      <c r="D39" s="14" t="n"/>
      <c r="E39" s="173" t="n"/>
      <c r="F39" s="174" t="n"/>
      <c r="G39" s="174" t="n"/>
      <c r="H39" s="174" t="n"/>
      <c r="I39" s="174" t="n"/>
      <c r="J39" s="174" t="n"/>
      <c r="K39" s="174" t="n"/>
      <c r="L39" s="174" t="n"/>
      <c r="M39" s="174" t="n"/>
      <c r="N39" s="174" t="n"/>
      <c r="O39" s="174" t="n"/>
      <c r="P39" s="174" t="n"/>
      <c r="Q39" s="174" t="n"/>
      <c r="R39" s="174" t="n"/>
      <c r="S39" s="174" t="n"/>
      <c r="T39" s="174" t="n"/>
      <c r="U39" s="174" t="n"/>
      <c r="V39" s="174" t="n"/>
      <c r="W39" s="174" t="n"/>
      <c r="X39" s="174" t="n"/>
      <c r="Y39" s="174" t="n"/>
      <c r="Z39" s="174" t="n"/>
      <c r="AA39" s="174" t="n"/>
      <c r="AB39" s="175" t="n"/>
      <c r="AC39" s="14" t="n"/>
      <c r="AD39" s="14" t="n"/>
      <c r="AE39" s="14" t="n"/>
      <c r="AF39" s="128" t="n"/>
      <c r="AG39" s="298" t="n"/>
      <c r="AH39" s="294" t="n"/>
      <c r="AI39" s="294" t="n"/>
      <c r="AJ39" s="294" t="n"/>
      <c r="AK39" s="296" t="n"/>
      <c r="AL39" s="139">
        <f>Z39</f>
        <v/>
      </c>
      <c r="AM39" s="63" t="n"/>
      <c r="AN39" s="55" t="n"/>
      <c r="AO39" s="55" t="n"/>
      <c r="AP39" s="55" t="n"/>
      <c r="AQ39" s="55" t="n"/>
      <c r="AR39" s="55" t="n"/>
      <c r="AS39" s="55" t="n"/>
      <c r="AT39" s="55" t="n"/>
      <c r="AU39" s="55" t="n"/>
      <c r="AV39" s="55" t="n"/>
      <c r="AW39" s="55" t="n"/>
      <c r="AX39" s="55" t="n"/>
      <c r="AY39" s="55" t="n"/>
      <c r="AZ39" s="55" t="n"/>
      <c r="BA39" s="55" t="n"/>
      <c r="BB39" s="55" t="n"/>
      <c r="BC39" s="55" t="n"/>
      <c r="BD39" s="55" t="n"/>
      <c r="BE39" s="55" t="n"/>
      <c r="BF39" s="55" t="n"/>
      <c r="BG39" s="55" t="n"/>
      <c r="BH39" s="55" t="n"/>
      <c r="BI39" s="55" t="n"/>
      <c r="BJ39" s="55" t="n"/>
      <c r="BK39" s="55" t="n"/>
      <c r="BL39" s="55" t="n"/>
      <c r="BM39" s="55" t="n"/>
      <c r="BN39" s="55" t="n"/>
      <c r="BO39" s="55" t="n"/>
      <c r="BP39" s="55" t="n"/>
      <c r="BQ39" s="55" t="n"/>
      <c r="BR39" s="55" t="n"/>
      <c r="BS39" s="55" t="n"/>
      <c r="BT39" s="55" t="n"/>
      <c r="BU39" s="55" t="n"/>
      <c r="BV39" s="55" t="n"/>
      <c r="BW39" s="55" t="n"/>
      <c r="BX39" s="55" t="n"/>
      <c r="BY39" s="55" t="n"/>
      <c r="BZ39" s="55" t="n"/>
      <c r="CA39" s="55" t="n"/>
      <c r="CB39" s="55" t="n"/>
      <c r="CC39" s="55" t="n"/>
      <c r="CD39" s="55" t="n"/>
      <c r="CE39" s="55" t="n"/>
      <c r="CF39" s="55" t="n"/>
      <c r="CG39" s="55" t="n"/>
      <c r="CH39" s="55" t="n"/>
      <c r="CI39" s="55" t="n"/>
      <c r="CJ39" s="55" t="n"/>
      <c r="CK39" s="55" t="n"/>
      <c r="CL39" s="55" t="n"/>
      <c r="CM39" s="55" t="n"/>
      <c r="CN39" s="55" t="n"/>
      <c r="CO39" s="55" t="n"/>
      <c r="CP39" s="55" t="n"/>
      <c r="CQ39" s="55" t="n"/>
      <c r="CR39" s="55" t="n"/>
      <c r="CS39" s="55" t="n"/>
      <c r="CT39" s="55" t="n"/>
      <c r="CU39" s="67" t="n"/>
      <c r="CV39" s="87" t="n"/>
      <c r="CW39" s="87" t="n"/>
      <c r="CX39" s="81" t="n"/>
      <c r="CY39" s="87">
        <f>IF(OR(AND(TODAY()&gt;W39,Z39&lt;&gt;1,DB39=1),AND(DB39&gt;='@LeadT_Setting'!$AK$6,Z39&lt;='@LeadT_Setting'!$AK$6),AND(Z39&lt;(DB39-'@LeadT_Setting'!$AI$6),DB39&gt;Z39,U39&gt;0,DB39&lt;'@LeadT_Setting'!$AK$6)),1,0)</f>
        <v/>
      </c>
      <c r="CZ39" s="87">
        <f>IFERROR(AA39*U39,0)</f>
        <v/>
      </c>
      <c r="DA39" s="118">
        <f>IFERROR(Z39*U39,0)</f>
        <v/>
      </c>
      <c r="DB39" s="88">
        <f>IFERROR(IF(OR(U39&lt;=0,TODAY()&lt;V39),0,IF(TODAY()&gt;=W39,1,((TODAY()-V39))/((W39-V39)))),0)</f>
        <v/>
      </c>
      <c r="DC39" s="118">
        <f>IF(OR(AND(TODAY()&gt;W39,Z39&lt;&gt;1,DB39=1),AND(DB39&gt;='@LeadT_Setting'!$AK$6,Z39&lt;='@LeadT_Setting'!$AK$6),AND(Z39&lt;(DB39-'@LeadT_Setting'!$AJ$6),DB39&gt;Z39,U39&gt;0)),1,0)</f>
        <v/>
      </c>
      <c r="DD39" s="119">
        <f>IF(Z39=1,0,IF(AD39="Engineering",1,IF(AD39="Purchase",2,IF(AD39="Software",3,IF(AD39="Project Management",4,IF(AD39="Manufacturing",5,IF(AD39="Sales",6,IF(AD39="Client",7,0))))))))</f>
        <v/>
      </c>
      <c r="DE39" s="202" t="n"/>
      <c r="DF39" s="119">
        <f>Z39*U39</f>
        <v/>
      </c>
      <c r="DG39" s="119" t="n"/>
      <c r="DH39" s="119">
        <f>IF(OR(AND(U39&gt;0,TODAY()&gt;=AB39,Z39&lt;80%,NOT(ISBLANK(AB39))),AND(Z39&lt;&gt;1,U39&gt;0,$V39&lt;TODAY(),ISBLANK($Y39))),1,0)</f>
        <v/>
      </c>
      <c r="DI39" s="82" t="n"/>
      <c r="DJ39" s="93" t="n"/>
      <c r="DK39" s="82" t="n"/>
      <c r="DL39" s="83" t="n"/>
      <c r="DM39" s="87" t="n"/>
    </row>
    <row r="40">
      <c r="B40" s="337" t="inlineStr">
        <is>
          <t>MFG</t>
        </is>
      </c>
      <c r="C40" s="338" t="inlineStr">
        <is>
          <t>SBP</t>
        </is>
      </c>
      <c r="D40" s="147" t="n"/>
      <c r="E40" s="173" t="n"/>
      <c r="F40" s="174" t="n"/>
      <c r="G40" s="174" t="n"/>
      <c r="H40" s="174" t="n"/>
      <c r="I40" s="174" t="n"/>
      <c r="J40" s="174" t="n"/>
      <c r="K40" s="174" t="n"/>
      <c r="L40" s="174" t="n"/>
      <c r="M40" s="174" t="n"/>
      <c r="N40" s="174" t="n"/>
      <c r="O40" s="174" t="n"/>
      <c r="P40" s="174" t="n"/>
      <c r="Q40" s="174" t="n"/>
      <c r="R40" s="174" t="n"/>
      <c r="S40" s="174" t="n"/>
      <c r="T40" s="174" t="n"/>
      <c r="U40" s="174" t="n"/>
      <c r="V40" s="174" t="n"/>
      <c r="W40" s="174" t="n"/>
      <c r="X40" s="174" t="n"/>
      <c r="Y40" s="174" t="n"/>
      <c r="Z40" s="174" t="n"/>
      <c r="AA40" s="174" t="n"/>
      <c r="AB40" s="175" t="n"/>
      <c r="AC40" s="14" t="n"/>
      <c r="AD40" s="14" t="n"/>
      <c r="AE40" s="14" t="n"/>
      <c r="AF40" s="128" t="n"/>
      <c r="AG40" s="289" t="n"/>
      <c r="AH40" s="284" t="n"/>
      <c r="AI40" s="284" t="n"/>
      <c r="AJ40" s="284" t="n"/>
      <c r="AK40" s="292" t="n"/>
      <c r="AL40" s="139">
        <f>Z40</f>
        <v/>
      </c>
      <c r="AM40" s="63" t="n"/>
      <c r="AN40" s="55" t="n"/>
      <c r="AO40" s="55" t="n"/>
      <c r="AP40" s="55" t="n"/>
      <c r="AQ40" s="55" t="n"/>
      <c r="AR40" s="55" t="n"/>
      <c r="AS40" s="55" t="n"/>
      <c r="AT40" s="55" t="n"/>
      <c r="AU40" s="55" t="n"/>
      <c r="AV40" s="55" t="n"/>
      <c r="AW40" s="55" t="n"/>
      <c r="AX40" s="55" t="n"/>
      <c r="AY40" s="55" t="n"/>
      <c r="AZ40" s="55" t="n"/>
      <c r="BA40" s="55" t="n"/>
      <c r="BB40" s="55" t="n"/>
      <c r="BC40" s="55" t="n"/>
      <c r="BD40" s="55" t="n"/>
      <c r="BE40" s="55" t="n"/>
      <c r="BF40" s="55" t="n"/>
      <c r="BG40" s="55" t="n"/>
      <c r="BH40" s="55" t="n"/>
      <c r="BI40" s="55" t="n"/>
      <c r="BJ40" s="55" t="n"/>
      <c r="BK40" s="55" t="n"/>
      <c r="BL40" s="55" t="n"/>
      <c r="BM40" s="55" t="n"/>
      <c r="BN40" s="55" t="n"/>
      <c r="BO40" s="55" t="n"/>
      <c r="BP40" s="55" t="n"/>
      <c r="BQ40" s="55" t="n"/>
      <c r="BR40" s="55" t="n"/>
      <c r="BS40" s="55" t="n"/>
      <c r="BT40" s="55" t="n"/>
      <c r="BU40" s="55" t="n"/>
      <c r="BV40" s="55" t="n"/>
      <c r="BW40" s="55" t="n"/>
      <c r="BX40" s="55" t="n"/>
      <c r="BY40" s="55" t="n"/>
      <c r="BZ40" s="55" t="n"/>
      <c r="CA40" s="55" t="n"/>
      <c r="CB40" s="55" t="n"/>
      <c r="CC40" s="55" t="n"/>
      <c r="CD40" s="55" t="n"/>
      <c r="CE40" s="55" t="n"/>
      <c r="CF40" s="55" t="n"/>
      <c r="CG40" s="55" t="n"/>
      <c r="CH40" s="55" t="n"/>
      <c r="CI40" s="55" t="n"/>
      <c r="CJ40" s="55" t="n"/>
      <c r="CK40" s="55" t="n"/>
      <c r="CL40" s="55" t="n"/>
      <c r="CM40" s="55" t="n"/>
      <c r="CN40" s="55" t="n"/>
      <c r="CO40" s="55" t="n"/>
      <c r="CP40" s="55" t="n"/>
      <c r="CQ40" s="55" t="n"/>
      <c r="CR40" s="55" t="n"/>
      <c r="CS40" s="55" t="n"/>
      <c r="CT40" s="55" t="n"/>
      <c r="CU40" s="67" t="n"/>
      <c r="CV40" s="87" t="n"/>
      <c r="CW40" s="87" t="n"/>
      <c r="CX40" s="81" t="n"/>
      <c r="CY40" s="87">
        <f>IF(OR(AND(TODAY()&gt;W40,Z40&lt;&gt;1,DB40=1),AND(DB40&gt;='@LeadT_Setting'!$AK$6,Z40&lt;='@LeadT_Setting'!$AK$6),AND(Z40&lt;(DB40-'@LeadT_Setting'!$AI$6),DB40&gt;Z40,U40&gt;0,DB40&lt;'@LeadT_Setting'!$AK$6)),1,0)</f>
        <v/>
      </c>
      <c r="CZ40" s="87">
        <f>IFERROR(AA40*U40,0)</f>
        <v/>
      </c>
      <c r="DA40" s="118">
        <f>IFERROR(Z40*U40,0)</f>
        <v/>
      </c>
      <c r="DB40" s="88">
        <f>IFERROR(IF(OR(U40&lt;=0,TODAY()&lt;V40),0,IF(TODAY()&gt;=W40,1,((TODAY()-V40))/((W40-V40)))),0)</f>
        <v/>
      </c>
      <c r="DC40" s="118">
        <f>IF(OR(AND(TODAY()&gt;W40,Z40&lt;&gt;1,DB40=1),AND(DB40&gt;='@LeadT_Setting'!$AK$6,Z40&lt;='@LeadT_Setting'!$AK$6),AND(Z40&lt;(DB40-'@LeadT_Setting'!$AJ$6),DB40&gt;Z40,U40&gt;0)),1,0)</f>
        <v/>
      </c>
      <c r="DD40" s="119">
        <f>IF(Z40=1,0,IF(AD40="Engineering",1,IF(AD40="Purchase",2,IF(AD40="Software",3,IF(AD40="Project Management",4,IF(AD40="Manufacturing",5,IF(AD40="Sales",6,IF(AD40="Client",7,0))))))))</f>
        <v/>
      </c>
      <c r="DE40" s="202" t="n"/>
      <c r="DF40" s="119">
        <f>Z40*U40</f>
        <v/>
      </c>
      <c r="DG40" s="119" t="n"/>
      <c r="DH40" s="119">
        <f>IF(OR(AND(U40&gt;0,TODAY()&gt;=AB40,Z40&lt;80%,NOT(ISBLANK(AB40))),AND(Z40&lt;&gt;1,U40&gt;0,$V40&lt;TODAY(),ISBLANK($Y40))),1,0)</f>
        <v/>
      </c>
      <c r="DI40" s="82" t="n"/>
      <c r="DJ40" s="93" t="n"/>
      <c r="DK40" s="82" t="n"/>
      <c r="DL40" s="83" t="n"/>
      <c r="DM40" s="87" t="n"/>
    </row>
    <row r="41">
      <c r="B41" s="337" t="inlineStr">
        <is>
          <t>SW</t>
        </is>
      </c>
      <c r="C41" s="338" t="inlineStr">
        <is>
          <t>CP</t>
        </is>
      </c>
      <c r="D41" s="14" t="n"/>
      <c r="E41" s="173" t="n"/>
      <c r="F41" s="174" t="n"/>
      <c r="G41" s="174" t="n"/>
      <c r="H41" s="174" t="n"/>
      <c r="I41" s="174" t="n"/>
      <c r="J41" s="174" t="n"/>
      <c r="K41" s="174" t="n"/>
      <c r="L41" s="174" t="n"/>
      <c r="M41" s="174" t="n"/>
      <c r="N41" s="174" t="n"/>
      <c r="O41" s="174" t="n"/>
      <c r="P41" s="174" t="n"/>
      <c r="Q41" s="174" t="n"/>
      <c r="R41" s="174" t="n"/>
      <c r="S41" s="174" t="n"/>
      <c r="T41" s="174" t="n"/>
      <c r="U41" s="174" t="n"/>
      <c r="V41" s="174" t="n"/>
      <c r="W41" s="174" t="n"/>
      <c r="X41" s="174" t="n"/>
      <c r="Y41" s="174" t="n"/>
      <c r="Z41" s="174" t="n"/>
      <c r="AA41" s="174" t="n"/>
      <c r="AB41" s="175" t="n"/>
      <c r="AC41" s="14" t="n"/>
      <c r="AD41" s="14" t="n"/>
      <c r="AE41" s="14" t="n"/>
      <c r="AF41" s="128" t="n"/>
      <c r="AG41" s="289" t="n"/>
      <c r="AH41" s="284" t="n"/>
      <c r="AI41" s="284" t="n"/>
      <c r="AJ41" s="284" t="n"/>
      <c r="AK41" s="292" t="n"/>
      <c r="AL41" s="139">
        <f>Z41</f>
        <v/>
      </c>
      <c r="AM41" s="63" t="n"/>
      <c r="AN41" s="55" t="n"/>
      <c r="AO41" s="55" t="n"/>
      <c r="AP41" s="55" t="n"/>
      <c r="AQ41" s="55" t="n"/>
      <c r="AR41" s="55" t="n"/>
      <c r="AS41" s="55" t="n"/>
      <c r="AT41" s="55" t="n"/>
      <c r="AU41" s="55" t="n"/>
      <c r="AV41" s="55" t="n"/>
      <c r="AW41" s="55" t="n"/>
      <c r="AX41" s="55" t="n"/>
      <c r="AY41" s="55" t="n"/>
      <c r="AZ41" s="55" t="n"/>
      <c r="BA41" s="55" t="n"/>
      <c r="BB41" s="55" t="n"/>
      <c r="BC41" s="55" t="n"/>
      <c r="BD41" s="55" t="n"/>
      <c r="BE41" s="55" t="n"/>
      <c r="BF41" s="55" t="n"/>
      <c r="BG41" s="55" t="n"/>
      <c r="BH41" s="55" t="n"/>
      <c r="BI41" s="55" t="n"/>
      <c r="BJ41" s="55" t="n"/>
      <c r="BK41" s="55" t="n"/>
      <c r="BL41" s="55" t="n"/>
      <c r="BM41" s="55" t="n"/>
      <c r="BN41" s="55" t="n"/>
      <c r="BO41" s="55" t="n"/>
      <c r="BP41" s="55" t="n"/>
      <c r="BQ41" s="55" t="n"/>
      <c r="BR41" s="55" t="n"/>
      <c r="BS41" s="55" t="n"/>
      <c r="BT41" s="55" t="n"/>
      <c r="BU41" s="55" t="n"/>
      <c r="BV41" s="55" t="n"/>
      <c r="BW41" s="55" t="n"/>
      <c r="BX41" s="55" t="n"/>
      <c r="BY41" s="55" t="n"/>
      <c r="BZ41" s="55" t="n"/>
      <c r="CA41" s="55" t="n"/>
      <c r="CB41" s="55" t="n"/>
      <c r="CC41" s="55" t="n"/>
      <c r="CD41" s="55" t="n"/>
      <c r="CE41" s="55" t="n"/>
      <c r="CF41" s="55" t="n"/>
      <c r="CG41" s="55" t="n"/>
      <c r="CH41" s="55" t="n"/>
      <c r="CI41" s="55" t="n"/>
      <c r="CJ41" s="55" t="n"/>
      <c r="CK41" s="55" t="n"/>
      <c r="CL41" s="55" t="n"/>
      <c r="CM41" s="55" t="n"/>
      <c r="CN41" s="55" t="n"/>
      <c r="CO41" s="55" t="n"/>
      <c r="CP41" s="55" t="n"/>
      <c r="CQ41" s="55" t="n"/>
      <c r="CR41" s="55" t="n"/>
      <c r="CS41" s="55" t="n"/>
      <c r="CT41" s="55" t="n"/>
      <c r="CU41" s="67" t="n"/>
      <c r="CV41" s="87" t="n"/>
      <c r="CW41" s="87" t="n"/>
      <c r="CX41" s="81" t="n"/>
      <c r="CY41" s="87">
        <f>IF(OR(AND(TODAY()&gt;W41,Z41&lt;&gt;1,DB41=1),AND(DB41&gt;='@LeadT_Setting'!$AK$6,Z41&lt;='@LeadT_Setting'!$AK$6),AND(Z41&lt;(DB41-'@LeadT_Setting'!$AI$6),DB41&gt;Z41,U41&gt;0,DB41&lt;'@LeadT_Setting'!$AK$6)),1,0)</f>
        <v/>
      </c>
      <c r="CZ41" s="87">
        <f>IFERROR(AA41*U41,0)</f>
        <v/>
      </c>
      <c r="DA41" s="118">
        <f>IFERROR(Z41*U41,0)</f>
        <v/>
      </c>
      <c r="DB41" s="88">
        <f>IFERROR(IF(OR(U41&lt;=0,TODAY()&lt;V41),0,IF(TODAY()&gt;=W41,1,((TODAY()-V41))/((W41-V41)))),0)</f>
        <v/>
      </c>
      <c r="DC41" s="118">
        <f>IF(OR(AND(TODAY()&gt;W41,Z41&lt;&gt;1,DB41=1),AND(DB41&gt;='@LeadT_Setting'!$AK$6,Z41&lt;='@LeadT_Setting'!$AK$6),AND(Z41&lt;(DB41-'@LeadT_Setting'!$AJ$6),DB41&gt;Z41,U41&gt;0)),1,0)</f>
        <v/>
      </c>
      <c r="DD41" s="119">
        <f>IF(Z41=1,0,IF(AD41="Engineering",1,IF(AD41="Purchase",2,IF(AD41="Software",3,IF(AD41="Project Management",4,IF(AD41="Manufacturing",5,IF(AD41="Sales",6,IF(AD41="Client",7,0))))))))</f>
        <v/>
      </c>
      <c r="DE41" s="202" t="n"/>
      <c r="DF41" s="119">
        <f>Z41*U41</f>
        <v/>
      </c>
      <c r="DG41" s="119" t="n"/>
      <c r="DH41" s="119">
        <f>IF(OR(AND(U41&gt;0,TODAY()&gt;=AB41,Z41&lt;80%,NOT(ISBLANK(AB41))),AND(Z41&lt;&gt;1,U41&gt;0,$V41&lt;TODAY(),ISBLANK($Y41))),1,0)</f>
        <v/>
      </c>
      <c r="DI41" s="82" t="n"/>
      <c r="DJ41" s="93" t="n"/>
      <c r="DK41" s="82" t="n"/>
      <c r="DL41" s="83" t="n"/>
      <c r="DM41" s="87" t="n"/>
    </row>
    <row r="42">
      <c r="B42" s="337" t="inlineStr">
        <is>
          <t>E&amp;C</t>
        </is>
      </c>
      <c r="C42" s="338" t="inlineStr">
        <is>
          <t>CP</t>
        </is>
      </c>
      <c r="D42" s="14" t="n"/>
      <c r="E42" s="173" t="n"/>
      <c r="F42" s="174" t="n"/>
      <c r="G42" s="174" t="n"/>
      <c r="H42" s="174" t="n"/>
      <c r="I42" s="174" t="n"/>
      <c r="J42" s="174" t="n"/>
      <c r="K42" s="174" t="n"/>
      <c r="L42" s="174" t="n"/>
      <c r="M42" s="174" t="n"/>
      <c r="N42" s="174" t="n"/>
      <c r="O42" s="174" t="n"/>
      <c r="P42" s="174" t="n"/>
      <c r="Q42" s="174" t="n"/>
      <c r="R42" s="174" t="n"/>
      <c r="S42" s="174" t="n"/>
      <c r="T42" s="174" t="n"/>
      <c r="U42" s="174" t="n"/>
      <c r="V42" s="174" t="n"/>
      <c r="W42" s="174" t="n"/>
      <c r="X42" s="174" t="n"/>
      <c r="Y42" s="174" t="n"/>
      <c r="Z42" s="174" t="n"/>
      <c r="AA42" s="174" t="n"/>
      <c r="AB42" s="175" t="n"/>
      <c r="AC42" s="14" t="n"/>
      <c r="AD42" s="14" t="n"/>
      <c r="AE42" s="14" t="n"/>
      <c r="AF42" s="128" t="n"/>
      <c r="AG42" s="289" t="n"/>
      <c r="AH42" s="284" t="n"/>
      <c r="AI42" s="284" t="n"/>
      <c r="AJ42" s="284" t="n"/>
      <c r="AK42" s="292" t="n"/>
      <c r="AL42" s="139">
        <f>Z42</f>
        <v/>
      </c>
      <c r="AM42" s="63" t="n"/>
      <c r="AN42" s="55" t="n"/>
      <c r="AO42" s="55" t="n"/>
      <c r="AP42" s="55" t="n"/>
      <c r="AQ42" s="55" t="n"/>
      <c r="AR42" s="55" t="n"/>
      <c r="AS42" s="55" t="n"/>
      <c r="AT42" s="55" t="n"/>
      <c r="AU42" s="55" t="n"/>
      <c r="AV42" s="55" t="n"/>
      <c r="AW42" s="55" t="n"/>
      <c r="AX42" s="55" t="n"/>
      <c r="AY42" s="55" t="n"/>
      <c r="AZ42" s="55" t="n"/>
      <c r="BA42" s="55" t="n"/>
      <c r="BB42" s="55" t="n"/>
      <c r="BC42" s="55" t="n"/>
      <c r="BD42" s="55" t="n"/>
      <c r="BE42" s="55" t="n"/>
      <c r="BF42" s="55" t="n"/>
      <c r="BG42" s="55" t="n"/>
      <c r="BH42" s="55" t="n"/>
      <c r="BI42" s="55" t="n"/>
      <c r="BJ42" s="55" t="n"/>
      <c r="BK42" s="55" t="n"/>
      <c r="BL42" s="55" t="n"/>
      <c r="BM42" s="55" t="n"/>
      <c r="BN42" s="55" t="n"/>
      <c r="BO42" s="55" t="n"/>
      <c r="BP42" s="55" t="n"/>
      <c r="BQ42" s="55" t="n"/>
      <c r="BR42" s="55" t="n"/>
      <c r="BS42" s="55" t="n"/>
      <c r="BT42" s="55" t="n"/>
      <c r="BU42" s="55" t="n"/>
      <c r="BV42" s="55" t="n"/>
      <c r="BW42" s="55" t="n"/>
      <c r="BX42" s="55" t="n"/>
      <c r="BY42" s="55" t="n"/>
      <c r="BZ42" s="55" t="n"/>
      <c r="CA42" s="55" t="n"/>
      <c r="CB42" s="55" t="n"/>
      <c r="CC42" s="55" t="n"/>
      <c r="CD42" s="55" t="n"/>
      <c r="CE42" s="55" t="n"/>
      <c r="CF42" s="55" t="n"/>
      <c r="CG42" s="55" t="n"/>
      <c r="CH42" s="55" t="n"/>
      <c r="CI42" s="55" t="n"/>
      <c r="CJ42" s="55" t="n"/>
      <c r="CK42" s="55" t="n"/>
      <c r="CL42" s="55" t="n"/>
      <c r="CM42" s="55" t="n"/>
      <c r="CN42" s="55" t="n"/>
      <c r="CO42" s="55" t="n"/>
      <c r="CP42" s="55" t="n"/>
      <c r="CQ42" s="55" t="n"/>
      <c r="CR42" s="55" t="n"/>
      <c r="CS42" s="55" t="n"/>
      <c r="CT42" s="55" t="n"/>
      <c r="CU42" s="67" t="n"/>
      <c r="CV42" s="87" t="n"/>
      <c r="CW42" s="87" t="n"/>
      <c r="CX42" s="81" t="n"/>
      <c r="CY42" s="87">
        <f>IF(OR(AND(TODAY()&gt;W42,Z42&lt;&gt;1,DB42=1),AND(DB42&gt;='@LeadT_Setting'!$AK$6,Z42&lt;='@LeadT_Setting'!$AK$6),AND(Z42&lt;(DB42-'@LeadT_Setting'!$AI$6),DB42&gt;Z42,U42&gt;0,DB42&lt;'@LeadT_Setting'!$AK$6)),1,0)</f>
        <v/>
      </c>
      <c r="CZ42" s="87">
        <f>IFERROR(AA42*U42,0)</f>
        <v/>
      </c>
      <c r="DA42" s="118">
        <f>IFERROR(Z42*U42,0)</f>
        <v/>
      </c>
      <c r="DB42" s="88">
        <f>IFERROR(IF(OR(U42&lt;=0,TODAY()&lt;V42),0,IF(TODAY()&gt;=W42,1,((TODAY()-V42))/((W42-V42)))),0)</f>
        <v/>
      </c>
      <c r="DC42" s="118">
        <f>IF(OR(AND(TODAY()&gt;W42,Z42&lt;&gt;1,DB42=1),AND(DB42&gt;='@LeadT_Setting'!$AK$6,Z42&lt;='@LeadT_Setting'!$AK$6),AND(Z42&lt;(DB42-'@LeadT_Setting'!$AJ$6),DB42&gt;Z42,U42&gt;0)),1,0)</f>
        <v/>
      </c>
      <c r="DD42" s="119">
        <f>IF(Z42=1,0,IF(AD42="Engineering",1,IF(AD42="Purchase",2,IF(AD42="Software",3,IF(AD42="Project Management",4,IF(AD42="Manufacturing",5,IF(AD42="Sales",6,IF(AD42="Client",7,0))))))))</f>
        <v/>
      </c>
      <c r="DE42" s="202" t="n"/>
      <c r="DF42" s="119">
        <f>Z42*U42</f>
        <v/>
      </c>
      <c r="DG42" s="119" t="n"/>
      <c r="DH42" s="119">
        <f>IF(OR(AND(U42&gt;0,TODAY()&gt;=AB42,Z42&lt;80%,NOT(ISBLANK(AB42))),AND(Z42&lt;&gt;1,U42&gt;0,$V42&lt;TODAY(),ISBLANK($Y42))),1,0)</f>
        <v/>
      </c>
      <c r="DI42" s="82" t="n"/>
      <c r="DJ42" s="93" t="n"/>
      <c r="DK42" s="82" t="n"/>
      <c r="DL42" s="83" t="n"/>
      <c r="DM42" s="87" t="n"/>
    </row>
    <row r="43">
      <c r="B43" s="337" t="inlineStr">
        <is>
          <t>A/C</t>
        </is>
      </c>
      <c r="C43" s="338" t="inlineStr">
        <is>
          <t>GER</t>
        </is>
      </c>
      <c r="D43" s="123" t="n"/>
      <c r="E43" s="173" t="n"/>
      <c r="F43" s="174" t="n"/>
      <c r="G43" s="174" t="n"/>
      <c r="H43" s="174" t="n"/>
      <c r="I43" s="174" t="n"/>
      <c r="J43" s="174" t="n"/>
      <c r="K43" s="174" t="n"/>
      <c r="L43" s="174" t="n"/>
      <c r="M43" s="174" t="n"/>
      <c r="N43" s="174" t="n"/>
      <c r="O43" s="174" t="n"/>
      <c r="P43" s="174" t="n"/>
      <c r="Q43" s="174" t="n"/>
      <c r="R43" s="174" t="n"/>
      <c r="S43" s="174" t="n"/>
      <c r="T43" s="174" t="n"/>
      <c r="U43" s="174" t="n"/>
      <c r="V43" s="174" t="n"/>
      <c r="W43" s="174" t="n"/>
      <c r="X43" s="174" t="n"/>
      <c r="Y43" s="174" t="n"/>
      <c r="Z43" s="174" t="n"/>
      <c r="AA43" s="174" t="n"/>
      <c r="AB43" s="175" t="n"/>
      <c r="AC43" s="14" t="n"/>
      <c r="AD43" s="14" t="n"/>
      <c r="AE43" s="14" t="n"/>
      <c r="AF43" s="128" t="n"/>
      <c r="AG43" s="289" t="n"/>
      <c r="AH43" s="284" t="n"/>
      <c r="AI43" s="284" t="n"/>
      <c r="AJ43" s="284" t="n"/>
      <c r="AK43" s="292" t="n"/>
      <c r="AL43" s="139">
        <f>Z43</f>
        <v/>
      </c>
      <c r="AM43" s="63" t="n"/>
      <c r="AN43" s="55" t="n"/>
      <c r="AO43" s="55" t="n"/>
      <c r="AP43" s="55" t="n"/>
      <c r="AQ43" s="55" t="n"/>
      <c r="AR43" s="55" t="n"/>
      <c r="AS43" s="55" t="n"/>
      <c r="AT43" s="55" t="n"/>
      <c r="AU43" s="55" t="n"/>
      <c r="AV43" s="55" t="n"/>
      <c r="AW43" s="55" t="n"/>
      <c r="AX43" s="55" t="n"/>
      <c r="AY43" s="55" t="n"/>
      <c r="AZ43" s="55" t="n"/>
      <c r="BA43" s="55" t="n"/>
      <c r="BB43" s="55" t="n"/>
      <c r="BC43" s="55" t="n"/>
      <c r="BD43" s="55" t="n"/>
      <c r="BE43" s="55" t="n"/>
      <c r="BF43" s="55" t="n"/>
      <c r="BG43" s="55" t="n"/>
      <c r="BH43" s="55" t="n"/>
      <c r="BI43" s="55" t="n"/>
      <c r="BJ43" s="55" t="n"/>
      <c r="BK43" s="55" t="n"/>
      <c r="BL43" s="55" t="n"/>
      <c r="BM43" s="55" t="n"/>
      <c r="BN43" s="55" t="n"/>
      <c r="BO43" s="55" t="n"/>
      <c r="BP43" s="55" t="n"/>
      <c r="BQ43" s="55" t="n"/>
      <c r="BR43" s="55" t="n"/>
      <c r="BS43" s="55" t="n"/>
      <c r="BT43" s="55" t="n"/>
      <c r="BU43" s="55" t="n"/>
      <c r="BV43" s="55" t="n"/>
      <c r="BW43" s="55" t="n"/>
      <c r="BX43" s="55" t="n"/>
      <c r="BY43" s="55" t="n"/>
      <c r="BZ43" s="55" t="n"/>
      <c r="CA43" s="55" t="n"/>
      <c r="CB43" s="55" t="n"/>
      <c r="CC43" s="55" t="n"/>
      <c r="CD43" s="55" t="n"/>
      <c r="CE43" s="55" t="n"/>
      <c r="CF43" s="55" t="n"/>
      <c r="CG43" s="55" t="n"/>
      <c r="CH43" s="55" t="n"/>
      <c r="CI43" s="55" t="n"/>
      <c r="CJ43" s="55" t="n"/>
      <c r="CK43" s="55" t="n"/>
      <c r="CL43" s="55" t="n"/>
      <c r="CM43" s="55" t="n"/>
      <c r="CN43" s="55" t="n"/>
      <c r="CO43" s="55" t="n"/>
      <c r="CP43" s="55" t="n"/>
      <c r="CQ43" s="55" t="n"/>
      <c r="CR43" s="55" t="n"/>
      <c r="CS43" s="55" t="n"/>
      <c r="CT43" s="55" t="n"/>
      <c r="CU43" s="67" t="n"/>
      <c r="CV43" s="87" t="n"/>
      <c r="CW43" s="87" t="n"/>
      <c r="CX43" s="81" t="n"/>
      <c r="CY43" s="87">
        <f>IF(OR(AND(TODAY()&gt;W43,Z43&lt;&gt;1,DB43=1),AND(DB43&gt;='@LeadT_Setting'!$AK$6,Z43&lt;='@LeadT_Setting'!$AK$6),AND(Z43&lt;(DB43-'@LeadT_Setting'!$AI$6),DB43&gt;Z43,U43&gt;0,DB43&lt;'@LeadT_Setting'!$AK$6)),1,0)</f>
        <v/>
      </c>
      <c r="CZ43" s="87">
        <f>IFERROR(AA43*U43,0)</f>
        <v/>
      </c>
      <c r="DA43" s="118">
        <f>IFERROR(Z43*U43,0)</f>
        <v/>
      </c>
      <c r="DB43" s="88">
        <f>IFERROR(IF(OR(U43&lt;=0,TODAY()&lt;V43),0,IF(TODAY()&gt;=W43,1,((TODAY()-V43))/((W43-V43)))),0)</f>
        <v/>
      </c>
      <c r="DC43" s="118">
        <f>IF(OR(AND(TODAY()&gt;W43,Z43&lt;&gt;1,DB43=1),AND(DB43&gt;='@LeadT_Setting'!$AK$6,Z43&lt;='@LeadT_Setting'!$AK$6),AND(Z43&lt;(DB43-'@LeadT_Setting'!$AJ$6),DB43&gt;Z43,U43&gt;0)),1,0)</f>
        <v/>
      </c>
      <c r="DD43" s="119">
        <f>IF(Z43=1,0,IF(AD43="Engineering",1,IF(AD43="Purchase",2,IF(AD43="Software",3,IF(AD43="Project Management",4,IF(AD43="Manufacturing",5,IF(AD43="Sales",6,IF(AD43="Client",7,0))))))))</f>
        <v/>
      </c>
      <c r="DE43" s="202" t="n"/>
      <c r="DF43" s="119">
        <f>Z43*U43</f>
        <v/>
      </c>
      <c r="DG43" s="119" t="n"/>
      <c r="DH43" s="119">
        <f>IF(OR(AND(U43&gt;0,TODAY()&gt;=AB43,Z43&lt;80%,NOT(ISBLANK(AB43))),AND(Z43&lt;&gt;1,U43&gt;0,$V43&lt;TODAY(),ISBLANK($Y43))),1,0)</f>
        <v/>
      </c>
      <c r="DI43" s="82" t="n"/>
      <c r="DJ43" s="93" t="n"/>
      <c r="DK43" s="82" t="n"/>
      <c r="DL43" s="83" t="n"/>
      <c r="DM43" s="87" t="n"/>
    </row>
    <row r="44">
      <c r="B44" s="254" t="n"/>
      <c r="C44" s="254" t="n"/>
      <c r="D44" s="123" t="n"/>
      <c r="E44" s="173" t="n"/>
      <c r="F44" s="174" t="n"/>
      <c r="G44" s="174" t="n"/>
      <c r="H44" s="174" t="n"/>
      <c r="I44" s="174" t="n"/>
      <c r="J44" s="174" t="n"/>
      <c r="K44" s="174" t="n"/>
      <c r="L44" s="174" t="n"/>
      <c r="M44" s="174" t="n"/>
      <c r="N44" s="174" t="n"/>
      <c r="O44" s="174" t="n"/>
      <c r="P44" s="174" t="n"/>
      <c r="Q44" s="174" t="n"/>
      <c r="R44" s="174" t="n"/>
      <c r="S44" s="174" t="n"/>
      <c r="T44" s="174" t="n"/>
      <c r="U44" s="174" t="n"/>
      <c r="V44" s="174" t="n"/>
      <c r="W44" s="174" t="n"/>
      <c r="X44" s="174" t="n"/>
      <c r="Y44" s="174" t="n"/>
      <c r="Z44" s="174" t="n"/>
      <c r="AA44" s="174" t="n"/>
      <c r="AB44" s="175" t="n"/>
      <c r="AC44" s="14" t="n"/>
      <c r="AD44" s="14" t="n"/>
      <c r="AE44" s="14" t="n"/>
      <c r="AF44" s="128" t="n"/>
      <c r="AG44" s="289" t="n"/>
      <c r="AH44" s="284" t="n"/>
      <c r="AI44" s="284" t="n"/>
      <c r="AJ44" s="284" t="n"/>
      <c r="AK44" s="292" t="n"/>
      <c r="AL44" s="139">
        <f>Z44</f>
        <v/>
      </c>
      <c r="AM44" s="63" t="n"/>
      <c r="AN44" s="55" t="n"/>
      <c r="AO44" s="55" t="n"/>
      <c r="AP44" s="55" t="n"/>
      <c r="AQ44" s="55" t="n"/>
      <c r="AR44" s="55" t="n"/>
      <c r="AS44" s="55" t="n"/>
      <c r="AT44" s="55" t="n"/>
      <c r="AU44" s="55" t="n"/>
      <c r="AV44" s="55" t="n"/>
      <c r="AW44" s="55" t="n"/>
      <c r="AX44" s="55" t="n"/>
      <c r="AY44" s="55" t="n"/>
      <c r="AZ44" s="55" t="n"/>
      <c r="BA44" s="55" t="n"/>
      <c r="BB44" s="55" t="n"/>
      <c r="BC44" s="55" t="n"/>
      <c r="BD44" s="55" t="n"/>
      <c r="BE44" s="55" t="n"/>
      <c r="BF44" s="55" t="n"/>
      <c r="BG44" s="55" t="n"/>
      <c r="BH44" s="55" t="n"/>
      <c r="BI44" s="55" t="n"/>
      <c r="BJ44" s="55" t="n"/>
      <c r="BK44" s="55" t="n"/>
      <c r="BL44" s="55" t="n"/>
      <c r="BM44" s="55" t="n"/>
      <c r="BN44" s="55" t="n"/>
      <c r="BO44" s="55" t="n"/>
      <c r="BP44" s="55" t="n"/>
      <c r="BQ44" s="55" t="n"/>
      <c r="BR44" s="55" t="n"/>
      <c r="BS44" s="55" t="n"/>
      <c r="BT44" s="55" t="n"/>
      <c r="BU44" s="55" t="n"/>
      <c r="BV44" s="55" t="n"/>
      <c r="BW44" s="55" t="n"/>
      <c r="BX44" s="55" t="n"/>
      <c r="BY44" s="55" t="n"/>
      <c r="BZ44" s="55" t="n"/>
      <c r="CA44" s="55" t="n"/>
      <c r="CB44" s="55" t="n"/>
      <c r="CC44" s="55" t="n"/>
      <c r="CD44" s="55" t="n"/>
      <c r="CE44" s="55" t="n"/>
      <c r="CF44" s="55" t="n"/>
      <c r="CG44" s="55" t="n"/>
      <c r="CH44" s="55" t="n"/>
      <c r="CI44" s="55" t="n"/>
      <c r="CJ44" s="55" t="n"/>
      <c r="CK44" s="55" t="n"/>
      <c r="CL44" s="55" t="n"/>
      <c r="CM44" s="55" t="n"/>
      <c r="CN44" s="55" t="n"/>
      <c r="CO44" s="55" t="n"/>
      <c r="CP44" s="55" t="n"/>
      <c r="CQ44" s="55" t="n"/>
      <c r="CR44" s="55" t="n"/>
      <c r="CS44" s="55" t="n"/>
      <c r="CT44" s="55" t="n"/>
      <c r="CU44" s="67" t="n"/>
      <c r="CV44" s="87" t="n"/>
      <c r="CW44" s="87" t="n"/>
      <c r="CX44" s="81" t="n"/>
      <c r="CY44" s="87">
        <f>IF(OR(AND(TODAY()&gt;W44,Z44&lt;&gt;1,DB44=1),AND(DB44&gt;='@LeadT_Setting'!$AK$6,Z44&lt;='@LeadT_Setting'!$AK$6),AND(Z44&lt;(DB44-'@LeadT_Setting'!$AI$6),DB44&gt;Z44,U44&gt;0,DB44&lt;'@LeadT_Setting'!$AK$6)),1,0)</f>
        <v/>
      </c>
      <c r="CZ44" s="87">
        <f>IFERROR(AA44*U44,0)</f>
        <v/>
      </c>
      <c r="DA44" s="118">
        <f>IFERROR(Z44*U44,0)</f>
        <v/>
      </c>
      <c r="DB44" s="88">
        <f>IFERROR(IF(OR(U44&lt;=0,TODAY()&lt;V44),0,IF(TODAY()&gt;=W44,1,((TODAY()-V44))/((W44-V44)))),0)</f>
        <v/>
      </c>
      <c r="DC44" s="118">
        <f>IF(OR(AND(TODAY()&gt;W44,Z44&lt;&gt;1,DB44=1),AND(DB44&gt;='@LeadT_Setting'!$AK$6,Z44&lt;='@LeadT_Setting'!$AK$6),AND(Z44&lt;(DB44-'@LeadT_Setting'!$AJ$6),DB44&gt;Z44,U44&gt;0)),1,0)</f>
        <v/>
      </c>
      <c r="DD44" s="119">
        <f>IF(Z44=1,0,IF(AD44="Engineering",1,IF(AD44="Purchase",2,IF(AD44="Software",3,IF(AD44="Project Management",4,IF(AD44="Manufacturing",5,IF(AD44="Sales",6,IF(AD44="Client",7,0))))))))</f>
        <v/>
      </c>
      <c r="DE44" s="202" t="n"/>
      <c r="DF44" s="119">
        <f>Z44*U44</f>
        <v/>
      </c>
      <c r="DG44" s="119" t="n"/>
      <c r="DH44" s="119">
        <f>IF(OR(AND(U44&gt;0,TODAY()&gt;=AB44,Z44&lt;80%,NOT(ISBLANK(AB44))),AND(Z44&lt;&gt;1,U44&gt;0,$V44&lt;TODAY(),ISBLANK($Y44))),1,0)</f>
        <v/>
      </c>
      <c r="DI44" s="82" t="n"/>
      <c r="DJ44" s="93" t="n"/>
      <c r="DK44" s="82" t="n"/>
      <c r="DL44" s="83" t="n"/>
      <c r="DM44" s="87" t="n"/>
    </row>
    <row r="45">
      <c r="B45" s="254" t="n"/>
      <c r="C45" s="254" t="n"/>
      <c r="D45" s="123" t="n"/>
      <c r="E45" s="173" t="n"/>
      <c r="F45" s="174" t="n"/>
      <c r="G45" s="174" t="n"/>
      <c r="H45" s="174" t="n"/>
      <c r="I45" s="174" t="n"/>
      <c r="J45" s="174" t="n"/>
      <c r="K45" s="174" t="n"/>
      <c r="L45" s="174" t="n"/>
      <c r="M45" s="174" t="n"/>
      <c r="N45" s="174" t="n"/>
      <c r="O45" s="174" t="n"/>
      <c r="P45" s="174" t="n"/>
      <c r="Q45" s="174" t="n"/>
      <c r="R45" s="174" t="n"/>
      <c r="S45" s="174" t="n"/>
      <c r="T45" s="174" t="n"/>
      <c r="U45" s="174" t="n"/>
      <c r="V45" s="174" t="n"/>
      <c r="W45" s="174" t="n"/>
      <c r="X45" s="174" t="n"/>
      <c r="Y45" s="174" t="n"/>
      <c r="Z45" s="174" t="n"/>
      <c r="AA45" s="174" t="n"/>
      <c r="AB45" s="175" t="n"/>
      <c r="AC45" s="14" t="n"/>
      <c r="AD45" s="14" t="n"/>
      <c r="AE45" s="14" t="n"/>
      <c r="AF45" s="128" t="n"/>
      <c r="AG45" s="289" t="n"/>
      <c r="AH45" s="284" t="n"/>
      <c r="AI45" s="284" t="n"/>
      <c r="AJ45" s="284" t="n"/>
      <c r="AK45" s="292" t="n"/>
      <c r="AL45" s="139">
        <f>Z45</f>
        <v/>
      </c>
      <c r="AM45" s="63" t="n"/>
      <c r="AN45" s="55" t="n"/>
      <c r="AO45" s="55" t="n"/>
      <c r="AP45" s="55" t="n"/>
      <c r="AQ45" s="55" t="n"/>
      <c r="AR45" s="55" t="n"/>
      <c r="AS45" s="55" t="n"/>
      <c r="AT45" s="55" t="n"/>
      <c r="AU45" s="55" t="n"/>
      <c r="AV45" s="55" t="n"/>
      <c r="AW45" s="55" t="n"/>
      <c r="AX45" s="55" t="n"/>
      <c r="AY45" s="55" t="n"/>
      <c r="AZ45" s="55" t="n"/>
      <c r="BA45" s="55" t="n"/>
      <c r="BB45" s="55" t="n"/>
      <c r="BC45" s="55" t="n"/>
      <c r="BD45" s="55" t="n"/>
      <c r="BE45" s="55" t="n"/>
      <c r="BF45" s="55" t="n"/>
      <c r="BG45" s="55" t="n"/>
      <c r="BH45" s="55" t="n"/>
      <c r="BI45" s="55" t="n"/>
      <c r="BJ45" s="55" t="n"/>
      <c r="BK45" s="55" t="n"/>
      <c r="BL45" s="55" t="n"/>
      <c r="BM45" s="55" t="n"/>
      <c r="BN45" s="55" t="n"/>
      <c r="BO45" s="55" t="n"/>
      <c r="BP45" s="55" t="n"/>
      <c r="BQ45" s="55" t="n"/>
      <c r="BR45" s="55" t="n"/>
      <c r="BS45" s="55" t="n"/>
      <c r="BT45" s="55" t="n"/>
      <c r="BU45" s="55" t="n"/>
      <c r="BV45" s="55" t="n"/>
      <c r="BW45" s="55" t="n"/>
      <c r="BX45" s="55" t="n"/>
      <c r="BY45" s="55" t="n"/>
      <c r="BZ45" s="55" t="n"/>
      <c r="CA45" s="55" t="n"/>
      <c r="CB45" s="55" t="n"/>
      <c r="CC45" s="55" t="n"/>
      <c r="CD45" s="55" t="n"/>
      <c r="CE45" s="55" t="n"/>
      <c r="CF45" s="55" t="n"/>
      <c r="CG45" s="55" t="n"/>
      <c r="CH45" s="55" t="n"/>
      <c r="CI45" s="55" t="n"/>
      <c r="CJ45" s="55" t="n"/>
      <c r="CK45" s="55" t="n"/>
      <c r="CL45" s="55" t="n"/>
      <c r="CM45" s="55" t="n"/>
      <c r="CN45" s="55" t="n"/>
      <c r="CO45" s="55" t="n"/>
      <c r="CP45" s="55" t="n"/>
      <c r="CQ45" s="55" t="n"/>
      <c r="CR45" s="55" t="n"/>
      <c r="CS45" s="55" t="n"/>
      <c r="CT45" s="55" t="n"/>
      <c r="CU45" s="67" t="n"/>
      <c r="CV45" s="87" t="n"/>
      <c r="CW45" s="87" t="n"/>
      <c r="CX45" s="81" t="n"/>
      <c r="CY45" s="87">
        <f>IF(OR(AND(TODAY()&gt;W45,Z45&lt;&gt;1,DB45=1),AND(DB45&gt;='@LeadT_Setting'!$AK$6,Z45&lt;='@LeadT_Setting'!$AK$6),AND(Z45&lt;(DB45-'@LeadT_Setting'!$AI$6),DB45&gt;Z45,U45&gt;0,DB45&lt;'@LeadT_Setting'!$AK$6)),1,0)</f>
        <v/>
      </c>
      <c r="CZ45" s="87">
        <f>IFERROR(AA45*U45,0)</f>
        <v/>
      </c>
      <c r="DA45" s="118">
        <f>IFERROR(Z45*U45,0)</f>
        <v/>
      </c>
      <c r="DB45" s="88">
        <f>IFERROR(IF(OR(U45&lt;=0,TODAY()&lt;V45),0,IF(TODAY()&gt;=W45,1,((TODAY()-V45))/((W45-V45)))),0)</f>
        <v/>
      </c>
      <c r="DC45" s="118">
        <f>IF(OR(AND(TODAY()&gt;W45,Z45&lt;&gt;1,DB45=1),AND(DB45&gt;='@LeadT_Setting'!$AK$6,Z45&lt;='@LeadT_Setting'!$AK$6),AND(Z45&lt;(DB45-'@LeadT_Setting'!$AJ$6),DB45&gt;Z45,U45&gt;0)),1,0)</f>
        <v/>
      </c>
      <c r="DD45" s="119">
        <f>IF(Z45=1,0,IF(AD45="Engineering",1,IF(AD45="Purchase",2,IF(AD45="Software",3,IF(AD45="Project Management",4,IF(AD45="Manufacturing",5,IF(AD45="Sales",6,IF(AD45="Client",7,0))))))))</f>
        <v/>
      </c>
      <c r="DE45" s="202" t="n"/>
      <c r="DF45" s="119">
        <f>Z45*U45</f>
        <v/>
      </c>
      <c r="DG45" s="119" t="n"/>
      <c r="DH45" s="119">
        <f>IF(OR(AND(U45&gt;0,TODAY()&gt;=AB45,Z45&lt;80%,NOT(ISBLANK(AB45))),AND(Z45&lt;&gt;1,U45&gt;0,$V45&lt;TODAY(),ISBLANK($Y45))),1,0)</f>
        <v/>
      </c>
      <c r="DI45" s="82" t="n"/>
      <c r="DJ45" s="93" t="n"/>
      <c r="DK45" s="82" t="n"/>
      <c r="DL45" s="83" t="n"/>
      <c r="DM45" s="87" t="n"/>
    </row>
    <row r="46">
      <c r="B46" s="254" t="n"/>
      <c r="C46" s="254" t="n"/>
      <c r="D46" s="123" t="n"/>
      <c r="E46" s="173" t="n"/>
      <c r="F46" s="174" t="n"/>
      <c r="G46" s="174" t="n"/>
      <c r="H46" s="174" t="n"/>
      <c r="I46" s="174" t="n"/>
      <c r="J46" s="174" t="n"/>
      <c r="K46" s="174" t="n"/>
      <c r="L46" s="174" t="n"/>
      <c r="M46" s="174" t="n"/>
      <c r="N46" s="174" t="n"/>
      <c r="O46" s="174" t="n"/>
      <c r="P46" s="174" t="n"/>
      <c r="Q46" s="174" t="n"/>
      <c r="R46" s="174" t="n"/>
      <c r="S46" s="174" t="n"/>
      <c r="T46" s="174" t="n"/>
      <c r="U46" s="174" t="n"/>
      <c r="V46" s="174" t="n"/>
      <c r="W46" s="174" t="n"/>
      <c r="X46" s="174" t="n"/>
      <c r="Y46" s="174" t="n"/>
      <c r="Z46" s="174" t="n"/>
      <c r="AA46" s="174" t="n"/>
      <c r="AB46" s="175" t="n"/>
      <c r="AC46" s="14" t="n"/>
      <c r="AD46" s="14" t="n"/>
      <c r="AE46" s="14" t="n"/>
      <c r="AF46" s="128" t="n"/>
      <c r="AG46" s="289" t="n"/>
      <c r="AH46" s="284" t="n"/>
      <c r="AI46" s="284" t="n"/>
      <c r="AJ46" s="284" t="n"/>
      <c r="AK46" s="292" t="n"/>
      <c r="AL46" s="139">
        <f>Z46</f>
        <v/>
      </c>
      <c r="AM46" s="63" t="n"/>
      <c r="AN46" s="55" t="n"/>
      <c r="AO46" s="55" t="n"/>
      <c r="AP46" s="55" t="n"/>
      <c r="AQ46" s="55" t="n"/>
      <c r="AR46" s="55" t="n"/>
      <c r="AS46" s="55" t="n"/>
      <c r="AT46" s="55" t="n"/>
      <c r="AU46" s="55" t="n"/>
      <c r="AV46" s="55" t="n"/>
      <c r="AW46" s="55" t="n"/>
      <c r="AX46" s="55" t="n"/>
      <c r="AY46" s="55" t="n"/>
      <c r="AZ46" s="55" t="n"/>
      <c r="BA46" s="55" t="n"/>
      <c r="BB46" s="55" t="n"/>
      <c r="BC46" s="55" t="n"/>
      <c r="BD46" s="55" t="n"/>
      <c r="BE46" s="55" t="n"/>
      <c r="BF46" s="55" t="n"/>
      <c r="BG46" s="55" t="n"/>
      <c r="BH46" s="55" t="n"/>
      <c r="BI46" s="55" t="n"/>
      <c r="BJ46" s="55" t="n"/>
      <c r="BK46" s="55" t="n"/>
      <c r="BL46" s="55" t="n"/>
      <c r="BM46" s="55" t="n"/>
      <c r="BN46" s="55" t="n"/>
      <c r="BO46" s="55" t="n"/>
      <c r="BP46" s="55" t="n"/>
      <c r="BQ46" s="55" t="n"/>
      <c r="BR46" s="55" t="n"/>
      <c r="BS46" s="55" t="n"/>
      <c r="BT46" s="55" t="n"/>
      <c r="BU46" s="55" t="n"/>
      <c r="BV46" s="55" t="n"/>
      <c r="BW46" s="55" t="n"/>
      <c r="BX46" s="55" t="n"/>
      <c r="BY46" s="55" t="n"/>
      <c r="BZ46" s="55" t="n"/>
      <c r="CA46" s="55" t="n"/>
      <c r="CB46" s="55" t="n"/>
      <c r="CC46" s="55" t="n"/>
      <c r="CD46" s="55" t="n"/>
      <c r="CE46" s="55" t="n"/>
      <c r="CF46" s="55" t="n"/>
      <c r="CG46" s="55" t="n"/>
      <c r="CH46" s="55" t="n"/>
      <c r="CI46" s="55" t="n"/>
      <c r="CJ46" s="55" t="n"/>
      <c r="CK46" s="55" t="n"/>
      <c r="CL46" s="55" t="n"/>
      <c r="CM46" s="55" t="n"/>
      <c r="CN46" s="55" t="n"/>
      <c r="CO46" s="55" t="n"/>
      <c r="CP46" s="55" t="n"/>
      <c r="CQ46" s="55" t="n"/>
      <c r="CR46" s="55" t="n"/>
      <c r="CS46" s="55" t="n"/>
      <c r="CT46" s="55" t="n"/>
      <c r="CU46" s="67" t="n"/>
      <c r="CV46" s="87" t="n"/>
      <c r="CW46" s="87" t="n"/>
      <c r="CX46" s="81" t="n"/>
      <c r="CY46" s="87">
        <f>IF(OR(AND(TODAY()&gt;W46,Z46&lt;&gt;1,DB46=1),AND(DB46&gt;='@LeadT_Setting'!$AK$6,Z46&lt;='@LeadT_Setting'!$AK$6),AND(Z46&lt;(DB46-'@LeadT_Setting'!$AI$6),DB46&gt;Z46,U46&gt;0,DB46&lt;'@LeadT_Setting'!$AK$6)),1,0)</f>
        <v/>
      </c>
      <c r="CZ46" s="87">
        <f>IFERROR(AA46*U46,0)</f>
        <v/>
      </c>
      <c r="DA46" s="118">
        <f>IFERROR(Z46*U46,0)</f>
        <v/>
      </c>
      <c r="DB46" s="88">
        <f>IFERROR(IF(OR(U46&lt;=0,TODAY()&lt;V46),0,IF(TODAY()&gt;=W46,1,((TODAY()-V46))/((W46-V46)))),0)</f>
        <v/>
      </c>
      <c r="DC46" s="118">
        <f>IF(OR(AND(TODAY()&gt;W46,Z46&lt;&gt;1,DB46=1),AND(DB46&gt;='@LeadT_Setting'!$AK$6,Z46&lt;='@LeadT_Setting'!$AK$6),AND(Z46&lt;(DB46-'@LeadT_Setting'!$AJ$6),DB46&gt;Z46,U46&gt;0)),1,0)</f>
        <v/>
      </c>
      <c r="DD46" s="119">
        <f>IF(Z46=1,0,IF(AD46="Engineering",1,IF(AD46="Purchase",2,IF(AD46="Software",3,IF(AD46="Project Management",4,IF(AD46="Manufacturing",5,IF(AD46="Sales",6,IF(AD46="Client",7,0))))))))</f>
        <v/>
      </c>
      <c r="DE46" s="202" t="n"/>
      <c r="DF46" s="119">
        <f>Z46*U46</f>
        <v/>
      </c>
      <c r="DG46" s="119" t="n"/>
      <c r="DH46" s="119">
        <f>IF(OR(AND(U46&gt;0,TODAY()&gt;=AB46,Z46&lt;80%,NOT(ISBLANK(AB46))),AND(Z46&lt;&gt;1,U46&gt;0,$V46&lt;TODAY(),ISBLANK($Y46))),1,0)</f>
        <v/>
      </c>
      <c r="DI46" s="82" t="n"/>
      <c r="DJ46" s="93" t="n"/>
      <c r="DK46" s="82" t="n"/>
      <c r="DL46" s="83" t="n"/>
      <c r="DM46" s="87" t="n"/>
    </row>
    <row r="47">
      <c r="B47" s="254" t="n"/>
      <c r="C47" s="254" t="n"/>
      <c r="D47" s="123" t="n"/>
      <c r="E47" s="173" t="n"/>
      <c r="F47" s="174" t="n"/>
      <c r="G47" s="174" t="n"/>
      <c r="H47" s="174" t="n"/>
      <c r="I47" s="174" t="n"/>
      <c r="J47" s="174" t="n"/>
      <c r="K47" s="174" t="n"/>
      <c r="L47" s="174" t="n"/>
      <c r="M47" s="174" t="n"/>
      <c r="N47" s="174" t="n"/>
      <c r="O47" s="174" t="n"/>
      <c r="P47" s="174" t="n"/>
      <c r="Q47" s="174" t="n"/>
      <c r="R47" s="174" t="n"/>
      <c r="S47" s="174" t="n"/>
      <c r="T47" s="174" t="n"/>
      <c r="U47" s="174" t="n"/>
      <c r="V47" s="174" t="n"/>
      <c r="W47" s="174" t="n"/>
      <c r="X47" s="174" t="n"/>
      <c r="Y47" s="174" t="n"/>
      <c r="Z47" s="174" t="n"/>
      <c r="AA47" s="174" t="n"/>
      <c r="AB47" s="175" t="n"/>
      <c r="AC47" s="14" t="n"/>
      <c r="AD47" s="14" t="n"/>
      <c r="AE47" s="14" t="n"/>
      <c r="AF47" s="128" t="n"/>
      <c r="AG47" s="289" t="n"/>
      <c r="AH47" s="284" t="n"/>
      <c r="AI47" s="284" t="n"/>
      <c r="AJ47" s="284" t="n"/>
      <c r="AK47" s="292" t="n"/>
      <c r="AL47" s="139">
        <f>Z47</f>
        <v/>
      </c>
      <c r="AM47" s="63" t="n"/>
      <c r="AN47" s="55" t="n"/>
      <c r="AO47" s="55" t="n"/>
      <c r="AP47" s="55" t="n"/>
      <c r="AQ47" s="55" t="n"/>
      <c r="AR47" s="55" t="n"/>
      <c r="AS47" s="55" t="n"/>
      <c r="AT47" s="55" t="n"/>
      <c r="AU47" s="55" t="n"/>
      <c r="AV47" s="55" t="n"/>
      <c r="AW47" s="55" t="n"/>
      <c r="AX47" s="55" t="n"/>
      <c r="AY47" s="55" t="n"/>
      <c r="AZ47" s="55" t="n"/>
      <c r="BA47" s="55" t="n"/>
      <c r="BB47" s="55" t="n"/>
      <c r="BC47" s="55" t="n"/>
      <c r="BD47" s="55" t="n"/>
      <c r="BE47" s="55" t="n"/>
      <c r="BF47" s="55" t="n"/>
      <c r="BG47" s="55" t="n"/>
      <c r="BH47" s="55" t="n"/>
      <c r="BI47" s="55" t="n"/>
      <c r="BJ47" s="55" t="n"/>
      <c r="BK47" s="55" t="n"/>
      <c r="BL47" s="55" t="n"/>
      <c r="BM47" s="55" t="n"/>
      <c r="BN47" s="55" t="n"/>
      <c r="BO47" s="55" t="n"/>
      <c r="BP47" s="55" t="n"/>
      <c r="BQ47" s="55" t="n"/>
      <c r="BR47" s="55" t="n"/>
      <c r="BS47" s="55" t="n"/>
      <c r="BT47" s="55" t="n"/>
      <c r="BU47" s="55" t="n"/>
      <c r="BV47" s="55" t="n"/>
      <c r="BW47" s="55" t="n"/>
      <c r="BX47" s="55" t="n"/>
      <c r="BY47" s="55" t="n"/>
      <c r="BZ47" s="55" t="n"/>
      <c r="CA47" s="55" t="n"/>
      <c r="CB47" s="55" t="n"/>
      <c r="CC47" s="55" t="n"/>
      <c r="CD47" s="55" t="n"/>
      <c r="CE47" s="55" t="n"/>
      <c r="CF47" s="55" t="n"/>
      <c r="CG47" s="55" t="n"/>
      <c r="CH47" s="55" t="n"/>
      <c r="CI47" s="55" t="n"/>
      <c r="CJ47" s="55" t="n"/>
      <c r="CK47" s="55" t="n"/>
      <c r="CL47" s="55" t="n"/>
      <c r="CM47" s="55" t="n"/>
      <c r="CN47" s="55" t="n"/>
      <c r="CO47" s="55" t="n"/>
      <c r="CP47" s="55" t="n"/>
      <c r="CQ47" s="55" t="n"/>
      <c r="CR47" s="55" t="n"/>
      <c r="CS47" s="55" t="n"/>
      <c r="CT47" s="55" t="n"/>
      <c r="CU47" s="67" t="n"/>
      <c r="CV47" s="87" t="n"/>
      <c r="CW47" s="87" t="n"/>
      <c r="CX47" s="81" t="n"/>
      <c r="CY47" s="82" t="n"/>
      <c r="CZ47" s="82" t="n"/>
      <c r="DA47" s="82" t="n"/>
      <c r="DB47" s="82" t="n"/>
      <c r="DC47" s="82" t="n"/>
      <c r="DD47" s="82" t="n"/>
      <c r="DE47" s="82" t="n"/>
      <c r="DF47" s="82" t="n"/>
      <c r="DG47" s="119" t="n"/>
      <c r="DH47" s="119">
        <f>IF(OR(AND(U47&gt;0,TODAY()&gt;=AB47,Z47&lt;80%,NOT(ISBLANK(AB47))),AND(Z47&lt;&gt;1,U47&gt;0,$V47&lt;TODAY(),ISBLANK($Y47))),1,0)</f>
        <v/>
      </c>
      <c r="DI47" s="82" t="n"/>
      <c r="DJ47" s="93" t="n"/>
      <c r="DK47" s="82" t="n"/>
      <c r="DL47" s="83" t="n"/>
      <c r="DM47" s="87" t="n"/>
    </row>
    <row r="48">
      <c r="B48" s="123" t="n"/>
      <c r="C48" s="123" t="n"/>
      <c r="D48" s="123" t="n"/>
      <c r="E48" s="173" t="n"/>
      <c r="F48" s="174" t="n"/>
      <c r="G48" s="174" t="n"/>
      <c r="H48" s="174" t="n"/>
      <c r="I48" s="174" t="n"/>
      <c r="J48" s="174" t="n"/>
      <c r="K48" s="174" t="n"/>
      <c r="L48" s="174" t="n"/>
      <c r="M48" s="174" t="n"/>
      <c r="N48" s="174" t="n"/>
      <c r="O48" s="174" t="n"/>
      <c r="P48" s="174" t="n"/>
      <c r="Q48" s="174" t="n"/>
      <c r="R48" s="174" t="n"/>
      <c r="S48" s="174" t="n"/>
      <c r="T48" s="174" t="n"/>
      <c r="U48" s="174" t="n"/>
      <c r="V48" s="174" t="n"/>
      <c r="W48" s="174" t="n"/>
      <c r="X48" s="174" t="n"/>
      <c r="Y48" s="174" t="n"/>
      <c r="Z48" s="174" t="n"/>
      <c r="AA48" s="174" t="n"/>
      <c r="AB48" s="175" t="n"/>
      <c r="AC48" s="14" t="n"/>
      <c r="AD48" s="14" t="n"/>
      <c r="AE48" s="14" t="n"/>
      <c r="AF48" s="128" t="n"/>
      <c r="AG48" s="277" t="n"/>
      <c r="AH48" s="278" t="n"/>
      <c r="AI48" s="278" t="n"/>
      <c r="AJ48" s="279" t="n"/>
      <c r="AK48" s="280" t="n"/>
      <c r="AL48" s="139">
        <f>Z48</f>
        <v/>
      </c>
      <c r="AM48" s="63" t="n"/>
      <c r="AN48" s="55" t="n"/>
      <c r="AO48" s="55" t="n"/>
      <c r="AP48" s="55" t="n"/>
      <c r="AQ48" s="55" t="n"/>
      <c r="AR48" s="55" t="n"/>
      <c r="AS48" s="55" t="n"/>
      <c r="AT48" s="55" t="n"/>
      <c r="AU48" s="55" t="n"/>
      <c r="AV48" s="55" t="n"/>
      <c r="AW48" s="55" t="n"/>
      <c r="AX48" s="55" t="n"/>
      <c r="AY48" s="55" t="n"/>
      <c r="AZ48" s="55" t="n"/>
      <c r="BA48" s="55" t="n"/>
      <c r="BB48" s="55" t="n"/>
      <c r="BC48" s="55" t="n"/>
      <c r="BD48" s="55" t="n"/>
      <c r="BE48" s="55" t="n"/>
      <c r="BF48" s="55" t="n"/>
      <c r="BG48" s="55" t="n"/>
      <c r="BH48" s="55" t="n"/>
      <c r="BI48" s="55" t="n"/>
      <c r="BJ48" s="55" t="n"/>
      <c r="BK48" s="55" t="n"/>
      <c r="BL48" s="55" t="n"/>
      <c r="BM48" s="55" t="n"/>
      <c r="BN48" s="55" t="n"/>
      <c r="BO48" s="55" t="n"/>
      <c r="BP48" s="55" t="n"/>
      <c r="BQ48" s="55" t="n"/>
      <c r="BR48" s="55" t="n"/>
      <c r="BS48" s="55" t="n"/>
      <c r="BT48" s="55" t="n"/>
      <c r="BU48" s="55" t="n"/>
      <c r="BV48" s="55" t="n"/>
      <c r="BW48" s="55" t="n"/>
      <c r="BX48" s="55" t="n"/>
      <c r="BY48" s="55" t="n"/>
      <c r="BZ48" s="55" t="n"/>
      <c r="CA48" s="55" t="n"/>
      <c r="CB48" s="55" t="n"/>
      <c r="CC48" s="55" t="n"/>
      <c r="CD48" s="55" t="n"/>
      <c r="CE48" s="55" t="n"/>
      <c r="CF48" s="55" t="n"/>
      <c r="CG48" s="55" t="n"/>
      <c r="CH48" s="55" t="n"/>
      <c r="CI48" s="55" t="n"/>
      <c r="CJ48" s="55" t="n"/>
      <c r="CK48" s="55" t="n"/>
      <c r="CL48" s="55" t="n"/>
      <c r="CM48" s="55" t="n"/>
      <c r="CN48" s="55" t="n"/>
      <c r="CO48" s="55" t="n"/>
      <c r="CP48" s="55" t="n"/>
      <c r="CQ48" s="55" t="n"/>
      <c r="CR48" s="55" t="n"/>
      <c r="CS48" s="55" t="n"/>
      <c r="CT48" s="55" t="n"/>
      <c r="CU48" s="67" t="n"/>
      <c r="CV48" s="87" t="n"/>
      <c r="CW48" s="87" t="n"/>
      <c r="CX48" s="81" t="n"/>
      <c r="CY48" s="82" t="n"/>
      <c r="CZ48" s="82" t="n"/>
      <c r="DA48" s="82" t="n"/>
      <c r="DB48" s="82" t="n"/>
      <c r="DC48" s="82" t="n"/>
      <c r="DD48" s="82" t="n"/>
      <c r="DE48" s="82" t="n"/>
      <c r="DF48" s="82" t="n"/>
      <c r="DG48" s="119" t="n"/>
      <c r="DH48" s="119">
        <f>IF(OR(AND(U48&gt;0,TODAY()&gt;=AB48,Z48&lt;80%,NOT(ISBLANK(AB48))),AND(Z48&lt;&gt;1,U48&gt;0,$V48&lt;TODAY(),ISBLANK($Y48))),1,0)</f>
        <v/>
      </c>
      <c r="DI48" s="82" t="n"/>
      <c r="DJ48" s="93" t="n"/>
      <c r="DK48" s="82" t="n"/>
      <c r="DL48" s="83" t="n"/>
      <c r="DM48" s="87" t="n"/>
    </row>
    <row r="49" ht="14.4" customHeight="1">
      <c r="B49" s="123" t="n"/>
      <c r="C49" s="123" t="n"/>
      <c r="D49" s="123" t="n"/>
      <c r="E49" s="173" t="n"/>
      <c r="F49" s="174" t="n"/>
      <c r="G49" s="174" t="n"/>
      <c r="H49" s="174" t="n"/>
      <c r="I49" s="174" t="n"/>
      <c r="J49" s="174" t="n"/>
      <c r="K49" s="174" t="n"/>
      <c r="L49" s="174" t="n"/>
      <c r="M49" s="174" t="n"/>
      <c r="N49" s="174" t="n"/>
      <c r="O49" s="174" t="n"/>
      <c r="P49" s="174" t="n"/>
      <c r="Q49" s="174" t="n"/>
      <c r="R49" s="174" t="n"/>
      <c r="S49" s="174" t="n"/>
      <c r="T49" s="174" t="n"/>
      <c r="U49" s="174" t="n"/>
      <c r="V49" s="174" t="n"/>
      <c r="W49" s="174" t="n"/>
      <c r="X49" s="174" t="n"/>
      <c r="Y49" s="174" t="n"/>
      <c r="Z49" s="174" t="n"/>
      <c r="AA49" s="174" t="n"/>
      <c r="AB49" s="175" t="n"/>
      <c r="AC49" s="14" t="n"/>
      <c r="AD49" s="14" t="n"/>
      <c r="AE49" s="14" t="n"/>
      <c r="AF49" s="128" t="n"/>
      <c r="AG49" s="287" t="n"/>
      <c r="AH49" s="56" t="n"/>
      <c r="AI49" s="56" t="n"/>
      <c r="AJ49" s="56" t="n"/>
      <c r="AK49" s="283" t="n"/>
      <c r="AL49" s="139">
        <f>Z49</f>
        <v/>
      </c>
      <c r="AM49" s="63" t="n"/>
      <c r="AN49" s="55" t="n"/>
      <c r="AO49" s="55" t="n"/>
      <c r="AP49" s="55" t="n"/>
      <c r="AQ49" s="55" t="n"/>
      <c r="AR49" s="55" t="n"/>
      <c r="AS49" s="55" t="n"/>
      <c r="AT49" s="55" t="n"/>
      <c r="AU49" s="55" t="n"/>
      <c r="AV49" s="55" t="n"/>
      <c r="AW49" s="55" t="n"/>
      <c r="AX49" s="55" t="n"/>
      <c r="AY49" s="55" t="n"/>
      <c r="AZ49" s="55" t="n"/>
      <c r="BA49" s="55" t="n"/>
      <c r="BB49" s="55" t="n"/>
      <c r="BC49" s="55" t="n"/>
      <c r="BD49" s="55" t="n"/>
      <c r="BE49" s="55" t="n"/>
      <c r="BF49" s="55" t="n"/>
      <c r="BG49" s="55" t="n"/>
      <c r="BH49" s="55" t="n"/>
      <c r="BI49" s="55" t="n"/>
      <c r="BJ49" s="55" t="n"/>
      <c r="BK49" s="55" t="n"/>
      <c r="BL49" s="55" t="n"/>
      <c r="BM49" s="55" t="n"/>
      <c r="BN49" s="55" t="n"/>
      <c r="BO49" s="55" t="n"/>
      <c r="BP49" s="55" t="n"/>
      <c r="BQ49" s="55" t="n"/>
      <c r="BR49" s="55" t="n"/>
      <c r="BS49" s="55" t="n"/>
      <c r="BT49" s="55" t="n"/>
      <c r="BU49" s="55" t="n"/>
      <c r="BV49" s="55" t="n"/>
      <c r="BW49" s="55" t="n"/>
      <c r="BX49" s="55" t="n"/>
      <c r="BY49" s="55" t="n"/>
      <c r="BZ49" s="55" t="n"/>
      <c r="CA49" s="55" t="n"/>
      <c r="CB49" s="55" t="n"/>
      <c r="CC49" s="55" t="n"/>
      <c r="CD49" s="55" t="n"/>
      <c r="CE49" s="55" t="n"/>
      <c r="CF49" s="55" t="n"/>
      <c r="CG49" s="55" t="n"/>
      <c r="CH49" s="55" t="n"/>
      <c r="CI49" s="55" t="n"/>
      <c r="CJ49" s="55" t="n"/>
      <c r="CK49" s="55" t="n"/>
      <c r="CL49" s="55" t="n"/>
      <c r="CM49" s="55" t="n"/>
      <c r="CN49" s="55" t="n"/>
      <c r="CO49" s="55" t="n"/>
      <c r="CP49" s="55" t="n"/>
      <c r="CQ49" s="55" t="n"/>
      <c r="CR49" s="55" t="n"/>
      <c r="CS49" s="55" t="n"/>
      <c r="CT49" s="55" t="n"/>
      <c r="CU49" s="67" t="n"/>
      <c r="CV49" s="87" t="n"/>
      <c r="CW49" s="87" t="n"/>
      <c r="CX49" s="81" t="n"/>
      <c r="CY49" s="82" t="n"/>
      <c r="CZ49" s="82" t="n"/>
      <c r="DA49" s="82" t="n"/>
      <c r="DB49" s="82" t="n"/>
      <c r="DC49" s="82" t="n"/>
      <c r="DD49" s="82" t="n"/>
      <c r="DE49" s="82" t="n"/>
      <c r="DF49" s="82" t="n"/>
      <c r="DG49" s="119" t="n"/>
      <c r="DH49" s="119">
        <f>IF(OR(AND(U49&gt;0,TODAY()&gt;=AB49,Z49&lt;80%,NOT(ISBLANK(AB49))),AND(Z49&lt;&gt;1,U49&gt;0,$V49&lt;TODAY(),ISBLANK($Y49))),1,0)</f>
        <v/>
      </c>
      <c r="DI49" s="82" t="n"/>
      <c r="DJ49" s="93" t="n"/>
      <c r="DK49" s="82" t="n"/>
      <c r="DL49" s="83" t="n"/>
      <c r="DM49" s="87" t="n"/>
    </row>
    <row r="50">
      <c r="B50" s="123" t="n"/>
      <c r="C50" s="123" t="n"/>
      <c r="D50" s="123" t="n"/>
      <c r="E50" s="173" t="n"/>
      <c r="F50" s="174" t="n"/>
      <c r="G50" s="174" t="n"/>
      <c r="H50" s="174" t="n"/>
      <c r="I50" s="174" t="n"/>
      <c r="J50" s="174" t="n"/>
      <c r="K50" s="174" t="n"/>
      <c r="L50" s="174" t="n"/>
      <c r="M50" s="174" t="n"/>
      <c r="N50" s="174" t="n"/>
      <c r="O50" s="174" t="n"/>
      <c r="P50" s="174" t="n"/>
      <c r="Q50" s="174" t="n"/>
      <c r="R50" s="174" t="n"/>
      <c r="S50" s="174" t="n"/>
      <c r="T50" s="174" t="n"/>
      <c r="U50" s="174" t="n"/>
      <c r="V50" s="174" t="n"/>
      <c r="W50" s="174" t="n"/>
      <c r="X50" s="174" t="n"/>
      <c r="Y50" s="174" t="n"/>
      <c r="Z50" s="174" t="n"/>
      <c r="AA50" s="174" t="n"/>
      <c r="AB50" s="175" t="n"/>
      <c r="AC50" s="14" t="n"/>
      <c r="AD50" s="14" t="n"/>
      <c r="AE50" s="14" t="n"/>
      <c r="AF50" s="128" t="n"/>
      <c r="AG50" s="287" t="n"/>
      <c r="AH50" s="56" t="n"/>
      <c r="AI50" s="56" t="n"/>
      <c r="AJ50" s="56" t="n"/>
      <c r="AK50" s="283" t="n"/>
      <c r="AL50" s="139">
        <f>Z50</f>
        <v/>
      </c>
      <c r="AM50" s="63" t="n"/>
      <c r="AN50" s="55" t="n"/>
      <c r="AO50" s="55" t="n"/>
      <c r="AP50" s="55" t="n"/>
      <c r="AQ50" s="55" t="n"/>
      <c r="AR50" s="55" t="n"/>
      <c r="AS50" s="55" t="n"/>
      <c r="AT50" s="55" t="n"/>
      <c r="AU50" s="55" t="n"/>
      <c r="AV50" s="55" t="n"/>
      <c r="AW50" s="55" t="n"/>
      <c r="AX50" s="55" t="n"/>
      <c r="AY50" s="55" t="n"/>
      <c r="AZ50" s="55" t="n"/>
      <c r="BA50" s="55" t="n"/>
      <c r="BB50" s="55" t="n"/>
      <c r="BC50" s="55" t="n"/>
      <c r="BD50" s="55" t="n"/>
      <c r="BE50" s="55" t="n"/>
      <c r="BF50" s="55" t="n"/>
      <c r="BG50" s="55" t="n"/>
      <c r="BH50" s="55" t="n"/>
      <c r="BI50" s="55" t="n"/>
      <c r="BJ50" s="55" t="n"/>
      <c r="BK50" s="55" t="n"/>
      <c r="BL50" s="55" t="n"/>
      <c r="BM50" s="55" t="n"/>
      <c r="BN50" s="55" t="n"/>
      <c r="BO50" s="55" t="n"/>
      <c r="BP50" s="55" t="n"/>
      <c r="BQ50" s="55" t="n"/>
      <c r="BR50" s="55" t="n"/>
      <c r="BS50" s="55" t="n"/>
      <c r="BT50" s="55" t="n"/>
      <c r="BU50" s="55" t="n"/>
      <c r="BV50" s="55" t="n"/>
      <c r="BW50" s="55" t="n"/>
      <c r="BX50" s="55" t="n"/>
      <c r="BY50" s="55" t="n"/>
      <c r="BZ50" s="55" t="n"/>
      <c r="CA50" s="55" t="n"/>
      <c r="CB50" s="55" t="n"/>
      <c r="CC50" s="55" t="n"/>
      <c r="CD50" s="55" t="n"/>
      <c r="CE50" s="55" t="n"/>
      <c r="CF50" s="55" t="n"/>
      <c r="CG50" s="55" t="n"/>
      <c r="CH50" s="55" t="n"/>
      <c r="CI50" s="55" t="n"/>
      <c r="CJ50" s="55" t="n"/>
      <c r="CK50" s="55" t="n"/>
      <c r="CL50" s="55" t="n"/>
      <c r="CM50" s="55" t="n"/>
      <c r="CN50" s="55" t="n"/>
      <c r="CO50" s="55" t="n"/>
      <c r="CP50" s="55" t="n"/>
      <c r="CQ50" s="55" t="n"/>
      <c r="CR50" s="55" t="n"/>
      <c r="CS50" s="55" t="n"/>
      <c r="CT50" s="55" t="n"/>
      <c r="CU50" s="67" t="n"/>
      <c r="CV50" s="87" t="n"/>
      <c r="CW50" s="87" t="n"/>
      <c r="CX50" s="81" t="n"/>
      <c r="CY50" s="82" t="n"/>
      <c r="CZ50" s="82" t="n"/>
      <c r="DA50" s="82" t="n"/>
      <c r="DB50" s="82" t="n"/>
      <c r="DC50" s="82" t="n"/>
      <c r="DD50" s="82" t="n"/>
      <c r="DE50" s="82" t="n"/>
      <c r="DF50" s="82" t="n"/>
      <c r="DG50" s="119" t="n"/>
      <c r="DH50" s="119">
        <f>IF(OR(AND(U50&gt;0,TODAY()&gt;=AB50,Z50&lt;80%,NOT(ISBLANK(AB50))),AND(Z50&lt;&gt;1,U50&gt;0,$V50&lt;TODAY(),ISBLANK($Y50))),1,0)</f>
        <v/>
      </c>
      <c r="DI50" s="82" t="n"/>
      <c r="DJ50" s="93" t="n"/>
      <c r="DK50" s="82" t="n"/>
      <c r="DL50" s="83" t="n"/>
      <c r="DM50" s="87" t="n"/>
    </row>
    <row r="51">
      <c r="B51" s="123" t="n"/>
      <c r="C51" s="123" t="n"/>
      <c r="D51" s="123" t="n"/>
      <c r="E51" s="173" t="n"/>
      <c r="F51" s="174" t="n"/>
      <c r="G51" s="174" t="n"/>
      <c r="H51" s="174" t="n"/>
      <c r="I51" s="174" t="n"/>
      <c r="J51" s="174" t="n"/>
      <c r="K51" s="174" t="n"/>
      <c r="L51" s="174" t="n"/>
      <c r="M51" s="174" t="n"/>
      <c r="N51" s="174" t="n"/>
      <c r="O51" s="174" t="n"/>
      <c r="P51" s="174" t="n"/>
      <c r="Q51" s="174" t="n"/>
      <c r="R51" s="174" t="n"/>
      <c r="S51" s="174" t="n"/>
      <c r="T51" s="174" t="n"/>
      <c r="U51" s="174" t="n"/>
      <c r="V51" s="174" t="n"/>
      <c r="W51" s="174" t="n"/>
      <c r="X51" s="174" t="n"/>
      <c r="Y51" s="174" t="n"/>
      <c r="Z51" s="174" t="n"/>
      <c r="AA51" s="174" t="n"/>
      <c r="AB51" s="175" t="n"/>
      <c r="AC51" s="14" t="n"/>
      <c r="AD51" s="14" t="n"/>
      <c r="AE51" s="14" t="n"/>
      <c r="AF51" s="128" t="n"/>
      <c r="AG51" s="287" t="n"/>
      <c r="AH51" s="56" t="n"/>
      <c r="AI51" s="56" t="n"/>
      <c r="AJ51" s="56" t="n"/>
      <c r="AK51" s="283" t="n"/>
      <c r="AL51" s="139">
        <f>Z51</f>
        <v/>
      </c>
      <c r="AM51" s="63"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c r="BP51" s="55" t="n"/>
      <c r="BQ51" s="55" t="n"/>
      <c r="BR51" s="55" t="n"/>
      <c r="BS51" s="55" t="n"/>
      <c r="BT51" s="55" t="n"/>
      <c r="BU51" s="55" t="n"/>
      <c r="BV51" s="55" t="n"/>
      <c r="BW51" s="55" t="n"/>
      <c r="BX51" s="55" t="n"/>
      <c r="BY51" s="55" t="n"/>
      <c r="BZ51" s="55" t="n"/>
      <c r="CA51" s="55" t="n"/>
      <c r="CB51" s="55" t="n"/>
      <c r="CC51" s="55" t="n"/>
      <c r="CD51" s="55" t="n"/>
      <c r="CE51" s="55" t="n"/>
      <c r="CF51" s="55" t="n"/>
      <c r="CG51" s="55" t="n"/>
      <c r="CH51" s="55" t="n"/>
      <c r="CI51" s="55" t="n"/>
      <c r="CJ51" s="55" t="n"/>
      <c r="CK51" s="55" t="n"/>
      <c r="CL51" s="55" t="n"/>
      <c r="CM51" s="55" t="n"/>
      <c r="CN51" s="55" t="n"/>
      <c r="CO51" s="55" t="n"/>
      <c r="CP51" s="55" t="n"/>
      <c r="CQ51" s="55" t="n"/>
      <c r="CR51" s="55" t="n"/>
      <c r="CS51" s="55" t="n"/>
      <c r="CT51" s="55" t="n"/>
      <c r="CU51" s="67" t="n"/>
      <c r="CV51" s="87" t="n"/>
      <c r="CW51" s="87" t="n"/>
      <c r="CX51" s="81" t="n"/>
      <c r="CY51" s="82" t="n"/>
      <c r="CZ51" s="82" t="n"/>
      <c r="DA51" s="82" t="n"/>
      <c r="DB51" s="82" t="n"/>
      <c r="DC51" s="82" t="n"/>
      <c r="DD51" s="82" t="n"/>
      <c r="DE51" s="82" t="n"/>
      <c r="DF51" s="82" t="n"/>
      <c r="DG51" s="119" t="n"/>
      <c r="DH51" s="119">
        <f>IF(OR(AND(U51&gt;0,TODAY()&gt;=AB51,Z51&lt;80%,NOT(ISBLANK(AB51))),AND(Z51&lt;&gt;1,U51&gt;0,$V51&lt;TODAY(),ISBLANK($Y51))),1,0)</f>
        <v/>
      </c>
      <c r="DI51" s="82" t="n"/>
      <c r="DJ51" s="93" t="n"/>
      <c r="DK51" s="82" t="n"/>
      <c r="DL51" s="83" t="n"/>
      <c r="DM51" s="87" t="n"/>
    </row>
    <row r="52">
      <c r="B52" s="123" t="n"/>
      <c r="C52" s="123" t="n"/>
      <c r="D52" s="123" t="n"/>
      <c r="E52" s="173" t="n"/>
      <c r="F52" s="174" t="n"/>
      <c r="G52" s="174" t="n"/>
      <c r="H52" s="174" t="n"/>
      <c r="I52" s="174" t="n"/>
      <c r="J52" s="174" t="n"/>
      <c r="K52" s="174" t="n"/>
      <c r="L52" s="174" t="n"/>
      <c r="M52" s="174" t="n"/>
      <c r="N52" s="174" t="n"/>
      <c r="O52" s="174" t="n"/>
      <c r="P52" s="174" t="n"/>
      <c r="Q52" s="174" t="n"/>
      <c r="R52" s="174" t="n"/>
      <c r="S52" s="174" t="n"/>
      <c r="T52" s="174" t="n"/>
      <c r="U52" s="174" t="n"/>
      <c r="V52" s="174" t="n"/>
      <c r="W52" s="174" t="n"/>
      <c r="X52" s="174" t="n"/>
      <c r="Y52" s="174" t="n"/>
      <c r="Z52" s="174" t="n"/>
      <c r="AA52" s="174" t="n"/>
      <c r="AB52" s="175" t="n"/>
      <c r="AC52" s="14" t="n"/>
      <c r="AD52" s="14" t="n"/>
      <c r="AE52" s="14" t="n"/>
      <c r="AF52" s="128" t="n"/>
      <c r="AG52" s="287" t="n"/>
      <c r="AH52" s="56" t="n"/>
      <c r="AI52" s="56" t="n"/>
      <c r="AJ52" s="56" t="n"/>
      <c r="AK52" s="283" t="n"/>
      <c r="AL52" s="139">
        <f>Z52</f>
        <v/>
      </c>
      <c r="AM52" s="63" t="n"/>
      <c r="AN52" s="55" t="n"/>
      <c r="AO52" s="55" t="n"/>
      <c r="AP52" s="55" t="n"/>
      <c r="AQ52" s="55" t="n"/>
      <c r="AR52" s="55" t="n"/>
      <c r="AS52" s="55" t="n"/>
      <c r="AT52" s="55" t="n"/>
      <c r="AU52" s="55" t="n"/>
      <c r="AV52" s="55" t="n"/>
      <c r="AW52" s="55" t="n"/>
      <c r="AX52" s="55" t="n"/>
      <c r="AY52" s="55" t="n"/>
      <c r="AZ52" s="55" t="n"/>
      <c r="BA52" s="55" t="n"/>
      <c r="BB52" s="55" t="n"/>
      <c r="BC52" s="55" t="n"/>
      <c r="BD52" s="55" t="n"/>
      <c r="BE52" s="55" t="n"/>
      <c r="BF52" s="55" t="n"/>
      <c r="BG52" s="55" t="n"/>
      <c r="BH52" s="55" t="n"/>
      <c r="BI52" s="55" t="n"/>
      <c r="BJ52" s="55" t="n"/>
      <c r="BK52" s="55" t="n"/>
      <c r="BL52" s="55" t="n"/>
      <c r="BM52" s="55" t="n"/>
      <c r="BN52" s="55" t="n"/>
      <c r="BO52" s="55" t="n"/>
      <c r="BP52" s="55" t="n"/>
      <c r="BQ52" s="55" t="n"/>
      <c r="BR52" s="55" t="n"/>
      <c r="BS52" s="55" t="n"/>
      <c r="BT52" s="55" t="n"/>
      <c r="BU52" s="55" t="n"/>
      <c r="BV52" s="55" t="n"/>
      <c r="BW52" s="55" t="n"/>
      <c r="BX52" s="55" t="n"/>
      <c r="BY52" s="55" t="n"/>
      <c r="BZ52" s="55" t="n"/>
      <c r="CA52" s="55" t="n"/>
      <c r="CB52" s="55" t="n"/>
      <c r="CC52" s="55" t="n"/>
      <c r="CD52" s="55" t="n"/>
      <c r="CE52" s="55" t="n"/>
      <c r="CF52" s="55" t="n"/>
      <c r="CG52" s="55" t="n"/>
      <c r="CH52" s="55" t="n"/>
      <c r="CI52" s="55" t="n"/>
      <c r="CJ52" s="55" t="n"/>
      <c r="CK52" s="55" t="n"/>
      <c r="CL52" s="55" t="n"/>
      <c r="CM52" s="55" t="n"/>
      <c r="CN52" s="55" t="n"/>
      <c r="CO52" s="55" t="n"/>
      <c r="CP52" s="55" t="n"/>
      <c r="CQ52" s="55" t="n"/>
      <c r="CR52" s="55" t="n"/>
      <c r="CS52" s="55" t="n"/>
      <c r="CT52" s="55" t="n"/>
      <c r="CU52" s="67" t="n"/>
      <c r="CV52" s="87" t="n"/>
      <c r="CW52" s="87" t="n"/>
      <c r="CX52" s="81" t="n"/>
      <c r="CY52" s="82" t="n"/>
      <c r="CZ52" s="82" t="n"/>
      <c r="DA52" s="82" t="n"/>
      <c r="DB52" s="82" t="n"/>
      <c r="DC52" s="82" t="n"/>
      <c r="DD52" s="82" t="n"/>
      <c r="DE52" s="82" t="n"/>
      <c r="DF52" s="82" t="n"/>
      <c r="DG52" s="119" t="n"/>
      <c r="DH52" s="119">
        <f>IF(OR(AND(U52&gt;0,TODAY()&gt;=AB52,Z52&lt;80%,NOT(ISBLANK(AB52))),AND(Z52&lt;&gt;1,U52&gt;0,$V52&lt;TODAY(),ISBLANK($Y52))),1,0)</f>
        <v/>
      </c>
      <c r="DI52" s="82" t="n"/>
      <c r="DJ52" s="93" t="n"/>
      <c r="DK52" s="82" t="n"/>
      <c r="DL52" s="83" t="n"/>
      <c r="DM52" s="87" t="n"/>
    </row>
    <row r="53">
      <c r="B53" s="196" t="n"/>
      <c r="C53" s="196" t="n"/>
      <c r="D53" s="14" t="n"/>
      <c r="E53" s="173" t="n"/>
      <c r="F53" s="174" t="n"/>
      <c r="G53" s="174" t="n"/>
      <c r="H53" s="174" t="n"/>
      <c r="I53" s="174" t="n"/>
      <c r="J53" s="174" t="n"/>
      <c r="K53" s="174" t="n"/>
      <c r="L53" s="174" t="n"/>
      <c r="M53" s="174" t="n"/>
      <c r="N53" s="174" t="n"/>
      <c r="O53" s="174" t="n"/>
      <c r="P53" s="174" t="n"/>
      <c r="Q53" s="174" t="n"/>
      <c r="R53" s="174" t="n"/>
      <c r="S53" s="174" t="n"/>
      <c r="T53" s="174" t="n"/>
      <c r="U53" s="174" t="n"/>
      <c r="V53" s="174" t="n"/>
      <c r="W53" s="174" t="n"/>
      <c r="X53" s="174" t="n"/>
      <c r="Y53" s="174" t="n"/>
      <c r="Z53" s="174" t="n"/>
      <c r="AA53" s="174" t="n"/>
      <c r="AB53" s="175" t="n"/>
      <c r="AC53" s="14" t="n"/>
      <c r="AD53" s="14" t="n"/>
      <c r="AE53" s="14" t="n"/>
      <c r="AF53" s="128" t="n"/>
      <c r="AG53" s="287" t="n"/>
      <c r="AH53" s="56" t="n"/>
      <c r="AI53" s="56" t="n"/>
      <c r="AJ53" s="56" t="n"/>
      <c r="AK53" s="283" t="n"/>
      <c r="AL53" s="139">
        <f>Z53</f>
        <v/>
      </c>
      <c r="AM53" s="63" t="n"/>
      <c r="AN53" s="55" t="n"/>
      <c r="AO53" s="55" t="n"/>
      <c r="AP53" s="55" t="n"/>
      <c r="AQ53" s="55" t="n"/>
      <c r="AR53" s="55" t="n"/>
      <c r="AS53" s="55" t="n"/>
      <c r="AT53" s="55" t="n"/>
      <c r="AU53" s="55" t="n"/>
      <c r="AV53" s="55" t="n"/>
      <c r="AW53" s="55" t="n"/>
      <c r="AX53" s="55" t="n"/>
      <c r="AY53" s="55" t="n"/>
      <c r="AZ53" s="55" t="n"/>
      <c r="BA53" s="55" t="n"/>
      <c r="BB53" s="55" t="n"/>
      <c r="BC53" s="55" t="n"/>
      <c r="BD53" s="55" t="n"/>
      <c r="BE53" s="55" t="n"/>
      <c r="BF53" s="55" t="n"/>
      <c r="BG53" s="55" t="n"/>
      <c r="BH53" s="55" t="n"/>
      <c r="BI53" s="55" t="n"/>
      <c r="BJ53" s="55" t="n"/>
      <c r="BK53" s="55" t="n"/>
      <c r="BL53" s="55" t="n"/>
      <c r="BM53" s="55" t="n"/>
      <c r="BN53" s="55" t="n"/>
      <c r="BO53" s="55" t="n"/>
      <c r="BP53" s="55" t="n"/>
      <c r="BQ53" s="55" t="n"/>
      <c r="BR53" s="55" t="n"/>
      <c r="BS53" s="55" t="n"/>
      <c r="BT53" s="55" t="n"/>
      <c r="BU53" s="55" t="n"/>
      <c r="BV53" s="55" t="n"/>
      <c r="BW53" s="55" t="n"/>
      <c r="BX53" s="55" t="n"/>
      <c r="BY53" s="55" t="n"/>
      <c r="BZ53" s="55" t="n"/>
      <c r="CA53" s="55" t="n"/>
      <c r="CB53" s="55" t="n"/>
      <c r="CC53" s="55" t="n"/>
      <c r="CD53" s="55" t="n"/>
      <c r="CE53" s="55" t="n"/>
      <c r="CF53" s="55" t="n"/>
      <c r="CG53" s="55" t="n"/>
      <c r="CH53" s="55" t="n"/>
      <c r="CI53" s="55" t="n"/>
      <c r="CJ53" s="55" t="n"/>
      <c r="CK53" s="55" t="n"/>
      <c r="CL53" s="55" t="n"/>
      <c r="CM53" s="55" t="n"/>
      <c r="CN53" s="55" t="n"/>
      <c r="CO53" s="55" t="n"/>
      <c r="CP53" s="55" t="n"/>
      <c r="CQ53" s="55" t="n"/>
      <c r="CR53" s="55" t="n"/>
      <c r="CS53" s="55" t="n"/>
      <c r="CT53" s="55" t="n"/>
      <c r="CU53" s="67" t="n"/>
      <c r="CV53" s="87" t="n"/>
      <c r="CW53" s="87" t="n"/>
      <c r="CX53" s="81" t="n"/>
      <c r="CY53" s="82" t="n"/>
      <c r="CZ53" s="82" t="n"/>
      <c r="DA53" s="82" t="n"/>
      <c r="DB53" s="82" t="n"/>
      <c r="DC53" s="82" t="n"/>
      <c r="DD53" s="82" t="n"/>
      <c r="DE53" s="82" t="n"/>
      <c r="DF53" s="82" t="n"/>
      <c r="DG53" s="119" t="n"/>
      <c r="DH53" s="119">
        <f>IF(OR(AND(U53&gt;0,TODAY()&gt;=AB53,Z53&lt;80%,NOT(ISBLANK(AB53))),AND(Z53&lt;&gt;1,U53&gt;0,$V53&lt;TODAY(),ISBLANK($Y53))),1,0)</f>
        <v/>
      </c>
      <c r="DI53" s="82" t="n"/>
      <c r="DJ53" s="93" t="n"/>
      <c r="DK53" s="82" t="n"/>
      <c r="DL53" s="83" t="n"/>
      <c r="DM53" s="87" t="n"/>
    </row>
    <row r="54">
      <c r="B54" s="196" t="n"/>
      <c r="C54" s="196" t="n"/>
      <c r="D54" s="14" t="n"/>
      <c r="E54" s="173" t="n"/>
      <c r="F54" s="174" t="n"/>
      <c r="G54" s="174" t="n"/>
      <c r="H54" s="174" t="n"/>
      <c r="I54" s="174" t="n"/>
      <c r="J54" s="174" t="n"/>
      <c r="K54" s="174" t="n"/>
      <c r="L54" s="174" t="n"/>
      <c r="M54" s="174" t="n"/>
      <c r="N54" s="174" t="n"/>
      <c r="O54" s="174" t="n"/>
      <c r="P54" s="174" t="n"/>
      <c r="Q54" s="174" t="n"/>
      <c r="R54" s="174" t="n"/>
      <c r="S54" s="174" t="n"/>
      <c r="T54" s="174" t="n"/>
      <c r="U54" s="174" t="n"/>
      <c r="V54" s="174" t="n"/>
      <c r="W54" s="174" t="n"/>
      <c r="X54" s="174" t="n"/>
      <c r="Y54" s="174" t="n"/>
      <c r="Z54" s="174" t="n"/>
      <c r="AA54" s="174" t="n"/>
      <c r="AB54" s="175" t="n"/>
      <c r="AC54" s="14" t="n"/>
      <c r="AD54" s="14" t="n"/>
      <c r="AE54" s="14" t="n"/>
      <c r="AF54" s="128" t="n"/>
      <c r="AG54" s="214" t="inlineStr"/>
      <c r="AH54" s="56" t="n"/>
      <c r="AI54" s="56" t="n"/>
      <c r="AJ54" s="56" t="n"/>
      <c r="AK54" s="56" t="n"/>
      <c r="AL54" s="139">
        <f>Z54</f>
        <v/>
      </c>
      <c r="AM54" s="63" t="n"/>
      <c r="AN54" s="55" t="n"/>
      <c r="AO54" s="55" t="n"/>
      <c r="AP54" s="55" t="n"/>
      <c r="AQ54" s="55" t="n"/>
      <c r="AR54" s="55" t="n"/>
      <c r="AS54" s="55" t="n"/>
      <c r="AT54" s="55" t="n"/>
      <c r="AU54" s="55" t="n"/>
      <c r="AV54" s="55" t="n"/>
      <c r="AW54" s="55" t="n"/>
      <c r="AX54" s="55" t="n"/>
      <c r="AY54" s="55" t="n"/>
      <c r="AZ54" s="55" t="n"/>
      <c r="BA54" s="55" t="n"/>
      <c r="BB54" s="55" t="n"/>
      <c r="BC54" s="55" t="n"/>
      <c r="BD54" s="55" t="n"/>
      <c r="BE54" s="55" t="n"/>
      <c r="BF54" s="55" t="n"/>
      <c r="BG54" s="55" t="n"/>
      <c r="BH54" s="55" t="n"/>
      <c r="BI54" s="55" t="n"/>
      <c r="BJ54" s="55" t="n"/>
      <c r="BK54" s="55" t="n"/>
      <c r="BL54" s="55" t="n"/>
      <c r="BM54" s="55" t="n"/>
      <c r="BN54" s="55" t="n"/>
      <c r="BO54" s="55" t="n"/>
      <c r="BP54" s="55" t="n"/>
      <c r="BQ54" s="55" t="n"/>
      <c r="BR54" s="55" t="n"/>
      <c r="BS54" s="55" t="n"/>
      <c r="BT54" s="55" t="n"/>
      <c r="BU54" s="55" t="n"/>
      <c r="BV54" s="55" t="n"/>
      <c r="BW54" s="55" t="n"/>
      <c r="BX54" s="55" t="n"/>
      <c r="BY54" s="55" t="n"/>
      <c r="BZ54" s="55" t="n"/>
      <c r="CA54" s="55" t="n"/>
      <c r="CB54" s="55" t="n"/>
      <c r="CC54" s="55" t="n"/>
      <c r="CD54" s="55" t="n"/>
      <c r="CE54" s="55" t="n"/>
      <c r="CF54" s="55" t="n"/>
      <c r="CG54" s="55" t="n"/>
      <c r="CH54" s="55" t="n"/>
      <c r="CI54" s="55" t="n"/>
      <c r="CJ54" s="55" t="n"/>
      <c r="CK54" s="55" t="n"/>
      <c r="CL54" s="55" t="n"/>
      <c r="CM54" s="55" t="n"/>
      <c r="CN54" s="55" t="n"/>
      <c r="CO54" s="55" t="n"/>
      <c r="CP54" s="55" t="n"/>
      <c r="CQ54" s="55" t="n"/>
      <c r="CR54" s="55" t="n"/>
      <c r="CS54" s="55" t="n"/>
      <c r="CT54" s="55" t="n"/>
      <c r="CU54" s="67" t="n"/>
      <c r="CV54" s="87" t="n"/>
      <c r="CW54" s="87" t="n"/>
      <c r="CX54" s="81" t="n"/>
      <c r="CY54" s="82" t="n"/>
      <c r="CZ54" s="82" t="n"/>
      <c r="DA54" s="82" t="n"/>
      <c r="DB54" s="82" t="n"/>
      <c r="DC54" s="82" t="n"/>
      <c r="DD54" s="82" t="n"/>
      <c r="DE54" s="82" t="n"/>
      <c r="DF54" s="82" t="n"/>
      <c r="DG54" s="119" t="n"/>
      <c r="DH54" s="119">
        <f>IF(OR(AND(U54&gt;0,TODAY()&gt;=AB54,Z54&lt;80%,NOT(ISBLANK(AB54))),AND(Z54&lt;&gt;1,U54&gt;0,$V54&lt;TODAY(),ISBLANK($Y54))),1,0)</f>
        <v/>
      </c>
      <c r="DI54" s="82" t="n"/>
      <c r="DJ54" s="93" t="n"/>
      <c r="DK54" s="82" t="n"/>
      <c r="DL54" s="83" t="n"/>
      <c r="DM54" s="87" t="n"/>
    </row>
    <row r="55" ht="15" customHeight="1" thickBot="1">
      <c r="B55" s="14" t="n"/>
      <c r="C55" s="237" t="inlineStr">
        <is>
          <t>Schedule File Name</t>
        </is>
      </c>
      <c r="D55" s="134" t="n"/>
      <c r="E55" s="176" t="n"/>
      <c r="F55" s="177" t="n"/>
      <c r="G55" s="177" t="n"/>
      <c r="H55" s="177" t="n"/>
      <c r="I55" s="177" t="n"/>
      <c r="J55" s="177" t="n"/>
      <c r="K55" s="177" t="n"/>
      <c r="L55" s="177" t="n"/>
      <c r="M55" s="177" t="n"/>
      <c r="N55" s="177" t="n"/>
      <c r="O55" s="177" t="n"/>
      <c r="P55" s="177" t="n"/>
      <c r="Q55" s="177" t="n"/>
      <c r="R55" s="177" t="n"/>
      <c r="S55" s="177" t="n"/>
      <c r="T55" s="177" t="n"/>
      <c r="U55" s="177" t="n"/>
      <c r="V55" s="177" t="n"/>
      <c r="W55" s="177" t="n"/>
      <c r="X55" s="177" t="n"/>
      <c r="Y55" s="177" t="n"/>
      <c r="Z55" s="177" t="n"/>
      <c r="AA55" s="177" t="n"/>
      <c r="AB55" s="178" t="n"/>
      <c r="AC55" s="14" t="n"/>
      <c r="AD55" s="14" t="n"/>
      <c r="AE55" s="14" t="n"/>
      <c r="AF55" s="128" t="n"/>
      <c r="AG55" s="215" t="inlineStr"/>
      <c r="AH55" s="170" t="n"/>
      <c r="AI55" s="170" t="n"/>
      <c r="AJ55" s="170" t="n"/>
      <c r="AK55" s="171" t="n"/>
      <c r="AL55" s="139">
        <f>Z55</f>
        <v/>
      </c>
      <c r="AM55" s="64" t="n"/>
      <c r="AN55" s="65" t="n"/>
      <c r="AO55" s="65" t="n"/>
      <c r="AP55" s="65" t="n"/>
      <c r="AQ55" s="65" t="n"/>
      <c r="AR55" s="65" t="n"/>
      <c r="AS55" s="65" t="n"/>
      <c r="AT55" s="65" t="n"/>
      <c r="AU55" s="65" t="n"/>
      <c r="AV55" s="65" t="n"/>
      <c r="AW55" s="65" t="n"/>
      <c r="AX55" s="65" t="n"/>
      <c r="AY55" s="65" t="n"/>
      <c r="AZ55" s="65" t="n"/>
      <c r="BA55" s="65" t="n"/>
      <c r="BB55" s="65" t="n"/>
      <c r="BC55" s="65" t="n"/>
      <c r="BD55" s="65" t="n"/>
      <c r="BE55" s="65" t="n"/>
      <c r="BF55" s="65" t="n"/>
      <c r="BG55" s="65" t="n"/>
      <c r="BH55" s="65" t="n"/>
      <c r="BI55" s="65" t="n"/>
      <c r="BJ55" s="65" t="n"/>
      <c r="BK55" s="65" t="n"/>
      <c r="BL55" s="65" t="n"/>
      <c r="BM55" s="65" t="n"/>
      <c r="BN55" s="65" t="n"/>
      <c r="BO55" s="65" t="n"/>
      <c r="BP55" s="65" t="n"/>
      <c r="BQ55" s="65" t="n"/>
      <c r="BR55" s="65" t="n"/>
      <c r="BS55" s="65" t="n"/>
      <c r="BT55" s="65" t="n"/>
      <c r="BU55" s="65" t="n"/>
      <c r="BV55" s="65" t="n"/>
      <c r="BW55" s="65" t="n"/>
      <c r="BX55" s="65" t="n"/>
      <c r="BY55" s="65" t="n"/>
      <c r="BZ55" s="65" t="n"/>
      <c r="CA55" s="65" t="n"/>
      <c r="CB55" s="65" t="n"/>
      <c r="CC55" s="65" t="n"/>
      <c r="CD55" s="65" t="n"/>
      <c r="CE55" s="65" t="n"/>
      <c r="CF55" s="65" t="n"/>
      <c r="CG55" s="65" t="n"/>
      <c r="CH55" s="65" t="n"/>
      <c r="CI55" s="65" t="n"/>
      <c r="CJ55" s="65" t="n"/>
      <c r="CK55" s="65" t="n"/>
      <c r="CL55" s="65" t="n"/>
      <c r="CM55" s="65" t="n"/>
      <c r="CN55" s="65" t="n"/>
      <c r="CO55" s="65" t="n"/>
      <c r="CP55" s="65" t="n"/>
      <c r="CQ55" s="65" t="n"/>
      <c r="CR55" s="65" t="n"/>
      <c r="CS55" s="65" t="n"/>
      <c r="CT55" s="65" t="n"/>
      <c r="CU55" s="68" t="n"/>
      <c r="CV55" s="87" t="n"/>
      <c r="CW55" s="87" t="n"/>
      <c r="CX55" s="84" t="n"/>
      <c r="CY55" s="85" t="n"/>
      <c r="CZ55" s="85" t="n"/>
      <c r="DA55" s="85" t="n"/>
      <c r="DB55" s="85" t="n"/>
      <c r="DC55" s="85" t="n"/>
      <c r="DD55" s="85" t="n"/>
      <c r="DE55" s="85" t="n"/>
      <c r="DF55" s="85" t="n"/>
      <c r="DG55" s="120" t="n"/>
      <c r="DH55" s="120">
        <f>IF(OR(AND(U55&gt;0,TODAY()&gt;=AB55,Z55&lt;80%,NOT(ISBLANK(AB55))),AND(Z55&lt;&gt;1,U55&gt;0,$V55&lt;TODAY(),ISBLANK($Y55))),1,0)</f>
        <v/>
      </c>
      <c r="DI55" s="82" t="n"/>
      <c r="DJ55" s="93" t="n"/>
      <c r="DK55" s="85" t="n"/>
      <c r="DL55" s="86" t="n"/>
      <c r="DM55" s="87" t="n"/>
    </row>
    <row r="56">
      <c r="B56" s="14" t="n"/>
      <c r="C56" s="422">
        <f>IF(D7="Sales","Sales_","SWESch_")&amp;SUBSTITUTE(D2,"/","_")&amp;"_"&amp;D14 &amp; ".xlsx"</f>
        <v/>
      </c>
      <c r="D56" s="40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220" t="n"/>
    </row>
    <row r="57">
      <c r="B57" s="222" t="n"/>
      <c r="C57" s="223" t="n"/>
      <c r="D57" s="223" t="n"/>
      <c r="E57" s="223" t="n"/>
      <c r="F57" s="223" t="n"/>
      <c r="G57" s="223" t="n"/>
      <c r="H57" s="223" t="n"/>
      <c r="I57" s="223" t="n"/>
      <c r="J57" s="223" t="n"/>
      <c r="K57" s="223" t="n"/>
      <c r="L57" s="223" t="n"/>
      <c r="M57" s="223" t="n"/>
      <c r="N57" s="223" t="n"/>
      <c r="O57" s="223" t="n"/>
      <c r="P57" s="223" t="n"/>
      <c r="Q57" s="223" t="n"/>
      <c r="R57" s="223" t="n"/>
      <c r="S57" s="223" t="n"/>
      <c r="T57" s="223" t="n"/>
      <c r="U57" s="223" t="n"/>
      <c r="V57" s="223" t="n"/>
      <c r="W57" s="223" t="n"/>
      <c r="X57" s="223" t="n"/>
      <c r="Y57" s="223" t="n"/>
      <c r="Z57" s="223" t="n"/>
      <c r="AA57" s="223" t="n"/>
      <c r="AB57" s="223" t="n"/>
      <c r="AC57" s="223" t="n"/>
      <c r="AD57" s="223" t="n"/>
      <c r="AE57" s="223" t="n"/>
      <c r="AF57" s="223" t="n"/>
      <c r="AG57" s="223" t="n"/>
      <c r="AH57" s="223" t="n"/>
      <c r="AI57" s="223" t="n"/>
      <c r="AJ57" s="223" t="n"/>
      <c r="AK57" s="223" t="n"/>
      <c r="AL57" s="221" t="n"/>
    </row>
  </sheetData>
  <sheetProtection selectLockedCells="0" selectUnlockedCells="0" algorithmName="SHA-512" sheet="1" objects="1" insertRows="1" insertHyperlinks="1" autoFilter="0" scenarios="1" formatColumns="1" deleteColumns="1" insertColumns="1" pivotTables="1" deleteRows="1" formatCells="1" saltValue="VgZ6z9dgz2LEXWKKhIijPQ==" formatRows="1" sort="1" spinCount="100000" hashValue="mCJkGw27tTSqmztbdd6xh3IlB5L7t7klUnYU2y7O4r8Vn6pQnP1/NL8OOX/pEqou12fqy5op4uBudIcxEbeyyw=="/>
  <autoFilter ref="A8:CX56"/>
  <mergeCells count="22">
    <mergeCell ref="AX2:BF2"/>
    <mergeCell ref="CI2:CK2"/>
    <mergeCell ref="BM3:BT3"/>
    <mergeCell ref="BU3:BY3"/>
    <mergeCell ref="AM3:AS3"/>
    <mergeCell ref="BU2:BY2"/>
    <mergeCell ref="CO1:CS1"/>
    <mergeCell ref="BG2:BI2"/>
    <mergeCell ref="BM2:BT2"/>
    <mergeCell ref="AM2:AS2"/>
    <mergeCell ref="CA2:CH2"/>
    <mergeCell ref="C56:D56"/>
    <mergeCell ref="S6:S7"/>
    <mergeCell ref="AX3:BF3"/>
    <mergeCell ref="AT2:AV2"/>
    <mergeCell ref="T6:T7"/>
    <mergeCell ref="CY2:DC2"/>
    <mergeCell ref="BG3:BI3"/>
    <mergeCell ref="AT3:AV3"/>
    <mergeCell ref="CO3:CS3"/>
    <mergeCell ref="U6:U7"/>
    <mergeCell ref="CO2:CS2"/>
  </mergeCells>
  <conditionalFormatting sqref="B16:B21 B22:D26 C18:D21">
    <cfRule type="expression" priority="18" dxfId="18">
      <formula>$D$7="Sales"</formula>
    </cfRule>
  </conditionalFormatting>
  <conditionalFormatting sqref="B36:B43">
    <cfRule type="expression" priority="1" dxfId="18">
      <formula>$D$7="Sales"</formula>
    </cfRule>
  </conditionalFormatting>
  <conditionalFormatting sqref="B35:C35">
    <cfRule type="expression" priority="48" dxfId="18">
      <formula>$D$7="Sales"</formula>
    </cfRule>
  </conditionalFormatting>
  <conditionalFormatting sqref="B45:C46">
    <cfRule type="expression" priority="118" dxfId="18">
      <formula>$D$7="Sales"</formula>
    </cfRule>
  </conditionalFormatting>
  <conditionalFormatting sqref="B53:C54">
    <cfRule type="expression" priority="65" dxfId="18">
      <formula>$D$7="Sales"</formula>
    </cfRule>
  </conditionalFormatting>
  <conditionalFormatting sqref="B57:AL57">
    <cfRule type="expression" priority="43" dxfId="18">
      <formula>$D$7="Sales"</formula>
    </cfRule>
  </conditionalFormatting>
  <conditionalFormatting sqref="C3">
    <cfRule type="expression" priority="4" dxfId="37">
      <formula>$D$7="Sales"</formula>
    </cfRule>
  </conditionalFormatting>
  <conditionalFormatting sqref="C28:C33">
    <cfRule type="expression" priority="109" dxfId="29">
      <formula>$C28&lt;$D28</formula>
    </cfRule>
  </conditionalFormatting>
  <conditionalFormatting sqref="C2:D2">
    <cfRule type="expression" priority="156" dxfId="37">
      <formula>$D$7="Sales"</formula>
    </cfRule>
  </conditionalFormatting>
  <conditionalFormatting sqref="D3">
    <cfRule type="expression" priority="3" dxfId="29">
      <formula>$E3&gt;0</formula>
    </cfRule>
  </conditionalFormatting>
  <conditionalFormatting sqref="D9">
    <cfRule type="expression" priority="17" dxfId="35">
      <formula>ISTEXT($D$9)</formula>
    </cfRule>
  </conditionalFormatting>
  <conditionalFormatting sqref="D17">
    <cfRule type="expression" priority="10" dxfId="29">
      <formula>$D$20&gt;=NS_SW</formula>
    </cfRule>
    <cfRule type="expression" priority="11" dxfId="24">
      <formula>NOT(ISNUMBER($D17))</formula>
    </cfRule>
  </conditionalFormatting>
  <conditionalFormatting sqref="D28:D33">
    <cfRule type="expression" priority="85" dxfId="29">
      <formula>$D28&lt;$C28</formula>
    </cfRule>
  </conditionalFormatting>
  <conditionalFormatting sqref="E9:E30">
    <cfRule type="expression" priority="5" dxfId="29">
      <formula>$E9&gt;0</formula>
    </cfRule>
  </conditionalFormatting>
  <conditionalFormatting sqref="E56:AL56">
    <cfRule type="expression" priority="40" dxfId="18">
      <formula>$D$7="Sales"</formula>
    </cfRule>
  </conditionalFormatting>
  <conditionalFormatting sqref="S9:S30">
    <cfRule type="expression" priority="6" dxfId="29">
      <formula>$S9&lt;&gt;$R9</formula>
    </cfRule>
  </conditionalFormatting>
  <conditionalFormatting sqref="T9:T11 T13 T18:T24">
    <cfRule type="expression" priority="265" dxfId="22">
      <formula>$T9=$H9</formula>
    </cfRule>
  </conditionalFormatting>
  <conditionalFormatting sqref="T15">
    <cfRule type="expression" priority="244" dxfId="22">
      <formula>$T15=$H15</formula>
    </cfRule>
  </conditionalFormatting>
  <conditionalFormatting sqref="T26:T30">
    <cfRule type="expression" priority="263" dxfId="22">
      <formula>$T26=$H26</formula>
    </cfRule>
  </conditionalFormatting>
  <conditionalFormatting sqref="U9:U30">
    <cfRule type="expression" priority="32" dxfId="25">
      <formula>$T9=$H9</formula>
    </cfRule>
  </conditionalFormatting>
  <conditionalFormatting sqref="V11">
    <cfRule type="expression" priority="2" dxfId="24">
      <formula>AND($V$11&lt;&gt;"",$V$11&lt;=$V$10)</formula>
    </cfRule>
  </conditionalFormatting>
  <conditionalFormatting sqref="X9:X30">
    <cfRule type="expression" priority="258" dxfId="22">
      <formula>X9&gt;V9</formula>
    </cfRule>
  </conditionalFormatting>
  <conditionalFormatting sqref="Y9:Y30">
    <cfRule type="expression" priority="281" dxfId="22">
      <formula>Y9&gt;#REF!</formula>
    </cfRule>
  </conditionalFormatting>
  <conditionalFormatting sqref="Z9:Z30">
    <cfRule type="expression" priority="154" dxfId="21" stopIfTrue="1">
      <formula>$Z9&gt;=100%</formula>
    </cfRule>
    <cfRule type="expression" priority="100" dxfId="20">
      <formula>ISBLANK($Z9)</formula>
    </cfRule>
    <cfRule type="expression" priority="147" dxfId="19">
      <formula>IF($DC9&gt;0,1,0)</formula>
    </cfRule>
  </conditionalFormatting>
  <conditionalFormatting sqref="AB1:AB4">
    <cfRule type="expression" priority="12" dxfId="18">
      <formula>$D$7="Sales"</formula>
    </cfRule>
  </conditionalFormatting>
  <conditionalFormatting sqref="AB9:AB30">
    <cfRule type="expression" priority="271" dxfId="17">
      <formula>$DH9=1</formula>
    </cfRule>
  </conditionalFormatting>
  <conditionalFormatting sqref="AD9:AD30">
    <cfRule type="expression" priority="27" dxfId="16">
      <formula>AD9="Purchase"</formula>
    </cfRule>
    <cfRule type="expression" priority="26" dxfId="15">
      <formula>AD9="Software"</formula>
    </cfRule>
    <cfRule type="expression" priority="25" dxfId="14">
      <formula>AD9="Project Management"</formula>
    </cfRule>
    <cfRule type="expression" priority="15" dxfId="13">
      <formula>AD9="Manufacturing"</formula>
    </cfRule>
    <cfRule type="expression" priority="14" dxfId="12">
      <formula>$Z9=1</formula>
    </cfRule>
    <cfRule type="expression" priority="30" dxfId="11">
      <formula>AD9="Client"</formula>
    </cfRule>
    <cfRule type="expression" priority="29" dxfId="10">
      <formula>AD9="Sales"</formula>
    </cfRule>
    <cfRule type="expression" priority="28" dxfId="9">
      <formula>AD9="Engineering"</formula>
    </cfRule>
  </conditionalFormatting>
  <conditionalFormatting sqref="AE1:AE4">
    <cfRule type="expression" priority="252" dxfId="8">
      <formula>AE1="Y"</formula>
    </cfRule>
  </conditionalFormatting>
  <conditionalFormatting sqref="AI37">
    <cfRule type="expression" priority="58" dxfId="7">
      <formula>$AI37="s"</formula>
    </cfRule>
    <cfRule type="expression" priority="59" dxfId="6">
      <formula>$AI37="a"</formula>
    </cfRule>
  </conditionalFormatting>
  <conditionalFormatting sqref="AL7:AL55">
    <cfRule type="expression" priority="104" dxfId="5">
      <formula>IF($CI$2="Yes",1,0)</formula>
    </cfRule>
  </conditionalFormatting>
  <conditionalFormatting sqref="AM6:CU6">
    <cfRule type="expression" priority="107" dxfId="4">
      <formula>AM$4=1</formula>
    </cfRule>
  </conditionalFormatting>
  <conditionalFormatting sqref="AM9:CU55">
    <cfRule type="expression" priority="98" dxfId="3">
      <formula>IFERROR(IF(OR($AT$3=2,$AT$3=3,$AT$3=7),IF(OR(AND(AM$7&lt;=$X9,$Y9&lt;=AM$7+$AT$3),AND(AND(AM$7&lt;=$X9,$Y9&lt;=AM$7+$AT$3),AND($W9&gt;=$X9,$Y9&gt;=AM$7+$AT$3)),AND(AM$7&gt;$X9,OR($Y9&gt;=AM$7,$Y9&gt;AM$7+$AT$3))),1,""),IF(AND($X9&lt;=AM$7,AM$7&lt;=$Y9),1,"")),"")</formula>
    </cfRule>
    <cfRule type="expression" priority="105" dxfId="2">
      <formula>IFERROR(IF(OR($AT$3=2,$AT$3=3,$AT$3=7),IF(OR(AND(AM$7&lt;=$V9,$W9&lt;=AM$7+$AT$3),AND(AND(AM$7&lt;=$V9,$W9&lt;=AM$7+$AT$3),AND($W9&gt;=$V9,$W9&gt;=AM$7+$AT$3)),AND(AM$7&gt;$V9,OR($W9&gt;=AM$7,$W9&gt;AM$7+$AT$3))),1,""),IF(AND($V9&lt;=AM$7,AM$7&lt;=$W9),1,"")),"")</formula>
    </cfRule>
    <cfRule type="expression" priority="106" dxfId="1">
      <formula>AM$7=TODAY()</formula>
    </cfRule>
    <cfRule type="expression" priority="250" dxfId="0">
      <formula>AM$4=1</formula>
    </cfRule>
  </conditionalFormatting>
  <dataValidations count="17">
    <dataValidation sqref="B1" showDropDown="0" showInputMessage="1" showErrorMessage="1" allowBlank="1" promptTitle="May I Help you!!" prompt="&gt;Fill fields marked with '*'_x000a_&gt;Enter dates for 'Dispatch'_x000a_&gt;Enter other dates same or earlier than critical path dates"/>
    <dataValidation sqref="B2" showDropDown="0" showInputMessage="1" showErrorMessage="1" allowBlank="1" promptTitle="Please do take care of.." prompt="&gt;PM dates are critical path dates_x000a_&gt;All RED customer dates and Lead times should be pre-approved_x000a_&gt;Ref Lead times are for 'guidance' only_x000a_&gt;Validate all blue &amp; green entry fields"/>
    <dataValidation sqref="AG9:AK9" showDropDown="0" showInputMessage="1" showErrorMessage="1" allowBlank="1" type="list">
      <formula1>"Y,N"</formula1>
    </dataValidation>
    <dataValidation sqref="AF1" showDropDown="0" showInputMessage="1" showErrorMessage="1" allowBlank="1" errorTitle="Invalid Date or format" error="The LD date can not be less than or equal to start date. Please enter date in proper format DD-MMM-YY." type="date" operator="greaterThan">
      <formula1>W2</formula1>
    </dataValidation>
    <dataValidation sqref="AF2" showDropDown="0" showInputMessage="1" showErrorMessage="1" allowBlank="1" errorTitle="Percentage entry field" error="Please enter the percentage between 0% to 100% as per PO mentioned LD terms." type="decimal">
      <formula1>0</formula1>
      <formula2>1</formula2>
    </dataValidation>
    <dataValidation sqref="AF3" showDropDown="0" showInputMessage="1" showErrorMessage="1" allowBlank="1" errorTitle="Percentage entry field" error="Please enter the percentage between 0% to 45% as per PO mentioned LD terms." type="decimal">
      <formula1>0</formula1>
      <formula2>0.45</formula2>
    </dataValidation>
    <dataValidation sqref="Z9:Z30" showDropDown="0" showInputMessage="1" showErrorMessage="1" allowBlank="1" errorTitle="% Completion" error="Please enter the percentage between 0% to 100%." type="decimal">
      <formula1>0</formula1>
      <formula2>1</formula2>
    </dataValidation>
    <dataValidation sqref="BG2:BG3" showDropDown="0" showInputMessage="1" showErrorMessage="1" allowBlank="1" type="list">
      <formula1>"Sat,Sun"</formula1>
    </dataValidation>
    <dataValidation sqref="AT2:AV2" showDropDown="0" showInputMessage="1" showErrorMessage="1" allowBlank="1" type="list">
      <formula1>"Day,2Day,3Day,Week"</formula1>
    </dataValidation>
    <dataValidation sqref="BU3:BY3" showDropDown="0" showInputMessage="1" showErrorMessage="1" allowBlank="1" type="list">
      <formula1>"FirstMonth,SecondMonth"</formula1>
    </dataValidation>
    <dataValidation sqref="CI2:CK2" showDropDown="0" showInputMessage="1" showErrorMessage="1" allowBlank="1" type="list">
      <formula1>"Yes,No"</formula1>
    </dataValidation>
    <dataValidation sqref="X9:Y30" showDropDown="0" showInputMessage="1" showErrorMessage="1" allowBlank="1" errorTitle="Invalid Date or format" error="The LD date can not be less than or equal to start date. Please enter date in proper format DD-MMM-YY." operator="greaterThan"/>
    <dataValidation sqref="C33" showDropDown="0" showInputMessage="1" showErrorMessage="1" allowBlank="1" errorTitle="Invalid Date or format" error="The LD date can not be less than or equal to start date. Please enter date in proper format DD-MMM-YY." type="date" operator="greaterThan">
      <formula1>XEX29</formula1>
    </dataValidation>
    <dataValidation sqref="D17" showDropDown="0" showInputMessage="1" showErrorMessage="1" allowBlank="1" errorTitle="Invalid Entry" error="Enter efforts in numbers only!!" type="custom">
      <formula1>ISNUMBER(D17)</formula1>
    </dataValidation>
    <dataValidation sqref="C28:C32" showDropDown="0" showInputMessage="1" showErrorMessage="1" allowBlank="1" errorTitle="Invalid Date or format" error="The LD date can not be less than or equal to start date. Please enter date in proper format DD-MMM-YY." type="date" operator="greaterThan">
      <formula1>XEX25</formula1>
    </dataValidation>
    <dataValidation sqref="D9" showDropDown="0" showInputMessage="1" showErrorMessage="1" allowBlank="1" errorTitle="Value Entries" error="The entry accepts only numbers and no letters/special characters. Please enter only numbers." type="decimal">
      <formula1>0</formula1>
      <formula2>10000</formula2>
    </dataValidation>
    <dataValidation sqref="AD9:AD30" showDropDown="0" showInputMessage="1" showErrorMessage="1" allowBlank="1" errorTitle="Invalid Date or format" error="The LD date can not be less than or equal to start date. Please enter date in proper format DD-MMM-YY." type="list" operator="greaterThan">
      <formula1>"Engineering,Purchase,Software,Project Management,Manufacturing,Sales,Client"</formula1>
    </dataValidation>
  </dataValidations>
  <printOptions horizontalCentered="1"/>
  <pageMargins left="0.2362204724409449" right="0.2362204724409449" top="0.7480314960629921" bottom="0.7480314960629921" header="0.3149606299212598" footer="0.3149606299212598"/>
  <pageSetup orientation="landscape" paperSize="8" scale="96" fitToWidth="0"/>
  <headerFooter>
    <oddHeader>&amp;C&amp;"-,Bold"&amp;18 &amp;E&amp;K09+000Project Schedule&amp;R&amp;"Times New Roman,Bold"&amp;12 &amp;U&amp;K09+000&amp;F</oddHeader>
    <oddFooter>&amp;L&amp;"-,Bold" Confidential&amp;C&amp;D &lt;&lt;|&gt;&gt; &amp;T</oddFooter>
    <evenHeader/>
    <evenFooter/>
    <firstHeader/>
    <firstFooter/>
  </headerFooter>
  <colBreaks count="2" manualBreakCount="2">
    <brk id="28" min="5" max="54" man="1"/>
    <brk id="37" min="5" max="54" man="1"/>
  </colBreaks>
  <legacyDrawing xmlns:r="http://schemas.openxmlformats.org/officeDocument/2006/relationships" r:id="anysvml"/>
</worksheet>
</file>

<file path=xl/worksheets/sheet4.xml><?xml version="1.0" encoding="utf-8"?>
<worksheet xmlns="http://schemas.openxmlformats.org/spreadsheetml/2006/main">
  <sheetPr codeName="Sheet5">
    <outlinePr summaryBelow="1" summaryRight="1"/>
    <pageSetUpPr/>
  </sheetPr>
  <dimension ref="A1:I57"/>
  <sheetViews>
    <sheetView workbookViewId="0">
      <selection activeCell="A11" sqref="A11"/>
    </sheetView>
  </sheetViews>
  <sheetFormatPr baseColWidth="8" defaultColWidth="0.88671875" defaultRowHeight="4.95" customHeight="1"/>
  <cols>
    <col width="2.6640625" customWidth="1" min="1" max="1"/>
    <col width="12.6640625" customWidth="1" min="2" max="2"/>
    <col width="6.6640625" customWidth="1" min="3" max="3"/>
    <col width="45.6640625" customWidth="1" min="4" max="4"/>
    <col width="55.6640625" customWidth="1" min="5" max="5"/>
    <col width="6.6640625" customWidth="1" min="6" max="6"/>
    <col width="10.6640625" bestFit="1" customWidth="1" min="7" max="8"/>
    <col width="2.6640625" customWidth="1" min="9" max="9"/>
    <col width="0.88671875" customWidth="1" min="10" max="17"/>
  </cols>
  <sheetData>
    <row r="1" ht="6" customHeight="1">
      <c r="A1" s="261" t="n"/>
      <c r="B1" s="262" t="n"/>
      <c r="C1" s="262" t="n"/>
      <c r="D1" s="262" t="n"/>
      <c r="E1" s="262" t="n"/>
      <c r="F1" s="262" t="n"/>
      <c r="G1" s="262" t="n"/>
      <c r="H1" s="262" t="n"/>
      <c r="I1" s="263" t="n"/>
    </row>
    <row r="2" ht="6" customHeight="1">
      <c r="A2" s="264" t="n"/>
      <c r="B2" s="14" t="n"/>
      <c r="C2" s="14" t="n"/>
      <c r="D2" s="14" t="n"/>
      <c r="E2" s="14" t="n"/>
      <c r="F2" s="14" t="n"/>
      <c r="G2" s="14" t="n"/>
      <c r="H2" s="14" t="n"/>
      <c r="I2" s="226" t="n"/>
    </row>
    <row r="3" ht="15" customHeight="1">
      <c r="A3" s="271" t="inlineStr">
        <is>
          <t>Amendment Index</t>
        </is>
      </c>
      <c r="B3" s="268" t="n"/>
      <c r="C3" s="268" t="n"/>
      <c r="D3" s="269" t="n"/>
      <c r="E3" s="268" t="n"/>
      <c r="F3" s="268" t="n"/>
      <c r="G3" s="268" t="n"/>
      <c r="H3" s="268" t="n"/>
      <c r="I3" s="270" t="n"/>
    </row>
    <row r="4" ht="6" customHeight="1">
      <c r="A4" s="264" t="n"/>
      <c r="B4" s="14" t="n"/>
      <c r="C4" s="14" t="n"/>
      <c r="D4" s="14" t="n"/>
      <c r="E4" s="14" t="n"/>
      <c r="F4" s="14" t="n"/>
      <c r="G4" s="14" t="n"/>
      <c r="H4" s="14" t="n"/>
      <c r="I4" s="226" t="n"/>
    </row>
    <row r="5" ht="6" customHeight="1">
      <c r="A5" s="264" t="n"/>
      <c r="B5" s="14" t="n"/>
      <c r="C5" s="14" t="n"/>
      <c r="D5" s="14" t="n"/>
      <c r="E5" s="14" t="n"/>
      <c r="F5" s="14" t="n"/>
      <c r="G5" s="14" t="n"/>
      <c r="H5" s="14" t="n"/>
      <c r="I5" s="226" t="n"/>
    </row>
    <row r="6" ht="15" customHeight="1">
      <c r="A6" s="264" t="n"/>
      <c r="B6" s="71" t="n"/>
      <c r="C6" s="272" t="inlineStr">
        <is>
          <t>Sales OR</t>
        </is>
      </c>
      <c r="D6" s="273">
        <f>PrjSch!D1</f>
        <v/>
      </c>
      <c r="E6" s="14" t="n"/>
      <c r="F6" s="14" t="n"/>
      <c r="G6" s="14" t="n"/>
      <c r="H6" s="14" t="n"/>
      <c r="I6" s="226" t="n"/>
    </row>
    <row r="7" ht="15" customHeight="1">
      <c r="A7" s="264" t="n"/>
      <c r="B7" s="71" t="n"/>
      <c r="C7" s="272" t="inlineStr">
        <is>
          <t>Section</t>
        </is>
      </c>
      <c r="D7" s="273">
        <f>PrjSch!D13</f>
        <v/>
      </c>
      <c r="E7" s="14" t="n"/>
      <c r="F7" s="14" t="n"/>
      <c r="G7" s="14" t="n"/>
      <c r="H7" s="14" t="n"/>
      <c r="I7" s="226" t="n"/>
    </row>
    <row r="8" ht="15" customHeight="1">
      <c r="A8" s="264" t="n"/>
      <c r="B8" s="71" t="n"/>
      <c r="C8" s="272" t="inlineStr">
        <is>
          <t>Customer Name</t>
        </is>
      </c>
      <c r="D8" s="273">
        <f>PrjSch!D9</f>
        <v/>
      </c>
      <c r="E8" s="14" t="n"/>
      <c r="F8" s="14" t="n"/>
      <c r="G8" s="14" t="n"/>
      <c r="H8" s="14" t="n"/>
      <c r="I8" s="226" t="n"/>
    </row>
    <row r="9" ht="15" customHeight="1">
      <c r="A9" s="264" t="n"/>
      <c r="B9" s="14" t="n"/>
      <c r="C9" s="14" t="n"/>
      <c r="D9" s="14" t="n"/>
      <c r="E9" s="14" t="n"/>
      <c r="F9" s="253">
        <f>SUM(F11:F30)</f>
        <v/>
      </c>
      <c r="G9" s="14" t="n"/>
      <c r="H9" s="14" t="n"/>
      <c r="I9" s="226" t="n"/>
    </row>
    <row r="10" ht="14.4" customHeight="1">
      <c r="A10" s="264" t="n"/>
      <c r="B10" s="252" t="inlineStr">
        <is>
          <t>Dwg No</t>
        </is>
      </c>
      <c r="C10" s="252" t="inlineStr">
        <is>
          <t>Rev</t>
        </is>
      </c>
      <c r="D10" s="252" t="inlineStr">
        <is>
          <t>Amendment Description</t>
        </is>
      </c>
      <c r="E10" s="252" t="inlineStr">
        <is>
          <t>Mfg Efforts Description</t>
        </is>
      </c>
      <c r="F10" s="252" t="inlineStr">
        <is>
          <t>Hours</t>
        </is>
      </c>
      <c r="G10" s="252" t="inlineStr">
        <is>
          <t>Date Raised</t>
        </is>
      </c>
      <c r="H10" s="252" t="inlineStr">
        <is>
          <t>Date Closed</t>
        </is>
      </c>
      <c r="I10" s="226" t="n"/>
    </row>
    <row r="11" ht="34.95" customHeight="1">
      <c r="A11" s="264" t="n"/>
      <c r="B11" s="255" t="n"/>
      <c r="C11" s="256" t="n"/>
      <c r="D11" s="259" t="n"/>
      <c r="E11" s="260" t="n"/>
      <c r="F11" s="257" t="n"/>
      <c r="G11" s="258" t="n"/>
      <c r="H11" s="258" t="n"/>
      <c r="I11" s="226" t="n"/>
    </row>
    <row r="12" ht="34.95" customHeight="1">
      <c r="A12" s="264" t="n"/>
      <c r="B12" s="255" t="n"/>
      <c r="C12" s="256" t="n"/>
      <c r="D12" s="259" t="n"/>
      <c r="E12" s="260" t="n"/>
      <c r="F12" s="257" t="n"/>
      <c r="G12" s="258" t="n"/>
      <c r="H12" s="258" t="n"/>
      <c r="I12" s="226" t="n"/>
    </row>
    <row r="13" ht="34.95" customHeight="1">
      <c r="A13" s="264" t="n"/>
      <c r="B13" s="255" t="n"/>
      <c r="C13" s="256" t="n"/>
      <c r="D13" s="259" t="n"/>
      <c r="E13" s="260" t="n"/>
      <c r="F13" s="257" t="n"/>
      <c r="G13" s="258" t="n"/>
      <c r="H13" s="258" t="n"/>
      <c r="I13" s="226" t="n"/>
    </row>
    <row r="14" ht="34.95" customHeight="1">
      <c r="A14" s="264" t="n"/>
      <c r="B14" s="255" t="n"/>
      <c r="C14" s="256" t="n"/>
      <c r="D14" s="259" t="n"/>
      <c r="E14" s="260" t="n"/>
      <c r="F14" s="257" t="n"/>
      <c r="G14" s="258" t="n"/>
      <c r="H14" s="258" t="n"/>
      <c r="I14" s="226" t="n"/>
    </row>
    <row r="15" ht="34.95" customHeight="1">
      <c r="A15" s="264" t="n"/>
      <c r="B15" s="255" t="n"/>
      <c r="C15" s="256" t="n"/>
      <c r="D15" s="259" t="n"/>
      <c r="E15" s="260" t="n"/>
      <c r="F15" s="257" t="n"/>
      <c r="G15" s="258" t="n"/>
      <c r="H15" s="258" t="n"/>
      <c r="I15" s="226" t="n"/>
    </row>
    <row r="16" ht="34.95" customHeight="1">
      <c r="A16" s="264" t="n"/>
      <c r="B16" s="255" t="n"/>
      <c r="C16" s="256" t="n"/>
      <c r="D16" s="259" t="n"/>
      <c r="E16" s="260" t="n"/>
      <c r="F16" s="257" t="n"/>
      <c r="G16" s="258" t="n"/>
      <c r="H16" s="258" t="n"/>
      <c r="I16" s="226" t="n"/>
    </row>
    <row r="17" ht="34.95" customHeight="1">
      <c r="A17" s="264" t="n"/>
      <c r="B17" s="255" t="n"/>
      <c r="C17" s="256" t="n"/>
      <c r="D17" s="259" t="n"/>
      <c r="E17" s="260" t="n"/>
      <c r="F17" s="257" t="n"/>
      <c r="G17" s="258" t="n"/>
      <c r="H17" s="258" t="n"/>
      <c r="I17" s="226" t="n"/>
    </row>
    <row r="18" ht="34.95" customHeight="1">
      <c r="A18" s="264" t="n"/>
      <c r="B18" s="255" t="n"/>
      <c r="C18" s="256" t="n"/>
      <c r="D18" s="259" t="n"/>
      <c r="E18" s="260" t="n"/>
      <c r="F18" s="257" t="n"/>
      <c r="G18" s="258" t="n"/>
      <c r="H18" s="258" t="n"/>
      <c r="I18" s="226" t="n"/>
    </row>
    <row r="19" ht="34.95" customHeight="1">
      <c r="A19" s="264" t="n"/>
      <c r="B19" s="255" t="n"/>
      <c r="C19" s="256" t="n"/>
      <c r="D19" s="259" t="n"/>
      <c r="E19" s="260" t="n"/>
      <c r="F19" s="257" t="n"/>
      <c r="G19" s="258" t="n"/>
      <c r="H19" s="258" t="n"/>
      <c r="I19" s="226" t="n"/>
    </row>
    <row r="20" ht="34.95" customHeight="1">
      <c r="A20" s="264" t="n"/>
      <c r="B20" s="255" t="n"/>
      <c r="C20" s="256" t="n"/>
      <c r="D20" s="259" t="n"/>
      <c r="E20" s="260" t="n"/>
      <c r="F20" s="257" t="n"/>
      <c r="G20" s="258" t="n"/>
      <c r="H20" s="258" t="n"/>
      <c r="I20" s="226" t="n"/>
    </row>
    <row r="21" ht="34.95" customHeight="1">
      <c r="A21" s="264" t="n"/>
      <c r="B21" s="255" t="n"/>
      <c r="C21" s="256" t="n"/>
      <c r="D21" s="259" t="n"/>
      <c r="E21" s="260" t="n"/>
      <c r="F21" s="257" t="n"/>
      <c r="G21" s="258" t="n"/>
      <c r="H21" s="258" t="n"/>
      <c r="I21" s="226" t="n"/>
    </row>
    <row r="22" ht="34.95" customHeight="1">
      <c r="A22" s="264" t="n"/>
      <c r="B22" s="255" t="n"/>
      <c r="C22" s="256" t="n"/>
      <c r="D22" s="259" t="n"/>
      <c r="E22" s="260" t="n"/>
      <c r="F22" s="257" t="n"/>
      <c r="G22" s="258" t="n"/>
      <c r="H22" s="258" t="n"/>
      <c r="I22" s="226" t="n"/>
    </row>
    <row r="23" ht="34.95" customHeight="1">
      <c r="A23" s="264" t="n"/>
      <c r="B23" s="255" t="n"/>
      <c r="C23" s="256" t="n"/>
      <c r="D23" s="259" t="n"/>
      <c r="E23" s="260" t="n"/>
      <c r="F23" s="257" t="n"/>
      <c r="G23" s="258" t="n"/>
      <c r="H23" s="258" t="n"/>
      <c r="I23" s="226" t="n"/>
    </row>
    <row r="24" ht="34.95" customHeight="1">
      <c r="A24" s="264" t="n"/>
      <c r="B24" s="255" t="n"/>
      <c r="C24" s="256" t="n"/>
      <c r="D24" s="259" t="n"/>
      <c r="E24" s="260" t="n"/>
      <c r="F24" s="257" t="n"/>
      <c r="G24" s="258" t="n"/>
      <c r="H24" s="258" t="n"/>
      <c r="I24" s="226" t="n"/>
    </row>
    <row r="25" ht="34.95" customHeight="1">
      <c r="A25" s="264" t="n"/>
      <c r="B25" s="255" t="n"/>
      <c r="C25" s="256" t="n"/>
      <c r="D25" s="259" t="n"/>
      <c r="E25" s="260" t="n"/>
      <c r="F25" s="257" t="n"/>
      <c r="G25" s="258" t="n"/>
      <c r="H25" s="258" t="n"/>
      <c r="I25" s="226" t="n"/>
    </row>
    <row r="26" ht="34.95" customHeight="1">
      <c r="A26" s="264" t="n"/>
      <c r="B26" s="255" t="n"/>
      <c r="C26" s="256" t="n"/>
      <c r="D26" s="259" t="n"/>
      <c r="E26" s="260" t="n"/>
      <c r="F26" s="257" t="n"/>
      <c r="G26" s="258" t="n"/>
      <c r="H26" s="258" t="n"/>
      <c r="I26" s="226" t="n"/>
    </row>
    <row r="27" ht="34.95" customHeight="1">
      <c r="A27" s="264" t="n"/>
      <c r="B27" s="255" t="n"/>
      <c r="C27" s="256" t="n"/>
      <c r="D27" s="259" t="n"/>
      <c r="E27" s="260" t="n"/>
      <c r="F27" s="257" t="n"/>
      <c r="G27" s="258" t="n"/>
      <c r="H27" s="258" t="n"/>
      <c r="I27" s="226" t="n"/>
    </row>
    <row r="28" ht="34.95" customHeight="1">
      <c r="A28" s="264" t="n"/>
      <c r="B28" s="255" t="n"/>
      <c r="C28" s="256" t="n"/>
      <c r="D28" s="259" t="n"/>
      <c r="E28" s="260" t="n"/>
      <c r="F28" s="257" t="n"/>
      <c r="G28" s="258" t="n"/>
      <c r="H28" s="258" t="n"/>
      <c r="I28" s="226" t="n"/>
    </row>
    <row r="29" ht="34.95" customHeight="1">
      <c r="A29" s="264" t="n"/>
      <c r="B29" s="255" t="n"/>
      <c r="C29" s="256" t="n"/>
      <c r="D29" s="259" t="n"/>
      <c r="E29" s="260" t="n"/>
      <c r="F29" s="257" t="n"/>
      <c r="G29" s="258" t="n"/>
      <c r="H29" s="258" t="n"/>
      <c r="I29" s="226" t="n"/>
    </row>
    <row r="30" ht="34.95" customHeight="1">
      <c r="A30" s="264" t="n"/>
      <c r="B30" s="255" t="n"/>
      <c r="C30" s="256" t="n"/>
      <c r="D30" s="259" t="n"/>
      <c r="E30" s="260" t="n"/>
      <c r="F30" s="257" t="n"/>
      <c r="G30" s="258" t="n"/>
      <c r="H30" s="258" t="n"/>
      <c r="I30" s="226" t="n"/>
    </row>
    <row r="31" ht="34.95" customHeight="1">
      <c r="A31" s="264" t="n"/>
      <c r="B31" s="255" t="n"/>
      <c r="C31" s="256" t="n"/>
      <c r="D31" s="259" t="n"/>
      <c r="E31" s="260" t="n"/>
      <c r="F31" s="257" t="n"/>
      <c r="G31" s="258" t="n"/>
      <c r="H31" s="258" t="n"/>
      <c r="I31" s="226" t="n"/>
    </row>
    <row r="32" ht="34.95" customHeight="1">
      <c r="A32" s="264" t="n"/>
      <c r="B32" s="255" t="n"/>
      <c r="C32" s="256" t="n"/>
      <c r="D32" s="259" t="n"/>
      <c r="E32" s="260" t="n"/>
      <c r="F32" s="257" t="n"/>
      <c r="G32" s="258" t="n"/>
      <c r="H32" s="258" t="n"/>
      <c r="I32" s="226" t="n"/>
    </row>
    <row r="33" ht="34.95" customHeight="1">
      <c r="A33" s="264" t="n"/>
      <c r="B33" s="255" t="n"/>
      <c r="C33" s="256" t="n"/>
      <c r="D33" s="259" t="n"/>
      <c r="E33" s="260" t="n"/>
      <c r="F33" s="257" t="n"/>
      <c r="G33" s="258" t="n"/>
      <c r="H33" s="258" t="n"/>
      <c r="I33" s="226" t="n"/>
    </row>
    <row r="34" ht="34.95" customHeight="1">
      <c r="A34" s="264" t="n"/>
      <c r="B34" s="255" t="n"/>
      <c r="C34" s="256" t="n"/>
      <c r="D34" s="259" t="n"/>
      <c r="E34" s="260" t="n"/>
      <c r="F34" s="257" t="n"/>
      <c r="G34" s="258" t="n"/>
      <c r="H34" s="258" t="n"/>
      <c r="I34" s="226" t="n"/>
    </row>
    <row r="35" ht="34.95" customHeight="1">
      <c r="A35" s="264" t="n"/>
      <c r="B35" s="255" t="n"/>
      <c r="C35" s="256" t="n"/>
      <c r="D35" s="259" t="n"/>
      <c r="E35" s="260" t="n"/>
      <c r="F35" s="257" t="n"/>
      <c r="G35" s="258" t="n"/>
      <c r="H35" s="258" t="n"/>
      <c r="I35" s="226" t="n"/>
    </row>
    <row r="36" ht="34.95" customHeight="1">
      <c r="A36" s="264" t="n"/>
      <c r="B36" s="255" t="n"/>
      <c r="C36" s="256" t="n"/>
      <c r="D36" s="259" t="n"/>
      <c r="E36" s="260" t="n"/>
      <c r="F36" s="257" t="n"/>
      <c r="G36" s="258" t="n"/>
      <c r="H36" s="258" t="n"/>
      <c r="I36" s="226" t="n"/>
    </row>
    <row r="37" ht="34.95" customHeight="1">
      <c r="A37" s="264" t="n"/>
      <c r="B37" s="255" t="n"/>
      <c r="C37" s="256" t="n"/>
      <c r="D37" s="259" t="n"/>
      <c r="E37" s="260" t="n"/>
      <c r="F37" s="257" t="n"/>
      <c r="G37" s="258" t="n"/>
      <c r="H37" s="258" t="n"/>
      <c r="I37" s="226" t="n"/>
    </row>
    <row r="38" ht="34.95" customHeight="1">
      <c r="A38" s="264" t="n"/>
      <c r="B38" s="255" t="n"/>
      <c r="C38" s="256" t="n"/>
      <c r="D38" s="259" t="n"/>
      <c r="E38" s="260" t="n"/>
      <c r="F38" s="257" t="n"/>
      <c r="G38" s="258" t="n"/>
      <c r="H38" s="258" t="n"/>
      <c r="I38" s="226" t="n"/>
    </row>
    <row r="39" ht="34.95" customHeight="1">
      <c r="A39" s="264" t="n"/>
      <c r="B39" s="255" t="n"/>
      <c r="C39" s="256" t="n"/>
      <c r="D39" s="259" t="n"/>
      <c r="E39" s="260" t="n"/>
      <c r="F39" s="257" t="n"/>
      <c r="G39" s="258" t="n"/>
      <c r="H39" s="258" t="n"/>
      <c r="I39" s="226" t="n"/>
    </row>
    <row r="40" ht="34.95" customHeight="1">
      <c r="A40" s="264" t="n"/>
      <c r="B40" s="255" t="n"/>
      <c r="C40" s="256" t="n"/>
      <c r="D40" s="259" t="n"/>
      <c r="E40" s="260" t="n"/>
      <c r="F40" s="257" t="n"/>
      <c r="G40" s="258" t="n"/>
      <c r="H40" s="258" t="n"/>
      <c r="I40" s="226" t="n"/>
    </row>
    <row r="41" ht="34.95" customHeight="1">
      <c r="A41" s="264" t="n"/>
      <c r="B41" s="255" t="n"/>
      <c r="C41" s="256" t="n"/>
      <c r="D41" s="259" t="n"/>
      <c r="E41" s="260" t="n"/>
      <c r="F41" s="257" t="n"/>
      <c r="G41" s="258" t="n"/>
      <c r="H41" s="258" t="n"/>
      <c r="I41" s="226" t="n"/>
    </row>
    <row r="42" ht="34.95" customHeight="1">
      <c r="A42" s="264" t="n"/>
      <c r="B42" s="255" t="n"/>
      <c r="C42" s="256" t="n"/>
      <c r="D42" s="259" t="n"/>
      <c r="E42" s="260" t="n"/>
      <c r="F42" s="257" t="n"/>
      <c r="G42" s="258" t="n"/>
      <c r="H42" s="258" t="n"/>
      <c r="I42" s="226" t="n"/>
    </row>
    <row r="43" ht="34.95" customHeight="1">
      <c r="A43" s="264" t="n"/>
      <c r="B43" s="255" t="n"/>
      <c r="C43" s="256" t="n"/>
      <c r="D43" s="259" t="n"/>
      <c r="E43" s="260" t="n"/>
      <c r="F43" s="257" t="n"/>
      <c r="G43" s="258" t="n"/>
      <c r="H43" s="258" t="n"/>
      <c r="I43" s="226" t="n"/>
    </row>
    <row r="44" ht="34.95" customHeight="1">
      <c r="A44" s="264" t="n"/>
      <c r="B44" s="255" t="n"/>
      <c r="C44" s="256" t="n"/>
      <c r="D44" s="259" t="n"/>
      <c r="E44" s="260" t="n"/>
      <c r="F44" s="257" t="n"/>
      <c r="G44" s="258" t="n"/>
      <c r="H44" s="258" t="n"/>
      <c r="I44" s="226" t="n"/>
    </row>
    <row r="45" ht="34.95" customHeight="1">
      <c r="A45" s="264" t="n"/>
      <c r="B45" s="255" t="n"/>
      <c r="C45" s="256" t="n"/>
      <c r="D45" s="259" t="n"/>
      <c r="E45" s="260" t="n"/>
      <c r="F45" s="257" t="n"/>
      <c r="G45" s="258" t="n"/>
      <c r="H45" s="258" t="n"/>
      <c r="I45" s="226" t="n"/>
    </row>
    <row r="46" ht="34.95" customHeight="1">
      <c r="A46" s="264" t="n"/>
      <c r="B46" s="255" t="n"/>
      <c r="C46" s="256" t="n"/>
      <c r="D46" s="259" t="n"/>
      <c r="E46" s="260" t="n"/>
      <c r="F46" s="257" t="n"/>
      <c r="G46" s="258" t="n"/>
      <c r="H46" s="258" t="n"/>
      <c r="I46" s="226" t="n"/>
    </row>
    <row r="47" ht="34.95" customHeight="1">
      <c r="A47" s="264" t="n"/>
      <c r="B47" s="255" t="n"/>
      <c r="C47" s="256" t="n"/>
      <c r="D47" s="259" t="n"/>
      <c r="E47" s="260" t="n"/>
      <c r="F47" s="257" t="n"/>
      <c r="G47" s="258" t="n"/>
      <c r="H47" s="258" t="n"/>
      <c r="I47" s="226" t="n"/>
    </row>
    <row r="48" ht="34.95" customHeight="1">
      <c r="A48" s="264" t="n"/>
      <c r="B48" s="255" t="n"/>
      <c r="C48" s="256" t="n"/>
      <c r="D48" s="259" t="n"/>
      <c r="E48" s="260" t="n"/>
      <c r="F48" s="257" t="n"/>
      <c r="G48" s="258" t="n"/>
      <c r="H48" s="258" t="n"/>
      <c r="I48" s="226" t="n"/>
    </row>
    <row r="49" ht="34.95" customHeight="1">
      <c r="A49" s="264" t="n"/>
      <c r="B49" s="255" t="n"/>
      <c r="C49" s="256" t="n"/>
      <c r="D49" s="259" t="n"/>
      <c r="E49" s="260" t="n"/>
      <c r="F49" s="257" t="n"/>
      <c r="G49" s="258" t="n"/>
      <c r="H49" s="258" t="n"/>
      <c r="I49" s="226" t="n"/>
    </row>
    <row r="50" ht="34.95" customHeight="1">
      <c r="A50" s="264" t="n"/>
      <c r="B50" s="255" t="n"/>
      <c r="C50" s="256" t="n"/>
      <c r="D50" s="259" t="n"/>
      <c r="E50" s="260" t="n"/>
      <c r="F50" s="257" t="n"/>
      <c r="G50" s="258" t="n"/>
      <c r="H50" s="258" t="n"/>
      <c r="I50" s="226" t="n"/>
    </row>
    <row r="51" ht="34.95" customHeight="1">
      <c r="A51" s="264" t="n"/>
      <c r="B51" s="255" t="n"/>
      <c r="C51" s="256" t="n"/>
      <c r="D51" s="259" t="n"/>
      <c r="E51" s="260" t="n"/>
      <c r="F51" s="257" t="n"/>
      <c r="G51" s="258" t="n"/>
      <c r="H51" s="258" t="n"/>
      <c r="I51" s="226" t="n"/>
    </row>
    <row r="52" ht="34.95" customHeight="1">
      <c r="A52" s="264" t="n"/>
      <c r="B52" s="255" t="n"/>
      <c r="C52" s="256" t="n"/>
      <c r="D52" s="259" t="n"/>
      <c r="E52" s="260" t="n"/>
      <c r="F52" s="257" t="n"/>
      <c r="G52" s="258" t="n"/>
      <c r="H52" s="258" t="n"/>
      <c r="I52" s="226" t="n"/>
    </row>
    <row r="53" ht="34.95" customHeight="1">
      <c r="A53" s="264" t="n"/>
      <c r="B53" s="255" t="n"/>
      <c r="C53" s="256" t="n"/>
      <c r="D53" s="259" t="n"/>
      <c r="E53" s="260" t="n"/>
      <c r="F53" s="257" t="n"/>
      <c r="G53" s="258" t="n"/>
      <c r="H53" s="258" t="n"/>
      <c r="I53" s="226" t="n"/>
    </row>
    <row r="54" ht="34.95" customHeight="1">
      <c r="A54" s="264" t="n"/>
      <c r="B54" s="255" t="n"/>
      <c r="C54" s="256" t="n"/>
      <c r="D54" s="259" t="n"/>
      <c r="E54" s="260" t="n"/>
      <c r="F54" s="257" t="n"/>
      <c r="G54" s="258" t="n"/>
      <c r="H54" s="258" t="n"/>
      <c r="I54" s="226" t="n"/>
    </row>
    <row r="55" ht="34.95" customHeight="1">
      <c r="A55" s="264" t="n"/>
      <c r="B55" s="255" t="n"/>
      <c r="C55" s="256" t="n"/>
      <c r="D55" s="259" t="n"/>
      <c r="E55" s="260" t="n"/>
      <c r="F55" s="257" t="n"/>
      <c r="G55" s="258" t="n"/>
      <c r="H55" s="258" t="n"/>
      <c r="I55" s="226" t="n"/>
    </row>
    <row r="56" ht="34.95" customHeight="1">
      <c r="A56" s="264" t="n"/>
      <c r="B56" s="255" t="n"/>
      <c r="C56" s="256" t="n"/>
      <c r="D56" s="259" t="n"/>
      <c r="E56" s="260" t="n"/>
      <c r="F56" s="257" t="n"/>
      <c r="G56" s="258" t="n"/>
      <c r="H56" s="258" t="n"/>
      <c r="I56" s="226" t="n"/>
    </row>
    <row r="57" ht="14.4" customHeight="1">
      <c r="A57" s="265" t="inlineStr">
        <is>
          <t>EndRow</t>
        </is>
      </c>
      <c r="B57" s="266" t="inlineStr">
        <is>
          <t>EndRow</t>
        </is>
      </c>
      <c r="C57" s="266" t="inlineStr">
        <is>
          <t>EndRow</t>
        </is>
      </c>
      <c r="D57" s="266" t="inlineStr">
        <is>
          <t>EndRow</t>
        </is>
      </c>
      <c r="E57" s="266" t="inlineStr">
        <is>
          <t>EndRow</t>
        </is>
      </c>
      <c r="F57" s="266" t="inlineStr">
        <is>
          <t>EndRow</t>
        </is>
      </c>
      <c r="G57" s="266" t="inlineStr">
        <is>
          <t>EndRow</t>
        </is>
      </c>
      <c r="H57" s="266" t="inlineStr">
        <is>
          <t>EndRow</t>
        </is>
      </c>
      <c r="I57" s="267" t="inlineStr">
        <is>
          <t>EndRow</t>
        </is>
      </c>
    </row>
  </sheetData>
  <pageMargins left="0.7" right="0.7" top="0.75" bottom="0.75" header="0.3" footer="0.3"/>
</worksheet>
</file>

<file path=xl/worksheets/sheet5.xml><?xml version="1.0" encoding="utf-8"?>
<worksheet xmlns="http://schemas.openxmlformats.org/spreadsheetml/2006/main">
  <sheetPr codeName="Sheet2">
    <tabColor theme="9" tint="0.3999450666829432"/>
    <outlinePr summaryBelow="1" summaryRight="1"/>
    <pageSetUpPr/>
  </sheetPr>
  <dimension ref="A1:DT55"/>
  <sheetViews>
    <sheetView zoomScale="90" zoomScaleNormal="90" workbookViewId="0">
      <pane xSplit="5" ySplit="5" topLeftCell="AO6" activePane="bottomRight" state="frozen"/>
      <selection pane="topRight" activeCell="A1" sqref="A1"/>
      <selection pane="bottomLeft" activeCell="A1" sqref="A1"/>
      <selection pane="bottomRight" activeCell="BF30" sqref="BF30"/>
    </sheetView>
  </sheetViews>
  <sheetFormatPr baseColWidth="8" defaultColWidth="25.33203125" defaultRowHeight="14.4"/>
  <cols>
    <col width="4" customWidth="1" min="1" max="1"/>
    <col width="3" customWidth="1" min="2" max="2"/>
    <col width="4" customWidth="1" min="3" max="3"/>
    <col width="7.88671875" customWidth="1" min="4" max="4"/>
    <col width="28.6640625" customWidth="1" min="5" max="5"/>
    <col width="11.5546875" customWidth="1" min="6" max="10"/>
    <col width="1.6640625" customWidth="1" min="11" max="11"/>
    <col width="11.5546875" customWidth="1" min="12" max="24"/>
    <col width="9.6640625" customWidth="1" min="25" max="25"/>
    <col width="3.5546875" customWidth="1" min="26" max="28"/>
    <col width="4.44140625" customWidth="1" min="29" max="34"/>
    <col width="12.33203125" bestFit="1" customWidth="1" min="35" max="35"/>
    <col width="16.109375" customWidth="1" min="36" max="38"/>
    <col width="9.88671875" bestFit="1" customWidth="1" min="40" max="40"/>
    <col width="5.109375" bestFit="1" customWidth="1" min="42" max="42"/>
    <col width="30.44140625" bestFit="1" customWidth="1" min="43" max="43"/>
    <col width="13.109375" bestFit="1" customWidth="1" min="44" max="44"/>
    <col width="9" customWidth="1" min="45" max="45"/>
    <col width="2.6640625" customWidth="1" min="46" max="92"/>
    <col width="1.6640625" customWidth="1" min="93" max="102"/>
    <col width="6" bestFit="1" customWidth="1" min="103" max="103"/>
    <col width="10.109375" bestFit="1" customWidth="1" min="104" max="104"/>
    <col width="9.109375" customWidth="1" min="105" max="111"/>
    <col width="4" bestFit="1" customWidth="1" min="112" max="112"/>
    <col width="8.33203125" bestFit="1" customWidth="1" min="113" max="113"/>
    <col width="7.6640625" bestFit="1" customWidth="1" min="114" max="114"/>
    <col width="9" bestFit="1" customWidth="1" min="115" max="115"/>
    <col width="5.5546875" bestFit="1" customWidth="1" min="116" max="116"/>
    <col width="10.6640625" bestFit="1" customWidth="1" min="117" max="117"/>
    <col width="8.5546875" bestFit="1" customWidth="1" min="118" max="118"/>
    <col width="8" bestFit="1" customWidth="1" min="119" max="119"/>
  </cols>
  <sheetData>
    <row r="1">
      <c r="F1" s="185" t="inlineStr">
        <is>
          <t>Small</t>
        </is>
      </c>
      <c r="G1" s="1" t="inlineStr">
        <is>
          <t>Medium</t>
        </is>
      </c>
      <c r="H1" s="1" t="inlineStr">
        <is>
          <t>Large</t>
        </is>
      </c>
      <c r="I1" s="141" t="inlineStr">
        <is>
          <t>Very Large</t>
        </is>
      </c>
      <c r="J1" s="159" t="inlineStr">
        <is>
          <t>Non-Standard</t>
        </is>
      </c>
      <c r="K1" s="229" t="n"/>
      <c r="L1" s="229" t="n"/>
      <c r="M1" s="229" t="n"/>
      <c r="N1" s="229" t="n"/>
      <c r="O1" s="229" t="n"/>
      <c r="P1" s="229" t="n"/>
      <c r="Q1" s="229" t="n"/>
      <c r="R1" s="229" t="n"/>
      <c r="S1" s="229" t="n"/>
      <c r="T1" s="229" t="n"/>
      <c r="U1" s="229" t="n"/>
      <c r="V1" s="229" t="n"/>
      <c r="W1" s="229" t="n"/>
      <c r="X1" s="229" t="n"/>
      <c r="AC1" t="inlineStr">
        <is>
          <t>Days</t>
        </is>
      </c>
      <c r="AD1" s="11" t="inlineStr">
        <is>
          <t>HW</t>
        </is>
      </c>
      <c r="AE1" s="11" t="n">
        <v>4</v>
      </c>
      <c r="AF1" s="11" t="n">
        <v>10</v>
      </c>
      <c r="AG1" s="11" t="n">
        <v>50</v>
      </c>
      <c r="AH1" s="11" t="n">
        <v>75</v>
      </c>
      <c r="AI1">
        <f>IF(PrjSch!$D17&gt;$AH1,"Non-Standard",IF(PrjSch!$D17&gt;$AG1,"Very Large",IF(PrjSch!$D17&gt;$AF1,"Large",IF(PrjSch!$D17&gt;$AE1,"Medium",IF(PrjSch!$D17&gt;0,"Small","-")))))</f>
        <v/>
      </c>
    </row>
    <row r="2">
      <c r="D2" t="inlineStr">
        <is>
          <t>In</t>
        </is>
      </c>
      <c r="E2" s="423" t="inlineStr">
        <is>
          <t>Clearance to Mfg</t>
        </is>
      </c>
      <c r="F2" s="186">
        <f>(F6+F7+F8+F9+F10+F12)/7</f>
        <v/>
      </c>
      <c r="G2" s="186">
        <f>(G6+G7+G8+G9+G10+G12)/7</f>
        <v/>
      </c>
      <c r="H2" s="186">
        <f>(H6+H7+H8+H9+H10+H12)/7</f>
        <v/>
      </c>
      <c r="I2" s="186">
        <f>(I6+I7+I8+I9+I10+I12)/7</f>
        <v/>
      </c>
      <c r="J2" s="186">
        <f>(J6+J7+J8+J9+J10+J12)/7</f>
        <v/>
      </c>
      <c r="K2" s="230" t="n"/>
      <c r="L2" s="230" t="n"/>
      <c r="M2" s="230" t="n"/>
      <c r="N2" s="230" t="n"/>
      <c r="O2" s="230" t="n"/>
      <c r="P2" s="230" t="n"/>
      <c r="Q2" s="230" t="n"/>
      <c r="R2" s="230" t="n"/>
      <c r="S2" s="230" t="n"/>
      <c r="T2" s="230" t="n"/>
      <c r="U2" s="230" t="n"/>
      <c r="V2" s="230" t="n"/>
      <c r="W2" s="230" t="n"/>
      <c r="X2" s="230" t="n"/>
      <c r="Z2">
        <f>F2/0.85</f>
        <v/>
      </c>
      <c r="AC2" t="inlineStr">
        <is>
          <t>No.</t>
        </is>
      </c>
      <c r="AD2" s="11" t="inlineStr">
        <is>
          <t>MFG</t>
        </is>
      </c>
      <c r="AE2" s="11" t="n">
        <v>5</v>
      </c>
      <c r="AF2" s="11" t="n">
        <v>15</v>
      </c>
      <c r="AG2" s="11" t="n">
        <v>25</v>
      </c>
      <c r="AH2" s="11" t="n">
        <v>50</v>
      </c>
      <c r="AI2">
        <f>IF(PrjSch!$D17&gt;$AH2,"Non-Standard",IF(PrjSch!$D17&gt;$AG2,"Very Large",IF(PrjSch!$D17&gt;$AF2,"Large",IF(PrjSch!$D17&gt;$AE2,"Medium",IF(PrjSch!$D17&gt;0,"Small","-")))))</f>
        <v/>
      </c>
      <c r="AJ2">
        <f>COUNTA(A9:A260)</f>
        <v/>
      </c>
    </row>
    <row r="3" ht="15" customHeight="1" thickBot="1">
      <c r="D3" t="inlineStr">
        <is>
          <t>Weeks</t>
        </is>
      </c>
      <c r="E3" s="424" t="inlineStr">
        <is>
          <t>Clearance to Dispatch</t>
        </is>
      </c>
      <c r="F3" s="142">
        <f>(F6+F7+F21+F22+F23+F25+F26+F27+F28+F30+F32+F33+F34)/7</f>
        <v/>
      </c>
      <c r="G3" s="142">
        <f>(G6+G7+G21+G22+G23+G25+G26+G27+G28+G30+G32+G33+G34)/7</f>
        <v/>
      </c>
      <c r="H3" s="142">
        <f>(H6+H7+H21+H22+H23+H25+H26+H27+H28+H30+H32+H33+H34)/7</f>
        <v/>
      </c>
      <c r="I3" s="142">
        <f>(I6+I7+I21+I22+I23+I25+I26+I27+I28+I30+I32+I33+I34)/7</f>
        <v/>
      </c>
      <c r="J3" s="142">
        <f>(J6+J7+J21+J22+J23+J25+J26+J27+J28+J30+J32+J33+J34)/7</f>
        <v/>
      </c>
      <c r="K3" s="231" t="n"/>
      <c r="L3" s="231" t="n"/>
      <c r="M3" s="231" t="n"/>
      <c r="N3" s="231" t="n"/>
      <c r="O3" s="231" t="n"/>
      <c r="P3" s="231" t="n"/>
      <c r="Q3" s="231" t="n"/>
      <c r="R3" s="231" t="n"/>
      <c r="S3" s="231" t="n"/>
      <c r="T3" s="231" t="n"/>
      <c r="U3" s="231" t="n"/>
      <c r="V3" s="231" t="n"/>
      <c r="W3" s="231" t="n"/>
      <c r="X3" s="231" t="n"/>
      <c r="Z3" s="12" t="n"/>
      <c r="AC3" t="inlineStr">
        <is>
          <t>Days</t>
        </is>
      </c>
      <c r="AD3" s="11" t="inlineStr">
        <is>
          <t>SW</t>
        </is>
      </c>
      <c r="AE3" s="11" t="n">
        <v>14</v>
      </c>
      <c r="AF3" s="11" t="n">
        <v>60</v>
      </c>
      <c r="AG3" s="11" t="n">
        <v>100</v>
      </c>
      <c r="AH3" s="11" t="n">
        <v>150</v>
      </c>
      <c r="AI3">
        <f>IF(PrjSch!$D17&gt;$AH3,"Non-Standard",IF(PrjSch!$D17&gt;$AG3,"Very Large",IF(PrjSch!$D17&gt;$AF3,"Large",IF(PrjSch!$D17&gt;$AE3,"Medium",IF(PrjSch!$D17&gt;0,"Small","-")))))</f>
        <v/>
      </c>
    </row>
    <row r="4" ht="40.8" customHeight="1">
      <c r="A4" s="4" t="inlineStr">
        <is>
          <t>Sec.</t>
        </is>
      </c>
      <c r="B4" s="5" t="inlineStr">
        <is>
          <t>Ph</t>
        </is>
      </c>
      <c r="C4" s="5" t="inlineStr">
        <is>
          <t>TFO</t>
        </is>
      </c>
      <c r="D4" s="5" t="inlineStr">
        <is>
          <t>Phase ID</t>
        </is>
      </c>
      <c r="E4" s="5" t="inlineStr">
        <is>
          <t>Task Description</t>
        </is>
      </c>
      <c r="F4" s="6" t="inlineStr">
        <is>
          <t>Ref Lead Time</t>
        </is>
      </c>
      <c r="G4" s="6" t="inlineStr">
        <is>
          <t>Ref Lead Time</t>
        </is>
      </c>
      <c r="H4" s="7" t="inlineStr">
        <is>
          <t>Ref Lead Time</t>
        </is>
      </c>
      <c r="I4" s="7" t="inlineStr">
        <is>
          <t>Ref Lead Time</t>
        </is>
      </c>
      <c r="J4" s="7" t="inlineStr">
        <is>
          <t>Ref Lead Time</t>
        </is>
      </c>
      <c r="K4" s="13" t="n"/>
      <c r="L4" s="13" t="n"/>
      <c r="M4" s="13" t="n"/>
      <c r="N4" s="13" t="n"/>
      <c r="O4" s="13" t="n"/>
      <c r="P4" s="13" t="n"/>
      <c r="Q4" s="13" t="n"/>
      <c r="R4" s="13" t="n"/>
      <c r="S4" s="13" t="n"/>
      <c r="T4" s="13" t="n"/>
      <c r="U4" s="13" t="n"/>
      <c r="V4" s="13" t="n"/>
      <c r="W4" s="13" t="n"/>
      <c r="X4" s="13" t="n"/>
      <c r="Z4" s="13" t="inlineStr">
        <is>
          <t>PM</t>
        </is>
      </c>
      <c r="AA4" s="13" t="inlineStr">
        <is>
          <t>SW</t>
        </is>
      </c>
      <c r="AB4" s="13" t="inlineStr">
        <is>
          <t>HW</t>
        </is>
      </c>
      <c r="AE4" s="143" t="inlineStr">
        <is>
          <t>Medium</t>
        </is>
      </c>
      <c r="AF4" s="143" t="inlineStr">
        <is>
          <t>Large</t>
        </is>
      </c>
      <c r="AG4" s="143" t="inlineStr">
        <is>
          <t>Vlarge</t>
        </is>
      </c>
      <c r="AH4" s="143" t="inlineStr">
        <is>
          <t>Non-Standard</t>
        </is>
      </c>
      <c r="DS4" s="227" t="inlineStr">
        <is>
          <t>Delay Reason</t>
        </is>
      </c>
      <c r="DT4" s="227" t="inlineStr">
        <is>
          <t>Delay Code</t>
        </is>
      </c>
    </row>
    <row r="5">
      <c r="A5" s="216" t="inlineStr">
        <is>
          <t>FL</t>
        </is>
      </c>
      <c r="B5" s="217" t="inlineStr">
        <is>
          <t>FL</t>
        </is>
      </c>
      <c r="C5" s="217" t="inlineStr">
        <is>
          <t>FL</t>
        </is>
      </c>
      <c r="D5" s="217" t="inlineStr">
        <is>
          <t>FL</t>
        </is>
      </c>
      <c r="E5" s="217" t="inlineStr">
        <is>
          <t>FL</t>
        </is>
      </c>
      <c r="F5" s="217" t="inlineStr">
        <is>
          <t>FL</t>
        </is>
      </c>
      <c r="G5" s="217" t="inlineStr">
        <is>
          <t>FL</t>
        </is>
      </c>
      <c r="H5" s="218" t="inlineStr">
        <is>
          <t>FL</t>
        </is>
      </c>
      <c r="I5" s="218" t="inlineStr">
        <is>
          <t>FL</t>
        </is>
      </c>
      <c r="J5" s="218" t="inlineStr">
        <is>
          <t>FL</t>
        </is>
      </c>
      <c r="K5" s="232" t="n"/>
      <c r="L5" s="232" t="n"/>
      <c r="M5" s="232" t="n"/>
      <c r="N5" s="232" t="n"/>
      <c r="O5" s="232" t="n"/>
      <c r="P5" s="232" t="n"/>
      <c r="Q5" s="232" t="n"/>
      <c r="R5" s="232" t="n"/>
      <c r="S5" s="232" t="n"/>
      <c r="T5" s="232" t="n"/>
      <c r="U5" s="232" t="n"/>
      <c r="V5" s="232" t="n"/>
      <c r="W5" s="232" t="n"/>
      <c r="X5" s="232" t="n"/>
      <c r="Z5" t="inlineStr">
        <is>
          <t>Schedule</t>
        </is>
      </c>
      <c r="AI5" s="11" t="inlineStr">
        <is>
          <t>PM Alarm</t>
        </is>
      </c>
      <c r="AJ5" s="11" t="inlineStr">
        <is>
          <t>PL Alarm</t>
        </is>
      </c>
      <c r="AK5" s="11" t="inlineStr">
        <is>
          <t>Default Alarm %</t>
        </is>
      </c>
      <c r="AL5" s="73" t="inlineStr">
        <is>
          <t>Payment Status</t>
        </is>
      </c>
      <c r="AM5" s="73" t="inlineStr">
        <is>
          <t>Mfg LOC</t>
        </is>
      </c>
      <c r="AN5" s="11" t="inlineStr">
        <is>
          <t>Warranty</t>
        </is>
      </c>
      <c r="AO5" s="11" t="inlineStr">
        <is>
          <t>Warranty Meaning</t>
        </is>
      </c>
      <c r="DS5" t="inlineStr">
        <is>
          <t>FL</t>
        </is>
      </c>
      <c r="DT5" t="inlineStr">
        <is>
          <t>FL</t>
        </is>
      </c>
    </row>
    <row r="6">
      <c r="A6" s="219" t="n"/>
      <c r="B6" s="8" t="inlineStr">
        <is>
          <t>P1</t>
        </is>
      </c>
      <c r="C6" s="8" t="inlineStr">
        <is>
          <t>SW</t>
        </is>
      </c>
      <c r="D6" s="410" t="inlineStr">
        <is>
          <t>P1-01</t>
        </is>
      </c>
      <c r="E6" s="411" t="inlineStr">
        <is>
          <t>Project Scheduling</t>
        </is>
      </c>
      <c r="F6" s="8" t="n">
        <v>0</v>
      </c>
      <c r="G6" s="8" t="n">
        <v>1</v>
      </c>
      <c r="H6" s="8" t="n">
        <v>1</v>
      </c>
      <c r="I6" s="8" t="n">
        <v>2</v>
      </c>
      <c r="J6" s="8" t="n">
        <v>8</v>
      </c>
      <c r="K6" s="233" t="n"/>
      <c r="L6" s="233" t="n"/>
      <c r="M6" s="233" t="n"/>
      <c r="N6" s="233" t="n"/>
      <c r="O6" s="233" t="n"/>
      <c r="P6" s="233" t="n"/>
      <c r="Q6" s="233" t="n"/>
      <c r="R6" s="233" t="n"/>
      <c r="S6" s="233" t="n"/>
      <c r="T6" s="233" t="n"/>
      <c r="U6" s="233" t="n"/>
      <c r="V6" s="233" t="n"/>
      <c r="W6" s="233" t="n"/>
      <c r="X6" s="233" t="n"/>
      <c r="Y6" t="inlineStr">
        <is>
          <t>Supervisor</t>
        </is>
      </c>
      <c r="Z6" t="inlineStr">
        <is>
          <t>Run</t>
        </is>
      </c>
      <c r="AI6" s="72" t="n">
        <v>0.2</v>
      </c>
      <c r="AJ6" s="72" t="n">
        <v>0.1</v>
      </c>
      <c r="AK6" s="72" t="n">
        <v>0.8</v>
      </c>
      <c r="AL6" s="74" t="n"/>
      <c r="AM6" s="74" t="n"/>
      <c r="AN6" t="inlineStr">
        <is>
          <t>Standard</t>
        </is>
      </c>
      <c r="AO6" t="inlineStr">
        <is>
          <t>24 months from the date of commissioning or 30 months from the date of supply, whichever is earlier. Faulty material to be delivered at our premises and replacement to be collected from our premises.</t>
        </is>
      </c>
      <c r="DR6" t="inlineStr">
        <is>
          <t>Legend</t>
        </is>
      </c>
      <c r="DS6" s="228" t="inlineStr">
        <is>
          <t>Mfg Manpower shortage</t>
        </is>
      </c>
      <c r="DT6" s="228" t="inlineStr">
        <is>
          <t>D001</t>
        </is>
      </c>
    </row>
    <row r="7">
      <c r="A7" s="219" t="n"/>
      <c r="B7" s="8" t="inlineStr">
        <is>
          <t>P1</t>
        </is>
      </c>
      <c r="C7" s="8" t="inlineStr">
        <is>
          <t>SW</t>
        </is>
      </c>
      <c r="D7" s="410" t="inlineStr">
        <is>
          <t>P1-02</t>
        </is>
      </c>
      <c r="E7" s="411" t="inlineStr">
        <is>
          <t>Internal KOM</t>
        </is>
      </c>
      <c r="F7" s="8" t="n">
        <v>0</v>
      </c>
      <c r="G7" s="8" t="n">
        <v>1</v>
      </c>
      <c r="H7" s="8" t="n">
        <v>1</v>
      </c>
      <c r="I7" s="8" t="n">
        <v>2</v>
      </c>
      <c r="J7" s="8" t="n">
        <v>16</v>
      </c>
      <c r="K7" s="233" t="n"/>
      <c r="L7" s="233" t="n"/>
      <c r="M7" s="233" t="n"/>
      <c r="N7" s="233" t="n"/>
      <c r="O7" s="233" t="n"/>
      <c r="P7" s="233" t="n"/>
      <c r="Q7" s="233" t="n"/>
      <c r="R7" s="233" t="n"/>
      <c r="S7" s="233" t="n"/>
      <c r="T7" s="233" t="n"/>
      <c r="U7" s="233" t="n"/>
      <c r="V7" s="233" t="n"/>
      <c r="W7" s="233" t="n"/>
      <c r="X7" s="233" t="n"/>
      <c r="Y7" t="inlineStr">
        <is>
          <t>Supervisor</t>
        </is>
      </c>
      <c r="Z7" t="inlineStr">
        <is>
          <t>Hold</t>
        </is>
      </c>
      <c r="AD7" t="n"/>
      <c r="AL7" s="75" t="inlineStr">
        <is>
          <t>Received</t>
        </is>
      </c>
      <c r="AM7" s="75" t="inlineStr">
        <is>
          <t>GON</t>
        </is>
      </c>
      <c r="DR7" t="inlineStr">
        <is>
          <t>Dxxx : Delay</t>
        </is>
      </c>
      <c r="DS7" s="228" t="inlineStr">
        <is>
          <t>Mfg Manpower engaged</t>
        </is>
      </c>
      <c r="DT7" s="228" t="inlineStr">
        <is>
          <t>D002</t>
        </is>
      </c>
    </row>
    <row r="8">
      <c r="A8" s="219" t="n"/>
      <c r="B8" s="8" t="inlineStr">
        <is>
          <t>P1</t>
        </is>
      </c>
      <c r="C8" s="8" t="inlineStr">
        <is>
          <t>SW</t>
        </is>
      </c>
      <c r="D8" s="410" t="inlineStr">
        <is>
          <t>P1-03</t>
        </is>
      </c>
      <c r="E8" s="411" t="inlineStr">
        <is>
          <t>SW I/P Collection</t>
        </is>
      </c>
      <c r="F8" s="8" t="n">
        <v>3</v>
      </c>
      <c r="G8" s="8" t="n">
        <v>4</v>
      </c>
      <c r="H8" s="8" t="n">
        <v>5</v>
      </c>
      <c r="I8" s="8" t="n">
        <v>7</v>
      </c>
      <c r="J8" s="8" t="n">
        <v>15</v>
      </c>
      <c r="K8" s="233" t="n"/>
      <c r="L8" s="233" t="n"/>
      <c r="M8" s="233" t="n"/>
      <c r="N8" s="233" t="n"/>
      <c r="O8" s="233" t="n"/>
      <c r="P8" s="233" t="n"/>
      <c r="Q8" s="233" t="n"/>
      <c r="R8" s="233" t="n"/>
      <c r="S8" s="233" t="n"/>
      <c r="T8" s="233" t="n"/>
      <c r="U8" s="233" t="n"/>
      <c r="V8" s="233" t="n"/>
      <c r="W8" s="233" t="n"/>
      <c r="X8" s="233" t="n"/>
      <c r="Y8" t="inlineStr">
        <is>
          <t>Fitter</t>
        </is>
      </c>
      <c r="Z8" t="inlineStr">
        <is>
          <t>Closed</t>
        </is>
      </c>
      <c r="AL8" s="75" t="n"/>
      <c r="AM8" s="75" t="inlineStr">
        <is>
          <t>DUB</t>
        </is>
      </c>
      <c r="AT8" t="inlineStr">
        <is>
          <t>SW</t>
        </is>
      </c>
      <c r="AU8" t="inlineStr">
        <is>
          <t>SW</t>
        </is>
      </c>
      <c r="AV8" t="inlineStr">
        <is>
          <t>SW</t>
        </is>
      </c>
      <c r="AW8" t="inlineStr">
        <is>
          <t>SW</t>
        </is>
      </c>
      <c r="AX8" t="inlineStr">
        <is>
          <t>SW</t>
        </is>
      </c>
      <c r="AY8" t="inlineStr">
        <is>
          <t>SW</t>
        </is>
      </c>
      <c r="AZ8" t="inlineStr">
        <is>
          <t>SW</t>
        </is>
      </c>
      <c r="BA8" t="inlineStr">
        <is>
          <t>SW</t>
        </is>
      </c>
      <c r="BB8" t="inlineStr">
        <is>
          <t>SW</t>
        </is>
      </c>
      <c r="BC8" t="inlineStr">
        <is>
          <t>SW</t>
        </is>
      </c>
      <c r="BD8" t="inlineStr">
        <is>
          <t>SW</t>
        </is>
      </c>
      <c r="BE8" t="inlineStr">
        <is>
          <t>SW</t>
        </is>
      </c>
      <c r="BF8" t="inlineStr">
        <is>
          <t>SW</t>
        </is>
      </c>
      <c r="BG8" t="inlineStr">
        <is>
          <t>SW</t>
        </is>
      </c>
      <c r="BH8" t="inlineStr">
        <is>
          <t>SW</t>
        </is>
      </c>
      <c r="BI8" t="inlineStr">
        <is>
          <t>EC</t>
        </is>
      </c>
      <c r="BJ8" t="inlineStr">
        <is>
          <t>EC</t>
        </is>
      </c>
      <c r="BK8" t="inlineStr">
        <is>
          <t>EC</t>
        </is>
      </c>
      <c r="BL8" t="inlineStr">
        <is>
          <t>EC</t>
        </is>
      </c>
      <c r="BM8" t="inlineStr">
        <is>
          <t>SW</t>
        </is>
      </c>
      <c r="BN8" t="inlineStr">
        <is>
          <t>EC</t>
        </is>
      </c>
      <c r="BO8" t="inlineStr">
        <is>
          <t>SW</t>
        </is>
      </c>
      <c r="DR8" t="inlineStr">
        <is>
          <t>Exxx: Error</t>
        </is>
      </c>
      <c r="DS8" s="228" t="inlineStr">
        <is>
          <t>Sales Material available &lt;85%</t>
        </is>
      </c>
      <c r="DT8" s="228" t="inlineStr">
        <is>
          <t>S001</t>
        </is>
      </c>
    </row>
    <row r="9" ht="16.2" customHeight="1" thickBot="1">
      <c r="A9" s="219" t="n"/>
      <c r="B9" s="8" t="inlineStr">
        <is>
          <t>P2</t>
        </is>
      </c>
      <c r="C9" s="8" t="inlineStr">
        <is>
          <t>SW</t>
        </is>
      </c>
      <c r="D9" s="410" t="inlineStr">
        <is>
          <t>P2-01</t>
        </is>
      </c>
      <c r="E9" s="411" t="inlineStr">
        <is>
          <t>SW Design Preparation</t>
        </is>
      </c>
      <c r="F9" s="8" t="n">
        <v>2</v>
      </c>
      <c r="G9" s="8" t="n">
        <v>4</v>
      </c>
      <c r="H9" s="8" t="n">
        <v>6</v>
      </c>
      <c r="I9" s="8" t="n">
        <v>8</v>
      </c>
      <c r="J9" s="8" t="n">
        <v>12</v>
      </c>
      <c r="K9" s="233" t="n"/>
      <c r="L9" s="233" t="n"/>
      <c r="M9" s="233" t="n"/>
      <c r="N9" s="233" t="n"/>
      <c r="O9" s="233" t="n"/>
      <c r="P9" s="233" t="n"/>
      <c r="Q9" s="233" t="n"/>
      <c r="R9" s="233" t="n"/>
      <c r="S9" s="233" t="n"/>
      <c r="T9" s="233" t="n"/>
      <c r="U9" s="233" t="n"/>
      <c r="V9" s="233" t="n"/>
      <c r="W9" s="233" t="n"/>
      <c r="X9" s="233" t="n"/>
      <c r="Y9" t="inlineStr">
        <is>
          <t>Electrician</t>
        </is>
      </c>
      <c r="AL9" s="75" t="n"/>
      <c r="AM9" s="75" t="n"/>
      <c r="AT9" s="425" t="inlineStr">
        <is>
          <t>Project Scheduling</t>
        </is>
      </c>
      <c r="AU9" s="425" t="inlineStr">
        <is>
          <t>Internal KOM</t>
        </is>
      </c>
      <c r="AV9" s="425" t="inlineStr">
        <is>
          <t>SW I/P Collection</t>
        </is>
      </c>
      <c r="AW9" s="425" t="inlineStr">
        <is>
          <t>SW Design Preparation</t>
        </is>
      </c>
      <c r="AX9" s="425" t="inlineStr">
        <is>
          <t>SW Design Validation</t>
        </is>
      </c>
      <c r="AY9" s="425" t="inlineStr">
        <is>
          <t>SW Documents Submission</t>
        </is>
      </c>
      <c r="AZ9" s="425" t="inlineStr">
        <is>
          <t>SW Documents Approval</t>
        </is>
      </c>
      <c r="BA9" s="425" t="inlineStr">
        <is>
          <t>Drive SW</t>
        </is>
      </c>
      <c r="BB9" s="425" t="inlineStr">
        <is>
          <t>PLC SW</t>
        </is>
      </c>
      <c r="BC9" s="425" t="inlineStr">
        <is>
          <t>HMI/SCADA</t>
        </is>
      </c>
      <c r="BD9" s="425" t="inlineStr">
        <is>
          <t>Report</t>
        </is>
      </c>
      <c r="BE9" s="425" t="inlineStr">
        <is>
          <t>Internal testing</t>
        </is>
      </c>
      <c r="BF9" s="425" t="inlineStr">
        <is>
          <t>SW FAT Call with Test Report</t>
        </is>
      </c>
      <c r="BG9" s="425" t="inlineStr">
        <is>
          <t>SW FAT</t>
        </is>
      </c>
      <c r="BH9" s="425" t="inlineStr">
        <is>
          <t xml:space="preserve">SW FAT Compliance </t>
        </is>
      </c>
      <c r="BI9" s="425" t="inlineStr">
        <is>
          <t>Installation</t>
        </is>
      </c>
      <c r="BJ9" s="425" t="inlineStr">
        <is>
          <t>Pre-Commissioning</t>
        </is>
      </c>
      <c r="BK9" s="425" t="inlineStr">
        <is>
          <t>Commissioning</t>
        </is>
      </c>
      <c r="BL9" s="425" t="inlineStr">
        <is>
          <t>Final MOM/Site Report</t>
        </is>
      </c>
      <c r="BM9" s="425" t="inlineStr">
        <is>
          <t>As Comm. Doc (SW)</t>
        </is>
      </c>
      <c r="BN9" s="425" t="inlineStr">
        <is>
          <t>Post Comm. Support</t>
        </is>
      </c>
      <c r="BO9" s="425" t="inlineStr">
        <is>
          <t>Project Closure</t>
        </is>
      </c>
      <c r="BP9" s="426" t="n"/>
      <c r="BQ9" s="426" t="n"/>
      <c r="BR9" s="426" t="n"/>
      <c r="BS9" s="426" t="n"/>
      <c r="BT9" s="426" t="n"/>
      <c r="BU9" s="426" t="n"/>
      <c r="BV9" s="426" t="n"/>
      <c r="BW9" s="426" t="n"/>
      <c r="BX9" s="426" t="n"/>
      <c r="BY9" s="426" t="n"/>
      <c r="BZ9" s="426" t="n"/>
      <c r="CA9" s="426" t="n"/>
      <c r="CB9" s="426" t="n"/>
      <c r="CC9" s="426" t="n"/>
      <c r="CD9" s="426" t="n"/>
      <c r="CE9" s="426" t="n"/>
      <c r="CF9" s="426" t="n"/>
      <c r="CG9" s="426" t="n"/>
      <c r="CH9" s="426" t="n"/>
      <c r="CI9" s="426" t="n"/>
      <c r="CJ9" s="426" t="n"/>
      <c r="CK9" s="426" t="n"/>
      <c r="CL9" s="426" t="n"/>
      <c r="CM9" s="426" t="n"/>
      <c r="CN9" s="426" t="n"/>
      <c r="DM9" t="inlineStr">
        <is>
          <t>Engg</t>
        </is>
      </c>
      <c r="DN9" t="inlineStr">
        <is>
          <t>RED</t>
        </is>
      </c>
      <c r="DO9" t="n">
        <v>1</v>
      </c>
      <c r="DP9" t="inlineStr">
        <is>
          <t>Engineering</t>
        </is>
      </c>
      <c r="DQ9">
        <f>DP9&amp;","&amp;DP10&amp;","&amp;DP11&amp;","&amp;DP12&amp;","&amp;DP13</f>
        <v/>
      </c>
      <c r="DR9" t="inlineStr">
        <is>
          <t>Sxxx: Supply chain</t>
        </is>
      </c>
      <c r="DS9" s="228" t="inlineStr">
        <is>
          <t>Sales main material shortfall</t>
        </is>
      </c>
      <c r="DT9" s="228" t="inlineStr">
        <is>
          <t>S002</t>
        </is>
      </c>
    </row>
    <row r="10" ht="15" customHeight="1" thickBot="1">
      <c r="A10" s="219" t="n"/>
      <c r="B10" s="8" t="inlineStr">
        <is>
          <t>P2</t>
        </is>
      </c>
      <c r="C10" s="8" t="inlineStr">
        <is>
          <t>SW</t>
        </is>
      </c>
      <c r="D10" s="410" t="inlineStr">
        <is>
          <t>P2-02</t>
        </is>
      </c>
      <c r="E10" s="411" t="inlineStr">
        <is>
          <t>SW Design Validation</t>
        </is>
      </c>
      <c r="F10" s="8" t="n">
        <v>1</v>
      </c>
      <c r="G10" s="8" t="n">
        <v>1</v>
      </c>
      <c r="H10" s="8" t="n">
        <v>1</v>
      </c>
      <c r="I10" s="8" t="n">
        <v>3</v>
      </c>
      <c r="J10" s="8" t="n">
        <v>5</v>
      </c>
      <c r="K10" s="233" t="n"/>
      <c r="L10" s="233" t="n"/>
      <c r="M10" s="233" t="n"/>
      <c r="N10" s="233" t="n"/>
      <c r="O10" s="233" t="n"/>
      <c r="P10" s="233" t="n"/>
      <c r="Q10" s="233" t="n"/>
      <c r="R10" s="233" t="n"/>
      <c r="S10" s="233" t="n"/>
      <c r="T10" s="233" t="n"/>
      <c r="U10" s="233" t="n"/>
      <c r="V10" s="233" t="n"/>
      <c r="W10" s="233" t="n"/>
      <c r="X10" s="233" t="n"/>
      <c r="Y10" t="inlineStr">
        <is>
          <t>Electrician</t>
        </is>
      </c>
      <c r="AM10" s="184">
        <f>PrjSch!D15</f>
        <v/>
      </c>
      <c r="AN10" s="184">
        <f>INDEX(AN12:AN20,MATCH(AM10,PackgingType,0))</f>
        <v/>
      </c>
      <c r="AP10" s="100" t="inlineStr">
        <is>
          <t>SrNo</t>
        </is>
      </c>
      <c r="AQ10" s="101" t="inlineStr">
        <is>
          <t>SWE Status</t>
        </is>
      </c>
      <c r="AR10">
        <f>IFERROR(INDEX(AR11:AR27,MATCH(AS10,AS11:AS27,0)),AR27)</f>
        <v/>
      </c>
      <c r="AS10" s="109" t="n">
        <v>0</v>
      </c>
      <c r="DM10" t="inlineStr">
        <is>
          <t>Pur/Buyr</t>
        </is>
      </c>
      <c r="DN10" t="inlineStr">
        <is>
          <t>ORANGE</t>
        </is>
      </c>
      <c r="DO10" t="n">
        <v>2</v>
      </c>
      <c r="DP10" t="inlineStr">
        <is>
          <t>Purchase</t>
        </is>
      </c>
      <c r="DS10" s="228" t="inlineStr">
        <is>
          <t>Vendor sent wrong material</t>
        </is>
      </c>
      <c r="DT10" s="228" t="inlineStr">
        <is>
          <t>S003</t>
        </is>
      </c>
    </row>
    <row r="11">
      <c r="A11" s="219" t="n"/>
      <c r="B11" s="8" t="inlineStr">
        <is>
          <t>P2</t>
        </is>
      </c>
      <c r="C11" s="8" t="inlineStr">
        <is>
          <t>SW</t>
        </is>
      </c>
      <c r="D11" s="410" t="inlineStr">
        <is>
          <t>P2-03</t>
        </is>
      </c>
      <c r="E11" s="411" t="inlineStr">
        <is>
          <t>SW Documents Submission</t>
        </is>
      </c>
      <c r="F11" s="8" t="n">
        <v>1</v>
      </c>
      <c r="G11" s="8" t="n">
        <v>1</v>
      </c>
      <c r="H11" s="8" t="n">
        <v>1</v>
      </c>
      <c r="I11" s="8" t="n">
        <v>3</v>
      </c>
      <c r="J11" s="8" t="n">
        <v>8</v>
      </c>
      <c r="K11" s="233" t="n"/>
      <c r="L11" s="233" t="n"/>
      <c r="M11" s="233" t="n"/>
      <c r="N11" s="233" t="n"/>
      <c r="O11" s="233" t="n"/>
      <c r="P11" s="233" t="n"/>
      <c r="Q11" s="233" t="n"/>
      <c r="R11" s="233" t="n"/>
      <c r="S11" s="233" t="n"/>
      <c r="T11" s="233" t="n"/>
      <c r="U11" s="233" t="n"/>
      <c r="V11" s="233" t="n"/>
      <c r="W11" s="233" t="n"/>
      <c r="X11" s="233" t="n"/>
      <c r="Y11" t="inlineStr">
        <is>
          <t>Electrician</t>
        </is>
      </c>
      <c r="AJ11" s="160" t="inlineStr">
        <is>
          <t>HW Efforts</t>
        </is>
      </c>
      <c r="AK11" s="160" t="inlineStr">
        <is>
          <t>SW Efforts</t>
        </is>
      </c>
      <c r="AL11" s="160" t="inlineStr">
        <is>
          <t>No of Panels</t>
        </is>
      </c>
      <c r="AM11" s="180" t="inlineStr">
        <is>
          <t>Panel Packaging Type</t>
        </is>
      </c>
      <c r="AN11" s="183" t="inlineStr">
        <is>
          <t>Lead Time</t>
        </is>
      </c>
      <c r="AP11" s="11" t="n">
        <v>1</v>
      </c>
      <c r="AQ11" s="102" t="inlineStr">
        <is>
          <t>Init</t>
        </is>
      </c>
      <c r="AR11" s="102" t="inlineStr">
        <is>
          <t>Init</t>
        </is>
      </c>
      <c r="AS11" s="106">
        <f>IF(PRODUCT(AT11:CN11)=1,1,0)</f>
        <v/>
      </c>
      <c r="AT11" s="103" t="n"/>
      <c r="AU11" s="105">
        <f>INDEX(PrjSch!$Z:$Z,MATCH(AU$9,PrjSch!$I:$I,0))</f>
        <v/>
      </c>
      <c r="AV11" s="103" t="n"/>
      <c r="AW11" s="103" t="n"/>
      <c r="AX11" s="103" t="n"/>
      <c r="AY11" s="103" t="n"/>
      <c r="AZ11" s="103" t="n"/>
      <c r="BA11" s="103" t="n"/>
      <c r="BB11" s="103" t="n"/>
      <c r="BC11" s="103" t="n"/>
      <c r="BD11" s="103" t="n"/>
      <c r="BE11" s="103" t="n"/>
      <c r="BF11" s="103" t="n"/>
      <c r="BG11" s="103" t="n"/>
      <c r="BH11" s="103" t="n"/>
      <c r="BI11" s="103" t="n"/>
      <c r="BJ11" s="103" t="n"/>
      <c r="BK11" s="103" t="n"/>
      <c r="BL11" s="103" t="n"/>
      <c r="BM11" s="103" t="n"/>
      <c r="BN11" s="103" t="n"/>
      <c r="BO11" s="103" t="n"/>
      <c r="BP11" s="103" t="n"/>
      <c r="BQ11" s="103" t="n"/>
      <c r="BR11" s="103" t="n"/>
      <c r="BS11" s="103" t="n"/>
      <c r="BT11" s="103" t="n"/>
      <c r="BU11" s="103" t="n"/>
      <c r="BV11" s="103" t="n"/>
      <c r="BW11" s="103" t="n"/>
      <c r="BX11" s="103" t="n"/>
      <c r="BY11" s="103" t="n"/>
      <c r="BZ11" s="103" t="n"/>
      <c r="CA11" s="103" t="n"/>
      <c r="CB11" s="103" t="n"/>
      <c r="CC11" s="103" t="n"/>
      <c r="CD11" s="103" t="n"/>
      <c r="CE11" s="103" t="n"/>
      <c r="CF11" s="103" t="n"/>
      <c r="CG11" s="103" t="n"/>
      <c r="CH11" s="103" t="n"/>
      <c r="CI11" s="103" t="n"/>
      <c r="CJ11" s="103" t="n"/>
      <c r="CK11" s="103" t="n"/>
      <c r="CL11" s="103" t="n"/>
      <c r="CM11" s="103" t="n"/>
      <c r="CN11" s="103" t="n"/>
      <c r="DM11" t="inlineStr">
        <is>
          <t>Softw</t>
        </is>
      </c>
      <c r="DN11" s="250" t="inlineStr">
        <is>
          <t>LitBLUE</t>
        </is>
      </c>
      <c r="DO11" t="n">
        <v>3</v>
      </c>
      <c r="DP11" t="inlineStr">
        <is>
          <t>Software</t>
        </is>
      </c>
      <c r="DS11" s="228" t="inlineStr">
        <is>
          <t>Material Quality cocnern</t>
        </is>
      </c>
      <c r="DT11" s="228" t="inlineStr">
        <is>
          <t>S004</t>
        </is>
      </c>
    </row>
    <row r="12">
      <c r="A12" s="219" t="n"/>
      <c r="B12" s="8" t="inlineStr">
        <is>
          <t>P3</t>
        </is>
      </c>
      <c r="C12" s="8" t="inlineStr">
        <is>
          <t>SW</t>
        </is>
      </c>
      <c r="D12" s="410" t="inlineStr">
        <is>
          <t>P3-01</t>
        </is>
      </c>
      <c r="E12" s="411" t="inlineStr">
        <is>
          <t>SW Documents Approval</t>
        </is>
      </c>
      <c r="F12" s="8" t="n">
        <v>4</v>
      </c>
      <c r="G12" s="8" t="n">
        <v>6</v>
      </c>
      <c r="H12" s="8" t="n">
        <v>8</v>
      </c>
      <c r="I12" s="8" t="n">
        <v>10</v>
      </c>
      <c r="J12" s="8" t="n">
        <v>10</v>
      </c>
      <c r="K12" s="233" t="n"/>
      <c r="L12" s="233" t="n"/>
      <c r="M12" s="233" t="n"/>
      <c r="N12" s="233" t="n"/>
      <c r="O12" s="233" t="n"/>
      <c r="P12" s="233" t="n"/>
      <c r="Q12" s="233" t="n"/>
      <c r="R12" s="233" t="n"/>
      <c r="S12" s="233" t="n"/>
      <c r="T12" s="233" t="n"/>
      <c r="U12" s="233" t="n"/>
      <c r="V12" s="233" t="n"/>
      <c r="W12" s="233" t="n"/>
      <c r="X12" s="233" t="n"/>
      <c r="Y12" t="inlineStr">
        <is>
          <t>Engineer</t>
        </is>
      </c>
      <c r="AI12" s="161" t="inlineStr">
        <is>
          <t>Small</t>
        </is>
      </c>
      <c r="AJ12" s="162" t="inlineStr">
        <is>
          <t>1,4</t>
        </is>
      </c>
      <c r="AK12" s="162" t="inlineStr">
        <is>
          <t>1,14</t>
        </is>
      </c>
      <c r="AL12" s="239" t="inlineStr">
        <is>
          <t>1,5</t>
        </is>
      </c>
      <c r="AM12" s="181" t="inlineStr">
        <is>
          <t xml:space="preserve">Client's Scope </t>
        </is>
      </c>
      <c r="AN12" s="182" t="n">
        <v>0</v>
      </c>
      <c r="AP12" s="11" t="n">
        <v>2</v>
      </c>
      <c r="AQ12" s="102" t="inlineStr">
        <is>
          <t>SWInput</t>
        </is>
      </c>
      <c r="AR12" s="102" t="inlineStr">
        <is>
          <t>SWInput</t>
        </is>
      </c>
      <c r="AS12" s="106">
        <f>IF(PRODUCT(AT12:CN12)=1,1,0)</f>
        <v/>
      </c>
      <c r="AT12" s="103" t="n"/>
      <c r="AU12" s="103" t="n"/>
      <c r="AV12" s="105">
        <f>INDEX(PrjSch!$Z:$Z,MATCH(AV$9,PrjSch!$I:$I,0))</f>
        <v/>
      </c>
      <c r="AW12" s="103" t="n"/>
      <c r="AX12" s="103" t="n"/>
      <c r="AY12" s="103" t="n"/>
      <c r="AZ12" s="103" t="n"/>
      <c r="BA12" s="103" t="n"/>
      <c r="BB12" s="103" t="n"/>
      <c r="BC12" s="103" t="n"/>
      <c r="BD12" s="103" t="n"/>
      <c r="BE12" s="103" t="n"/>
      <c r="BF12" s="103" t="n"/>
      <c r="BG12" s="103" t="n"/>
      <c r="BH12" s="103" t="n"/>
      <c r="BI12" s="103" t="n"/>
      <c r="BJ12" s="103" t="n"/>
      <c r="BK12" s="103" t="n"/>
      <c r="BL12" s="103" t="n"/>
      <c r="BM12" s="103" t="n"/>
      <c r="BN12" s="103" t="n"/>
      <c r="BO12" s="103" t="n"/>
      <c r="BP12" s="103" t="n"/>
      <c r="BQ12" s="103" t="n"/>
      <c r="BR12" s="103" t="n"/>
      <c r="BS12" s="103" t="n"/>
      <c r="BT12" s="103" t="n"/>
      <c r="BU12" s="103" t="n"/>
      <c r="BV12" s="103" t="n"/>
      <c r="BW12" s="103" t="n"/>
      <c r="BX12" s="103" t="n"/>
      <c r="BY12" s="103" t="n"/>
      <c r="BZ12" s="103" t="n"/>
      <c r="CA12" s="103" t="n"/>
      <c r="CB12" s="103" t="n"/>
      <c r="CC12" s="103" t="n"/>
      <c r="CD12" s="103" t="n"/>
      <c r="CE12" s="103" t="n"/>
      <c r="CF12" s="103" t="n"/>
      <c r="CG12" s="103" t="n"/>
      <c r="CH12" s="103" t="n"/>
      <c r="CI12" s="103" t="n"/>
      <c r="CJ12" s="103" t="n"/>
      <c r="CK12" s="103" t="n"/>
      <c r="CL12" s="103" t="n"/>
      <c r="CM12" s="103" t="n"/>
      <c r="CN12" s="103" t="n"/>
      <c r="DM12" t="inlineStr">
        <is>
          <t>PM</t>
        </is>
      </c>
      <c r="DN12" t="inlineStr">
        <is>
          <t>BLUE</t>
        </is>
      </c>
      <c r="DO12" t="n">
        <v>4</v>
      </c>
      <c r="DP12" t="inlineStr">
        <is>
          <t>Project Management</t>
        </is>
      </c>
      <c r="DS12" s="228" t="inlineStr">
        <is>
          <t>Wrong Material ordered</t>
        </is>
      </c>
      <c r="DT12" s="228" t="inlineStr">
        <is>
          <t>E001</t>
        </is>
      </c>
    </row>
    <row r="13">
      <c r="A13" s="219" t="n"/>
      <c r="B13" s="8" t="inlineStr">
        <is>
          <t>P3</t>
        </is>
      </c>
      <c r="C13" s="8" t="inlineStr">
        <is>
          <t>SW</t>
        </is>
      </c>
      <c r="D13" s="410" t="inlineStr">
        <is>
          <t>P3-02</t>
        </is>
      </c>
      <c r="E13" s="411" t="inlineStr">
        <is>
          <t>Drive SW</t>
        </is>
      </c>
      <c r="F13" s="8" t="n">
        <v>21</v>
      </c>
      <c r="G13" s="8" t="n">
        <v>35</v>
      </c>
      <c r="H13" s="8" t="n">
        <v>63</v>
      </c>
      <c r="I13" s="8" t="n">
        <v>75</v>
      </c>
      <c r="J13" s="8" t="n">
        <v>90</v>
      </c>
      <c r="K13" s="233" t="n"/>
      <c r="L13" s="233" t="n"/>
      <c r="M13" s="233" t="n"/>
      <c r="N13" s="233" t="n"/>
      <c r="O13" s="233" t="n"/>
      <c r="P13" s="233" t="n"/>
      <c r="Q13" s="233" t="n"/>
      <c r="R13" s="233" t="n"/>
      <c r="S13" s="233" t="n"/>
      <c r="T13" s="233" t="n"/>
      <c r="U13" s="233" t="n"/>
      <c r="V13" s="233" t="n"/>
      <c r="W13" s="233" t="n"/>
      <c r="X13" s="233" t="n"/>
      <c r="Y13" t="inlineStr">
        <is>
          <t>Engineer</t>
        </is>
      </c>
      <c r="AI13" s="161" t="inlineStr">
        <is>
          <t>Medium</t>
        </is>
      </c>
      <c r="AJ13" s="162" t="inlineStr">
        <is>
          <t>5,10</t>
        </is>
      </c>
      <c r="AK13" s="162" t="inlineStr">
        <is>
          <t>15,60</t>
        </is>
      </c>
      <c r="AL13" s="239" t="inlineStr">
        <is>
          <t>6,15</t>
        </is>
      </c>
      <c r="AM13" s="179" t="inlineStr">
        <is>
          <t>Domestic Crate Econo</t>
        </is>
      </c>
      <c r="AN13" s="182" t="n">
        <v>1</v>
      </c>
      <c r="AP13" s="11" t="n">
        <v>3</v>
      </c>
      <c r="AQ13" s="102" t="inlineStr">
        <is>
          <t>Design</t>
        </is>
      </c>
      <c r="AR13" s="102" t="inlineStr">
        <is>
          <t>Design</t>
        </is>
      </c>
      <c r="AS13" s="106">
        <f>IF(PRODUCT(AT13:CN13)=1,1,0)</f>
        <v/>
      </c>
      <c r="AT13" s="103" t="n"/>
      <c r="AU13" s="103" t="n"/>
      <c r="AV13" s="103" t="n"/>
      <c r="AW13" s="105">
        <f>INDEX(PrjSch!$Z:$Z,MATCH(AW$9,PrjSch!$I:$I,0))</f>
        <v/>
      </c>
      <c r="AX13" s="105">
        <f>INDEX(PrjSch!$Z:$Z,MATCH(AX$9,PrjSch!$I:$I,0))</f>
        <v/>
      </c>
      <c r="AY13" s="103" t="n"/>
      <c r="AZ13" s="103" t="n"/>
      <c r="BA13" s="103" t="n"/>
      <c r="BB13" s="103" t="n"/>
      <c r="BC13" s="103" t="n"/>
      <c r="BD13" s="103" t="n"/>
      <c r="BE13" s="103" t="n"/>
      <c r="BF13" s="103" t="n"/>
      <c r="BG13" s="103" t="n"/>
      <c r="BH13" s="103" t="n"/>
      <c r="BI13" s="103" t="n"/>
      <c r="BJ13" s="103" t="n"/>
      <c r="BK13" s="103" t="n"/>
      <c r="BL13" s="103" t="n"/>
      <c r="BM13" s="103" t="n"/>
      <c r="BN13" s="103" t="n"/>
      <c r="BO13" s="103" t="n"/>
      <c r="BP13" s="103" t="n"/>
      <c r="BQ13" s="103" t="n"/>
      <c r="BR13" s="103" t="n"/>
      <c r="BS13" s="103" t="n"/>
      <c r="BT13" s="103" t="n"/>
      <c r="BU13" s="103" t="n"/>
      <c r="BV13" s="103" t="n"/>
      <c r="BW13" s="103" t="n"/>
      <c r="BX13" s="103" t="n"/>
      <c r="BY13" s="103" t="n"/>
      <c r="BZ13" s="103" t="n"/>
      <c r="CA13" s="103" t="n"/>
      <c r="CB13" s="103" t="n"/>
      <c r="CC13" s="103" t="n"/>
      <c r="CD13" s="103" t="n"/>
      <c r="CE13" s="103" t="n"/>
      <c r="CF13" s="103" t="n"/>
      <c r="CG13" s="103" t="n"/>
      <c r="CH13" s="103" t="n"/>
      <c r="CI13" s="103" t="n"/>
      <c r="CJ13" s="103" t="n"/>
      <c r="CK13" s="103" t="n"/>
      <c r="CL13" s="103" t="n"/>
      <c r="CM13" s="103" t="n"/>
      <c r="CN13" s="103" t="n"/>
      <c r="DM13" t="inlineStr">
        <is>
          <t>Mfg</t>
        </is>
      </c>
      <c r="DN13" t="inlineStr">
        <is>
          <t>BROWN</t>
        </is>
      </c>
      <c r="DO13" t="n">
        <v>5</v>
      </c>
      <c r="DP13" s="250" t="inlineStr">
        <is>
          <t>Manufacturing</t>
        </is>
      </c>
      <c r="DS13" s="228" t="inlineStr">
        <is>
          <t>Short of material ordering</t>
        </is>
      </c>
      <c r="DT13" s="228" t="inlineStr">
        <is>
          <t>E002</t>
        </is>
      </c>
    </row>
    <row r="14">
      <c r="A14" s="219" t="n"/>
      <c r="B14" s="8" t="inlineStr">
        <is>
          <t>P3</t>
        </is>
      </c>
      <c r="C14" s="8" t="inlineStr">
        <is>
          <t>SW</t>
        </is>
      </c>
      <c r="D14" s="410" t="inlineStr">
        <is>
          <t>P3-03</t>
        </is>
      </c>
      <c r="E14" s="411" t="inlineStr">
        <is>
          <t>PLC SW</t>
        </is>
      </c>
      <c r="F14" s="8" t="n"/>
      <c r="G14" s="8" t="n"/>
      <c r="H14" s="8" t="n"/>
      <c r="I14" s="8" t="n"/>
      <c r="J14" s="8" t="n"/>
      <c r="K14" s="233" t="n"/>
      <c r="L14" s="233" t="n"/>
      <c r="M14" s="233" t="n"/>
      <c r="N14" s="233" t="n"/>
      <c r="O14" s="233" t="n"/>
      <c r="P14" s="233" t="n"/>
      <c r="Q14" s="233" t="n"/>
      <c r="R14" s="233" t="n"/>
      <c r="S14" s="233" t="n"/>
      <c r="T14" s="233" t="n"/>
      <c r="U14" s="233" t="n"/>
      <c r="V14" s="233" t="n"/>
      <c r="W14" s="233" t="n"/>
      <c r="X14" s="233" t="n"/>
      <c r="Y14" t="inlineStr">
        <is>
          <t>Supervisor</t>
        </is>
      </c>
      <c r="AI14" s="161" t="inlineStr">
        <is>
          <t>Large</t>
        </is>
      </c>
      <c r="AJ14" s="163" t="inlineStr">
        <is>
          <t>11,50</t>
        </is>
      </c>
      <c r="AK14" s="164" t="inlineStr">
        <is>
          <t>61,100</t>
        </is>
      </c>
      <c r="AL14" s="239" t="inlineStr">
        <is>
          <t>16,25</t>
        </is>
      </c>
      <c r="AM14" s="179" t="inlineStr">
        <is>
          <t>Domestic Crate Std</t>
        </is>
      </c>
      <c r="AN14" s="182" t="n">
        <v>1</v>
      </c>
      <c r="AP14" s="11" t="n">
        <v>4</v>
      </c>
      <c r="AQ14" s="102" t="inlineStr">
        <is>
          <t>SWDocs</t>
        </is>
      </c>
      <c r="AR14" s="102" t="inlineStr">
        <is>
          <t>SWDocs</t>
        </is>
      </c>
      <c r="AS14" s="106">
        <f>IF(PRODUCT(AT14:CN14)=1,1,0)</f>
        <v/>
      </c>
      <c r="AT14" s="103" t="n"/>
      <c r="AU14" s="103" t="n"/>
      <c r="AV14" s="103" t="n"/>
      <c r="AW14" s="103" t="n"/>
      <c r="AX14" s="103" t="n"/>
      <c r="AY14" s="105">
        <f>INDEX(PrjSch!$Z:$Z,MATCH(AY$9,PrjSch!$I:$I,0))</f>
        <v/>
      </c>
      <c r="AZ14" s="103" t="n"/>
      <c r="BA14" s="103" t="n"/>
      <c r="BB14" s="103" t="n"/>
      <c r="BC14" s="103" t="n"/>
      <c r="BD14" s="103" t="n"/>
      <c r="BE14" s="103" t="n"/>
      <c r="BF14" s="103" t="n"/>
      <c r="BG14" s="103" t="n"/>
      <c r="BH14" s="103" t="n"/>
      <c r="BI14" s="103" t="n"/>
      <c r="BJ14" s="103" t="n"/>
      <c r="BK14" s="103" t="n"/>
      <c r="BL14" s="103" t="n"/>
      <c r="BM14" s="103" t="n"/>
      <c r="BN14" s="103" t="n"/>
      <c r="BO14" s="103" t="n"/>
      <c r="BP14" s="103" t="n"/>
      <c r="BQ14" s="103" t="n"/>
      <c r="BR14" s="103" t="n"/>
      <c r="BS14" s="103" t="n"/>
      <c r="BT14" s="103" t="n"/>
      <c r="BU14" s="103" t="n"/>
      <c r="BV14" s="103" t="n"/>
      <c r="BW14" s="103" t="n"/>
      <c r="BX14" s="103" t="n"/>
      <c r="BY14" s="103" t="n"/>
      <c r="BZ14" s="103" t="n"/>
      <c r="CA14" s="103" t="n"/>
      <c r="CB14" s="103" t="n"/>
      <c r="CC14" s="103" t="n"/>
      <c r="CD14" s="103" t="n"/>
      <c r="CE14" s="103" t="n"/>
      <c r="CF14" s="103" t="n"/>
      <c r="CG14" s="103" t="n"/>
      <c r="CH14" s="103" t="n"/>
      <c r="CI14" s="103" t="n"/>
      <c r="CJ14" s="103" t="n"/>
      <c r="CK14" s="103" t="n"/>
      <c r="CL14" s="103" t="n"/>
      <c r="CM14" s="103" t="n"/>
      <c r="CN14" s="103" t="n"/>
      <c r="DM14" s="310" t="inlineStr">
        <is>
          <t>Sales</t>
        </is>
      </c>
      <c r="DN14" s="310" t="inlineStr">
        <is>
          <t>CYAN</t>
        </is>
      </c>
      <c r="DO14" t="n">
        <v>6</v>
      </c>
      <c r="DP14" s="310" t="inlineStr">
        <is>
          <t>Sales</t>
        </is>
      </c>
      <c r="DS14" s="228" t="inlineStr">
        <is>
          <t>WD corrections</t>
        </is>
      </c>
      <c r="DT14" s="228" t="inlineStr">
        <is>
          <t>E003</t>
        </is>
      </c>
    </row>
    <row r="15">
      <c r="A15" s="219" t="n"/>
      <c r="B15" s="8" t="inlineStr">
        <is>
          <t>P3</t>
        </is>
      </c>
      <c r="C15" s="8" t="inlineStr">
        <is>
          <t>SW</t>
        </is>
      </c>
      <c r="D15" s="410" t="inlineStr">
        <is>
          <t>P3-04</t>
        </is>
      </c>
      <c r="E15" s="411" t="inlineStr">
        <is>
          <t>HMI/SCADA</t>
        </is>
      </c>
      <c r="F15" s="8" t="n"/>
      <c r="G15" s="8" t="n"/>
      <c r="H15" s="8" t="n"/>
      <c r="I15" s="8" t="n"/>
      <c r="J15" s="8" t="n"/>
      <c r="K15" s="233" t="n"/>
      <c r="L15" s="233" t="n"/>
      <c r="M15" s="233" t="n"/>
      <c r="N15" s="233" t="n"/>
      <c r="O15" s="233" t="n"/>
      <c r="P15" s="233" t="n"/>
      <c r="Q15" s="233" t="n"/>
      <c r="R15" s="233" t="n"/>
      <c r="S15" s="233" t="n"/>
      <c r="T15" s="233" t="n"/>
      <c r="U15" s="233" t="n"/>
      <c r="V15" s="233" t="n"/>
      <c r="W15" s="233" t="n"/>
      <c r="X15" s="233" t="n"/>
      <c r="Y15" t="inlineStr">
        <is>
          <t>Engineer</t>
        </is>
      </c>
      <c r="AI15" s="161" t="inlineStr">
        <is>
          <t>Very Large</t>
        </is>
      </c>
      <c r="AJ15" s="163" t="inlineStr">
        <is>
          <t>51,75</t>
        </is>
      </c>
      <c r="AK15" s="164" t="inlineStr">
        <is>
          <t>101,150</t>
        </is>
      </c>
      <c r="AL15" s="239" t="inlineStr">
        <is>
          <t>26,50</t>
        </is>
      </c>
      <c r="AM15" s="179" t="inlineStr">
        <is>
          <t>Domestic Box Wood</t>
        </is>
      </c>
      <c r="AN15" s="182" t="n">
        <v>1</v>
      </c>
      <c r="AP15" s="11" t="n">
        <v>5</v>
      </c>
      <c r="AQ15" s="102" t="inlineStr">
        <is>
          <t>SWDocsAprv</t>
        </is>
      </c>
      <c r="AR15" s="102" t="inlineStr">
        <is>
          <t>SWDocsAprv</t>
        </is>
      </c>
      <c r="AS15" s="106">
        <f>IF(PRODUCT(AT15:CN15)=1,1,0)</f>
        <v/>
      </c>
      <c r="AT15" s="103" t="n"/>
      <c r="AU15" s="103" t="n"/>
      <c r="AV15" s="103" t="n"/>
      <c r="AW15" s="103" t="n"/>
      <c r="AX15" s="103" t="n"/>
      <c r="AY15" s="103" t="n"/>
      <c r="AZ15" s="105">
        <f>INDEX(PrjSch!$Z:$Z,MATCH(AZ$9,PrjSch!$I:$I,0))</f>
        <v/>
      </c>
      <c r="BA15" s="103" t="n"/>
      <c r="BB15" s="103" t="n"/>
      <c r="BC15" s="103" t="n"/>
      <c r="BD15" s="103" t="n"/>
      <c r="BE15" s="103" t="n"/>
      <c r="BF15" s="103" t="n"/>
      <c r="BG15" s="103" t="n"/>
      <c r="BH15" s="103" t="n"/>
      <c r="BI15" s="103" t="n"/>
      <c r="BJ15" s="103" t="n"/>
      <c r="BK15" s="103" t="n"/>
      <c r="BL15" s="103" t="n"/>
      <c r="BM15" s="103" t="n"/>
      <c r="BN15" s="103" t="n"/>
      <c r="BO15" s="103" t="n"/>
      <c r="BP15" s="103" t="n"/>
      <c r="BQ15" s="103" t="n"/>
      <c r="BR15" s="103" t="n"/>
      <c r="BS15" s="103" t="n"/>
      <c r="BT15" s="103" t="n"/>
      <c r="BU15" s="103" t="n"/>
      <c r="BV15" s="103" t="n"/>
      <c r="BW15" s="103" t="n"/>
      <c r="BX15" s="103" t="n"/>
      <c r="BY15" s="103" t="n"/>
      <c r="BZ15" s="103" t="n"/>
      <c r="CA15" s="103" t="n"/>
      <c r="CB15" s="103" t="n"/>
      <c r="CC15" s="103" t="n"/>
      <c r="CD15" s="103" t="n"/>
      <c r="CE15" s="103" t="n"/>
      <c r="CF15" s="103" t="n"/>
      <c r="CG15" s="103" t="n"/>
      <c r="CH15" s="103" t="n"/>
      <c r="CI15" s="103" t="n"/>
      <c r="CJ15" s="103" t="n"/>
      <c r="CK15" s="103" t="n"/>
      <c r="CL15" s="103" t="n"/>
      <c r="CM15" s="103" t="n"/>
      <c r="CN15" s="103" t="n"/>
      <c r="DM15" s="310" t="inlineStr">
        <is>
          <t>Client</t>
        </is>
      </c>
      <c r="DN15" s="310" t="inlineStr">
        <is>
          <t>PURPLE</t>
        </is>
      </c>
      <c r="DO15" t="n">
        <v>7</v>
      </c>
      <c r="DP15" s="310" t="inlineStr">
        <is>
          <t>Client</t>
        </is>
      </c>
      <c r="DS15" s="228" t="inlineStr">
        <is>
          <t>Project Priority changed</t>
        </is>
      </c>
      <c r="DT15" s="228" t="inlineStr">
        <is>
          <t>D003</t>
        </is>
      </c>
    </row>
    <row r="16">
      <c r="A16" s="219" t="n"/>
      <c r="B16" s="8" t="inlineStr">
        <is>
          <t>P3</t>
        </is>
      </c>
      <c r="C16" s="8" t="inlineStr">
        <is>
          <t>SW</t>
        </is>
      </c>
      <c r="D16" s="410" t="inlineStr">
        <is>
          <t>P3-05</t>
        </is>
      </c>
      <c r="E16" s="411" t="inlineStr">
        <is>
          <t>Report</t>
        </is>
      </c>
      <c r="F16" s="8" t="n"/>
      <c r="G16" s="8" t="n"/>
      <c r="H16" s="8" t="n"/>
      <c r="I16" s="8" t="n"/>
      <c r="J16" s="8" t="n"/>
      <c r="K16" s="233" t="n"/>
      <c r="L16" s="233" t="n"/>
      <c r="M16" s="233" t="n"/>
      <c r="N16" s="233" t="n"/>
      <c r="O16" s="233" t="n"/>
      <c r="P16" s="233" t="n"/>
      <c r="Q16" s="233" t="n"/>
      <c r="R16" s="233" t="n"/>
      <c r="S16" s="233" t="n"/>
      <c r="T16" s="233" t="n"/>
      <c r="U16" s="233" t="n"/>
      <c r="V16" s="233" t="n"/>
      <c r="W16" s="233" t="n"/>
      <c r="X16" s="233" t="n"/>
      <c r="Y16" t="inlineStr">
        <is>
          <t>Engineer</t>
        </is>
      </c>
      <c r="AI16" s="161" t="inlineStr">
        <is>
          <t>Non-Standard</t>
        </is>
      </c>
      <c r="AJ16" s="165" t="n">
        <v>76</v>
      </c>
      <c r="AK16" s="165" t="n">
        <v>151</v>
      </c>
      <c r="AL16" s="165" t="n">
        <v>51</v>
      </c>
      <c r="AM16" s="179" t="inlineStr">
        <is>
          <t>Domestic Box Ply+Wood</t>
        </is>
      </c>
      <c r="AN16" s="182" t="n">
        <v>2</v>
      </c>
      <c r="AP16" s="11" t="n">
        <v>6</v>
      </c>
      <c r="AQ16" s="102" t="inlineStr">
        <is>
          <t>DriveSW</t>
        </is>
      </c>
      <c r="AR16" s="102" t="inlineStr">
        <is>
          <t>DriveSW</t>
        </is>
      </c>
      <c r="AS16" s="106">
        <f>IF(PRODUCT(AT16:CN16)=1,1,0)</f>
        <v/>
      </c>
      <c r="AT16" s="103" t="n"/>
      <c r="AU16" s="103" t="n"/>
      <c r="AV16" s="103" t="n"/>
      <c r="AW16" s="103" t="n"/>
      <c r="AX16" s="103" t="n"/>
      <c r="AY16" s="103" t="n"/>
      <c r="AZ16" s="103" t="n"/>
      <c r="BA16" s="105">
        <f>INDEX(PrjSch!$Z:$Z,MATCH(BA$9,PrjSch!$I:$I,0))</f>
        <v/>
      </c>
      <c r="BB16" s="103" t="n"/>
      <c r="BC16" s="103" t="n"/>
      <c r="BD16" s="103" t="n"/>
      <c r="BE16" s="103" t="n"/>
      <c r="BF16" s="103" t="n"/>
      <c r="BG16" s="103" t="n"/>
      <c r="BH16" s="103" t="n"/>
      <c r="BI16" s="103" t="n"/>
      <c r="BJ16" s="103" t="n"/>
      <c r="BK16" s="103" t="n"/>
      <c r="BL16" s="103" t="n"/>
      <c r="BM16" s="103" t="n"/>
      <c r="BN16" s="103" t="n"/>
      <c r="BO16" s="103" t="n"/>
      <c r="BP16" s="103" t="n"/>
      <c r="BQ16" s="103" t="n"/>
      <c r="BR16" s="103" t="n"/>
      <c r="BS16" s="103" t="n"/>
      <c r="BT16" s="103" t="n"/>
      <c r="BU16" s="103" t="n"/>
      <c r="BV16" s="103" t="n"/>
      <c r="BW16" s="103" t="n"/>
      <c r="BX16" s="103" t="n"/>
      <c r="BY16" s="103" t="n"/>
      <c r="BZ16" s="103" t="n"/>
      <c r="CA16" s="103" t="n"/>
      <c r="CB16" s="103" t="n"/>
      <c r="CC16" s="103" t="n"/>
      <c r="CD16" s="103" t="n"/>
      <c r="CE16" s="103" t="n"/>
      <c r="CF16" s="103" t="n"/>
      <c r="CG16" s="103" t="n"/>
      <c r="CH16" s="103" t="n"/>
      <c r="CI16" s="103" t="n"/>
      <c r="CJ16" s="103" t="n"/>
      <c r="CK16" s="103" t="n"/>
      <c r="CL16" s="103" t="n"/>
      <c r="CM16" s="103" t="n"/>
      <c r="CN16" s="103" t="n"/>
      <c r="DS16" s="228" t="inlineStr">
        <is>
          <t>WD changed</t>
        </is>
      </c>
      <c r="DT16" s="228" t="inlineStr">
        <is>
          <t>D004</t>
        </is>
      </c>
    </row>
    <row r="17">
      <c r="A17" s="219" t="n"/>
      <c r="B17" s="8" t="inlineStr">
        <is>
          <t>P3</t>
        </is>
      </c>
      <c r="C17" s="8" t="inlineStr">
        <is>
          <t>SW</t>
        </is>
      </c>
      <c r="D17" s="410" t="inlineStr">
        <is>
          <t>P3-06</t>
        </is>
      </c>
      <c r="E17" s="411" t="inlineStr">
        <is>
          <t>Internal testing</t>
        </is>
      </c>
      <c r="F17" s="8" t="n"/>
      <c r="G17" s="8" t="n"/>
      <c r="H17" s="8" t="n"/>
      <c r="I17" s="8" t="n"/>
      <c r="J17" s="8" t="n"/>
      <c r="K17" s="233" t="n"/>
      <c r="L17" s="233" t="n"/>
      <c r="M17" s="233" t="n"/>
      <c r="N17" s="233" t="n"/>
      <c r="O17" s="233" t="n"/>
      <c r="P17" s="233" t="n"/>
      <c r="Q17" s="233" t="n"/>
      <c r="R17" s="233" t="n"/>
      <c r="S17" s="233" t="n"/>
      <c r="T17" s="233" t="n"/>
      <c r="U17" s="233" t="n"/>
      <c r="V17" s="233" t="n"/>
      <c r="W17" s="233" t="n"/>
      <c r="X17" s="233" t="n"/>
      <c r="Y17" t="inlineStr">
        <is>
          <t>Supervisor</t>
        </is>
      </c>
      <c r="AM17" s="179" t="inlineStr">
        <is>
          <t>Domestic Base Econo</t>
        </is>
      </c>
      <c r="AN17" s="182" t="n">
        <v>2</v>
      </c>
      <c r="AP17" s="11" t="n">
        <v>7</v>
      </c>
      <c r="AQ17" s="102" t="inlineStr">
        <is>
          <t>PLCSW</t>
        </is>
      </c>
      <c r="AR17" s="102" t="inlineStr">
        <is>
          <t>PLCSW</t>
        </is>
      </c>
      <c r="AS17" s="106">
        <f>IF(PRODUCT(AT17:CN17)=1,1,0)</f>
        <v/>
      </c>
      <c r="AT17" s="103" t="n"/>
      <c r="AU17" s="103" t="n"/>
      <c r="AV17" s="103" t="n"/>
      <c r="AW17" s="103" t="n"/>
      <c r="AX17" s="103" t="n"/>
      <c r="AY17" s="103" t="n"/>
      <c r="AZ17" s="103" t="n"/>
      <c r="BA17" s="103" t="n"/>
      <c r="BB17" s="105">
        <f>INDEX(PrjSch!$Z:$Z,MATCH(BB$9,PrjSch!$I:$I,0))</f>
        <v/>
      </c>
      <c r="BC17" s="103" t="n"/>
      <c r="BD17" s="103" t="n"/>
      <c r="BE17" s="103" t="n"/>
      <c r="BF17" s="103" t="n"/>
      <c r="BG17" s="103" t="n"/>
      <c r="BH17" s="103" t="n"/>
      <c r="BI17" s="103" t="n"/>
      <c r="BJ17" s="103" t="n"/>
      <c r="BK17" s="103" t="n"/>
      <c r="BL17" s="103" t="n"/>
      <c r="BM17" s="103" t="n"/>
      <c r="BN17" s="103" t="n"/>
      <c r="BO17" s="103" t="n"/>
      <c r="BP17" s="103" t="n"/>
      <c r="BQ17" s="103" t="n"/>
      <c r="BR17" s="103" t="n"/>
      <c r="BS17" s="103" t="n"/>
      <c r="BT17" s="103" t="n"/>
      <c r="BU17" s="103" t="n"/>
      <c r="BV17" s="103" t="n"/>
      <c r="BW17" s="103" t="n"/>
      <c r="BX17" s="103" t="n"/>
      <c r="BY17" s="103" t="n"/>
      <c r="BZ17" s="103" t="n"/>
      <c r="CA17" s="103" t="n"/>
      <c r="CB17" s="103" t="n"/>
      <c r="CC17" s="103" t="n"/>
      <c r="CD17" s="103" t="n"/>
      <c r="CE17" s="103" t="n"/>
      <c r="CF17" s="103" t="n"/>
      <c r="CG17" s="103" t="n"/>
      <c r="CH17" s="103" t="n"/>
      <c r="CI17" s="103" t="n"/>
      <c r="CJ17" s="103" t="n"/>
      <c r="CK17" s="103" t="n"/>
      <c r="CL17" s="103" t="n"/>
      <c r="CM17" s="103" t="n"/>
      <c r="CN17" s="103" t="n"/>
      <c r="DS17" s="228" t="inlineStr">
        <is>
          <t>Mechanical rework</t>
        </is>
      </c>
      <c r="DT17" s="228" t="inlineStr">
        <is>
          <t>D005</t>
        </is>
      </c>
    </row>
    <row r="18">
      <c r="A18" s="219" t="n"/>
      <c r="B18" s="8" t="inlineStr">
        <is>
          <t>P3</t>
        </is>
      </c>
      <c r="C18" s="8" t="inlineStr">
        <is>
          <t>SW</t>
        </is>
      </c>
      <c r="D18" s="410" t="inlineStr">
        <is>
          <t>P3-07</t>
        </is>
      </c>
      <c r="E18" s="411" t="inlineStr">
        <is>
          <t>SW FAT Call with Test Report</t>
        </is>
      </c>
      <c r="F18" s="8" t="n">
        <v>4</v>
      </c>
      <c r="G18" s="8" t="n">
        <v>5</v>
      </c>
      <c r="H18" s="8" t="n">
        <v>4</v>
      </c>
      <c r="I18" s="8" t="n">
        <v>4</v>
      </c>
      <c r="J18" s="8" t="n">
        <v>4</v>
      </c>
      <c r="K18" s="233" t="n"/>
      <c r="L18" s="233" t="n"/>
      <c r="M18" s="233" t="n"/>
      <c r="N18" s="233" t="n"/>
      <c r="O18" s="233" t="n"/>
      <c r="P18" s="233" t="n"/>
      <c r="Q18" s="233" t="n"/>
      <c r="R18" s="233" t="n"/>
      <c r="S18" s="233" t="n"/>
      <c r="T18" s="233" t="n"/>
      <c r="U18" s="233" t="n"/>
      <c r="V18" s="233" t="n"/>
      <c r="W18" s="233" t="n"/>
      <c r="X18" s="233" t="n"/>
      <c r="Y18" t="inlineStr">
        <is>
          <t>Fitter</t>
        </is>
      </c>
      <c r="AM18" s="179" t="inlineStr">
        <is>
          <t>Export Crate Econo</t>
        </is>
      </c>
      <c r="AN18" s="182" t="n">
        <v>2</v>
      </c>
      <c r="AP18" s="11" t="n">
        <v>8</v>
      </c>
      <c r="AQ18" s="102" t="inlineStr">
        <is>
          <t>SCADA</t>
        </is>
      </c>
      <c r="AR18" s="102" t="inlineStr">
        <is>
          <t>SCADA</t>
        </is>
      </c>
      <c r="AS18" s="106">
        <f>IF(PRODUCT(AT18:CN18)=1,1,0)</f>
        <v/>
      </c>
      <c r="AT18" s="103" t="n"/>
      <c r="AU18" s="103" t="n"/>
      <c r="AV18" s="103" t="n"/>
      <c r="AW18" s="103" t="n"/>
      <c r="AX18" s="103" t="n"/>
      <c r="AY18" s="103" t="n"/>
      <c r="AZ18" s="103" t="n"/>
      <c r="BA18" s="103" t="n"/>
      <c r="BB18" s="103" t="n"/>
      <c r="BC18" s="105">
        <f>INDEX(PrjSch!$Z:$Z,MATCH(BC$9,PrjSch!$I:$I,0))</f>
        <v/>
      </c>
      <c r="BD18" s="103" t="n"/>
      <c r="BE18" s="103" t="n"/>
      <c r="BF18" s="103" t="n"/>
      <c r="BG18" s="103" t="n"/>
      <c r="BH18" s="103" t="n"/>
      <c r="BI18" s="103" t="n"/>
      <c r="BJ18" s="103" t="n"/>
      <c r="BK18" s="103" t="n"/>
      <c r="BL18" s="103" t="n"/>
      <c r="BM18" s="103" t="n"/>
      <c r="BN18" s="103" t="n"/>
      <c r="BO18" s="103" t="n"/>
      <c r="BP18" s="103" t="n"/>
      <c r="BQ18" s="103" t="n"/>
      <c r="BR18" s="103" t="n"/>
      <c r="BS18" s="103" t="n"/>
      <c r="BT18" s="103" t="n"/>
      <c r="BU18" s="103" t="n"/>
      <c r="BV18" s="103" t="n"/>
      <c r="BW18" s="103" t="n"/>
      <c r="BX18" s="103" t="n"/>
      <c r="BY18" s="103" t="n"/>
      <c r="BZ18" s="103" t="n"/>
      <c r="CA18" s="103" t="n"/>
      <c r="CB18" s="103" t="n"/>
      <c r="CC18" s="103" t="n"/>
      <c r="CD18" s="103" t="n"/>
      <c r="CE18" s="103" t="n"/>
      <c r="CF18" s="103" t="n"/>
      <c r="CG18" s="103" t="n"/>
      <c r="CH18" s="103" t="n"/>
      <c r="CI18" s="103" t="n"/>
      <c r="CJ18" s="103" t="n"/>
      <c r="CK18" s="103" t="n"/>
      <c r="CL18" s="103" t="n"/>
      <c r="CM18" s="103" t="n"/>
      <c r="CN18" s="103" t="n"/>
      <c r="DS18" s="228" t="inlineStr">
        <is>
          <t>Electrical rework</t>
        </is>
      </c>
      <c r="DT18" s="228" t="inlineStr">
        <is>
          <t>D006</t>
        </is>
      </c>
    </row>
    <row r="19">
      <c r="A19" s="219" t="n"/>
      <c r="B19" s="8" t="inlineStr">
        <is>
          <t>P3</t>
        </is>
      </c>
      <c r="C19" s="8" t="inlineStr">
        <is>
          <t>SW</t>
        </is>
      </c>
      <c r="D19" s="410" t="inlineStr">
        <is>
          <t>P3-08</t>
        </is>
      </c>
      <c r="E19" s="411" t="inlineStr">
        <is>
          <t>SW FAT</t>
        </is>
      </c>
      <c r="F19" s="8" t="n">
        <v>2</v>
      </c>
      <c r="G19" s="8" t="n">
        <v>2</v>
      </c>
      <c r="H19" s="8" t="n">
        <v>2</v>
      </c>
      <c r="I19" s="8" t="n">
        <v>6</v>
      </c>
      <c r="J19" s="8" t="n">
        <v>8</v>
      </c>
      <c r="K19" s="233" t="n"/>
      <c r="L19" s="233" t="n"/>
      <c r="M19" s="233" t="n"/>
      <c r="N19" s="233" t="n"/>
      <c r="O19" s="233" t="n"/>
      <c r="P19" s="233" t="n"/>
      <c r="Q19" s="233" t="n"/>
      <c r="R19" s="233" t="n"/>
      <c r="S19" s="233" t="n"/>
      <c r="T19" s="233" t="n"/>
      <c r="U19" s="233" t="n"/>
      <c r="V19" s="233" t="n"/>
      <c r="W19" s="233" t="n"/>
      <c r="X19" s="233" t="n"/>
      <c r="Y19" t="inlineStr">
        <is>
          <t>Supervisor</t>
        </is>
      </c>
      <c r="AM19" s="179" t="inlineStr">
        <is>
          <t>Export Box Std</t>
        </is>
      </c>
      <c r="AN19" s="182" t="n">
        <v>3</v>
      </c>
      <c r="AP19" s="11" t="n">
        <v>9</v>
      </c>
      <c r="AQ19" s="102" t="inlineStr">
        <is>
          <t>Report</t>
        </is>
      </c>
      <c r="AR19" s="102" t="inlineStr">
        <is>
          <t>Report</t>
        </is>
      </c>
      <c r="AS19" s="106">
        <f>IF(PRODUCT(AT19:CN19)=1,1,0)</f>
        <v/>
      </c>
      <c r="AT19" s="103" t="n"/>
      <c r="AU19" s="103" t="n"/>
      <c r="AV19" s="103" t="n"/>
      <c r="AW19" s="103" t="n"/>
      <c r="AX19" s="103" t="n"/>
      <c r="AY19" s="103" t="n"/>
      <c r="AZ19" s="103" t="n"/>
      <c r="BA19" s="103" t="n"/>
      <c r="BB19" s="103" t="n"/>
      <c r="BC19" s="103" t="n"/>
      <c r="BD19" s="105">
        <f>INDEX(PrjSch!$Z:$Z,MATCH(BD$9,PrjSch!$I:$I,0))</f>
        <v/>
      </c>
      <c r="BE19" s="103" t="n"/>
      <c r="BF19" s="103" t="n"/>
      <c r="BG19" s="103" t="n"/>
      <c r="BH19" s="103" t="n"/>
      <c r="BI19" s="103" t="n"/>
      <c r="BJ19" s="103" t="n"/>
      <c r="BK19" s="103" t="n"/>
      <c r="BL19" s="103" t="n"/>
      <c r="BM19" s="103" t="n"/>
      <c r="BN19" s="103" t="n"/>
      <c r="BO19" s="103" t="n"/>
      <c r="BP19" s="103" t="n"/>
      <c r="BQ19" s="103" t="n"/>
      <c r="BR19" s="103" t="n"/>
      <c r="BS19" s="103" t="n"/>
      <c r="BT19" s="103" t="n"/>
      <c r="BU19" s="103" t="n"/>
      <c r="BV19" s="103" t="n"/>
      <c r="BW19" s="103" t="n"/>
      <c r="BX19" s="103" t="n"/>
      <c r="BY19" s="103" t="n"/>
      <c r="BZ19" s="103" t="n"/>
      <c r="CA19" s="103" t="n"/>
      <c r="CB19" s="103" t="n"/>
      <c r="CC19" s="103" t="n"/>
      <c r="CD19" s="103" t="n"/>
      <c r="CE19" s="103" t="n"/>
      <c r="CF19" s="103" t="n"/>
      <c r="CG19" s="103" t="n"/>
      <c r="CH19" s="103" t="n"/>
      <c r="CI19" s="103" t="n"/>
      <c r="CJ19" s="103" t="n"/>
      <c r="CK19" s="103" t="n"/>
      <c r="CL19" s="103" t="n"/>
      <c r="CM19" s="103" t="n"/>
      <c r="CN19" s="103" t="n"/>
      <c r="DS19" s="228" t="inlineStr">
        <is>
          <t>Configuration rework</t>
        </is>
      </c>
      <c r="DT19" s="228" t="inlineStr">
        <is>
          <t>D007</t>
        </is>
      </c>
    </row>
    <row r="20">
      <c r="A20" s="219" t="n"/>
      <c r="B20" s="8" t="inlineStr">
        <is>
          <t>P4</t>
        </is>
      </c>
      <c r="C20" s="8" t="inlineStr">
        <is>
          <t>SW</t>
        </is>
      </c>
      <c r="D20" s="410" t="inlineStr">
        <is>
          <t>P4-01</t>
        </is>
      </c>
      <c r="E20" s="411" t="inlineStr">
        <is>
          <t xml:space="preserve">SW FAT Compliance </t>
        </is>
      </c>
      <c r="F20" s="8" t="n">
        <v>2</v>
      </c>
      <c r="G20" s="8" t="n">
        <v>2</v>
      </c>
      <c r="H20" s="8" t="n">
        <v>2</v>
      </c>
      <c r="I20" s="8" t="n">
        <v>4</v>
      </c>
      <c r="J20" s="8" t="n">
        <v>4</v>
      </c>
      <c r="K20" s="233" t="n"/>
      <c r="L20" s="233" t="n"/>
      <c r="M20" s="233" t="n"/>
      <c r="N20" s="233" t="n"/>
      <c r="O20" s="233" t="n"/>
      <c r="P20" s="233" t="n"/>
      <c r="Q20" s="233" t="n"/>
      <c r="R20" s="233" t="n"/>
      <c r="S20" s="233" t="n"/>
      <c r="T20" s="233" t="n"/>
      <c r="U20" s="233" t="n"/>
      <c r="V20" s="233" t="n"/>
      <c r="W20" s="233" t="n"/>
      <c r="X20" s="233" t="n"/>
      <c r="Y20" t="inlineStr">
        <is>
          <t>Engineer</t>
        </is>
      </c>
      <c r="AM20" s="179" t="inlineStr">
        <is>
          <t>Export Box Seaworthy</t>
        </is>
      </c>
      <c r="AN20" s="182" t="n">
        <v>4</v>
      </c>
      <c r="AP20" s="11" t="n">
        <v>10</v>
      </c>
      <c r="AQ20" s="102" t="inlineStr">
        <is>
          <t>InternalTest</t>
        </is>
      </c>
      <c r="AR20" s="102" t="inlineStr">
        <is>
          <t>InternalTest</t>
        </is>
      </c>
      <c r="AS20" s="106">
        <f>IF(PRODUCT(AT20:CN20)=1,1,0)</f>
        <v/>
      </c>
      <c r="AT20" s="103" t="n"/>
      <c r="AU20" s="103" t="n"/>
      <c r="AV20" s="103" t="n"/>
      <c r="AW20" s="103" t="n"/>
      <c r="AX20" s="103" t="n"/>
      <c r="AY20" s="103" t="n"/>
      <c r="AZ20" s="103" t="n"/>
      <c r="BA20" s="103" t="n"/>
      <c r="BB20" s="103" t="n"/>
      <c r="BC20" s="103" t="n"/>
      <c r="BD20" s="103" t="n"/>
      <c r="BE20" s="105">
        <f>INDEX(PrjSch!$Z:$Z,MATCH(BE$9,PrjSch!$I:$I,0))</f>
        <v/>
      </c>
      <c r="BF20" s="103" t="n"/>
      <c r="BG20" s="103" t="n"/>
      <c r="BH20" s="103" t="n"/>
      <c r="BI20" s="103" t="n"/>
      <c r="BJ20" s="103" t="n"/>
      <c r="BK20" s="103" t="n"/>
      <c r="BL20" s="103" t="n"/>
      <c r="BM20" s="103" t="n"/>
      <c r="BN20" s="103" t="n"/>
      <c r="BO20" s="103" t="n"/>
      <c r="BP20" s="103" t="n"/>
      <c r="BQ20" s="103" t="n"/>
      <c r="BR20" s="103" t="n"/>
      <c r="BS20" s="103" t="n"/>
      <c r="BT20" s="103" t="n"/>
      <c r="BU20" s="103" t="n"/>
      <c r="BV20" s="103" t="n"/>
      <c r="BW20" s="103" t="n"/>
      <c r="BX20" s="103" t="n"/>
      <c r="BY20" s="103" t="n"/>
      <c r="BZ20" s="103" t="n"/>
      <c r="CA20" s="103" t="n"/>
      <c r="CB20" s="103" t="n"/>
      <c r="CC20" s="103" t="n"/>
      <c r="CD20" s="103" t="n"/>
      <c r="CE20" s="103" t="n"/>
      <c r="CF20" s="103" t="n"/>
      <c r="CG20" s="103" t="n"/>
      <c r="CH20" s="103" t="n"/>
      <c r="CI20" s="103" t="n"/>
      <c r="CJ20" s="103" t="n"/>
      <c r="CK20" s="103" t="n"/>
      <c r="CL20" s="103" t="n"/>
      <c r="CM20" s="103" t="n"/>
      <c r="CN20" s="103" t="n"/>
      <c r="DS20" s="228" t="inlineStr">
        <is>
          <t>PLC/HMI program concerns</t>
        </is>
      </c>
      <c r="DT20" s="228" t="inlineStr">
        <is>
          <t>D008</t>
        </is>
      </c>
    </row>
    <row r="21">
      <c r="A21" s="219" t="n"/>
      <c r="B21" s="8" t="inlineStr">
        <is>
          <t>P4</t>
        </is>
      </c>
      <c r="C21" s="8" t="inlineStr">
        <is>
          <t>EC</t>
        </is>
      </c>
      <c r="D21" s="410" t="inlineStr">
        <is>
          <t>P4-02</t>
        </is>
      </c>
      <c r="E21" s="411" t="inlineStr">
        <is>
          <t>Installation</t>
        </is>
      </c>
      <c r="F21" s="8" t="n">
        <v>0</v>
      </c>
      <c r="G21" s="8" t="n">
        <v>0</v>
      </c>
      <c r="H21" s="8" t="n">
        <v>0</v>
      </c>
      <c r="I21" s="8" t="n">
        <v>0</v>
      </c>
      <c r="J21" s="8" t="n">
        <v>0</v>
      </c>
      <c r="K21" s="233" t="n"/>
      <c r="L21" s="233" t="n"/>
      <c r="M21" s="233" t="n"/>
      <c r="N21" s="233" t="n"/>
      <c r="O21" s="233" t="n"/>
      <c r="P21" s="233" t="n"/>
      <c r="Q21" s="233" t="n"/>
      <c r="R21" s="233" t="n"/>
      <c r="S21" s="233" t="n"/>
      <c r="T21" s="233" t="n"/>
      <c r="U21" s="233" t="n"/>
      <c r="V21" s="233" t="n"/>
      <c r="W21" s="233" t="n"/>
      <c r="X21" s="233" t="n"/>
      <c r="Y21" t="inlineStr">
        <is>
          <t>Supervisor</t>
        </is>
      </c>
      <c r="AP21" s="11" t="n">
        <v>11</v>
      </c>
      <c r="AQ21" s="102" t="inlineStr">
        <is>
          <t>SWFAT</t>
        </is>
      </c>
      <c r="AR21" s="102" t="inlineStr">
        <is>
          <t>SWFAT</t>
        </is>
      </c>
      <c r="AS21" s="106">
        <f>IF(PRODUCT(AT21:CN21)=1,1,0)</f>
        <v/>
      </c>
      <c r="AT21" s="103" t="n"/>
      <c r="AU21" s="103" t="n"/>
      <c r="AV21" s="103" t="n"/>
      <c r="AW21" s="103" t="n"/>
      <c r="AX21" s="103" t="n"/>
      <c r="AY21" s="103" t="n"/>
      <c r="AZ21" s="103" t="n"/>
      <c r="BA21" s="103" t="n"/>
      <c r="BB21" s="103" t="n"/>
      <c r="BC21" s="103" t="n"/>
      <c r="BD21" s="103" t="n"/>
      <c r="BE21" s="103" t="n"/>
      <c r="BF21" s="105">
        <f>INDEX(PrjSch!$Z:$Z,MATCH(BF$9,PrjSch!$I:$I,0))</f>
        <v/>
      </c>
      <c r="BG21" s="105">
        <f>INDEX(PrjSch!$Z:$Z,MATCH(BG$9,PrjSch!$I:$I,0))</f>
        <v/>
      </c>
      <c r="BH21" s="105">
        <f>INDEX(PrjSch!$Z:$Z,MATCH(BH$9,PrjSch!$I:$I,0))</f>
        <v/>
      </c>
      <c r="BI21" s="103" t="n"/>
      <c r="BJ21" s="103" t="n"/>
      <c r="BK21" s="103" t="n"/>
      <c r="BL21" s="103" t="n"/>
      <c r="BM21" s="103" t="n"/>
      <c r="BN21" s="103" t="n"/>
      <c r="BO21" s="103" t="n"/>
      <c r="BP21" s="103" t="n"/>
      <c r="BQ21" s="103" t="n"/>
      <c r="BR21" s="103" t="n"/>
      <c r="BS21" s="103" t="n"/>
      <c r="BT21" s="103" t="n"/>
      <c r="BU21" s="103" t="n"/>
      <c r="BV21" s="103" t="n"/>
      <c r="BW21" s="103" t="n"/>
      <c r="BX21" s="103" t="n"/>
      <c r="BY21" s="103" t="n"/>
      <c r="BZ21" s="103" t="n"/>
      <c r="CA21" s="103" t="n"/>
      <c r="CB21" s="103" t="n"/>
      <c r="CC21" s="103" t="n"/>
      <c r="CD21" s="103" t="n"/>
      <c r="CE21" s="103" t="n"/>
      <c r="CF21" s="103" t="n"/>
      <c r="CG21" s="103" t="n"/>
      <c r="CH21" s="103" t="n"/>
      <c r="CI21" s="103" t="n"/>
      <c r="CJ21" s="103" t="n"/>
      <c r="CK21" s="103" t="n"/>
      <c r="CL21" s="103" t="n"/>
      <c r="CM21" s="103" t="n"/>
      <c r="CN21" s="103" t="n"/>
      <c r="DS21" s="228" t="inlineStr">
        <is>
          <t>Drive program concerns</t>
        </is>
      </c>
      <c r="DT21" s="228" t="inlineStr">
        <is>
          <t>D009</t>
        </is>
      </c>
    </row>
    <row r="22">
      <c r="A22" s="219" t="n"/>
      <c r="B22" s="8" t="inlineStr">
        <is>
          <t>P4</t>
        </is>
      </c>
      <c r="C22" s="8" t="inlineStr">
        <is>
          <t>EC</t>
        </is>
      </c>
      <c r="D22" s="410" t="inlineStr">
        <is>
          <t>P4-03</t>
        </is>
      </c>
      <c r="E22" s="411" t="inlineStr">
        <is>
          <t>Pre-Commissioning</t>
        </is>
      </c>
      <c r="F22" s="8" t="n">
        <v>0</v>
      </c>
      <c r="G22" s="8" t="n">
        <v>0</v>
      </c>
      <c r="H22" s="8" t="n">
        <v>0</v>
      </c>
      <c r="I22" s="8" t="n">
        <v>0</v>
      </c>
      <c r="J22" s="8" t="n">
        <v>0</v>
      </c>
      <c r="K22" s="233" t="n"/>
      <c r="L22" s="233" t="n"/>
      <c r="M22" s="233" t="n"/>
      <c r="N22" s="233" t="n"/>
      <c r="O22" s="233" t="n"/>
      <c r="P22" s="233" t="n"/>
      <c r="Q22" s="233" t="n"/>
      <c r="R22" s="233" t="n"/>
      <c r="S22" s="233" t="n"/>
      <c r="T22" s="233" t="n"/>
      <c r="U22" s="233" t="n"/>
      <c r="V22" s="233" t="n"/>
      <c r="W22" s="233" t="n"/>
      <c r="X22" s="233" t="n"/>
      <c r="Y22" t="inlineStr">
        <is>
          <t>Supervisor</t>
        </is>
      </c>
      <c r="AO22" s="200" t="inlineStr">
        <is>
          <t>Stored</t>
        </is>
      </c>
      <c r="AP22" s="11" t="n">
        <v>12</v>
      </c>
      <c r="AQ22" s="102" t="inlineStr">
        <is>
          <t>Installation</t>
        </is>
      </c>
      <c r="AR22" s="102" t="inlineStr">
        <is>
          <t>Installation</t>
        </is>
      </c>
      <c r="AS22" s="106">
        <f>IF(PRODUCT(AT22:CN22)=1,1,0)</f>
        <v/>
      </c>
      <c r="AT22" s="103" t="n"/>
      <c r="AU22" s="103" t="n"/>
      <c r="AV22" s="103" t="n"/>
      <c r="AW22" s="103" t="n"/>
      <c r="AX22" s="103" t="n"/>
      <c r="AY22" s="103" t="n"/>
      <c r="AZ22" s="103" t="n"/>
      <c r="BA22" s="103" t="n"/>
      <c r="BB22" s="103" t="n"/>
      <c r="BC22" s="103" t="n"/>
      <c r="BD22" s="103" t="n"/>
      <c r="BE22" s="103" t="n"/>
      <c r="BF22" s="103" t="n"/>
      <c r="BG22" s="103" t="n"/>
      <c r="BH22" s="103" t="n"/>
      <c r="BI22" s="105">
        <f>INDEX(PrjSch!$Z:$Z,MATCH(BI$9,PrjSch!$I:$I,0))</f>
        <v/>
      </c>
      <c r="BJ22" s="103" t="n"/>
      <c r="BK22" s="103" t="n"/>
      <c r="BL22" s="103" t="n"/>
      <c r="BM22" s="103" t="n"/>
      <c r="BN22" s="103" t="n"/>
      <c r="BO22" s="103" t="n"/>
      <c r="BP22" s="103" t="n"/>
      <c r="BQ22" s="103" t="n"/>
      <c r="BR22" s="103" t="n"/>
      <c r="BS22" s="103" t="n"/>
      <c r="BT22" s="103" t="n"/>
      <c r="BU22" s="103" t="n"/>
      <c r="BV22" s="103" t="n"/>
      <c r="BW22" s="103" t="n"/>
      <c r="BX22" s="103" t="n"/>
      <c r="BY22" s="103" t="n"/>
      <c r="BZ22" s="103" t="n"/>
      <c r="CA22" s="103" t="n"/>
      <c r="CB22" s="103" t="n"/>
      <c r="CC22" s="103" t="n"/>
      <c r="CD22" s="103" t="n"/>
      <c r="CE22" s="103" t="n"/>
      <c r="CF22" s="103" t="n"/>
      <c r="CG22" s="103" t="n"/>
      <c r="CH22" s="103" t="n"/>
      <c r="CI22" s="103" t="n"/>
      <c r="CJ22" s="103" t="n"/>
      <c r="CK22" s="103" t="n"/>
      <c r="CL22" s="103" t="n"/>
      <c r="CM22" s="103" t="n"/>
      <c r="CN22" s="103" t="n"/>
      <c r="DS22" s="228" t="inlineStr">
        <is>
          <t>Product limitation</t>
        </is>
      </c>
      <c r="DT22" s="228" t="inlineStr">
        <is>
          <t>D010</t>
        </is>
      </c>
    </row>
    <row r="23">
      <c r="A23" s="219" t="n"/>
      <c r="B23" s="8" t="inlineStr">
        <is>
          <t>P5</t>
        </is>
      </c>
      <c r="C23" s="8" t="inlineStr">
        <is>
          <t>EC</t>
        </is>
      </c>
      <c r="D23" s="410" t="inlineStr">
        <is>
          <t>P5-01</t>
        </is>
      </c>
      <c r="E23" s="411" t="inlineStr">
        <is>
          <t>Commissioning</t>
        </is>
      </c>
      <c r="F23" s="8" t="n">
        <v>0</v>
      </c>
      <c r="G23" s="8" t="n">
        <v>0</v>
      </c>
      <c r="H23" s="8" t="n">
        <v>0</v>
      </c>
      <c r="I23" s="8" t="n">
        <v>0</v>
      </c>
      <c r="J23" s="8" t="n">
        <v>0</v>
      </c>
      <c r="K23" s="233" t="n"/>
      <c r="L23" s="233" t="n"/>
      <c r="M23" s="233" t="n"/>
      <c r="N23" s="233" t="n"/>
      <c r="O23" s="233" t="n"/>
      <c r="P23" s="233" t="n"/>
      <c r="Q23" s="233" t="n"/>
      <c r="R23" s="233" t="n"/>
      <c r="S23" s="233" t="n"/>
      <c r="T23" s="233" t="n"/>
      <c r="U23" s="233" t="n"/>
      <c r="V23" s="233" t="n"/>
      <c r="W23" s="233" t="n"/>
      <c r="X23" s="233" t="n"/>
      <c r="Y23" t="inlineStr">
        <is>
          <t>Supervisor</t>
        </is>
      </c>
      <c r="AD23" t="n"/>
      <c r="AO23" s="199" t="inlineStr">
        <is>
          <t>Hold</t>
        </is>
      </c>
      <c r="AP23" s="11" t="n">
        <v>13</v>
      </c>
      <c r="AQ23" s="102" t="inlineStr">
        <is>
          <t>PreComm</t>
        </is>
      </c>
      <c r="AR23" s="102" t="inlineStr">
        <is>
          <t>PreComm</t>
        </is>
      </c>
      <c r="AS23" s="106">
        <f>IF(PRODUCT(AT23:CN23)=1,1,0)</f>
        <v/>
      </c>
      <c r="AT23" s="103" t="n"/>
      <c r="AU23" s="103" t="n"/>
      <c r="AV23" s="103" t="n"/>
      <c r="AW23" s="103" t="n"/>
      <c r="AX23" s="103" t="n"/>
      <c r="AY23" s="103" t="n"/>
      <c r="AZ23" s="103" t="n"/>
      <c r="BA23" s="103" t="n"/>
      <c r="BB23" s="103" t="n"/>
      <c r="BC23" s="103" t="n"/>
      <c r="BD23" s="103" t="n"/>
      <c r="BE23" s="103" t="n"/>
      <c r="BF23" s="103" t="n"/>
      <c r="BG23" s="103" t="n"/>
      <c r="BH23" s="103" t="n"/>
      <c r="BI23" s="103" t="n"/>
      <c r="BJ23" s="105">
        <f>INDEX(PrjSch!$Z:$Z,MATCH(BJ$9,PrjSch!$I:$I,0))</f>
        <v/>
      </c>
      <c r="BK23" s="103" t="n"/>
      <c r="BL23" s="103" t="n"/>
      <c r="BM23" s="103" t="n"/>
      <c r="BN23" s="103" t="n"/>
      <c r="BO23" s="103" t="n"/>
      <c r="BP23" s="103" t="n"/>
      <c r="BQ23" s="103" t="n"/>
      <c r="BR23" s="103" t="n"/>
      <c r="BS23" s="103" t="n"/>
      <c r="BT23" s="103" t="n"/>
      <c r="BU23" s="103" t="n"/>
      <c r="BV23" s="103" t="n"/>
      <c r="BW23" s="103" t="n"/>
      <c r="BX23" s="103" t="n"/>
      <c r="BY23" s="103" t="n"/>
      <c r="BZ23" s="103" t="n"/>
      <c r="CA23" s="103" t="n"/>
      <c r="CB23" s="103" t="n"/>
      <c r="CC23" s="103" t="n"/>
      <c r="CD23" s="103" t="n"/>
      <c r="CE23" s="103" t="n"/>
      <c r="CF23" s="103" t="n"/>
      <c r="CG23" s="103" t="n"/>
      <c r="CH23" s="103" t="n"/>
      <c r="CI23" s="103" t="n"/>
      <c r="CJ23" s="103" t="n"/>
      <c r="CK23" s="103" t="n"/>
      <c r="CL23" s="103" t="n"/>
      <c r="CM23" s="103" t="n"/>
      <c r="CN23" s="103" t="n"/>
      <c r="DS23" s="228" t="inlineStr">
        <is>
          <t>Damaged Material</t>
        </is>
      </c>
      <c r="DT23" s="228" t="inlineStr">
        <is>
          <t>S005</t>
        </is>
      </c>
    </row>
    <row r="24">
      <c r="A24" s="219" t="n"/>
      <c r="B24" s="8" t="inlineStr">
        <is>
          <t>P5</t>
        </is>
      </c>
      <c r="C24" s="8" t="inlineStr">
        <is>
          <t>EC</t>
        </is>
      </c>
      <c r="D24" s="410" t="inlineStr">
        <is>
          <t>P5-02</t>
        </is>
      </c>
      <c r="E24" s="411" t="inlineStr">
        <is>
          <t>Final MOM/Site Report</t>
        </is>
      </c>
      <c r="F24" s="8" t="n">
        <v>0</v>
      </c>
      <c r="G24" s="8" t="n">
        <v>0</v>
      </c>
      <c r="H24" s="8" t="n">
        <v>0</v>
      </c>
      <c r="I24" s="8" t="n">
        <v>0</v>
      </c>
      <c r="J24" s="8" t="n">
        <v>0</v>
      </c>
      <c r="K24" s="233" t="n"/>
      <c r="L24" s="233" t="n"/>
      <c r="M24" s="233" t="n"/>
      <c r="N24" s="233" t="n"/>
      <c r="O24" s="233" t="n"/>
      <c r="P24" s="233" t="n"/>
      <c r="Q24" s="233" t="n"/>
      <c r="R24" s="233" t="n"/>
      <c r="S24" s="233" t="n"/>
      <c r="T24" s="233" t="n"/>
      <c r="U24" s="233" t="n"/>
      <c r="V24" s="233" t="n"/>
      <c r="W24" s="233" t="n"/>
      <c r="X24" s="233" t="n"/>
      <c r="Y24" t="inlineStr">
        <is>
          <t>Supervisor</t>
        </is>
      </c>
      <c r="AO24" s="199" t="inlineStr">
        <is>
          <t>Cancelled</t>
        </is>
      </c>
      <c r="AP24" s="11" t="n">
        <v>14</v>
      </c>
      <c r="AQ24" s="102" t="inlineStr">
        <is>
          <t>Comm</t>
        </is>
      </c>
      <c r="AR24" s="102" t="inlineStr">
        <is>
          <t>Comm</t>
        </is>
      </c>
      <c r="AS24" s="106">
        <f>IF(PRODUCT(AT24:CN24)=1,1,0)</f>
        <v/>
      </c>
      <c r="AT24" s="103" t="n"/>
      <c r="AU24" s="103" t="n"/>
      <c r="AV24" s="103" t="n"/>
      <c r="AW24" s="103" t="n"/>
      <c r="AX24" s="103" t="n"/>
      <c r="AY24" s="103" t="n"/>
      <c r="AZ24" s="103" t="n"/>
      <c r="BA24" s="103" t="n"/>
      <c r="BB24" s="103" t="n"/>
      <c r="BC24" s="103" t="n"/>
      <c r="BD24" s="103" t="n"/>
      <c r="BE24" s="103" t="n"/>
      <c r="BF24" s="103" t="n"/>
      <c r="BG24" s="103" t="n"/>
      <c r="BH24" s="103" t="n"/>
      <c r="BI24" s="103" t="n"/>
      <c r="BJ24" s="103" t="n"/>
      <c r="BK24" s="105">
        <f>INDEX(PrjSch!$Z:$Z,MATCH(BK$9,PrjSch!$I:$I,0))</f>
        <v/>
      </c>
      <c r="BL24" s="105">
        <f>INDEX(PrjSch!$Z:$Z,MATCH(BL$9,PrjSch!$I:$I,0))</f>
        <v/>
      </c>
      <c r="BM24" s="103" t="n"/>
      <c r="BN24" s="103" t="n"/>
      <c r="BO24" s="103" t="n"/>
      <c r="BP24" s="103" t="n"/>
      <c r="BQ24" s="103" t="n"/>
      <c r="BR24" s="103" t="n"/>
      <c r="BS24" s="103" t="n"/>
      <c r="BT24" s="103" t="n"/>
      <c r="BU24" s="103" t="n"/>
      <c r="BV24" s="103" t="n"/>
      <c r="BW24" s="103" t="n"/>
      <c r="BX24" s="103" t="n"/>
      <c r="BY24" s="103" t="n"/>
      <c r="BZ24" s="103" t="n"/>
      <c r="CA24" s="103" t="n"/>
      <c r="CB24" s="103" t="n"/>
      <c r="CC24" s="103" t="n"/>
      <c r="CD24" s="103" t="n"/>
      <c r="CE24" s="103" t="n"/>
      <c r="CF24" s="103" t="n"/>
      <c r="CG24" s="103" t="n"/>
      <c r="CH24" s="103" t="n"/>
      <c r="CI24" s="103" t="n"/>
      <c r="CJ24" s="103" t="n"/>
      <c r="CK24" s="103" t="n"/>
      <c r="CL24" s="103" t="n"/>
      <c r="CM24" s="103" t="n"/>
      <c r="CN24" s="103" t="n"/>
      <c r="DS24" s="228" t="inlineStr">
        <is>
          <t>Wrong drilling/tapping</t>
        </is>
      </c>
      <c r="DT24" s="228" t="inlineStr">
        <is>
          <t>E004</t>
        </is>
      </c>
    </row>
    <row r="25">
      <c r="A25" s="219" t="n"/>
      <c r="B25" s="8" t="inlineStr">
        <is>
          <t>P5</t>
        </is>
      </c>
      <c r="C25" s="8" t="inlineStr">
        <is>
          <t>SW</t>
        </is>
      </c>
      <c r="D25" s="410" t="inlineStr">
        <is>
          <t>P5-03</t>
        </is>
      </c>
      <c r="E25" s="411" t="inlineStr">
        <is>
          <t>As Comm. Doc (SW)</t>
        </is>
      </c>
      <c r="F25" s="8" t="n">
        <v>2</v>
      </c>
      <c r="G25" s="8" t="n">
        <v>4</v>
      </c>
      <c r="H25" s="8" t="n">
        <v>8</v>
      </c>
      <c r="I25" s="8" t="n">
        <v>10</v>
      </c>
      <c r="J25" s="8" t="n">
        <v>12</v>
      </c>
      <c r="K25" s="233" t="n"/>
      <c r="L25" s="233" t="n"/>
      <c r="M25" s="233" t="n"/>
      <c r="N25" s="233" t="n"/>
      <c r="O25" s="233" t="n"/>
      <c r="P25" s="233" t="n"/>
      <c r="Q25" s="233" t="n"/>
      <c r="R25" s="233" t="n"/>
      <c r="S25" s="233" t="n"/>
      <c r="T25" s="233" t="n"/>
      <c r="U25" s="233" t="n"/>
      <c r="V25" s="233" t="n"/>
      <c r="W25" s="233" t="n"/>
      <c r="X25" s="233" t="n"/>
      <c r="Y25" t="inlineStr">
        <is>
          <t>Fitter</t>
        </is>
      </c>
      <c r="AO25" s="104" t="inlineStr">
        <is>
          <t>Closed</t>
        </is>
      </c>
      <c r="AP25" s="11" t="n">
        <v>15</v>
      </c>
      <c r="AQ25" s="102" t="inlineStr">
        <is>
          <t>As-CommDoc</t>
        </is>
      </c>
      <c r="AR25" s="102" t="inlineStr">
        <is>
          <t>As-CommDoc</t>
        </is>
      </c>
      <c r="AS25" s="106">
        <f>IF(PRODUCT(AT25:CN25)=1,1,0)</f>
        <v/>
      </c>
      <c r="AT25" s="103" t="n"/>
      <c r="AU25" s="103" t="n"/>
      <c r="AV25" s="103" t="n"/>
      <c r="AW25" s="103" t="n"/>
      <c r="AX25" s="103" t="n"/>
      <c r="AY25" s="103" t="n"/>
      <c r="AZ25" s="103" t="n"/>
      <c r="BA25" s="103" t="n"/>
      <c r="BB25" s="103" t="n"/>
      <c r="BC25" s="103" t="n"/>
      <c r="BD25" s="103" t="n"/>
      <c r="BE25" s="103" t="n"/>
      <c r="BF25" s="103" t="n"/>
      <c r="BG25" s="103" t="n"/>
      <c r="BH25" s="103" t="n"/>
      <c r="BI25" s="103" t="n"/>
      <c r="BJ25" s="103" t="n"/>
      <c r="BK25" s="103" t="n"/>
      <c r="BL25" s="103" t="n"/>
      <c r="BM25" s="105">
        <f>INDEX(PrjSch!$Z:$Z,MATCH(BM$9,PrjSch!$I:$I,0))</f>
        <v/>
      </c>
      <c r="BN25" s="103" t="n"/>
      <c r="BO25" s="103" t="n"/>
      <c r="BP25" s="103" t="n"/>
      <c r="BQ25" s="103" t="n"/>
      <c r="BR25" s="103" t="n"/>
      <c r="BS25" s="103" t="n"/>
      <c r="BT25" s="103" t="n"/>
      <c r="BU25" s="103" t="n"/>
      <c r="BV25" s="103" t="n"/>
      <c r="BW25" s="103" t="n"/>
      <c r="BX25" s="103" t="n"/>
      <c r="BY25" s="103" t="n"/>
      <c r="BZ25" s="103" t="n"/>
      <c r="CA25" s="103" t="n"/>
      <c r="CB25" s="103" t="n"/>
      <c r="CC25" s="103" t="n"/>
      <c r="CD25" s="103" t="n"/>
      <c r="CE25" s="103" t="n"/>
      <c r="CF25" s="103" t="n"/>
      <c r="CG25" s="103" t="n"/>
      <c r="CH25" s="103" t="n"/>
      <c r="CI25" s="103" t="n"/>
      <c r="CJ25" s="103" t="n"/>
      <c r="CK25" s="103" t="n"/>
      <c r="CL25" s="103" t="n"/>
      <c r="CM25" s="103" t="n"/>
      <c r="CN25" s="103" t="n"/>
      <c r="DS25" s="228" t="inlineStr">
        <is>
          <t>Wrong cutout</t>
        </is>
      </c>
      <c r="DT25" s="228" t="inlineStr">
        <is>
          <t>E005</t>
        </is>
      </c>
    </row>
    <row r="26">
      <c r="A26" s="219" t="n"/>
      <c r="B26" s="8" t="inlineStr">
        <is>
          <t>P5</t>
        </is>
      </c>
      <c r="C26" s="8" t="inlineStr">
        <is>
          <t>EC</t>
        </is>
      </c>
      <c r="D26" s="410" t="inlineStr">
        <is>
          <t>P5-03</t>
        </is>
      </c>
      <c r="E26" s="427" t="inlineStr">
        <is>
          <t>Post Comm. Support</t>
        </is>
      </c>
      <c r="F26" s="8" t="n">
        <v>0</v>
      </c>
      <c r="G26" s="8" t="n">
        <v>0</v>
      </c>
      <c r="H26" s="8" t="n">
        <v>1</v>
      </c>
      <c r="I26" s="8" t="n">
        <v>0</v>
      </c>
      <c r="J26" s="8" t="n">
        <v>0</v>
      </c>
      <c r="K26" s="233" t="n"/>
      <c r="L26" s="233" t="n"/>
      <c r="M26" s="233" t="n"/>
      <c r="N26" s="233" t="n"/>
      <c r="O26" s="233" t="n"/>
      <c r="P26" s="233" t="n"/>
      <c r="Q26" s="233" t="n"/>
      <c r="R26" s="233" t="n"/>
      <c r="S26" s="233" t="n"/>
      <c r="T26" s="233" t="n"/>
      <c r="U26" s="233" t="n"/>
      <c r="V26" s="233" t="n"/>
      <c r="W26" s="233" t="n"/>
      <c r="X26" s="233" t="n"/>
      <c r="Y26" t="inlineStr">
        <is>
          <t>Engineer</t>
        </is>
      </c>
      <c r="AP26" s="11" t="n">
        <v>16</v>
      </c>
      <c r="AQ26" s="102" t="inlineStr">
        <is>
          <t>PostCommSup</t>
        </is>
      </c>
      <c r="AR26" s="102" t="inlineStr">
        <is>
          <t>PostCommSup</t>
        </is>
      </c>
      <c r="AS26" s="106">
        <f>IF(PRODUCT(AT26:CN26)=1,1,0)</f>
        <v/>
      </c>
      <c r="AT26" s="103" t="n"/>
      <c r="AU26" s="103" t="n"/>
      <c r="AV26" s="103" t="n"/>
      <c r="AW26" s="103" t="n"/>
      <c r="AX26" s="103" t="n"/>
      <c r="AY26" s="103" t="n"/>
      <c r="AZ26" s="103" t="n"/>
      <c r="BA26" s="103" t="n"/>
      <c r="BB26" s="103" t="n"/>
      <c r="BC26" s="103" t="n"/>
      <c r="BD26" s="103" t="n"/>
      <c r="BE26" s="103" t="n"/>
      <c r="BF26" s="103" t="n"/>
      <c r="BG26" s="103" t="n"/>
      <c r="BH26" s="103" t="n"/>
      <c r="BI26" s="103" t="n"/>
      <c r="BJ26" s="103" t="n"/>
      <c r="BK26" s="103" t="n"/>
      <c r="BL26" s="103" t="n"/>
      <c r="BM26" s="103" t="n"/>
      <c r="BN26" s="105">
        <f>INDEX(PrjSch!$Z:$Z,MATCH(BN$9,PrjSch!$I:$I,0))</f>
        <v/>
      </c>
      <c r="BO26" s="103" t="n"/>
      <c r="BP26" s="103" t="n"/>
      <c r="BQ26" s="103" t="n"/>
      <c r="BR26" s="103" t="n"/>
      <c r="BS26" s="103" t="n"/>
      <c r="BT26" s="103" t="n"/>
      <c r="BU26" s="103" t="n"/>
      <c r="BV26" s="103" t="n"/>
      <c r="BW26" s="103" t="n"/>
      <c r="BX26" s="103" t="n"/>
      <c r="BY26" s="103" t="n"/>
      <c r="BZ26" s="103" t="n"/>
      <c r="CA26" s="103" t="n"/>
      <c r="CB26" s="103" t="n"/>
      <c r="CC26" s="103" t="n"/>
      <c r="CD26" s="103" t="n"/>
      <c r="CE26" s="103" t="n"/>
      <c r="CF26" s="103" t="n"/>
      <c r="CG26" s="103" t="n"/>
      <c r="CH26" s="103" t="n"/>
      <c r="CI26" s="103" t="n"/>
      <c r="CJ26" s="103" t="n"/>
      <c r="CK26" s="103" t="n"/>
      <c r="CL26" s="103" t="n"/>
      <c r="CM26" s="103" t="n"/>
      <c r="CN26" s="103" t="n"/>
      <c r="DS26" s="228" t="inlineStr">
        <is>
          <t>Dispatch Delayed</t>
        </is>
      </c>
      <c r="DT26" s="228" t="inlineStr">
        <is>
          <t>D011</t>
        </is>
      </c>
    </row>
    <row r="27">
      <c r="A27" s="219" t="n"/>
      <c r="B27" s="8" t="inlineStr">
        <is>
          <t>P5</t>
        </is>
      </c>
      <c r="C27" s="8" t="inlineStr">
        <is>
          <t>SW</t>
        </is>
      </c>
      <c r="D27" s="410" t="inlineStr">
        <is>
          <t>P5-03</t>
        </is>
      </c>
      <c r="E27" s="427" t="inlineStr">
        <is>
          <t>Project Closure</t>
        </is>
      </c>
      <c r="F27" s="8" t="n">
        <v>0</v>
      </c>
      <c r="G27" s="8" t="n">
        <v>0</v>
      </c>
      <c r="H27" s="8" t="n">
        <v>0</v>
      </c>
      <c r="I27" s="8" t="n">
        <v>1</v>
      </c>
      <c r="J27" s="8" t="n">
        <v>1</v>
      </c>
      <c r="K27" s="233" t="n"/>
      <c r="L27" s="233" t="n"/>
      <c r="M27" s="233" t="n"/>
      <c r="N27" s="233" t="n"/>
      <c r="O27" s="233" t="n"/>
      <c r="P27" s="233" t="n"/>
      <c r="Q27" s="233" t="n"/>
      <c r="R27" s="233" t="n"/>
      <c r="S27" s="233" t="n"/>
      <c r="T27" s="233" t="n"/>
      <c r="U27" s="233" t="n"/>
      <c r="V27" s="233" t="n"/>
      <c r="W27" s="233" t="n"/>
      <c r="X27" s="233" t="n"/>
      <c r="Y27" t="inlineStr">
        <is>
          <t>Supervisor</t>
        </is>
      </c>
      <c r="AP27" s="11" t="n">
        <v>17</v>
      </c>
      <c r="AQ27" s="102" t="inlineStr">
        <is>
          <t>Closed</t>
        </is>
      </c>
      <c r="AR27" s="102" t="inlineStr">
        <is>
          <t>Closed</t>
        </is>
      </c>
      <c r="AS27" s="106">
        <f>IF(PRODUCT(AT27:CN27)=1,1,0)</f>
        <v/>
      </c>
      <c r="AT27" s="103" t="n"/>
      <c r="AU27" s="103" t="n"/>
      <c r="AV27" s="103" t="n"/>
      <c r="AW27" s="103" t="n"/>
      <c r="AX27" s="103" t="n"/>
      <c r="AY27" s="103" t="n"/>
      <c r="AZ27" s="103" t="n"/>
      <c r="BA27" s="103" t="n"/>
      <c r="BB27" s="103" t="n"/>
      <c r="BC27" s="103" t="n"/>
      <c r="BD27" s="103" t="n"/>
      <c r="BE27" s="103" t="n"/>
      <c r="BF27" s="103" t="n"/>
      <c r="BG27" s="103" t="n"/>
      <c r="BH27" s="103" t="n"/>
      <c r="BI27" s="103" t="n"/>
      <c r="BJ27" s="103" t="n"/>
      <c r="BK27" s="103" t="n"/>
      <c r="BL27" s="103" t="n"/>
      <c r="BM27" s="103" t="n"/>
      <c r="BN27" s="103" t="n"/>
      <c r="BO27" s="105">
        <f>INDEX(PrjSch!$Z:$Z,MATCH(BO$9,PrjSch!$I:$I,0))</f>
        <v/>
      </c>
      <c r="BP27" s="103" t="n"/>
      <c r="BQ27" s="103" t="n"/>
      <c r="BR27" s="103" t="n"/>
      <c r="BS27" s="103" t="n"/>
      <c r="BT27" s="103" t="n"/>
      <c r="BU27" s="103" t="n"/>
      <c r="BV27" s="103" t="n"/>
      <c r="BW27" s="103" t="n"/>
      <c r="BX27" s="103" t="n"/>
      <c r="BY27" s="103" t="n"/>
      <c r="BZ27" s="103" t="n"/>
      <c r="CA27" s="103" t="n"/>
      <c r="CB27" s="103" t="n"/>
      <c r="CC27" s="103" t="n"/>
      <c r="CD27" s="103" t="n"/>
      <c r="CE27" s="103" t="n"/>
      <c r="CF27" s="103" t="n"/>
      <c r="CG27" s="103" t="n"/>
      <c r="CH27" s="103" t="n"/>
      <c r="CI27" s="103" t="n"/>
      <c r="CJ27" s="103" t="n"/>
      <c r="CK27" s="103" t="n"/>
      <c r="CL27" s="103" t="n"/>
      <c r="CM27" s="103" t="n"/>
      <c r="CN27" s="103" t="n"/>
      <c r="DS27" s="228" t="inlineStr">
        <is>
          <t>Third party inspection</t>
        </is>
      </c>
      <c r="DT27" s="228" t="inlineStr">
        <is>
          <t>D012</t>
        </is>
      </c>
    </row>
    <row r="28">
      <c r="A28" s="219" t="n"/>
      <c r="B28" s="8" t="n"/>
      <c r="C28" s="8" t="n"/>
      <c r="D28" s="410" t="n"/>
      <c r="E28" s="427" t="n"/>
      <c r="F28" s="8" t="n"/>
      <c r="G28" s="8" t="n"/>
      <c r="H28" s="8" t="n"/>
      <c r="I28" s="8" t="n"/>
      <c r="J28" s="8" t="n"/>
      <c r="K28" s="233" t="n"/>
      <c r="L28" s="233" t="n"/>
      <c r="M28" s="233" t="n"/>
      <c r="N28" s="233" t="n"/>
      <c r="O28" s="233" t="n"/>
      <c r="P28" s="233" t="n"/>
      <c r="Q28" s="233" t="n"/>
      <c r="R28" s="233" t="n"/>
      <c r="S28" s="233" t="n"/>
      <c r="T28" s="233" t="n"/>
      <c r="U28" s="233" t="n"/>
      <c r="V28" s="233" t="n"/>
      <c r="W28" s="233" t="n"/>
      <c r="X28" s="233" t="n"/>
      <c r="Y28" t="inlineStr">
        <is>
          <t>Supervisor</t>
        </is>
      </c>
      <c r="AP28" s="11" t="n">
        <v>18</v>
      </c>
      <c r="AQ28" s="102" t="n"/>
      <c r="AR28" s="102" t="n"/>
      <c r="AS28" s="106" t="n"/>
      <c r="AT28" s="103" t="n"/>
      <c r="AU28" s="103" t="n"/>
      <c r="AV28" s="103" t="n"/>
      <c r="AW28" s="103" t="n"/>
      <c r="AX28" s="103" t="n"/>
      <c r="AY28" s="103" t="n"/>
      <c r="AZ28" s="103" t="n"/>
      <c r="BA28" s="103" t="n"/>
      <c r="BB28" s="103" t="n"/>
      <c r="BC28" s="103" t="n"/>
      <c r="BD28" s="103" t="n"/>
      <c r="BE28" s="103" t="n"/>
      <c r="BF28" s="103" t="n"/>
      <c r="BG28" s="103" t="n"/>
      <c r="BH28" s="103" t="n"/>
      <c r="BI28" s="103" t="n"/>
      <c r="BJ28" s="103" t="n"/>
      <c r="BK28" s="103" t="n"/>
      <c r="BL28" s="103" t="n"/>
      <c r="BM28" s="103" t="n"/>
      <c r="BN28" s="103" t="n"/>
      <c r="BO28" s="103" t="n"/>
      <c r="BP28" s="103" t="n"/>
      <c r="BQ28" s="103" t="n"/>
      <c r="BR28" s="103" t="n"/>
      <c r="BS28" s="103" t="n"/>
      <c r="BT28" s="103" t="n"/>
      <c r="BU28" s="103" t="n"/>
      <c r="BV28" s="103" t="n"/>
      <c r="BW28" s="103" t="n"/>
      <c r="BX28" s="103" t="n"/>
      <c r="BY28" s="103" t="n"/>
      <c r="BZ28" s="103" t="n"/>
      <c r="CA28" s="103" t="n"/>
      <c r="CB28" s="103" t="n"/>
      <c r="CC28" s="103" t="n"/>
      <c r="CD28" s="103" t="n"/>
      <c r="CE28" s="103" t="n"/>
      <c r="CF28" s="103" t="n"/>
      <c r="CG28" s="103" t="n"/>
      <c r="CH28" s="103" t="n"/>
      <c r="CI28" s="103" t="n"/>
      <c r="CJ28" s="103" t="n"/>
      <c r="CK28" s="103" t="n"/>
      <c r="CL28" s="103" t="n"/>
      <c r="CM28" s="103" t="n"/>
      <c r="CN28" s="103" t="n"/>
      <c r="DS28" s="228" t="inlineStr">
        <is>
          <t>Extended iFAT</t>
        </is>
      </c>
      <c r="DT28" s="228" t="inlineStr">
        <is>
          <t>D013</t>
        </is>
      </c>
    </row>
    <row r="29">
      <c r="A29" s="219" t="n"/>
      <c r="B29" s="8" t="n"/>
      <c r="C29" s="8" t="n"/>
      <c r="D29" s="410" t="n"/>
      <c r="E29" s="427" t="n"/>
      <c r="F29" s="8" t="n"/>
      <c r="G29" s="8" t="n"/>
      <c r="H29" s="8" t="n"/>
      <c r="I29" s="8" t="n"/>
      <c r="J29" s="8" t="n"/>
      <c r="K29" s="233" t="n"/>
      <c r="L29" s="233" t="n"/>
      <c r="M29" s="233" t="n"/>
      <c r="N29" s="233" t="n"/>
      <c r="O29" s="233" t="n"/>
      <c r="P29" s="233" t="n"/>
      <c r="Q29" s="233" t="n"/>
      <c r="R29" s="233" t="n"/>
      <c r="S29" s="233" t="n"/>
      <c r="T29" s="233" t="n"/>
      <c r="U29" s="233" t="n"/>
      <c r="V29" s="233" t="n"/>
      <c r="W29" s="233" t="n"/>
      <c r="X29" s="233" t="n"/>
      <c r="Y29" t="inlineStr">
        <is>
          <t>Fitter</t>
        </is>
      </c>
      <c r="DS29" s="228" t="inlineStr">
        <is>
          <t>Extended cFAT</t>
        </is>
      </c>
      <c r="DT29" s="228" t="inlineStr">
        <is>
          <t>D014</t>
        </is>
      </c>
    </row>
    <row r="30">
      <c r="A30" s="219" t="n"/>
      <c r="B30" s="8" t="n"/>
      <c r="C30" s="8" t="n"/>
      <c r="D30" s="410" t="n"/>
      <c r="E30" s="427" t="n"/>
      <c r="F30" s="8" t="n"/>
      <c r="G30" s="8" t="n"/>
      <c r="H30" s="8" t="n"/>
      <c r="I30" s="8" t="n"/>
      <c r="J30" s="8" t="n"/>
      <c r="K30" s="233" t="n"/>
      <c r="L30" s="233" t="n"/>
      <c r="M30" s="233" t="n"/>
      <c r="N30" s="233" t="n"/>
      <c r="O30" s="233" t="n"/>
      <c r="P30" s="233" t="n"/>
      <c r="Q30" s="233" t="n"/>
      <c r="R30" s="233" t="n"/>
      <c r="S30" s="233" t="n"/>
      <c r="T30" s="233" t="n"/>
      <c r="U30" s="233" t="n"/>
      <c r="V30" s="233" t="n"/>
      <c r="W30" s="233" t="n"/>
      <c r="X30" s="233" t="n"/>
      <c r="Y30" t="inlineStr">
        <is>
          <t>Supervisor</t>
        </is>
      </c>
    </row>
    <row r="31">
      <c r="A31" s="219" t="n"/>
      <c r="B31" s="8" t="n"/>
      <c r="C31" s="8" t="n"/>
      <c r="D31" s="410" t="n"/>
      <c r="E31" s="427" t="n"/>
      <c r="F31" s="8" t="n"/>
      <c r="G31" s="8" t="n"/>
      <c r="H31" s="8" t="n"/>
      <c r="I31" s="8" t="n"/>
      <c r="J31" s="8" t="n"/>
      <c r="K31" s="233" t="n"/>
      <c r="L31" s="233" t="n"/>
      <c r="M31" s="233" t="n"/>
      <c r="N31" s="233" t="n"/>
      <c r="O31" s="233" t="n"/>
      <c r="P31" s="233" t="n"/>
      <c r="Q31" s="233" t="n"/>
      <c r="R31" s="233" t="n"/>
      <c r="S31" s="233" t="n"/>
      <c r="T31" s="233" t="n"/>
      <c r="U31" s="233" t="n"/>
      <c r="V31" s="233" t="n"/>
      <c r="W31" s="233" t="n"/>
      <c r="X31" s="233" t="n"/>
      <c r="Y31" t="inlineStr">
        <is>
          <t>Supervisor</t>
        </is>
      </c>
    </row>
    <row r="32">
      <c r="A32" s="219" t="n"/>
      <c r="B32" s="8" t="n"/>
      <c r="C32" s="8" t="n"/>
      <c r="D32" s="410" t="n"/>
      <c r="E32" s="423" t="n"/>
      <c r="F32" s="8" t="n"/>
      <c r="G32" s="8" t="n"/>
      <c r="H32" s="8" t="n"/>
      <c r="I32" s="8" t="n"/>
      <c r="J32" s="8" t="n"/>
      <c r="K32" s="233" t="n"/>
      <c r="L32" s="233" t="n"/>
      <c r="M32" s="233" t="n"/>
      <c r="N32" s="233" t="n"/>
      <c r="O32" s="233" t="n"/>
      <c r="P32" s="233" t="n"/>
      <c r="Q32" s="233" t="n"/>
      <c r="R32" s="233" t="n"/>
      <c r="S32" s="233" t="n"/>
      <c r="T32" s="233" t="n"/>
      <c r="U32" s="233" t="n"/>
      <c r="V32" s="233" t="n"/>
      <c r="W32" s="233" t="n"/>
      <c r="X32" s="233" t="n"/>
    </row>
    <row r="33">
      <c r="A33" s="219" t="n"/>
      <c r="B33" s="8" t="n"/>
      <c r="C33" s="8" t="n"/>
      <c r="D33" s="410" t="n"/>
      <c r="E33" s="423" t="n"/>
      <c r="F33" s="8" t="n"/>
      <c r="G33" s="8" t="n"/>
      <c r="H33" s="8" t="n"/>
      <c r="I33" s="8" t="n"/>
      <c r="J33" s="8" t="n"/>
      <c r="K33" s="233" t="n"/>
      <c r="L33" s="233" t="n"/>
      <c r="M33" s="233" t="n"/>
      <c r="N33" s="233" t="n"/>
      <c r="O33" s="233" t="n"/>
      <c r="P33" s="233" t="n"/>
      <c r="Q33" s="233" t="n"/>
      <c r="R33" s="233" t="n"/>
      <c r="S33" s="233" t="n"/>
      <c r="T33" s="233" t="n"/>
      <c r="U33" s="233" t="n"/>
      <c r="V33" s="233" t="n"/>
      <c r="W33" s="233" t="n"/>
      <c r="X33" s="233" t="n"/>
    </row>
    <row r="34">
      <c r="A34" s="219" t="n"/>
      <c r="B34" s="8" t="n"/>
      <c r="C34" s="8" t="n"/>
      <c r="D34" s="410" t="n"/>
      <c r="E34" s="423" t="n"/>
      <c r="F34" s="8" t="n"/>
      <c r="G34" s="8" t="n"/>
      <c r="H34" s="8" t="n"/>
      <c r="I34" s="8" t="n"/>
      <c r="J34" s="8" t="n"/>
      <c r="K34" s="233" t="n"/>
      <c r="L34" s="233" t="n"/>
      <c r="M34" s="233" t="n"/>
      <c r="N34" s="233" t="n"/>
      <c r="O34" s="233" t="n"/>
      <c r="P34" s="233" t="n"/>
      <c r="Q34" s="233" t="n"/>
      <c r="R34" s="233" t="n"/>
      <c r="S34" s="233" t="n"/>
      <c r="T34" s="233" t="n"/>
      <c r="U34" s="233" t="n"/>
      <c r="V34" s="233" t="n"/>
      <c r="W34" s="233" t="n"/>
      <c r="X34" s="233" t="n"/>
    </row>
    <row r="35">
      <c r="A35" s="219" t="n"/>
      <c r="B35" s="8" t="n"/>
      <c r="C35" s="8" t="n"/>
      <c r="D35" s="410" t="n"/>
      <c r="E35" s="423" t="n"/>
      <c r="F35" s="8" t="n"/>
      <c r="G35" s="8" t="n"/>
      <c r="H35" s="8" t="n"/>
      <c r="I35" s="8" t="n"/>
      <c r="J35" s="8" t="n"/>
      <c r="K35" s="233" t="n"/>
      <c r="L35" s="233" t="n"/>
      <c r="M35" s="233" t="n"/>
      <c r="N35" s="233" t="n"/>
      <c r="O35" s="233" t="n"/>
      <c r="P35" s="233" t="n"/>
      <c r="Q35" s="233" t="n"/>
      <c r="R35" s="233" t="n"/>
      <c r="S35" s="233" t="n"/>
      <c r="T35" s="233" t="n"/>
      <c r="U35" s="233" t="n"/>
      <c r="V35" s="233" t="n"/>
      <c r="W35" s="233" t="n"/>
      <c r="X35" s="233" t="n"/>
    </row>
    <row r="36">
      <c r="A36" s="219" t="n"/>
      <c r="B36" s="8" t="n"/>
      <c r="C36" s="8" t="n"/>
      <c r="D36" s="410" t="n"/>
      <c r="E36" s="423" t="n"/>
      <c r="F36" s="8" t="n"/>
      <c r="G36" s="8" t="n"/>
      <c r="H36" s="8" t="n"/>
      <c r="I36" s="8" t="n"/>
      <c r="J36" s="8" t="n"/>
      <c r="K36" s="233" t="n"/>
      <c r="L36" s="233" t="n"/>
      <c r="M36" s="233" t="n"/>
      <c r="N36" s="233" t="n"/>
      <c r="O36" s="233" t="n"/>
      <c r="P36" s="233" t="n"/>
      <c r="Q36" s="233" t="n"/>
      <c r="R36" s="233" t="n"/>
      <c r="S36" s="233" t="n"/>
      <c r="T36" s="233" t="n"/>
      <c r="U36" s="233" t="n"/>
      <c r="V36" s="233" t="n"/>
      <c r="W36" s="233" t="n"/>
      <c r="X36" s="233" t="n"/>
    </row>
    <row r="37">
      <c r="A37" s="219" t="n"/>
      <c r="B37" s="8" t="n"/>
      <c r="C37" s="8" t="n"/>
      <c r="D37" s="410" t="n"/>
      <c r="E37" s="423" t="n"/>
      <c r="F37" s="8" t="n"/>
      <c r="G37" s="8" t="n"/>
      <c r="H37" s="8" t="n"/>
      <c r="I37" s="8" t="n"/>
      <c r="J37" s="8" t="n"/>
      <c r="K37" s="233" t="n"/>
      <c r="L37" s="233" t="n"/>
      <c r="M37" s="233" t="n"/>
      <c r="N37" s="233" t="n"/>
      <c r="O37" s="233" t="n"/>
      <c r="P37" s="233" t="n"/>
      <c r="Q37" s="233" t="n"/>
      <c r="R37" s="233" t="n"/>
      <c r="S37" s="233" t="n"/>
      <c r="T37" s="233" t="n"/>
      <c r="U37" s="233" t="n"/>
      <c r="V37" s="233" t="n"/>
      <c r="W37" s="233" t="n"/>
      <c r="X37" s="233" t="n"/>
    </row>
    <row r="38">
      <c r="A38" s="219" t="n"/>
      <c r="B38" s="8" t="n"/>
      <c r="C38" s="8" t="n"/>
      <c r="D38" s="410" t="n"/>
      <c r="E38" s="423" t="n"/>
      <c r="F38" s="8" t="n"/>
      <c r="G38" s="8" t="n"/>
      <c r="H38" s="8" t="n"/>
      <c r="I38" s="8" t="n"/>
      <c r="J38" s="8" t="n"/>
      <c r="K38" s="233" t="n"/>
      <c r="L38" s="233" t="n"/>
      <c r="M38" s="233" t="n"/>
      <c r="N38" s="233" t="n"/>
      <c r="O38" s="233" t="n"/>
      <c r="P38" s="233" t="n"/>
      <c r="Q38" s="233" t="n"/>
      <c r="R38" s="233" t="n"/>
      <c r="S38" s="233" t="n"/>
      <c r="T38" s="233" t="n"/>
      <c r="U38" s="233" t="n"/>
      <c r="V38" s="233" t="n"/>
      <c r="W38" s="233" t="n"/>
      <c r="X38" s="233" t="n"/>
    </row>
    <row r="39">
      <c r="A39" s="219" t="n"/>
      <c r="B39" s="8" t="n"/>
      <c r="C39" s="8" t="n"/>
      <c r="D39" s="410" t="n"/>
      <c r="E39" s="423" t="n"/>
      <c r="F39" s="8" t="n"/>
      <c r="G39" s="8" t="n"/>
      <c r="H39" s="8" t="n"/>
      <c r="I39" s="8" t="n"/>
      <c r="J39" s="8" t="n"/>
      <c r="K39" s="233" t="n"/>
      <c r="L39" s="233" t="n"/>
      <c r="M39" s="233" t="n"/>
      <c r="N39" s="233" t="n"/>
      <c r="O39" s="233" t="n"/>
      <c r="P39" s="233" t="n"/>
      <c r="Q39" s="233" t="n"/>
      <c r="R39" s="233" t="n"/>
      <c r="S39" s="233" t="n"/>
      <c r="T39" s="233" t="n"/>
      <c r="U39" s="233" t="n"/>
      <c r="V39" s="233" t="n"/>
      <c r="W39" s="233" t="n"/>
      <c r="X39" s="233" t="n"/>
    </row>
    <row r="40">
      <c r="A40" s="219" t="n"/>
      <c r="B40" s="8" t="n"/>
      <c r="C40" s="8" t="n"/>
      <c r="D40" s="410" t="n"/>
      <c r="E40" s="423" t="n"/>
      <c r="F40" s="8" t="n"/>
      <c r="G40" s="8" t="n"/>
      <c r="H40" s="8" t="n"/>
      <c r="I40" s="8" t="n"/>
      <c r="J40" s="8" t="n"/>
      <c r="K40" s="233" t="n"/>
      <c r="L40" s="233" t="n"/>
      <c r="M40" s="233" t="n"/>
      <c r="N40" s="233" t="n"/>
      <c r="O40" s="233" t="n"/>
      <c r="P40" s="233" t="n"/>
      <c r="Q40" s="233" t="n"/>
      <c r="R40" s="233" t="n"/>
      <c r="S40" s="233" t="n"/>
      <c r="T40" s="233" t="n"/>
      <c r="U40" s="233" t="n"/>
      <c r="V40" s="233" t="n"/>
      <c r="W40" s="233" t="n"/>
      <c r="X40" s="233" t="n"/>
    </row>
    <row r="41">
      <c r="A41" s="219" t="n"/>
      <c r="B41" s="8" t="n"/>
      <c r="C41" s="8" t="n"/>
      <c r="D41" s="410" t="n"/>
      <c r="E41" s="428" t="n"/>
      <c r="F41" s="8" t="n"/>
      <c r="G41" s="8" t="n"/>
      <c r="H41" s="8" t="n"/>
      <c r="I41" s="8" t="n"/>
      <c r="J41" s="8" t="n"/>
      <c r="K41" s="233" t="n"/>
      <c r="L41" s="233" t="n"/>
      <c r="M41" s="233" t="n"/>
      <c r="N41" s="233" t="n"/>
      <c r="O41" s="233" t="n"/>
      <c r="P41" s="233" t="n"/>
      <c r="Q41" s="233" t="n"/>
      <c r="R41" s="233" t="n"/>
      <c r="S41" s="233" t="n"/>
      <c r="T41" s="233" t="n"/>
      <c r="U41" s="233" t="n"/>
      <c r="V41" s="233" t="n"/>
      <c r="W41" s="233" t="n"/>
      <c r="X41" s="233" t="n"/>
    </row>
    <row r="42">
      <c r="A42" s="219" t="n"/>
      <c r="B42" s="8" t="n"/>
      <c r="C42" s="8" t="n"/>
      <c r="D42" s="410" t="n"/>
      <c r="E42" s="428" t="n"/>
      <c r="F42" s="8" t="n"/>
      <c r="G42" s="8" t="n"/>
      <c r="H42" s="8" t="n"/>
      <c r="I42" s="8" t="n"/>
      <c r="J42" s="8" t="n"/>
      <c r="K42" s="233" t="n"/>
      <c r="L42" s="233" t="n"/>
      <c r="M42" s="233" t="n"/>
      <c r="N42" s="233" t="n"/>
      <c r="O42" s="233" t="n"/>
      <c r="P42" s="233" t="n"/>
      <c r="Q42" s="233" t="n"/>
      <c r="R42" s="233" t="n"/>
      <c r="S42" s="233" t="n"/>
      <c r="T42" s="233" t="n"/>
      <c r="U42" s="233" t="n"/>
      <c r="V42" s="233" t="n"/>
      <c r="W42" s="233" t="n"/>
      <c r="X42" s="233" t="n"/>
    </row>
    <row r="43">
      <c r="A43" s="219" t="n"/>
      <c r="B43" s="8" t="n"/>
      <c r="C43" s="8" t="n"/>
      <c r="D43" s="410" t="n"/>
      <c r="E43" s="423" t="n"/>
      <c r="F43" s="8" t="n"/>
      <c r="G43" s="8" t="n"/>
      <c r="H43" s="8" t="n"/>
      <c r="I43" s="8" t="n"/>
      <c r="J43" s="8" t="n"/>
      <c r="K43" s="233" t="n"/>
      <c r="L43" s="233" t="n"/>
      <c r="M43" s="233" t="n"/>
      <c r="N43" s="233" t="n"/>
      <c r="O43" s="233" t="n"/>
      <c r="P43" s="233" t="n"/>
      <c r="Q43" s="233" t="n"/>
      <c r="R43" s="233" t="n"/>
      <c r="S43" s="233" t="n"/>
      <c r="T43" s="233" t="n"/>
      <c r="U43" s="233" t="n"/>
      <c r="V43" s="233" t="n"/>
      <c r="W43" s="233" t="n"/>
      <c r="X43" s="233" t="n"/>
    </row>
    <row r="44">
      <c r="A44" s="219" t="n"/>
      <c r="B44" s="233" t="n"/>
      <c r="C44" s="233" t="n"/>
      <c r="D44" s="233" t="n"/>
      <c r="E44" s="233" t="n"/>
      <c r="F44" s="233" t="n"/>
      <c r="G44" s="233" t="n"/>
      <c r="H44" s="233" t="n"/>
      <c r="I44" s="233" t="n"/>
      <c r="J44" s="233" t="n"/>
      <c r="K44" s="233" t="n"/>
      <c r="L44" s="233" t="n"/>
      <c r="M44" s="233" t="n"/>
      <c r="N44" s="233" t="n"/>
      <c r="O44" s="233" t="n"/>
      <c r="P44" s="233" t="n"/>
      <c r="Q44" s="233" t="n"/>
      <c r="R44" s="233" t="n"/>
      <c r="S44" s="233" t="n"/>
      <c r="T44" s="233" t="n"/>
      <c r="U44" s="233" t="n"/>
      <c r="V44" s="233" t="n"/>
      <c r="W44" s="233" t="n"/>
      <c r="X44" s="233" t="n"/>
    </row>
    <row r="45">
      <c r="A45" s="219" t="n"/>
      <c r="B45" s="233" t="n"/>
      <c r="C45" s="233" t="n"/>
      <c r="D45" s="233" t="n"/>
      <c r="E45" s="233" t="n"/>
      <c r="F45" s="233" t="n"/>
      <c r="G45" s="233" t="n"/>
      <c r="H45" s="233" t="n"/>
      <c r="I45" s="233" t="n"/>
      <c r="J45" s="233" t="n"/>
      <c r="K45" s="233" t="n"/>
      <c r="L45" s="233" t="n"/>
      <c r="M45" s="233" t="n"/>
      <c r="N45" s="233" t="n"/>
      <c r="O45" s="233" t="n"/>
      <c r="P45" s="233" t="n"/>
      <c r="Q45" s="233" t="n"/>
      <c r="R45" s="233" t="n"/>
      <c r="S45" s="233" t="n"/>
      <c r="T45" s="233" t="n"/>
      <c r="U45" s="233" t="n"/>
      <c r="V45" s="233" t="n"/>
      <c r="W45" s="233" t="n"/>
      <c r="X45" s="233" t="n"/>
    </row>
    <row r="46">
      <c r="A46" s="219" t="n"/>
      <c r="B46" s="233" t="n"/>
      <c r="C46" s="233" t="n"/>
      <c r="D46" s="233" t="n"/>
      <c r="E46" s="233" t="n"/>
      <c r="F46" s="233" t="n"/>
      <c r="G46" s="233" t="n"/>
      <c r="H46" s="233" t="n"/>
      <c r="I46" s="233" t="n"/>
      <c r="J46" s="233" t="n"/>
      <c r="K46" s="233" t="n"/>
      <c r="L46" s="233" t="n"/>
      <c r="M46" s="233" t="n"/>
      <c r="N46" s="233" t="n"/>
      <c r="O46" s="233" t="n"/>
      <c r="P46" s="233" t="n"/>
      <c r="Q46" s="233" t="n"/>
      <c r="R46" s="233" t="n"/>
      <c r="S46" s="233" t="n"/>
      <c r="T46" s="233" t="n"/>
      <c r="U46" s="233" t="n"/>
      <c r="V46" s="233" t="n"/>
      <c r="W46" s="233" t="n"/>
      <c r="X46" s="233" t="n"/>
    </row>
    <row r="47">
      <c r="A47" s="219" t="n"/>
      <c r="B47" s="233" t="n"/>
      <c r="C47" s="233" t="n"/>
      <c r="D47" s="233" t="n"/>
      <c r="E47" s="233" t="n"/>
      <c r="F47" s="233" t="n"/>
      <c r="G47" s="233" t="n"/>
      <c r="H47" s="233" t="n"/>
      <c r="I47" s="233" t="n"/>
      <c r="J47" s="233" t="n"/>
      <c r="K47" s="233" t="n"/>
      <c r="L47" s="233" t="n"/>
      <c r="M47" s="233" t="n"/>
      <c r="N47" s="233" t="n"/>
      <c r="O47" s="233" t="n"/>
      <c r="P47" s="233" t="n"/>
      <c r="Q47" s="233" t="n"/>
      <c r="R47" s="233" t="n"/>
      <c r="S47" s="233" t="n"/>
      <c r="T47" s="233" t="n"/>
      <c r="U47" s="233" t="n"/>
      <c r="V47" s="233" t="n"/>
      <c r="W47" s="233" t="n"/>
      <c r="X47" s="233" t="n"/>
    </row>
    <row r="48">
      <c r="A48" s="219" t="n"/>
      <c r="B48" s="233" t="n"/>
      <c r="C48" s="233" t="n"/>
      <c r="D48" s="233" t="n"/>
      <c r="E48" s="233" t="n"/>
      <c r="F48" s="233" t="n"/>
      <c r="G48" s="233" t="n"/>
      <c r="H48" s="233" t="n"/>
      <c r="I48" s="233" t="n"/>
      <c r="J48" s="233" t="n"/>
      <c r="K48" s="233" t="n"/>
      <c r="L48" s="233" t="n"/>
      <c r="M48" s="233" t="n"/>
      <c r="N48" s="233" t="n"/>
      <c r="O48" s="233" t="n"/>
      <c r="P48" s="233" t="n"/>
      <c r="Q48" s="233" t="n"/>
      <c r="R48" s="233" t="n"/>
      <c r="S48" s="233" t="n"/>
      <c r="T48" s="233" t="n"/>
      <c r="U48" s="233" t="n"/>
      <c r="V48" s="233" t="n"/>
      <c r="W48" s="233" t="n"/>
      <c r="X48" s="233" t="n"/>
    </row>
    <row r="49">
      <c r="A49" s="219" t="n"/>
      <c r="B49" s="233" t="n"/>
      <c r="C49" s="233" t="n"/>
      <c r="D49" s="233" t="n"/>
      <c r="E49" s="233" t="n"/>
      <c r="F49" s="233" t="n"/>
      <c r="G49" s="233" t="n"/>
      <c r="H49" s="233" t="n"/>
      <c r="I49" s="233" t="n"/>
      <c r="J49" s="233" t="n"/>
      <c r="K49" s="233" t="n"/>
      <c r="L49" s="233" t="n"/>
      <c r="M49" s="233" t="n"/>
      <c r="N49" s="233" t="n"/>
      <c r="O49" s="233" t="n"/>
      <c r="P49" s="233" t="n"/>
      <c r="Q49" s="233" t="n"/>
      <c r="R49" s="233" t="n"/>
      <c r="S49" s="233" t="n"/>
      <c r="T49" s="233" t="n"/>
      <c r="U49" s="233" t="n"/>
      <c r="V49" s="233" t="n"/>
      <c r="W49" s="233" t="n"/>
      <c r="X49" s="233" t="n"/>
      <c r="AM49" t="n">
        <v>90</v>
      </c>
    </row>
    <row r="50">
      <c r="A50" s="219" t="n"/>
      <c r="B50" s="233" t="n"/>
      <c r="C50" s="233" t="n"/>
      <c r="D50" s="233" t="n"/>
      <c r="E50" s="233" t="n"/>
      <c r="F50" s="233" t="n"/>
      <c r="G50" s="233" t="n"/>
      <c r="H50" s="233" t="n"/>
      <c r="I50" s="233" t="n"/>
      <c r="J50" s="233" t="n"/>
      <c r="K50" s="233" t="n"/>
      <c r="L50" s="233" t="n"/>
      <c r="M50" s="233" t="n"/>
      <c r="N50" s="233" t="n"/>
      <c r="O50" s="233" t="n"/>
      <c r="P50" s="233" t="n"/>
      <c r="Q50" s="233" t="n"/>
      <c r="R50" s="233" t="n"/>
      <c r="S50" s="233" t="n"/>
      <c r="T50" s="233" t="n"/>
      <c r="U50" s="233" t="n"/>
      <c r="V50" s="233" t="n"/>
      <c r="W50" s="233" t="n"/>
      <c r="X50" s="233" t="n"/>
      <c r="AM50" t="n">
        <v>60</v>
      </c>
    </row>
    <row r="51">
      <c r="A51" s="219" t="n"/>
      <c r="B51" s="233" t="n"/>
      <c r="C51" s="233" t="n"/>
      <c r="D51" s="233" t="n"/>
      <c r="E51" s="233" t="n"/>
      <c r="F51" s="233" t="n"/>
      <c r="G51" s="233" t="n"/>
      <c r="H51" s="233" t="n"/>
      <c r="I51" s="233" t="n"/>
      <c r="J51" s="233" t="n"/>
      <c r="K51" s="231" t="n"/>
      <c r="L51" s="231" t="n"/>
      <c r="M51" s="231" t="n"/>
      <c r="N51" s="231" t="n"/>
      <c r="O51" s="231" t="n"/>
      <c r="P51" s="231" t="n"/>
      <c r="Q51" s="231" t="n"/>
      <c r="R51" s="231" t="n"/>
      <c r="S51" s="231" t="n"/>
      <c r="T51" s="231" t="n"/>
      <c r="U51" s="231" t="n"/>
      <c r="V51" s="231" t="n"/>
      <c r="W51" s="231" t="n"/>
      <c r="X51" s="231" t="n"/>
      <c r="AM51">
        <f>AM49/AM50</f>
        <v/>
      </c>
    </row>
    <row r="52">
      <c r="A52" s="219" t="n"/>
      <c r="B52" s="233" t="n"/>
      <c r="C52" s="233" t="n"/>
      <c r="D52" s="233" t="n"/>
      <c r="E52" s="233" t="n"/>
      <c r="F52" s="233" t="n"/>
      <c r="G52" s="233" t="n"/>
      <c r="H52" s="233" t="n"/>
      <c r="I52" s="233" t="n"/>
      <c r="J52" s="233" t="n"/>
      <c r="K52" s="233" t="n"/>
      <c r="L52" s="233" t="n"/>
      <c r="M52" s="233" t="n"/>
      <c r="N52" s="233" t="n"/>
      <c r="O52" s="233" t="n"/>
      <c r="P52" s="233" t="n"/>
      <c r="Q52" s="233" t="n"/>
      <c r="R52" s="233" t="n"/>
      <c r="S52" s="233" t="n"/>
      <c r="T52" s="233" t="n"/>
      <c r="U52" s="233" t="n"/>
      <c r="V52" s="233" t="n"/>
      <c r="W52" s="233" t="n"/>
      <c r="X52" s="233" t="n"/>
    </row>
    <row r="54">
      <c r="E54" s="423" t="inlineStr">
        <is>
          <t>Critical Material Lead time</t>
        </is>
      </c>
      <c r="F54" s="8" t="n"/>
      <c r="G54" s="8" t="n"/>
      <c r="H54" s="8" t="n"/>
      <c r="I54" s="8" t="n"/>
      <c r="J54" s="8" t="n"/>
      <c r="K54" s="233" t="n"/>
      <c r="L54" s="233" t="n"/>
      <c r="M54" s="233" t="n"/>
      <c r="N54" s="233" t="n"/>
      <c r="O54" s="233" t="n"/>
      <c r="P54" s="233" t="n"/>
      <c r="Q54" s="233" t="n"/>
      <c r="R54" s="233" t="n"/>
      <c r="S54" s="233" t="n"/>
      <c r="T54" s="233" t="n"/>
      <c r="U54" s="233" t="n"/>
      <c r="V54" s="233" t="n"/>
      <c r="W54" s="233" t="n"/>
      <c r="X54" s="233" t="n"/>
    </row>
    <row r="55">
      <c r="E55" s="423" t="inlineStr">
        <is>
          <t>Normal Material Lead time</t>
        </is>
      </c>
      <c r="F55" s="8" t="n"/>
      <c r="G55" s="8" t="n"/>
      <c r="H55" s="8" t="n"/>
      <c r="I55" s="8" t="n"/>
      <c r="J55" s="8" t="n"/>
      <c r="K55" s="233" t="n"/>
      <c r="L55" s="233" t="n"/>
      <c r="M55" s="233" t="n"/>
      <c r="N55" s="233" t="n"/>
      <c r="O55" s="233" t="n"/>
      <c r="P55" s="233" t="n"/>
      <c r="Q55" s="233" t="n"/>
      <c r="R55" s="233" t="n"/>
      <c r="S55" s="233" t="n"/>
      <c r="T55" s="233" t="n"/>
      <c r="U55" s="233" t="n"/>
      <c r="V55" s="233" t="n"/>
      <c r="W55" s="233" t="n"/>
      <c r="X55" s="233" t="n"/>
    </row>
  </sheetData>
  <autoFilter ref="A5:DT43"/>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BIJUZ</dc:creator>
  <dcterms:created xmlns:dcterms="http://purl.org/dc/terms/" xmlns:xsi="http://www.w3.org/2001/XMLSchema-instance" xsi:type="dcterms:W3CDTF">2013-02-26T05:31:00Z</dcterms:created>
  <dcterms:modified xmlns:dcterms="http://purl.org/dc/terms/" xmlns:xsi="http://www.w3.org/2001/XMLSchema-instance" xsi:type="dcterms:W3CDTF">2026-03-20T05:27:05Z</dcterms:modified>
  <cp:lastModifiedBy>Administrator</cp:lastModifiedBy>
  <cp:lastPrinted>2025-05-05T14:00:12Z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1033-10.2.0.5871</vt:lpwstr>
  </property>
</Properties>
</file>