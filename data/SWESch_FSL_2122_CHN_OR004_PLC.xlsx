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E:\Chaitanya\SW Schedule\SWESch\"/>
    </mc:Choice>
  </mc:AlternateContent>
  <xr:revisionPtr revIDLastSave="0" documentId="13_ncr:1_{EEEDE252-CACA-46CF-B251-A9293FCE6280}" xr6:coauthVersionLast="47" xr6:coauthVersionMax="47" xr10:uidLastSave="{00000000-0000-0000-0000-000000000000}"/>
  <bookViews>
    <workbookView xWindow="-108" yWindow="-108" windowWidth="23256" windowHeight="12456" tabRatio="757" activeTab="2" xr2:uid="{00000000-000D-0000-FFFF-FFFF00000000}"/>
  </bookViews>
  <sheets>
    <sheet name="VersionControl" sheetId="4" r:id="rId1"/>
    <sheet name="ReadMe" sheetId="1" r:id="rId2"/>
    <sheet name="PrjSch" sheetId="2" r:id="rId3"/>
    <sheet name="AmendmentIndex" sheetId="5" state="hidden" r:id="rId4"/>
    <sheet name="@LeadT_Setting" sheetId="3" state="hidden" r:id="rId5"/>
  </sheets>
  <externalReferences>
    <externalReference r:id="rId6"/>
  </externalReferences>
  <definedNames>
    <definedName name="_xlnm._FilterDatabase" localSheetId="4" hidden="1">'@LeadT_Setting'!$A$5:$DT$43</definedName>
    <definedName name="_xlnm._FilterDatabase" localSheetId="2" hidden="1">PrjSch!$A$8:$CX$56</definedName>
    <definedName name="ActualPeriod" localSheetId="0">IF(AND([1]PrjSch!$X1&lt;&gt;"",[1]PrjSch!$Y1&lt;&gt;""),[1]PrjSch!$Y1-[1]PrjSch!$X1+1,0)</definedName>
    <definedName name="ActualPeriod">IF(AND(PrjSch!$X1&lt;&gt;"",PrjSch!$Y1&lt;&gt;""),PrjSch!$Y1-PrjSch!$X1+1,0)</definedName>
    <definedName name="ClearEditableEntries" localSheetId="0">[1]PrjSch!$D$1,[1]PrjSch!$D$2,[1]PrjSch!$D$3,[1]PrjSch!$I$1,[1]PrjSch!$I$3,[1]PrjSch!$I$2,[1]PrjSch!$D$9,[1]PrjSch!$D$10,[1]PrjSch!$D$11,[1]PrjSch!$D$12,[1]PrjSch!$D$13,[1]PrjSch!$D$14,[1]PrjSch!$D$15,[1]PrjSch!$D$17,[1]PrjSch!$D$18,[1]PrjSch!$D$19,[1]PrjSch!$D$20,[1]PrjSch!$C$23,[1]PrjSch!$C$24,[1]PrjSch!$C$25,[1]PrjSch!$C$26,[1]PrjSch!$C$28,[1]PrjSch!$C$29,[1]PrjSch!$C$30,[1]PrjSch!$C$31,[1]PrjSch!$C$32,[1]PrjSch!$C$33,[1]PrjSch!$C$34,[1]PrjSch!$J$9:$Q$55,[1]PrjSch!$S$9:$S$13,[1]PrjSch!$S$16:$S$17,[1]PrjSch!$S$22:$S$25,[1]PrjSch!$S$27:$S$41,[1]PrjSch!$S$46:$S$55,[1]PrjSch!$U$12:$U$23,[1]PrjSch!$U$31,[1]PrjSch!$U$35:$U$52,[1]PrjSch!$U$54,[1]PrjSch!$X$9:$Z$55,[1]PrjSch!$AD$9:$AF$55,[1]PrjSch!$AF$1:$AF$6,[1]PrjSch!$AG$9:$AK$9,[1]PrjSch!$S$3:$S$4,[1]PrjSch!$AI$13:$AI$19,[1]PrjSch!$AI$22</definedName>
    <definedName name="ClearEditableEntries">PrjSch!$D$1,PrjSch!$D$2,PrjSch!$D$3,PrjSch!$I$1,PrjSch!$I$3,PrjSch!$I$2,PrjSch!#REF!,PrjSch!$D$9,PrjSch!$D$10,PrjSch!$D$11,PrjSch!$D$12,PrjSch!$D$13,PrjSch!$D$14,PrjSch!$D$17,PrjSch!$D$18,PrjSch!$D$25,PrjSch!$D$20,PrjSch!#REF!,PrjSch!#REF!,PrjSch!$C$29,PrjSch!$C$30,PrjSch!$C$33,PrjSch!$C$34,PrjSch!#REF!,PrjSch!#REF!,PrjSch!#REF!,PrjSch!#REF!,PrjSch!#REF!,PrjSch!$J$9:$Q$55,PrjSch!$S$9:$S$13,PrjSch!$S$16:$S$17,PrjSch!$S$22:$S$25,PrjSch!$S$27:$S$41,PrjSch!$S$46:$S$55,PrjSch!$U$12:$U$23,PrjSch!$U$31,PrjSch!$U$35:$U$52,PrjSch!$U$54,PrjSch!$X$9:$Z$55,PrjSch!$AD$9:$AF$55,PrjSch!$AF$1:$AF$6,PrjSch!$AG$9:$AK$9,PrjSch!$S$3:$S$4,PrjSch!$AI$13:$AI$19,PrjSch!$AI$22</definedName>
    <definedName name="Grade">PrjSch!$B$48:$B$51</definedName>
    <definedName name="LukUp_Efforts">'@LeadT_Setting'!$CZ$8:$DG$13</definedName>
    <definedName name="Mfg_DelayCode">'@LeadT_Setting'!$DS$6:$DS$29</definedName>
    <definedName name="Mfg_LOC" localSheetId="0">'[1]@LeadT_Setting'!$Y$6:$Y$9</definedName>
    <definedName name="Mfg_LOC">'@LeadT_Setting'!$AM$6:$AM$9</definedName>
    <definedName name="NS_HW" localSheetId="0">'[1]@LeadT_Setting'!$V$16</definedName>
    <definedName name="NS_HW">'@LeadT_Setting'!$AJ$16</definedName>
    <definedName name="NS_MF" localSheetId="0">'[1]@LeadT_Setting'!$X$16</definedName>
    <definedName name="NS_MF">'@LeadT_Setting'!$AL$16</definedName>
    <definedName name="NS_SW" localSheetId="0">'[1]@LeadT_Setting'!$W$16</definedName>
    <definedName name="NS_SW">'@LeadT_Setting'!$AK$16</definedName>
    <definedName name="PackgingType">'@LeadT_Setting'!$AM$12:$AM$20</definedName>
    <definedName name="PanelTyp">PrjSch!$C$18:$C$24</definedName>
    <definedName name="Payment_Status">'@LeadT_Setting'!$AL$6:$AL$10</definedName>
    <definedName name="PlanPeriod" localSheetId="0">[1]PrjSch!$W1-[1]PrjSch!$V1+1</definedName>
    <definedName name="PlanPeriod">PrjSch!$W1-PrjSch!$V1+1</definedName>
    <definedName name="_xlnm.Print_Area" localSheetId="2">PrjSch!$B$6:$CU$55</definedName>
    <definedName name="_xlnm.Print_Titles" localSheetId="2">PrjSch!$F:$I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G29" i="2" l="1"/>
  <c r="DG27" i="2"/>
  <c r="DG26" i="2"/>
  <c r="DG25" i="2"/>
  <c r="DG24" i="2"/>
  <c r="DF6" i="2" s="1"/>
  <c r="DG23" i="2"/>
  <c r="DG22" i="2"/>
  <c r="DG21" i="2"/>
  <c r="DG20" i="2"/>
  <c r="DG19" i="2"/>
  <c r="DG18" i="2"/>
  <c r="DG17" i="2"/>
  <c r="DG16" i="2"/>
  <c r="DG15" i="2"/>
  <c r="DG14" i="2"/>
  <c r="DG13" i="2"/>
  <c r="DG12" i="2"/>
  <c r="DG11" i="2"/>
  <c r="DE6" i="2" s="1"/>
  <c r="R25" i="2"/>
  <c r="V10" i="2"/>
  <c r="AB2" i="2" l="1"/>
  <c r="D28" i="2" l="1"/>
  <c r="V26" i="2"/>
  <c r="V25" i="2"/>
  <c r="V24" i="2"/>
  <c r="D33" i="2" l="1"/>
  <c r="D32" i="2"/>
  <c r="D31" i="2"/>
  <c r="V22" i="2"/>
  <c r="AI3" i="3"/>
  <c r="D16" i="2" s="1"/>
  <c r="BN26" i="3"/>
  <c r="BM25" i="3"/>
  <c r="BL24" i="3"/>
  <c r="BK24" i="3"/>
  <c r="BJ23" i="3"/>
  <c r="BO27" i="3"/>
  <c r="AS27" i="3" l="1"/>
  <c r="AS26" i="3"/>
  <c r="AS25" i="3"/>
  <c r="BI22" i="3" l="1"/>
  <c r="BH21" i="3"/>
  <c r="BG21" i="3"/>
  <c r="BF21" i="3"/>
  <c r="BE20" i="3"/>
  <c r="BD19" i="3"/>
  <c r="BC18" i="3"/>
  <c r="BB17" i="3"/>
  <c r="BA16" i="3"/>
  <c r="AZ15" i="3"/>
  <c r="AY14" i="3"/>
  <c r="AX13" i="3"/>
  <c r="AW13" i="3"/>
  <c r="AV12" i="3"/>
  <c r="DD46" i="2"/>
  <c r="DD45" i="2"/>
  <c r="DD44" i="2"/>
  <c r="DD43" i="2"/>
  <c r="DD42" i="2"/>
  <c r="DD41" i="2"/>
  <c r="DD40" i="2"/>
  <c r="DD39" i="2"/>
  <c r="DD38" i="2"/>
  <c r="DD37" i="2"/>
  <c r="DD36" i="2"/>
  <c r="DD35" i="2"/>
  <c r="DD34" i="2"/>
  <c r="DD33" i="2"/>
  <c r="DD32" i="2"/>
  <c r="DD31" i="2"/>
  <c r="DD30" i="2"/>
  <c r="DD29" i="2"/>
  <c r="DD28" i="2"/>
  <c r="DD27" i="2"/>
  <c r="DD26" i="2"/>
  <c r="DD25" i="2"/>
  <c r="DD24" i="2"/>
  <c r="DD23" i="2"/>
  <c r="DD22" i="2"/>
  <c r="DD21" i="2"/>
  <c r="DD20" i="2"/>
  <c r="DD19" i="2"/>
  <c r="DD18" i="2"/>
  <c r="DD17" i="2"/>
  <c r="DD16" i="2"/>
  <c r="DD15" i="2"/>
  <c r="DD14" i="2"/>
  <c r="DD13" i="2"/>
  <c r="DD12" i="2"/>
  <c r="DD11" i="2"/>
  <c r="DD10" i="2"/>
  <c r="DD9" i="2"/>
  <c r="D8" i="5" l="1"/>
  <c r="D7" i="5"/>
  <c r="D6" i="5"/>
  <c r="F9" i="5"/>
  <c r="D2" i="2" l="1"/>
  <c r="C56" i="2" s="1"/>
  <c r="DQ9" i="3" l="1"/>
  <c r="AI2" i="3" l="1"/>
  <c r="AM51" i="3" l="1"/>
  <c r="DF35" i="2" l="1"/>
  <c r="F2" i="3" l="1"/>
  <c r="H1" i="4" l="1"/>
  <c r="H1" i="1" s="1"/>
  <c r="F4" i="2" s="1"/>
  <c r="C1" i="1"/>
  <c r="J2" i="3" l="1"/>
  <c r="I2" i="3"/>
  <c r="H2" i="3"/>
  <c r="G2" i="3"/>
  <c r="DF36" i="2"/>
  <c r="DF22" i="2" l="1"/>
  <c r="DF19" i="2"/>
  <c r="DF14" i="2"/>
  <c r="DF13" i="2"/>
  <c r="DF12" i="2"/>
  <c r="DF34" i="2"/>
  <c r="DF33" i="2"/>
  <c r="DF31" i="2"/>
  <c r="DF27" i="2"/>
  <c r="DF26" i="2"/>
  <c r="DF25" i="2"/>
  <c r="DF24" i="2"/>
  <c r="DF20" i="2"/>
  <c r="DF17" i="2"/>
  <c r="DF29" i="2"/>
  <c r="DF7" i="2" s="1"/>
  <c r="DF3" i="2" s="1"/>
  <c r="DF23" i="2"/>
  <c r="DF18" i="2"/>
  <c r="DF16" i="2"/>
  <c r="DF15" i="2"/>
  <c r="DF32" i="2"/>
  <c r="DF21" i="2"/>
  <c r="DF11" i="2"/>
  <c r="AM10" i="3"/>
  <c r="AN10" i="3" s="1"/>
  <c r="J3" i="3" s="1"/>
  <c r="H3" i="3" l="1"/>
  <c r="I3" i="3"/>
  <c r="F3" i="3"/>
  <c r="G3" i="3" l="1"/>
  <c r="AI1" i="3" l="1"/>
  <c r="R21" i="2" l="1"/>
  <c r="R30" i="2"/>
  <c r="R29" i="2"/>
  <c r="R28" i="2"/>
  <c r="R12" i="2"/>
  <c r="R23" i="2"/>
  <c r="R13" i="2"/>
  <c r="R27" i="2"/>
  <c r="R11" i="2"/>
  <c r="R10" i="2"/>
  <c r="R16" i="2"/>
  <c r="R14" i="2"/>
  <c r="R22" i="2"/>
  <c r="R15"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T3" i="2"/>
  <c r="W25" i="2" l="1"/>
  <c r="S10" i="2"/>
  <c r="W10" i="2" s="1"/>
  <c r="S30" i="2"/>
  <c r="W22" i="2"/>
  <c r="V23" i="2" s="1"/>
  <c r="W21" i="2"/>
  <c r="V21" i="2" s="1"/>
  <c r="W20" i="2" s="1"/>
  <c r="W19" i="2" s="1"/>
  <c r="AJ2" i="3"/>
  <c r="W23" i="2" l="1"/>
  <c r="W18" i="2"/>
  <c r="W17" i="2" s="1"/>
  <c r="DF46" i="2"/>
  <c r="DF45" i="2"/>
  <c r="DF44" i="2"/>
  <c r="DF43" i="2"/>
  <c r="DF42" i="2"/>
  <c r="DF41" i="2"/>
  <c r="DF40" i="2"/>
  <c r="DF39" i="2"/>
  <c r="DF38" i="2"/>
  <c r="DF37" i="2"/>
  <c r="W16" i="2" l="1"/>
  <c r="V16" i="2" s="1"/>
  <c r="V17" i="2" s="1"/>
  <c r="V18" i="2" s="1"/>
  <c r="V19" i="2" s="1"/>
  <c r="V20" i="2" s="1"/>
  <c r="W15" i="2" l="1"/>
  <c r="V15" i="2" s="1"/>
  <c r="W14" i="2" s="1"/>
  <c r="V14" i="2" s="1"/>
  <c r="W13" i="2" s="1"/>
  <c r="V13" i="2" s="1"/>
  <c r="W12" i="2" s="1"/>
  <c r="V12" i="2" s="1"/>
  <c r="W11" i="2" s="1"/>
  <c r="DF2" i="2"/>
  <c r="DA46" i="2"/>
  <c r="DA45" i="2"/>
  <c r="DA44" i="2"/>
  <c r="DA43" i="2"/>
  <c r="DA42" i="2"/>
  <c r="DA41" i="2"/>
  <c r="DA40" i="2"/>
  <c r="DA39" i="2"/>
  <c r="DA38" i="2"/>
  <c r="DA37" i="2"/>
  <c r="DA36" i="2"/>
  <c r="DA35" i="2"/>
  <c r="DA31" i="2"/>
  <c r="DA23" i="2"/>
  <c r="DA22" i="2"/>
  <c r="DA21" i="2"/>
  <c r="DA20" i="2"/>
  <c r="DA19" i="2"/>
  <c r="DA18" i="2"/>
  <c r="DA17" i="2"/>
  <c r="DA16" i="2"/>
  <c r="DA15" i="2"/>
  <c r="DA14" i="2"/>
  <c r="DA13" i="2"/>
  <c r="DA12" i="2"/>
  <c r="V11" i="2" l="1"/>
  <c r="D29" i="2" s="1"/>
  <c r="Z2" i="3"/>
  <c r="J5" i="2"/>
  <c r="DH50" i="2" l="1"/>
  <c r="DH49" i="2"/>
  <c r="DA34" i="2"/>
  <c r="DA24" i="2"/>
  <c r="DA29" i="2"/>
  <c r="DA10" i="2"/>
  <c r="DA28" i="2"/>
  <c r="DA27" i="2" l="1"/>
  <c r="DA32" i="2"/>
  <c r="DA11" i="2"/>
  <c r="DH51" i="2"/>
  <c r="DA30" i="2"/>
  <c r="DH54" i="2"/>
  <c r="DA33" i="2" l="1"/>
  <c r="DA25" i="2"/>
  <c r="DH47" i="2" l="1"/>
  <c r="DA26" i="2"/>
  <c r="DH48" i="2" l="1"/>
  <c r="DH52" i="2" l="1"/>
  <c r="DH53" i="2" l="1"/>
  <c r="DH55" i="2" l="1"/>
  <c r="AU11" i="3" l="1"/>
  <c r="AS11" i="3" s="1"/>
  <c r="AS12" i="3"/>
  <c r="AS13" i="3"/>
  <c r="AS16" i="3"/>
  <c r="AS18" i="3"/>
  <c r="AS20" i="3"/>
  <c r="AS22" i="3"/>
  <c r="AS21" i="3"/>
  <c r="AS24" i="3"/>
  <c r="R9" i="2"/>
  <c r="S9" i="2" l="1"/>
  <c r="W9" i="2" s="1"/>
  <c r="V9" i="2" s="1"/>
  <c r="AS23" i="3"/>
  <c r="AS19" i="3"/>
  <c r="AS15" i="3"/>
  <c r="AS14" i="3"/>
  <c r="AS17" i="3"/>
  <c r="AR10" i="3" l="1"/>
  <c r="DE2" i="2" s="1"/>
  <c r="W2" i="2"/>
  <c r="DB9" i="2" l="1"/>
  <c r="CY9" i="2" s="1"/>
  <c r="AB9" i="2"/>
  <c r="DH9" i="2" s="1"/>
  <c r="AA9" i="2"/>
  <c r="CZ9" i="2" s="1"/>
  <c r="DE7" i="2"/>
  <c r="DF1" i="2" s="1"/>
  <c r="DA9" i="2"/>
  <c r="DB10" i="2"/>
  <c r="DC9" i="2" l="1"/>
  <c r="DE3" i="2"/>
  <c r="AA10" i="2"/>
  <c r="CZ10" i="2" s="1"/>
  <c r="AA11" i="2" l="1"/>
  <c r="CZ11" i="2" s="1"/>
  <c r="DB11" i="2"/>
  <c r="CY11" i="2" l="1"/>
  <c r="AB11" i="2"/>
  <c r="DH11" i="2" s="1"/>
  <c r="DC11" i="2"/>
  <c r="AB12" i="2" l="1"/>
  <c r="DB12" i="2"/>
  <c r="AA12" i="2"/>
  <c r="CZ12" i="2" s="1"/>
  <c r="DH12" i="2" l="1"/>
  <c r="DC12" i="2"/>
  <c r="CY12" i="2"/>
  <c r="AA13" i="2" l="1"/>
  <c r="CZ13" i="2" s="1"/>
  <c r="DB13" i="2" l="1"/>
  <c r="CY13" i="2" s="1"/>
  <c r="AB13" i="2"/>
  <c r="DH13" i="2" s="1"/>
  <c r="DC13" i="2" l="1"/>
  <c r="DB14" i="2"/>
  <c r="AB14" i="2"/>
  <c r="AA14" i="2"/>
  <c r="CZ14" i="2" s="1"/>
  <c r="DH14" i="2" l="1"/>
  <c r="CY14" i="2"/>
  <c r="DC14" i="2"/>
  <c r="AB15" i="2" l="1"/>
  <c r="DB15" i="2"/>
  <c r="DC15" i="2" l="1"/>
  <c r="AA15" i="2"/>
  <c r="CZ15" i="2" s="1"/>
  <c r="DH15" i="2"/>
  <c r="CY15" i="2"/>
  <c r="DB16" i="2" l="1"/>
  <c r="DC16" i="2" s="1"/>
  <c r="D30" i="2" l="1"/>
  <c r="AA16" i="2"/>
  <c r="CZ16" i="2" s="1"/>
  <c r="AB16" i="2"/>
  <c r="DH16" i="2" s="1"/>
  <c r="CY16" i="2"/>
  <c r="DB17" i="2" l="1"/>
  <c r="AA17" i="2" l="1"/>
  <c r="CZ17" i="2" s="1"/>
  <c r="AB17" i="2"/>
  <c r="DH17" i="2" s="1"/>
  <c r="DC17" i="2"/>
  <c r="CY17" i="2"/>
  <c r="AA18" i="2" l="1"/>
  <c r="CZ18" i="2" s="1"/>
  <c r="AB18" i="2" l="1"/>
  <c r="DH18" i="2" s="1"/>
  <c r="DB18" i="2"/>
  <c r="DC18" i="2" s="1"/>
  <c r="CY18" i="2" l="1"/>
  <c r="AB19" i="2"/>
  <c r="AA19" i="2"/>
  <c r="CZ19" i="2" s="1"/>
  <c r="DB19" i="2"/>
  <c r="DC19" i="2" l="1"/>
  <c r="DH19" i="2"/>
  <c r="CY19" i="2"/>
  <c r="AB20" i="2" l="1"/>
  <c r="AA20" i="2"/>
  <c r="CZ20" i="2" s="1"/>
  <c r="DB20" i="2"/>
  <c r="CY20" i="2" l="1"/>
  <c r="DC20" i="2"/>
  <c r="DH20" i="2"/>
  <c r="AB21" i="2" l="1"/>
  <c r="AA21" i="2"/>
  <c r="CZ21" i="2" s="1"/>
  <c r="DB21" i="2"/>
  <c r="DC21" i="2" l="1"/>
  <c r="CY21" i="2"/>
  <c r="DH21" i="2"/>
  <c r="DB22" i="2" l="1"/>
  <c r="AA22" i="2"/>
  <c r="CZ22" i="2" s="1"/>
  <c r="CY22" i="2" l="1"/>
  <c r="AB22" i="2"/>
  <c r="DH22" i="2" s="1"/>
  <c r="DC22" i="2"/>
  <c r="AA23" i="2" l="1"/>
  <c r="CZ23" i="2" s="1"/>
  <c r="DB23" i="2"/>
  <c r="DC23" i="2" s="1"/>
  <c r="AB23" i="2"/>
  <c r="CY23" i="2" l="1"/>
  <c r="DH23" i="2"/>
  <c r="AA24" i="2" l="1"/>
  <c r="CZ24" i="2" s="1"/>
  <c r="DB24" i="2" l="1"/>
  <c r="AB25" i="2" l="1"/>
  <c r="AA25" i="2"/>
  <c r="CZ25" i="2" s="1"/>
  <c r="DB25" i="2"/>
  <c r="DC25" i="2" l="1"/>
  <c r="CY25" i="2"/>
  <c r="DH25" i="2"/>
  <c r="CZ35" i="2" l="1"/>
  <c r="DB26" i="2"/>
  <c r="CZ36" i="2" l="1"/>
  <c r="AA26" i="2"/>
  <c r="CZ26" i="2" s="1"/>
  <c r="CZ37" i="2" l="1"/>
  <c r="CZ38" i="2" l="1"/>
  <c r="CZ39" i="2" l="1"/>
  <c r="CZ40" i="2" l="1"/>
  <c r="CZ41" i="2" l="1"/>
  <c r="CZ42" i="2" l="1"/>
  <c r="CZ43" i="2" l="1"/>
  <c r="DB31" i="2"/>
  <c r="CZ44" i="2" l="1"/>
  <c r="DC31" i="2"/>
  <c r="CZ31" i="2"/>
  <c r="CY31" i="2"/>
  <c r="DH31" i="2"/>
  <c r="CZ32" i="2" l="1"/>
  <c r="DB32" i="2"/>
  <c r="CZ45" i="2" l="1"/>
  <c r="DC32" i="2"/>
  <c r="DH32" i="2"/>
  <c r="CY32" i="2"/>
  <c r="CZ46" i="2" l="1"/>
  <c r="DB33" i="2"/>
  <c r="CY33" i="2" l="1"/>
  <c r="CZ33" i="2"/>
  <c r="DH33" i="2"/>
  <c r="DC33" i="2"/>
  <c r="CZ34" i="2" l="1"/>
  <c r="DB34" i="2"/>
  <c r="DC34" i="2" l="1"/>
  <c r="DH34" i="2"/>
  <c r="CY34" i="2"/>
  <c r="DB35" i="2" l="1"/>
  <c r="DC35" i="2" s="1"/>
  <c r="DH35" i="2"/>
  <c r="CY35" i="2" l="1"/>
  <c r="DB36" i="2"/>
  <c r="CY36" i="2" l="1"/>
  <c r="DH36" i="2"/>
  <c r="DC36" i="2"/>
  <c r="DB37" i="2" l="1"/>
  <c r="DH37" i="2" l="1"/>
  <c r="CY37" i="2"/>
  <c r="DC37" i="2"/>
  <c r="DB38" i="2" l="1"/>
  <c r="DC38" i="2" s="1"/>
  <c r="DH38" i="2"/>
  <c r="CY38" i="2" l="1"/>
  <c r="DB39" i="2"/>
  <c r="DH39" i="2" l="1"/>
  <c r="CY39" i="2"/>
  <c r="DC39" i="2"/>
  <c r="DB40" i="2" l="1"/>
  <c r="CY40" i="2" s="1"/>
  <c r="DH40" i="2"/>
  <c r="DC40" i="2" l="1"/>
  <c r="DB41" i="2"/>
  <c r="CY41" i="2" l="1"/>
  <c r="DH41" i="2"/>
  <c r="DC41" i="2"/>
  <c r="DB42" i="2" l="1"/>
  <c r="DH42" i="2" l="1"/>
  <c r="CY42" i="2"/>
  <c r="DC42" i="2"/>
  <c r="DB43" i="2" l="1"/>
  <c r="DH43" i="2" l="1"/>
  <c r="CY43" i="2"/>
  <c r="DC43" i="2"/>
  <c r="DB44" i="2" l="1"/>
  <c r="CY44" i="2" s="1"/>
  <c r="DC44" i="2" l="1"/>
  <c r="DB45" i="2"/>
  <c r="DH44" i="2"/>
  <c r="DC45" i="2" l="1"/>
  <c r="DH45" i="2"/>
  <c r="CY45" i="2"/>
  <c r="DB46" i="2" l="1"/>
  <c r="CY46" i="2" s="1"/>
  <c r="DH46" i="2"/>
  <c r="DC46" i="2" l="1"/>
  <c r="AB10" i="2"/>
  <c r="DH10" i="2" s="1"/>
  <c r="DC10" i="2"/>
  <c r="CY10" i="2"/>
  <c r="R24" i="2" l="1"/>
  <c r="W24" i="2"/>
  <c r="AB24" i="2" l="1"/>
  <c r="DH24" i="2" s="1"/>
  <c r="CY24" i="2"/>
  <c r="DC24" i="2"/>
  <c r="R26" i="2"/>
  <c r="W26" i="2"/>
  <c r="V27" i="2" s="1"/>
  <c r="W27" i="2" s="1"/>
  <c r="V28" i="2" s="1"/>
  <c r="W28" i="2" s="1"/>
  <c r="AB27" i="2" l="1"/>
  <c r="DH27" i="2" s="1"/>
  <c r="DB27" i="2"/>
  <c r="AA27" i="2"/>
  <c r="CZ27" i="2" s="1"/>
  <c r="AB26" i="2"/>
  <c r="DH26" i="2" s="1"/>
  <c r="CY26" i="2"/>
  <c r="DC26" i="2"/>
  <c r="DC27" i="2" l="1"/>
  <c r="CY27" i="2"/>
  <c r="V29" i="2" l="1"/>
  <c r="AA29" i="2" s="1"/>
  <c r="CZ29" i="2" s="1"/>
  <c r="W29" i="2"/>
  <c r="DB28" i="2" l="1"/>
  <c r="CY28" i="2" s="1"/>
  <c r="DB29" i="2"/>
  <c r="CY29" i="2" s="1"/>
  <c r="AA28" i="2"/>
  <c r="CZ28" i="2" s="1"/>
  <c r="AB28" i="2"/>
  <c r="DH28" i="2" s="1"/>
  <c r="AB29" i="2"/>
  <c r="DH29" i="2" s="1"/>
  <c r="V30" i="2"/>
  <c r="AM7" i="2" s="1"/>
  <c r="AM6" i="2" s="1"/>
  <c r="AM4" i="2" s="1"/>
  <c r="W30" i="2"/>
  <c r="AB30" i="2" l="1"/>
  <c r="DH30" i="2" s="1"/>
  <c r="DC28" i="2"/>
  <c r="DC29" i="2"/>
  <c r="AA30" i="2"/>
  <c r="CZ30" i="2" s="1"/>
  <c r="BU2" i="2"/>
  <c r="AN7" i="2" s="1"/>
  <c r="DB30" i="2"/>
  <c r="CY30" i="2" s="1"/>
  <c r="AO7" i="2" l="1"/>
  <c r="AN6" i="2"/>
  <c r="AN4" i="2" s="1"/>
  <c r="DC30" i="2"/>
  <c r="AO6" i="2" l="1"/>
  <c r="AO4" i="2" s="1"/>
  <c r="AP7" i="2"/>
  <c r="AP6" i="2" l="1"/>
  <c r="AP4" i="2" s="1"/>
  <c r="AQ7" i="2"/>
  <c r="AR7" i="2" l="1"/>
  <c r="AQ6" i="2"/>
  <c r="AQ4" i="2" s="1"/>
  <c r="AR6" i="2" l="1"/>
  <c r="AR4" i="2" s="1"/>
  <c r="AS7" i="2"/>
  <c r="AT7" i="2" l="1"/>
  <c r="AS6" i="2"/>
  <c r="AS4" i="2" s="1"/>
  <c r="AU7" i="2" l="1"/>
  <c r="AT6" i="2"/>
  <c r="AT4" i="2" s="1"/>
  <c r="AU6" i="2" l="1"/>
  <c r="AU4" i="2" s="1"/>
  <c r="AV7" i="2"/>
  <c r="AW7" i="2" l="1"/>
  <c r="AV6" i="2"/>
  <c r="AV4" i="2" s="1"/>
  <c r="AW6" i="2" l="1"/>
  <c r="AW4" i="2" s="1"/>
  <c r="AX7" i="2"/>
  <c r="AX6" i="2" l="1"/>
  <c r="AX4" i="2" s="1"/>
  <c r="AY7" i="2"/>
  <c r="AZ7" i="2" l="1"/>
  <c r="AY6" i="2"/>
  <c r="AY4" i="2" s="1"/>
  <c r="AZ6" i="2" l="1"/>
  <c r="AZ4" i="2" s="1"/>
  <c r="BA7" i="2"/>
  <c r="BB7" i="2" l="1"/>
  <c r="BA6" i="2"/>
  <c r="BA4" i="2" s="1"/>
  <c r="BC7" i="2" l="1"/>
  <c r="BB6" i="2"/>
  <c r="BB4" i="2" s="1"/>
  <c r="BC6" i="2" l="1"/>
  <c r="BC4" i="2" s="1"/>
  <c r="BD7" i="2"/>
  <c r="BE7" i="2" l="1"/>
  <c r="BD6" i="2"/>
  <c r="BD4" i="2" s="1"/>
  <c r="BE6" i="2" l="1"/>
  <c r="BE4" i="2" s="1"/>
  <c r="BF7" i="2"/>
  <c r="BF6" i="2" l="1"/>
  <c r="BF4" i="2" s="1"/>
  <c r="BG7" i="2"/>
  <c r="BH7" i="2" l="1"/>
  <c r="BG6" i="2"/>
  <c r="BG4" i="2" s="1"/>
  <c r="BH6" i="2" l="1"/>
  <c r="BH4" i="2" s="1"/>
  <c r="BI7" i="2"/>
  <c r="BJ7" i="2" l="1"/>
  <c r="BI6" i="2"/>
  <c r="BI4" i="2" s="1"/>
  <c r="BK7" i="2" l="1"/>
  <c r="BJ6" i="2"/>
  <c r="BJ4" i="2" s="1"/>
  <c r="BK6" i="2" l="1"/>
  <c r="BK4" i="2" s="1"/>
  <c r="BL7" i="2"/>
  <c r="BM7" i="2" l="1"/>
  <c r="BL6" i="2"/>
  <c r="BL4" i="2" s="1"/>
  <c r="BM6" i="2" l="1"/>
  <c r="BM4" i="2" s="1"/>
  <c r="BN7" i="2"/>
  <c r="BN6" i="2" l="1"/>
  <c r="BN4" i="2" s="1"/>
  <c r="BO7" i="2"/>
  <c r="BP7" i="2" l="1"/>
  <c r="BO6" i="2"/>
  <c r="BO4" i="2" s="1"/>
  <c r="BP6" i="2" l="1"/>
  <c r="BP4" i="2" s="1"/>
  <c r="BQ7" i="2"/>
  <c r="BR7" i="2" l="1"/>
  <c r="BQ6" i="2"/>
  <c r="BQ4" i="2" s="1"/>
  <c r="BS7" i="2" l="1"/>
  <c r="BR6" i="2"/>
  <c r="BR4" i="2" s="1"/>
  <c r="BS6" i="2" l="1"/>
  <c r="BS4" i="2" s="1"/>
  <c r="BT7" i="2"/>
  <c r="BU7" i="2" l="1"/>
  <c r="BT6" i="2"/>
  <c r="BT4" i="2" s="1"/>
  <c r="BU6" i="2" l="1"/>
  <c r="BU4" i="2" s="1"/>
  <c r="BV7" i="2"/>
  <c r="BV6" i="2" l="1"/>
  <c r="BV4" i="2" s="1"/>
  <c r="BW7" i="2"/>
  <c r="BX7" i="2" l="1"/>
  <c r="BW6" i="2"/>
  <c r="BW4" i="2" s="1"/>
  <c r="BX6" i="2" l="1"/>
  <c r="BX4" i="2" s="1"/>
  <c r="BY7" i="2"/>
  <c r="BZ7" i="2" l="1"/>
  <c r="BY6" i="2"/>
  <c r="BY4" i="2" s="1"/>
  <c r="CA7" i="2" l="1"/>
  <c r="BZ6" i="2"/>
  <c r="BZ4" i="2" s="1"/>
  <c r="CA6" i="2" l="1"/>
  <c r="CA4" i="2" s="1"/>
  <c r="CB7" i="2"/>
  <c r="CC7" i="2" l="1"/>
  <c r="CB6" i="2"/>
  <c r="CB4" i="2" s="1"/>
  <c r="CC6" i="2" l="1"/>
  <c r="CC4" i="2" s="1"/>
  <c r="CD7" i="2"/>
  <c r="CD6" i="2" l="1"/>
  <c r="CD4" i="2" s="1"/>
  <c r="CE7" i="2"/>
  <c r="CF7" i="2" l="1"/>
  <c r="CE6" i="2"/>
  <c r="CE4" i="2" s="1"/>
  <c r="CF6" i="2" l="1"/>
  <c r="CF4" i="2" s="1"/>
  <c r="CG7" i="2"/>
  <c r="CH7" i="2" l="1"/>
  <c r="CG6" i="2"/>
  <c r="CG4" i="2" s="1"/>
  <c r="CI7" i="2" l="1"/>
  <c r="CH6" i="2"/>
  <c r="CH4" i="2" s="1"/>
  <c r="CI6" i="2" l="1"/>
  <c r="CI4" i="2" s="1"/>
  <c r="CJ7" i="2"/>
  <c r="CK7" i="2" l="1"/>
  <c r="CJ6" i="2"/>
  <c r="CJ4" i="2" s="1"/>
  <c r="CK6" i="2" l="1"/>
  <c r="CK4" i="2" s="1"/>
  <c r="CL7" i="2"/>
  <c r="CL6" i="2" l="1"/>
  <c r="CL4" i="2" s="1"/>
  <c r="CM7" i="2"/>
  <c r="CN7" i="2" l="1"/>
  <c r="CM6" i="2"/>
  <c r="CM4" i="2" s="1"/>
  <c r="CN6" i="2" l="1"/>
  <c r="CN4" i="2" s="1"/>
  <c r="CO7" i="2"/>
  <c r="CP7" i="2" l="1"/>
  <c r="CO6" i="2"/>
  <c r="CO4" i="2" s="1"/>
  <c r="CQ7" i="2" l="1"/>
  <c r="CP6" i="2"/>
  <c r="CP4" i="2" s="1"/>
  <c r="CQ6" i="2" l="1"/>
  <c r="CQ4" i="2" s="1"/>
  <c r="CR7" i="2"/>
  <c r="CS7" i="2" l="1"/>
  <c r="CR6" i="2"/>
  <c r="CR4" i="2" s="1"/>
  <c r="CS6" i="2" l="1"/>
  <c r="CS4" i="2" s="1"/>
  <c r="CT7" i="2"/>
  <c r="CT6" i="2" l="1"/>
  <c r="CT4" i="2" s="1"/>
  <c r="CU7" i="2"/>
  <c r="CU6" i="2" s="1"/>
  <c r="CU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BIJUZ</author>
    <author>Administrator</author>
  </authors>
  <commentList>
    <comment ref="C1" authorId="0" shapeId="0" xr:uid="{81AE6D24-8BD3-45FD-B341-D13108139A50}">
      <text>
        <r>
          <rPr>
            <b/>
            <sz val="9"/>
            <color indexed="81"/>
            <rFont val="Tahoma"/>
            <family val="2"/>
          </rPr>
          <t>Sales Order number</t>
        </r>
      </text>
    </comment>
    <comment ref="AB1" authorId="1" shapeId="0" xr:uid="{D08E6155-022D-4826-B4B4-A9509BD8E146}">
      <text>
        <r>
          <rPr>
            <b/>
            <sz val="9"/>
            <color indexed="81"/>
            <rFont val="Tahoma"/>
            <family val="2"/>
          </rPr>
          <t>Actual Panel Dispatch End Date -Actual Panel Manufacturing Start Date+1</t>
        </r>
      </text>
    </comment>
    <comment ref="C2" authorId="0" shapeId="0" xr:uid="{AA199CB0-54C7-4BFF-BEFB-F85D381E13B8}">
      <text>
        <r>
          <rPr>
            <b/>
            <sz val="9"/>
            <color indexed="81"/>
            <rFont val="Tahoma"/>
            <family val="2"/>
          </rPr>
          <t>Master Sales Order number.</t>
        </r>
      </text>
    </comment>
    <comment ref="C3" authorId="0" shapeId="0" xr:uid="{0FB3E8EB-D8A5-410D-9B9A-70729303FD88}">
      <text>
        <r>
          <rPr>
            <b/>
            <sz val="9"/>
            <color indexed="81"/>
            <rFont val="Tahoma"/>
            <family val="2"/>
          </rPr>
          <t>Master Sales Order number.</t>
        </r>
      </text>
    </comment>
    <comment ref="F6" authorId="0" shapeId="0" xr:uid="{00000000-0006-0000-0100-000001000000}">
      <text>
        <r>
          <rPr>
            <b/>
            <sz val="8"/>
            <rFont val="Tahoma"/>
            <family val="2"/>
          </rPr>
          <t>Project Phase</t>
        </r>
        <r>
          <rPr>
            <sz val="8"/>
            <rFont val="Tahoma"/>
            <family val="2"/>
          </rPr>
          <t xml:space="preserve">
</t>
        </r>
      </text>
    </comment>
    <comment ref="G6" authorId="0" shapeId="0" xr:uid="{00000000-0006-0000-0100-000002000000}">
      <text>
        <r>
          <rPr>
            <b/>
            <sz val="8"/>
            <rFont val="Tahoma"/>
            <family val="2"/>
          </rPr>
          <t>Task Function Owner</t>
        </r>
        <r>
          <rPr>
            <sz val="8"/>
            <rFont val="Tahoma"/>
            <family val="2"/>
          </rPr>
          <t xml:space="preserve">
</t>
        </r>
      </text>
    </comment>
    <comment ref="F7" authorId="0" shapeId="0" xr:uid="{00000000-0006-0000-0100-000003000000}">
      <text>
        <r>
          <rPr>
            <b/>
            <sz val="8"/>
            <rFont val="Tahoma"/>
            <family val="2"/>
          </rPr>
          <t>Project Phase</t>
        </r>
        <r>
          <rPr>
            <sz val="8"/>
            <rFont val="Tahoma"/>
            <family val="2"/>
          </rPr>
          <t xml:space="preserve">
</t>
        </r>
      </text>
    </comment>
    <comment ref="G7" authorId="0" shapeId="0" xr:uid="{00000000-0006-0000-0100-000004000000}">
      <text>
        <r>
          <rPr>
            <b/>
            <sz val="8"/>
            <rFont val="Tahoma"/>
            <family val="2"/>
          </rPr>
          <t>Task Function Owner</t>
        </r>
        <r>
          <rPr>
            <sz val="8"/>
            <rFont val="Tahoma"/>
            <family val="2"/>
          </rPr>
          <t xml:space="preserve">
</t>
        </r>
      </text>
    </comment>
    <comment ref="V11" authorId="1" shapeId="0" xr:uid="{23596B23-3A92-4320-91C4-4CD37B3CF4C5}">
      <text>
        <r>
          <rPr>
            <b/>
            <sz val="9"/>
            <color indexed="81"/>
            <rFont val="Tahoma"/>
            <family val="2"/>
          </rPr>
          <t>Indicates with RED background if this date is smaller than the Internal KOM date</t>
        </r>
      </text>
    </comment>
    <comment ref="D17" authorId="0" shapeId="0" xr:uid="{45230E8A-1F65-422D-86CC-A25479FC6A6C}">
      <text>
        <r>
          <rPr>
            <b/>
            <sz val="9"/>
            <rFont val="Tahoma"/>
            <family val="2"/>
          </rPr>
          <t>(sizing in Days)
Small : 1 to 14
Medium : 15 to 60 
Large : 61 to 100
Very Large : 101 to 150
Non-Standard : 151 &amp; above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BIJUZ</author>
  </authors>
  <commentList>
    <comment ref="AD7" authorId="0" shapeId="0" xr:uid="{00000000-0006-0000-0200-000001000000}">
      <text>
        <r>
          <rPr>
            <sz val="8"/>
            <rFont val="Tahoma"/>
            <family val="2"/>
          </rPr>
          <t>Sales + HW + SW + SP + AC + MF</t>
        </r>
      </text>
    </comment>
    <comment ref="AD23" authorId="0" shapeId="0" xr:uid="{00000000-0006-0000-0200-000005000000}">
      <text>
        <r>
          <rPr>
            <sz val="8"/>
            <rFont val="Tahoma"/>
            <family val="2"/>
          </rPr>
          <t xml:space="preserve">If you have very less time for dispatch then order Packing Material
</t>
        </r>
      </text>
    </comment>
  </commentList>
</comments>
</file>

<file path=xl/sharedStrings.xml><?xml version="1.0" encoding="utf-8"?>
<sst xmlns="http://schemas.openxmlformats.org/spreadsheetml/2006/main" count="789" uniqueCount="360">
  <si>
    <t>Guidelines</t>
  </si>
  <si>
    <t>Doc Name &amp; Ver.</t>
  </si>
  <si>
    <t>Start Date</t>
  </si>
  <si>
    <t>LD Date</t>
  </si>
  <si>
    <t>Cautions!!</t>
  </si>
  <si>
    <t>Warranty</t>
  </si>
  <si>
    <t>IMS Doc Name</t>
  </si>
  <si>
    <t>FOX/IA/SALES/019 : Lead Time Chart</t>
  </si>
  <si>
    <t>Ver</t>
  </si>
  <si>
    <t>BFT</t>
  </si>
  <si>
    <t>Ph</t>
  </si>
  <si>
    <t>TFO</t>
  </si>
  <si>
    <t>Phase ID</t>
  </si>
  <si>
    <t>Task Description</t>
  </si>
  <si>
    <t>Revised</t>
  </si>
  <si>
    <t>Plan-1</t>
  </si>
  <si>
    <t>Plan-2</t>
  </si>
  <si>
    <t>Plan-3</t>
  </si>
  <si>
    <t>Original</t>
  </si>
  <si>
    <t>Plan</t>
  </si>
  <si>
    <t>Ref</t>
  </si>
  <si>
    <t>Lead Time</t>
  </si>
  <si>
    <t>Intlk</t>
  </si>
  <si>
    <t>Effort Days</t>
  </si>
  <si>
    <t>Current</t>
  </si>
  <si>
    <t>Actual</t>
  </si>
  <si>
    <t>Dates</t>
  </si>
  <si>
    <t>Scope</t>
  </si>
  <si>
    <r>
      <rPr>
        <b/>
        <sz val="11"/>
        <color rgb="FFFF0000"/>
        <rFont val="Calibri"/>
        <family val="2"/>
      </rPr>
      <t>*</t>
    </r>
    <r>
      <rPr>
        <b/>
        <sz val="11"/>
        <color theme="1"/>
        <rFont val="Calibri"/>
        <family val="2"/>
      </rPr>
      <t>Compulsory field</t>
    </r>
  </si>
  <si>
    <t>Buffer Time</t>
  </si>
  <si>
    <t>Start
Date</t>
  </si>
  <si>
    <t>End 
Date</t>
  </si>
  <si>
    <t>Start
 Date</t>
  </si>
  <si>
    <t>% Complete</t>
  </si>
  <si>
    <t>Alert Date for 80%</t>
  </si>
  <si>
    <t>Payment Status</t>
  </si>
  <si>
    <t>Remark</t>
  </si>
  <si>
    <t>HW</t>
  </si>
  <si>
    <t>SW</t>
  </si>
  <si>
    <t>MFG</t>
  </si>
  <si>
    <t>Inst</t>
  </si>
  <si>
    <t>COM</t>
  </si>
  <si>
    <t>FL</t>
  </si>
  <si>
    <t>P1</t>
  </si>
  <si>
    <t>PM</t>
  </si>
  <si>
    <t>P1-01</t>
  </si>
  <si>
    <r>
      <rPr>
        <b/>
        <sz val="11"/>
        <color rgb="FFFF0000"/>
        <rFont val="Calibri"/>
        <family val="2"/>
      </rPr>
      <t>*</t>
    </r>
    <r>
      <rPr>
        <b/>
        <sz val="11"/>
        <color theme="1"/>
        <rFont val="Calibri"/>
        <family val="2"/>
      </rPr>
      <t>Customer Name</t>
    </r>
  </si>
  <si>
    <t>P1-02</t>
  </si>
  <si>
    <t>Scope Details</t>
  </si>
  <si>
    <t>End Customer</t>
  </si>
  <si>
    <t>Consultant</t>
  </si>
  <si>
    <r>
      <rPr>
        <b/>
        <sz val="11"/>
        <color rgb="FFFF0000"/>
        <rFont val="Calibri"/>
        <family val="2"/>
      </rPr>
      <t>*</t>
    </r>
    <r>
      <rPr>
        <b/>
        <sz val="11"/>
        <color theme="1"/>
        <rFont val="Calibri"/>
        <family val="2"/>
      </rPr>
      <t>Project Desc.</t>
    </r>
  </si>
  <si>
    <r>
      <rPr>
        <b/>
        <sz val="11"/>
        <color rgb="FFFF0000"/>
        <rFont val="Calibri"/>
        <family val="2"/>
      </rPr>
      <t>*</t>
    </r>
    <r>
      <rPr>
        <b/>
        <sz val="11"/>
        <color theme="1"/>
        <rFont val="Calibri"/>
        <family val="2"/>
      </rPr>
      <t>Section</t>
    </r>
  </si>
  <si>
    <t>PM Dates</t>
  </si>
  <si>
    <t>P2</t>
  </si>
  <si>
    <t>P2-01</t>
  </si>
  <si>
    <t>P2-02</t>
  </si>
  <si>
    <t>BYR</t>
  </si>
  <si>
    <t>P2-03</t>
  </si>
  <si>
    <t>P3</t>
  </si>
  <si>
    <t>P3-01</t>
  </si>
  <si>
    <t>P3-02</t>
  </si>
  <si>
    <t>P3-03</t>
  </si>
  <si>
    <t>P3-04</t>
  </si>
  <si>
    <t>P4</t>
  </si>
  <si>
    <t>P4-01</t>
  </si>
  <si>
    <t>P4-02</t>
  </si>
  <si>
    <t>P4-03</t>
  </si>
  <si>
    <t>E&amp;C</t>
  </si>
  <si>
    <t>P5</t>
  </si>
  <si>
    <t>P5-01</t>
  </si>
  <si>
    <t>P5-02</t>
  </si>
  <si>
    <t>P5-03</t>
  </si>
  <si>
    <t>Project Closure</t>
  </si>
  <si>
    <t>Small</t>
  </si>
  <si>
    <t>Medium</t>
  </si>
  <si>
    <t>Large</t>
  </si>
  <si>
    <t>Days</t>
  </si>
  <si>
    <t>In</t>
  </si>
  <si>
    <t>No.</t>
  </si>
  <si>
    <t>Weeks</t>
  </si>
  <si>
    <t>Sec.</t>
  </si>
  <si>
    <t>Ref Lead Time</t>
  </si>
  <si>
    <t>Schedule</t>
  </si>
  <si>
    <t>Run</t>
  </si>
  <si>
    <t>Hold</t>
  </si>
  <si>
    <t>Closed</t>
  </si>
  <si>
    <t>GON</t>
  </si>
  <si>
    <t>Exptd % Complete</t>
  </si>
  <si>
    <t>PM Alarm</t>
  </si>
  <si>
    <t>PL Alarm</t>
  </si>
  <si>
    <t>Default Alarm %</t>
  </si>
  <si>
    <t>Received</t>
  </si>
  <si>
    <t>Mfg LOC</t>
  </si>
  <si>
    <t>DUB</t>
  </si>
  <si>
    <t>System Memory Area</t>
  </si>
  <si>
    <t>PMREDActivity</t>
  </si>
  <si>
    <t>Exptd Compl Days</t>
  </si>
  <si>
    <t>Act Compl Days</t>
  </si>
  <si>
    <t>Exptd%</t>
  </si>
  <si>
    <t>PLREDActivity</t>
  </si>
  <si>
    <t>Standard</t>
  </si>
  <si>
    <t>Warranty Meaning</t>
  </si>
  <si>
    <t>24 months from the date of commissioning or 30 months from the date of supply, whichever is earlier. Faulty material to be delivered at our premises and replacement to be collected from our premises.</t>
  </si>
  <si>
    <r>
      <rPr>
        <b/>
        <sz val="11"/>
        <rFont val="Calibri"/>
        <family val="2"/>
        <scheme val="minor"/>
      </rPr>
      <t>*</t>
    </r>
    <r>
      <rPr>
        <b/>
        <sz val="11"/>
        <color theme="1"/>
        <rFont val="Calibri"/>
        <family val="2"/>
        <scheme val="minor"/>
      </rPr>
      <t>OR No.</t>
    </r>
  </si>
  <si>
    <t>*Sales Engineer</t>
  </si>
  <si>
    <r>
      <rPr>
        <b/>
        <sz val="11"/>
        <rFont val="Calibri"/>
        <family val="2"/>
      </rPr>
      <t>*Sales Manager</t>
    </r>
  </si>
  <si>
    <t>Schedule File Name</t>
  </si>
  <si>
    <t>N</t>
  </si>
  <si>
    <t>Sales</t>
  </si>
  <si>
    <t>A/C</t>
  </si>
  <si>
    <t/>
  </si>
  <si>
    <t>TEfforts</t>
  </si>
  <si>
    <t>PrjComl%</t>
  </si>
  <si>
    <t>SrNo</t>
  </si>
  <si>
    <t>Mfg</t>
  </si>
  <si>
    <t>AlertDt Yellow</t>
  </si>
  <si>
    <t>LD max/ wk</t>
  </si>
  <si>
    <t>LD max of OV</t>
  </si>
  <si>
    <t>LD remarks</t>
  </si>
  <si>
    <t>Trial Release V2.0</t>
  </si>
  <si>
    <t>Calender Setting</t>
  </si>
  <si>
    <t>Schedule Max Date</t>
  </si>
  <si>
    <t>Select Date</t>
  </si>
  <si>
    <t>Today</t>
  </si>
  <si>
    <t>% Compl</t>
  </si>
  <si>
    <t>Print, % Completion</t>
  </si>
  <si>
    <r>
      <t xml:space="preserve">Weeklyoff setting1 </t>
    </r>
    <r>
      <rPr>
        <sz val="8"/>
        <color theme="1"/>
        <rFont val="Times New Roman"/>
        <family val="1"/>
      </rPr>
      <t>(Shop)</t>
    </r>
  </si>
  <si>
    <r>
      <t xml:space="preserve">Weeklyoff setting2 </t>
    </r>
    <r>
      <rPr>
        <sz val="8"/>
        <color theme="1"/>
        <rFont val="Times New Roman"/>
        <family val="1"/>
      </rPr>
      <t>(Office)</t>
    </r>
  </si>
  <si>
    <t>Very Large</t>
  </si>
  <si>
    <t>Vlarge</t>
  </si>
  <si>
    <t>Current Plan</t>
  </si>
  <si>
    <t>Actual Plan</t>
  </si>
  <si>
    <t>FirstMonth</t>
  </si>
  <si>
    <t>*Master OR</t>
  </si>
  <si>
    <t>Document Name</t>
  </si>
  <si>
    <t>Revision Control</t>
  </si>
  <si>
    <t>Rev No</t>
  </si>
  <si>
    <t>Rev Date</t>
  </si>
  <si>
    <t>Revision Reason</t>
  </si>
  <si>
    <t>Guidelines for use</t>
  </si>
  <si>
    <t>HW Efforts</t>
  </si>
  <si>
    <t>11,50</t>
  </si>
  <si>
    <t>51,75</t>
  </si>
  <si>
    <t>SW Efforts</t>
  </si>
  <si>
    <t>5,10</t>
  </si>
  <si>
    <t>1,4</t>
  </si>
  <si>
    <t>No of Panels</t>
  </si>
  <si>
    <t>1,14</t>
  </si>
  <si>
    <t>15,60</t>
  </si>
  <si>
    <t>61,100</t>
  </si>
  <si>
    <t>101,150</t>
  </si>
  <si>
    <t>Non-Standard</t>
  </si>
  <si>
    <t>Function</t>
  </si>
  <si>
    <t>No</t>
  </si>
  <si>
    <t>Critical Material Lead time</t>
  </si>
  <si>
    <t>Normal Material Lead time</t>
  </si>
  <si>
    <t>Export Box Seaworthy</t>
  </si>
  <si>
    <t>Fitter</t>
  </si>
  <si>
    <t>Supervisor</t>
  </si>
  <si>
    <t>Electrician</t>
  </si>
  <si>
    <t>Engineer</t>
  </si>
  <si>
    <t>Panel Packaging Type</t>
  </si>
  <si>
    <t xml:space="preserve">Client's Scope </t>
  </si>
  <si>
    <t>Domestic Crate Econo</t>
  </si>
  <si>
    <t>Domestic Crate Std</t>
  </si>
  <si>
    <t>Domestic Box Wood</t>
  </si>
  <si>
    <t>Domestic Box Ply+Wood</t>
  </si>
  <si>
    <t>Domestic Base Econo</t>
  </si>
  <si>
    <t>Export Crate Econo</t>
  </si>
  <si>
    <t>Export Box Std</t>
  </si>
  <si>
    <t>Clearance to Mfg</t>
  </si>
  <si>
    <t>Clearance to Dispatch</t>
  </si>
  <si>
    <t>Stake Holders</t>
  </si>
  <si>
    <t>Stored</t>
  </si>
  <si>
    <t>Cancelled</t>
  </si>
  <si>
    <t>Init</t>
  </si>
  <si>
    <t>Day</t>
  </si>
  <si>
    <t>P1-03</t>
  </si>
  <si>
    <t>P3-05</t>
  </si>
  <si>
    <t>P3-06</t>
  </si>
  <si>
    <t>P3-07</t>
  </si>
  <si>
    <t>P3-08</t>
  </si>
  <si>
    <t>Running Version</t>
  </si>
  <si>
    <t>Mfg Scheduling Template</t>
  </si>
  <si>
    <t>Section</t>
  </si>
  <si>
    <t>Delay Reason</t>
  </si>
  <si>
    <t>Delay Code</t>
  </si>
  <si>
    <t>D001</t>
  </si>
  <si>
    <t>Legend</t>
  </si>
  <si>
    <t>Dxxx : Delay</t>
  </si>
  <si>
    <t>Exxx: Error</t>
  </si>
  <si>
    <t>Sxxx: Supply chain</t>
  </si>
  <si>
    <t>Mfg Manpower shortage</t>
  </si>
  <si>
    <t>Mfg Manpower engaged</t>
  </si>
  <si>
    <t>D002</t>
  </si>
  <si>
    <t>S001</t>
  </si>
  <si>
    <t>Sales main material shortfall</t>
  </si>
  <si>
    <t>S002</t>
  </si>
  <si>
    <t>Vendor sent wrong material</t>
  </si>
  <si>
    <t>S003</t>
  </si>
  <si>
    <t>Material Quality cocnern</t>
  </si>
  <si>
    <t>S004</t>
  </si>
  <si>
    <t>Wrong Material ordered</t>
  </si>
  <si>
    <t>E001</t>
  </si>
  <si>
    <t>Short of material ordering</t>
  </si>
  <si>
    <t>E002</t>
  </si>
  <si>
    <t>WD corrections</t>
  </si>
  <si>
    <t>E003</t>
  </si>
  <si>
    <t>Project Priority changed</t>
  </si>
  <si>
    <t>D003</t>
  </si>
  <si>
    <t>D004</t>
  </si>
  <si>
    <t>WD changed</t>
  </si>
  <si>
    <t>Sales Material available &lt;85%</t>
  </si>
  <si>
    <t>D005</t>
  </si>
  <si>
    <t>D006</t>
  </si>
  <si>
    <t>Mechanical rework</t>
  </si>
  <si>
    <t>Electrical rework</t>
  </si>
  <si>
    <t>Configuration rework</t>
  </si>
  <si>
    <t>D007</t>
  </si>
  <si>
    <t>D008</t>
  </si>
  <si>
    <t>PLC/HMI program concerns</t>
  </si>
  <si>
    <t>Drive program concerns</t>
  </si>
  <si>
    <t>D009</t>
  </si>
  <si>
    <t>Product limitation</t>
  </si>
  <si>
    <t>D010</t>
  </si>
  <si>
    <t>Damaged Material</t>
  </si>
  <si>
    <t>S005</t>
  </si>
  <si>
    <t>E004</t>
  </si>
  <si>
    <t>Wrong drilling/tapping</t>
  </si>
  <si>
    <t>Wrong cutout</t>
  </si>
  <si>
    <t>E005</t>
  </si>
  <si>
    <t>Dispatch Delayed</t>
  </si>
  <si>
    <t>D011</t>
  </si>
  <si>
    <t>D012</t>
  </si>
  <si>
    <t>Third party inspection</t>
  </si>
  <si>
    <t>Extended iFAT</t>
  </si>
  <si>
    <t>Extended cFAT</t>
  </si>
  <si>
    <t>D013</t>
  </si>
  <si>
    <t>D014</t>
  </si>
  <si>
    <t>1,5</t>
  </si>
  <si>
    <t>6,15</t>
  </si>
  <si>
    <t>16,25</t>
  </si>
  <si>
    <t>26,50</t>
  </si>
  <si>
    <t>Sat</t>
  </si>
  <si>
    <t>Progress Flag</t>
  </si>
  <si>
    <t>Engineering</t>
  </si>
  <si>
    <t>Engg</t>
  </si>
  <si>
    <t>RED</t>
  </si>
  <si>
    <t>Pur/Buyr</t>
  </si>
  <si>
    <t>ORANGE</t>
  </si>
  <si>
    <t>Softw</t>
  </si>
  <si>
    <t>BLUE</t>
  </si>
  <si>
    <t>BROWN</t>
  </si>
  <si>
    <t>Help required from</t>
  </si>
  <si>
    <t>Purchase</t>
  </si>
  <si>
    <t>Software</t>
  </si>
  <si>
    <t>Project Management</t>
  </si>
  <si>
    <t>Manufacturing</t>
  </si>
  <si>
    <t>LitBLUE</t>
  </si>
  <si>
    <t>Dwg No</t>
  </si>
  <si>
    <t>Amendment Description</t>
  </si>
  <si>
    <t>Hours</t>
  </si>
  <si>
    <t>Rev</t>
  </si>
  <si>
    <t>Mfg Efforts Description</t>
  </si>
  <si>
    <t>Date Raised</t>
  </si>
  <si>
    <t>Date Closed</t>
  </si>
  <si>
    <t>EndRow</t>
  </si>
  <si>
    <t>Amendment Index</t>
  </si>
  <si>
    <t>Sales OR</t>
  </si>
  <si>
    <t>Customer Name</t>
  </si>
  <si>
    <t>Project Scheduling</t>
  </si>
  <si>
    <t>Internal KOM</t>
  </si>
  <si>
    <r>
      <rPr>
        <b/>
        <sz val="11"/>
        <color rgb="FFFF0000"/>
        <rFont val="Calibri"/>
        <family val="2"/>
        <scheme val="minor"/>
      </rPr>
      <t>*</t>
    </r>
    <r>
      <rPr>
        <b/>
        <sz val="11"/>
        <color theme="1"/>
        <rFont val="Calibri"/>
        <family val="2"/>
        <scheme val="minor"/>
      </rPr>
      <t>PO Value in lacs</t>
    </r>
  </si>
  <si>
    <t>Client</t>
  </si>
  <si>
    <t>Design</t>
  </si>
  <si>
    <t>CYAN</t>
  </si>
  <si>
    <t>PURPLE</t>
  </si>
  <si>
    <t>P5-04</t>
  </si>
  <si>
    <t>P5-05</t>
  </si>
  <si>
    <t>Actual man-days</t>
  </si>
  <si>
    <t>SW I/P Collection</t>
  </si>
  <si>
    <t>SW Design Preparation</t>
  </si>
  <si>
    <t>SW Design Validation</t>
  </si>
  <si>
    <t>SW Documents Submission</t>
  </si>
  <si>
    <t>SW Documents Approval</t>
  </si>
  <si>
    <t>Drive SW</t>
  </si>
  <si>
    <t>PLC SW</t>
  </si>
  <si>
    <t>HMI/SCADA</t>
  </si>
  <si>
    <t>Report</t>
  </si>
  <si>
    <t>Internal testing</t>
  </si>
  <si>
    <t>SW FAT Call with Test Report</t>
  </si>
  <si>
    <t>SW FAT</t>
  </si>
  <si>
    <t xml:space="preserve">SW FAT Compliance </t>
  </si>
  <si>
    <t>Installation</t>
  </si>
  <si>
    <t>Pre-Commissioning</t>
  </si>
  <si>
    <t>Commissioning</t>
  </si>
  <si>
    <t>Final MOM/Site Report</t>
  </si>
  <si>
    <t>Post Comm. Support</t>
  </si>
  <si>
    <t>SW Input</t>
  </si>
  <si>
    <t>Install</t>
  </si>
  <si>
    <t>PreComm.</t>
  </si>
  <si>
    <t>Comm.</t>
  </si>
  <si>
    <r>
      <rPr>
        <b/>
        <sz val="11"/>
        <color rgb="FFFF0000"/>
        <rFont val="Calibri"/>
        <family val="2"/>
      </rPr>
      <t>*</t>
    </r>
    <r>
      <rPr>
        <b/>
        <sz val="11"/>
        <color theme="1"/>
        <rFont val="Calibri"/>
        <family val="2"/>
      </rPr>
      <t>SW Efforts</t>
    </r>
  </si>
  <si>
    <t>SWE Dates</t>
  </si>
  <si>
    <t>SWE</t>
  </si>
  <si>
    <t>Days in SWE</t>
  </si>
  <si>
    <t>EC</t>
  </si>
  <si>
    <t>As Comm. Doc (SW)</t>
  </si>
  <si>
    <t>P2-04</t>
  </si>
  <si>
    <t>P3-09</t>
  </si>
  <si>
    <t>Developing the SWE schedule sheet. Identifying and listing activities. Working on Lead Times according to SWE activities/KPI. Discussing on SWE activities to analyse the suitabel KPI and visualizing execution workflow. Working on Layout of SWE Schedule for required information and fields. Discussing on SWE activities to analyse the suitabel KPI and visualizing execution workflow.In depth analysis on workflow in SWE environment and usability approach to link with cross-functional function. Inclusion of other fields to further improve the contents with respect to entry or no-entry of information in the schedule.</t>
  </si>
  <si>
    <t>2.0</t>
  </si>
  <si>
    <t>Version with improvement as user informed observations for functionalities. Integrationr ready to generate automatically from PM.</t>
  </si>
  <si>
    <t>Buffertime is normally to be kept '0'. Required only in  rare cases where more time available and some customer milestones need to be synched.</t>
  </si>
  <si>
    <t>Mismatch in  "Customer Dates" &amp; "PM Dates" is highlighted by  red text. This needs to be resolved so that there is no RED, or comment should have clear solution.</t>
  </si>
  <si>
    <t>For each applicable efforts on KPI, the applicable non-zero value is to be entered. '0' or ' '  value in efforts column will affect status in dashboard</t>
  </si>
  <si>
    <t>LD fields to be filled carefully. There are 4 fields namely, LD Date, LD max/wk, LD max of OV, LD remarks</t>
  </si>
  <si>
    <t>The LD max/wk is the max value when multiple LD terms exists based on milestone delivery period</t>
  </si>
  <si>
    <t>The warranty terms are to be written in detail as mentioned in PO.</t>
  </si>
  <si>
    <t>The scope definition is done at scope area.</t>
  </si>
  <si>
    <t>User to enter the actual dates and % completion as per activity completion. The necessary warning &amp; alarms are configured to get wake up call.</t>
  </si>
  <si>
    <t>For each stuck KPI, the provision is made to identify the stake holder who can help to progress the KPI. User to select correct from the list. The list contents Engineering (Lite RED) ,Purchase (Orange) ,Software (Lit Blue),Project Management (Blue),Manufacturing (Brown),Sales (Cyan),Client (Purple).</t>
  </si>
  <si>
    <t>User can enter suitable remark in the remark column. Essentially, the remark areas is scribble area that can be utilised to generate reminders or list of to do or store historical information for user to refere in later time</t>
  </si>
  <si>
    <t>*WOR No</t>
  </si>
  <si>
    <t>SWE Status</t>
  </si>
  <si>
    <t>SWInput</t>
  </si>
  <si>
    <t>SWDocs</t>
  </si>
  <si>
    <t>SWDocsAprv</t>
  </si>
  <si>
    <t>DriveSW</t>
  </si>
  <si>
    <t>PLCSW</t>
  </si>
  <si>
    <t>SCADA</t>
  </si>
  <si>
    <t>InternalTest</t>
  </si>
  <si>
    <t>SWFAT</t>
  </si>
  <si>
    <t>PreComm</t>
  </si>
  <si>
    <t>Comm</t>
  </si>
  <si>
    <t>As-CommDoc</t>
  </si>
  <si>
    <t>PostCommSup</t>
  </si>
  <si>
    <t>Addition of SWE Comm efforts, Correction of SWE Stage</t>
  </si>
  <si>
    <t>Showing value error at some places in schedule, corrected the same. Installation, Pre-commissioning and Commissioning Lead time linked to PM Editables.</t>
  </si>
  <si>
    <t>BalEfforts</t>
  </si>
  <si>
    <t>AssignedEfforts</t>
  </si>
  <si>
    <t>Correction of percent update basis on efforts only.</t>
  </si>
  <si>
    <t>FSL/2122/CHN/OR004</t>
  </si>
  <si>
    <t>GAJA ENGINEERING PVT LTD</t>
  </si>
  <si>
    <t>NPCIL Kudankulam Power Project</t>
  </si>
  <si>
    <t>Reliance Infrastructure Ltd.</t>
  </si>
  <si>
    <t>PLC System for Laundry &amp; Workshop package</t>
  </si>
  <si>
    <t>PLC</t>
  </si>
  <si>
    <t>MAB</t>
  </si>
  <si>
    <t>NSK</t>
  </si>
  <si>
    <t>KSP</t>
  </si>
  <si>
    <t>RVL</t>
  </si>
  <si>
    <t>SBP</t>
  </si>
  <si>
    <t>CP</t>
  </si>
  <si>
    <t>GER</t>
  </si>
  <si>
    <t>M.A.Balaji</t>
  </si>
  <si>
    <t>This is applicable only when the delay is attributable to M/s Fox Solutions.</t>
  </si>
  <si>
    <t>0.5% per week of the purchase order value or there of subjected to maximum of 5% of the order value.</t>
  </si>
  <si>
    <t>Warranty of 24 Months from the date of Supply or 12 Months from the date of commissioning whichever is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</si>
</sst>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409]d\-mmm\-yy;@"/>
    <numFmt numFmtId="166" formatCode="0.00\ "/>
    <numFmt numFmtId="167" formatCode="#,##0\ ;\-#,##0\ ;&quot; - &quot;;@\ "/>
    <numFmt numFmtId="168" formatCode="&quot; £&quot;#,##0.00\ ;&quot;-£&quot;#,##0.00\ ;&quot; £-&quot;#\ ;@\ "/>
    <numFmt numFmtId="169" formatCode="#,##0.00\ ;\-#,##0.00\ ;&quot; -&quot;#\ ;@\ "/>
    <numFmt numFmtId="170" formatCode="[$-409]d\-mmm;@"/>
    <numFmt numFmtId="171" formatCode="&quot; £&quot;#,##0\ ;&quot;-£&quot;#,##0\ ;&quot; £- &quot;;@\ "/>
    <numFmt numFmtId="172" formatCode="&quot; $&quot;#,##0.00\ ;&quot; $(&quot;#,##0.00\);&quot; $-&quot;#\ ;@\ "/>
    <numFmt numFmtId="173" formatCode="m/dd/yy"/>
    <numFmt numFmtId="174" formatCode="#,##0&quot;    &quot;;\-#,##0&quot;    &quot;;&quot; -    &quot;;@\ "/>
    <numFmt numFmtId="175" formatCode="00"/>
    <numFmt numFmtId="176" formatCode="#,##0.00&quot;    &quot;;\-#,##0.00&quot;    &quot;;&quot; -&quot;#&quot;    &quot;;@\ "/>
    <numFmt numFmtId="177" formatCode="#,##0&quot; € &quot;;\-#,##0&quot; € &quot;;&quot; - € &quot;;@\ "/>
    <numFmt numFmtId="178" formatCode="#,##0.00&quot; € &quot;;\-#,##0.00&quot; € &quot;;&quot; -&quot;#&quot; € &quot;;@\ "/>
    <numFmt numFmtId="179" formatCode="0.0"/>
  </numFmts>
  <fonts count="1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alibri"/>
      <family val="2"/>
      <scheme val="minor"/>
    </font>
    <font>
      <sz val="10"/>
      <color theme="1"/>
      <name val="Calibri"/>
      <family val="2"/>
    </font>
    <font>
      <sz val="10"/>
      <color theme="1"/>
      <name val="Calibri"/>
      <family val="2"/>
      <scheme val="minor"/>
    </font>
    <font>
      <sz val="11"/>
      <color theme="1"/>
      <name val="Calibri"/>
      <family val="2"/>
    </font>
    <font>
      <sz val="11"/>
      <color rgb="FFFF0000"/>
      <name val="Calibri"/>
      <family val="2"/>
      <scheme val="minor"/>
    </font>
    <font>
      <b/>
      <sz val="11"/>
      <color theme="1"/>
      <name val="Calibri"/>
      <family val="2"/>
      <scheme val="minor"/>
    </font>
    <font>
      <b/>
      <sz val="10"/>
      <color rgb="FF92D050"/>
      <name val="Calibri"/>
      <family val="2"/>
      <scheme val="minor"/>
    </font>
    <font>
      <b/>
      <sz val="14"/>
      <color rgb="FF92D050"/>
      <name val="Calibri"/>
      <family val="2"/>
      <scheme val="minor"/>
    </font>
    <font>
      <u/>
      <sz val="11"/>
      <color theme="1"/>
      <name val="Calibri"/>
      <family val="2"/>
      <scheme val="minor"/>
    </font>
    <font>
      <sz val="10"/>
      <color rgb="FFFF0000"/>
      <name val="Calibri"/>
      <family val="2"/>
      <scheme val="minor"/>
    </font>
    <font>
      <sz val="14"/>
      <color rgb="FFFF0000"/>
      <name val="Calibri"/>
      <family val="2"/>
      <scheme val="minor"/>
    </font>
    <font>
      <sz val="11"/>
      <color theme="0" tint="-4.9989318521683403E-2"/>
      <name val="Calibri"/>
      <family val="2"/>
      <scheme val="minor"/>
    </font>
    <font>
      <b/>
      <sz val="11"/>
      <name val="Calibri"/>
      <family val="2"/>
      <scheme val="minor"/>
    </font>
    <font>
      <sz val="11"/>
      <name val="Calibri"/>
      <family val="2"/>
      <scheme val="minor"/>
    </font>
    <font>
      <sz val="11"/>
      <color theme="0" tint="-0.14996795556505021"/>
      <name val="Calibri"/>
      <family val="2"/>
      <scheme val="minor"/>
    </font>
    <font>
      <b/>
      <sz val="18"/>
      <color theme="1"/>
      <name val="Calibri"/>
      <family val="2"/>
      <scheme val="minor"/>
    </font>
    <font>
      <sz val="8"/>
      <color theme="1"/>
      <name val="Calibri"/>
      <family val="2"/>
      <scheme val="minor"/>
    </font>
    <font>
      <b/>
      <sz val="10"/>
      <name val="Calibri"/>
      <family val="2"/>
      <scheme val="minor"/>
    </font>
    <font>
      <sz val="12"/>
      <color theme="1"/>
      <name val="Calibri"/>
      <family val="2"/>
      <scheme val="minor"/>
    </font>
    <font>
      <sz val="7"/>
      <color theme="1"/>
      <name val="David"/>
      <family val="2"/>
      <charset val="177"/>
    </font>
    <font>
      <sz val="7"/>
      <color theme="1"/>
      <name val="Calibri"/>
      <family val="2"/>
      <scheme val="minor"/>
    </font>
    <font>
      <sz val="11"/>
      <color indexed="62"/>
      <name val="Calibri"/>
      <family val="2"/>
    </font>
    <font>
      <sz val="10"/>
      <name val="Arial"/>
      <family val="2"/>
    </font>
    <font>
      <b/>
      <sz val="11"/>
      <color indexed="52"/>
      <name val="Calibri"/>
      <family val="2"/>
    </font>
    <font>
      <b/>
      <sz val="11"/>
      <color indexed="63"/>
      <name val="Calibri"/>
      <family val="2"/>
    </font>
    <font>
      <b/>
      <sz val="11"/>
      <color indexed="8"/>
      <name val="Calibri"/>
      <family val="2"/>
    </font>
    <font>
      <sz val="11"/>
      <color indexed="8"/>
      <name val="Calibri"/>
      <family val="2"/>
    </font>
    <font>
      <sz val="11"/>
      <color indexed="8"/>
      <name val="Mangal"/>
      <family val="1"/>
    </font>
    <font>
      <b/>
      <sz val="11"/>
      <color indexed="56"/>
      <name val="Calibri"/>
      <family val="2"/>
    </font>
    <font>
      <sz val="11"/>
      <color indexed="9"/>
      <name val="Calibri"/>
      <family val="2"/>
    </font>
    <font>
      <sz val="11"/>
      <color indexed="63"/>
      <name val="Calibri"/>
      <family val="2"/>
    </font>
    <font>
      <sz val="11"/>
      <color indexed="9"/>
      <name val="Mangal"/>
      <family val="1"/>
    </font>
    <font>
      <sz val="11"/>
      <color indexed="17"/>
      <name val="Calibri"/>
      <family val="2"/>
    </font>
    <font>
      <b/>
      <sz val="11"/>
      <color indexed="19"/>
      <name val="Calibri"/>
      <family val="2"/>
    </font>
    <font>
      <sz val="11"/>
      <color indexed="19"/>
      <name val="Calibri"/>
      <family val="2"/>
    </font>
    <font>
      <sz val="11"/>
      <color indexed="20"/>
      <name val="Calibri"/>
      <family val="2"/>
    </font>
    <font>
      <b/>
      <sz val="11"/>
      <color indexed="62"/>
      <name val="Calibri"/>
      <family val="2"/>
    </font>
    <font>
      <sz val="8"/>
      <name val="Arial"/>
      <family val="2"/>
    </font>
    <font>
      <b/>
      <sz val="18"/>
      <color indexed="56"/>
      <name val="Cambria"/>
      <family val="1"/>
    </font>
    <font>
      <b/>
      <sz val="13"/>
      <color indexed="56"/>
      <name val="Calibri"/>
      <family val="2"/>
    </font>
    <font>
      <b/>
      <sz val="18"/>
      <color indexed="62"/>
      <name val="Cambria"/>
      <family val="1"/>
    </font>
    <font>
      <b/>
      <sz val="13"/>
      <color indexed="62"/>
      <name val="Calibri"/>
      <family val="2"/>
    </font>
    <font>
      <i/>
      <sz val="11"/>
      <color indexed="23"/>
      <name val="Calibri"/>
      <family val="2"/>
    </font>
    <font>
      <sz val="11"/>
      <color indexed="16"/>
      <name val="Calibri"/>
      <family val="2"/>
    </font>
    <font>
      <b/>
      <sz val="15"/>
      <color indexed="62"/>
      <name val="Calibri"/>
      <family val="2"/>
    </font>
    <font>
      <b/>
      <sz val="15"/>
      <color indexed="56"/>
      <name val="Calibri"/>
      <family val="2"/>
    </font>
    <font>
      <sz val="12"/>
      <name val="Times New Roman"/>
      <family val="1"/>
    </font>
    <font>
      <b/>
      <sz val="18"/>
      <color indexed="56"/>
      <name val="Mangal"/>
      <family val="1"/>
    </font>
    <font>
      <sz val="11"/>
      <color indexed="52"/>
      <name val="Calibri"/>
      <family val="2"/>
    </font>
    <font>
      <sz val="11"/>
      <color indexed="53"/>
      <name val="Calibri"/>
      <family val="2"/>
    </font>
    <font>
      <sz val="11"/>
      <color indexed="60"/>
      <name val="Calibri"/>
      <family val="2"/>
    </font>
    <font>
      <b/>
      <i/>
      <sz val="16"/>
      <name val="Arial"/>
      <family val="2"/>
    </font>
    <font>
      <sz val="11"/>
      <name val="Arial"/>
      <family val="2"/>
    </font>
    <font>
      <sz val="11"/>
      <color indexed="10"/>
      <name val="Calibri"/>
      <family val="2"/>
    </font>
    <font>
      <sz val="10"/>
      <name val="Geneva"/>
      <charset val="134"/>
    </font>
    <font>
      <i/>
      <sz val="11"/>
      <color indexed="23"/>
      <name val="Mangal"/>
      <family val="1"/>
    </font>
    <font>
      <sz val="10"/>
      <color indexed="8"/>
      <name val="Verdana"/>
      <family val="2"/>
    </font>
    <font>
      <b/>
      <sz val="11"/>
      <color indexed="53"/>
      <name val="Calibri"/>
      <family val="2"/>
    </font>
    <font>
      <b/>
      <sz val="11"/>
      <color indexed="9"/>
      <name val="Calibri"/>
      <family val="2"/>
    </font>
    <font>
      <b/>
      <sz val="12"/>
      <name val="Arial"/>
      <family val="2"/>
    </font>
    <font>
      <u/>
      <sz val="10"/>
      <color indexed="12"/>
      <name val="Arial"/>
      <family val="2"/>
    </font>
    <font>
      <b/>
      <sz val="11"/>
      <color rgb="FFFF0000"/>
      <name val="Calibri"/>
      <family val="2"/>
    </font>
    <font>
      <b/>
      <sz val="11"/>
      <color theme="1"/>
      <name val="Calibri"/>
      <family val="2"/>
    </font>
    <font>
      <b/>
      <sz val="11"/>
      <name val="Calibri"/>
      <family val="2"/>
    </font>
    <font>
      <sz val="11"/>
      <color theme="1"/>
      <name val="Calibri"/>
      <family val="2"/>
      <scheme val="minor"/>
    </font>
    <font>
      <b/>
      <sz val="8"/>
      <name val="Tahoma"/>
      <family val="2"/>
    </font>
    <font>
      <sz val="8"/>
      <name val="Tahoma"/>
      <family val="2"/>
    </font>
    <font>
      <b/>
      <sz val="9"/>
      <name val="Tahoma"/>
      <family val="2"/>
    </font>
    <font>
      <sz val="11"/>
      <color theme="1"/>
      <name val="Calibri"/>
      <family val="2"/>
      <scheme val="minor"/>
    </font>
    <font>
      <sz val="11"/>
      <color theme="0"/>
      <name val="Calibri"/>
      <family val="2"/>
      <scheme val="minor"/>
    </font>
    <font>
      <b/>
      <sz val="9"/>
      <color indexed="81"/>
      <name val="Tahoma"/>
      <family val="2"/>
    </font>
    <font>
      <sz val="10"/>
      <color theme="0" tint="-0.499984740745262"/>
      <name val="Calibri"/>
      <family val="2"/>
      <scheme val="minor"/>
    </font>
    <font>
      <b/>
      <i/>
      <u/>
      <sz val="11"/>
      <color theme="1"/>
      <name val="Calibri"/>
      <family val="2"/>
      <scheme val="minor"/>
    </font>
    <font>
      <b/>
      <sz val="10"/>
      <color theme="1"/>
      <name val="Calibri"/>
      <family val="2"/>
      <scheme val="minor"/>
    </font>
    <font>
      <sz val="8"/>
      <color theme="1"/>
      <name val="Times New Roman"/>
      <family val="1"/>
    </font>
    <font>
      <sz val="8"/>
      <color theme="0" tint="-4.9989318521683403E-2"/>
      <name val="Times New Roman"/>
      <family val="1"/>
    </font>
    <font>
      <b/>
      <sz val="8"/>
      <color theme="1"/>
      <name val="Times New Roman"/>
      <family val="1"/>
    </font>
    <font>
      <b/>
      <sz val="10"/>
      <color theme="1"/>
      <name val="Times New Roman"/>
      <family val="1"/>
    </font>
    <font>
      <b/>
      <sz val="11"/>
      <color theme="0"/>
      <name val="Calibri"/>
      <family val="2"/>
      <scheme val="minor"/>
    </font>
    <font>
      <b/>
      <sz val="11"/>
      <color rgb="FF002060"/>
      <name val="Calibri"/>
      <family val="2"/>
      <scheme val="minor"/>
    </font>
    <font>
      <b/>
      <u/>
      <sz val="11"/>
      <color theme="3" tint="0.79998168889431442"/>
      <name val="Calibri"/>
      <family val="2"/>
      <scheme val="minor"/>
    </font>
    <font>
      <u/>
      <sz val="11"/>
      <color theme="3" tint="0.79998168889431442"/>
      <name val="Calibri"/>
      <family val="2"/>
      <scheme val="minor"/>
    </font>
    <font>
      <b/>
      <sz val="10"/>
      <name val="Arial"/>
      <family val="2"/>
    </font>
    <font>
      <sz val="8"/>
      <name val="Calibri"/>
      <family val="2"/>
      <scheme val="minor"/>
    </font>
    <font>
      <sz val="8"/>
      <color theme="0" tint="-4.9989318521683403E-2"/>
      <name val="Calibri"/>
      <family val="2"/>
      <scheme val="minor"/>
    </font>
    <font>
      <sz val="7"/>
      <color theme="0" tint="-4.9989318521683403E-2"/>
      <name val="Calibri"/>
      <family val="2"/>
      <scheme val="minor"/>
    </font>
    <font>
      <sz val="9"/>
      <color theme="1"/>
      <name val="Calibri"/>
      <family val="2"/>
      <scheme val="minor"/>
    </font>
    <font>
      <b/>
      <sz val="9"/>
      <color theme="1"/>
      <name val="Calibri"/>
      <family val="2"/>
      <scheme val="minor"/>
    </font>
    <font>
      <sz val="12"/>
      <color theme="0" tint="-0.14999847407452621"/>
      <name val="Calibri"/>
      <family val="2"/>
      <scheme val="minor"/>
    </font>
    <font>
      <b/>
      <u/>
      <sz val="12"/>
      <color theme="1"/>
      <name val="Times New Roman"/>
      <family val="1"/>
    </font>
    <font>
      <sz val="9"/>
      <color theme="1"/>
      <name val="Times New Roman"/>
      <family val="1"/>
    </font>
    <font>
      <b/>
      <sz val="11"/>
      <color rgb="FFFF0000"/>
      <name val="Calibri"/>
      <family val="2"/>
      <scheme val="minor"/>
    </font>
    <font>
      <b/>
      <i/>
      <sz val="10"/>
      <color theme="1"/>
      <name val="Arial"/>
      <family val="2"/>
    </font>
    <font>
      <sz val="10"/>
      <color theme="0" tint="-0.14999847407452621"/>
      <name val="Calibri"/>
      <family val="2"/>
      <scheme val="minor"/>
    </font>
  </fonts>
  <fills count="68">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theme="9" tint="0.7999511703848384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bgColor indexed="64"/>
      </patternFill>
    </fill>
    <fill>
      <patternFill patternType="solid">
        <fgColor indexed="47"/>
        <bgColor indexed="22"/>
      </patternFill>
    </fill>
    <fill>
      <patternFill patternType="solid">
        <fgColor indexed="26"/>
        <bgColor indexed="9"/>
      </patternFill>
    </fill>
    <fill>
      <patternFill patternType="solid">
        <fgColor indexed="22"/>
        <bgColor indexed="31"/>
      </patternFill>
    </fill>
    <fill>
      <patternFill patternType="solid">
        <fgColor indexed="31"/>
        <bgColor indexed="22"/>
      </patternFill>
    </fill>
    <fill>
      <patternFill patternType="solid">
        <fgColor indexed="31"/>
        <bgColor indexed="41"/>
      </patternFill>
    </fill>
    <fill>
      <patternFill patternType="solid">
        <fgColor indexed="42"/>
        <bgColor indexed="27"/>
      </patternFill>
    </fill>
    <fill>
      <patternFill patternType="solid">
        <fgColor indexed="53"/>
        <bgColor indexed="52"/>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20"/>
        <bgColor indexed="36"/>
      </patternFill>
    </fill>
    <fill>
      <patternFill patternType="solid">
        <fgColor indexed="51"/>
        <bgColor indexed="13"/>
      </patternFill>
    </fill>
    <fill>
      <patternFill patternType="solid">
        <fgColor indexed="44"/>
        <bgColor indexed="31"/>
      </patternFill>
    </fill>
    <fill>
      <patternFill patternType="solid">
        <fgColor indexed="27"/>
        <bgColor indexed="42"/>
      </patternFill>
    </fill>
    <fill>
      <patternFill patternType="solid">
        <fgColor indexed="57"/>
        <bgColor indexed="21"/>
      </patternFill>
    </fill>
    <fill>
      <patternFill patternType="solid">
        <fgColor indexed="22"/>
        <bgColor indexed="50"/>
      </patternFill>
    </fill>
    <fill>
      <patternFill patternType="solid">
        <fgColor indexed="47"/>
        <bgColor indexed="41"/>
      </patternFill>
    </fill>
    <fill>
      <patternFill patternType="solid">
        <fgColor indexed="30"/>
        <bgColor indexed="21"/>
      </patternFill>
    </fill>
    <fill>
      <patternFill patternType="solid">
        <fgColor indexed="45"/>
        <bgColor indexed="29"/>
      </patternFill>
    </fill>
    <fill>
      <patternFill patternType="solid">
        <fgColor indexed="29"/>
        <bgColor indexed="61"/>
      </patternFill>
    </fill>
    <fill>
      <patternFill patternType="solid">
        <fgColor indexed="27"/>
        <bgColor indexed="41"/>
      </patternFill>
    </fill>
    <fill>
      <patternFill patternType="solid">
        <fgColor indexed="46"/>
        <bgColor indexed="24"/>
      </patternFill>
    </fill>
    <fill>
      <patternFill patternType="solid">
        <fgColor indexed="52"/>
        <bgColor indexed="51"/>
      </patternFill>
    </fill>
    <fill>
      <patternFill patternType="solid">
        <fgColor indexed="9"/>
        <bgColor indexed="26"/>
      </patternFill>
    </fill>
    <fill>
      <patternFill patternType="solid">
        <fgColor indexed="53"/>
        <bgColor indexed="61"/>
      </patternFill>
    </fill>
    <fill>
      <patternFill patternType="solid">
        <fgColor indexed="52"/>
        <bgColor indexed="61"/>
      </patternFill>
    </fill>
    <fill>
      <patternFill patternType="solid">
        <fgColor indexed="10"/>
        <bgColor indexed="60"/>
      </patternFill>
    </fill>
    <fill>
      <patternFill patternType="solid">
        <fgColor indexed="49"/>
        <bgColor indexed="40"/>
      </patternFill>
    </fill>
    <fill>
      <patternFill patternType="solid">
        <fgColor indexed="55"/>
        <bgColor indexed="23"/>
      </patternFill>
    </fill>
    <fill>
      <patternFill patternType="solid">
        <fgColor indexed="62"/>
        <bgColor indexed="56"/>
      </patternFill>
    </fill>
    <fill>
      <patternFill patternType="solid">
        <fgColor indexed="54"/>
        <bgColor indexed="23"/>
      </patternFill>
    </fill>
    <fill>
      <patternFill patternType="solid">
        <fgColor indexed="50"/>
        <bgColor indexed="22"/>
      </patternFill>
    </fill>
    <fill>
      <patternFill patternType="solid">
        <fgColor indexed="24"/>
        <bgColor indexed="46"/>
      </patternFill>
    </fill>
    <fill>
      <patternFill patternType="solid">
        <fgColor indexed="50"/>
        <bgColor indexed="51"/>
      </patternFill>
    </fill>
    <fill>
      <patternFill patternType="solid">
        <fgColor indexed="61"/>
        <bgColor indexed="52"/>
      </patternFill>
    </fill>
    <fill>
      <patternFill patternType="solid">
        <fgColor indexed="25"/>
        <bgColor indexed="60"/>
      </patternFill>
    </fill>
    <fill>
      <patternFill patternType="solid">
        <fgColor indexed="25"/>
        <bgColor indexed="61"/>
      </patternFill>
    </fill>
    <fill>
      <patternFill patternType="solid">
        <fgColor indexed="41"/>
        <bgColor indexed="31"/>
      </patternFill>
    </fill>
    <fill>
      <patternFill patternType="solid">
        <fgColor theme="0" tint="-0.14999847407452621"/>
        <bgColor indexed="64"/>
      </patternFill>
    </fill>
    <fill>
      <patternFill patternType="solid">
        <fgColor theme="5"/>
        <bgColor indexed="64"/>
      </patternFill>
    </fill>
    <fill>
      <patternFill patternType="solid">
        <fgColor rgb="FF92D050"/>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79998168889431442"/>
        <bgColor indexed="64"/>
      </patternFill>
    </fill>
    <fill>
      <patternFill patternType="darkUp">
        <fgColor theme="0" tint="-0.34998626667073579"/>
        <bgColor theme="0" tint="-4.9989318521683403E-2"/>
      </patternFill>
    </fill>
    <fill>
      <patternFill patternType="lightUp">
        <fgColor theme="0" tint="-0.499984740745262"/>
        <bgColor theme="0" tint="-4.9989318521683403E-2"/>
      </patternFill>
    </fill>
    <fill>
      <patternFill patternType="solid">
        <fgColor theme="1"/>
        <bgColor indexed="64"/>
      </patternFill>
    </fill>
    <fill>
      <patternFill patternType="solid">
        <fgColor theme="1" tint="0.499984740745262"/>
        <bgColor indexed="64"/>
      </patternFill>
    </fill>
    <fill>
      <patternFill patternType="solid">
        <fgColor theme="9" tint="0.79989013336588644"/>
        <bgColor indexed="64"/>
      </patternFill>
    </fill>
    <fill>
      <patternFill patternType="solid">
        <fgColor theme="3" tint="0.79998168889431442"/>
        <bgColor indexed="64"/>
      </patternFill>
    </fill>
    <fill>
      <patternFill patternType="solid">
        <fgColor rgb="FFFFFF00"/>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double">
        <color indexed="29"/>
      </bottom>
      <diagonal/>
    </border>
    <border>
      <left/>
      <right/>
      <top/>
      <bottom style="medium">
        <color indexed="27"/>
      </bottom>
      <diagonal/>
    </border>
    <border>
      <left/>
      <right/>
      <top/>
      <bottom style="thick">
        <color indexed="22"/>
      </bottom>
      <diagonal/>
    </border>
    <border>
      <left/>
      <right/>
      <top/>
      <bottom style="thick">
        <color indexed="44"/>
      </bottom>
      <diagonal/>
    </border>
    <border>
      <left/>
      <right/>
      <top/>
      <bottom style="thick">
        <color indexed="30"/>
      </bottom>
      <diagonal/>
    </border>
    <border>
      <left/>
      <right/>
      <top/>
      <bottom style="thick">
        <color indexed="62"/>
      </bottom>
      <diagonal/>
    </border>
    <border>
      <left/>
      <right/>
      <top style="thin">
        <color indexed="30"/>
      </top>
      <bottom style="double">
        <color indexed="30"/>
      </bottom>
      <diagonal/>
    </border>
    <border>
      <left/>
      <right/>
      <top/>
      <bottom style="double">
        <color indexed="52"/>
      </bottom>
      <diagonal/>
    </border>
    <border>
      <left/>
      <right/>
      <top/>
      <bottom style="double">
        <color indexed="5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rgb="FFFFFF00"/>
      </left>
      <right style="medium">
        <color rgb="FFFFFF00"/>
      </right>
      <top style="medium">
        <color rgb="FFFFFF00"/>
      </top>
      <bottom style="medium">
        <color rgb="FFFFFF00"/>
      </bottom>
      <diagonal/>
    </border>
    <border>
      <left style="medium">
        <color indexed="64"/>
      </left>
      <right style="medium">
        <color indexed="64"/>
      </right>
      <top style="medium">
        <color indexed="64"/>
      </top>
      <bottom style="medium">
        <color indexed="64"/>
      </bottom>
      <diagonal/>
    </border>
    <border>
      <left/>
      <right style="hair">
        <color auto="1"/>
      </right>
      <top/>
      <bottom/>
      <diagonal/>
    </border>
    <border>
      <left style="hair">
        <color auto="1"/>
      </left>
      <right/>
      <top/>
      <bottom/>
      <diagonal/>
    </border>
    <border>
      <left/>
      <right/>
      <top style="thin">
        <color theme="9"/>
      </top>
      <bottom style="thin">
        <color theme="9"/>
      </bottom>
      <diagonal/>
    </border>
    <border>
      <left style="thin">
        <color theme="8" tint="-0.24994659260841701"/>
      </left>
      <right style="thin">
        <color theme="8" tint="-0.24994659260841701"/>
      </right>
      <top/>
      <bottom style="thin">
        <color theme="9"/>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hair">
        <color auto="1"/>
      </bottom>
      <diagonal/>
    </border>
    <border>
      <left style="thin">
        <color auto="1"/>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s>
  <cellStyleXfs count="39120">
    <xf numFmtId="0" fontId="0" fillId="0" borderId="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0" fillId="15"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71"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27"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1" fillId="31" borderId="0" applyNumberFormat="0" applyBorder="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22"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4" borderId="0" applyNumberFormat="0" applyBorder="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1" fillId="14"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70" fillId="14"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66" fillId="0" borderId="0" applyNumberFormat="0" applyFill="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13" borderId="0" applyNumberFormat="0" applyBorder="0" applyAlignment="0" applyProtection="0"/>
    <xf numFmtId="0" fontId="71"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0" fillId="10" borderId="0" applyNumberFormat="0" applyBorder="0" applyAlignment="0" applyProtection="0"/>
    <xf numFmtId="0" fontId="70" fillId="13" borderId="0" applyNumberFormat="0" applyBorder="0" applyAlignment="0" applyProtection="0"/>
    <xf numFmtId="0" fontId="73" fillId="20" borderId="0" applyNumberFormat="0" applyBorder="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0" fillId="1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79" fillId="28"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23"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4"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3" fillId="21" borderId="0" applyNumberFormat="0" applyBorder="0" applyAlignment="0" applyProtection="0"/>
    <xf numFmtId="0" fontId="68" fillId="12" borderId="22" applyNumberFormat="0" applyAlignment="0" applyProtection="0"/>
    <xf numFmtId="0" fontId="71" fillId="14"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1"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4" borderId="0" applyNumberFormat="0" applyBorder="0" applyAlignment="0" applyProtection="0"/>
    <xf numFmtId="0" fontId="77" fillId="33" borderId="20" applyNumberFormat="0" applyAlignment="0" applyProtection="0"/>
    <xf numFmtId="0" fontId="66" fillId="11" borderId="21"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3" fillId="23" borderId="0" applyNumberFormat="0" applyBorder="0" applyAlignment="0" applyProtection="0"/>
    <xf numFmtId="0" fontId="70" fillId="18" borderId="0" applyNumberFormat="0" applyBorder="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1"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9" borderId="0" applyNumberFormat="0" applyBorder="0" applyAlignment="0" applyProtection="0"/>
    <xf numFmtId="0" fontId="67" fillId="25" borderId="20" applyNumberFormat="0" applyAlignment="0" applyProtection="0"/>
    <xf numFmtId="0" fontId="65" fillId="10" borderId="20" applyNumberFormat="0" applyAlignment="0" applyProtection="0"/>
    <xf numFmtId="0" fontId="71" fillId="13" borderId="0" applyNumberFormat="0" applyBorder="0" applyAlignment="0" applyProtection="0"/>
    <xf numFmtId="0" fontId="70"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71" fillId="14"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70" fillId="1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3" borderId="0" applyNumberFormat="0" applyBorder="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70" fillId="13"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33"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67" fillId="12" borderId="20" applyNumberFormat="0" applyAlignment="0" applyProtection="0"/>
    <xf numFmtId="0" fontId="75" fillId="20" borderId="0" applyNumberFormat="0" applyBorder="0" applyAlignment="0" applyProtection="0"/>
    <xf numFmtId="0" fontId="66" fillId="11" borderId="21" applyNumberFormat="0" applyAlignment="0" applyProtection="0"/>
    <xf numFmtId="0" fontId="70" fillId="13" borderId="0" applyNumberFormat="0" applyBorder="0" applyAlignment="0" applyProtection="0"/>
    <xf numFmtId="0" fontId="68" fillId="12" borderId="22" applyNumberFormat="0" applyAlignment="0" applyProtection="0"/>
    <xf numFmtId="0" fontId="75" fillId="20" borderId="0" applyNumberFormat="0" applyBorder="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0" fillId="1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70" fillId="14" borderId="0" applyNumberFormat="0" applyBorder="0" applyAlignment="0" applyProtection="0"/>
    <xf numFmtId="0" fontId="70" fillId="19" borderId="0" applyNumberFormat="0" applyBorder="0" applyAlignment="0" applyProtection="0"/>
    <xf numFmtId="0" fontId="70" fillId="13" borderId="0" applyNumberFormat="0" applyBorder="0" applyAlignment="0" applyProtection="0"/>
    <xf numFmtId="0" fontId="70" fillId="23" borderId="0" applyNumberFormat="0" applyBorder="0" applyAlignment="0" applyProtection="0"/>
    <xf numFmtId="0" fontId="68" fillId="12" borderId="22"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5" fillId="10" borderId="20" applyNumberFormat="0" applyAlignment="0" applyProtection="0"/>
    <xf numFmtId="0" fontId="68" fillId="12" borderId="22" applyNumberFormat="0" applyAlignment="0" applyProtection="0"/>
    <xf numFmtId="0" fontId="70" fillId="1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1"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1" fillId="28" borderId="0" applyNumberFormat="0" applyBorder="0" applyAlignment="0" applyProtection="0"/>
    <xf numFmtId="0" fontId="73" fillId="37" borderId="0" applyNumberFormat="0" applyBorder="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3" fillId="29" borderId="0" applyNumberFormat="0" applyBorder="0" applyAlignment="0" applyProtection="0"/>
    <xf numFmtId="0" fontId="71" fillId="28" borderId="0" applyNumberFormat="0" applyBorder="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0" fillId="28"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70" fillId="19" borderId="0" applyNumberFormat="0" applyBorder="0" applyAlignment="0" applyProtection="0"/>
    <xf numFmtId="0" fontId="69" fillId="0" borderId="23" applyNumberFormat="0" applyFill="0" applyAlignment="0" applyProtection="0"/>
    <xf numFmtId="0" fontId="71" fillId="3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1" fillId="28"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37" borderId="0" applyNumberFormat="0" applyBorder="0" applyAlignment="0" applyProtection="0"/>
    <xf numFmtId="0" fontId="65" fillId="10" borderId="20" applyNumberFormat="0" applyAlignment="0" applyProtection="0"/>
    <xf numFmtId="0" fontId="70" fillId="28"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81" fillId="1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0" fillId="28" borderId="0" applyNumberFormat="0" applyBorder="0" applyAlignment="0" applyProtection="0"/>
    <xf numFmtId="0" fontId="82" fillId="0" borderId="0" applyNumberFormat="0" applyFill="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8"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8"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0" fillId="26"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70" fillId="29" borderId="0" applyNumberFormat="0" applyBorder="0" applyAlignment="0" applyProtection="0"/>
    <xf numFmtId="0" fontId="69" fillId="0" borderId="23" applyNumberFormat="0" applyFill="0" applyAlignment="0" applyProtection="0"/>
    <xf numFmtId="0" fontId="70" fillId="28"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28"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8" borderId="0" applyNumberFormat="0" applyBorder="0" applyAlignment="0" applyProtection="0"/>
    <xf numFmtId="0" fontId="74" fillId="17"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15" borderId="0" applyNumberFormat="0" applyBorder="0" applyAlignment="0" applyProtection="0"/>
    <xf numFmtId="0" fontId="70" fillId="15" borderId="0" applyNumberFormat="0" applyBorder="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0" fillId="30" borderId="0" applyNumberFormat="0" applyBorder="0" applyAlignment="0" applyProtection="0"/>
    <xf numFmtId="0" fontId="71"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5" borderId="0" applyNumberFormat="0" applyBorder="0" applyAlignment="0" applyProtection="0"/>
    <xf numFmtId="0" fontId="70" fillId="15" borderId="0" applyNumberFormat="0" applyBorder="0" applyAlignment="0" applyProtection="0"/>
    <xf numFmtId="0" fontId="71" fillId="15" borderId="0" applyNumberFormat="0" applyBorder="0" applyAlignment="0" applyProtection="0"/>
    <xf numFmtId="0" fontId="73" fillId="18"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15"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71" fillId="15"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5" borderId="0" applyNumberFormat="0" applyBorder="0" applyAlignment="0" applyProtection="0"/>
    <xf numFmtId="0" fontId="69" fillId="0" borderId="23" applyNumberFormat="0" applyFill="0" applyAlignment="0" applyProtection="0"/>
    <xf numFmtId="0" fontId="71" fillId="15"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0" fillId="1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0" fillId="15"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29" borderId="0" applyNumberFormat="0" applyBorder="0" applyAlignment="0" applyProtection="0"/>
    <xf numFmtId="0" fontId="70" fillId="15"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9" fillId="0" borderId="23" applyNumberFormat="0" applyFill="0" applyAlignment="0" applyProtection="0"/>
    <xf numFmtId="0" fontId="70" fillId="31"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71" fillId="31" borderId="0" applyNumberFormat="0" applyBorder="0" applyAlignment="0" applyProtection="0"/>
    <xf numFmtId="0" fontId="71"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31" borderId="0" applyNumberFormat="0" applyBorder="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1"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7" fillId="33"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0" fillId="19" borderId="0" applyNumberFormat="0" applyBorder="0" applyAlignment="0" applyProtection="0"/>
    <xf numFmtId="0" fontId="70" fillId="33"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5" fillId="27" borderId="0" applyNumberFormat="0" applyBorder="0" applyAlignment="0" applyProtection="0"/>
    <xf numFmtId="0" fontId="70" fillId="31" borderId="0" applyNumberFormat="0" applyBorder="0" applyAlignment="0" applyProtection="0"/>
    <xf numFmtId="0" fontId="70" fillId="21" borderId="0" applyNumberFormat="0" applyBorder="0" applyAlignment="0" applyProtection="0"/>
    <xf numFmtId="0" fontId="70"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3"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70" fillId="3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70" fillId="22"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73" fillId="37"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3"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1" fillId="21" borderId="0" applyNumberFormat="0" applyBorder="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23"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1" borderId="21" applyNumberFormat="0" applyAlignment="0" applyProtection="0"/>
    <xf numFmtId="0" fontId="65" fillId="10" borderId="20" applyNumberFormat="0" applyAlignment="0" applyProtection="0"/>
    <xf numFmtId="0" fontId="71" fillId="23" borderId="0" applyNumberFormat="0" applyBorder="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71" fillId="23" borderId="0" applyNumberFormat="0" applyBorder="0" applyAlignment="0" applyProtection="0"/>
    <xf numFmtId="0" fontId="70"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3"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68" fillId="12" borderId="22"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1" fillId="23" borderId="0" applyNumberFormat="0" applyBorder="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2"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71" fillId="2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70" fillId="18" borderId="0" applyNumberFormat="0" applyBorder="0" applyAlignment="0" applyProtection="0"/>
    <xf numFmtId="0" fontId="70" fillId="23"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18" borderId="0" applyNumberFormat="0" applyBorder="0" applyAlignment="0" applyProtection="0"/>
    <xf numFmtId="0" fontId="84"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71" fillId="29"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70" fillId="3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70"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70" fillId="3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3" borderId="0" applyNumberFormat="0" applyBorder="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30" borderId="0" applyNumberFormat="0" applyBorder="0" applyAlignment="0" applyProtection="0"/>
    <xf numFmtId="0" fontId="70"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70" fillId="3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1" fillId="26"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71" fillId="2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1"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6" borderId="0" applyNumberFormat="0" applyBorder="0" applyAlignment="0" applyProtection="0"/>
    <xf numFmtId="0" fontId="65" fillId="10"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71" fillId="10"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71" fillId="1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71" fillId="26"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71"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0"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75" fillId="19" borderId="0" applyNumberFormat="0" applyBorder="0" applyAlignment="0" applyProtection="0"/>
    <xf numFmtId="0" fontId="71" fillId="2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1"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70"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71" fillId="22" borderId="0" applyNumberFormat="0" applyBorder="0" applyAlignment="0" applyProtection="0"/>
    <xf numFmtId="0" fontId="70" fillId="22" borderId="0" applyNumberFormat="0" applyBorder="0" applyAlignment="0" applyProtection="0"/>
    <xf numFmtId="0" fontId="70" fillId="2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1" fillId="29" borderId="0" applyNumberFormat="0" applyBorder="0" applyAlignment="0" applyProtection="0"/>
    <xf numFmtId="0" fontId="68" fillId="12" borderId="22" applyNumberFormat="0" applyAlignment="0" applyProtection="0"/>
    <xf numFmtId="0" fontId="73" fillId="34" borderId="0" applyNumberFormat="0" applyBorder="0" applyAlignment="0" applyProtection="0"/>
    <xf numFmtId="0" fontId="71" fillId="29" borderId="0" applyNumberFormat="0" applyBorder="0" applyAlignment="0" applyProtection="0"/>
    <xf numFmtId="0" fontId="73" fillId="37" borderId="0" applyNumberFormat="0" applyBorder="0" applyAlignment="0" applyProtection="0"/>
    <xf numFmtId="0" fontId="68" fillId="12" borderId="22" applyNumberFormat="0" applyAlignment="0" applyProtection="0"/>
    <xf numFmtId="0" fontId="70" fillId="22"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8" borderId="0" applyNumberFormat="0" applyBorder="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29" borderId="0" applyNumberFormat="0" applyBorder="0" applyAlignment="0" applyProtection="0"/>
    <xf numFmtId="0" fontId="67" fillId="12"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29" borderId="0" applyNumberFormat="0" applyBorder="0" applyAlignment="0" applyProtection="0"/>
    <xf numFmtId="0" fontId="65" fillId="10" borderId="20" applyNumberFormat="0" applyAlignment="0" applyProtection="0"/>
    <xf numFmtId="0" fontId="70" fillId="18" borderId="0" applyNumberFormat="0" applyBorder="0" applyAlignment="0" applyProtection="0"/>
    <xf numFmtId="0" fontId="73" fillId="29" borderId="0" applyNumberFormat="0" applyBorder="0" applyAlignment="0" applyProtection="0"/>
    <xf numFmtId="0" fontId="71" fillId="1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1" fillId="29"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9" borderId="0" applyNumberFormat="0" applyBorder="0" applyAlignment="0" applyProtection="0"/>
    <xf numFmtId="0" fontId="77" fillId="33" borderId="20" applyNumberFormat="0" applyAlignment="0" applyProtection="0"/>
    <xf numFmtId="0" fontId="67" fillId="12" borderId="20" applyNumberFormat="0" applyAlignment="0" applyProtection="0"/>
    <xf numFmtId="0" fontId="71" fillId="29" borderId="0" applyNumberFormat="0" applyBorder="0" applyAlignment="0" applyProtection="0"/>
    <xf numFmtId="0" fontId="70"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6" fillId="11" borderId="21" applyNumberFormat="0" applyAlignment="0" applyProtection="0"/>
    <xf numFmtId="0" fontId="70" fillId="31" borderId="0" applyNumberFormat="0" applyBorder="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8" borderId="0" applyNumberFormat="0" applyBorder="0" applyAlignment="0" applyProtection="0"/>
    <xf numFmtId="0" fontId="67" fillId="12" borderId="20" applyNumberFormat="0" applyAlignment="0" applyProtection="0"/>
    <xf numFmtId="0" fontId="71" fillId="22"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8" borderId="0" applyNumberFormat="0" applyBorder="0" applyAlignment="0" applyProtection="0"/>
    <xf numFmtId="0" fontId="67" fillId="12" borderId="20" applyNumberFormat="0" applyAlignment="0" applyProtection="0"/>
    <xf numFmtId="0" fontId="70" fillId="18" borderId="0" applyNumberFormat="0" applyBorder="0" applyAlignment="0" applyProtection="0"/>
    <xf numFmtId="0" fontId="70" fillId="19" borderId="0" applyNumberFormat="0" applyBorder="0" applyAlignment="0" applyProtection="0"/>
    <xf numFmtId="0" fontId="71" fillId="19" borderId="0" applyNumberFormat="0" applyBorder="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7"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19" borderId="0" applyNumberFormat="0" applyBorder="0" applyAlignment="0" applyProtection="0"/>
    <xf numFmtId="0" fontId="65" fillId="10" borderId="20" applyNumberFormat="0" applyAlignment="0" applyProtection="0"/>
    <xf numFmtId="0" fontId="70" fillId="25"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31" borderId="0" applyNumberFormat="0" applyBorder="0" applyAlignment="0" applyProtection="0"/>
    <xf numFmtId="0" fontId="70" fillId="31" borderId="0" applyNumberFormat="0" applyBorder="0" applyAlignment="0" applyProtection="0"/>
    <xf numFmtId="0" fontId="70" fillId="31"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79" fillId="28" borderId="0" applyNumberFormat="0" applyBorder="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1" fillId="3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21" borderId="0" applyNumberFormat="0" applyBorder="0" applyAlignment="0" applyProtection="0"/>
    <xf numFmtId="0" fontId="70" fillId="26"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3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0" fillId="3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31"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1" fillId="31"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5"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5" fillId="0" borderId="27" applyNumberFormat="0" applyFill="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31" borderId="0" applyNumberFormat="0" applyBorder="0" applyAlignment="0" applyProtection="0"/>
    <xf numFmtId="0" fontId="75" fillId="32"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67" fillId="12" borderId="20" applyNumberFormat="0" applyAlignment="0" applyProtection="0"/>
    <xf numFmtId="0" fontId="71" fillId="31" borderId="0" applyNumberFormat="0" applyBorder="0" applyAlignment="0" applyProtection="0"/>
    <xf numFmtId="0" fontId="73" fillId="26"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1" fillId="31" borderId="0" applyNumberFormat="0" applyBorder="0" applyAlignment="0" applyProtection="0"/>
    <xf numFmtId="0" fontId="73" fillId="35" borderId="0" applyNumberFormat="0" applyBorder="0" applyAlignment="0" applyProtection="0"/>
    <xf numFmtId="0" fontId="70" fillId="31"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0" fillId="22" borderId="0" applyNumberFormat="0" applyBorder="0" applyAlignment="0" applyProtection="0"/>
    <xf numFmtId="0" fontId="70" fillId="2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2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1" fillId="22" borderId="0" applyNumberFormat="0" applyBorder="0" applyAlignment="0" applyProtection="0"/>
    <xf numFmtId="0" fontId="67" fillId="12" borderId="20" applyNumberFormat="0" applyAlignment="0" applyProtection="0"/>
    <xf numFmtId="0" fontId="70" fillId="21" borderId="0" applyNumberFormat="0" applyBorder="0" applyAlignment="0" applyProtection="0"/>
    <xf numFmtId="0" fontId="70" fillId="22"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6" fillId="11" borderId="21"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2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2" borderId="0" applyNumberFormat="0" applyBorder="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21"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1" fillId="21"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0" fillId="2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1" fillId="21"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21" borderId="0" applyNumberFormat="0" applyBorder="0" applyAlignment="0" applyProtection="0"/>
    <xf numFmtId="0" fontId="69" fillId="0" borderId="23" applyNumberFormat="0" applyFill="0" applyAlignment="0" applyProtection="0"/>
    <xf numFmtId="0" fontId="70" fillId="21" borderId="0" applyNumberFormat="0" applyBorder="0" applyAlignment="0" applyProtection="0"/>
    <xf numFmtId="0" fontId="71" fillId="21" borderId="0" applyNumberFormat="0" applyBorder="0" applyAlignment="0" applyProtection="0"/>
    <xf numFmtId="0" fontId="66" fillId="11" borderId="21" applyNumberFormat="0" applyAlignment="0" applyProtection="0"/>
    <xf numFmtId="0" fontId="71" fillId="21" borderId="0" applyNumberFormat="0" applyBorder="0" applyAlignment="0" applyProtection="0"/>
    <xf numFmtId="0" fontId="73" fillId="18"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71" fillId="21"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5"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75" fillId="27"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3"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27"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75" fillId="2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7" borderId="0" applyNumberFormat="0" applyBorder="0" applyAlignment="0" applyProtection="0"/>
    <xf numFmtId="0" fontId="65" fillId="10" borderId="20" applyNumberFormat="0" applyAlignment="0" applyProtection="0"/>
    <xf numFmtId="0" fontId="73"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74" fillId="17"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5" fillId="10" borderId="20" applyNumberFormat="0" applyAlignment="0" applyProtection="0"/>
    <xf numFmtId="0" fontId="75" fillId="27"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8" fillId="12" borderId="22" applyNumberFormat="0" applyAlignment="0" applyProtection="0"/>
    <xf numFmtId="0" fontId="65" fillId="10" borderId="20" applyNumberFormat="0" applyAlignment="0" applyProtection="0"/>
    <xf numFmtId="0" fontId="75" fillId="20" borderId="0" applyNumberFormat="0" applyBorder="0" applyAlignment="0" applyProtection="0"/>
    <xf numFmtId="0" fontId="73" fillId="3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5" fillId="10" borderId="20" applyNumberFormat="0" applyAlignment="0" applyProtection="0"/>
    <xf numFmtId="0" fontId="75" fillId="20" borderId="0" applyNumberFormat="0" applyBorder="0" applyAlignment="0" applyProtection="0"/>
    <xf numFmtId="0" fontId="73" fillId="2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5" fillId="29"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65" fillId="10" borderId="20" applyNumberFormat="0" applyAlignment="0" applyProtection="0"/>
    <xf numFmtId="0" fontId="73" fillId="18"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5" fillId="10" borderId="20" applyNumberFormat="0" applyAlignment="0" applyProtection="0"/>
    <xf numFmtId="0" fontId="69" fillId="0" borderId="23" applyNumberFormat="0" applyFill="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75"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4" fillId="17" borderId="20" applyNumberFormat="0" applyAlignment="0" applyProtection="0"/>
    <xf numFmtId="0" fontId="75" fillId="2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5" fillId="29" borderId="0" applyNumberFormat="0" applyBorder="0" applyAlignment="0" applyProtection="0"/>
    <xf numFmtId="0" fontId="66" fillId="11" borderId="21" applyNumberFormat="0" applyAlignment="0" applyProtection="0"/>
    <xf numFmtId="0" fontId="75" fillId="29" borderId="0" applyNumberFormat="0" applyBorder="0" applyAlignment="0" applyProtection="0"/>
    <xf numFmtId="0" fontId="66" fillId="11" borderId="21" applyNumberFormat="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73" fillId="29"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8" fillId="12" borderId="22" applyNumberFormat="0" applyAlignment="0" applyProtection="0"/>
    <xf numFmtId="0" fontId="73" fillId="19"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19" borderId="0" applyNumberFormat="0" applyBorder="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87" fillId="11"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5" fillId="10" borderId="20" applyNumberFormat="0" applyAlignment="0" applyProtection="0"/>
    <xf numFmtId="0" fontId="73" fillId="19" borderId="0" applyNumberFormat="0" applyBorder="0" applyAlignment="0" applyProtection="0"/>
    <xf numFmtId="0" fontId="66" fillId="11" borderId="21" applyNumberFormat="0" applyAlignment="0" applyProtection="0"/>
    <xf numFmtId="0" fontId="75" fillId="1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9" borderId="0" applyNumberFormat="0" applyBorder="0" applyAlignment="0" applyProtection="0"/>
    <xf numFmtId="0" fontId="65" fillId="10" borderId="20" applyNumberFormat="0" applyAlignment="0" applyProtection="0"/>
    <xf numFmtId="0" fontId="75" fillId="19" borderId="0" applyNumberFormat="0" applyBorder="0" applyAlignment="0" applyProtection="0"/>
    <xf numFmtId="0" fontId="66" fillId="11" borderId="21" applyNumberFormat="0" applyAlignment="0" applyProtection="0"/>
    <xf numFmtId="0" fontId="73" fillId="19" borderId="0" applyNumberFormat="0" applyBorder="0" applyAlignment="0" applyProtection="0"/>
    <xf numFmtId="0" fontId="73" fillId="17"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75"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3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9" fillId="0" borderId="23" applyNumberFormat="0" applyFill="0" applyAlignment="0" applyProtection="0"/>
    <xf numFmtId="0" fontId="73" fillId="20" borderId="0" applyNumberFormat="0" applyBorder="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2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12"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5"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73"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7" borderId="0" applyNumberFormat="0" applyBorder="0" applyAlignment="0" applyProtection="0"/>
    <xf numFmtId="0" fontId="69" fillId="0" borderId="23" applyNumberFormat="0" applyFill="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7"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3" fillId="0" borderId="27"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5" fillId="37" borderId="0" applyNumberFormat="0" applyBorder="0" applyAlignment="0" applyProtection="0"/>
    <xf numFmtId="0" fontId="85" fillId="0" borderId="28" applyNumberFormat="0" applyFill="0" applyAlignment="0" applyProtection="0"/>
    <xf numFmtId="0" fontId="73" fillId="35"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73" fillId="37" borderId="0" applyNumberFormat="0" applyBorder="0" applyAlignment="0" applyProtection="0"/>
    <xf numFmtId="0" fontId="73" fillId="37" borderId="0" applyNumberFormat="0" applyBorder="0" applyAlignment="0" applyProtection="0"/>
    <xf numFmtId="0" fontId="75" fillId="35"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32" borderId="0" applyNumberFormat="0" applyBorder="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3"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75" fillId="35"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5"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5" fillId="3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3" fillId="3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75" fillId="35" borderId="0" applyNumberFormat="0" applyBorder="0" applyAlignment="0" applyProtection="0"/>
    <xf numFmtId="0" fontId="75" fillId="35" borderId="0" applyNumberFormat="0" applyBorder="0" applyAlignment="0" applyProtection="0"/>
    <xf numFmtId="0" fontId="75" fillId="35"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73" fillId="10" borderId="0" applyNumberFormat="0" applyBorder="0" applyAlignment="0" applyProtection="0"/>
    <xf numFmtId="0" fontId="65" fillId="10" borderId="20" applyNumberFormat="0" applyAlignment="0" applyProtection="0"/>
    <xf numFmtId="0" fontId="73" fillId="10"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5" fillId="10" borderId="20" applyNumberFormat="0" applyAlignment="0" applyProtection="0"/>
    <xf numFmtId="0" fontId="73" fillId="32" borderId="0" applyNumberFormat="0" applyBorder="0" applyAlignment="0" applyProtection="0"/>
    <xf numFmtId="0" fontId="69" fillId="0" borderId="23" applyNumberFormat="0" applyFill="0" applyAlignment="0" applyProtection="0"/>
    <xf numFmtId="0" fontId="70" fillId="22" borderId="0" applyNumberFormat="0" applyBorder="0" applyAlignment="0" applyProtection="0"/>
    <xf numFmtId="0" fontId="66" fillId="11" borderId="21" applyNumberFormat="0" applyAlignment="0" applyProtection="0"/>
    <xf numFmtId="0" fontId="73" fillId="23"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66" fillId="11" borderId="21"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73" fillId="39" borderId="0" applyNumberFormat="0" applyBorder="0" applyAlignment="0" applyProtection="0"/>
    <xf numFmtId="0" fontId="68" fillId="12" borderId="22" applyNumberFormat="0" applyAlignment="0" applyProtection="0"/>
    <xf numFmtId="0" fontId="73" fillId="27"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9"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73" fillId="2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39"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7"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9"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73" fillId="37" borderId="0" applyNumberFormat="0" applyBorder="0" applyAlignment="0" applyProtection="0"/>
    <xf numFmtId="0" fontId="73" fillId="39" borderId="0" applyNumberFormat="0" applyBorder="0" applyAlignment="0" applyProtection="0"/>
    <xf numFmtId="0" fontId="67" fillId="12" borderId="20" applyNumberFormat="0" applyAlignment="0" applyProtection="0"/>
    <xf numFmtId="0" fontId="73" fillId="2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38" borderId="0" applyNumberFormat="0" applyBorder="0" applyAlignment="0" applyProtection="0"/>
    <xf numFmtId="0" fontId="73" fillId="34"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6" fillId="11" borderId="21" applyNumberFormat="0" applyAlignment="0" applyProtection="0"/>
    <xf numFmtId="0" fontId="73" fillId="36"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3" fillId="3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73" fillId="36" borderId="0" applyNumberFormat="0" applyBorder="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3" fillId="34" borderId="0" applyNumberFormat="0" applyBorder="0" applyAlignment="0" applyProtection="0"/>
    <xf numFmtId="0" fontId="65" fillId="10" borderId="20" applyNumberFormat="0" applyAlignment="0" applyProtection="0"/>
    <xf numFmtId="0" fontId="73" fillId="36" borderId="0" applyNumberFormat="0" applyBorder="0" applyAlignment="0" applyProtection="0"/>
    <xf numFmtId="0" fontId="67" fillId="12" borderId="20" applyNumberFormat="0" applyAlignment="0" applyProtection="0"/>
    <xf numFmtId="0" fontId="73" fillId="3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3" fillId="36" borderId="0" applyNumberFormat="0" applyBorder="0" applyAlignment="0" applyProtection="0"/>
    <xf numFmtId="0" fontId="68" fillId="12" borderId="22" applyNumberFormat="0" applyAlignment="0" applyProtection="0"/>
    <xf numFmtId="0" fontId="73" fillId="36" borderId="0" applyNumberFormat="0" applyBorder="0" applyAlignment="0" applyProtection="0"/>
    <xf numFmtId="0" fontId="73" fillId="36" borderId="0" applyNumberFormat="0" applyBorder="0" applyAlignment="0" applyProtection="0"/>
    <xf numFmtId="0" fontId="73" fillId="34"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5"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73" fillId="25" borderId="0" applyNumberFormat="0" applyBorder="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73" fillId="24"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1"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1" borderId="0" applyNumberFormat="0" applyBorder="0" applyAlignment="0" applyProtection="0"/>
    <xf numFmtId="0" fontId="69" fillId="0" borderId="23" applyNumberFormat="0" applyFill="0" applyAlignment="0" applyProtection="0"/>
    <xf numFmtId="0" fontId="73" fillId="21" borderId="0" applyNumberFormat="0" applyBorder="0" applyAlignment="0" applyProtection="0"/>
    <xf numFmtId="0" fontId="67" fillId="12" borderId="20" applyNumberFormat="0" applyAlignment="0" applyProtection="0"/>
    <xf numFmtId="0" fontId="73" fillId="2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21"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24" borderId="0" applyNumberFormat="0" applyBorder="0" applyAlignment="0" applyProtection="0"/>
    <xf numFmtId="0" fontId="68" fillId="12" borderId="22" applyNumberFormat="0" applyAlignment="0" applyProtection="0"/>
    <xf numFmtId="0" fontId="73" fillId="24" borderId="0" applyNumberFormat="0" applyBorder="0" applyAlignment="0" applyProtection="0"/>
    <xf numFmtId="0" fontId="73" fillId="24" borderId="0" applyNumberFormat="0" applyBorder="0" applyAlignment="0" applyProtection="0"/>
    <xf numFmtId="0" fontId="73" fillId="2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8" fillId="12" borderId="22" applyNumberFormat="0" applyAlignment="0" applyProtection="0"/>
    <xf numFmtId="0" fontId="70" fillId="10" borderId="0" applyNumberFormat="0" applyBorder="0" applyAlignment="0" applyProtection="0"/>
    <xf numFmtId="0" fontId="73" fillId="1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5" fillId="10" borderId="20" applyNumberFormat="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70" fillId="2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8" borderId="0" applyNumberFormat="0" applyBorder="0" applyAlignment="0" applyProtection="0"/>
    <xf numFmtId="0" fontId="66" fillId="11" borderId="21" applyNumberFormat="0" applyAlignment="0" applyProtection="0"/>
    <xf numFmtId="0" fontId="73"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73" fillId="20" borderId="0" applyNumberFormat="0" applyBorder="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40" borderId="0" applyNumberFormat="0" applyBorder="0" applyAlignment="0" applyProtection="0"/>
    <xf numFmtId="0" fontId="69" fillId="0" borderId="23" applyNumberFormat="0" applyFill="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6" fillId="11" borderId="21" applyNumberFormat="0" applyAlignment="0" applyProtection="0"/>
    <xf numFmtId="0" fontId="73" fillId="40"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40" borderId="0" applyNumberFormat="0" applyBorder="0" applyAlignment="0" applyProtection="0"/>
    <xf numFmtId="0" fontId="65" fillId="10" borderId="20" applyNumberFormat="0" applyAlignment="0" applyProtection="0"/>
    <xf numFmtId="0" fontId="73" fillId="20" borderId="0" applyNumberFormat="0" applyBorder="0" applyAlignment="0" applyProtection="0"/>
    <xf numFmtId="0" fontId="68" fillId="12" borderId="22"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20" borderId="0" applyNumberFormat="0" applyBorder="0" applyAlignment="0" applyProtection="0"/>
    <xf numFmtId="0" fontId="67" fillId="12" borderId="20" applyNumberFormat="0" applyAlignment="0" applyProtection="0"/>
    <xf numFmtId="0" fontId="73" fillId="40" borderId="0" applyNumberFormat="0" applyBorder="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0" fillId="26" borderId="0" applyNumberFormat="0" applyBorder="0" applyAlignment="0" applyProtection="0"/>
    <xf numFmtId="0" fontId="67" fillId="12" borderId="20" applyNumberFormat="0" applyAlignment="0" applyProtection="0"/>
    <xf numFmtId="0" fontId="70" fillId="2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0" borderId="0" applyNumberFormat="0" applyBorder="0" applyAlignment="0" applyProtection="0"/>
    <xf numFmtId="0" fontId="68" fillId="12" borderId="22" applyNumberFormat="0" applyAlignment="0" applyProtection="0"/>
    <xf numFmtId="0" fontId="69" fillId="0" borderId="23" applyNumberFormat="0" applyFill="0" applyAlignment="0" applyProtection="0"/>
    <xf numFmtId="0" fontId="70" fillId="10" borderId="0" applyNumberFormat="0" applyBorder="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77" fillId="33" borderId="20" applyNumberFormat="0" applyAlignment="0" applyProtection="0"/>
    <xf numFmtId="0" fontId="67" fillId="12" borderId="20" applyNumberFormat="0" applyAlignment="0" applyProtection="0"/>
    <xf numFmtId="0" fontId="70" fillId="23" borderId="0" applyNumberFormat="0" applyBorder="0" applyAlignment="0" applyProtection="0"/>
    <xf numFmtId="0" fontId="67" fillId="12" borderId="20" applyNumberFormat="0" applyAlignment="0" applyProtection="0"/>
    <xf numFmtId="0" fontId="70" fillId="23"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30" borderId="0" applyNumberFormat="0" applyBorder="0" applyAlignment="0" applyProtection="0"/>
    <xf numFmtId="0" fontId="67" fillId="12" borderId="20" applyNumberFormat="0" applyAlignment="0" applyProtection="0"/>
    <xf numFmtId="0" fontId="70" fillId="30"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73" fillId="3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8" fillId="12" borderId="22" applyNumberFormat="0" applyAlignment="0" applyProtection="0"/>
    <xf numFmtId="0" fontId="66" fillId="11" borderId="21" applyNumberFormat="0" applyAlignment="0" applyProtection="0"/>
    <xf numFmtId="0" fontId="73" fillId="37" borderId="0" applyNumberFormat="0" applyBorder="0" applyAlignment="0" applyProtection="0"/>
    <xf numFmtId="0" fontId="68" fillId="12" borderId="22"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73" fillId="37"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70" fillId="2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70" fillId="10"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0"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0" fillId="11" borderId="0" applyNumberFormat="0" applyBorder="0" applyAlignment="0" applyProtection="0"/>
    <xf numFmtId="0" fontId="67" fillId="12" borderId="20" applyNumberFormat="0" applyAlignment="0" applyProtection="0"/>
    <xf numFmtId="0" fontId="70" fillId="11"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66" fillId="11" borderId="21" applyNumberFormat="0" applyAlignment="0" applyProtection="0"/>
    <xf numFmtId="0" fontId="73" fillId="16" borderId="0" applyNumberFormat="0" applyBorder="0" applyAlignment="0" applyProtection="0"/>
    <xf numFmtId="0" fontId="83" fillId="0" borderId="27"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9" fillId="0" borderId="23" applyNumberFormat="0" applyFill="0" applyAlignment="0" applyProtection="0"/>
    <xf numFmtId="0" fontId="67" fillId="12" borderId="20" applyNumberFormat="0" applyAlignment="0" applyProtection="0"/>
    <xf numFmtId="0" fontId="73" fillId="29" borderId="0" applyNumberFormat="0" applyBorder="0" applyAlignment="0" applyProtection="0"/>
    <xf numFmtId="0" fontId="73" fillId="16" borderId="0" applyNumberFormat="0" applyBorder="0" applyAlignment="0" applyProtection="0"/>
    <xf numFmtId="0" fontId="65" fillId="10"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73" fillId="16" borderId="0" applyNumberFormat="0" applyBorder="0" applyAlignment="0" applyProtection="0"/>
    <xf numFmtId="0" fontId="73" fillId="29" borderId="0" applyNumberFormat="0" applyBorder="0" applyAlignment="0" applyProtection="0"/>
    <xf numFmtId="0" fontId="78" fillId="0" borderId="25" applyNumberFormat="0" applyFill="0" applyAlignment="0" applyProtection="0"/>
    <xf numFmtId="0" fontId="73" fillId="29" borderId="0" applyNumberFormat="0" applyBorder="0" applyAlignment="0" applyProtection="0"/>
    <xf numFmtId="0" fontId="67" fillId="12" borderId="20" applyNumberFormat="0" applyAlignment="0" applyProtection="0"/>
    <xf numFmtId="0" fontId="73" fillId="34" borderId="0" applyNumberFormat="0" applyBorder="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73" fillId="35"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3" fillId="32"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32"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34"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16"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3" fillId="29" borderId="0" applyNumberFormat="0" applyBorder="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73" fillId="1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87" fillId="11"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8" fillId="12" borderId="22" applyNumberFormat="0" applyAlignment="0" applyProtection="0"/>
    <xf numFmtId="0" fontId="79" fillId="28"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87" fillId="11"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8" fillId="12" borderId="22" applyNumberFormat="0" applyAlignment="0" applyProtection="0"/>
    <xf numFmtId="0" fontId="79" fillId="28" borderId="0" applyNumberFormat="0" applyBorder="0" applyAlignment="0" applyProtection="0"/>
    <xf numFmtId="0" fontId="66" fillId="11" borderId="21" applyNumberFormat="0" applyAlignment="0" applyProtection="0"/>
    <xf numFmtId="0" fontId="65" fillId="10"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67" fillId="12" borderId="20" applyNumberFormat="0" applyAlignment="0" applyProtection="0"/>
    <xf numFmtId="0" fontId="87" fillId="11" borderId="0" applyNumberFormat="0" applyBorder="0" applyAlignment="0" applyProtection="0"/>
    <xf numFmtId="0" fontId="79" fillId="28" borderId="0" applyNumberFormat="0" applyBorder="0" applyAlignment="0" applyProtection="0"/>
    <xf numFmtId="0" fontId="67" fillId="12" borderId="20" applyNumberFormat="0" applyAlignment="0" applyProtection="0"/>
    <xf numFmtId="0" fontId="79" fillId="28" borderId="0" applyNumberFormat="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6" fillId="0" borderId="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8" fillId="0" borderId="25"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2"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80" fillId="0" borderId="26"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1" fillId="11"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86" fillId="0" borderId="0" applyNumberFormat="0" applyFill="0" applyBorder="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2" fillId="0" borderId="32" applyNumberFormat="0" applyFill="0" applyAlignment="0" applyProtection="0"/>
    <xf numFmtId="0" fontId="67" fillId="12" borderId="20" applyNumberFormat="0" applyAlignment="0" applyProtection="0"/>
    <xf numFmtId="0" fontId="92" fillId="0" borderId="32"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108" fillId="0" borderId="0"/>
    <xf numFmtId="0" fontId="67" fillId="25"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88" fillId="0" borderId="29"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25"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25"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25"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6" fillId="11" borderId="21" applyNumberFormat="0" applyAlignment="0" applyProtection="0"/>
    <xf numFmtId="0" fontId="89" fillId="0" borderId="30"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6" fillId="15"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74" fillId="17"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10" fontId="66" fillId="0" borderId="0" applyFill="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41"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9" fillId="42" borderId="0" applyNumberFormat="0" applyBorder="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43"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83" fillId="0" borderId="27"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4" borderId="0" applyNumberFormat="0" applyBorder="0" applyAlignment="0" applyProtection="0"/>
    <xf numFmtId="0" fontId="67" fillId="12" borderId="20" applyNumberFormat="0" applyAlignment="0" applyProtection="0"/>
    <xf numFmtId="0" fontId="69" fillId="45" borderId="0" applyNumberFormat="0" applyBorder="0" applyAlignment="0" applyProtection="0"/>
    <xf numFmtId="0" fontId="67" fillId="12" borderId="20" applyNumberFormat="0" applyAlignment="0" applyProtection="0"/>
    <xf numFmtId="0" fontId="69" fillId="46" borderId="0" applyNumberFormat="0" applyBorder="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9" fillId="46"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47" borderId="0" applyNumberFormat="0" applyBorder="0" applyAlignment="0" applyProtection="0"/>
    <xf numFmtId="0" fontId="70" fillId="11" borderId="21" applyNumberFormat="0" applyAlignment="0" applyProtection="0"/>
    <xf numFmtId="0" fontId="67" fillId="12" borderId="20" applyNumberFormat="0" applyAlignment="0" applyProtection="0"/>
    <xf numFmtId="0" fontId="69" fillId="23" borderId="0" applyNumberFormat="0" applyBorder="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30" borderId="0" applyNumberFormat="0" applyBorder="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70"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4" fillId="17"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33"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7" fillId="12" borderId="20" applyNumberFormat="0" applyAlignment="0" applyProtection="0"/>
    <xf numFmtId="0" fontId="108" fillId="0" borderId="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70" fillId="0" borderId="0"/>
    <xf numFmtId="0" fontId="67" fillId="12" borderId="20" applyNumberFormat="0" applyAlignment="0" applyProtection="0"/>
    <xf numFmtId="0" fontId="66" fillId="0" borderId="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70" fillId="0" borderId="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108" fillId="0" borderId="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0" fillId="11" borderId="21"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70" fillId="0" borderId="0" applyNumberFormat="0" applyFill="0" applyBorder="0" applyProtection="0">
      <alignment horizontal="left"/>
    </xf>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2" fillId="0" borderId="24" applyNumberFormat="0" applyFill="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0" borderId="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74" fillId="17"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71" fillId="0" borderId="0"/>
    <xf numFmtId="0" fontId="67" fillId="12" borderId="20" applyNumberFormat="0" applyAlignment="0" applyProtection="0"/>
    <xf numFmtId="0" fontId="66"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0" borderId="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26"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7" fillId="33" borderId="20" applyNumberFormat="0" applyAlignment="0" applyProtection="0"/>
    <xf numFmtId="0" fontId="67" fillId="12" borderId="20" applyNumberFormat="0" applyAlignment="0" applyProtection="0"/>
    <xf numFmtId="0" fontId="66" fillId="11" borderId="21" applyNumberFormat="0" applyAlignment="0" applyProtection="0"/>
    <xf numFmtId="0" fontId="77" fillId="33"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91" fillId="0" borderId="0" applyNumberFormat="0" applyFill="0" applyBorder="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99" fillId="0" borderId="0" applyNumberFormat="0" applyFill="0" applyBorder="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33"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25" borderId="22"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77"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7" fillId="33"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100" fillId="17" borderId="34">
      <alignment horizontal="left" vertical="center" wrapText="1"/>
    </xf>
    <xf numFmtId="0" fontId="67" fillId="12" borderId="20" applyNumberFormat="0" applyAlignment="0" applyProtection="0"/>
    <xf numFmtId="0" fontId="67" fillId="12" borderId="20" applyNumberFormat="0" applyAlignment="0" applyProtection="0"/>
    <xf numFmtId="0" fontId="100" fillId="22" borderId="34">
      <alignment horizontal="center" vertical="center" wrapText="1"/>
    </xf>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108" fillId="0" borderId="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108" fillId="0" borderId="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70"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70"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94" fillId="17" borderId="0" applyNumberFormat="0" applyBorder="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6" fillId="11" borderId="21" applyNumberFormat="0" applyAlignment="0" applyProtection="0"/>
    <xf numFmtId="0" fontId="66" fillId="11" borderId="21" applyNumberFormat="0" applyAlignment="0" applyProtection="0"/>
    <xf numFmtId="0" fontId="67" fillId="12" borderId="20" applyNumberFormat="0" applyAlignment="0" applyProtection="0"/>
    <xf numFmtId="0" fontId="67" fillId="12" borderId="20" applyNumberFormat="0" applyAlignment="0" applyProtection="0"/>
    <xf numFmtId="0" fontId="67" fillId="12" borderId="20" applyNumberFormat="0" applyAlignment="0" applyProtection="0"/>
    <xf numFmtId="0" fontId="65" fillId="10"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6" fillId="11" borderId="21"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8" fillId="12" borderId="22" applyNumberFormat="0" applyAlignment="0" applyProtection="0"/>
    <xf numFmtId="0" fontId="67" fillId="12" borderId="20" applyNumberFormat="0" applyAlignment="0" applyProtection="0"/>
    <xf numFmtId="0" fontId="67" fillId="12" borderId="20" applyNumberFormat="0" applyAlignment="0" applyProtection="0"/>
    <xf numFmtId="0" fontId="67" fillId="25"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101" fillId="33"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67" fillId="12" borderId="20" applyNumberFormat="0" applyAlignment="0" applyProtection="0"/>
    <xf numFmtId="0" fontId="65" fillId="10" borderId="20" applyNumberFormat="0" applyAlignment="0" applyProtection="0"/>
    <xf numFmtId="0" fontId="77" fillId="33" borderId="20" applyNumberFormat="0" applyAlignment="0" applyProtection="0"/>
    <xf numFmtId="0" fontId="65" fillId="10" borderId="20"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8" fillId="12" borderId="22" applyNumberFormat="0" applyAlignment="0" applyProtection="0"/>
    <xf numFmtId="0" fontId="102" fillId="38" borderId="35" applyNumberFormat="0" applyAlignment="0" applyProtection="0"/>
    <xf numFmtId="0" fontId="102" fillId="38" borderId="35" applyNumberFormat="0" applyAlignment="0" applyProtection="0"/>
    <xf numFmtId="0" fontId="102" fillId="38" borderId="35"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66" fillId="11" borderId="21" applyNumberFormat="0" applyAlignment="0" applyProtection="0"/>
    <xf numFmtId="0" fontId="102" fillId="38" borderId="35" applyNumberFormat="0" applyAlignment="0" applyProtection="0"/>
    <xf numFmtId="0" fontId="102" fillId="38" borderId="35" applyNumberFormat="0" applyAlignment="0" applyProtection="0"/>
    <xf numFmtId="0" fontId="100" fillId="23" borderId="34">
      <alignment horizontal="left" vertical="center" wrapText="1"/>
    </xf>
    <xf numFmtId="0" fontId="100" fillId="30" borderId="34">
      <alignment horizontal="left" vertical="center" wrapText="1"/>
    </xf>
    <xf numFmtId="0" fontId="100" fillId="30" borderId="34">
      <alignment horizontal="left" vertical="center" wrapText="1"/>
    </xf>
    <xf numFmtId="0" fontId="100" fillId="26" borderId="34">
      <alignment horizontal="left" vertical="center" wrapText="1"/>
    </xf>
    <xf numFmtId="0" fontId="100" fillId="10" borderId="34">
      <alignment horizontal="left" vertical="center" wrapText="1"/>
    </xf>
    <xf numFmtId="0" fontId="65" fillId="10" borderId="20" applyNumberFormat="0" applyAlignment="0" applyProtection="0"/>
    <xf numFmtId="0" fontId="66" fillId="11" borderId="21" applyNumberFormat="0" applyAlignment="0" applyProtection="0"/>
    <xf numFmtId="0" fontId="100" fillId="10" borderId="34">
      <alignment horizontal="left" vertical="center" wrapText="1"/>
    </xf>
    <xf numFmtId="172" fontId="66" fillId="0" borderId="0" applyFill="0" applyBorder="0" applyAlignment="0" applyProtection="0"/>
    <xf numFmtId="172" fontId="66" fillId="0" borderId="0" applyFill="0" applyBorder="0" applyAlignment="0" applyProtection="0"/>
    <xf numFmtId="0" fontId="68" fillId="12" borderId="22" applyNumberFormat="0" applyAlignment="0" applyProtection="0"/>
    <xf numFmtId="0" fontId="66" fillId="0" borderId="0" applyNumberFormat="0" applyFill="0" applyBorder="0" applyProtection="0">
      <alignment horizontal="left"/>
    </xf>
    <xf numFmtId="0" fontId="65" fillId="10" borderId="20" applyNumberFormat="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6" fillId="0" borderId="0" applyNumberFormat="0" applyFill="0" applyBorder="0" applyAlignment="0" applyProtection="0"/>
    <xf numFmtId="0" fontId="66" fillId="0" borderId="0" applyNumberFormat="0" applyFill="0" applyBorder="0" applyProtection="0">
      <alignment horizontal="left"/>
    </xf>
    <xf numFmtId="0" fontId="66" fillId="0" borderId="0" applyNumberFormat="0" applyFill="0" applyBorder="0" applyAlignment="0" applyProtection="0"/>
    <xf numFmtId="174" fontId="66" fillId="0" borderId="0" applyFill="0" applyBorder="0" applyAlignment="0" applyProtection="0"/>
    <xf numFmtId="0" fontId="65" fillId="10" borderId="20" applyNumberFormat="0" applyAlignment="0" applyProtection="0"/>
    <xf numFmtId="176" fontId="66" fillId="0" borderId="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66" fillId="11" borderId="21" applyNumberFormat="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65" fillId="10" borderId="20" applyNumberFormat="0" applyAlignment="0" applyProtection="0"/>
    <xf numFmtId="0" fontId="86"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86" fillId="0" borderId="0" applyNumberFormat="0" applyFill="0" applyBorder="0" applyAlignment="0" applyProtection="0"/>
    <xf numFmtId="0" fontId="68" fillId="12" borderId="22" applyNumberFormat="0" applyAlignment="0" applyProtection="0"/>
    <xf numFmtId="0" fontId="99"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66" fillId="11" borderId="21"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65" fillId="10" borderId="20" applyNumberFormat="0" applyAlignment="0" applyProtection="0"/>
    <xf numFmtId="0" fontId="76" fillId="15" borderId="0" applyNumberFormat="0" applyBorder="0" applyAlignment="0" applyProtection="0"/>
    <xf numFmtId="0" fontId="76" fillId="15" borderId="0" applyNumberFormat="0" applyBorder="0" applyAlignment="0" applyProtection="0"/>
    <xf numFmtId="0" fontId="76" fillId="15" borderId="0" applyNumberFormat="0" applyBorder="0" applyAlignment="0" applyProtection="0"/>
    <xf numFmtId="0" fontId="81" fillId="25" borderId="0" applyNumberFormat="0" applyBorder="0" applyAlignment="0" applyProtection="0"/>
    <xf numFmtId="0" fontId="81" fillId="25" borderId="0" applyNumberFormat="0" applyBorder="0" applyAlignment="0" applyProtection="0"/>
    <xf numFmtId="0" fontId="81" fillId="12" borderId="0" applyNumberFormat="0" applyBorder="0" applyAlignment="0" applyProtection="0"/>
    <xf numFmtId="0" fontId="81" fillId="12" borderId="0" applyNumberFormat="0" applyBorder="0" applyAlignment="0" applyProtection="0"/>
    <xf numFmtId="0" fontId="65" fillId="10" borderId="20" applyNumberFormat="0" applyAlignment="0" applyProtection="0"/>
    <xf numFmtId="0" fontId="81" fillId="12" borderId="0" applyNumberFormat="0" applyBorder="0" applyAlignment="0" applyProtection="0"/>
    <xf numFmtId="0" fontId="65" fillId="10" borderId="20"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6" applyNumberFormat="0" applyAlignment="0" applyProtection="0"/>
    <xf numFmtId="0" fontId="66" fillId="11" borderId="21" applyNumberFormat="0" applyAlignment="0" applyProtection="0"/>
    <xf numFmtId="0" fontId="103" fillId="0" borderId="37">
      <alignment horizontal="left" vertical="center"/>
    </xf>
    <xf numFmtId="0" fontId="103" fillId="0" borderId="37">
      <alignment horizontal="left" vertical="center"/>
    </xf>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89" fillId="0" borderId="30" applyNumberFormat="0" applyFill="0" applyAlignment="0" applyProtection="0"/>
    <xf numFmtId="0" fontId="68" fillId="12" borderId="22" applyNumberFormat="0" applyAlignment="0" applyProtection="0"/>
    <xf numFmtId="0" fontId="89" fillId="0" borderId="30" applyNumberFormat="0" applyFill="0" applyAlignment="0" applyProtection="0"/>
    <xf numFmtId="0" fontId="66" fillId="11" borderId="21" applyNumberFormat="0" applyAlignment="0" applyProtection="0"/>
    <xf numFmtId="0" fontId="68" fillId="12" borderId="22" applyNumberFormat="0" applyAlignment="0" applyProtection="0"/>
    <xf numFmtId="0" fontId="88" fillId="0" borderId="29"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65" fillId="10" borderId="20" applyNumberFormat="0" applyAlignment="0" applyProtection="0"/>
    <xf numFmtId="0" fontId="89" fillId="0" borderId="30"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8" fillId="0" borderId="29" applyNumberFormat="0" applyFill="0" applyAlignment="0" applyProtection="0"/>
    <xf numFmtId="0" fontId="89" fillId="0" borderId="30" applyNumberFormat="0" applyFill="0" applyAlignment="0" applyProtection="0"/>
    <xf numFmtId="0" fontId="88" fillId="0" borderId="38"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9" fillId="0" borderId="30" applyNumberFormat="0" applyFill="0" applyAlignment="0" applyProtection="0"/>
    <xf numFmtId="0" fontId="66" fillId="11" borderId="21" applyNumberFormat="0" applyAlignment="0" applyProtection="0"/>
    <xf numFmtId="0" fontId="88" fillId="0" borderId="29"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68" fillId="12" borderId="22" applyNumberFormat="0" applyAlignment="0" applyProtection="0"/>
    <xf numFmtId="0" fontId="83" fillId="0" borderId="27" applyNumberFormat="0" applyFill="0" applyAlignment="0" applyProtection="0"/>
    <xf numFmtId="0" fontId="65" fillId="10" borderId="20" applyNumberFormat="0" applyAlignment="0" applyProtection="0"/>
    <xf numFmtId="0" fontId="68" fillId="12" borderId="22" applyNumberFormat="0" applyAlignment="0" applyProtection="0"/>
    <xf numFmtId="0" fontId="83" fillId="0" borderId="27" applyNumberFormat="0" applyFill="0" applyAlignment="0" applyProtection="0"/>
    <xf numFmtId="0" fontId="66" fillId="11" borderId="21"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3" fillId="0" borderId="27"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66" fillId="11" borderId="21" applyNumberFormat="0" applyAlignment="0" applyProtection="0"/>
    <xf numFmtId="0" fontId="83" fillId="0" borderId="27"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65" fillId="10" borderId="20" applyNumberFormat="0" applyAlignment="0" applyProtection="0"/>
    <xf numFmtId="0" fontId="85" fillId="0" borderId="28" applyNumberFormat="0" applyFill="0" applyAlignment="0" applyProtection="0"/>
    <xf numFmtId="0" fontId="83" fillId="0" borderId="27"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5" fillId="0" borderId="28" applyNumberFormat="0" applyFill="0" applyAlignment="0" applyProtection="0"/>
    <xf numFmtId="0" fontId="83" fillId="0" borderId="27"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8" fillId="12" borderId="22" applyNumberFormat="0" applyAlignment="0" applyProtection="0"/>
    <xf numFmtId="0" fontId="68" fillId="12" borderId="22"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80" fillId="0" borderId="26"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80" fillId="0" borderId="26"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65" fillId="10" borderId="20" applyNumberFormat="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68" fillId="12" borderId="22" applyNumberFormat="0" applyAlignment="0" applyProtection="0"/>
    <xf numFmtId="0" fontId="80" fillId="0" borderId="26" applyNumberFormat="0" applyFill="0" applyAlignment="0" applyProtection="0"/>
    <xf numFmtId="0" fontId="65" fillId="10" borderId="20" applyNumberFormat="0" applyAlignment="0" applyProtection="0"/>
    <xf numFmtId="0" fontId="72" fillId="0" borderId="24" applyNumberFormat="0" applyFill="0" applyAlignment="0" applyProtection="0"/>
    <xf numFmtId="0" fontId="72" fillId="0" borderId="24" applyNumberFormat="0" applyFill="0" applyAlignment="0" applyProtection="0"/>
    <xf numFmtId="0" fontId="80" fillId="0" borderId="39"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66" fillId="11" borderId="21" applyNumberFormat="0" applyAlignment="0" applyProtection="0"/>
    <xf numFmtId="0" fontId="72" fillId="0" borderId="24" applyNumberFormat="0" applyFill="0" applyAlignment="0" applyProtection="0"/>
    <xf numFmtId="0" fontId="65" fillId="10" borderId="20" applyNumberFormat="0" applyAlignment="0" applyProtection="0"/>
    <xf numFmtId="0" fontId="80" fillId="0" borderId="26" applyNumberFormat="0" applyFill="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69" fillId="0" borderId="23" applyNumberFormat="0" applyFill="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6" fillId="11" borderId="21"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72" fillId="0" borderId="0" applyNumberFormat="0" applyFill="0" applyBorder="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68" fillId="12" borderId="22" applyNumberFormat="0" applyAlignment="0" applyProtection="0"/>
    <xf numFmtId="0" fontId="80"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72" fillId="0" borderId="0" applyNumberFormat="0" applyFill="0" applyBorder="0" applyAlignment="0" applyProtection="0"/>
    <xf numFmtId="0" fontId="65" fillId="10" borderId="20" applyNumberFormat="0" applyAlignment="0" applyProtection="0"/>
    <xf numFmtId="0" fontId="66" fillId="11" borderId="21" applyNumberFormat="0" applyAlignment="0" applyProtection="0"/>
    <xf numFmtId="0" fontId="80" fillId="0" borderId="0" applyNumberFormat="0" applyFill="0" applyBorder="0" applyAlignment="0" applyProtection="0"/>
    <xf numFmtId="0" fontId="104" fillId="0" borderId="0" applyNumberFormat="0" applyFill="0" applyBorder="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25"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6" fillId="0" borderId="0"/>
    <xf numFmtId="0" fontId="71"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65" fillId="10" borderId="20" applyNumberFormat="0" applyAlignment="0" applyProtection="0"/>
    <xf numFmtId="0" fontId="70" fillId="0" borderId="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166" fontId="95"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26"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92" fillId="0" borderId="32"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9" fontId="66" fillId="0" borderId="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5" fillId="26"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26"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26"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26"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0" borderId="0"/>
    <xf numFmtId="0" fontId="70" fillId="0" borderId="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8" fillId="12" borderId="22"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70" fillId="0" borderId="0"/>
    <xf numFmtId="0" fontId="70" fillId="0" borderId="0"/>
    <xf numFmtId="0" fontId="65" fillId="10" borderId="20"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0" borderId="0"/>
    <xf numFmtId="0" fontId="70"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82"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91" fillId="0" borderId="0" applyNumberFormat="0" applyFill="0" applyBorder="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108" fillId="0" borderId="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4" fillId="17"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25"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108" fillId="0" borderId="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9" fillId="0" borderId="23" applyNumberFormat="0" applyFill="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74" fillId="17"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9" fillId="0" borderId="23" applyNumberFormat="0" applyFill="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70"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74" fillId="17"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108" fillId="0" borderId="0"/>
    <xf numFmtId="0" fontId="74" fillId="17"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108" fillId="0" borderId="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9" fillId="0" borderId="23" applyNumberFormat="0" applyFill="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8" fillId="12" borderId="22"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11" borderId="21" applyNumberFormat="0" applyAlignment="0" applyProtection="0"/>
    <xf numFmtId="0" fontId="66" fillId="11" borderId="21"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5" fillId="10" borderId="20" applyNumberFormat="0" applyAlignment="0" applyProtection="0"/>
    <xf numFmtId="0" fontId="66" fillId="0" borderId="0"/>
    <xf numFmtId="0" fontId="92" fillId="0" borderId="32" applyNumberFormat="0" applyFill="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66" fillId="11" borderId="21" applyNumberFormat="0" applyAlignment="0" applyProtection="0"/>
    <xf numFmtId="0" fontId="78" fillId="0" borderId="25" applyNumberFormat="0" applyFill="0" applyAlignment="0" applyProtection="0"/>
    <xf numFmtId="0" fontId="66" fillId="11" borderId="21" applyNumberFormat="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78" fillId="0" borderId="25" applyNumberFormat="0" applyFill="0" applyAlignment="0" applyProtection="0"/>
    <xf numFmtId="0" fontId="92" fillId="0" borderId="32" applyNumberFormat="0" applyFill="0" applyAlignment="0" applyProtection="0"/>
    <xf numFmtId="0" fontId="93" fillId="0" borderId="33" applyNumberFormat="0" applyFill="0" applyAlignment="0" applyProtection="0"/>
    <xf numFmtId="0" fontId="92" fillId="0" borderId="32" applyNumberFormat="0" applyFill="0" applyAlignment="0" applyProtection="0"/>
    <xf numFmtId="0" fontId="92" fillId="0" borderId="32" applyNumberFormat="0" applyFill="0" applyAlignment="0" applyProtection="0"/>
    <xf numFmtId="0" fontId="78" fillId="0" borderId="25" applyNumberFormat="0" applyFill="0" applyAlignment="0" applyProtection="0"/>
    <xf numFmtId="0" fontId="68" fillId="12" borderId="22" applyNumberFormat="0" applyAlignment="0" applyProtection="0"/>
    <xf numFmtId="167" fontId="66" fillId="0" borderId="0" applyFill="0" applyBorder="0" applyAlignment="0" applyProtection="0"/>
    <xf numFmtId="169" fontId="66" fillId="0" borderId="0" applyFill="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78" fillId="17" borderId="0" applyNumberFormat="0" applyBorder="0" applyAlignment="0" applyProtection="0"/>
    <xf numFmtId="0" fontId="94" fillId="17" borderId="0" applyNumberFormat="0" applyBorder="0" applyAlignment="0" applyProtection="0"/>
    <xf numFmtId="0" fontId="68" fillId="12" borderId="22" applyNumberFormat="0" applyAlignment="0" applyProtection="0"/>
    <xf numFmtId="0" fontId="94"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78" fillId="17" borderId="0" applyNumberFormat="0" applyBorder="0" applyAlignment="0" applyProtection="0"/>
    <xf numFmtId="0" fontId="66" fillId="11" borderId="21" applyNumberFormat="0" applyAlignment="0" applyProtection="0"/>
    <xf numFmtId="0" fontId="78" fillId="17" borderId="0" applyNumberFormat="0" applyBorder="0" applyAlignment="0" applyProtection="0"/>
    <xf numFmtId="0" fontId="66" fillId="11" borderId="21" applyNumberFormat="0" applyAlignment="0" applyProtection="0"/>
    <xf numFmtId="0" fontId="94"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0" fontId="78" fillId="17" borderId="0" applyNumberFormat="0" applyBorder="0" applyAlignment="0" applyProtection="0"/>
    <xf numFmtId="0" fontId="66" fillId="11" borderId="21" applyNumberFormat="0" applyAlignment="0" applyProtection="0"/>
    <xf numFmtId="0" fontId="68" fillId="12" borderId="22" applyNumberFormat="0" applyAlignment="0" applyProtection="0"/>
    <xf numFmtId="166" fontId="95" fillId="0" borderId="0"/>
    <xf numFmtId="0" fontId="66" fillId="0" borderId="0"/>
    <xf numFmtId="0" fontId="68" fillId="12" borderId="22" applyNumberFormat="0" applyAlignment="0" applyProtection="0"/>
    <xf numFmtId="0" fontId="66" fillId="0" borderId="0"/>
    <xf numFmtId="0" fontId="66" fillId="0" borderId="0"/>
    <xf numFmtId="0" fontId="66" fillId="0" borderId="0"/>
    <xf numFmtId="0" fontId="66" fillId="0" borderId="0"/>
    <xf numFmtId="0" fontId="108"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1" fillId="0" borderId="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66" fillId="0" borderId="0"/>
    <xf numFmtId="0" fontId="9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70" fillId="0" borderId="0"/>
    <xf numFmtId="0" fontId="70" fillId="0" borderId="0"/>
    <xf numFmtId="0" fontId="70" fillId="0" borderId="0"/>
    <xf numFmtId="0" fontId="68" fillId="12" borderId="22" applyNumberFormat="0" applyAlignment="0" applyProtection="0"/>
    <xf numFmtId="0" fontId="70" fillId="0" borderId="0"/>
    <xf numFmtId="0" fontId="70" fillId="0" borderId="0"/>
    <xf numFmtId="0" fontId="68" fillId="12" borderId="22" applyNumberFormat="0" applyAlignment="0" applyProtection="0"/>
    <xf numFmtId="0" fontId="66"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69" fillId="0" borderId="23" applyNumberFormat="0" applyFill="0" applyAlignment="0" applyProtection="0"/>
    <xf numFmtId="0" fontId="108" fillId="0" borderId="0"/>
    <xf numFmtId="0" fontId="108" fillId="0" borderId="0"/>
    <xf numFmtId="0" fontId="68" fillId="25" borderId="22" applyNumberFormat="0" applyAlignment="0" applyProtection="0"/>
    <xf numFmtId="0" fontId="108" fillId="0" borderId="0"/>
    <xf numFmtId="0" fontId="68" fillId="12" borderId="22" applyNumberFormat="0" applyAlignment="0" applyProtection="0"/>
    <xf numFmtId="0" fontId="108" fillId="0" borderId="0"/>
    <xf numFmtId="0" fontId="70" fillId="11" borderId="21" applyNumberFormat="0" applyAlignment="0" applyProtection="0"/>
    <xf numFmtId="0" fontId="108" fillId="0" borderId="0"/>
    <xf numFmtId="0" fontId="108" fillId="0" borderId="0"/>
    <xf numFmtId="0" fontId="70"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66"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108" fillId="0" borderId="0"/>
    <xf numFmtId="0" fontId="108" fillId="0" borderId="0"/>
    <xf numFmtId="0" fontId="108" fillId="0" borderId="0"/>
    <xf numFmtId="0" fontId="70" fillId="0" borderId="0"/>
    <xf numFmtId="0" fontId="108" fillId="0" borderId="0"/>
    <xf numFmtId="0" fontId="70" fillId="0" borderId="0"/>
    <xf numFmtId="0" fontId="66" fillId="0" borderId="0"/>
    <xf numFmtId="0" fontId="71" fillId="0" borderId="0"/>
    <xf numFmtId="0" fontId="68" fillId="12" borderId="22" applyNumberFormat="0" applyAlignment="0" applyProtection="0"/>
    <xf numFmtId="0" fontId="71" fillId="0" borderId="0"/>
    <xf numFmtId="0" fontId="66" fillId="11" borderId="21" applyNumberFormat="0" applyAlignment="0" applyProtection="0"/>
    <xf numFmtId="0" fontId="71" fillId="0" borderId="0"/>
    <xf numFmtId="0" fontId="66" fillId="11" borderId="21" applyNumberFormat="0" applyAlignment="0" applyProtection="0"/>
    <xf numFmtId="0" fontId="70"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108" fillId="0" borderId="0"/>
    <xf numFmtId="0" fontId="69" fillId="0" borderId="23" applyNumberFormat="0" applyFill="0" applyAlignment="0" applyProtection="0"/>
    <xf numFmtId="0" fontId="108" fillId="0" borderId="0"/>
    <xf numFmtId="0" fontId="66" fillId="11" borderId="21" applyNumberFormat="0" applyAlignment="0" applyProtection="0"/>
    <xf numFmtId="0" fontId="68" fillId="12" borderId="22" applyNumberFormat="0" applyAlignment="0" applyProtection="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70"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66" fillId="11" borderId="21" applyNumberFormat="0" applyAlignment="0" applyProtection="0"/>
    <xf numFmtId="0" fontId="108" fillId="0" borderId="0"/>
    <xf numFmtId="0" fontId="68" fillId="12" borderId="22" applyNumberFormat="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108" fillId="0" borderId="0"/>
    <xf numFmtId="0" fontId="108" fillId="0" borderId="0"/>
    <xf numFmtId="0" fontId="108" fillId="0" borderId="0"/>
    <xf numFmtId="0" fontId="108" fillId="0" borderId="0"/>
    <xf numFmtId="0" fontId="66" fillId="0" borderId="0"/>
    <xf numFmtId="0" fontId="108" fillId="0" borderId="0"/>
    <xf numFmtId="0" fontId="108" fillId="0" borderId="0"/>
    <xf numFmtId="0" fontId="108" fillId="0" borderId="0"/>
    <xf numFmtId="0" fontId="108" fillId="0" borderId="0"/>
    <xf numFmtId="0" fontId="108" fillId="0" borderId="0"/>
    <xf numFmtId="0" fontId="66" fillId="0" borderId="0"/>
    <xf numFmtId="0" fontId="70" fillId="0" borderId="0"/>
    <xf numFmtId="0" fontId="66"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6" fillId="0" borderId="0"/>
    <xf numFmtId="0" fontId="66" fillId="0" borderId="0"/>
    <xf numFmtId="0" fontId="66" fillId="0" borderId="0"/>
    <xf numFmtId="0" fontId="66"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66" fillId="11" borderId="21" applyNumberFormat="0" applyAlignment="0" applyProtection="0"/>
    <xf numFmtId="0" fontId="108" fillId="0" borderId="0"/>
    <xf numFmtId="0" fontId="108" fillId="0" borderId="0"/>
    <xf numFmtId="0" fontId="108" fillId="0" borderId="0"/>
    <xf numFmtId="0" fontId="66" fillId="0" borderId="0"/>
    <xf numFmtId="0" fontId="108" fillId="0" borderId="0"/>
    <xf numFmtId="0" fontId="70" fillId="0" borderId="0"/>
    <xf numFmtId="0" fontId="108" fillId="0" borderId="0"/>
    <xf numFmtId="0" fontId="108" fillId="0" borderId="0"/>
    <xf numFmtId="0" fontId="108" fillId="0" borderId="0"/>
    <xf numFmtId="0" fontId="66" fillId="0" borderId="0"/>
    <xf numFmtId="0" fontId="108" fillId="0" borderId="0"/>
    <xf numFmtId="0" fontId="70" fillId="0" borderId="0"/>
    <xf numFmtId="0" fontId="70" fillId="0" borderId="0"/>
    <xf numFmtId="0" fontId="70" fillId="0" borderId="0"/>
    <xf numFmtId="0" fontId="108" fillId="0" borderId="0"/>
    <xf numFmtId="0" fontId="66" fillId="11" borderId="21" applyNumberFormat="0" applyAlignment="0" applyProtection="0"/>
    <xf numFmtId="0" fontId="68" fillId="12" borderId="22" applyNumberFormat="0" applyAlignment="0" applyProtection="0"/>
    <xf numFmtId="0" fontId="70" fillId="0" borderId="0"/>
    <xf numFmtId="0" fontId="66" fillId="11" borderId="21" applyNumberFormat="0" applyAlignment="0" applyProtection="0"/>
    <xf numFmtId="0" fontId="66" fillId="11" borderId="21" applyNumberFormat="0" applyAlignment="0" applyProtection="0"/>
    <xf numFmtId="0" fontId="108" fillId="0" borderId="0"/>
    <xf numFmtId="0" fontId="108" fillId="0" borderId="0"/>
    <xf numFmtId="0" fontId="66" fillId="11" borderId="21" applyNumberFormat="0" applyAlignment="0" applyProtection="0"/>
    <xf numFmtId="0" fontId="108" fillId="0" borderId="0"/>
    <xf numFmtId="0" fontId="66" fillId="0" borderId="0"/>
    <xf numFmtId="0" fontId="108" fillId="0" borderId="0"/>
    <xf numFmtId="0" fontId="66" fillId="11" borderId="21" applyNumberFormat="0" applyAlignment="0" applyProtection="0"/>
    <xf numFmtId="0" fontId="70" fillId="0" borderId="0"/>
    <xf numFmtId="0" fontId="70" fillId="0" borderId="0"/>
    <xf numFmtId="0" fontId="66" fillId="0" borderId="0"/>
    <xf numFmtId="0" fontId="66" fillId="0" borderId="0"/>
    <xf numFmtId="0" fontId="66" fillId="0" borderId="0"/>
    <xf numFmtId="0" fontId="90"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68" fillId="12" borderId="22" applyNumberFormat="0" applyAlignment="0" applyProtection="0"/>
    <xf numFmtId="0" fontId="70"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70"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98" fillId="0" borderId="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1" fillId="0" borderId="0" applyNumberFormat="0" applyFill="0" applyBorder="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25"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8" fillId="12" borderId="22" applyNumberFormat="0" applyAlignment="0" applyProtection="0"/>
    <xf numFmtId="0" fontId="66" fillId="11" borderId="21" applyNumberFormat="0" applyAlignment="0" applyProtection="0"/>
    <xf numFmtId="0" fontId="68" fillId="33"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9" fillId="0" borderId="23" applyNumberFormat="0" applyFill="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8" fillId="12" borderId="22"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66" fillId="11" borderId="21" applyNumberFormat="0" applyAlignment="0" applyProtection="0"/>
    <xf numFmtId="0" fontId="98" fillId="0" borderId="0"/>
    <xf numFmtId="0" fontId="98" fillId="0" borderId="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91"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25"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82" fillId="0" borderId="0" applyNumberFormat="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33"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178" fontId="66" fillId="0" borderId="0" applyFill="0" applyBorder="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9" fillId="0" borderId="23" applyNumberFormat="0" applyFill="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0" fontId="68" fillId="12" borderId="22" applyNumberFormat="0" applyAlignment="0" applyProtection="0"/>
    <xf numFmtId="10" fontId="66" fillId="0" borderId="0" applyFill="0" applyBorder="0" applyAlignment="0" applyProtection="0"/>
    <xf numFmtId="10" fontId="66" fillId="0" borderId="0" applyFill="0" applyBorder="0" applyAlignment="0" applyProtection="0"/>
    <xf numFmtId="9" fontId="66" fillId="0" borderId="0" applyFill="0" applyBorder="0" applyAlignment="0" applyProtection="0"/>
    <xf numFmtId="9" fontId="96" fillId="0" borderId="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9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4" fillId="0" borderId="0" applyNumberFormat="0" applyFill="0" applyBorder="0" applyAlignment="0" applyProtection="0"/>
    <xf numFmtId="0" fontId="82" fillId="0" borderId="0" applyNumberFormat="0" applyFill="0" applyBorder="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40"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23" applyNumberFormat="0" applyFill="0" applyAlignment="0" applyProtection="0"/>
    <xf numFmtId="0" fontId="69" fillId="0" borderId="31" applyNumberFormat="0" applyFill="0" applyAlignment="0" applyProtection="0"/>
    <xf numFmtId="0" fontId="98" fillId="0" borderId="0"/>
    <xf numFmtId="0" fontId="98" fillId="0" borderId="0"/>
    <xf numFmtId="171" fontId="66" fillId="0" borderId="0" applyFill="0" applyBorder="0" applyAlignment="0" applyProtection="0"/>
    <xf numFmtId="168" fontId="66" fillId="0" borderId="0" applyFill="0" applyBorder="0" applyAlignment="0" applyProtection="0"/>
    <xf numFmtId="177" fontId="66" fillId="0" borderId="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164" fontId="66" fillId="0" borderId="0" applyFont="0" applyFill="0" applyBorder="0" applyAlignment="0" applyProtection="0"/>
    <xf numFmtId="9" fontId="112" fillId="0" borderId="0" applyFont="0" applyFill="0" applyBorder="0" applyAlignment="0" applyProtection="0"/>
    <xf numFmtId="0" fontId="41" fillId="0" borderId="0"/>
    <xf numFmtId="0" fontId="41" fillId="0" borderId="0"/>
    <xf numFmtId="0" fontId="41" fillId="0" borderId="0"/>
    <xf numFmtId="0" fontId="23" fillId="0" borderId="0"/>
  </cellStyleXfs>
  <cellXfs count="386">
    <xf numFmtId="0" fontId="0" fillId="0" borderId="0" xfId="0"/>
    <xf numFmtId="0" fontId="0" fillId="2" borderId="1" xfId="0" applyFill="1" applyBorder="1" applyAlignment="1">
      <alignment horizontal="center"/>
    </xf>
    <xf numFmtId="173" fontId="44" fillId="2" borderId="1" xfId="0" applyNumberFormat="1" applyFont="1" applyFill="1" applyBorder="1" applyAlignment="1" applyProtection="1">
      <alignment horizontal="left" vertical="center" wrapText="1"/>
      <protection hidden="1"/>
    </xf>
    <xf numFmtId="173" fontId="44" fillId="2" borderId="2" xfId="0" applyNumberFormat="1" applyFont="1" applyFill="1" applyBorder="1" applyAlignment="1" applyProtection="1">
      <alignment horizontal="left" vertical="center" wrapText="1"/>
      <protection hidden="1"/>
    </xf>
    <xf numFmtId="0" fontId="44" fillId="2" borderId="3" xfId="0" applyFont="1" applyFill="1" applyBorder="1" applyAlignment="1" applyProtection="1">
      <alignment vertical="center" wrapText="1"/>
      <protection hidden="1"/>
    </xf>
    <xf numFmtId="0" fontId="44" fillId="2" borderId="4" xfId="0" applyFont="1" applyFill="1" applyBorder="1" applyAlignment="1" applyProtection="1">
      <alignment vertical="center" wrapText="1"/>
      <protection hidden="1"/>
    </xf>
    <xf numFmtId="0" fontId="46" fillId="3" borderId="4" xfId="0" applyFont="1" applyFill="1" applyBorder="1" applyAlignment="1" applyProtection="1">
      <alignment vertical="center" wrapText="1"/>
      <protection hidden="1"/>
    </xf>
    <xf numFmtId="0" fontId="46" fillId="3" borderId="5" xfId="0" applyFont="1" applyFill="1" applyBorder="1" applyAlignment="1" applyProtection="1">
      <alignment vertical="center" wrapText="1"/>
      <protection hidden="1"/>
    </xf>
    <xf numFmtId="0" fontId="45" fillId="2" borderId="1" xfId="0" applyFont="1" applyFill="1" applyBorder="1" applyAlignment="1" applyProtection="1">
      <alignment horizontal="center" vertical="center"/>
      <protection hidden="1"/>
    </xf>
    <xf numFmtId="175" fontId="44" fillId="2" borderId="1" xfId="0" applyNumberFormat="1" applyFont="1" applyFill="1" applyBorder="1" applyAlignment="1" applyProtection="1">
      <alignment horizontal="center" vertical="center"/>
      <protection hidden="1"/>
    </xf>
    <xf numFmtId="173" fontId="44" fillId="2" borderId="1" xfId="0" applyNumberFormat="1" applyFont="1" applyFill="1" applyBorder="1" applyAlignment="1" applyProtection="1">
      <alignment horizontal="left" vertical="center"/>
      <protection hidden="1"/>
    </xf>
    <xf numFmtId="0" fontId="0" fillId="0" borderId="0" xfId="0" applyAlignment="1">
      <alignment horizontal="center" vertical="center"/>
    </xf>
    <xf numFmtId="0" fontId="48" fillId="0" borderId="0" xfId="0" applyFont="1"/>
    <xf numFmtId="0" fontId="46" fillId="3" borderId="0" xfId="0" applyFont="1" applyFill="1" applyAlignment="1" applyProtection="1">
      <alignment vertical="center" wrapText="1"/>
      <protection hidden="1"/>
    </xf>
    <xf numFmtId="0" fontId="0" fillId="5" borderId="0" xfId="0" applyFill="1"/>
    <xf numFmtId="0" fontId="50" fillId="5" borderId="10" xfId="0" applyFont="1" applyFill="1" applyBorder="1" applyAlignment="1" applyProtection="1">
      <alignment horizontal="left" vertical="center"/>
      <protection hidden="1"/>
    </xf>
    <xf numFmtId="0" fontId="51" fillId="5" borderId="10" xfId="0" applyFont="1" applyFill="1" applyBorder="1" applyAlignment="1" applyProtection="1">
      <alignment horizontal="left" vertical="center"/>
      <protection hidden="1"/>
    </xf>
    <xf numFmtId="0" fontId="53" fillId="5" borderId="0" xfId="0" applyFont="1" applyFill="1" applyAlignment="1" applyProtection="1">
      <alignment horizontal="left" vertical="center"/>
      <protection hidden="1"/>
    </xf>
    <xf numFmtId="0" fontId="54" fillId="5" borderId="0" xfId="0" applyFont="1" applyFill="1" applyAlignment="1" applyProtection="1">
      <alignment horizontal="left" vertical="center"/>
      <protection hidden="1"/>
    </xf>
    <xf numFmtId="0" fontId="44" fillId="5" borderId="0" xfId="0" applyFont="1" applyFill="1" applyAlignment="1" applyProtection="1">
      <alignment horizontal="center" vertical="center"/>
      <protection hidden="1"/>
    </xf>
    <xf numFmtId="0" fontId="56" fillId="5" borderId="8" xfId="0" applyFont="1" applyFill="1" applyBorder="1" applyAlignment="1" applyProtection="1">
      <alignment horizontal="left" vertical="center"/>
      <protection hidden="1"/>
    </xf>
    <xf numFmtId="0" fontId="57" fillId="5" borderId="12" xfId="0" applyFont="1" applyFill="1" applyBorder="1" applyAlignment="1" applyProtection="1">
      <alignment horizontal="left" vertical="center"/>
      <protection hidden="1"/>
    </xf>
    <xf numFmtId="0" fontId="55" fillId="5" borderId="12" xfId="0" applyFont="1" applyFill="1" applyBorder="1" applyProtection="1">
      <protection hidden="1"/>
    </xf>
    <xf numFmtId="0" fontId="0" fillId="7" borderId="8" xfId="0" applyFill="1" applyBorder="1"/>
    <xf numFmtId="0" fontId="57" fillId="7" borderId="12" xfId="0" applyFont="1" applyFill="1" applyBorder="1" applyAlignment="1" applyProtection="1">
      <alignment horizontal="left" vertical="center"/>
      <protection hidden="1"/>
    </xf>
    <xf numFmtId="0" fontId="58" fillId="7" borderId="12" xfId="0" applyFont="1" applyFill="1" applyBorder="1" applyAlignment="1" applyProtection="1">
      <alignment horizontal="center" vertical="center"/>
      <protection hidden="1"/>
    </xf>
    <xf numFmtId="0" fontId="57" fillId="7" borderId="12" xfId="0" applyFont="1" applyFill="1" applyBorder="1" applyAlignment="1" applyProtection="1">
      <alignment horizontal="right" vertical="center"/>
      <protection hidden="1"/>
    </xf>
    <xf numFmtId="0" fontId="58" fillId="5" borderId="0" xfId="0" applyFont="1" applyFill="1" applyAlignment="1" applyProtection="1">
      <alignment horizontal="center" vertical="center"/>
      <protection hidden="1"/>
    </xf>
    <xf numFmtId="0" fontId="58" fillId="5" borderId="0" xfId="0" applyFont="1" applyFill="1" applyAlignment="1">
      <alignment horizontal="center" vertical="center"/>
    </xf>
    <xf numFmtId="0" fontId="44" fillId="3" borderId="1" xfId="0" applyFont="1" applyFill="1" applyBorder="1" applyAlignment="1" applyProtection="1">
      <alignment horizontal="center" vertical="center" wrapText="1"/>
      <protection hidden="1"/>
    </xf>
    <xf numFmtId="0" fontId="44" fillId="3" borderId="1" xfId="0" applyFont="1" applyFill="1" applyBorder="1" applyAlignment="1" applyProtection="1">
      <alignment vertical="center" wrapText="1"/>
      <protection hidden="1"/>
    </xf>
    <xf numFmtId="0" fontId="49" fillId="5" borderId="8" xfId="0" applyFont="1" applyFill="1" applyBorder="1" applyAlignment="1">
      <alignment horizontal="center" vertical="center"/>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wrapText="1"/>
      <protection hidden="1"/>
    </xf>
    <xf numFmtId="0" fontId="46" fillId="3" borderId="1" xfId="0" applyFont="1" applyFill="1" applyBorder="1" applyAlignment="1" applyProtection="1">
      <alignment horizontal="center" vertical="center"/>
      <protection hidden="1"/>
    </xf>
    <xf numFmtId="0" fontId="46" fillId="3" borderId="6" xfId="0" applyFont="1" applyFill="1" applyBorder="1" applyAlignment="1" applyProtection="1">
      <alignment horizontal="center" vertical="center"/>
      <protection hidden="1"/>
    </xf>
    <xf numFmtId="0" fontId="46" fillId="3" borderId="2" xfId="0" applyFont="1" applyFill="1" applyBorder="1" applyAlignment="1" applyProtection="1">
      <alignment horizontal="center" vertical="center"/>
      <protection hidden="1"/>
    </xf>
    <xf numFmtId="16" fontId="0" fillId="5" borderId="0" xfId="0" applyNumberFormat="1" applyFill="1"/>
    <xf numFmtId="0" fontId="44" fillId="3" borderId="8" xfId="0" applyFont="1" applyFill="1" applyBorder="1" applyAlignment="1" applyProtection="1">
      <alignment vertical="center" wrapText="1"/>
      <protection hidden="1"/>
    </xf>
    <xf numFmtId="0" fontId="46" fillId="3" borderId="8" xfId="0" applyFont="1" applyFill="1" applyBorder="1" applyAlignment="1" applyProtection="1">
      <alignment horizontal="center" vertical="center"/>
      <protection hidden="1"/>
    </xf>
    <xf numFmtId="0" fontId="46" fillId="3" borderId="14" xfId="0" applyFont="1" applyFill="1" applyBorder="1" applyAlignment="1" applyProtection="1">
      <alignment horizontal="center" vertical="center"/>
      <protection hidden="1"/>
    </xf>
    <xf numFmtId="0" fontId="44" fillId="2" borderId="6" xfId="0" applyFont="1" applyFill="1" applyBorder="1" applyAlignment="1" applyProtection="1">
      <alignment horizontal="center" vertical="center" wrapText="1"/>
      <protection hidden="1"/>
    </xf>
    <xf numFmtId="173" fontId="44" fillId="2" borderId="1" xfId="0" applyNumberFormat="1" applyFont="1" applyFill="1" applyBorder="1" applyAlignment="1">
      <alignment horizontal="left" vertical="center" wrapText="1"/>
    </xf>
    <xf numFmtId="15" fontId="44" fillId="2" borderId="1" xfId="0" applyNumberFormat="1" applyFont="1" applyFill="1" applyBorder="1" applyAlignment="1" applyProtection="1">
      <alignment horizontal="center" vertical="center" wrapText="1"/>
      <protection hidden="1"/>
    </xf>
    <xf numFmtId="15" fontId="60" fillId="5" borderId="0" xfId="0" applyNumberFormat="1" applyFont="1" applyFill="1"/>
    <xf numFmtId="0" fontId="46" fillId="3" borderId="12" xfId="0" applyFont="1" applyFill="1" applyBorder="1" applyAlignment="1" applyProtection="1">
      <alignment horizontal="center" vertical="center"/>
      <protection hidden="1"/>
    </xf>
    <xf numFmtId="0" fontId="44" fillId="2" borderId="8" xfId="0" applyFont="1" applyFill="1" applyBorder="1" applyAlignment="1" applyProtection="1">
      <alignment horizontal="center" vertical="center" wrapText="1"/>
      <protection hidden="1"/>
    </xf>
    <xf numFmtId="0" fontId="46" fillId="3" borderId="6" xfId="0" applyFont="1" applyFill="1" applyBorder="1" applyAlignment="1" applyProtection="1">
      <alignment horizontal="center" vertical="center" wrapText="1"/>
      <protection hidden="1"/>
    </xf>
    <xf numFmtId="1" fontId="44" fillId="2" borderId="1" xfId="0" applyNumberFormat="1" applyFont="1" applyFill="1" applyBorder="1" applyAlignment="1" applyProtection="1">
      <alignment horizontal="center" vertical="center" wrapText="1"/>
      <protection hidden="1"/>
    </xf>
    <xf numFmtId="175" fontId="44" fillId="8" borderId="1" xfId="0" applyNumberFormat="1" applyFont="1" applyFill="1" applyBorder="1" applyAlignment="1" applyProtection="1">
      <alignment horizontal="center" vertical="center" wrapText="1"/>
      <protection hidden="1"/>
    </xf>
    <xf numFmtId="175" fontId="44" fillId="2" borderId="1" xfId="0" applyNumberFormat="1" applyFont="1" applyFill="1" applyBorder="1" applyAlignment="1" applyProtection="1">
      <alignment horizontal="center" vertical="center" wrapText="1"/>
      <protection hidden="1"/>
    </xf>
    <xf numFmtId="15" fontId="46" fillId="2" borderId="1" xfId="0" applyNumberFormat="1" applyFont="1" applyFill="1" applyBorder="1" applyAlignment="1">
      <alignment horizontal="center" vertical="center" wrapText="1"/>
    </xf>
    <xf numFmtId="0" fontId="46" fillId="3" borderId="12" xfId="0" applyFont="1" applyFill="1" applyBorder="1" applyAlignment="1" applyProtection="1">
      <alignment vertical="center"/>
      <protection hidden="1"/>
    </xf>
    <xf numFmtId="0" fontId="0" fillId="0" borderId="6" xfId="0" applyBorder="1" applyAlignment="1">
      <alignment horizontal="center" vertical="center"/>
    </xf>
    <xf numFmtId="0" fontId="62" fillId="2" borderId="12" xfId="0" applyFont="1" applyFill="1" applyBorder="1" applyProtection="1">
      <protection hidden="1"/>
    </xf>
    <xf numFmtId="0" fontId="0" fillId="5" borderId="0" xfId="0" applyFill="1" applyProtection="1">
      <protection locked="0"/>
    </xf>
    <xf numFmtId="0" fontId="0" fillId="5" borderId="0" xfId="0" applyFill="1" applyProtection="1">
      <protection hidden="1"/>
    </xf>
    <xf numFmtId="0" fontId="46" fillId="3" borderId="14" xfId="0" applyFont="1" applyFill="1" applyBorder="1" applyAlignment="1" applyProtection="1">
      <alignment vertical="center"/>
      <protection hidden="1"/>
    </xf>
    <xf numFmtId="170" fontId="63" fillId="5" borderId="1" xfId="0" applyNumberFormat="1" applyFont="1" applyFill="1" applyBorder="1" applyAlignment="1" applyProtection="1">
      <alignment horizontal="left" textRotation="90" shrinkToFit="1"/>
      <protection hidden="1"/>
    </xf>
    <xf numFmtId="0" fontId="64" fillId="3" borderId="1" xfId="0" applyFont="1" applyFill="1" applyBorder="1" applyAlignment="1" applyProtection="1">
      <alignment horizontal="center" vertical="center"/>
      <protection hidden="1"/>
    </xf>
    <xf numFmtId="0" fontId="0" fillId="5" borderId="11" xfId="0" applyFill="1" applyBorder="1" applyProtection="1">
      <protection locked="0"/>
    </xf>
    <xf numFmtId="0" fontId="0" fillId="5" borderId="18" xfId="0" applyFill="1" applyBorder="1" applyProtection="1">
      <protection locked="0"/>
    </xf>
    <xf numFmtId="0" fontId="62" fillId="2" borderId="14" xfId="0" applyFont="1" applyFill="1" applyBorder="1" applyProtection="1">
      <protection hidden="1"/>
    </xf>
    <xf numFmtId="0" fontId="0" fillId="5" borderId="10" xfId="0" applyFill="1" applyBorder="1" applyProtection="1">
      <protection locked="0"/>
    </xf>
    <xf numFmtId="0" fontId="0" fillId="5" borderId="16" xfId="0" applyFill="1" applyBorder="1" applyProtection="1">
      <protection locked="0"/>
    </xf>
    <xf numFmtId="0" fontId="0" fillId="5" borderId="19" xfId="0" applyFill="1" applyBorder="1" applyProtection="1">
      <protection locked="0"/>
    </xf>
    <xf numFmtId="0" fontId="0" fillId="5" borderId="9" xfId="0" applyFill="1" applyBorder="1" applyProtection="1">
      <protection locked="0"/>
    </xf>
    <xf numFmtId="0" fontId="0" fillId="5" borderId="17" xfId="0" applyFill="1" applyBorder="1" applyProtection="1">
      <protection locked="0"/>
    </xf>
    <xf numFmtId="0" fontId="0" fillId="5" borderId="13" xfId="0" applyFill="1" applyBorder="1" applyProtection="1">
      <protection locked="0"/>
    </xf>
    <xf numFmtId="0" fontId="42" fillId="5" borderId="0" xfId="0" applyFont="1" applyFill="1"/>
    <xf numFmtId="0" fontId="107" fillId="5" borderId="8" xfId="0" applyFont="1" applyFill="1" applyBorder="1" applyAlignment="1" applyProtection="1">
      <alignment horizontal="left" vertical="center"/>
      <protection hidden="1"/>
    </xf>
    <xf numFmtId="0" fontId="49" fillId="5" borderId="8" xfId="0" applyFont="1" applyFill="1" applyBorder="1" applyAlignment="1">
      <alignment horizontal="right" vertical="center"/>
    </xf>
    <xf numFmtId="9" fontId="113" fillId="49" borderId="0" xfId="0" applyNumberFormat="1" applyFont="1" applyFill="1"/>
    <xf numFmtId="0" fontId="41" fillId="0" borderId="0" xfId="0" applyFont="1"/>
    <xf numFmtId="0" fontId="0" fillId="50" borderId="0" xfId="0" applyFill="1"/>
    <xf numFmtId="0" fontId="41" fillId="50" borderId="0" xfId="0" applyFont="1" applyFill="1"/>
    <xf numFmtId="0" fontId="46" fillId="5" borderId="19" xfId="0" applyFont="1" applyFill="1" applyBorder="1" applyAlignment="1" applyProtection="1">
      <alignment horizontal="center" vertical="center"/>
      <protection hidden="1"/>
    </xf>
    <xf numFmtId="0" fontId="46" fillId="5" borderId="16" xfId="0" applyFont="1" applyFill="1" applyBorder="1" applyAlignment="1" applyProtection="1">
      <alignment horizontal="center" vertical="center"/>
      <protection hidden="1"/>
    </xf>
    <xf numFmtId="0" fontId="0" fillId="3" borderId="11" xfId="0" applyFill="1" applyBorder="1"/>
    <xf numFmtId="0" fontId="0" fillId="3" borderId="18" xfId="0" applyFill="1" applyBorder="1"/>
    <xf numFmtId="0" fontId="0" fillId="3" borderId="9" xfId="0" applyFill="1" applyBorder="1"/>
    <xf numFmtId="0" fontId="0" fillId="3" borderId="10" xfId="0" applyFill="1" applyBorder="1"/>
    <xf numFmtId="0" fontId="0" fillId="3" borderId="0" xfId="0" applyFill="1"/>
    <xf numFmtId="0" fontId="0" fillId="3" borderId="17" xfId="0" applyFill="1" applyBorder="1"/>
    <xf numFmtId="0" fontId="0" fillId="3" borderId="16" xfId="0" applyFill="1" applyBorder="1"/>
    <xf numFmtId="0" fontId="0" fillId="3" borderId="19" xfId="0" applyFill="1" applyBorder="1"/>
    <xf numFmtId="0" fontId="0" fillId="3" borderId="13" xfId="0" applyFill="1" applyBorder="1"/>
    <xf numFmtId="0" fontId="0" fillId="9" borderId="0" xfId="0" applyFill="1"/>
    <xf numFmtId="9" fontId="0" fillId="9" borderId="0" xfId="39115" applyFont="1" applyFill="1" applyBorder="1" applyAlignment="1">
      <alignment horizontal="center"/>
    </xf>
    <xf numFmtId="0" fontId="56" fillId="5" borderId="8" xfId="0" applyFont="1" applyFill="1" applyBorder="1" applyAlignment="1">
      <alignment horizontal="right" vertical="center"/>
    </xf>
    <xf numFmtId="0" fontId="59" fillId="5" borderId="41" xfId="0" applyFont="1" applyFill="1" applyBorder="1" applyAlignment="1" applyProtection="1">
      <alignment horizontal="center" vertical="center"/>
      <protection hidden="1"/>
    </xf>
    <xf numFmtId="0" fontId="0" fillId="52" borderId="14" xfId="0" applyFill="1" applyBorder="1" applyAlignment="1" applyProtection="1">
      <alignment horizontal="center" vertical="center"/>
      <protection locked="0"/>
    </xf>
    <xf numFmtId="0" fontId="40" fillId="3" borderId="0" xfId="0" applyFont="1" applyFill="1"/>
    <xf numFmtId="0" fontId="0" fillId="3" borderId="0" xfId="0" applyFill="1" applyAlignment="1">
      <alignment horizontal="center" vertical="center"/>
    </xf>
    <xf numFmtId="10" fontId="39" fillId="54" borderId="1" xfId="39115" applyNumberFormat="1" applyFont="1" applyFill="1" applyBorder="1" applyAlignment="1">
      <alignment horizontal="center" vertical="center"/>
    </xf>
    <xf numFmtId="0" fontId="39" fillId="53" borderId="1" xfId="0" applyFont="1" applyFill="1" applyBorder="1" applyAlignment="1">
      <alignment horizontal="center" vertical="center"/>
    </xf>
    <xf numFmtId="0" fontId="0" fillId="3" borderId="1" xfId="0" applyFill="1" applyBorder="1"/>
    <xf numFmtId="0" fontId="0" fillId="54" borderId="1" xfId="0" applyFill="1" applyBorder="1" applyAlignment="1">
      <alignment horizontal="center" vertical="center"/>
    </xf>
    <xf numFmtId="175" fontId="0" fillId="54" borderId="1" xfId="0" applyNumberFormat="1" applyFill="1" applyBorder="1" applyAlignment="1">
      <alignment horizontal="center" vertical="center"/>
    </xf>
    <xf numFmtId="173" fontId="110" fillId="55" borderId="1" xfId="0" applyNumberFormat="1" applyFont="1" applyFill="1" applyBorder="1" applyAlignment="1" applyProtection="1">
      <alignment horizontal="center" textRotation="90" wrapText="1"/>
      <protection hidden="1"/>
    </xf>
    <xf numFmtId="0" fontId="49" fillId="0" borderId="0" xfId="0" applyFont="1" applyAlignment="1">
      <alignment horizontal="center" vertical="center"/>
    </xf>
    <xf numFmtId="0" fontId="56" fillId="55" borderId="42" xfId="0" applyFont="1" applyFill="1" applyBorder="1"/>
    <xf numFmtId="0" fontId="57" fillId="55" borderId="1" xfId="0" applyFont="1" applyFill="1" applyBorder="1"/>
    <xf numFmtId="0" fontId="57" fillId="56" borderId="1" xfId="0" applyFont="1" applyFill="1" applyBorder="1" applyAlignment="1">
      <alignment horizontal="center" vertical="center"/>
    </xf>
    <xf numFmtId="0" fontId="57" fillId="55" borderId="6" xfId="0" applyFont="1" applyFill="1" applyBorder="1"/>
    <xf numFmtId="0" fontId="57" fillId="57" borderId="1" xfId="0" applyFont="1" applyFill="1" applyBorder="1" applyAlignment="1">
      <alignment horizontal="center" vertical="center"/>
    </xf>
    <xf numFmtId="1" fontId="57" fillId="55" borderId="1" xfId="0" applyNumberFormat="1" applyFont="1" applyFill="1" applyBorder="1"/>
    <xf numFmtId="0" fontId="116" fillId="3" borderId="0" xfId="0" applyFont="1" applyFill="1"/>
    <xf numFmtId="0" fontId="38" fillId="3" borderId="1" xfId="0" applyFont="1" applyFill="1" applyBorder="1" applyAlignment="1">
      <alignment horizontal="center" vertical="center"/>
    </xf>
    <xf numFmtId="0" fontId="38" fillId="0" borderId="0" xfId="0" applyFont="1"/>
    <xf numFmtId="0" fontId="0" fillId="51" borderId="43" xfId="0" applyFill="1" applyBorder="1" applyAlignment="1">
      <alignment horizontal="center" vertical="center"/>
    </xf>
    <xf numFmtId="0" fontId="0" fillId="51" borderId="44" xfId="0" applyFill="1" applyBorder="1" applyAlignment="1">
      <alignment horizontal="center" vertical="center"/>
    </xf>
    <xf numFmtId="0" fontId="0" fillId="51" borderId="0" xfId="0" applyFill="1" applyAlignment="1">
      <alignment horizontal="center" vertical="center"/>
    </xf>
    <xf numFmtId="0" fontId="39" fillId="51" borderId="43" xfId="0" applyFont="1" applyFill="1" applyBorder="1" applyAlignment="1">
      <alignment horizontal="center" vertical="center"/>
    </xf>
    <xf numFmtId="0" fontId="0" fillId="9" borderId="18" xfId="0" applyFill="1" applyBorder="1"/>
    <xf numFmtId="0" fontId="0" fillId="9" borderId="18" xfId="0" applyFill="1" applyBorder="1" applyAlignment="1">
      <alignment horizontal="center" vertical="center"/>
    </xf>
    <xf numFmtId="9" fontId="0" fillId="9" borderId="18" xfId="39115" applyFont="1" applyFill="1" applyBorder="1" applyAlignment="1">
      <alignment horizontal="center" vertical="center"/>
    </xf>
    <xf numFmtId="1" fontId="0" fillId="9" borderId="18" xfId="0" applyNumberFormat="1" applyFill="1" applyBorder="1" applyAlignment="1">
      <alignment horizontal="center" vertical="center"/>
    </xf>
    <xf numFmtId="0" fontId="0" fillId="9" borderId="0" xfId="0" applyFill="1" applyAlignment="1">
      <alignment horizontal="center"/>
    </xf>
    <xf numFmtId="1" fontId="0" fillId="9" borderId="0" xfId="0" applyNumberFormat="1" applyFill="1" applyAlignment="1">
      <alignment horizontal="center" vertical="center"/>
    </xf>
    <xf numFmtId="1" fontId="0" fillId="9" borderId="19" xfId="0" applyNumberFormat="1" applyFill="1" applyBorder="1" applyAlignment="1">
      <alignment horizontal="center" vertical="center"/>
    </xf>
    <xf numFmtId="0" fontId="0" fillId="5" borderId="2" xfId="0" applyFill="1" applyBorder="1" applyAlignment="1">
      <alignment horizontal="center" vertical="center"/>
    </xf>
    <xf numFmtId="0" fontId="37" fillId="5" borderId="8" xfId="0" applyFont="1" applyFill="1" applyBorder="1" applyAlignment="1" applyProtection="1">
      <alignment horizontal="left"/>
      <protection hidden="1"/>
    </xf>
    <xf numFmtId="0" fontId="36" fillId="5" borderId="0" xfId="0" applyFont="1" applyFill="1"/>
    <xf numFmtId="0" fontId="36" fillId="5" borderId="8" xfId="0" applyFont="1" applyFill="1" applyBorder="1" applyAlignment="1" applyProtection="1">
      <alignment horizontal="left"/>
      <protection hidden="1"/>
    </xf>
    <xf numFmtId="0" fontId="49" fillId="5" borderId="8" xfId="0" quotePrefix="1" applyFont="1" applyFill="1" applyBorder="1" applyAlignment="1">
      <alignment horizontal="center" vertical="center"/>
    </xf>
    <xf numFmtId="0" fontId="35" fillId="5" borderId="0" xfId="0" applyFont="1" applyFill="1"/>
    <xf numFmtId="15" fontId="44" fillId="6" borderId="1" xfId="0" applyNumberFormat="1" applyFont="1" applyFill="1" applyBorder="1" applyAlignment="1" applyProtection="1">
      <alignment horizontal="center" vertical="center" wrapText="1"/>
      <protection locked="0"/>
    </xf>
    <xf numFmtId="0" fontId="41" fillId="9" borderId="1" xfId="39118" applyFill="1" applyBorder="1" applyProtection="1">
      <protection locked="0"/>
    </xf>
    <xf numFmtId="14" fontId="41" fillId="9" borderId="1" xfId="39118" applyNumberFormat="1" applyFill="1" applyBorder="1" applyProtection="1">
      <protection locked="0"/>
    </xf>
    <xf numFmtId="15" fontId="44" fillId="48" borderId="1" xfId="0" applyNumberFormat="1" applyFont="1" applyFill="1" applyBorder="1" applyAlignment="1" applyProtection="1">
      <alignment horizontal="center" vertical="center" wrapText="1"/>
      <protection hidden="1"/>
    </xf>
    <xf numFmtId="165" fontId="0" fillId="58" borderId="8" xfId="0" applyNumberFormat="1" applyFill="1" applyBorder="1" applyAlignment="1" applyProtection="1">
      <alignment horizontal="center" vertical="center" shrinkToFit="1"/>
      <protection hidden="1"/>
    </xf>
    <xf numFmtId="0" fontId="34" fillId="52" borderId="14" xfId="0" applyFont="1" applyFill="1" applyBorder="1" applyAlignment="1" applyProtection="1">
      <alignment horizontal="center" vertical="center"/>
      <protection locked="0"/>
    </xf>
    <xf numFmtId="0" fontId="33" fillId="5" borderId="0" xfId="0" applyFont="1" applyFill="1"/>
    <xf numFmtId="0" fontId="0" fillId="48" borderId="9" xfId="0" applyFill="1" applyBorder="1"/>
    <xf numFmtId="0" fontId="63" fillId="5" borderId="1" xfId="0" applyFont="1" applyFill="1" applyBorder="1" applyAlignment="1" applyProtection="1">
      <alignment horizontal="right" vertical="center" textRotation="90"/>
      <protection hidden="1"/>
    </xf>
    <xf numFmtId="0" fontId="55" fillId="5" borderId="0" xfId="0" applyFont="1" applyFill="1" applyAlignment="1" applyProtection="1">
      <alignment horizontal="center" vertical="center"/>
      <protection hidden="1"/>
    </xf>
    <xf numFmtId="0" fontId="119" fillId="5" borderId="15" xfId="0" applyFont="1" applyFill="1" applyBorder="1" applyAlignment="1" applyProtection="1">
      <alignment horizontal="center" vertical="center" wrapText="1"/>
      <protection hidden="1"/>
    </xf>
    <xf numFmtId="0" fontId="0" fillId="5" borderId="15" xfId="0" applyFill="1" applyBorder="1"/>
    <xf numFmtId="9" fontId="55" fillId="5" borderId="15" xfId="39115" applyFont="1" applyFill="1" applyBorder="1" applyAlignment="1">
      <alignment horizontal="center" vertical="center"/>
    </xf>
    <xf numFmtId="0" fontId="0" fillId="5" borderId="8" xfId="0" applyFill="1" applyBorder="1" applyAlignment="1" applyProtection="1">
      <alignment horizontal="left" vertical="center"/>
      <protection locked="0"/>
    </xf>
    <xf numFmtId="0" fontId="32" fillId="2" borderId="1" xfId="0" applyFont="1" applyFill="1" applyBorder="1" applyAlignment="1">
      <alignment horizontal="center"/>
    </xf>
    <xf numFmtId="2" fontId="45" fillId="2" borderId="2" xfId="0" applyNumberFormat="1" applyFont="1" applyFill="1" applyBorder="1" applyAlignment="1" applyProtection="1">
      <alignment horizontal="center" vertical="center"/>
      <protection hidden="1"/>
    </xf>
    <xf numFmtId="0" fontId="118" fillId="0" borderId="0" xfId="0" applyFont="1" applyAlignment="1">
      <alignment horizontal="center" vertical="center" textRotation="45"/>
    </xf>
    <xf numFmtId="0" fontId="0" fillId="62" borderId="45" xfId="0" applyFill="1" applyBorder="1" applyProtection="1">
      <protection hidden="1"/>
    </xf>
    <xf numFmtId="0" fontId="0" fillId="61" borderId="45" xfId="0" applyFill="1" applyBorder="1" applyProtection="1">
      <protection hidden="1"/>
    </xf>
    <xf numFmtId="0" fontId="0" fillId="60" borderId="46" xfId="0" applyFill="1" applyBorder="1" applyProtection="1">
      <protection hidden="1"/>
    </xf>
    <xf numFmtId="0" fontId="31" fillId="5" borderId="0" xfId="0" applyFont="1" applyFill="1"/>
    <xf numFmtId="0" fontId="49" fillId="2" borderId="15" xfId="0" applyFont="1" applyFill="1" applyBorder="1" applyAlignment="1">
      <alignment horizontal="right"/>
    </xf>
    <xf numFmtId="0" fontId="52" fillId="2" borderId="15" xfId="0" applyFont="1" applyFill="1" applyBorder="1" applyAlignment="1">
      <alignment horizontal="right"/>
    </xf>
    <xf numFmtId="16" fontId="31" fillId="5" borderId="0" xfId="0" applyNumberFormat="1" applyFont="1" applyFill="1"/>
    <xf numFmtId="0" fontId="0" fillId="5" borderId="1" xfId="0" applyFill="1" applyBorder="1" applyAlignment="1">
      <alignment horizontal="center" vertical="center"/>
    </xf>
    <xf numFmtId="0" fontId="123" fillId="64" borderId="8" xfId="0" applyFont="1" applyFill="1" applyBorder="1" applyAlignment="1">
      <alignment horizontal="left" vertical="center"/>
    </xf>
    <xf numFmtId="0" fontId="123" fillId="64" borderId="12" xfId="0" applyFont="1" applyFill="1" applyBorder="1" applyAlignment="1">
      <alignment horizontal="left" vertical="center"/>
    </xf>
    <xf numFmtId="0" fontId="123" fillId="64" borderId="14" xfId="0" applyFont="1" applyFill="1" applyBorder="1" applyAlignment="1">
      <alignment horizontal="left" vertical="center"/>
    </xf>
    <xf numFmtId="0" fontId="124" fillId="64" borderId="0" xfId="0" applyFont="1" applyFill="1" applyAlignment="1">
      <alignment horizontal="left" vertical="center"/>
    </xf>
    <xf numFmtId="0" fontId="125" fillId="64" borderId="0" xfId="0" applyFont="1" applyFill="1" applyAlignment="1">
      <alignment horizontal="left" vertical="center"/>
    </xf>
    <xf numFmtId="15" fontId="0" fillId="5" borderId="1" xfId="0" applyNumberFormat="1" applyFill="1" applyBorder="1" applyAlignment="1">
      <alignment horizontal="center" vertical="center"/>
    </xf>
    <xf numFmtId="0" fontId="122" fillId="63" borderId="6" xfId="0" applyFont="1" applyFill="1" applyBorder="1" applyAlignment="1">
      <alignment horizontal="center" vertical="center"/>
    </xf>
    <xf numFmtId="0" fontId="29" fillId="2" borderId="1" xfId="0" applyFont="1" applyFill="1" applyBorder="1" applyAlignment="1">
      <alignment horizontal="center"/>
    </xf>
    <xf numFmtId="0" fontId="113" fillId="63" borderId="1" xfId="0" applyFont="1" applyFill="1" applyBorder="1" applyAlignment="1">
      <alignment horizontal="center" vertical="center"/>
    </xf>
    <xf numFmtId="0" fontId="113" fillId="63" borderId="1" xfId="0" applyFont="1" applyFill="1" applyBorder="1" applyAlignment="1">
      <alignment horizontal="right" vertical="center"/>
    </xf>
    <xf numFmtId="0" fontId="29" fillId="0" borderId="1" xfId="0" applyFont="1" applyBorder="1"/>
    <xf numFmtId="17" fontId="29" fillId="0" borderId="1" xfId="0" applyNumberFormat="1" applyFont="1" applyBorder="1"/>
    <xf numFmtId="3" fontId="29" fillId="0" borderId="1" xfId="0" quotePrefix="1" applyNumberFormat="1" applyFont="1" applyBorder="1"/>
    <xf numFmtId="0" fontId="0" fillId="0" borderId="1" xfId="0" applyBorder="1" applyAlignment="1">
      <alignment horizontal="left" vertical="center"/>
    </xf>
    <xf numFmtId="0" fontId="0" fillId="48" borderId="47" xfId="0" applyFill="1" applyBorder="1"/>
    <xf numFmtId="0" fontId="28" fillId="48" borderId="48" xfId="0" applyFont="1" applyFill="1" applyBorder="1"/>
    <xf numFmtId="0" fontId="0" fillId="48" borderId="47" xfId="0" applyFill="1" applyBorder="1" applyAlignment="1">
      <alignment horizontal="center" vertical="center"/>
    </xf>
    <xf numFmtId="0" fontId="28" fillId="48" borderId="48" xfId="0" applyFont="1" applyFill="1" applyBorder="1" applyAlignment="1">
      <alignment horizontal="center" vertical="center"/>
    </xf>
    <xf numFmtId="0" fontId="0" fillId="5" borderId="19" xfId="0" applyFill="1" applyBorder="1" applyProtection="1">
      <protection hidden="1"/>
    </xf>
    <xf numFmtId="0" fontId="0" fillId="5" borderId="13" xfId="0" applyFill="1" applyBorder="1" applyProtection="1">
      <protection hidden="1"/>
    </xf>
    <xf numFmtId="0" fontId="49" fillId="5" borderId="11" xfId="0" applyFont="1" applyFill="1" applyBorder="1" applyAlignment="1">
      <alignment horizontal="center" vertical="center"/>
    </xf>
    <xf numFmtId="0" fontId="47" fillId="2" borderId="52" xfId="0" applyFont="1" applyFill="1" applyBorder="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47" fillId="2" borderId="53" xfId="0" applyFont="1" applyFill="1" applyBorder="1" applyAlignment="1" applyProtection="1">
      <alignment horizontal="center" vertical="center"/>
      <protection hidden="1"/>
    </xf>
    <xf numFmtId="0" fontId="47" fillId="2" borderId="54" xfId="0" applyFont="1" applyFill="1" applyBorder="1" applyAlignment="1" applyProtection="1">
      <alignment horizontal="center" vertical="center"/>
      <protection hidden="1"/>
    </xf>
    <xf numFmtId="0" fontId="47" fillId="2" borderId="55" xfId="0" applyFont="1" applyFill="1" applyBorder="1" applyAlignment="1" applyProtection="1">
      <alignment horizontal="center" vertical="center"/>
      <protection hidden="1"/>
    </xf>
    <xf numFmtId="0" fontId="47" fillId="2" borderId="56" xfId="0" applyFont="1" applyFill="1" applyBorder="1" applyAlignment="1" applyProtection="1">
      <alignment horizontal="center" vertical="center"/>
      <protection hidden="1"/>
    </xf>
    <xf numFmtId="0" fontId="0" fillId="65" borderId="51" xfId="0" applyFill="1" applyBorder="1" applyProtection="1">
      <protection hidden="1"/>
    </xf>
    <xf numFmtId="0" fontId="126" fillId="58" borderId="8" xfId="0" applyFont="1" applyFill="1" applyBorder="1" applyAlignment="1">
      <alignment horizontal="center" vertical="center"/>
    </xf>
    <xf numFmtId="0" fontId="0" fillId="65" borderId="57" xfId="0" applyFill="1" applyBorder="1" applyProtection="1">
      <protection hidden="1"/>
    </xf>
    <xf numFmtId="0" fontId="0" fillId="0" borderId="1" xfId="0" applyBorder="1" applyAlignment="1">
      <alignment horizontal="center" vertical="center"/>
    </xf>
    <xf numFmtId="0" fontId="126" fillId="58" borderId="1" xfId="0" applyFont="1" applyFill="1" applyBorder="1" applyAlignment="1">
      <alignment horizontal="center" vertical="center"/>
    </xf>
    <xf numFmtId="0" fontId="0" fillId="6" borderId="1" xfId="0" applyFill="1" applyBorder="1" applyAlignment="1">
      <alignment horizontal="center" vertical="center"/>
    </xf>
    <xf numFmtId="0" fontId="26" fillId="2" borderId="1" xfId="0" applyFont="1" applyFill="1" applyBorder="1" applyAlignment="1">
      <alignment horizontal="center"/>
    </xf>
    <xf numFmtId="2" fontId="45" fillId="56" borderId="2" xfId="0" applyNumberFormat="1" applyFont="1" applyFill="1" applyBorder="1" applyAlignment="1" applyProtection="1">
      <alignment horizontal="center" vertical="center"/>
      <protection hidden="1"/>
    </xf>
    <xf numFmtId="0" fontId="25" fillId="5" borderId="0" xfId="0" applyFont="1" applyFill="1"/>
    <xf numFmtId="1" fontId="47" fillId="48" borderId="1" xfId="0" applyNumberFormat="1" applyFont="1" applyFill="1" applyBorder="1" applyAlignment="1" applyProtection="1">
      <alignment horizontal="center" vertical="center"/>
      <protection hidden="1"/>
    </xf>
    <xf numFmtId="9" fontId="44" fillId="6" borderId="1" xfId="0" applyNumberFormat="1" applyFont="1" applyFill="1" applyBorder="1" applyAlignment="1" applyProtection="1">
      <alignment horizontal="center" vertical="center" wrapText="1"/>
      <protection locked="0"/>
    </xf>
    <xf numFmtId="9" fontId="115" fillId="2" borderId="1" xfId="0" applyNumberFormat="1" applyFont="1" applyFill="1" applyBorder="1" applyAlignment="1" applyProtection="1">
      <alignment horizontal="center" vertical="center" wrapText="1"/>
      <protection hidden="1"/>
    </xf>
    <xf numFmtId="175" fontId="44" fillId="48" borderId="1" xfId="0" applyNumberFormat="1" applyFont="1" applyFill="1" applyBorder="1" applyAlignment="1" applyProtection="1">
      <alignment horizontal="center" vertical="center" wrapText="1"/>
      <protection hidden="1"/>
    </xf>
    <xf numFmtId="0" fontId="25" fillId="5" borderId="0" xfId="0" applyFont="1" applyFill="1" applyAlignment="1">
      <alignment horizontal="centerContinuous" vertical="center"/>
    </xf>
    <xf numFmtId="0" fontId="0" fillId="5" borderId="0" xfId="0" applyFill="1" applyAlignment="1">
      <alignment horizontal="centerContinuous"/>
    </xf>
    <xf numFmtId="173" fontId="0" fillId="5" borderId="0" xfId="0" applyNumberFormat="1" applyFill="1"/>
    <xf numFmtId="173" fontId="44" fillId="2" borderId="1" xfId="0" applyNumberFormat="1" applyFont="1" applyFill="1" applyBorder="1" applyAlignment="1">
      <alignment horizontal="left" vertical="center" shrinkToFit="1"/>
    </xf>
    <xf numFmtId="0" fontId="117" fillId="5" borderId="0" xfId="0" applyFont="1" applyFill="1" applyAlignment="1" applyProtection="1">
      <alignment horizontal="right"/>
      <protection hidden="1"/>
    </xf>
    <xf numFmtId="0" fontId="49" fillId="48" borderId="8" xfId="0" applyFont="1" applyFill="1" applyBorder="1" applyAlignment="1" applyProtection="1">
      <alignment horizontal="centerContinuous" vertical="center"/>
      <protection hidden="1"/>
    </xf>
    <xf numFmtId="0" fontId="49" fillId="48" borderId="14" xfId="0" applyFont="1" applyFill="1" applyBorder="1" applyAlignment="1" applyProtection="1">
      <alignment horizontal="centerContinuous" vertical="center"/>
      <protection hidden="1"/>
    </xf>
    <xf numFmtId="0" fontId="57" fillId="55" borderId="15" xfId="0" applyFont="1" applyFill="1" applyBorder="1"/>
    <xf numFmtId="0" fontId="57" fillId="55" borderId="2" xfId="0" applyFont="1" applyFill="1" applyBorder="1"/>
    <xf numFmtId="0" fontId="24" fillId="51" borderId="43" xfId="0" applyFont="1" applyFill="1" applyBorder="1" applyAlignment="1">
      <alignment horizontal="center" vertical="center"/>
    </xf>
    <xf numFmtId="0" fontId="0" fillId="9" borderId="0" xfId="0" applyFill="1" applyAlignment="1">
      <alignment horizontal="left" vertical="center"/>
    </xf>
    <xf numFmtId="1" fontId="0" fillId="9" borderId="0" xfId="0" applyNumberFormat="1" applyFill="1" applyAlignment="1">
      <alignment horizontal="left" vertical="center"/>
    </xf>
    <xf numFmtId="1" fontId="0" fillId="3" borderId="0" xfId="0" applyNumberFormat="1" applyFill="1" applyAlignment="1">
      <alignment horizontal="center" vertical="center"/>
    </xf>
    <xf numFmtId="173" fontId="44" fillId="2" borderId="1" xfId="0" applyNumberFormat="1" applyFont="1" applyFill="1" applyBorder="1" applyAlignment="1" applyProtection="1">
      <alignment horizontal="left" vertical="center" shrinkToFit="1"/>
      <protection hidden="1"/>
    </xf>
    <xf numFmtId="15" fontId="61" fillId="58" borderId="1" xfId="0" applyNumberFormat="1" applyFont="1" applyFill="1" applyBorder="1" applyAlignment="1" applyProtection="1">
      <alignment horizontal="center" vertical="center" wrapText="1"/>
      <protection hidden="1"/>
    </xf>
    <xf numFmtId="0" fontId="43" fillId="48" borderId="14" xfId="0" applyFont="1" applyFill="1" applyBorder="1" applyAlignment="1" applyProtection="1">
      <alignment horizontal="left" vertical="center" shrinkToFit="1"/>
      <protection locked="0"/>
    </xf>
    <xf numFmtId="1" fontId="44" fillId="6" borderId="1" xfId="0" applyNumberFormat="1" applyFont="1" applyFill="1" applyBorder="1" applyAlignment="1" applyProtection="1">
      <alignment horizontal="center" vertical="center" wrapText="1"/>
      <protection locked="0"/>
    </xf>
    <xf numFmtId="0" fontId="23" fillId="5" borderId="0" xfId="0" applyFont="1" applyFill="1"/>
    <xf numFmtId="173" fontId="23" fillId="5" borderId="0" xfId="0" applyNumberFormat="1" applyFont="1" applyFill="1"/>
    <xf numFmtId="0" fontId="23" fillId="5" borderId="1" xfId="39119" applyFill="1" applyBorder="1" applyAlignment="1" applyProtection="1">
      <alignment horizontal="center" vertical="center"/>
      <protection hidden="1"/>
    </xf>
    <xf numFmtId="0" fontId="23" fillId="0" borderId="0" xfId="0" applyFont="1"/>
    <xf numFmtId="0" fontId="57" fillId="7" borderId="14" xfId="0" applyFont="1" applyFill="1" applyBorder="1" applyAlignment="1" applyProtection="1">
      <alignment horizontal="center" vertical="center" shrinkToFit="1"/>
      <protection hidden="1"/>
    </xf>
    <xf numFmtId="0" fontId="23" fillId="5" borderId="0" xfId="0" quotePrefix="1" applyFont="1" applyFill="1" applyProtection="1">
      <protection hidden="1"/>
    </xf>
    <xf numFmtId="0" fontId="23" fillId="5" borderId="16" xfId="0" quotePrefix="1" applyFont="1" applyFill="1" applyBorder="1" applyProtection="1">
      <protection hidden="1"/>
    </xf>
    <xf numFmtId="0" fontId="46" fillId="4" borderId="7" xfId="0" applyFont="1" applyFill="1" applyBorder="1" applyAlignment="1" applyProtection="1">
      <alignment horizontal="center" vertical="center"/>
      <protection hidden="1"/>
    </xf>
    <xf numFmtId="0" fontId="46" fillId="4" borderId="2" xfId="0" applyFont="1" applyFill="1" applyBorder="1" applyAlignment="1" applyProtection="1">
      <alignment horizontal="center" vertical="center"/>
      <protection hidden="1"/>
    </xf>
    <xf numFmtId="0" fontId="46" fillId="4" borderId="58" xfId="0" applyFont="1" applyFill="1" applyBorder="1" applyAlignment="1" applyProtection="1">
      <alignment horizontal="center" vertical="center"/>
      <protection hidden="1"/>
    </xf>
    <xf numFmtId="0" fontId="47" fillId="0" borderId="1" xfId="0" applyFont="1" applyBorder="1" applyAlignment="1" applyProtection="1">
      <alignment horizontal="left" vertical="top"/>
      <protection locked="0"/>
    </xf>
    <xf numFmtId="0" fontId="117" fillId="5" borderId="17" xfId="0" applyFont="1" applyFill="1" applyBorder="1" applyAlignment="1" applyProtection="1">
      <alignment horizontal="right"/>
      <protection hidden="1"/>
    </xf>
    <xf numFmtId="0" fontId="117" fillId="5" borderId="13" xfId="0" applyFont="1" applyFill="1" applyBorder="1" applyAlignment="1" applyProtection="1">
      <alignment horizontal="right"/>
      <protection hidden="1"/>
    </xf>
    <xf numFmtId="0" fontId="117" fillId="5" borderId="16" xfId="0" applyFont="1" applyFill="1" applyBorder="1" applyAlignment="1" applyProtection="1">
      <alignment horizontal="right"/>
      <protection hidden="1"/>
    </xf>
    <xf numFmtId="0" fontId="117" fillId="5" borderId="19" xfId="0" applyFont="1" applyFill="1" applyBorder="1" applyAlignment="1" applyProtection="1">
      <alignment horizontal="right"/>
      <protection hidden="1"/>
    </xf>
    <xf numFmtId="0" fontId="63" fillId="5" borderId="14" xfId="0" applyFont="1" applyFill="1" applyBorder="1" applyAlignment="1" applyProtection="1">
      <alignment horizontal="right" vertical="center" textRotation="90"/>
      <protection hidden="1"/>
    </xf>
    <xf numFmtId="170" fontId="63" fillId="5" borderId="14" xfId="0" applyNumberFormat="1" applyFont="1" applyFill="1" applyBorder="1" applyAlignment="1" applyProtection="1">
      <alignment horizontal="left" textRotation="90" shrinkToFit="1"/>
      <protection hidden="1"/>
    </xf>
    <xf numFmtId="0" fontId="0" fillId="5" borderId="17" xfId="0" applyFill="1" applyBorder="1"/>
    <xf numFmtId="0" fontId="117" fillId="0" borderId="1" xfId="0" applyFont="1" applyBorder="1" applyAlignment="1">
      <alignment horizontal="center" vertical="center"/>
    </xf>
    <xf numFmtId="0" fontId="46" fillId="0" borderId="1" xfId="0" applyFont="1" applyBorder="1" applyAlignment="1">
      <alignment horizontal="left" vertical="center"/>
    </xf>
    <xf numFmtId="0" fontId="29" fillId="2" borderId="0" xfId="0" applyFont="1" applyFill="1" applyAlignment="1">
      <alignment horizontal="center"/>
    </xf>
    <xf numFmtId="2" fontId="45" fillId="56" borderId="0" xfId="0" applyNumberFormat="1" applyFont="1" applyFill="1" applyAlignment="1" applyProtection="1">
      <alignment horizontal="center" vertical="center"/>
      <protection hidden="1"/>
    </xf>
    <xf numFmtId="2" fontId="45" fillId="2" borderId="0" xfId="0" applyNumberFormat="1"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5" fillId="2" borderId="0" xfId="0" applyFont="1" applyFill="1" applyAlignment="1" applyProtection="1">
      <alignment horizontal="center" vertical="center"/>
      <protection hidden="1"/>
    </xf>
    <xf numFmtId="0" fontId="117" fillId="2" borderId="2" xfId="0" applyFont="1" applyFill="1" applyBorder="1" applyAlignment="1">
      <alignment horizontal="right" vertical="center" shrinkToFit="1"/>
    </xf>
    <xf numFmtId="0" fontId="117" fillId="2" borderId="15" xfId="0" applyFont="1" applyFill="1" applyBorder="1" applyAlignment="1">
      <alignment horizontal="right" vertical="center" shrinkToFit="1"/>
    </xf>
    <xf numFmtId="0" fontId="117" fillId="2" borderId="16" xfId="0" applyFont="1" applyFill="1" applyBorder="1" applyAlignment="1">
      <alignment horizontal="right" vertical="center" shrinkToFit="1"/>
    </xf>
    <xf numFmtId="0" fontId="52" fillId="48" borderId="11" xfId="0" applyFont="1" applyFill="1" applyBorder="1" applyAlignment="1">
      <alignment horizontal="left" vertical="center"/>
    </xf>
    <xf numFmtId="0" fontId="22" fillId="9" borderId="1" xfId="39118" applyFont="1" applyFill="1" applyBorder="1" applyProtection="1">
      <protection locked="0"/>
    </xf>
    <xf numFmtId="0" fontId="21" fillId="0" borderId="1" xfId="0" applyFont="1" applyBorder="1"/>
    <xf numFmtId="1" fontId="20" fillId="9" borderId="0" xfId="0" applyNumberFormat="1" applyFont="1" applyFill="1" applyAlignment="1">
      <alignment horizontal="left" vertical="center"/>
    </xf>
    <xf numFmtId="2" fontId="0" fillId="3" borderId="0" xfId="0" applyNumberFormat="1" applyFill="1" applyAlignment="1">
      <alignment horizontal="center" vertical="center"/>
    </xf>
    <xf numFmtId="0" fontId="49" fillId="3" borderId="0" xfId="0" applyFont="1" applyFill="1" applyAlignment="1">
      <alignment horizontal="center" vertical="center"/>
    </xf>
    <xf numFmtId="0" fontId="49" fillId="3" borderId="0" xfId="0" applyFont="1" applyFill="1" applyAlignment="1">
      <alignment horizontal="right" vertical="center"/>
    </xf>
    <xf numFmtId="0" fontId="131" fillId="2" borderId="2" xfId="0" applyFont="1" applyFill="1" applyBorder="1" applyAlignment="1">
      <alignment horizontal="left" vertical="center"/>
    </xf>
    <xf numFmtId="0" fontId="20" fillId="51" borderId="43" xfId="0" applyFont="1" applyFill="1" applyBorder="1" applyAlignment="1">
      <alignment horizontal="center" vertical="center"/>
    </xf>
    <xf numFmtId="22" fontId="130" fillId="3" borderId="0" xfId="0" applyNumberFormat="1" applyFont="1" applyFill="1" applyAlignment="1">
      <alignment horizontal="left" vertical="center"/>
    </xf>
    <xf numFmtId="0" fontId="46" fillId="3" borderId="0" xfId="0" applyFont="1" applyFill="1" applyAlignment="1">
      <alignment horizontal="right" vertical="center"/>
    </xf>
    <xf numFmtId="0" fontId="19" fillId="9" borderId="1" xfId="39118" applyFont="1" applyFill="1" applyBorder="1" applyProtection="1">
      <protection locked="0"/>
    </xf>
    <xf numFmtId="0" fontId="61" fillId="2" borderId="1" xfId="0" applyFont="1" applyFill="1" applyBorder="1" applyAlignment="1" applyProtection="1">
      <alignment horizontal="center" vertical="center" wrapText="1"/>
      <protection hidden="1"/>
    </xf>
    <xf numFmtId="0" fontId="18" fillId="0" borderId="0" xfId="0" applyFont="1"/>
    <xf numFmtId="0" fontId="132" fillId="2" borderId="12" xfId="0" quotePrefix="1" applyFont="1" applyFill="1" applyBorder="1" applyAlignment="1" applyProtection="1">
      <alignment horizontal="center" vertical="center"/>
      <protection hidden="1"/>
    </xf>
    <xf numFmtId="0" fontId="121" fillId="58" borderId="1" xfId="0" applyFont="1" applyFill="1" applyBorder="1" applyAlignment="1">
      <alignment horizontal="center" vertical="center"/>
    </xf>
    <xf numFmtId="2" fontId="0" fillId="58" borderId="1" xfId="0" applyNumberFormat="1" applyFill="1" applyBorder="1" applyAlignment="1">
      <alignment horizontal="center" vertical="center"/>
    </xf>
    <xf numFmtId="0" fontId="17" fillId="5" borderId="0" xfId="0" applyFont="1" applyFill="1"/>
    <xf numFmtId="0" fontId="16" fillId="66" borderId="1" xfId="0" applyFont="1" applyFill="1" applyBorder="1" applyAlignment="1" applyProtection="1">
      <alignment horizontal="left" vertical="center"/>
      <protection locked="0"/>
    </xf>
    <xf numFmtId="0" fontId="0" fillId="66" borderId="1" xfId="0" applyFill="1" applyBorder="1" applyAlignment="1" applyProtection="1">
      <alignment horizontal="center" vertical="center"/>
      <protection locked="0"/>
    </xf>
    <xf numFmtId="2" fontId="0" fillId="66" borderId="1" xfId="0" applyNumberFormat="1" applyFill="1" applyBorder="1" applyAlignment="1" applyProtection="1">
      <alignment horizontal="center" vertical="center"/>
      <protection locked="0"/>
    </xf>
    <xf numFmtId="15" fontId="0" fillId="66" borderId="1" xfId="0" applyNumberFormat="1" applyFill="1" applyBorder="1" applyAlignment="1" applyProtection="1">
      <alignment horizontal="center" vertical="center"/>
      <protection locked="0"/>
    </xf>
    <xf numFmtId="0" fontId="16" fillId="66" borderId="1" xfId="0" applyFont="1" applyFill="1" applyBorder="1" applyAlignment="1" applyProtection="1">
      <alignment horizontal="left" vertical="top"/>
      <protection locked="0"/>
    </xf>
    <xf numFmtId="0" fontId="16" fillId="66" borderId="1" xfId="0" applyFont="1" applyFill="1" applyBorder="1" applyAlignment="1" applyProtection="1">
      <alignment horizontal="left" vertical="top" wrapText="1"/>
      <protection locked="0"/>
    </xf>
    <xf numFmtId="0" fontId="0" fillId="5" borderId="11" xfId="0" applyFill="1" applyBorder="1"/>
    <xf numFmtId="0" fontId="0" fillId="5" borderId="18" xfId="0" applyFill="1" applyBorder="1"/>
    <xf numFmtId="0" fontId="0" fillId="5" borderId="9" xfId="0" applyFill="1" applyBorder="1"/>
    <xf numFmtId="0" fontId="0" fillId="5" borderId="10" xfId="0" applyFill="1" applyBorder="1"/>
    <xf numFmtId="0" fontId="15" fillId="57" borderId="16" xfId="0" applyFont="1" applyFill="1" applyBorder="1"/>
    <xf numFmtId="0" fontId="15" fillId="57" borderId="19" xfId="0" applyFont="1" applyFill="1" applyBorder="1"/>
    <xf numFmtId="0" fontId="15" fillId="57" borderId="13" xfId="0" applyFont="1" applyFill="1" applyBorder="1"/>
    <xf numFmtId="0" fontId="0" fillId="5" borderId="0" xfId="0" applyFill="1" applyAlignment="1">
      <alignment horizontal="centerContinuous" vertical="center"/>
    </xf>
    <xf numFmtId="0" fontId="15" fillId="5" borderId="0" xfId="0" applyFont="1" applyFill="1" applyAlignment="1">
      <alignment horizontal="centerContinuous" vertical="center"/>
    </xf>
    <xf numFmtId="0" fontId="0" fillId="5" borderId="17" xfId="0" applyFill="1" applyBorder="1" applyAlignment="1">
      <alignment horizontal="centerContinuous" vertical="center"/>
    </xf>
    <xf numFmtId="0" fontId="133" fillId="5" borderId="10" xfId="0" applyFont="1" applyFill="1" applyBorder="1" applyAlignment="1">
      <alignment horizontal="centerContinuous" vertical="center"/>
    </xf>
    <xf numFmtId="0" fontId="49" fillId="5" borderId="14" xfId="0" applyFont="1" applyFill="1" applyBorder="1" applyAlignment="1">
      <alignment horizontal="right" vertical="center" indent="1"/>
    </xf>
    <xf numFmtId="0" fontId="0" fillId="5" borderId="1" xfId="0" applyFill="1" applyBorder="1" applyAlignment="1">
      <alignment horizontal="left" vertical="center" indent="1"/>
    </xf>
    <xf numFmtId="0" fontId="23" fillId="5" borderId="11" xfId="0" quotePrefix="1" applyFont="1" applyFill="1" applyBorder="1" applyProtection="1">
      <protection hidden="1"/>
    </xf>
    <xf numFmtId="0" fontId="0" fillId="5" borderId="18" xfId="0" applyFill="1" applyBorder="1" applyProtection="1">
      <protection hidden="1"/>
    </xf>
    <xf numFmtId="0" fontId="0" fillId="5" borderId="9" xfId="0" applyFill="1" applyBorder="1" applyProtection="1">
      <protection hidden="1"/>
    </xf>
    <xf numFmtId="0" fontId="128" fillId="5" borderId="10" xfId="0" quotePrefix="1" applyFont="1" applyFill="1" applyBorder="1" applyAlignment="1" applyProtection="1">
      <alignment horizontal="left" vertical="center"/>
      <protection hidden="1"/>
    </xf>
    <xf numFmtId="0" fontId="129" fillId="5" borderId="0" xfId="0" applyFont="1" applyFill="1" applyAlignment="1" applyProtection="1">
      <alignment horizontal="left" vertical="center"/>
      <protection hidden="1"/>
    </xf>
    <xf numFmtId="0" fontId="128" fillId="5" borderId="0" xfId="0" applyFont="1" applyFill="1" applyAlignment="1" applyProtection="1">
      <alignment horizontal="center" vertical="center"/>
      <protection hidden="1"/>
    </xf>
    <xf numFmtId="0" fontId="128" fillId="5" borderId="17" xfId="0" applyFont="1" applyFill="1" applyBorder="1" applyAlignment="1" applyProtection="1">
      <alignment horizontal="center" vertical="center"/>
      <protection hidden="1"/>
    </xf>
    <xf numFmtId="0" fontId="55" fillId="5" borderId="10" xfId="0" quotePrefix="1" applyFont="1" applyFill="1" applyBorder="1" applyAlignment="1" applyProtection="1">
      <alignment horizontal="center" vertical="center"/>
      <protection hidden="1"/>
    </xf>
    <xf numFmtId="0" fontId="116" fillId="5" borderId="0" xfId="0" quotePrefix="1" applyFont="1" applyFill="1" applyProtection="1">
      <protection hidden="1"/>
    </xf>
    <xf numFmtId="0" fontId="0" fillId="5" borderId="17" xfId="0" applyFill="1" applyBorder="1" applyProtection="1">
      <protection hidden="1"/>
    </xf>
    <xf numFmtId="0" fontId="118" fillId="5" borderId="0" xfId="0" applyFont="1" applyFill="1" applyAlignment="1" applyProtection="1">
      <alignment horizontal="left" vertical="center"/>
      <protection hidden="1"/>
    </xf>
    <xf numFmtId="2" fontId="118" fillId="5" borderId="0" xfId="0" applyNumberFormat="1" applyFont="1" applyFill="1" applyAlignment="1" applyProtection="1">
      <alignment horizontal="center" vertical="center"/>
      <protection hidden="1"/>
    </xf>
    <xf numFmtId="0" fontId="129" fillId="5" borderId="17" xfId="0" applyFont="1" applyFill="1" applyBorder="1" applyAlignment="1" applyProtection="1">
      <alignment horizontal="left" vertical="center"/>
      <protection hidden="1"/>
    </xf>
    <xf numFmtId="0" fontId="23" fillId="5" borderId="10" xfId="0" quotePrefix="1" applyFont="1" applyFill="1" applyBorder="1" applyProtection="1">
      <protection hidden="1"/>
    </xf>
    <xf numFmtId="2" fontId="55" fillId="5" borderId="17" xfId="0" applyNumberFormat="1" applyFont="1" applyFill="1" applyBorder="1" applyAlignment="1" applyProtection="1">
      <alignment horizontal="left" vertical="center"/>
      <protection hidden="1"/>
    </xf>
    <xf numFmtId="0" fontId="118" fillId="5" borderId="10" xfId="0" applyFont="1" applyFill="1" applyBorder="1" applyAlignment="1" applyProtection="1">
      <alignment horizontal="left" vertical="center"/>
      <protection hidden="1"/>
    </xf>
    <xf numFmtId="2" fontId="118" fillId="5" borderId="0" xfId="0" applyNumberFormat="1" applyFont="1" applyFill="1" applyAlignment="1" applyProtection="1">
      <alignment horizontal="left" vertical="center"/>
      <protection hidden="1"/>
    </xf>
    <xf numFmtId="14" fontId="0" fillId="5" borderId="0" xfId="0" applyNumberFormat="1" applyFill="1" applyProtection="1">
      <protection hidden="1"/>
    </xf>
    <xf numFmtId="2" fontId="118" fillId="5" borderId="17" xfId="0" applyNumberFormat="1" applyFont="1" applyFill="1" applyBorder="1" applyAlignment="1" applyProtection="1">
      <alignment horizontal="left" vertical="center"/>
      <protection hidden="1"/>
    </xf>
    <xf numFmtId="0" fontId="120" fillId="5" borderId="10" xfId="0" quotePrefix="1" applyFont="1" applyFill="1" applyBorder="1" applyAlignment="1">
      <alignment vertical="center"/>
    </xf>
    <xf numFmtId="0" fontId="120" fillId="5" borderId="0" xfId="0" applyFont="1" applyFill="1" applyAlignment="1">
      <alignment vertical="center" wrapText="1"/>
    </xf>
    <xf numFmtId="0" fontId="120" fillId="5" borderId="0" xfId="0" applyFont="1" applyFill="1" applyAlignment="1">
      <alignment vertical="center"/>
    </xf>
    <xf numFmtId="0" fontId="120" fillId="5" borderId="17" xfId="0" applyFont="1" applyFill="1" applyBorder="1" applyAlignment="1">
      <alignment vertical="center" wrapText="1"/>
    </xf>
    <xf numFmtId="0" fontId="23" fillId="5" borderId="10" xfId="0" quotePrefix="1" applyFont="1" applyFill="1" applyBorder="1" applyAlignment="1">
      <alignment horizontal="center" vertical="center"/>
    </xf>
    <xf numFmtId="0" fontId="120" fillId="5" borderId="10" xfId="0" applyFont="1" applyFill="1" applyBorder="1" applyAlignment="1">
      <alignment vertical="center" wrapText="1"/>
    </xf>
    <xf numFmtId="2" fontId="0" fillId="3" borderId="0" xfId="0" applyNumberFormat="1" applyFill="1"/>
    <xf numFmtId="0" fontId="15" fillId="3" borderId="0" xfId="0" applyFont="1" applyFill="1"/>
    <xf numFmtId="0" fontId="134" fillId="3" borderId="18" xfId="0" applyFont="1" applyFill="1" applyBorder="1" applyAlignment="1">
      <alignment horizontal="right" vertical="center"/>
    </xf>
    <xf numFmtId="0" fontId="134" fillId="3" borderId="0" xfId="0" applyFont="1" applyFill="1" applyAlignment="1">
      <alignment horizontal="right" vertical="center"/>
    </xf>
    <xf numFmtId="2" fontId="0" fillId="3" borderId="18" xfId="0" applyNumberFormat="1" applyFill="1" applyBorder="1" applyAlignment="1">
      <alignment horizontal="center" vertical="center"/>
    </xf>
    <xf numFmtId="1" fontId="14" fillId="6" borderId="8" xfId="0" applyNumberFormat="1" applyFont="1" applyFill="1" applyBorder="1" applyAlignment="1" applyProtection="1">
      <alignment horizontal="center" vertical="center" shrinkToFit="1"/>
      <protection locked="0"/>
    </xf>
    <xf numFmtId="0" fontId="49" fillId="2" borderId="2" xfId="0" applyFont="1" applyFill="1" applyBorder="1" applyAlignment="1">
      <alignment horizontal="right"/>
    </xf>
    <xf numFmtId="0" fontId="14" fillId="5" borderId="0" xfId="0" applyFont="1" applyFill="1"/>
    <xf numFmtId="0" fontId="49" fillId="2" borderId="6" xfId="0" applyFont="1" applyFill="1" applyBorder="1" applyAlignment="1">
      <alignment horizontal="right"/>
    </xf>
    <xf numFmtId="0" fontId="136" fillId="5" borderId="0" xfId="0" applyFont="1" applyFill="1" applyAlignment="1">
      <alignment horizontal="center" vertical="center"/>
    </xf>
    <xf numFmtId="0" fontId="13" fillId="5" borderId="0" xfId="0" applyFont="1" applyFill="1"/>
    <xf numFmtId="0" fontId="13" fillId="0" borderId="0" xfId="0" applyFont="1"/>
    <xf numFmtId="1" fontId="44" fillId="2" borderId="2" xfId="0" applyNumberFormat="1" applyFont="1" applyFill="1" applyBorder="1" applyAlignment="1" applyProtection="1">
      <alignment horizontal="center" vertical="center" wrapText="1"/>
      <protection hidden="1"/>
    </xf>
    <xf numFmtId="1" fontId="44" fillId="2" borderId="15" xfId="0" applyNumberFormat="1" applyFont="1" applyFill="1" applyBorder="1" applyAlignment="1" applyProtection="1">
      <alignment horizontal="center" vertical="center" wrapText="1"/>
      <protection hidden="1"/>
    </xf>
    <xf numFmtId="175" fontId="44" fillId="48" borderId="15" xfId="0" applyNumberFormat="1" applyFont="1" applyFill="1" applyBorder="1" applyAlignment="1" applyProtection="1">
      <alignment horizontal="center" vertical="center" wrapText="1"/>
      <protection hidden="1"/>
    </xf>
    <xf numFmtId="1" fontId="12" fillId="51" borderId="1" xfId="0" applyNumberFormat="1" applyFont="1" applyFill="1" applyBorder="1" applyAlignment="1" applyProtection="1">
      <alignment horizontal="center" vertical="center" shrinkToFit="1"/>
      <protection hidden="1"/>
    </xf>
    <xf numFmtId="15" fontId="44" fillId="67" borderId="1" xfId="0" applyNumberFormat="1" applyFont="1" applyFill="1" applyBorder="1" applyAlignment="1" applyProtection="1">
      <alignment horizontal="center" vertical="center" wrapText="1"/>
      <protection hidden="1"/>
    </xf>
    <xf numFmtId="0" fontId="49" fillId="5" borderId="18" xfId="0" applyFont="1" applyFill="1" applyBorder="1" applyAlignment="1">
      <alignment horizontal="center" vertical="center"/>
    </xf>
    <xf numFmtId="0" fontId="49" fillId="5" borderId="0" xfId="0" applyFont="1" applyFill="1" applyAlignment="1">
      <alignment horizontal="center" vertical="center"/>
    </xf>
    <xf numFmtId="0" fontId="49" fillId="2" borderId="59" xfId="0" applyFont="1" applyFill="1" applyBorder="1" applyAlignment="1">
      <alignment horizontal="right"/>
    </xf>
    <xf numFmtId="0" fontId="11" fillId="48" borderId="8" xfId="0" applyFont="1" applyFill="1" applyBorder="1" applyAlignment="1">
      <alignment horizontal="left" vertical="center" shrinkToFit="1"/>
    </xf>
    <xf numFmtId="2" fontId="0" fillId="48" borderId="8" xfId="0" applyNumberFormat="1" applyFill="1" applyBorder="1" applyAlignment="1">
      <alignment horizontal="center" vertical="center" shrinkToFit="1"/>
    </xf>
    <xf numFmtId="1" fontId="0" fillId="48" borderId="8" xfId="0" applyNumberFormat="1" applyFill="1" applyBorder="1" applyAlignment="1">
      <alignment horizontal="center" vertical="center" shrinkToFit="1"/>
    </xf>
    <xf numFmtId="165" fontId="0" fillId="48" borderId="8" xfId="0" applyNumberFormat="1" applyFill="1" applyBorder="1" applyAlignment="1">
      <alignment horizontal="center" vertical="center" shrinkToFit="1"/>
    </xf>
    <xf numFmtId="165" fontId="37" fillId="48" borderId="1" xfId="0" applyNumberFormat="1" applyFont="1" applyFill="1" applyBorder="1" applyAlignment="1">
      <alignment horizontal="left" vertical="center"/>
    </xf>
    <xf numFmtId="10" fontId="43" fillId="48" borderId="1" xfId="39115" applyNumberFormat="1" applyFont="1" applyFill="1" applyBorder="1" applyAlignment="1" applyProtection="1">
      <alignment horizontal="left"/>
    </xf>
    <xf numFmtId="10" fontId="10" fillId="48" borderId="1" xfId="0" applyNumberFormat="1" applyFont="1" applyFill="1" applyBorder="1" applyAlignment="1">
      <alignment horizontal="left"/>
    </xf>
    <xf numFmtId="0" fontId="0" fillId="48" borderId="1" xfId="0" applyFill="1" applyBorder="1"/>
    <xf numFmtId="0" fontId="10" fillId="48" borderId="1" xfId="0" applyFont="1" applyFill="1" applyBorder="1"/>
    <xf numFmtId="0" fontId="9" fillId="48" borderId="9" xfId="0" applyFont="1" applyFill="1" applyBorder="1" applyAlignment="1">
      <alignment horizontal="left" vertical="center" shrinkToFit="1"/>
    </xf>
    <xf numFmtId="0" fontId="57" fillId="48" borderId="14" xfId="0" applyFont="1" applyFill="1" applyBorder="1" applyAlignment="1">
      <alignment horizontal="left" vertical="center" shrinkToFit="1"/>
    </xf>
    <xf numFmtId="1" fontId="44" fillId="2" borderId="59" xfId="0" applyNumberFormat="1" applyFont="1" applyFill="1" applyBorder="1" applyAlignment="1" applyProtection="1">
      <alignment horizontal="center" vertical="center" wrapText="1"/>
      <protection hidden="1"/>
    </xf>
    <xf numFmtId="179" fontId="44" fillId="48" borderId="1" xfId="0" applyNumberFormat="1" applyFont="1" applyFill="1" applyBorder="1" applyAlignment="1" applyProtection="1">
      <alignment horizontal="center" vertical="center" wrapText="1"/>
      <protection hidden="1"/>
    </xf>
    <xf numFmtId="179" fontId="137" fillId="48" borderId="1" xfId="0" applyNumberFormat="1" applyFont="1" applyFill="1" applyBorder="1" applyAlignment="1" applyProtection="1">
      <alignment horizontal="center" vertical="center" wrapText="1"/>
      <protection hidden="1"/>
    </xf>
    <xf numFmtId="49" fontId="8" fillId="5" borderId="59" xfId="0" applyNumberFormat="1" applyFont="1" applyFill="1" applyBorder="1" applyAlignment="1">
      <alignment horizontal="center" vertical="center"/>
    </xf>
    <xf numFmtId="15" fontId="0" fillId="5" borderId="59" xfId="0" applyNumberFormat="1" applyFill="1" applyBorder="1" applyAlignment="1">
      <alignment horizontal="center" vertical="center"/>
    </xf>
    <xf numFmtId="0" fontId="8" fillId="48" borderId="48" xfId="0" applyFont="1" applyFill="1" applyBorder="1" applyAlignment="1">
      <alignment horizontal="center" vertical="center"/>
    </xf>
    <xf numFmtId="0" fontId="7" fillId="0" borderId="0" xfId="0" applyFont="1"/>
    <xf numFmtId="0" fontId="49" fillId="5" borderId="59" xfId="0" applyFont="1" applyFill="1" applyBorder="1" applyAlignment="1" applyProtection="1">
      <alignment horizontal="right" vertical="center"/>
      <protection hidden="1"/>
    </xf>
    <xf numFmtId="0" fontId="6" fillId="48" borderId="59" xfId="0" applyFont="1" applyFill="1" applyBorder="1" applyAlignment="1">
      <alignment horizontal="center" vertical="center" shrinkToFit="1"/>
    </xf>
    <xf numFmtId="0" fontId="5" fillId="9" borderId="1" xfId="39118" applyFont="1" applyFill="1" applyBorder="1" applyProtection="1">
      <protection locked="0"/>
    </xf>
    <xf numFmtId="0" fontId="2" fillId="51" borderId="43" xfId="0" applyFont="1" applyFill="1" applyBorder="1" applyAlignment="1">
      <alignment horizontal="center" vertical="center"/>
    </xf>
    <xf numFmtId="0" fontId="8" fillId="5" borderId="59" xfId="0" applyFont="1" applyFill="1" applyBorder="1" applyAlignment="1">
      <alignment horizontal="left" vertical="top" wrapText="1"/>
    </xf>
    <xf numFmtId="0" fontId="122" fillId="63" borderId="1" xfId="0" applyFont="1" applyFill="1" applyBorder="1" applyAlignment="1">
      <alignment horizontal="right" vertical="center"/>
    </xf>
    <xf numFmtId="0" fontId="23" fillId="5" borderId="1" xfId="0" applyFont="1" applyFill="1" applyBorder="1" applyAlignment="1">
      <alignment horizontal="left" vertical="center"/>
    </xf>
    <xf numFmtId="0" fontId="122" fillId="63" borderId="1" xfId="0" applyFont="1" applyFill="1" applyBorder="1" applyAlignment="1" applyProtection="1">
      <alignment horizontal="right" vertical="center"/>
      <protection hidden="1"/>
    </xf>
    <xf numFmtId="0" fontId="122" fillId="63" borderId="10" xfId="0" applyFont="1" applyFill="1" applyBorder="1" applyAlignment="1">
      <alignment horizontal="center" vertical="center"/>
    </xf>
    <xf numFmtId="0" fontId="122" fillId="63" borderId="0" xfId="0" applyFont="1" applyFill="1" applyAlignment="1">
      <alignment horizontal="center" vertical="center"/>
    </xf>
    <xf numFmtId="0" fontId="8" fillId="5" borderId="1" xfId="0" applyFont="1" applyFill="1" applyBorder="1" applyAlignment="1">
      <alignment horizontal="left" vertical="top" wrapText="1"/>
    </xf>
    <xf numFmtId="0" fontId="2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9" fillId="5" borderId="1" xfId="0" applyFont="1" applyFill="1" applyBorder="1" applyAlignment="1">
      <alignment horizontal="left" vertical="center"/>
    </xf>
    <xf numFmtId="0" fontId="30" fillId="5" borderId="1" xfId="0" applyFont="1" applyFill="1" applyBorder="1" applyAlignment="1">
      <alignment horizontal="left" vertical="center"/>
    </xf>
    <xf numFmtId="0" fontId="29" fillId="48" borderId="49" xfId="0" applyFont="1" applyFill="1" applyBorder="1" applyAlignment="1">
      <alignment horizontal="left" vertical="top" wrapText="1"/>
    </xf>
    <xf numFmtId="0" fontId="29" fillId="48" borderId="50" xfId="0" applyFont="1" applyFill="1" applyBorder="1" applyAlignment="1">
      <alignment horizontal="left" vertical="top" wrapText="1"/>
    </xf>
    <xf numFmtId="0" fontId="29" fillId="48" borderId="51" xfId="0" applyFont="1" applyFill="1" applyBorder="1" applyAlignment="1">
      <alignment horizontal="left" vertical="top" wrapText="1"/>
    </xf>
    <xf numFmtId="0" fontId="27" fillId="48" borderId="49" xfId="0" applyFont="1" applyFill="1" applyBorder="1" applyAlignment="1">
      <alignment horizontal="left" vertical="top" wrapText="1"/>
    </xf>
    <xf numFmtId="0" fontId="29" fillId="48" borderId="48" xfId="0" applyFont="1" applyFill="1" applyBorder="1" applyAlignment="1">
      <alignment horizontal="left" vertical="top" wrapText="1"/>
    </xf>
    <xf numFmtId="0" fontId="29" fillId="48" borderId="60" xfId="0" applyFont="1" applyFill="1" applyBorder="1" applyAlignment="1">
      <alignment horizontal="left" vertical="top" wrapText="1"/>
    </xf>
    <xf numFmtId="0" fontId="29" fillId="48" borderId="61" xfId="0" applyFont="1" applyFill="1" applyBorder="1" applyAlignment="1">
      <alignment horizontal="left" vertical="top" wrapText="1"/>
    </xf>
    <xf numFmtId="0" fontId="32" fillId="9" borderId="1" xfId="0" applyFont="1" applyFill="1" applyBorder="1" applyAlignment="1" applyProtection="1">
      <alignment horizontal="left" vertical="center"/>
      <protection hidden="1"/>
    </xf>
    <xf numFmtId="0" fontId="121" fillId="0" borderId="8" xfId="0" applyFont="1" applyBorder="1" applyAlignment="1" applyProtection="1">
      <alignment horizontal="center" vertical="center"/>
      <protection hidden="1"/>
    </xf>
    <xf numFmtId="0" fontId="121" fillId="0" borderId="12" xfId="0" applyFont="1" applyBorder="1" applyAlignment="1" applyProtection="1">
      <alignment horizontal="center" vertical="center"/>
      <protection hidden="1"/>
    </xf>
    <xf numFmtId="0" fontId="121" fillId="0" borderId="14" xfId="0" applyFont="1" applyBorder="1" applyAlignment="1" applyProtection="1">
      <alignment horizontal="center" vertical="center"/>
      <protection hidden="1"/>
    </xf>
    <xf numFmtId="15" fontId="118" fillId="59" borderId="8" xfId="0" applyNumberFormat="1" applyFont="1" applyFill="1" applyBorder="1" applyAlignment="1" applyProtection="1">
      <alignment horizontal="center"/>
      <protection locked="0" hidden="1"/>
    </xf>
    <xf numFmtId="15" fontId="118" fillId="59" borderId="12" xfId="0" applyNumberFormat="1" applyFont="1" applyFill="1" applyBorder="1" applyAlignment="1" applyProtection="1">
      <alignment horizontal="center"/>
      <protection locked="0" hidden="1"/>
    </xf>
    <xf numFmtId="15" fontId="118" fillId="59" borderId="14" xfId="0" applyNumberFormat="1" applyFont="1" applyFill="1" applyBorder="1" applyAlignment="1" applyProtection="1">
      <alignment horizontal="center"/>
      <protection locked="0" hidden="1"/>
    </xf>
    <xf numFmtId="0" fontId="49" fillId="59" borderId="8" xfId="0" applyFont="1" applyFill="1" applyBorder="1" applyAlignment="1" applyProtection="1">
      <alignment horizontal="center" vertical="center"/>
      <protection locked="0" hidden="1"/>
    </xf>
    <xf numFmtId="0" fontId="49" fillId="59" borderId="12" xfId="0" applyFont="1" applyFill="1" applyBorder="1" applyAlignment="1" applyProtection="1">
      <alignment horizontal="center" vertical="center"/>
      <protection locked="0" hidden="1"/>
    </xf>
    <xf numFmtId="0" fontId="49" fillId="59" borderId="14" xfId="0" applyFont="1" applyFill="1" applyBorder="1" applyAlignment="1" applyProtection="1">
      <alignment horizontal="center" vertical="center"/>
      <protection locked="0" hidden="1"/>
    </xf>
    <xf numFmtId="0" fontId="44" fillId="2" borderId="14" xfId="0" applyFont="1" applyFill="1" applyBorder="1" applyAlignment="1" applyProtection="1">
      <alignment horizontal="center" vertical="center" wrapText="1"/>
      <protection hidden="1"/>
    </xf>
    <xf numFmtId="0" fontId="44" fillId="2" borderId="1" xfId="0" applyFont="1" applyFill="1" applyBorder="1" applyAlignment="1" applyProtection="1">
      <alignment horizontal="center" vertical="center" textRotation="90" wrapText="1"/>
      <protection hidden="1"/>
    </xf>
    <xf numFmtId="0" fontId="44" fillId="2" borderId="1" xfId="0" applyFont="1" applyFill="1" applyBorder="1" applyAlignment="1" applyProtection="1">
      <alignment horizontal="center" vertical="center" wrapText="1"/>
      <protection hidden="1"/>
    </xf>
    <xf numFmtId="0" fontId="0" fillId="48" borderId="16" xfId="0" applyFill="1" applyBorder="1" applyAlignment="1" applyProtection="1">
      <alignment horizontal="left" vertical="center" shrinkToFit="1"/>
      <protection hidden="1"/>
    </xf>
    <xf numFmtId="0" fontId="0" fillId="48" borderId="13" xfId="0" applyFill="1" applyBorder="1" applyAlignment="1" applyProtection="1">
      <alignment horizontal="left" vertical="center" shrinkToFit="1"/>
      <protection hidden="1"/>
    </xf>
    <xf numFmtId="0" fontId="116" fillId="3" borderId="0" xfId="0" applyFont="1" applyFill="1" applyAlignment="1">
      <alignment horizontal="center"/>
    </xf>
    <xf numFmtId="0" fontId="49" fillId="48" borderId="8" xfId="0" applyFont="1" applyFill="1" applyBorder="1" applyAlignment="1" applyProtection="1">
      <alignment horizontal="center" vertical="center"/>
      <protection hidden="1"/>
    </xf>
    <xf numFmtId="0" fontId="49" fillId="48" borderId="12" xfId="0" applyFont="1" applyFill="1" applyBorder="1" applyAlignment="1" applyProtection="1">
      <alignment horizontal="center" vertical="center"/>
      <protection hidden="1"/>
    </xf>
    <xf numFmtId="0" fontId="49" fillId="48" borderId="14" xfId="0" applyFont="1" applyFill="1" applyBorder="1" applyAlignment="1" applyProtection="1">
      <alignment horizontal="center" vertical="center"/>
      <protection hidden="1"/>
    </xf>
    <xf numFmtId="0" fontId="120" fillId="0" borderId="8" xfId="0" applyFont="1" applyBorder="1" applyAlignment="1" applyProtection="1">
      <alignment horizontal="center" vertical="center" shrinkToFit="1"/>
      <protection hidden="1"/>
    </xf>
    <xf numFmtId="0" fontId="120" fillId="0" borderId="12" xfId="0" applyFont="1" applyBorder="1" applyAlignment="1" applyProtection="1">
      <alignment horizontal="center" vertical="center" shrinkToFit="1"/>
      <protection hidden="1"/>
    </xf>
    <xf numFmtId="0" fontId="120" fillId="0" borderId="14" xfId="0" applyFont="1" applyBorder="1" applyAlignment="1" applyProtection="1">
      <alignment horizontal="center" vertical="center" shrinkToFit="1"/>
      <protection hidden="1"/>
    </xf>
    <xf numFmtId="15" fontId="0" fillId="48" borderId="8" xfId="0" applyNumberFormat="1" applyFill="1" applyBorder="1" applyAlignment="1" applyProtection="1">
      <alignment horizontal="center"/>
      <protection hidden="1"/>
    </xf>
    <xf numFmtId="15" fontId="0" fillId="48" borderId="12" xfId="0" applyNumberFormat="1" applyFill="1" applyBorder="1" applyAlignment="1" applyProtection="1">
      <alignment horizontal="center"/>
      <protection hidden="1"/>
    </xf>
    <xf numFmtId="15" fontId="0" fillId="48" borderId="14" xfId="0" applyNumberFormat="1" applyFill="1" applyBorder="1" applyAlignment="1" applyProtection="1">
      <alignment horizontal="center"/>
      <protection hidden="1"/>
    </xf>
  </cellXfs>
  <cellStyles count="39120">
    <cellStyle name="=C:\WINDOWS\SYSTEM32\COMMAND.COM" xfId="200" xr:uid="{00000000-0005-0000-0000-000000000000}"/>
    <cellStyle name="20% - Accent1 2" xfId="212" xr:uid="{00000000-0005-0000-0000-000001000000}"/>
    <cellStyle name="20% - Accent1 2 10" xfId="180" xr:uid="{00000000-0005-0000-0000-000002000000}"/>
    <cellStyle name="20% - Accent1 2 2" xfId="189" xr:uid="{00000000-0005-0000-0000-000003000000}"/>
    <cellStyle name="20% - Accent1 2 2 2" xfId="214" xr:uid="{00000000-0005-0000-0000-000004000000}"/>
    <cellStyle name="20% - Accent1 2 2 2 2" xfId="207" xr:uid="{00000000-0005-0000-0000-000005000000}"/>
    <cellStyle name="20% - Accent1 2 2 2 2 2" xfId="8" xr:uid="{00000000-0005-0000-0000-000006000000}"/>
    <cellStyle name="20% - Accent1 2 2 2 2 2 2" xfId="219" xr:uid="{00000000-0005-0000-0000-000007000000}"/>
    <cellStyle name="20% - Accent1 2 2 2 2 2 2 2" xfId="169" xr:uid="{00000000-0005-0000-0000-000008000000}"/>
    <cellStyle name="20% - Accent1 2 2 2 2 2 2 2 2" xfId="230" xr:uid="{00000000-0005-0000-0000-000009000000}"/>
    <cellStyle name="20% - Accent1 2 2 2 2 2 3" xfId="238" xr:uid="{00000000-0005-0000-0000-00000A000000}"/>
    <cellStyle name="20% - Accent1 2 2 2 2 3" xfId="194" xr:uid="{00000000-0005-0000-0000-00000B000000}"/>
    <cellStyle name="20% - Accent1 2 2 2 3" xfId="209" xr:uid="{00000000-0005-0000-0000-00000C000000}"/>
    <cellStyle name="20% - Accent1 2 2 2 4" xfId="195" xr:uid="{00000000-0005-0000-0000-00000D000000}"/>
    <cellStyle name="20% - Accent1 2 2 2 5" xfId="32" xr:uid="{00000000-0005-0000-0000-00000E000000}"/>
    <cellStyle name="20% - Accent1 2 2 2 6" xfId="198" xr:uid="{00000000-0005-0000-0000-00000F000000}"/>
    <cellStyle name="20% - Accent1 2 2 2 7" xfId="240" xr:uid="{00000000-0005-0000-0000-000010000000}"/>
    <cellStyle name="20% - Accent1 2 2 3" xfId="254" xr:uid="{00000000-0005-0000-0000-000011000000}"/>
    <cellStyle name="20% - Accent1 2 2 4" xfId="267" xr:uid="{00000000-0005-0000-0000-000012000000}"/>
    <cellStyle name="20% - Accent1 2 2 4 2" xfId="275" xr:uid="{00000000-0005-0000-0000-000013000000}"/>
    <cellStyle name="20% - Accent1 2 2 4 2 2" xfId="287" xr:uid="{00000000-0005-0000-0000-000014000000}"/>
    <cellStyle name="20% - Accent1 2 2 4 2 2 2" xfId="298" xr:uid="{00000000-0005-0000-0000-000015000000}"/>
    <cellStyle name="20% - Accent1 2 2 4 3" xfId="302" xr:uid="{00000000-0005-0000-0000-000016000000}"/>
    <cellStyle name="20% - Accent1 2 2 5" xfId="305" xr:uid="{00000000-0005-0000-0000-000017000000}"/>
    <cellStyle name="20% - Accent1 2 2 6" xfId="310" xr:uid="{00000000-0005-0000-0000-000018000000}"/>
    <cellStyle name="20% - Accent1 2 2 7" xfId="315" xr:uid="{00000000-0005-0000-0000-000019000000}"/>
    <cellStyle name="20% - Accent1 2 2 8" xfId="321" xr:uid="{00000000-0005-0000-0000-00001A000000}"/>
    <cellStyle name="20% - Accent1 2 2 9" xfId="326" xr:uid="{00000000-0005-0000-0000-00001B000000}"/>
    <cellStyle name="20% - Accent1 2 3" xfId="332" xr:uid="{00000000-0005-0000-0000-00001C000000}"/>
    <cellStyle name="20% - Accent1 2 4" xfId="338" xr:uid="{00000000-0005-0000-0000-00001D000000}"/>
    <cellStyle name="20% - Accent1 2 5" xfId="343" xr:uid="{00000000-0005-0000-0000-00001E000000}"/>
    <cellStyle name="20% - Accent1 2 6" xfId="349" xr:uid="{00000000-0005-0000-0000-00001F000000}"/>
    <cellStyle name="20% - Accent1 2 6 2" xfId="356" xr:uid="{00000000-0005-0000-0000-000020000000}"/>
    <cellStyle name="20% - Accent1 2 6 2 2" xfId="359" xr:uid="{00000000-0005-0000-0000-000021000000}"/>
    <cellStyle name="20% - Accent1 2 6 2 2 2" xfId="103" xr:uid="{00000000-0005-0000-0000-000022000000}"/>
    <cellStyle name="20% - Accent1 2 6 3" xfId="364" xr:uid="{00000000-0005-0000-0000-000023000000}"/>
    <cellStyle name="20% - Accent1 2 7" xfId="371" xr:uid="{00000000-0005-0000-0000-000024000000}"/>
    <cellStyle name="20% - Accent1 2 8" xfId="378" xr:uid="{00000000-0005-0000-0000-000025000000}"/>
    <cellStyle name="20% - Accent1 2 9" xfId="386" xr:uid="{00000000-0005-0000-0000-000026000000}"/>
    <cellStyle name="20% - Accent1 3" xfId="391" xr:uid="{00000000-0005-0000-0000-000027000000}"/>
    <cellStyle name="20% - Accent1 3 2" xfId="394" xr:uid="{00000000-0005-0000-0000-000028000000}"/>
    <cellStyle name="20% - Accent1 3 3" xfId="400" xr:uid="{00000000-0005-0000-0000-000029000000}"/>
    <cellStyle name="20% - Accent1 3 4" xfId="406" xr:uid="{00000000-0005-0000-0000-00002A000000}"/>
    <cellStyle name="20% - Accent1 4" xfId="409" xr:uid="{00000000-0005-0000-0000-00002B000000}"/>
    <cellStyle name="20% - Accent1 4 2" xfId="411" xr:uid="{00000000-0005-0000-0000-00002C000000}"/>
    <cellStyle name="20% - Accent1 5" xfId="417" xr:uid="{00000000-0005-0000-0000-00002D000000}"/>
    <cellStyle name="20% - Accent1 5 2" xfId="421" xr:uid="{00000000-0005-0000-0000-00002E000000}"/>
    <cellStyle name="20% - Accent1 5 3" xfId="424" xr:uid="{00000000-0005-0000-0000-00002F000000}"/>
    <cellStyle name="20% - Accent1 5 4" xfId="430" xr:uid="{00000000-0005-0000-0000-000030000000}"/>
    <cellStyle name="20% - Accent1 6" xfId="439" xr:uid="{00000000-0005-0000-0000-000031000000}"/>
    <cellStyle name="20% - Accent1 6 2" xfId="441" xr:uid="{00000000-0005-0000-0000-000032000000}"/>
    <cellStyle name="20% - Accent1 6 3" xfId="446" xr:uid="{00000000-0005-0000-0000-000033000000}"/>
    <cellStyle name="20% - Accent1 6 4" xfId="456" xr:uid="{00000000-0005-0000-0000-000034000000}"/>
    <cellStyle name="20% - Accent2 2" xfId="467" xr:uid="{00000000-0005-0000-0000-000035000000}"/>
    <cellStyle name="20% - Accent2 2 2" xfId="472" xr:uid="{00000000-0005-0000-0000-000036000000}"/>
    <cellStyle name="20% - Accent2 2 2 2" xfId="477" xr:uid="{00000000-0005-0000-0000-000037000000}"/>
    <cellStyle name="20% - Accent2 2 2 2 2" xfId="485" xr:uid="{00000000-0005-0000-0000-000038000000}"/>
    <cellStyle name="20% - Accent2 2 2 2 2 2" xfId="498" xr:uid="{00000000-0005-0000-0000-000039000000}"/>
    <cellStyle name="20% - Accent2 2 2 2 2 2 2" xfId="500" xr:uid="{00000000-0005-0000-0000-00003A000000}"/>
    <cellStyle name="20% - Accent2 2 2 2 2 2 2 2" xfId="504" xr:uid="{00000000-0005-0000-0000-00003B000000}"/>
    <cellStyle name="20% - Accent2 2 2 2 2 3" xfId="507" xr:uid="{00000000-0005-0000-0000-00003C000000}"/>
    <cellStyle name="20% - Accent2 2 2 2 3" xfId="515" xr:uid="{00000000-0005-0000-0000-00003D000000}"/>
    <cellStyle name="20% - Accent2 2 2 3" xfId="520" xr:uid="{00000000-0005-0000-0000-00003E000000}"/>
    <cellStyle name="20% - Accent2 2 2 4" xfId="527" xr:uid="{00000000-0005-0000-0000-00003F000000}"/>
    <cellStyle name="20% - Accent2 2 2 5" xfId="540" xr:uid="{00000000-0005-0000-0000-000040000000}"/>
    <cellStyle name="20% - Accent2 2 2 6" xfId="549" xr:uid="{00000000-0005-0000-0000-000041000000}"/>
    <cellStyle name="20% - Accent2 2 2 7" xfId="555" xr:uid="{00000000-0005-0000-0000-000042000000}"/>
    <cellStyle name="20% - Accent2 2 2 8" xfId="565" xr:uid="{00000000-0005-0000-0000-000043000000}"/>
    <cellStyle name="20% - Accent2 2 3" xfId="569" xr:uid="{00000000-0005-0000-0000-000044000000}"/>
    <cellStyle name="20% - Accent2 2 4" xfId="574" xr:uid="{00000000-0005-0000-0000-000045000000}"/>
    <cellStyle name="20% - Accent2 2 4 2" xfId="578" xr:uid="{00000000-0005-0000-0000-000046000000}"/>
    <cellStyle name="20% - Accent2 2 4 2 2" xfId="584" xr:uid="{00000000-0005-0000-0000-000047000000}"/>
    <cellStyle name="20% - Accent2 2 4 2 2 2" xfId="590" xr:uid="{00000000-0005-0000-0000-000048000000}"/>
    <cellStyle name="20% - Accent2 2 4 3" xfId="592" xr:uid="{00000000-0005-0000-0000-000049000000}"/>
    <cellStyle name="20% - Accent2 2 5" xfId="596" xr:uid="{00000000-0005-0000-0000-00004A000000}"/>
    <cellStyle name="20% - Accent2 2 6" xfId="603" xr:uid="{00000000-0005-0000-0000-00004B000000}"/>
    <cellStyle name="20% - Accent2 2 7" xfId="611" xr:uid="{00000000-0005-0000-0000-00004C000000}"/>
    <cellStyle name="20% - Accent2 2 8" xfId="488" xr:uid="{00000000-0005-0000-0000-00004D000000}"/>
    <cellStyle name="20% - Accent2 3" xfId="619" xr:uid="{00000000-0005-0000-0000-00004E000000}"/>
    <cellStyle name="20% - Accent2 4" xfId="620" xr:uid="{00000000-0005-0000-0000-00004F000000}"/>
    <cellStyle name="20% - Accent2 4 2" xfId="625" xr:uid="{00000000-0005-0000-0000-000050000000}"/>
    <cellStyle name="20% - Accent2 4 3" xfId="631" xr:uid="{00000000-0005-0000-0000-000051000000}"/>
    <cellStyle name="20% - Accent2 4 4" xfId="634" xr:uid="{00000000-0005-0000-0000-000052000000}"/>
    <cellStyle name="20% - Accent2 5" xfId="637" xr:uid="{00000000-0005-0000-0000-000053000000}"/>
    <cellStyle name="20% - Accent2 6" xfId="642" xr:uid="{00000000-0005-0000-0000-000054000000}"/>
    <cellStyle name="20% - Accent3 2" xfId="78" xr:uid="{00000000-0005-0000-0000-000055000000}"/>
    <cellStyle name="20% - Accent3 2 2" xfId="648" xr:uid="{00000000-0005-0000-0000-000056000000}"/>
    <cellStyle name="20% - Accent3 2 2 2" xfId="428" xr:uid="{00000000-0005-0000-0000-000057000000}"/>
    <cellStyle name="20% - Accent3 2 2 2 2" xfId="651" xr:uid="{00000000-0005-0000-0000-000058000000}"/>
    <cellStyle name="20% - Accent3 2 2 2 2 2" xfId="652" xr:uid="{00000000-0005-0000-0000-000059000000}"/>
    <cellStyle name="20% - Accent3 2 2 2 2 2 2" xfId="661" xr:uid="{00000000-0005-0000-0000-00005A000000}"/>
    <cellStyle name="20% - Accent3 2 2 2 2 2 2 2" xfId="664" xr:uid="{00000000-0005-0000-0000-00005B000000}"/>
    <cellStyle name="20% - Accent3 2 2 2 2 3" xfId="665" xr:uid="{00000000-0005-0000-0000-00005C000000}"/>
    <cellStyle name="20% - Accent3 2 2 2 3" xfId="666" xr:uid="{00000000-0005-0000-0000-00005D000000}"/>
    <cellStyle name="20% - Accent3 2 2 3" xfId="434" xr:uid="{00000000-0005-0000-0000-00005E000000}"/>
    <cellStyle name="20% - Accent3 2 2 4" xfId="674" xr:uid="{00000000-0005-0000-0000-00005F000000}"/>
    <cellStyle name="20% - Accent3 2 2 5" xfId="682" xr:uid="{00000000-0005-0000-0000-000060000000}"/>
    <cellStyle name="20% - Accent3 2 2 6" xfId="687" xr:uid="{00000000-0005-0000-0000-000061000000}"/>
    <cellStyle name="20% - Accent3 2 2 7" xfId="692" xr:uid="{00000000-0005-0000-0000-000062000000}"/>
    <cellStyle name="20% - Accent3 2 2 8" xfId="696" xr:uid="{00000000-0005-0000-0000-000063000000}"/>
    <cellStyle name="20% - Accent3 2 3" xfId="701" xr:uid="{00000000-0005-0000-0000-000064000000}"/>
    <cellStyle name="20% - Accent3 2 4" xfId="707" xr:uid="{00000000-0005-0000-0000-000065000000}"/>
    <cellStyle name="20% - Accent3 2 4 2" xfId="6" xr:uid="{00000000-0005-0000-0000-000066000000}"/>
    <cellStyle name="20% - Accent3 2 4 2 2" xfId="713" xr:uid="{00000000-0005-0000-0000-000067000000}"/>
    <cellStyle name="20% - Accent3 2 4 2 2 2" xfId="718" xr:uid="{00000000-0005-0000-0000-000068000000}"/>
    <cellStyle name="20% - Accent3 2 4 3" xfId="55" xr:uid="{00000000-0005-0000-0000-000069000000}"/>
    <cellStyle name="20% - Accent3 2 5" xfId="720" xr:uid="{00000000-0005-0000-0000-00006A000000}"/>
    <cellStyle name="20% - Accent3 2 6" xfId="75" xr:uid="{00000000-0005-0000-0000-00006B000000}"/>
    <cellStyle name="20% - Accent3 2 7" xfId="29" xr:uid="{00000000-0005-0000-0000-00006C000000}"/>
    <cellStyle name="20% - Accent3 2 8" xfId="82" xr:uid="{00000000-0005-0000-0000-00006D000000}"/>
    <cellStyle name="20% - Accent3 3" xfId="85" xr:uid="{00000000-0005-0000-0000-00006E000000}"/>
    <cellStyle name="20% - Accent3 4" xfId="725" xr:uid="{00000000-0005-0000-0000-00006F000000}"/>
    <cellStyle name="20% - Accent3 4 2" xfId="733" xr:uid="{00000000-0005-0000-0000-000070000000}"/>
    <cellStyle name="20% - Accent3 5" xfId="737" xr:uid="{00000000-0005-0000-0000-000071000000}"/>
    <cellStyle name="20% - Accent3 6" xfId="233" xr:uid="{00000000-0005-0000-0000-000072000000}"/>
    <cellStyle name="20% - Accent4 2" xfId="743" xr:uid="{00000000-0005-0000-0000-000073000000}"/>
    <cellStyle name="20% - Accent4 2 2" xfId="747" xr:uid="{00000000-0005-0000-0000-000074000000}"/>
    <cellStyle name="20% - Accent4 2 2 2" xfId="753" xr:uid="{00000000-0005-0000-0000-000075000000}"/>
    <cellStyle name="20% - Accent4 2 2 2 2" xfId="758" xr:uid="{00000000-0005-0000-0000-000076000000}"/>
    <cellStyle name="20% - Accent4 2 2 2 2 2" xfId="766" xr:uid="{00000000-0005-0000-0000-000077000000}"/>
    <cellStyle name="20% - Accent4 2 2 2 2 2 2" xfId="768" xr:uid="{00000000-0005-0000-0000-000078000000}"/>
    <cellStyle name="20% - Accent4 2 2 2 2 2 2 2" xfId="308" xr:uid="{00000000-0005-0000-0000-000079000000}"/>
    <cellStyle name="20% - Accent4 2 2 2 2 3" xfId="773" xr:uid="{00000000-0005-0000-0000-00007A000000}"/>
    <cellStyle name="20% - Accent4 2 2 2 3" xfId="220" xr:uid="{00000000-0005-0000-0000-00007B000000}"/>
    <cellStyle name="20% - Accent4 2 2 3" xfId="777" xr:uid="{00000000-0005-0000-0000-00007C000000}"/>
    <cellStyle name="20% - Accent4 2 2 4" xfId="782" xr:uid="{00000000-0005-0000-0000-00007D000000}"/>
    <cellStyle name="20% - Accent4 2 2 5" xfId="786" xr:uid="{00000000-0005-0000-0000-00007E000000}"/>
    <cellStyle name="20% - Accent4 2 2 6" xfId="796" xr:uid="{00000000-0005-0000-0000-00007F000000}"/>
    <cellStyle name="20% - Accent4 2 2 7" xfId="800" xr:uid="{00000000-0005-0000-0000-000080000000}"/>
    <cellStyle name="20% - Accent4 2 2 8" xfId="802" xr:uid="{00000000-0005-0000-0000-000081000000}"/>
    <cellStyle name="20% - Accent4 2 3" xfId="805" xr:uid="{00000000-0005-0000-0000-000082000000}"/>
    <cellStyle name="20% - Accent4 2 4" xfId="751" xr:uid="{00000000-0005-0000-0000-000083000000}"/>
    <cellStyle name="20% - Accent4 2 4 2" xfId="757" xr:uid="{00000000-0005-0000-0000-000084000000}"/>
    <cellStyle name="20% - Accent4 2 4 2 2" xfId="765" xr:uid="{00000000-0005-0000-0000-000085000000}"/>
    <cellStyle name="20% - Accent4 2 4 2 2 2" xfId="767" xr:uid="{00000000-0005-0000-0000-000086000000}"/>
    <cellStyle name="20% - Accent4 2 4 3" xfId="221" xr:uid="{00000000-0005-0000-0000-000087000000}"/>
    <cellStyle name="20% - Accent4 2 5" xfId="775" xr:uid="{00000000-0005-0000-0000-000088000000}"/>
    <cellStyle name="20% - Accent4 2 6" xfId="780" xr:uid="{00000000-0005-0000-0000-000089000000}"/>
    <cellStyle name="20% - Accent4 2 7" xfId="785" xr:uid="{00000000-0005-0000-0000-00008A000000}"/>
    <cellStyle name="20% - Accent4 2 8" xfId="794" xr:uid="{00000000-0005-0000-0000-00008B000000}"/>
    <cellStyle name="20% - Accent4 3" xfId="812" xr:uid="{00000000-0005-0000-0000-00008C000000}"/>
    <cellStyle name="20% - Accent4 4" xfId="815" xr:uid="{00000000-0005-0000-0000-00008D000000}"/>
    <cellStyle name="20% - Accent4 4 2" xfId="820" xr:uid="{00000000-0005-0000-0000-00008E000000}"/>
    <cellStyle name="20% - Accent4 5" xfId="825" xr:uid="{00000000-0005-0000-0000-00008F000000}"/>
    <cellStyle name="20% - Accent4 6" xfId="827" xr:uid="{00000000-0005-0000-0000-000090000000}"/>
    <cellStyle name="20% - Accent5 2" xfId="837" xr:uid="{00000000-0005-0000-0000-000091000000}"/>
    <cellStyle name="20% - Accent5 2 10" xfId="260" xr:uid="{00000000-0005-0000-0000-000092000000}"/>
    <cellStyle name="20% - Accent5 2 2" xfId="841" xr:uid="{00000000-0005-0000-0000-000093000000}"/>
    <cellStyle name="20% - Accent5 2 2 2" xfId="844" xr:uid="{00000000-0005-0000-0000-000094000000}"/>
    <cellStyle name="20% - Accent5 2 2 2 2" xfId="849" xr:uid="{00000000-0005-0000-0000-000095000000}"/>
    <cellStyle name="20% - Accent5 2 2 2 2 2" xfId="852" xr:uid="{00000000-0005-0000-0000-000096000000}"/>
    <cellStyle name="20% - Accent5 2 2 2 2 2 2" xfId="853" xr:uid="{00000000-0005-0000-0000-000097000000}"/>
    <cellStyle name="20% - Accent5 2 2 2 2 2 2 2" xfId="859" xr:uid="{00000000-0005-0000-0000-000098000000}"/>
    <cellStyle name="20% - Accent5 2 2 2 2 2 2 2 2" xfId="862" xr:uid="{00000000-0005-0000-0000-000099000000}"/>
    <cellStyle name="20% - Accent5 2 2 2 2 2 3" xfId="864" xr:uid="{00000000-0005-0000-0000-00009A000000}"/>
    <cellStyle name="20% - Accent5 2 2 2 2 3" xfId="868" xr:uid="{00000000-0005-0000-0000-00009B000000}"/>
    <cellStyle name="20% - Accent5 2 2 2 3" xfId="876" xr:uid="{00000000-0005-0000-0000-00009C000000}"/>
    <cellStyle name="20% - Accent5 2 2 2 4" xfId="882" xr:uid="{00000000-0005-0000-0000-00009D000000}"/>
    <cellStyle name="20% - Accent5 2 2 2 5" xfId="886" xr:uid="{00000000-0005-0000-0000-00009E000000}"/>
    <cellStyle name="20% - Accent5 2 2 2 6" xfId="895" xr:uid="{00000000-0005-0000-0000-00009F000000}"/>
    <cellStyle name="20% - Accent5 2 2 2 7" xfId="901" xr:uid="{00000000-0005-0000-0000-0000A0000000}"/>
    <cellStyle name="20% - Accent5 2 2 3" xfId="906" xr:uid="{00000000-0005-0000-0000-0000A1000000}"/>
    <cellStyle name="20% - Accent5 2 2 4" xfId="292" xr:uid="{00000000-0005-0000-0000-0000A2000000}"/>
    <cellStyle name="20% - Accent5 2 2 4 2" xfId="300" xr:uid="{00000000-0005-0000-0000-0000A3000000}"/>
    <cellStyle name="20% - Accent5 2 2 4 2 2" xfId="911" xr:uid="{00000000-0005-0000-0000-0000A4000000}"/>
    <cellStyle name="20% - Accent5 2 2 4 2 2 2" xfId="920" xr:uid="{00000000-0005-0000-0000-0000A5000000}"/>
    <cellStyle name="20% - Accent5 2 2 4 3" xfId="925" xr:uid="{00000000-0005-0000-0000-0000A6000000}"/>
    <cellStyle name="20% - Accent5 2 2 5" xfId="926" xr:uid="{00000000-0005-0000-0000-0000A7000000}"/>
    <cellStyle name="20% - Accent5 2 2 6" xfId="97" xr:uid="{00000000-0005-0000-0000-0000A8000000}"/>
    <cellStyle name="20% - Accent5 2 2 7" xfId="42" xr:uid="{00000000-0005-0000-0000-0000A9000000}"/>
    <cellStyle name="20% - Accent5 2 2 8" xfId="442" xr:uid="{00000000-0005-0000-0000-0000AA000000}"/>
    <cellStyle name="20% - Accent5 2 2 9" xfId="453" xr:uid="{00000000-0005-0000-0000-0000AB000000}"/>
    <cellStyle name="20% - Accent5 2 3" xfId="481" xr:uid="{00000000-0005-0000-0000-0000AC000000}"/>
    <cellStyle name="20% - Accent5 2 4" xfId="512" xr:uid="{00000000-0005-0000-0000-0000AD000000}"/>
    <cellStyle name="20% - Accent5 2 5" xfId="930" xr:uid="{00000000-0005-0000-0000-0000AE000000}"/>
    <cellStyle name="20% - Accent5 2 6" xfId="937" xr:uid="{00000000-0005-0000-0000-0000AF000000}"/>
    <cellStyle name="20% - Accent5 2 6 2" xfId="945" xr:uid="{00000000-0005-0000-0000-0000B0000000}"/>
    <cellStyle name="20% - Accent5 2 6 2 2" xfId="947" xr:uid="{00000000-0005-0000-0000-0000B1000000}"/>
    <cellStyle name="20% - Accent5 2 6 2 2 2" xfId="952" xr:uid="{00000000-0005-0000-0000-0000B2000000}"/>
    <cellStyle name="20% - Accent5 2 6 3" xfId="954" xr:uid="{00000000-0005-0000-0000-0000B3000000}"/>
    <cellStyle name="20% - Accent5 2 7" xfId="959" xr:uid="{00000000-0005-0000-0000-0000B4000000}"/>
    <cellStyle name="20% - Accent5 2 8" xfId="964" xr:uid="{00000000-0005-0000-0000-0000B5000000}"/>
    <cellStyle name="20% - Accent5 2 9" xfId="971" xr:uid="{00000000-0005-0000-0000-0000B6000000}"/>
    <cellStyle name="20% - Accent5 3" xfId="983" xr:uid="{00000000-0005-0000-0000-0000B7000000}"/>
    <cellStyle name="20% - Accent5 3 2" xfId="140" xr:uid="{00000000-0005-0000-0000-0000B8000000}"/>
    <cellStyle name="20% - Accent5 3 3" xfId="150" xr:uid="{00000000-0005-0000-0000-0000B9000000}"/>
    <cellStyle name="20% - Accent5 3 4" xfId="156" xr:uid="{00000000-0005-0000-0000-0000BA000000}"/>
    <cellStyle name="20% - Accent5 4" xfId="995" xr:uid="{00000000-0005-0000-0000-0000BB000000}"/>
    <cellStyle name="20% - Accent5 4 2" xfId="1002" xr:uid="{00000000-0005-0000-0000-0000BC000000}"/>
    <cellStyle name="20% - Accent5 4 3" xfId="1008" xr:uid="{00000000-0005-0000-0000-0000BD000000}"/>
    <cellStyle name="20% - Accent5 4 4" xfId="1012" xr:uid="{00000000-0005-0000-0000-0000BE000000}"/>
    <cellStyle name="20% - Accent5 5" xfId="1028" xr:uid="{00000000-0005-0000-0000-0000BF000000}"/>
    <cellStyle name="20% - Accent5 5 2" xfId="1038" xr:uid="{00000000-0005-0000-0000-0000C0000000}"/>
    <cellStyle name="20% - Accent5 5 3" xfId="1052" xr:uid="{00000000-0005-0000-0000-0000C1000000}"/>
    <cellStyle name="20% - Accent5 5 4" xfId="1066" xr:uid="{00000000-0005-0000-0000-0000C2000000}"/>
    <cellStyle name="20% - Accent5 6" xfId="1080" xr:uid="{00000000-0005-0000-0000-0000C3000000}"/>
    <cellStyle name="20% - Accent5 6 2" xfId="1087" xr:uid="{00000000-0005-0000-0000-0000C4000000}"/>
    <cellStyle name="20% - Accent5 6 3" xfId="1098" xr:uid="{00000000-0005-0000-0000-0000C5000000}"/>
    <cellStyle name="20% - Accent5 6 4" xfId="660" xr:uid="{00000000-0005-0000-0000-0000C6000000}"/>
    <cellStyle name="20% - Accent6 2" xfId="1099" xr:uid="{00000000-0005-0000-0000-0000C7000000}"/>
    <cellStyle name="20% - Accent6 2 10" xfId="1103" xr:uid="{00000000-0005-0000-0000-0000C8000000}"/>
    <cellStyle name="20% - Accent6 2 2" xfId="1109" xr:uid="{00000000-0005-0000-0000-0000C9000000}"/>
    <cellStyle name="20% - Accent6 2 2 2" xfId="182" xr:uid="{00000000-0005-0000-0000-0000CA000000}"/>
    <cellStyle name="20% - Accent6 2 2 2 2" xfId="560" xr:uid="{00000000-0005-0000-0000-0000CB000000}"/>
    <cellStyle name="20% - Accent6 2 2 2 2 2" xfId="1113" xr:uid="{00000000-0005-0000-0000-0000CC000000}"/>
    <cellStyle name="20% - Accent6 2 2 2 2 2 2" xfId="1021" xr:uid="{00000000-0005-0000-0000-0000CD000000}"/>
    <cellStyle name="20% - Accent6 2 2 2 2 2 2 2" xfId="1029" xr:uid="{00000000-0005-0000-0000-0000CE000000}"/>
    <cellStyle name="20% - Accent6 2 2 2 2 2 2 2 2" xfId="1117" xr:uid="{00000000-0005-0000-0000-0000CF000000}"/>
    <cellStyle name="20% - Accent6 2 2 2 2 2 3" xfId="1072" xr:uid="{00000000-0005-0000-0000-0000D0000000}"/>
    <cellStyle name="20% - Accent6 2 2 2 2 3" xfId="1122" xr:uid="{00000000-0005-0000-0000-0000D1000000}"/>
    <cellStyle name="20% - Accent6 2 2 2 3" xfId="1129" xr:uid="{00000000-0005-0000-0000-0000D2000000}"/>
    <cellStyle name="20% - Accent6 2 2 2 4" xfId="1143" xr:uid="{00000000-0005-0000-0000-0000D3000000}"/>
    <cellStyle name="20% - Accent6 2 2 2 5" xfId="1155" xr:uid="{00000000-0005-0000-0000-0000D4000000}"/>
    <cellStyle name="20% - Accent6 2 2 2 6" xfId="1161" xr:uid="{00000000-0005-0000-0000-0000D5000000}"/>
    <cellStyle name="20% - Accent6 2 2 2 7" xfId="1167" xr:uid="{00000000-0005-0000-0000-0000D6000000}"/>
    <cellStyle name="20% - Accent6 2 2 3" xfId="845" xr:uid="{00000000-0005-0000-0000-0000D7000000}"/>
    <cellStyle name="20% - Accent6 2 2 4" xfId="872" xr:uid="{00000000-0005-0000-0000-0000D8000000}"/>
    <cellStyle name="20% - Accent6 2 2 4 2" xfId="1172" xr:uid="{00000000-0005-0000-0000-0000D9000000}"/>
    <cellStyle name="20% - Accent6 2 2 4 2 2" xfId="1176" xr:uid="{00000000-0005-0000-0000-0000DA000000}"/>
    <cellStyle name="20% - Accent6 2 2 4 2 2 2" xfId="1179" xr:uid="{00000000-0005-0000-0000-0000DB000000}"/>
    <cellStyle name="20% - Accent6 2 2 4 3" xfId="1181" xr:uid="{00000000-0005-0000-0000-0000DC000000}"/>
    <cellStyle name="20% - Accent6 2 2 5" xfId="877" xr:uid="{00000000-0005-0000-0000-0000DD000000}"/>
    <cellStyle name="20% - Accent6 2 2 6" xfId="883" xr:uid="{00000000-0005-0000-0000-0000DE000000}"/>
    <cellStyle name="20% - Accent6 2 2 7" xfId="890" xr:uid="{00000000-0005-0000-0000-0000DF000000}"/>
    <cellStyle name="20% - Accent6 2 2 8" xfId="897" xr:uid="{00000000-0005-0000-0000-0000E0000000}"/>
    <cellStyle name="20% - Accent6 2 2 9" xfId="1185" xr:uid="{00000000-0005-0000-0000-0000E1000000}"/>
    <cellStyle name="20% - Accent6 2 3" xfId="1194" xr:uid="{00000000-0005-0000-0000-0000E2000000}"/>
    <cellStyle name="20% - Accent6 2 4" xfId="1201" xr:uid="{00000000-0005-0000-0000-0000E3000000}"/>
    <cellStyle name="20% - Accent6 2 5" xfId="1207" xr:uid="{00000000-0005-0000-0000-0000E4000000}"/>
    <cellStyle name="20% - Accent6 2 6" xfId="1212" xr:uid="{00000000-0005-0000-0000-0000E5000000}"/>
    <cellStyle name="20% - Accent6 2 6 2" xfId="976" xr:uid="{00000000-0005-0000-0000-0000E6000000}"/>
    <cellStyle name="20% - Accent6 2 6 2 2" xfId="1219" xr:uid="{00000000-0005-0000-0000-0000E7000000}"/>
    <cellStyle name="20% - Accent6 2 6 2 2 2" xfId="59" xr:uid="{00000000-0005-0000-0000-0000E8000000}"/>
    <cellStyle name="20% - Accent6 2 6 3" xfId="1224" xr:uid="{00000000-0005-0000-0000-0000E9000000}"/>
    <cellStyle name="20% - Accent6 2 7" xfId="216" xr:uid="{00000000-0005-0000-0000-0000EA000000}"/>
    <cellStyle name="20% - Accent6 2 8" xfId="262" xr:uid="{00000000-0005-0000-0000-0000EB000000}"/>
    <cellStyle name="20% - Accent6 2 9" xfId="272" xr:uid="{00000000-0005-0000-0000-0000EC000000}"/>
    <cellStyle name="20% - Accent6 3" xfId="131" xr:uid="{00000000-0005-0000-0000-0000ED000000}"/>
    <cellStyle name="20% - Accent6 3 2" xfId="670" xr:uid="{00000000-0005-0000-0000-0000EE000000}"/>
    <cellStyle name="20% - Accent6 3 3" xfId="678" xr:uid="{00000000-0005-0000-0000-0000EF000000}"/>
    <cellStyle name="20% - Accent6 3 4" xfId="684" xr:uid="{00000000-0005-0000-0000-0000F0000000}"/>
    <cellStyle name="20% - Accent6 4" xfId="1229" xr:uid="{00000000-0005-0000-0000-0000F1000000}"/>
    <cellStyle name="20% - Accent6 4 2" xfId="21" xr:uid="{00000000-0005-0000-0000-0000F2000000}"/>
    <cellStyle name="20% - Accent6 4 3" xfId="1234" xr:uid="{00000000-0005-0000-0000-0000F3000000}"/>
    <cellStyle name="20% - Accent6 4 4" xfId="763" xr:uid="{00000000-0005-0000-0000-0000F4000000}"/>
    <cellStyle name="20% - Accent6 5" xfId="1238" xr:uid="{00000000-0005-0000-0000-0000F5000000}"/>
    <cellStyle name="20% - Accent6 5 2" xfId="48" xr:uid="{00000000-0005-0000-0000-0000F6000000}"/>
    <cellStyle name="20% - Accent6 5 3" xfId="164" xr:uid="{00000000-0005-0000-0000-0000F7000000}"/>
    <cellStyle name="20% - Accent6 5 4" xfId="170" xr:uid="{00000000-0005-0000-0000-0000F8000000}"/>
    <cellStyle name="20% - Accent6 6" xfId="1243" xr:uid="{00000000-0005-0000-0000-0000F9000000}"/>
    <cellStyle name="20% - Accent6 6 2" xfId="1245" xr:uid="{00000000-0005-0000-0000-0000FA000000}"/>
    <cellStyle name="20% - Accent6 6 3" xfId="1247" xr:uid="{00000000-0005-0000-0000-0000FB000000}"/>
    <cellStyle name="20% - Accent6 6 4" xfId="1249" xr:uid="{00000000-0005-0000-0000-0000FC000000}"/>
    <cellStyle name="40% - Accent1 2" xfId="711" xr:uid="{00000000-0005-0000-0000-0000FD000000}"/>
    <cellStyle name="40% - Accent1 2 2" xfId="715" xr:uid="{00000000-0005-0000-0000-0000FE000000}"/>
    <cellStyle name="40% - Accent1 2 2 2" xfId="1250" xr:uid="{00000000-0005-0000-0000-0000FF000000}"/>
    <cellStyle name="40% - Accent1 2 2 2 2" xfId="1254" xr:uid="{00000000-0005-0000-0000-000000010000}"/>
    <cellStyle name="40% - Accent1 2 2 2 2 2" xfId="1260" xr:uid="{00000000-0005-0000-0000-000001010000}"/>
    <cellStyle name="40% - Accent1 2 2 2 2 2 2" xfId="1265" xr:uid="{00000000-0005-0000-0000-000002010000}"/>
    <cellStyle name="40% - Accent1 2 2 2 2 2 2 2" xfId="1272" xr:uid="{00000000-0005-0000-0000-000003010000}"/>
    <cellStyle name="40% - Accent1 2 2 2 2 3" xfId="1280" xr:uid="{00000000-0005-0000-0000-000004010000}"/>
    <cellStyle name="40% - Accent1 2 2 2 3" xfId="1282" xr:uid="{00000000-0005-0000-0000-000005010000}"/>
    <cellStyle name="40% - Accent1 2 2 3" xfId="1287" xr:uid="{00000000-0005-0000-0000-000006010000}"/>
    <cellStyle name="40% - Accent1 2 2 4" xfId="1292" xr:uid="{00000000-0005-0000-0000-000007010000}"/>
    <cellStyle name="40% - Accent1 2 2 5" xfId="1293" xr:uid="{00000000-0005-0000-0000-000008010000}"/>
    <cellStyle name="40% - Accent1 2 2 6" xfId="860" xr:uid="{00000000-0005-0000-0000-000009010000}"/>
    <cellStyle name="40% - Accent1 2 2 7" xfId="1294" xr:uid="{00000000-0005-0000-0000-00000A010000}"/>
    <cellStyle name="40% - Accent1 2 2 8" xfId="1296" xr:uid="{00000000-0005-0000-0000-00000B010000}"/>
    <cellStyle name="40% - Accent1 2 3" xfId="1297" xr:uid="{00000000-0005-0000-0000-00000C010000}"/>
    <cellStyle name="40% - Accent1 2 4" xfId="1299" xr:uid="{00000000-0005-0000-0000-00000D010000}"/>
    <cellStyle name="40% - Accent1 2 4 2" xfId="1301" xr:uid="{00000000-0005-0000-0000-00000E010000}"/>
    <cellStyle name="40% - Accent1 2 4 2 2" xfId="1303" xr:uid="{00000000-0005-0000-0000-00000F010000}"/>
    <cellStyle name="40% - Accent1 2 4 2 2 2" xfId="94" xr:uid="{00000000-0005-0000-0000-000010010000}"/>
    <cellStyle name="40% - Accent1 2 4 3" xfId="1304" xr:uid="{00000000-0005-0000-0000-000011010000}"/>
    <cellStyle name="40% - Accent1 2 5" xfId="816" xr:uid="{00000000-0005-0000-0000-000012010000}"/>
    <cellStyle name="40% - Accent1 2 6" xfId="950" xr:uid="{00000000-0005-0000-0000-000013010000}"/>
    <cellStyle name="40% - Accent1 2 7" xfId="755" xr:uid="{00000000-0005-0000-0000-000014010000}"/>
    <cellStyle name="40% - Accent1 2 8" xfId="223" xr:uid="{00000000-0005-0000-0000-000015010000}"/>
    <cellStyle name="40% - Accent1 3" xfId="585" xr:uid="{00000000-0005-0000-0000-000016010000}"/>
    <cellStyle name="40% - Accent1 4" xfId="1305" xr:uid="{00000000-0005-0000-0000-000017010000}"/>
    <cellStyle name="40% - Accent1 4 2" xfId="1310" xr:uid="{00000000-0005-0000-0000-000018010000}"/>
    <cellStyle name="40% - Accent1 4 3" xfId="1313" xr:uid="{00000000-0005-0000-0000-000019010000}"/>
    <cellStyle name="40% - Accent1 4 4" xfId="1315" xr:uid="{00000000-0005-0000-0000-00001A010000}"/>
    <cellStyle name="40% - Accent1 5" xfId="1317" xr:uid="{00000000-0005-0000-0000-00001B010000}"/>
    <cellStyle name="40% - Accent1 6" xfId="126" xr:uid="{00000000-0005-0000-0000-00001C010000}"/>
    <cellStyle name="40% - Accent2 2" xfId="1320" xr:uid="{00000000-0005-0000-0000-00001D010000}"/>
    <cellStyle name="40% - Accent2 2 10" xfId="1321" xr:uid="{00000000-0005-0000-0000-00001E010000}"/>
    <cellStyle name="40% - Accent2 2 2" xfId="1324" xr:uid="{00000000-0005-0000-0000-00001F010000}"/>
    <cellStyle name="40% - Accent2 2 2 2" xfId="1329" xr:uid="{00000000-0005-0000-0000-000020010000}"/>
    <cellStyle name="40% - Accent2 2 2 2 2" xfId="1336" xr:uid="{00000000-0005-0000-0000-000021010000}"/>
    <cellStyle name="40% - Accent2 2 2 2 2 2" xfId="1341" xr:uid="{00000000-0005-0000-0000-000022010000}"/>
    <cellStyle name="40% - Accent2 2 2 2 2 2 2" xfId="982" xr:uid="{00000000-0005-0000-0000-000023010000}"/>
    <cellStyle name="40% - Accent2 2 2 2 2 2 2 2" xfId="144" xr:uid="{00000000-0005-0000-0000-000024010000}"/>
    <cellStyle name="40% - Accent2 2 2 2 2 2 2 2 2" xfId="464" xr:uid="{00000000-0005-0000-0000-000025010000}"/>
    <cellStyle name="40% - Accent2 2 2 2 2 2 3" xfId="990" xr:uid="{00000000-0005-0000-0000-000026010000}"/>
    <cellStyle name="40% - Accent2 2 2 2 2 3" xfId="1343" xr:uid="{00000000-0005-0000-0000-000027010000}"/>
    <cellStyle name="40% - Accent2 2 2 2 3" xfId="1082" xr:uid="{00000000-0005-0000-0000-000028010000}"/>
    <cellStyle name="40% - Accent2 2 2 2 4" xfId="1088" xr:uid="{00000000-0005-0000-0000-000029010000}"/>
    <cellStyle name="40% - Accent2 2 2 2 5" xfId="653" xr:uid="{00000000-0005-0000-0000-00002A010000}"/>
    <cellStyle name="40% - Accent2 2 2 2 6" xfId="1344" xr:uid="{00000000-0005-0000-0000-00002B010000}"/>
    <cellStyle name="40% - Accent2 2 2 2 7" xfId="1348" xr:uid="{00000000-0005-0000-0000-00002C010000}"/>
    <cellStyle name="40% - Accent2 2 2 3" xfId="1351" xr:uid="{00000000-0005-0000-0000-00002D010000}"/>
    <cellStyle name="40% - Accent2 2 2 4" xfId="1356" xr:uid="{00000000-0005-0000-0000-00002E010000}"/>
    <cellStyle name="40% - Accent2 2 2 4 2" xfId="1362" xr:uid="{00000000-0005-0000-0000-00002F010000}"/>
    <cellStyle name="40% - Accent2 2 2 4 2 2" xfId="736" xr:uid="{00000000-0005-0000-0000-000030010000}"/>
    <cellStyle name="40% - Accent2 2 2 4 2 2 2" xfId="1365" xr:uid="{00000000-0005-0000-0000-000031010000}"/>
    <cellStyle name="40% - Accent2 2 2 4 3" xfId="1376" xr:uid="{00000000-0005-0000-0000-000032010000}"/>
    <cellStyle name="40% - Accent2 2 2 5" xfId="1378" xr:uid="{00000000-0005-0000-0000-000033010000}"/>
    <cellStyle name="40% - Accent2 2 2 6" xfId="1382" xr:uid="{00000000-0005-0000-0000-000034010000}"/>
    <cellStyle name="40% - Accent2 2 2 7" xfId="1384" xr:uid="{00000000-0005-0000-0000-000035010000}"/>
    <cellStyle name="40% - Accent2 2 2 8" xfId="1386" xr:uid="{00000000-0005-0000-0000-000036010000}"/>
    <cellStyle name="40% - Accent2 2 2 9" xfId="1388" xr:uid="{00000000-0005-0000-0000-000037010000}"/>
    <cellStyle name="40% - Accent2 2 3" xfId="1269" xr:uid="{00000000-0005-0000-0000-000038010000}"/>
    <cellStyle name="40% - Accent2 2 4" xfId="1390" xr:uid="{00000000-0005-0000-0000-000039010000}"/>
    <cellStyle name="40% - Accent2 2 5" xfId="996" xr:uid="{00000000-0005-0000-0000-00003A010000}"/>
    <cellStyle name="40% - Accent2 2 6" xfId="1004" xr:uid="{00000000-0005-0000-0000-00003B010000}"/>
    <cellStyle name="40% - Accent2 2 6 2" xfId="787" xr:uid="{00000000-0005-0000-0000-00003C010000}"/>
    <cellStyle name="40% - Accent2 2 6 2 2" xfId="1398" xr:uid="{00000000-0005-0000-0000-00003D010000}"/>
    <cellStyle name="40% - Accent2 2 6 2 2 2" xfId="1400" xr:uid="{00000000-0005-0000-0000-00003E010000}"/>
    <cellStyle name="40% - Accent2 2 6 3" xfId="797" xr:uid="{00000000-0005-0000-0000-00003F010000}"/>
    <cellStyle name="40% - Accent2 2 7" xfId="1009" xr:uid="{00000000-0005-0000-0000-000040010000}"/>
    <cellStyle name="40% - Accent2 2 8" xfId="1402" xr:uid="{00000000-0005-0000-0000-000041010000}"/>
    <cellStyle name="40% - Accent2 2 9" xfId="1405" xr:uid="{00000000-0005-0000-0000-000042010000}"/>
    <cellStyle name="40% - Accent2 3" xfId="1406" xr:uid="{00000000-0005-0000-0000-000043010000}"/>
    <cellStyle name="40% - Accent2 3 2" xfId="1410" xr:uid="{00000000-0005-0000-0000-000044010000}"/>
    <cellStyle name="40% - Accent2 3 3" xfId="1417" xr:uid="{00000000-0005-0000-0000-000045010000}"/>
    <cellStyle name="40% - Accent2 3 4" xfId="1422" xr:uid="{00000000-0005-0000-0000-000046010000}"/>
    <cellStyle name="40% - Accent2 4" xfId="621" xr:uid="{00000000-0005-0000-0000-000047010000}"/>
    <cellStyle name="40% - Accent2 4 2" xfId="1426" xr:uid="{00000000-0005-0000-0000-000048010000}"/>
    <cellStyle name="40% - Accent2 4 3" xfId="856" xr:uid="{00000000-0005-0000-0000-000049010000}"/>
    <cellStyle name="40% - Accent2 4 4" xfId="1333" xr:uid="{00000000-0005-0000-0000-00004A010000}"/>
    <cellStyle name="40% - Accent2 5" xfId="628" xr:uid="{00000000-0005-0000-0000-00004B010000}"/>
    <cellStyle name="40% - Accent2 5 2" xfId="313" xr:uid="{00000000-0005-0000-0000-00004C010000}"/>
    <cellStyle name="40% - Accent2 5 3" xfId="319" xr:uid="{00000000-0005-0000-0000-00004D010000}"/>
    <cellStyle name="40% - Accent2 5 4" xfId="325" xr:uid="{00000000-0005-0000-0000-00004E010000}"/>
    <cellStyle name="40% - Accent2 6" xfId="632" xr:uid="{00000000-0005-0000-0000-00004F010000}"/>
    <cellStyle name="40% - Accent2 6 2" xfId="1430" xr:uid="{00000000-0005-0000-0000-000050010000}"/>
    <cellStyle name="40% - Accent2 6 3" xfId="1432" xr:uid="{00000000-0005-0000-0000-000051010000}"/>
    <cellStyle name="40% - Accent2 6 4" xfId="1360" xr:uid="{00000000-0005-0000-0000-000052010000}"/>
    <cellStyle name="40% - Accent3 2" xfId="440" xr:uid="{00000000-0005-0000-0000-000053010000}"/>
    <cellStyle name="40% - Accent3 2 2" xfId="444" xr:uid="{00000000-0005-0000-0000-000054010000}"/>
    <cellStyle name="40% - Accent3 2 2 2" xfId="1433" xr:uid="{00000000-0005-0000-0000-000055010000}"/>
    <cellStyle name="40% - Accent3 2 2 2 2" xfId="1434" xr:uid="{00000000-0005-0000-0000-000056010000}"/>
    <cellStyle name="40% - Accent3 2 2 2 2 2" xfId="810" xr:uid="{00000000-0005-0000-0000-000057010000}"/>
    <cellStyle name="40% - Accent3 2 2 2 2 2 2" xfId="888" xr:uid="{00000000-0005-0000-0000-000058010000}"/>
    <cellStyle name="40% - Accent3 2 2 2 2 2 2 2" xfId="510" xr:uid="{00000000-0005-0000-0000-000059010000}"/>
    <cellStyle name="40% - Accent3 2 2 2 2 3" xfId="814" xr:uid="{00000000-0005-0000-0000-00005A010000}"/>
    <cellStyle name="40% - Accent3 2 2 2 3" xfId="1338" xr:uid="{00000000-0005-0000-0000-00005B010000}"/>
    <cellStyle name="40% - Accent3 2 2 3" xfId="1445" xr:uid="{00000000-0005-0000-0000-00005C010000}"/>
    <cellStyle name="40% - Accent3 2 2 4" xfId="193" xr:uid="{00000000-0005-0000-0000-00005D010000}"/>
    <cellStyle name="40% - Accent3 2 2 5" xfId="335" xr:uid="{00000000-0005-0000-0000-00005E010000}"/>
    <cellStyle name="40% - Accent3 2 2 6" xfId="339" xr:uid="{00000000-0005-0000-0000-00005F010000}"/>
    <cellStyle name="40% - Accent3 2 2 7" xfId="345" xr:uid="{00000000-0005-0000-0000-000060010000}"/>
    <cellStyle name="40% - Accent3 2 2 8" xfId="353" xr:uid="{00000000-0005-0000-0000-000061010000}"/>
    <cellStyle name="40% - Accent3 2 3" xfId="451" xr:uid="{00000000-0005-0000-0000-000062010000}"/>
    <cellStyle name="40% - Accent3 2 4" xfId="461" xr:uid="{00000000-0005-0000-0000-000063010000}"/>
    <cellStyle name="40% - Accent3 2 4 2" xfId="1446" xr:uid="{00000000-0005-0000-0000-000064010000}"/>
    <cellStyle name="40% - Accent3 2 4 2 2" xfId="723" xr:uid="{00000000-0005-0000-0000-000065010000}"/>
    <cellStyle name="40% - Accent3 2 4 2 2 2" xfId="728" xr:uid="{00000000-0005-0000-0000-000066010000}"/>
    <cellStyle name="40% - Accent3 2 4 3" xfId="1447" xr:uid="{00000000-0005-0000-0000-000067010000}"/>
    <cellStyle name="40% - Accent3 2 5" xfId="25" xr:uid="{00000000-0005-0000-0000-000068010000}"/>
    <cellStyle name="40% - Accent3 2 6" xfId="1231" xr:uid="{00000000-0005-0000-0000-000069010000}"/>
    <cellStyle name="40% - Accent3 2 7" xfId="759" xr:uid="{00000000-0005-0000-0000-00006A010000}"/>
    <cellStyle name="40% - Accent3 2 8" xfId="769" xr:uid="{00000000-0005-0000-0000-00006B010000}"/>
    <cellStyle name="40% - Accent3 3" xfId="1448" xr:uid="{00000000-0005-0000-0000-00006C010000}"/>
    <cellStyle name="40% - Accent3 4" xfId="1453" xr:uid="{00000000-0005-0000-0000-00006D010000}"/>
    <cellStyle name="40% - Accent3 4 2" xfId="1457" xr:uid="{00000000-0005-0000-0000-00006E010000}"/>
    <cellStyle name="40% - Accent3 5" xfId="1459" xr:uid="{00000000-0005-0000-0000-00006F010000}"/>
    <cellStyle name="40% - Accent3 6" xfId="1461" xr:uid="{00000000-0005-0000-0000-000070010000}"/>
    <cellStyle name="40% - Accent4 2" xfId="639" xr:uid="{00000000-0005-0000-0000-000071010000}"/>
    <cellStyle name="40% - Accent4 2 2" xfId="1465" xr:uid="{00000000-0005-0000-0000-000072010000}"/>
    <cellStyle name="40% - Accent4 2 2 2" xfId="1478" xr:uid="{00000000-0005-0000-0000-000073010000}"/>
    <cellStyle name="40% - Accent4 2 2 2 2" xfId="244" xr:uid="{00000000-0005-0000-0000-000074010000}"/>
    <cellStyle name="40% - Accent4 2 2 2 2 2" xfId="1482" xr:uid="{00000000-0005-0000-0000-000075010000}"/>
    <cellStyle name="40% - Accent4 2 2 2 2 2 2" xfId="119" xr:uid="{00000000-0005-0000-0000-000076010000}"/>
    <cellStyle name="40% - Accent4 2 2 2 2 2 2 2" xfId="1483" xr:uid="{00000000-0005-0000-0000-000077010000}"/>
    <cellStyle name="40% - Accent4 2 2 2 2 3" xfId="1484" xr:uid="{00000000-0005-0000-0000-000078010000}"/>
    <cellStyle name="40% - Accent4 2 2 2 3" xfId="1492" xr:uid="{00000000-0005-0000-0000-000079010000}"/>
    <cellStyle name="40% - Accent4 2 2 3" xfId="1508" xr:uid="{00000000-0005-0000-0000-00007A010000}"/>
    <cellStyle name="40% - Accent4 2 2 4" xfId="1523" xr:uid="{00000000-0005-0000-0000-00007B010000}"/>
    <cellStyle name="40% - Accent4 2 2 5" xfId="1528" xr:uid="{00000000-0005-0000-0000-00007C010000}"/>
    <cellStyle name="40% - Accent4 2 2 6" xfId="1532" xr:uid="{00000000-0005-0000-0000-00007D010000}"/>
    <cellStyle name="40% - Accent4 2 2 7" xfId="202" xr:uid="{00000000-0005-0000-0000-00007E010000}"/>
    <cellStyle name="40% - Accent4 2 2 8" xfId="1217" xr:uid="{00000000-0005-0000-0000-00007F010000}"/>
    <cellStyle name="40% - Accent4 2 3" xfId="1537" xr:uid="{00000000-0005-0000-0000-000080010000}"/>
    <cellStyle name="40% - Accent4 2 4" xfId="1543" xr:uid="{00000000-0005-0000-0000-000081010000}"/>
    <cellStyle name="40% - Accent4 2 4 2" xfId="1548" xr:uid="{00000000-0005-0000-0000-000082010000}"/>
    <cellStyle name="40% - Accent4 2 4 2 2" xfId="1560" xr:uid="{00000000-0005-0000-0000-000083010000}"/>
    <cellStyle name="40% - Accent4 2 4 2 2 2" xfId="1412" xr:uid="{00000000-0005-0000-0000-000084010000}"/>
    <cellStyle name="40% - Accent4 2 4 3" xfId="1567" xr:uid="{00000000-0005-0000-0000-000085010000}"/>
    <cellStyle name="40% - Accent4 2 5" xfId="1569" xr:uid="{00000000-0005-0000-0000-000086010000}"/>
    <cellStyle name="40% - Accent4 2 6" xfId="1572" xr:uid="{00000000-0005-0000-0000-000087010000}"/>
    <cellStyle name="40% - Accent4 2 7" xfId="1574" xr:uid="{00000000-0005-0000-0000-000088010000}"/>
    <cellStyle name="40% - Accent4 2 8" xfId="1576" xr:uid="{00000000-0005-0000-0000-000089010000}"/>
    <cellStyle name="40% - Accent4 3" xfId="1578" xr:uid="{00000000-0005-0000-0000-00008A010000}"/>
    <cellStyle name="40% - Accent4 4" xfId="1463" xr:uid="{00000000-0005-0000-0000-00008B010000}"/>
    <cellStyle name="40% - Accent4 4 2" xfId="1471" xr:uid="{00000000-0005-0000-0000-00008C010000}"/>
    <cellStyle name="40% - Accent4 4 3" xfId="1499" xr:uid="{00000000-0005-0000-0000-00008D010000}"/>
    <cellStyle name="40% - Accent4 4 4" xfId="1515" xr:uid="{00000000-0005-0000-0000-00008E010000}"/>
    <cellStyle name="40% - Accent4 5" xfId="1534" xr:uid="{00000000-0005-0000-0000-00008F010000}"/>
    <cellStyle name="40% - Accent4 6" xfId="1540" xr:uid="{00000000-0005-0000-0000-000090010000}"/>
    <cellStyle name="40% - Accent5 2" xfId="237" xr:uid="{00000000-0005-0000-0000-000091010000}"/>
    <cellStyle name="40% - Accent5 2 2" xfId="533" xr:uid="{00000000-0005-0000-0000-000092010000}"/>
    <cellStyle name="40% - Accent5 2 2 2" xfId="1041" xr:uid="{00000000-0005-0000-0000-000093010000}"/>
    <cellStyle name="40% - Accent5 2 2 2 2" xfId="961" xr:uid="{00000000-0005-0000-0000-000094010000}"/>
    <cellStyle name="40% - Accent5 2 2 2 2 2" xfId="1584" xr:uid="{00000000-0005-0000-0000-000095010000}"/>
    <cellStyle name="40% - Accent5 2 2 2 2 2 2" xfId="1419" xr:uid="{00000000-0005-0000-0000-000096010000}"/>
    <cellStyle name="40% - Accent5 2 2 2 2 2 2 2" xfId="1585" xr:uid="{00000000-0005-0000-0000-000097010000}"/>
    <cellStyle name="40% - Accent5 2 2 2 2 3" xfId="1327" xr:uid="{00000000-0005-0000-0000-000098010000}"/>
    <cellStyle name="40% - Accent5 2 2 2 3" xfId="968" xr:uid="{00000000-0005-0000-0000-000099010000}"/>
    <cellStyle name="40% - Accent5 2 2 3" xfId="1055" xr:uid="{00000000-0005-0000-0000-00009A010000}"/>
    <cellStyle name="40% - Accent5 2 2 4" xfId="1589" xr:uid="{00000000-0005-0000-0000-00009B010000}"/>
    <cellStyle name="40% - Accent5 2 2 5" xfId="1597" xr:uid="{00000000-0005-0000-0000-00009C010000}"/>
    <cellStyle name="40% - Accent5 2 2 6" xfId="1601" xr:uid="{00000000-0005-0000-0000-00009D010000}"/>
    <cellStyle name="40% - Accent5 2 2 7" xfId="1605" xr:uid="{00000000-0005-0000-0000-00009E010000}"/>
    <cellStyle name="40% - Accent5 2 2 8" xfId="278" xr:uid="{00000000-0005-0000-0000-00009F010000}"/>
    <cellStyle name="40% - Accent5 2 3" xfId="546" xr:uid="{00000000-0005-0000-0000-0000A0010000}"/>
    <cellStyle name="40% - Accent5 2 4" xfId="552" xr:uid="{00000000-0005-0000-0000-0000A1010000}"/>
    <cellStyle name="40% - Accent5 2 4 2" xfId="1610" xr:uid="{00000000-0005-0000-0000-0000A2010000}"/>
    <cellStyle name="40% - Accent5 2 4 2 2" xfId="1616" xr:uid="{00000000-0005-0000-0000-0000A3010000}"/>
    <cellStyle name="40% - Accent5 2 4 2 2 2" xfId="1619" xr:uid="{00000000-0005-0000-0000-0000A4010000}"/>
    <cellStyle name="40% - Accent5 2 4 3" xfId="1623" xr:uid="{00000000-0005-0000-0000-0000A5010000}"/>
    <cellStyle name="40% - Accent5 2 5" xfId="557" xr:uid="{00000000-0005-0000-0000-0000A6010000}"/>
    <cellStyle name="40% - Accent5 2 6" xfId="1125" xr:uid="{00000000-0005-0000-0000-0000A7010000}"/>
    <cellStyle name="40% - Accent5 2 7" xfId="1137" xr:uid="{00000000-0005-0000-0000-0000A8010000}"/>
    <cellStyle name="40% - Accent5 2 8" xfId="1148" xr:uid="{00000000-0005-0000-0000-0000A9010000}"/>
    <cellStyle name="40% - Accent5 3" xfId="1626" xr:uid="{00000000-0005-0000-0000-0000AA010000}"/>
    <cellStyle name="40% - Accent5 4" xfId="1630" xr:uid="{00000000-0005-0000-0000-0000AB010000}"/>
    <cellStyle name="40% - Accent5 5" xfId="1634" xr:uid="{00000000-0005-0000-0000-0000AC010000}"/>
    <cellStyle name="40% - Accent5 6" xfId="1637" xr:uid="{00000000-0005-0000-0000-0000AD010000}"/>
    <cellStyle name="40% - Accent6 2" xfId="826" xr:uid="{00000000-0005-0000-0000-0000AE010000}"/>
    <cellStyle name="40% - Accent6 2 2" xfId="1642" xr:uid="{00000000-0005-0000-0000-0000AF010000}"/>
    <cellStyle name="40% - Accent6 2 2 2" xfId="1646" xr:uid="{00000000-0005-0000-0000-0000B0010000}"/>
    <cellStyle name="40% - Accent6 2 2 2 2" xfId="1649" xr:uid="{00000000-0005-0000-0000-0000B1010000}"/>
    <cellStyle name="40% - Accent6 2 2 2 2 2" xfId="1286" xr:uid="{00000000-0005-0000-0000-0000B2010000}"/>
    <cellStyle name="40% - Accent6 2 2 2 2 2 2" xfId="905" xr:uid="{00000000-0005-0000-0000-0000B3010000}"/>
    <cellStyle name="40% - Accent6 2 2 2 2 2 2 2" xfId="1652" xr:uid="{00000000-0005-0000-0000-0000B4010000}"/>
    <cellStyle name="40% - Accent6 2 2 2 2 3" xfId="1288" xr:uid="{00000000-0005-0000-0000-0000B5010000}"/>
    <cellStyle name="40% - Accent6 2 2 2 3" xfId="1655" xr:uid="{00000000-0005-0000-0000-0000B6010000}"/>
    <cellStyle name="40% - Accent6 2 2 3" xfId="834" xr:uid="{00000000-0005-0000-0000-0000B7010000}"/>
    <cellStyle name="40% - Accent6 2 2 4" xfId="980" xr:uid="{00000000-0005-0000-0000-0000B8010000}"/>
    <cellStyle name="40% - Accent6 2 2 5" xfId="987" xr:uid="{00000000-0005-0000-0000-0000B9010000}"/>
    <cellStyle name="40% - Accent6 2 2 6" xfId="1017" xr:uid="{00000000-0005-0000-0000-0000BA010000}"/>
    <cellStyle name="40% - Accent6 2 2 7" xfId="1069" xr:uid="{00000000-0005-0000-0000-0000BB010000}"/>
    <cellStyle name="40% - Accent6 2 2 8" xfId="1658" xr:uid="{00000000-0005-0000-0000-0000BC010000}"/>
    <cellStyle name="40% - Accent6 2 3" xfId="1660" xr:uid="{00000000-0005-0000-0000-0000BD010000}"/>
    <cellStyle name="40% - Accent6 2 4" xfId="1661" xr:uid="{00000000-0005-0000-0000-0000BE010000}"/>
    <cellStyle name="40% - Accent6 2 4 2" xfId="1136" xr:uid="{00000000-0005-0000-0000-0000BF010000}"/>
    <cellStyle name="40% - Accent6 2 4 2 2" xfId="1663" xr:uid="{00000000-0005-0000-0000-0000C0010000}"/>
    <cellStyle name="40% - Accent6 2 4 2 2 2" xfId="1440" xr:uid="{00000000-0005-0000-0000-0000C1010000}"/>
    <cellStyle name="40% - Accent6 2 4 3" xfId="1147" xr:uid="{00000000-0005-0000-0000-0000C2010000}"/>
    <cellStyle name="40% - Accent6 2 5" xfId="1665" xr:uid="{00000000-0005-0000-0000-0000C3010000}"/>
    <cellStyle name="40% - Accent6 2 6" xfId="1666" xr:uid="{00000000-0005-0000-0000-0000C4010000}"/>
    <cellStyle name="40% - Accent6 2 7" xfId="1667" xr:uid="{00000000-0005-0000-0000-0000C5010000}"/>
    <cellStyle name="40% - Accent6 2 8" xfId="125" xr:uid="{00000000-0005-0000-0000-0000C6010000}"/>
    <cellStyle name="40% - Accent6 3" xfId="1618" xr:uid="{00000000-0005-0000-0000-0000C7010000}"/>
    <cellStyle name="40% - Accent6 4" xfId="1469" xr:uid="{00000000-0005-0000-0000-0000C8010000}"/>
    <cellStyle name="40% - Accent6 4 2" xfId="251" xr:uid="{00000000-0005-0000-0000-0000C9010000}"/>
    <cellStyle name="40% - Accent6 4 3" xfId="1486" xr:uid="{00000000-0005-0000-0000-0000CA010000}"/>
    <cellStyle name="40% - Accent6 4 4" xfId="1395" xr:uid="{00000000-0005-0000-0000-0000CB010000}"/>
    <cellStyle name="40% - Accent6 5" xfId="1496" xr:uid="{00000000-0005-0000-0000-0000CC010000}"/>
    <cellStyle name="40% - Accent6 6" xfId="1511" xr:uid="{00000000-0005-0000-0000-0000CD010000}"/>
    <cellStyle name="60% - Accent1 2" xfId="1370" xr:uid="{00000000-0005-0000-0000-0000CE010000}"/>
    <cellStyle name="60% - Accent1 2 2" xfId="824" xr:uid="{00000000-0005-0000-0000-0000CF010000}"/>
    <cellStyle name="60% - Accent1 2 2 2" xfId="1671" xr:uid="{00000000-0005-0000-0000-0000D0010000}"/>
    <cellStyle name="60% - Accent1 2 2 2 2" xfId="1674" xr:uid="{00000000-0005-0000-0000-0000D1010000}"/>
    <cellStyle name="60% - Accent1 2 2 2 2 2" xfId="1678" xr:uid="{00000000-0005-0000-0000-0000D2010000}"/>
    <cellStyle name="60% - Accent1 2 2 2 2 2 2" xfId="1680" xr:uid="{00000000-0005-0000-0000-0000D3010000}"/>
    <cellStyle name="60% - Accent1 2 2 2 2 2 2 2" xfId="1681" xr:uid="{00000000-0005-0000-0000-0000D4010000}"/>
    <cellStyle name="60% - Accent1 2 2 2 2 3" xfId="1684" xr:uid="{00000000-0005-0000-0000-0000D5010000}"/>
    <cellStyle name="60% - Accent1 2 2 2 3" xfId="1686" xr:uid="{00000000-0005-0000-0000-0000D6010000}"/>
    <cellStyle name="60% - Accent1 2 2 3" xfId="1690" xr:uid="{00000000-0005-0000-0000-0000D7010000}"/>
    <cellStyle name="60% - Accent1 2 2 4" xfId="1692" xr:uid="{00000000-0005-0000-0000-0000D8010000}"/>
    <cellStyle name="60% - Accent1 2 2 5" xfId="1693" xr:uid="{00000000-0005-0000-0000-0000D9010000}"/>
    <cellStyle name="60% - Accent1 2 2 6" xfId="101" xr:uid="{00000000-0005-0000-0000-0000DA010000}"/>
    <cellStyle name="60% - Accent1 2 2 7" xfId="1695" xr:uid="{00000000-0005-0000-0000-0000DB010000}"/>
    <cellStyle name="60% - Accent1 2 2 8" xfId="1698" xr:uid="{00000000-0005-0000-0000-0000DC010000}"/>
    <cellStyle name="60% - Accent1 2 3" xfId="831" xr:uid="{00000000-0005-0000-0000-0000DD010000}"/>
    <cellStyle name="60% - Accent1 2 4" xfId="1621" xr:uid="{00000000-0005-0000-0000-0000DE010000}"/>
    <cellStyle name="60% - Accent1 2 4 2" xfId="1702" xr:uid="{00000000-0005-0000-0000-0000DF010000}"/>
    <cellStyle name="60% - Accent1 2 4 2 2" xfId="1703" xr:uid="{00000000-0005-0000-0000-0000E0010000}"/>
    <cellStyle name="60% - Accent1 2 4 2 2 2" xfId="1709" xr:uid="{00000000-0005-0000-0000-0000E1010000}"/>
    <cellStyle name="60% - Accent1 2 4 3" xfId="1711" xr:uid="{00000000-0005-0000-0000-0000E2010000}"/>
    <cellStyle name="60% - Accent1 2 5" xfId="1713" xr:uid="{00000000-0005-0000-0000-0000E3010000}"/>
    <cellStyle name="60% - Accent1 2 6" xfId="1715" xr:uid="{00000000-0005-0000-0000-0000E4010000}"/>
    <cellStyle name="60% - Accent1 2 7" xfId="1717" xr:uid="{00000000-0005-0000-0000-0000E5010000}"/>
    <cellStyle name="60% - Accent1 2 8" xfId="1719" xr:uid="{00000000-0005-0000-0000-0000E6010000}"/>
    <cellStyle name="60% - Accent1 3" xfId="1721" xr:uid="{00000000-0005-0000-0000-0000E7010000}"/>
    <cellStyle name="60% - Accent1 4" xfId="1725" xr:uid="{00000000-0005-0000-0000-0000E8010000}"/>
    <cellStyle name="60% - Accent1 4 2" xfId="1240" xr:uid="{00000000-0005-0000-0000-0000E9010000}"/>
    <cellStyle name="60% - Accent1 5" xfId="1728" xr:uid="{00000000-0005-0000-0000-0000EA010000}"/>
    <cellStyle name="60% - Accent1 6" xfId="1731" xr:uid="{00000000-0005-0000-0000-0000EB010000}"/>
    <cellStyle name="60% - Accent2 2" xfId="1734" xr:uid="{00000000-0005-0000-0000-0000EC010000}"/>
    <cellStyle name="60% - Accent2 2 10" xfId="1736" xr:uid="{00000000-0005-0000-0000-0000ED010000}"/>
    <cellStyle name="60% - Accent2 2 2" xfId="1739" xr:uid="{00000000-0005-0000-0000-0000EE010000}"/>
    <cellStyle name="60% - Accent2 2 2 2" xfId="1741" xr:uid="{00000000-0005-0000-0000-0000EF010000}"/>
    <cellStyle name="60% - Accent2 2 2 2 2" xfId="1745" xr:uid="{00000000-0005-0000-0000-0000F0010000}"/>
    <cellStyle name="60% - Accent2 2 2 2 2 2" xfId="1747" xr:uid="{00000000-0005-0000-0000-0000F1010000}"/>
    <cellStyle name="60% - Accent2 2 2 2 2 2 2" xfId="1749" xr:uid="{00000000-0005-0000-0000-0000F2010000}"/>
    <cellStyle name="60% - Accent2 2 2 2 2 2 2 2" xfId="1752" xr:uid="{00000000-0005-0000-0000-0000F3010000}"/>
    <cellStyle name="60% - Accent2 2 2 2 2 2 2 2 2" xfId="1756" xr:uid="{00000000-0005-0000-0000-0000F4010000}"/>
    <cellStyle name="60% - Accent2 2 2 2 2 2 3" xfId="1758" xr:uid="{00000000-0005-0000-0000-0000F5010000}"/>
    <cellStyle name="60% - Accent2 2 2 2 2 3" xfId="1761" xr:uid="{00000000-0005-0000-0000-0000F6010000}"/>
    <cellStyle name="60% - Accent2 2 2 2 3" xfId="1767" xr:uid="{00000000-0005-0000-0000-0000F7010000}"/>
    <cellStyle name="60% - Accent2 2 2 2 4" xfId="1768" xr:uid="{00000000-0005-0000-0000-0000F8010000}"/>
    <cellStyle name="60% - Accent2 2 2 2 5" xfId="1769" xr:uid="{00000000-0005-0000-0000-0000F9010000}"/>
    <cellStyle name="60% - Accent2 2 2 2 6" xfId="1664" xr:uid="{00000000-0005-0000-0000-0000FA010000}"/>
    <cellStyle name="60% - Accent2 2 2 2 7" xfId="1770" xr:uid="{00000000-0005-0000-0000-0000FB010000}"/>
    <cellStyle name="60% - Accent2 2 2 3" xfId="1772" xr:uid="{00000000-0005-0000-0000-0000FC010000}"/>
    <cellStyle name="60% - Accent2 2 2 4" xfId="1774" xr:uid="{00000000-0005-0000-0000-0000FD010000}"/>
    <cellStyle name="60% - Accent2 2 2 4 2" xfId="1777" xr:uid="{00000000-0005-0000-0000-0000FE010000}"/>
    <cellStyle name="60% - Accent2 2 2 4 2 2" xfId="1779" xr:uid="{00000000-0005-0000-0000-0000FF010000}"/>
    <cellStyle name="60% - Accent2 2 2 4 2 2 2" xfId="1781" xr:uid="{00000000-0005-0000-0000-000000020000}"/>
    <cellStyle name="60% - Accent2 2 2 4 3" xfId="1782" xr:uid="{00000000-0005-0000-0000-000001020000}"/>
    <cellStyle name="60% - Accent2 2 2 5" xfId="1783" xr:uid="{00000000-0005-0000-0000-000002020000}"/>
    <cellStyle name="60% - Accent2 2 2 6" xfId="1784" xr:uid="{00000000-0005-0000-0000-000003020000}"/>
    <cellStyle name="60% - Accent2 2 2 7" xfId="1785" xr:uid="{00000000-0005-0000-0000-000004020000}"/>
    <cellStyle name="60% - Accent2 2 2 8" xfId="1786" xr:uid="{00000000-0005-0000-0000-000005020000}"/>
    <cellStyle name="60% - Accent2 2 2 9" xfId="1787" xr:uid="{00000000-0005-0000-0000-000006020000}"/>
    <cellStyle name="60% - Accent2 2 3" xfId="1790" xr:uid="{00000000-0005-0000-0000-000007020000}"/>
    <cellStyle name="60% - Accent2 2 4" xfId="1793" xr:uid="{00000000-0005-0000-0000-000008020000}"/>
    <cellStyle name="60% - Accent2 2 5" xfId="1796" xr:uid="{00000000-0005-0000-0000-000009020000}"/>
    <cellStyle name="60% - Accent2 2 6" xfId="1799" xr:uid="{00000000-0005-0000-0000-00000A020000}"/>
    <cellStyle name="60% - Accent2 2 6 2" xfId="1802" xr:uid="{00000000-0005-0000-0000-00000B020000}"/>
    <cellStyle name="60% - Accent2 2 6 2 2" xfId="1808" xr:uid="{00000000-0005-0000-0000-00000C020000}"/>
    <cellStyle name="60% - Accent2 2 6 2 2 2" xfId="1816" xr:uid="{00000000-0005-0000-0000-00000D020000}"/>
    <cellStyle name="60% - Accent2 2 6 3" xfId="1824" xr:uid="{00000000-0005-0000-0000-00000E020000}"/>
    <cellStyle name="60% - Accent2 2 7" xfId="1827" xr:uid="{00000000-0005-0000-0000-00000F020000}"/>
    <cellStyle name="60% - Accent2 2 8" xfId="1830" xr:uid="{00000000-0005-0000-0000-000010020000}"/>
    <cellStyle name="60% - Accent2 2 9" xfId="1832" xr:uid="{00000000-0005-0000-0000-000011020000}"/>
    <cellStyle name="60% - Accent2 3" xfId="1834" xr:uid="{00000000-0005-0000-0000-000012020000}"/>
    <cellStyle name="60% - Accent2 3 2" xfId="1835" xr:uid="{00000000-0005-0000-0000-000013020000}"/>
    <cellStyle name="60% - Accent2 3 3" xfId="1837" xr:uid="{00000000-0005-0000-0000-000014020000}"/>
    <cellStyle name="60% - Accent2 3 4" xfId="1839" xr:uid="{00000000-0005-0000-0000-000015020000}"/>
    <cellStyle name="60% - Accent2 4" xfId="1840" xr:uid="{00000000-0005-0000-0000-000016020000}"/>
    <cellStyle name="60% - Accent2 4 2" xfId="667" xr:uid="{00000000-0005-0000-0000-000017020000}"/>
    <cellStyle name="60% - Accent2 4 3" xfId="1842" xr:uid="{00000000-0005-0000-0000-000018020000}"/>
    <cellStyle name="60% - Accent2 4 4" xfId="1844" xr:uid="{00000000-0005-0000-0000-000019020000}"/>
    <cellStyle name="60% - Accent2 5" xfId="1845" xr:uid="{00000000-0005-0000-0000-00001A020000}"/>
    <cellStyle name="60% - Accent2 5 2" xfId="1846" xr:uid="{00000000-0005-0000-0000-00001B020000}"/>
    <cellStyle name="60% - Accent2 5 3" xfId="1848" xr:uid="{00000000-0005-0000-0000-00001C020000}"/>
    <cellStyle name="60% - Accent2 5 4" xfId="1850" xr:uid="{00000000-0005-0000-0000-00001D020000}"/>
    <cellStyle name="60% - Accent2 6" xfId="499" xr:uid="{00000000-0005-0000-0000-00001E020000}"/>
    <cellStyle name="60% - Accent2 6 2" xfId="502" xr:uid="{00000000-0005-0000-0000-00001F020000}"/>
    <cellStyle name="60% - Accent2 6 3" xfId="1852" xr:uid="{00000000-0005-0000-0000-000020020000}"/>
    <cellStyle name="60% - Accent2 6 4" xfId="1855" xr:uid="{00000000-0005-0000-0000-000021020000}"/>
    <cellStyle name="60% - Accent3 2" xfId="1860" xr:uid="{00000000-0005-0000-0000-000022020000}"/>
    <cellStyle name="60% - Accent3 2 2" xfId="1862" xr:uid="{00000000-0005-0000-0000-000023020000}"/>
    <cellStyle name="60% - Accent3 2 2 2" xfId="1864" xr:uid="{00000000-0005-0000-0000-000024020000}"/>
    <cellStyle name="60% - Accent3 2 2 2 2" xfId="1866" xr:uid="{00000000-0005-0000-0000-000025020000}"/>
    <cellStyle name="60% - Accent3 2 2 2 2 2" xfId="1868" xr:uid="{00000000-0005-0000-0000-000026020000}"/>
    <cellStyle name="60% - Accent3 2 2 2 2 2 2" xfId="1869" xr:uid="{00000000-0005-0000-0000-000027020000}"/>
    <cellStyle name="60% - Accent3 2 2 2 2 2 2 2" xfId="1871" xr:uid="{00000000-0005-0000-0000-000028020000}"/>
    <cellStyle name="60% - Accent3 2 2 2 2 3" xfId="1874" xr:uid="{00000000-0005-0000-0000-000029020000}"/>
    <cellStyle name="60% - Accent3 2 2 2 3" xfId="1875" xr:uid="{00000000-0005-0000-0000-00002A020000}"/>
    <cellStyle name="60% - Accent3 2 2 3" xfId="1877" xr:uid="{00000000-0005-0000-0000-00002B020000}"/>
    <cellStyle name="60% - Accent3 2 2 4" xfId="1879" xr:uid="{00000000-0005-0000-0000-00002C020000}"/>
    <cellStyle name="60% - Accent3 2 2 5" xfId="1880" xr:uid="{00000000-0005-0000-0000-00002D020000}"/>
    <cellStyle name="60% - Accent3 2 2 6" xfId="1882" xr:uid="{00000000-0005-0000-0000-00002E020000}"/>
    <cellStyle name="60% - Accent3 2 2 7" xfId="1883" xr:uid="{00000000-0005-0000-0000-00002F020000}"/>
    <cellStyle name="60% - Accent3 2 2 8" xfId="1884" xr:uid="{00000000-0005-0000-0000-000030020000}"/>
    <cellStyle name="60% - Accent3 2 3" xfId="1887" xr:uid="{00000000-0005-0000-0000-000031020000}"/>
    <cellStyle name="60% - Accent3 2 4" xfId="1890" xr:uid="{00000000-0005-0000-0000-000032020000}"/>
    <cellStyle name="60% - Accent3 2 4 2" xfId="1892" xr:uid="{00000000-0005-0000-0000-000033020000}"/>
    <cellStyle name="60% - Accent3 2 4 2 2" xfId="1894" xr:uid="{00000000-0005-0000-0000-000034020000}"/>
    <cellStyle name="60% - Accent3 2 4 2 2 2" xfId="1897" xr:uid="{00000000-0005-0000-0000-000035020000}"/>
    <cellStyle name="60% - Accent3 2 4 3" xfId="1902" xr:uid="{00000000-0005-0000-0000-000036020000}"/>
    <cellStyle name="60% - Accent3 2 5" xfId="242" xr:uid="{00000000-0005-0000-0000-000037020000}"/>
    <cellStyle name="60% - Accent3 2 6" xfId="1494" xr:uid="{00000000-0005-0000-0000-000038020000}"/>
    <cellStyle name="60% - Accent3 2 7" xfId="1904" xr:uid="{00000000-0005-0000-0000-000039020000}"/>
    <cellStyle name="60% - Accent3 2 8" xfId="1253" xr:uid="{00000000-0005-0000-0000-00003A020000}"/>
    <cellStyle name="60% - Accent3 3" xfId="1906" xr:uid="{00000000-0005-0000-0000-00003B020000}"/>
    <cellStyle name="60% - Accent3 4" xfId="1907" xr:uid="{00000000-0005-0000-0000-00003C020000}"/>
    <cellStyle name="60% - Accent3 4 2" xfId="1908" xr:uid="{00000000-0005-0000-0000-00003D020000}"/>
    <cellStyle name="60% - Accent3 5" xfId="1909" xr:uid="{00000000-0005-0000-0000-00003E020000}"/>
    <cellStyle name="60% - Accent3 6" xfId="1910" xr:uid="{00000000-0005-0000-0000-00003F020000}"/>
    <cellStyle name="60% - Accent4 2" xfId="1913" xr:uid="{00000000-0005-0000-0000-000040020000}"/>
    <cellStyle name="60% - Accent4 2 2" xfId="1916" xr:uid="{00000000-0005-0000-0000-000041020000}"/>
    <cellStyle name="60% - Accent4 2 2 2" xfId="415" xr:uid="{00000000-0005-0000-0000-000042020000}"/>
    <cellStyle name="60% - Accent4 2 2 2 2" xfId="419" xr:uid="{00000000-0005-0000-0000-000043020000}"/>
    <cellStyle name="60% - Accent4 2 2 2 2 2" xfId="1919" xr:uid="{00000000-0005-0000-0000-000044020000}"/>
    <cellStyle name="60% - Accent4 2 2 2 2 2 2" xfId="1921" xr:uid="{00000000-0005-0000-0000-000045020000}"/>
    <cellStyle name="60% - Accent4 2 2 2 2 2 2 2" xfId="1922" xr:uid="{00000000-0005-0000-0000-000046020000}"/>
    <cellStyle name="60% - Accent4 2 2 2 2 3" xfId="1924" xr:uid="{00000000-0005-0000-0000-000047020000}"/>
    <cellStyle name="60% - Accent4 2 2 2 3" xfId="423" xr:uid="{00000000-0005-0000-0000-000048020000}"/>
    <cellStyle name="60% - Accent4 2 2 3" xfId="437" xr:uid="{00000000-0005-0000-0000-000049020000}"/>
    <cellStyle name="60% - Accent4 2 2 4" xfId="1930" xr:uid="{00000000-0005-0000-0000-00004A020000}"/>
    <cellStyle name="60% - Accent4 2 2 5" xfId="1932" xr:uid="{00000000-0005-0000-0000-00004B020000}"/>
    <cellStyle name="60% - Accent4 2 2 6" xfId="1933" xr:uid="{00000000-0005-0000-0000-00004C020000}"/>
    <cellStyle name="60% - Accent4 2 2 7" xfId="1934" xr:uid="{00000000-0005-0000-0000-00004D020000}"/>
    <cellStyle name="60% - Accent4 2 2 8" xfId="1936" xr:uid="{00000000-0005-0000-0000-00004E020000}"/>
    <cellStyle name="60% - Accent4 2 3" xfId="1944" xr:uid="{00000000-0005-0000-0000-00004F020000}"/>
    <cellStyle name="60% - Accent4 2 4" xfId="1949" xr:uid="{00000000-0005-0000-0000-000050020000}"/>
    <cellStyle name="60% - Accent4 2 4 2" xfId="740" xr:uid="{00000000-0005-0000-0000-000051020000}"/>
    <cellStyle name="60% - Accent4 2 4 2 2" xfId="1953" xr:uid="{00000000-0005-0000-0000-000052020000}"/>
    <cellStyle name="60% - Accent4 2 4 2 2 2" xfId="1957" xr:uid="{00000000-0005-0000-0000-000053020000}"/>
    <cellStyle name="60% - Accent4 2 4 3" xfId="231" xr:uid="{00000000-0005-0000-0000-000054020000}"/>
    <cellStyle name="60% - Accent4 2 5" xfId="1374" xr:uid="{00000000-0005-0000-0000-000055020000}"/>
    <cellStyle name="60% - Accent4 2 6" xfId="1724" xr:uid="{00000000-0005-0000-0000-000056020000}"/>
    <cellStyle name="60% - Accent4 2 7" xfId="1727" xr:uid="{00000000-0005-0000-0000-000057020000}"/>
    <cellStyle name="60% - Accent4 2 8" xfId="1730" xr:uid="{00000000-0005-0000-0000-000058020000}"/>
    <cellStyle name="60% - Accent4 3" xfId="1959" xr:uid="{00000000-0005-0000-0000-000059020000}"/>
    <cellStyle name="60% - Accent4 4" xfId="1960" xr:uid="{00000000-0005-0000-0000-00005A020000}"/>
    <cellStyle name="60% - Accent4 4 2" xfId="1962" xr:uid="{00000000-0005-0000-0000-00005B020000}"/>
    <cellStyle name="60% - Accent4 4 3" xfId="1965" xr:uid="{00000000-0005-0000-0000-00005C020000}"/>
    <cellStyle name="60% - Accent4 4 4" xfId="1968" xr:uid="{00000000-0005-0000-0000-00005D020000}"/>
    <cellStyle name="60% - Accent4 5" xfId="1969" xr:uid="{00000000-0005-0000-0000-00005E020000}"/>
    <cellStyle name="60% - Accent4 6" xfId="1970" xr:uid="{00000000-0005-0000-0000-00005F020000}"/>
    <cellStyle name="60% - Accent5 2" xfId="1974" xr:uid="{00000000-0005-0000-0000-000060020000}"/>
    <cellStyle name="60% - Accent5 2 2" xfId="1978" xr:uid="{00000000-0005-0000-0000-000061020000}"/>
    <cellStyle name="60% - Accent5 2 2 2" xfId="1983" xr:uid="{00000000-0005-0000-0000-000062020000}"/>
    <cellStyle name="60% - Accent5 2 2 2 2" xfId="1991" xr:uid="{00000000-0005-0000-0000-000063020000}"/>
    <cellStyle name="60% - Accent5 2 2 2 2 2" xfId="1995" xr:uid="{00000000-0005-0000-0000-000064020000}"/>
    <cellStyle name="60% - Accent5 2 2 2 2 2 2" xfId="2000" xr:uid="{00000000-0005-0000-0000-000065020000}"/>
    <cellStyle name="60% - Accent5 2 2 2 2 2 2 2" xfId="2002" xr:uid="{00000000-0005-0000-0000-000066020000}"/>
    <cellStyle name="60% - Accent5 2 2 2 2 3" xfId="2006" xr:uid="{00000000-0005-0000-0000-000067020000}"/>
    <cellStyle name="60% - Accent5 2 2 2 3" xfId="2008" xr:uid="{00000000-0005-0000-0000-000068020000}"/>
    <cellStyle name="60% - Accent5 2 2 3" xfId="2011" xr:uid="{00000000-0005-0000-0000-000069020000}"/>
    <cellStyle name="60% - Accent5 2 2 4" xfId="2016" xr:uid="{00000000-0005-0000-0000-00006A020000}"/>
    <cellStyle name="60% - Accent5 2 2 5" xfId="486" xr:uid="{00000000-0005-0000-0000-00006B020000}"/>
    <cellStyle name="60% - Accent5 2 2 6" xfId="518" xr:uid="{00000000-0005-0000-0000-00006C020000}"/>
    <cellStyle name="60% - Accent5 2 2 7" xfId="2018" xr:uid="{00000000-0005-0000-0000-00006D020000}"/>
    <cellStyle name="60% - Accent5 2 2 8" xfId="2020" xr:uid="{00000000-0005-0000-0000-00006E020000}"/>
    <cellStyle name="60% - Accent5 2 3" xfId="2023" xr:uid="{00000000-0005-0000-0000-00006F020000}"/>
    <cellStyle name="60% - Accent5 2 4" xfId="2028" xr:uid="{00000000-0005-0000-0000-000070020000}"/>
    <cellStyle name="60% - Accent5 2 4 2" xfId="2036" xr:uid="{00000000-0005-0000-0000-000071020000}"/>
    <cellStyle name="60% - Accent5 2 4 2 2" xfId="2041" xr:uid="{00000000-0005-0000-0000-000072020000}"/>
    <cellStyle name="60% - Accent5 2 4 2 2 2" xfId="2045" xr:uid="{00000000-0005-0000-0000-000073020000}"/>
    <cellStyle name="60% - Accent5 2 4 3" xfId="2053" xr:uid="{00000000-0005-0000-0000-000074020000}"/>
    <cellStyle name="60% - Accent5 2 5" xfId="1556" xr:uid="{00000000-0005-0000-0000-000075020000}"/>
    <cellStyle name="60% - Accent5 2 6" xfId="2060" xr:uid="{00000000-0005-0000-0000-000076020000}"/>
    <cellStyle name="60% - Accent5 2 7" xfId="2069" xr:uid="{00000000-0005-0000-0000-000077020000}"/>
    <cellStyle name="60% - Accent5 2 8" xfId="2075" xr:uid="{00000000-0005-0000-0000-000078020000}"/>
    <cellStyle name="60% - Accent5 3" xfId="2079" xr:uid="{00000000-0005-0000-0000-000079020000}"/>
    <cellStyle name="60% - Accent5 4" xfId="2081" xr:uid="{00000000-0005-0000-0000-00007A020000}"/>
    <cellStyle name="60% - Accent5 5" xfId="2082" xr:uid="{00000000-0005-0000-0000-00007B020000}"/>
    <cellStyle name="60% - Accent5 6" xfId="2083" xr:uid="{00000000-0005-0000-0000-00007C020000}"/>
    <cellStyle name="60% - Accent6 2" xfId="1544" xr:uid="{00000000-0005-0000-0000-00007D020000}"/>
    <cellStyle name="60% - Accent6 2 10" xfId="2084" xr:uid="{00000000-0005-0000-0000-00007E020000}"/>
    <cellStyle name="60% - Accent6 2 2" xfId="1549" xr:uid="{00000000-0005-0000-0000-00007F020000}"/>
    <cellStyle name="60% - Accent6 2 2 2" xfId="1561" xr:uid="{00000000-0005-0000-0000-000080020000}"/>
    <cellStyle name="60% - Accent6 2 2 2 2" xfId="1414" xr:uid="{00000000-0005-0000-0000-000081020000}"/>
    <cellStyle name="60% - Accent6 2 2 2 2 2" xfId="2087" xr:uid="{00000000-0005-0000-0000-000082020000}"/>
    <cellStyle name="60% - Accent6 2 2 2 2 2 2" xfId="2091" xr:uid="{00000000-0005-0000-0000-000083020000}"/>
    <cellStyle name="60% - Accent6 2 2 2 2 2 2 2" xfId="2096" xr:uid="{00000000-0005-0000-0000-000084020000}"/>
    <cellStyle name="60% - Accent6 2 2 2 2 2 2 2 2" xfId="2101" xr:uid="{00000000-0005-0000-0000-000085020000}"/>
    <cellStyle name="60% - Accent6 2 2 2 2 2 3" xfId="99" xr:uid="{00000000-0005-0000-0000-000086020000}"/>
    <cellStyle name="60% - Accent6 2 2 2 2 3" xfId="2103" xr:uid="{00000000-0005-0000-0000-000087020000}"/>
    <cellStyle name="60% - Accent6 2 2 2 3" xfId="1420" xr:uid="{00000000-0005-0000-0000-000088020000}"/>
    <cellStyle name="60% - Accent6 2 2 2 4" xfId="2105" xr:uid="{00000000-0005-0000-0000-000089020000}"/>
    <cellStyle name="60% - Accent6 2 2 2 5" xfId="2109" xr:uid="{00000000-0005-0000-0000-00008A020000}"/>
    <cellStyle name="60% - Accent6 2 2 2 6" xfId="2113" xr:uid="{00000000-0005-0000-0000-00008B020000}"/>
    <cellStyle name="60% - Accent6 2 2 2 7" xfId="2117" xr:uid="{00000000-0005-0000-0000-00008C020000}"/>
    <cellStyle name="60% - Accent6 2 2 3" xfId="2064" xr:uid="{00000000-0005-0000-0000-00008D020000}"/>
    <cellStyle name="60% - Accent6 2 2 4" xfId="2073" xr:uid="{00000000-0005-0000-0000-00008E020000}"/>
    <cellStyle name="60% - Accent6 2 2 4 2" xfId="2120" xr:uid="{00000000-0005-0000-0000-00008F020000}"/>
    <cellStyle name="60% - Accent6 2 2 4 2 2" xfId="2126" xr:uid="{00000000-0005-0000-0000-000090020000}"/>
    <cellStyle name="60% - Accent6 2 2 4 2 2 2" xfId="2130" xr:uid="{00000000-0005-0000-0000-000091020000}"/>
    <cellStyle name="60% - Accent6 2 2 4 3" xfId="2132" xr:uid="{00000000-0005-0000-0000-000092020000}"/>
    <cellStyle name="60% - Accent6 2 2 5" xfId="2077" xr:uid="{00000000-0005-0000-0000-000093020000}"/>
    <cellStyle name="60% - Accent6 2 2 6" xfId="2135" xr:uid="{00000000-0005-0000-0000-000094020000}"/>
    <cellStyle name="60% - Accent6 2 2 7" xfId="2138" xr:uid="{00000000-0005-0000-0000-000095020000}"/>
    <cellStyle name="60% - Accent6 2 2 8" xfId="2141" xr:uid="{00000000-0005-0000-0000-000096020000}"/>
    <cellStyle name="60% - Accent6 2 2 9" xfId="2143" xr:uid="{00000000-0005-0000-0000-000097020000}"/>
    <cellStyle name="60% - Accent6 2 3" xfId="1568" xr:uid="{00000000-0005-0000-0000-000098020000}"/>
    <cellStyle name="60% - Accent6 2 4" xfId="2147" xr:uid="{00000000-0005-0000-0000-000099020000}"/>
    <cellStyle name="60% - Accent6 2 5" xfId="2152" xr:uid="{00000000-0005-0000-0000-00009A020000}"/>
    <cellStyle name="60% - Accent6 2 6" xfId="2157" xr:uid="{00000000-0005-0000-0000-00009B020000}"/>
    <cellStyle name="60% - Accent6 2 6 2" xfId="2158" xr:uid="{00000000-0005-0000-0000-00009C020000}"/>
    <cellStyle name="60% - Accent6 2 6 2 2" xfId="2162" xr:uid="{00000000-0005-0000-0000-00009D020000}"/>
    <cellStyle name="60% - Accent6 2 6 2 2 2" xfId="2168" xr:uid="{00000000-0005-0000-0000-00009E020000}"/>
    <cellStyle name="60% - Accent6 2 6 3" xfId="2173" xr:uid="{00000000-0005-0000-0000-00009F020000}"/>
    <cellStyle name="60% - Accent6 2 7" xfId="2178" xr:uid="{00000000-0005-0000-0000-0000A0020000}"/>
    <cellStyle name="60% - Accent6 2 8" xfId="2179" xr:uid="{00000000-0005-0000-0000-0000A1020000}"/>
    <cellStyle name="60% - Accent6 2 9" xfId="2180" xr:uid="{00000000-0005-0000-0000-0000A2020000}"/>
    <cellStyle name="60% - Accent6 3" xfId="1570" xr:uid="{00000000-0005-0000-0000-0000A3020000}"/>
    <cellStyle name="60% - Accent6 3 2" xfId="2183" xr:uid="{00000000-0005-0000-0000-0000A4020000}"/>
    <cellStyle name="60% - Accent6 3 3" xfId="2187" xr:uid="{00000000-0005-0000-0000-0000A5020000}"/>
    <cellStyle name="60% - Accent6 3 4" xfId="2190" xr:uid="{00000000-0005-0000-0000-0000A6020000}"/>
    <cellStyle name="60% - Accent6 4" xfId="1573" xr:uid="{00000000-0005-0000-0000-0000A7020000}"/>
    <cellStyle name="60% - Accent6 4 2" xfId="2194" xr:uid="{00000000-0005-0000-0000-0000A8020000}"/>
    <cellStyle name="60% - Accent6 4 3" xfId="2196" xr:uid="{00000000-0005-0000-0000-0000A9020000}"/>
    <cellStyle name="60% - Accent6 4 4" xfId="2198" xr:uid="{00000000-0005-0000-0000-0000AA020000}"/>
    <cellStyle name="60% - Accent6 5" xfId="1575" xr:uid="{00000000-0005-0000-0000-0000AB020000}"/>
    <cellStyle name="60% - Accent6 5 2" xfId="2199" xr:uid="{00000000-0005-0000-0000-0000AC020000}"/>
    <cellStyle name="60% - Accent6 5 3" xfId="2201" xr:uid="{00000000-0005-0000-0000-0000AD020000}"/>
    <cellStyle name="60% - Accent6 5 4" xfId="2203" xr:uid="{00000000-0005-0000-0000-0000AE020000}"/>
    <cellStyle name="60% - Accent6 6" xfId="1577" xr:uid="{00000000-0005-0000-0000-0000AF020000}"/>
    <cellStyle name="60% - Accent6 6 2" xfId="2204" xr:uid="{00000000-0005-0000-0000-0000B0020000}"/>
    <cellStyle name="60% - Accent6 6 3" xfId="2206" xr:uid="{00000000-0005-0000-0000-0000B1020000}"/>
    <cellStyle name="60% - Accent6 6 4" xfId="2208" xr:uid="{00000000-0005-0000-0000-0000B2020000}"/>
    <cellStyle name="Accent1 - 20%" xfId="107" xr:uid="{00000000-0005-0000-0000-0000B3020000}"/>
    <cellStyle name="Accent1 - 20% 2" xfId="211" xr:uid="{00000000-0005-0000-0000-0000B4020000}"/>
    <cellStyle name="Accent1 - 20% 2 2" xfId="187" xr:uid="{00000000-0005-0000-0000-0000B5020000}"/>
    <cellStyle name="Accent1 - 20% 2 3" xfId="331" xr:uid="{00000000-0005-0000-0000-0000B6020000}"/>
    <cellStyle name="Accent1 - 20% 3" xfId="390" xr:uid="{00000000-0005-0000-0000-0000B7020000}"/>
    <cellStyle name="Accent1 - 20% 4" xfId="408" xr:uid="{00000000-0005-0000-0000-0000B8020000}"/>
    <cellStyle name="Accent1 - 40%" xfId="1423" xr:uid="{00000000-0005-0000-0000-0000B9020000}"/>
    <cellStyle name="Accent1 - 40% 2" xfId="2210" xr:uid="{00000000-0005-0000-0000-0000BA020000}"/>
    <cellStyle name="Accent1 - 60%" xfId="324" xr:uid="{00000000-0005-0000-0000-0000BB020000}"/>
    <cellStyle name="Accent1 - 60% 2" xfId="2212" xr:uid="{00000000-0005-0000-0000-0000BC020000}"/>
    <cellStyle name="Accent1 - 60% 2 2" xfId="2213" xr:uid="{00000000-0005-0000-0000-0000BD020000}"/>
    <cellStyle name="Accent1 - 60% 2 3" xfId="2214" xr:uid="{00000000-0005-0000-0000-0000BE020000}"/>
    <cellStyle name="Accent1 - 60% 3" xfId="2216" xr:uid="{00000000-0005-0000-0000-0000BF020000}"/>
    <cellStyle name="Accent1 - 60% 4" xfId="2218" xr:uid="{00000000-0005-0000-0000-0000C0020000}"/>
    <cellStyle name="Accent1 2" xfId="2221" xr:uid="{00000000-0005-0000-0000-0000C1020000}"/>
    <cellStyle name="Accent1 2 2" xfId="2223" xr:uid="{00000000-0005-0000-0000-0000C2020000}"/>
    <cellStyle name="Accent1 2 2 2" xfId="2224" xr:uid="{00000000-0005-0000-0000-0000C3020000}"/>
    <cellStyle name="Accent1 2 2 3" xfId="2225" xr:uid="{00000000-0005-0000-0000-0000C4020000}"/>
    <cellStyle name="Accent1 2 2 4" xfId="2226" xr:uid="{00000000-0005-0000-0000-0000C5020000}"/>
    <cellStyle name="Accent1 2 3" xfId="2228" xr:uid="{00000000-0005-0000-0000-0000C6020000}"/>
    <cellStyle name="Accent1 2 4" xfId="2231" xr:uid="{00000000-0005-0000-0000-0000C7020000}"/>
    <cellStyle name="Accent1 2 5" xfId="2234" xr:uid="{00000000-0005-0000-0000-0000C8020000}"/>
    <cellStyle name="Accent1 2 5 2" xfId="2237" xr:uid="{00000000-0005-0000-0000-0000C9020000}"/>
    <cellStyle name="Accent1 2 5 2 2" xfId="2239" xr:uid="{00000000-0005-0000-0000-0000CA020000}"/>
    <cellStyle name="Accent1 2 5 2 2 2" xfId="2240" xr:uid="{00000000-0005-0000-0000-0000CB020000}"/>
    <cellStyle name="Accent1 2 5 3" xfId="2242" xr:uid="{00000000-0005-0000-0000-0000CC020000}"/>
    <cellStyle name="Accent1 2 6" xfId="2246" xr:uid="{00000000-0005-0000-0000-0000CD020000}"/>
    <cellStyle name="Accent1 2 7" xfId="2249" xr:uid="{00000000-0005-0000-0000-0000CE020000}"/>
    <cellStyle name="Accent1 2 8" xfId="2252" xr:uid="{00000000-0005-0000-0000-0000CF020000}"/>
    <cellStyle name="Accent1 2 9" xfId="2255" xr:uid="{00000000-0005-0000-0000-0000D0020000}"/>
    <cellStyle name="Accent1 3" xfId="2260" xr:uid="{00000000-0005-0000-0000-0000D1020000}"/>
    <cellStyle name="Accent1 4" xfId="2264" xr:uid="{00000000-0005-0000-0000-0000D2020000}"/>
    <cellStyle name="Accent1 4 2" xfId="2265" xr:uid="{00000000-0005-0000-0000-0000D3020000}"/>
    <cellStyle name="Accent1 5" xfId="1920" xr:uid="{00000000-0005-0000-0000-0000D4020000}"/>
    <cellStyle name="Accent1 6" xfId="1925" xr:uid="{00000000-0005-0000-0000-0000D5020000}"/>
    <cellStyle name="Accent1 7" xfId="2267" xr:uid="{00000000-0005-0000-0000-0000D6020000}"/>
    <cellStyle name="Accent2 - 20%" xfId="2275" xr:uid="{00000000-0005-0000-0000-0000D7020000}"/>
    <cellStyle name="Accent2 - 20% 2" xfId="2277" xr:uid="{00000000-0005-0000-0000-0000D8020000}"/>
    <cellStyle name="Accent2 - 20% 2 2" xfId="2281" xr:uid="{00000000-0005-0000-0000-0000D9020000}"/>
    <cellStyle name="Accent2 - 20% 2 3" xfId="2282" xr:uid="{00000000-0005-0000-0000-0000DA020000}"/>
    <cellStyle name="Accent2 - 20% 3" xfId="2047" xr:uid="{00000000-0005-0000-0000-0000DB020000}"/>
    <cellStyle name="Accent2 - 20% 4" xfId="2285" xr:uid="{00000000-0005-0000-0000-0000DC020000}"/>
    <cellStyle name="Accent2 - 40%" xfId="2287" xr:uid="{00000000-0005-0000-0000-0000DD020000}"/>
    <cellStyle name="Accent2 - 40% 2" xfId="2289" xr:uid="{00000000-0005-0000-0000-0000DE020000}"/>
    <cellStyle name="Accent2 - 40% 2 2" xfId="2292" xr:uid="{00000000-0005-0000-0000-0000DF020000}"/>
    <cellStyle name="Accent2 - 40% 2 3" xfId="2297" xr:uid="{00000000-0005-0000-0000-0000E0020000}"/>
    <cellStyle name="Accent2 - 40% 3" xfId="2302" xr:uid="{00000000-0005-0000-0000-0000E1020000}"/>
    <cellStyle name="Accent2 - 40% 4" xfId="2307" xr:uid="{00000000-0005-0000-0000-0000E2020000}"/>
    <cellStyle name="Accent2 - 60%" xfId="2312" xr:uid="{00000000-0005-0000-0000-0000E3020000}"/>
    <cellStyle name="Accent2 - 60% 2" xfId="2315" xr:uid="{00000000-0005-0000-0000-0000E4020000}"/>
    <cellStyle name="Accent2 2" xfId="1697" xr:uid="{00000000-0005-0000-0000-0000E5020000}"/>
    <cellStyle name="Accent2 2 10" xfId="2316" xr:uid="{00000000-0005-0000-0000-0000E6020000}"/>
    <cellStyle name="Accent2 2 11" xfId="2319" xr:uid="{00000000-0005-0000-0000-0000E7020000}"/>
    <cellStyle name="Accent2 2 2" xfId="2328" xr:uid="{00000000-0005-0000-0000-0000E8020000}"/>
    <cellStyle name="Accent2 2 2 2" xfId="2330" xr:uid="{00000000-0005-0000-0000-0000E9020000}"/>
    <cellStyle name="Accent2 2 2 3" xfId="2333" xr:uid="{00000000-0005-0000-0000-0000EA020000}"/>
    <cellStyle name="Accent2 2 2 4" xfId="2334" xr:uid="{00000000-0005-0000-0000-0000EB020000}"/>
    <cellStyle name="Accent2 2 2 5" xfId="2335" xr:uid="{00000000-0005-0000-0000-0000EC020000}"/>
    <cellStyle name="Accent2 2 2 6" xfId="2338" xr:uid="{00000000-0005-0000-0000-0000ED020000}"/>
    <cellStyle name="Accent2 2 3" xfId="1323" xr:uid="{00000000-0005-0000-0000-0000EE020000}"/>
    <cellStyle name="Accent2 2 3 2" xfId="2344" xr:uid="{00000000-0005-0000-0000-0000EF020000}"/>
    <cellStyle name="Accent2 2 3 3" xfId="2346" xr:uid="{00000000-0005-0000-0000-0000F0020000}"/>
    <cellStyle name="Accent2 2 4" xfId="2349" xr:uid="{00000000-0005-0000-0000-0000F1020000}"/>
    <cellStyle name="Accent2 2 5" xfId="2352" xr:uid="{00000000-0005-0000-0000-0000F2020000}"/>
    <cellStyle name="Accent2 2 6" xfId="2356" xr:uid="{00000000-0005-0000-0000-0000F3020000}"/>
    <cellStyle name="Accent2 2 7" xfId="2359" xr:uid="{00000000-0005-0000-0000-0000F4020000}"/>
    <cellStyle name="Accent2 2 7 2" xfId="2192" xr:uid="{00000000-0005-0000-0000-0000F5020000}"/>
    <cellStyle name="Accent2 2 7 2 2" xfId="2363" xr:uid="{00000000-0005-0000-0000-0000F6020000}"/>
    <cellStyle name="Accent2 2 7 2 2 2" xfId="2365" xr:uid="{00000000-0005-0000-0000-0000F7020000}"/>
    <cellStyle name="Accent2 2 7 3" xfId="2367" xr:uid="{00000000-0005-0000-0000-0000F8020000}"/>
    <cellStyle name="Accent2 2 8" xfId="2370" xr:uid="{00000000-0005-0000-0000-0000F9020000}"/>
    <cellStyle name="Accent2 2 9" xfId="2373" xr:uid="{00000000-0005-0000-0000-0000FA020000}"/>
    <cellStyle name="Accent2 3" xfId="1700" xr:uid="{00000000-0005-0000-0000-0000FB020000}"/>
    <cellStyle name="Accent2 4" xfId="2377" xr:uid="{00000000-0005-0000-0000-0000FC020000}"/>
    <cellStyle name="Accent2 5" xfId="2379" xr:uid="{00000000-0005-0000-0000-0000FD020000}"/>
    <cellStyle name="Accent2 6" xfId="2380" xr:uid="{00000000-0005-0000-0000-0000FE020000}"/>
    <cellStyle name="Accent2 7" xfId="2381" xr:uid="{00000000-0005-0000-0000-0000FF020000}"/>
    <cellStyle name="Accent2 7 2" xfId="2383" xr:uid="{00000000-0005-0000-0000-000000030000}"/>
    <cellStyle name="Accent2 7 3" xfId="2384" xr:uid="{00000000-0005-0000-0000-000001030000}"/>
    <cellStyle name="Accent3 - 20%" xfId="2386" xr:uid="{00000000-0005-0000-0000-000002030000}"/>
    <cellStyle name="Accent3 - 20% 2" xfId="2388" xr:uid="{00000000-0005-0000-0000-000003030000}"/>
    <cellStyle name="Accent3 - 20% 2 2" xfId="2389" xr:uid="{00000000-0005-0000-0000-000004030000}"/>
    <cellStyle name="Accent3 - 20% 2 3" xfId="2391" xr:uid="{00000000-0005-0000-0000-000005030000}"/>
    <cellStyle name="Accent3 - 20% 3" xfId="2393" xr:uid="{00000000-0005-0000-0000-000006030000}"/>
    <cellStyle name="Accent3 - 20% 4" xfId="2396" xr:uid="{00000000-0005-0000-0000-000007030000}"/>
    <cellStyle name="Accent3 - 40%" xfId="2398" xr:uid="{00000000-0005-0000-0000-000008030000}"/>
    <cellStyle name="Accent3 - 40% 2" xfId="2400" xr:uid="{00000000-0005-0000-0000-000009030000}"/>
    <cellStyle name="Accent3 - 40% 2 2" xfId="348" xr:uid="{00000000-0005-0000-0000-00000A030000}"/>
    <cellStyle name="Accent3 - 40% 2 3" xfId="370" xr:uid="{00000000-0005-0000-0000-00000B030000}"/>
    <cellStyle name="Accent3 - 40% 3" xfId="2401" xr:uid="{00000000-0005-0000-0000-00000C030000}"/>
    <cellStyle name="Accent3 - 40% 4" xfId="2405" xr:uid="{00000000-0005-0000-0000-00000D030000}"/>
    <cellStyle name="Accent3 - 60%" xfId="2408" xr:uid="{00000000-0005-0000-0000-00000E030000}"/>
    <cellStyle name="Accent3 - 60% 2" xfId="2411" xr:uid="{00000000-0005-0000-0000-00000F030000}"/>
    <cellStyle name="Accent3 - 60% 2 2" xfId="2413" xr:uid="{00000000-0005-0000-0000-000010030000}"/>
    <cellStyle name="Accent3 - 60% 2 3" xfId="2417" xr:uid="{00000000-0005-0000-0000-000011030000}"/>
    <cellStyle name="Accent3 - 60% 3" xfId="2421" xr:uid="{00000000-0005-0000-0000-000012030000}"/>
    <cellStyle name="Accent3 - 60% 4" xfId="2425" xr:uid="{00000000-0005-0000-0000-000013030000}"/>
    <cellStyle name="Accent3 2" xfId="2429" xr:uid="{00000000-0005-0000-0000-000014030000}"/>
    <cellStyle name="Accent3 2 2" xfId="2431" xr:uid="{00000000-0005-0000-0000-000015030000}"/>
    <cellStyle name="Accent3 2 2 2" xfId="2432" xr:uid="{00000000-0005-0000-0000-000016030000}"/>
    <cellStyle name="Accent3 2 2 3" xfId="2434" xr:uid="{00000000-0005-0000-0000-000017030000}"/>
    <cellStyle name="Accent3 2 2 4" xfId="2437" xr:uid="{00000000-0005-0000-0000-000018030000}"/>
    <cellStyle name="Accent3 2 3" xfId="2440" xr:uid="{00000000-0005-0000-0000-000019030000}"/>
    <cellStyle name="Accent3 2 4" xfId="2442" xr:uid="{00000000-0005-0000-0000-00001A030000}"/>
    <cellStyle name="Accent3 2 5" xfId="2444" xr:uid="{00000000-0005-0000-0000-00001B030000}"/>
    <cellStyle name="Accent3 2 5 2" xfId="1345" xr:uid="{00000000-0005-0000-0000-00001C030000}"/>
    <cellStyle name="Accent3 2 5 2 2" xfId="2446" xr:uid="{00000000-0005-0000-0000-00001D030000}"/>
    <cellStyle name="Accent3 2 5 2 2 2" xfId="2448" xr:uid="{00000000-0005-0000-0000-00001E030000}"/>
    <cellStyle name="Accent3 2 5 3" xfId="1349" xr:uid="{00000000-0005-0000-0000-00001F030000}"/>
    <cellStyle name="Accent3 2 6" xfId="296" xr:uid="{00000000-0005-0000-0000-000020030000}"/>
    <cellStyle name="Accent3 2 7" xfId="1748" xr:uid="{00000000-0005-0000-0000-000021030000}"/>
    <cellStyle name="Accent3 2 8" xfId="1762" xr:uid="{00000000-0005-0000-0000-000022030000}"/>
    <cellStyle name="Accent3 2 9" xfId="2451" xr:uid="{00000000-0005-0000-0000-000023030000}"/>
    <cellStyle name="Accent3 3" xfId="2454" xr:uid="{00000000-0005-0000-0000-000024030000}"/>
    <cellStyle name="Accent3 4" xfId="3" xr:uid="{00000000-0005-0000-0000-000025030000}"/>
    <cellStyle name="Accent3 5" xfId="2456" xr:uid="{00000000-0005-0000-0000-000026030000}"/>
    <cellStyle name="Accent3 6" xfId="2457" xr:uid="{00000000-0005-0000-0000-000027030000}"/>
    <cellStyle name="Accent3 7" xfId="2458" xr:uid="{00000000-0005-0000-0000-000028030000}"/>
    <cellStyle name="Accent4 - 20%" xfId="2463" xr:uid="{00000000-0005-0000-0000-000029030000}"/>
    <cellStyle name="Accent4 - 20% 2" xfId="2466" xr:uid="{00000000-0005-0000-0000-00002A030000}"/>
    <cellStyle name="Accent4 - 20% 2 2" xfId="2468" xr:uid="{00000000-0005-0000-0000-00002B030000}"/>
    <cellStyle name="Accent4 - 20% 2 3" xfId="229" xr:uid="{00000000-0005-0000-0000-00002C030000}"/>
    <cellStyle name="Accent4 - 20% 3" xfId="2472" xr:uid="{00000000-0005-0000-0000-00002D030000}"/>
    <cellStyle name="Accent4 - 20% 4" xfId="2476" xr:uid="{00000000-0005-0000-0000-00002E030000}"/>
    <cellStyle name="Accent4 - 40%" xfId="2479" xr:uid="{00000000-0005-0000-0000-00002F030000}"/>
    <cellStyle name="Accent4 - 40% 2" xfId="2481" xr:uid="{00000000-0005-0000-0000-000030030000}"/>
    <cellStyle name="Accent4 - 40% 2 2" xfId="2484" xr:uid="{00000000-0005-0000-0000-000031030000}"/>
    <cellStyle name="Accent4 - 40% 2 3" xfId="2490" xr:uid="{00000000-0005-0000-0000-000032030000}"/>
    <cellStyle name="Accent4 - 40% 3" xfId="2493" xr:uid="{00000000-0005-0000-0000-000033030000}"/>
    <cellStyle name="Accent4 - 40% 4" xfId="2499" xr:uid="{00000000-0005-0000-0000-000034030000}"/>
    <cellStyle name="Accent4 - 60%" xfId="2504" xr:uid="{00000000-0005-0000-0000-000035030000}"/>
    <cellStyle name="Accent4 - 60% 2" xfId="2506" xr:uid="{00000000-0005-0000-0000-000036030000}"/>
    <cellStyle name="Accent4 2" xfId="2510" xr:uid="{00000000-0005-0000-0000-000037030000}"/>
    <cellStyle name="Accent4 2 2" xfId="2512" xr:uid="{00000000-0005-0000-0000-000038030000}"/>
    <cellStyle name="Accent4 2 2 2" xfId="2514" xr:uid="{00000000-0005-0000-0000-000039030000}"/>
    <cellStyle name="Accent4 2 2 3" xfId="2515" xr:uid="{00000000-0005-0000-0000-00003A030000}"/>
    <cellStyle name="Accent4 2 2 4" xfId="2516" xr:uid="{00000000-0005-0000-0000-00003B030000}"/>
    <cellStyle name="Accent4 2 3" xfId="2519" xr:uid="{00000000-0005-0000-0000-00003C030000}"/>
    <cellStyle name="Accent4 2 4" xfId="2522" xr:uid="{00000000-0005-0000-0000-00003D030000}"/>
    <cellStyle name="Accent4 2 5" xfId="2525" xr:uid="{00000000-0005-0000-0000-00003E030000}"/>
    <cellStyle name="Accent4 2 5 2" xfId="2529" xr:uid="{00000000-0005-0000-0000-00003F030000}"/>
    <cellStyle name="Accent4 2 5 2 2" xfId="2531" xr:uid="{00000000-0005-0000-0000-000040030000}"/>
    <cellStyle name="Accent4 2 5 2 2 2" xfId="2536" xr:uid="{00000000-0005-0000-0000-000041030000}"/>
    <cellStyle name="Accent4 2 5 3" xfId="2543" xr:uid="{00000000-0005-0000-0000-000042030000}"/>
    <cellStyle name="Accent4 2 6" xfId="2546" xr:uid="{00000000-0005-0000-0000-000043030000}"/>
    <cellStyle name="Accent4 2 7" xfId="2549" xr:uid="{00000000-0005-0000-0000-000044030000}"/>
    <cellStyle name="Accent4 2 8" xfId="2551" xr:uid="{00000000-0005-0000-0000-000045030000}"/>
    <cellStyle name="Accent4 2 9" xfId="2553" xr:uid="{00000000-0005-0000-0000-000046030000}"/>
    <cellStyle name="Accent4 3" xfId="2557" xr:uid="{00000000-0005-0000-0000-000047030000}"/>
    <cellStyle name="Accent4 4" xfId="2559" xr:uid="{00000000-0005-0000-0000-000048030000}"/>
    <cellStyle name="Accent4 4 2" xfId="2561" xr:uid="{00000000-0005-0000-0000-000049030000}"/>
    <cellStyle name="Accent4 5" xfId="2563" xr:uid="{00000000-0005-0000-0000-00004A030000}"/>
    <cellStyle name="Accent4 6" xfId="2565" xr:uid="{00000000-0005-0000-0000-00004B030000}"/>
    <cellStyle name="Accent4 7" xfId="2567" xr:uid="{00000000-0005-0000-0000-00004C030000}"/>
    <cellStyle name="Accent5 - 20%" xfId="2571" xr:uid="{00000000-0005-0000-0000-00004D030000}"/>
    <cellStyle name="Accent5 - 20% 2" xfId="2573" xr:uid="{00000000-0005-0000-0000-00004E030000}"/>
    <cellStyle name="Accent5 - 20% 2 2" xfId="2578" xr:uid="{00000000-0005-0000-0000-00004F030000}"/>
    <cellStyle name="Accent5 - 20% 2 3" xfId="2581" xr:uid="{00000000-0005-0000-0000-000050030000}"/>
    <cellStyle name="Accent5 - 20% 3" xfId="259" xr:uid="{00000000-0005-0000-0000-000051030000}"/>
    <cellStyle name="Accent5 - 20% 4" xfId="2583" xr:uid="{00000000-0005-0000-0000-000052030000}"/>
    <cellStyle name="Accent5 - 40%" xfId="2590" xr:uid="{00000000-0005-0000-0000-000053030000}"/>
    <cellStyle name="Accent5 - 40% 2" xfId="2592" xr:uid="{00000000-0005-0000-0000-000054030000}"/>
    <cellStyle name="Accent5 - 40% 2 2" xfId="2597" xr:uid="{00000000-0005-0000-0000-000055030000}"/>
    <cellStyle name="Accent5 - 40% 2 3" xfId="2599" xr:uid="{00000000-0005-0000-0000-000056030000}"/>
    <cellStyle name="Accent5 - 40% 3" xfId="1022" xr:uid="{00000000-0005-0000-0000-000057030000}"/>
    <cellStyle name="Accent5 - 40% 4" xfId="1075" xr:uid="{00000000-0005-0000-0000-000058030000}"/>
    <cellStyle name="Accent5 - 60%" xfId="2600" xr:uid="{00000000-0005-0000-0000-000059030000}"/>
    <cellStyle name="Accent5 - 60% 2" xfId="2601" xr:uid="{00000000-0005-0000-0000-00005A030000}"/>
    <cellStyle name="Accent5 - 60% 2 2" xfId="2602" xr:uid="{00000000-0005-0000-0000-00005B030000}"/>
    <cellStyle name="Accent5 - 60% 2 3" xfId="2604" xr:uid="{00000000-0005-0000-0000-00005C030000}"/>
    <cellStyle name="Accent5 - 60% 3" xfId="2606" xr:uid="{00000000-0005-0000-0000-00005D030000}"/>
    <cellStyle name="Accent5 - 60% 4" xfId="186" xr:uid="{00000000-0005-0000-0000-00005E030000}"/>
    <cellStyle name="Accent5 2" xfId="1291" xr:uid="{00000000-0005-0000-0000-00005F030000}"/>
    <cellStyle name="Accent5 2 2" xfId="509" xr:uid="{00000000-0005-0000-0000-000060030000}"/>
    <cellStyle name="Accent5 2 2 2" xfId="2609" xr:uid="{00000000-0005-0000-0000-000061030000}"/>
    <cellStyle name="Accent5 2 2 3" xfId="1325" xr:uid="{00000000-0005-0000-0000-000062030000}"/>
    <cellStyle name="Accent5 2 3" xfId="2611" xr:uid="{00000000-0005-0000-0000-000063030000}"/>
    <cellStyle name="Accent5 3" xfId="2614" xr:uid="{00000000-0005-0000-0000-000064030000}"/>
    <cellStyle name="Accent5 4" xfId="863" xr:uid="{00000000-0005-0000-0000-000065030000}"/>
    <cellStyle name="Accent5 5" xfId="2616" xr:uid="{00000000-0005-0000-0000-000066030000}"/>
    <cellStyle name="Accent5 6" xfId="2618" xr:uid="{00000000-0005-0000-0000-000067030000}"/>
    <cellStyle name="Accent5 7" xfId="2620" xr:uid="{00000000-0005-0000-0000-000068030000}"/>
    <cellStyle name="Accent6 - 20%" xfId="1512" xr:uid="{00000000-0005-0000-0000-000069030000}"/>
    <cellStyle name="Accent6 - 20% 2" xfId="2623" xr:uid="{00000000-0005-0000-0000-00006A030000}"/>
    <cellStyle name="Accent6 - 20% 2 2" xfId="2626" xr:uid="{00000000-0005-0000-0000-00006B030000}"/>
    <cellStyle name="Accent6 - 20% 2 3" xfId="2628" xr:uid="{00000000-0005-0000-0000-00006C030000}"/>
    <cellStyle name="Accent6 - 20% 3" xfId="2631" xr:uid="{00000000-0005-0000-0000-00006D030000}"/>
    <cellStyle name="Accent6 - 20% 4" xfId="2636" xr:uid="{00000000-0005-0000-0000-00006E030000}"/>
    <cellStyle name="Accent6 - 40%" xfId="2641" xr:uid="{00000000-0005-0000-0000-00006F030000}"/>
    <cellStyle name="Accent6 - 40% 2" xfId="2643" xr:uid="{00000000-0005-0000-0000-000070030000}"/>
    <cellStyle name="Accent6 - 60%" xfId="2644" xr:uid="{00000000-0005-0000-0000-000071030000}"/>
    <cellStyle name="Accent6 - 60% 2" xfId="2645" xr:uid="{00000000-0005-0000-0000-000072030000}"/>
    <cellStyle name="Accent6 2" xfId="2647" xr:uid="{00000000-0005-0000-0000-000073030000}"/>
    <cellStyle name="Accent6 2 10" xfId="1268" xr:uid="{00000000-0005-0000-0000-000074030000}"/>
    <cellStyle name="Accent6 2 11" xfId="1389" xr:uid="{00000000-0005-0000-0000-000075030000}"/>
    <cellStyle name="Accent6 2 2" xfId="2649" xr:uid="{00000000-0005-0000-0000-000076030000}"/>
    <cellStyle name="Accent6 2 2 2" xfId="2652" xr:uid="{00000000-0005-0000-0000-000077030000}"/>
    <cellStyle name="Accent6 2 2 2 2" xfId="2656" xr:uid="{00000000-0005-0000-0000-000078030000}"/>
    <cellStyle name="Accent6 2 2 2 3" xfId="1971" xr:uid="{00000000-0005-0000-0000-000079030000}"/>
    <cellStyle name="Accent6 2 2 3" xfId="2660" xr:uid="{00000000-0005-0000-0000-00007A030000}"/>
    <cellStyle name="Accent6 2 2 3 2" xfId="1535" xr:uid="{00000000-0005-0000-0000-00007B030000}"/>
    <cellStyle name="Accent6 2 2 3 3" xfId="1541" xr:uid="{00000000-0005-0000-0000-00007C030000}"/>
    <cellStyle name="Accent6 2 2 4" xfId="2672" xr:uid="{00000000-0005-0000-0000-00007D030000}"/>
    <cellStyle name="Accent6 2 2 5" xfId="2677" xr:uid="{00000000-0005-0000-0000-00007E030000}"/>
    <cellStyle name="Accent6 2 2 6" xfId="61" xr:uid="{00000000-0005-0000-0000-00007F030000}"/>
    <cellStyle name="Accent6 2 3" xfId="2683" xr:uid="{00000000-0005-0000-0000-000080030000}"/>
    <cellStyle name="Accent6 2 3 2" xfId="2686" xr:uid="{00000000-0005-0000-0000-000081030000}"/>
    <cellStyle name="Accent6 2 3 3" xfId="2690" xr:uid="{00000000-0005-0000-0000-000082030000}"/>
    <cellStyle name="Accent6 2 4" xfId="2469" xr:uid="{00000000-0005-0000-0000-000083030000}"/>
    <cellStyle name="Accent6 2 5" xfId="228" xr:uid="{00000000-0005-0000-0000-000084030000}"/>
    <cellStyle name="Accent6 2 6" xfId="2693" xr:uid="{00000000-0005-0000-0000-000085030000}"/>
    <cellStyle name="Accent6 2 7" xfId="2696" xr:uid="{00000000-0005-0000-0000-000086030000}"/>
    <cellStyle name="Accent6 2 7 2" xfId="2697" xr:uid="{00000000-0005-0000-0000-000087030000}"/>
    <cellStyle name="Accent6 2 7 2 2" xfId="2699" xr:uid="{00000000-0005-0000-0000-000088030000}"/>
    <cellStyle name="Accent6 2 7 2 2 2" xfId="2701" xr:uid="{00000000-0005-0000-0000-000089030000}"/>
    <cellStyle name="Accent6 2 7 3" xfId="2703" xr:uid="{00000000-0005-0000-0000-00008A030000}"/>
    <cellStyle name="Accent6 2 8" xfId="2704" xr:uid="{00000000-0005-0000-0000-00008B030000}"/>
    <cellStyle name="Accent6 2 9" xfId="2706" xr:uid="{00000000-0005-0000-0000-00008C030000}"/>
    <cellStyle name="Accent6 3" xfId="2708" xr:uid="{00000000-0005-0000-0000-00008D030000}"/>
    <cellStyle name="Accent6 3 2" xfId="2709" xr:uid="{00000000-0005-0000-0000-00008E030000}"/>
    <cellStyle name="Accent6 3 3" xfId="2712" xr:uid="{00000000-0005-0000-0000-00008F030000}"/>
    <cellStyle name="Accent6 3 4" xfId="2715" xr:uid="{00000000-0005-0000-0000-000090030000}"/>
    <cellStyle name="Accent6 4" xfId="2718" xr:uid="{00000000-0005-0000-0000-000091030000}"/>
    <cellStyle name="Accent6 4 2" xfId="2721" xr:uid="{00000000-0005-0000-0000-000092030000}"/>
    <cellStyle name="Accent6 4 3" xfId="2729" xr:uid="{00000000-0005-0000-0000-000093030000}"/>
    <cellStyle name="Accent6 4 4" xfId="2737" xr:uid="{00000000-0005-0000-0000-000094030000}"/>
    <cellStyle name="Accent6 5" xfId="2744" xr:uid="{00000000-0005-0000-0000-000095030000}"/>
    <cellStyle name="Accent6 5 2" xfId="2749" xr:uid="{00000000-0005-0000-0000-000096030000}"/>
    <cellStyle name="Accent6 5 3" xfId="2753" xr:uid="{00000000-0005-0000-0000-000097030000}"/>
    <cellStyle name="Accent6 5 4" xfId="2758" xr:uid="{00000000-0005-0000-0000-000098030000}"/>
    <cellStyle name="Accent6 6" xfId="2763" xr:uid="{00000000-0005-0000-0000-000099030000}"/>
    <cellStyle name="Accent6 6 2" xfId="2767" xr:uid="{00000000-0005-0000-0000-00009A030000}"/>
    <cellStyle name="Accent6 6 3" xfId="2771" xr:uid="{00000000-0005-0000-0000-00009B030000}"/>
    <cellStyle name="Accent6 6 4" xfId="2775" xr:uid="{00000000-0005-0000-0000-00009C030000}"/>
    <cellStyle name="Accent6 7" xfId="2779" xr:uid="{00000000-0005-0000-0000-00009D030000}"/>
    <cellStyle name="Accent6 7 2" xfId="2781" xr:uid="{00000000-0005-0000-0000-00009E030000}"/>
    <cellStyle name="Accent6 7 3" xfId="2784" xr:uid="{00000000-0005-0000-0000-00009F030000}"/>
    <cellStyle name="Bad 2" xfId="2786" xr:uid="{00000000-0005-0000-0000-0000A0030000}"/>
    <cellStyle name="Bad 2 2" xfId="2789" xr:uid="{00000000-0005-0000-0000-0000A1030000}"/>
    <cellStyle name="Bad 2 2 2" xfId="2791" xr:uid="{00000000-0005-0000-0000-0000A2030000}"/>
    <cellStyle name="Bad 2 2 3" xfId="2795" xr:uid="{00000000-0005-0000-0000-0000A3030000}"/>
    <cellStyle name="Bad 2 2 4" xfId="2798" xr:uid="{00000000-0005-0000-0000-0000A4030000}"/>
    <cellStyle name="Bad 2 3" xfId="2802" xr:uid="{00000000-0005-0000-0000-0000A5030000}"/>
    <cellStyle name="Bad 2 4" xfId="2805" xr:uid="{00000000-0005-0000-0000-0000A6030000}"/>
    <cellStyle name="Bad 2 5" xfId="2808" xr:uid="{00000000-0005-0000-0000-0000A7030000}"/>
    <cellStyle name="Bad 2 5 2" xfId="2810" xr:uid="{00000000-0005-0000-0000-0000A8030000}"/>
    <cellStyle name="Bad 2 5 2 2" xfId="1888" xr:uid="{00000000-0005-0000-0000-0000A9030000}"/>
    <cellStyle name="Bad 2 5 2 2 2" xfId="2812" xr:uid="{00000000-0005-0000-0000-0000AA030000}"/>
    <cellStyle name="Bad 2 5 3" xfId="2814" xr:uid="{00000000-0005-0000-0000-0000AB030000}"/>
    <cellStyle name="Bad 2 6" xfId="2817" xr:uid="{00000000-0005-0000-0000-0000AC030000}"/>
    <cellStyle name="Bad 2 7" xfId="2820" xr:uid="{00000000-0005-0000-0000-0000AD030000}"/>
    <cellStyle name="Bad 2 8" xfId="2822" xr:uid="{00000000-0005-0000-0000-0000AE030000}"/>
    <cellStyle name="Bad 2 9" xfId="2824" xr:uid="{00000000-0005-0000-0000-0000AF030000}"/>
    <cellStyle name="Bad 3" xfId="2825" xr:uid="{00000000-0005-0000-0000-0000B0030000}"/>
    <cellStyle name="Bad 4" xfId="2827" xr:uid="{00000000-0005-0000-0000-0000B1030000}"/>
    <cellStyle name="Bad 5" xfId="249" xr:uid="{00000000-0005-0000-0000-0000B2030000}"/>
    <cellStyle name="Bad 6" xfId="1488" xr:uid="{00000000-0005-0000-0000-0000B3030000}"/>
    <cellStyle name="Bad 7" xfId="1393" xr:uid="{00000000-0005-0000-0000-0000B4030000}"/>
    <cellStyle name="Calculation 2" xfId="2830" xr:uid="{00000000-0005-0000-0000-0000B5030000}"/>
    <cellStyle name="Calculation 2 10" xfId="26" xr:uid="{00000000-0005-0000-0000-0000B6030000}"/>
    <cellStyle name="Calculation 2 10 10" xfId="2833" xr:uid="{00000000-0005-0000-0000-0000B7030000}"/>
    <cellStyle name="Calculation 2 10 10 2" xfId="1187" xr:uid="{00000000-0005-0000-0000-0000B8030000}"/>
    <cellStyle name="Calculation 2 10 10 2 2" xfId="2837" xr:uid="{00000000-0005-0000-0000-0000B9030000}"/>
    <cellStyle name="Calculation 2 10 10 2 3" xfId="2843" xr:uid="{00000000-0005-0000-0000-0000BA030000}"/>
    <cellStyle name="Calculation 2 10 10 2 4" xfId="2846" xr:uid="{00000000-0005-0000-0000-0000BB030000}"/>
    <cellStyle name="Calculation 2 10 10 3" xfId="2847" xr:uid="{00000000-0005-0000-0000-0000BC030000}"/>
    <cellStyle name="Calculation 2 10 10 3 2" xfId="2854" xr:uid="{00000000-0005-0000-0000-0000BD030000}"/>
    <cellStyle name="Calculation 2 10 10 3 3" xfId="2859" xr:uid="{00000000-0005-0000-0000-0000BE030000}"/>
    <cellStyle name="Calculation 2 10 10 3 4" xfId="2863" xr:uid="{00000000-0005-0000-0000-0000BF030000}"/>
    <cellStyle name="Calculation 2 10 10 4" xfId="2864" xr:uid="{00000000-0005-0000-0000-0000C0030000}"/>
    <cellStyle name="Calculation 2 10 10 4 2" xfId="2870" xr:uid="{00000000-0005-0000-0000-0000C1030000}"/>
    <cellStyle name="Calculation 2 10 10 4 3" xfId="2872" xr:uid="{00000000-0005-0000-0000-0000C2030000}"/>
    <cellStyle name="Calculation 2 10 10 5" xfId="2873" xr:uid="{00000000-0005-0000-0000-0000C3030000}"/>
    <cellStyle name="Calculation 2 10 10 5 2" xfId="2880" xr:uid="{00000000-0005-0000-0000-0000C4030000}"/>
    <cellStyle name="Calculation 2 10 10 5 3" xfId="912" xr:uid="{00000000-0005-0000-0000-0000C5030000}"/>
    <cellStyle name="Calculation 2 10 10 6" xfId="2883" xr:uid="{00000000-0005-0000-0000-0000C6030000}"/>
    <cellStyle name="Calculation 2 10 10 7" xfId="2888" xr:uid="{00000000-0005-0000-0000-0000C7030000}"/>
    <cellStyle name="Calculation 2 10 11" xfId="2893" xr:uid="{00000000-0005-0000-0000-0000C8030000}"/>
    <cellStyle name="Calculation 2 10 11 2" xfId="2895" xr:uid="{00000000-0005-0000-0000-0000C9030000}"/>
    <cellStyle name="Calculation 2 10 11 2 2" xfId="2899" xr:uid="{00000000-0005-0000-0000-0000CA030000}"/>
    <cellStyle name="Calculation 2 10 11 2 3" xfId="2903" xr:uid="{00000000-0005-0000-0000-0000CB030000}"/>
    <cellStyle name="Calculation 2 10 11 2 4" xfId="2904" xr:uid="{00000000-0005-0000-0000-0000CC030000}"/>
    <cellStyle name="Calculation 2 10 11 3" xfId="2907" xr:uid="{00000000-0005-0000-0000-0000CD030000}"/>
    <cellStyle name="Calculation 2 10 11 3 2" xfId="167" xr:uid="{00000000-0005-0000-0000-0000CE030000}"/>
    <cellStyle name="Calculation 2 10 11 3 3" xfId="176" xr:uid="{00000000-0005-0000-0000-0000CF030000}"/>
    <cellStyle name="Calculation 2 10 11 3 4" xfId="2910" xr:uid="{00000000-0005-0000-0000-0000D0030000}"/>
    <cellStyle name="Calculation 2 10 11 4" xfId="2914" xr:uid="{00000000-0005-0000-0000-0000D1030000}"/>
    <cellStyle name="Calculation 2 10 11 4 2" xfId="2916" xr:uid="{00000000-0005-0000-0000-0000D2030000}"/>
    <cellStyle name="Calculation 2 10 11 4 3" xfId="2917" xr:uid="{00000000-0005-0000-0000-0000D3030000}"/>
    <cellStyle name="Calculation 2 10 11 5" xfId="2918" xr:uid="{00000000-0005-0000-0000-0000D4030000}"/>
    <cellStyle name="Calculation 2 10 11 5 2" xfId="2922" xr:uid="{00000000-0005-0000-0000-0000D5030000}"/>
    <cellStyle name="Calculation 2 10 11 5 3" xfId="2923" xr:uid="{00000000-0005-0000-0000-0000D6030000}"/>
    <cellStyle name="Calculation 2 10 11 6" xfId="2924" xr:uid="{00000000-0005-0000-0000-0000D7030000}"/>
    <cellStyle name="Calculation 2 10 11 7" xfId="2928" xr:uid="{00000000-0005-0000-0000-0000D8030000}"/>
    <cellStyle name="Calculation 2 10 12" xfId="2933" xr:uid="{00000000-0005-0000-0000-0000D9030000}"/>
    <cellStyle name="Calculation 2 10 12 2" xfId="2935" xr:uid="{00000000-0005-0000-0000-0000DA030000}"/>
    <cellStyle name="Calculation 2 10 12 2 2" xfId="2938" xr:uid="{00000000-0005-0000-0000-0000DB030000}"/>
    <cellStyle name="Calculation 2 10 12 2 3" xfId="2942" xr:uid="{00000000-0005-0000-0000-0000DC030000}"/>
    <cellStyle name="Calculation 2 10 12 2 4" xfId="2945" xr:uid="{00000000-0005-0000-0000-0000DD030000}"/>
    <cellStyle name="Calculation 2 10 12 3" xfId="2092" xr:uid="{00000000-0005-0000-0000-0000DE030000}"/>
    <cellStyle name="Calculation 2 10 12 3 2" xfId="2098" xr:uid="{00000000-0005-0000-0000-0000DF030000}"/>
    <cellStyle name="Calculation 2 10 12 3 3" xfId="2949" xr:uid="{00000000-0005-0000-0000-0000E0030000}"/>
    <cellStyle name="Calculation 2 10 12 3 4" xfId="2951" xr:uid="{00000000-0005-0000-0000-0000E1030000}"/>
    <cellStyle name="Calculation 2 10 12 4" xfId="98" xr:uid="{00000000-0005-0000-0000-0000E2030000}"/>
    <cellStyle name="Calculation 2 10 12 4 2" xfId="2956" xr:uid="{00000000-0005-0000-0000-0000E3030000}"/>
    <cellStyle name="Calculation 2 10 12 4 3" xfId="2958" xr:uid="{00000000-0005-0000-0000-0000E4030000}"/>
    <cellStyle name="Calculation 2 10 12 5" xfId="2169" xr:uid="{00000000-0005-0000-0000-0000E5030000}"/>
    <cellStyle name="Calculation 2 10 12 5 2" xfId="2960" xr:uid="{00000000-0005-0000-0000-0000E6030000}"/>
    <cellStyle name="Calculation 2 10 12 5 3" xfId="2962" xr:uid="{00000000-0005-0000-0000-0000E7030000}"/>
    <cellStyle name="Calculation 2 10 12 6" xfId="2963" xr:uid="{00000000-0005-0000-0000-0000E8030000}"/>
    <cellStyle name="Calculation 2 10 12 7" xfId="2968" xr:uid="{00000000-0005-0000-0000-0000E9030000}"/>
    <cellStyle name="Calculation 2 10 13" xfId="2972" xr:uid="{00000000-0005-0000-0000-0000EA030000}"/>
    <cellStyle name="Calculation 2 10 13 2" xfId="2974" xr:uid="{00000000-0005-0000-0000-0000EB030000}"/>
    <cellStyle name="Calculation 2 10 13 3" xfId="2975" xr:uid="{00000000-0005-0000-0000-0000EC030000}"/>
    <cellStyle name="Calculation 2 10 13 4" xfId="2978" xr:uid="{00000000-0005-0000-0000-0000ED030000}"/>
    <cellStyle name="Calculation 2 10 14" xfId="2980" xr:uid="{00000000-0005-0000-0000-0000EE030000}"/>
    <cellStyle name="Calculation 2 10 14 2" xfId="2983" xr:uid="{00000000-0005-0000-0000-0000EF030000}"/>
    <cellStyle name="Calculation 2 10 14 3" xfId="2987" xr:uid="{00000000-0005-0000-0000-0000F0030000}"/>
    <cellStyle name="Calculation 2 10 14 4" xfId="2993" xr:uid="{00000000-0005-0000-0000-0000F1030000}"/>
    <cellStyle name="Calculation 2 10 15" xfId="788" xr:uid="{00000000-0005-0000-0000-0000F2030000}"/>
    <cellStyle name="Calculation 2 10 15 2" xfId="1399" xr:uid="{00000000-0005-0000-0000-0000F3030000}"/>
    <cellStyle name="Calculation 2 10 15 3" xfId="3000" xr:uid="{00000000-0005-0000-0000-0000F4030000}"/>
    <cellStyle name="Calculation 2 10 16" xfId="798" xr:uid="{00000000-0005-0000-0000-0000F5030000}"/>
    <cellStyle name="Calculation 2 10 16 2" xfId="3001" xr:uid="{00000000-0005-0000-0000-0000F6030000}"/>
    <cellStyle name="Calculation 2 10 16 3" xfId="3003" xr:uid="{00000000-0005-0000-0000-0000F7030000}"/>
    <cellStyle name="Calculation 2 10 17" xfId="3006" xr:uid="{00000000-0005-0000-0000-0000F8030000}"/>
    <cellStyle name="Calculation 2 10 17 2" xfId="3007" xr:uid="{00000000-0005-0000-0000-0000F9030000}"/>
    <cellStyle name="Calculation 2 10 17 2 2" xfId="3010" xr:uid="{00000000-0005-0000-0000-0000FA030000}"/>
    <cellStyle name="Calculation 2 10 18" xfId="3013" xr:uid="{00000000-0005-0000-0000-0000FB030000}"/>
    <cellStyle name="Calculation 2 10 19" xfId="3016" xr:uid="{00000000-0005-0000-0000-0000FC030000}"/>
    <cellStyle name="Calculation 2 10 2" xfId="2024" xr:uid="{00000000-0005-0000-0000-0000FD030000}"/>
    <cellStyle name="Calculation 2 10 2 10" xfId="3017" xr:uid="{00000000-0005-0000-0000-0000FE030000}"/>
    <cellStyle name="Calculation 2 10 2 10 2" xfId="3018" xr:uid="{00000000-0005-0000-0000-0000FF030000}"/>
    <cellStyle name="Calculation 2 10 2 10 2 2" xfId="3024" xr:uid="{00000000-0005-0000-0000-000000040000}"/>
    <cellStyle name="Calculation 2 10 2 10 2 3" xfId="3027" xr:uid="{00000000-0005-0000-0000-000001040000}"/>
    <cellStyle name="Calculation 2 10 2 10 2 4" xfId="3031" xr:uid="{00000000-0005-0000-0000-000002040000}"/>
    <cellStyle name="Calculation 2 10 2 10 3" xfId="3034" xr:uid="{00000000-0005-0000-0000-000003040000}"/>
    <cellStyle name="Calculation 2 10 2 10 3 2" xfId="3040" xr:uid="{00000000-0005-0000-0000-000004040000}"/>
    <cellStyle name="Calculation 2 10 2 10 3 3" xfId="3044" xr:uid="{00000000-0005-0000-0000-000005040000}"/>
    <cellStyle name="Calculation 2 10 2 10 3 4" xfId="3048" xr:uid="{00000000-0005-0000-0000-000006040000}"/>
    <cellStyle name="Calculation 2 10 2 10 4" xfId="3052" xr:uid="{00000000-0005-0000-0000-000007040000}"/>
    <cellStyle name="Calculation 2 10 2 10 4 2" xfId="3059" xr:uid="{00000000-0005-0000-0000-000008040000}"/>
    <cellStyle name="Calculation 2 10 2 10 4 3" xfId="2270" xr:uid="{00000000-0005-0000-0000-000009040000}"/>
    <cellStyle name="Calculation 2 10 2 10 5" xfId="3066" xr:uid="{00000000-0005-0000-0000-00000A040000}"/>
    <cellStyle name="Calculation 2 10 2 10 5 2" xfId="2667" xr:uid="{00000000-0005-0000-0000-00000B040000}"/>
    <cellStyle name="Calculation 2 10 2 10 5 3" xfId="2675" xr:uid="{00000000-0005-0000-0000-00000C040000}"/>
    <cellStyle name="Calculation 2 10 2 10 6" xfId="3070" xr:uid="{00000000-0005-0000-0000-00000D040000}"/>
    <cellStyle name="Calculation 2 10 2 10 7" xfId="3074" xr:uid="{00000000-0005-0000-0000-00000E040000}"/>
    <cellStyle name="Calculation 2 10 2 11" xfId="3077" xr:uid="{00000000-0005-0000-0000-00000F040000}"/>
    <cellStyle name="Calculation 2 10 2 11 2" xfId="3078" xr:uid="{00000000-0005-0000-0000-000010040000}"/>
    <cellStyle name="Calculation 2 10 2 11 3" xfId="3083" xr:uid="{00000000-0005-0000-0000-000011040000}"/>
    <cellStyle name="Calculation 2 10 2 11 4" xfId="3086" xr:uid="{00000000-0005-0000-0000-000012040000}"/>
    <cellStyle name="Calculation 2 10 2 12" xfId="3093" xr:uid="{00000000-0005-0000-0000-000013040000}"/>
    <cellStyle name="Calculation 2 10 2 12 2" xfId="878" xr:uid="{00000000-0005-0000-0000-000014040000}"/>
    <cellStyle name="Calculation 2 10 2 12 3" xfId="884" xr:uid="{00000000-0005-0000-0000-000015040000}"/>
    <cellStyle name="Calculation 2 10 2 12 4" xfId="891" xr:uid="{00000000-0005-0000-0000-000016040000}"/>
    <cellStyle name="Calculation 2 10 2 13" xfId="3095" xr:uid="{00000000-0005-0000-0000-000017040000}"/>
    <cellStyle name="Calculation 2 10 2 13 2" xfId="3097" xr:uid="{00000000-0005-0000-0000-000018040000}"/>
    <cellStyle name="Calculation 2 10 2 13 3" xfId="3101" xr:uid="{00000000-0005-0000-0000-000019040000}"/>
    <cellStyle name="Calculation 2 10 2 14" xfId="3105" xr:uid="{00000000-0005-0000-0000-00001A040000}"/>
    <cellStyle name="Calculation 2 10 2 14 2" xfId="1764" xr:uid="{00000000-0005-0000-0000-00001B040000}"/>
    <cellStyle name="Calculation 2 10 2 14 3" xfId="2450" xr:uid="{00000000-0005-0000-0000-00001C040000}"/>
    <cellStyle name="Calculation 2 10 2 15" xfId="3109" xr:uid="{00000000-0005-0000-0000-00001D040000}"/>
    <cellStyle name="Calculation 2 10 2 16" xfId="3112" xr:uid="{00000000-0005-0000-0000-00001E040000}"/>
    <cellStyle name="Calculation 2 10 2 2" xfId="3115" xr:uid="{00000000-0005-0000-0000-00001F040000}"/>
    <cellStyle name="Calculation 2 10 2 2 2" xfId="3119" xr:uid="{00000000-0005-0000-0000-000020040000}"/>
    <cellStyle name="Calculation 2 10 2 2 2 2" xfId="2268" xr:uid="{00000000-0005-0000-0000-000021040000}"/>
    <cellStyle name="Calculation 2 10 2 2 2 3" xfId="3121" xr:uid="{00000000-0005-0000-0000-000022040000}"/>
    <cellStyle name="Calculation 2 10 2 2 2 4" xfId="3122" xr:uid="{00000000-0005-0000-0000-000023040000}"/>
    <cellStyle name="Calculation 2 10 2 2 3" xfId="3124" xr:uid="{00000000-0005-0000-0000-000024040000}"/>
    <cellStyle name="Calculation 2 10 2 2 3 2" xfId="2382" xr:uid="{00000000-0005-0000-0000-000025040000}"/>
    <cellStyle name="Calculation 2 10 2 2 3 3" xfId="3125" xr:uid="{00000000-0005-0000-0000-000026040000}"/>
    <cellStyle name="Calculation 2 10 2 2 3 4" xfId="3126" xr:uid="{00000000-0005-0000-0000-000027040000}"/>
    <cellStyle name="Calculation 2 10 2 2 4" xfId="3128" xr:uid="{00000000-0005-0000-0000-000028040000}"/>
    <cellStyle name="Calculation 2 10 2 2 4 2" xfId="2459" xr:uid="{00000000-0005-0000-0000-000029040000}"/>
    <cellStyle name="Calculation 2 10 2 2 4 3" xfId="3130" xr:uid="{00000000-0005-0000-0000-00002A040000}"/>
    <cellStyle name="Calculation 2 10 2 2 5" xfId="3131" xr:uid="{00000000-0005-0000-0000-00002B040000}"/>
    <cellStyle name="Calculation 2 10 2 2 5 2" xfId="2568" xr:uid="{00000000-0005-0000-0000-00002C040000}"/>
    <cellStyle name="Calculation 2 10 2 2 5 3" xfId="3133" xr:uid="{00000000-0005-0000-0000-00002D040000}"/>
    <cellStyle name="Calculation 2 10 2 2 6" xfId="3134" xr:uid="{00000000-0005-0000-0000-00002E040000}"/>
    <cellStyle name="Calculation 2 10 2 2 7" xfId="3136" xr:uid="{00000000-0005-0000-0000-00002F040000}"/>
    <cellStyle name="Calculation 2 10 2 3" xfId="3139" xr:uid="{00000000-0005-0000-0000-000030040000}"/>
    <cellStyle name="Calculation 2 10 2 3 2" xfId="3142" xr:uid="{00000000-0005-0000-0000-000031040000}"/>
    <cellStyle name="Calculation 2 10 2 3 2 2" xfId="3144" xr:uid="{00000000-0005-0000-0000-000032040000}"/>
    <cellStyle name="Calculation 2 10 2 3 2 3" xfId="3147" xr:uid="{00000000-0005-0000-0000-000033040000}"/>
    <cellStyle name="Calculation 2 10 2 3 2 4" xfId="3150" xr:uid="{00000000-0005-0000-0000-000034040000}"/>
    <cellStyle name="Calculation 2 10 2 3 3" xfId="3152" xr:uid="{00000000-0005-0000-0000-000035040000}"/>
    <cellStyle name="Calculation 2 10 2 3 3 2" xfId="3153" xr:uid="{00000000-0005-0000-0000-000036040000}"/>
    <cellStyle name="Calculation 2 10 2 3 3 3" xfId="3154" xr:uid="{00000000-0005-0000-0000-000037040000}"/>
    <cellStyle name="Calculation 2 10 2 3 3 4" xfId="3155" xr:uid="{00000000-0005-0000-0000-000038040000}"/>
    <cellStyle name="Calculation 2 10 2 3 4" xfId="3158" xr:uid="{00000000-0005-0000-0000-000039040000}"/>
    <cellStyle name="Calculation 2 10 2 3 4 2" xfId="3160" xr:uid="{00000000-0005-0000-0000-00003A040000}"/>
    <cellStyle name="Calculation 2 10 2 3 4 3" xfId="3162" xr:uid="{00000000-0005-0000-0000-00003B040000}"/>
    <cellStyle name="Calculation 2 10 2 3 5" xfId="3163" xr:uid="{00000000-0005-0000-0000-00003C040000}"/>
    <cellStyle name="Calculation 2 10 2 3 5 2" xfId="3164" xr:uid="{00000000-0005-0000-0000-00003D040000}"/>
    <cellStyle name="Calculation 2 10 2 3 5 3" xfId="427" xr:uid="{00000000-0005-0000-0000-00003E040000}"/>
    <cellStyle name="Calculation 2 10 2 3 6" xfId="3166" xr:uid="{00000000-0005-0000-0000-00003F040000}"/>
    <cellStyle name="Calculation 2 10 2 3 7" xfId="3168" xr:uid="{00000000-0005-0000-0000-000040040000}"/>
    <cellStyle name="Calculation 2 10 2 4" xfId="3170" xr:uid="{00000000-0005-0000-0000-000041040000}"/>
    <cellStyle name="Calculation 2 10 2 4 2" xfId="2136" xr:uid="{00000000-0005-0000-0000-000042040000}"/>
    <cellStyle name="Calculation 2 10 2 4 2 2" xfId="3171" xr:uid="{00000000-0005-0000-0000-000043040000}"/>
    <cellStyle name="Calculation 2 10 2 4 2 3" xfId="3175" xr:uid="{00000000-0005-0000-0000-000044040000}"/>
    <cellStyle name="Calculation 2 10 2 4 2 4" xfId="3181" xr:uid="{00000000-0005-0000-0000-000045040000}"/>
    <cellStyle name="Calculation 2 10 2 4 3" xfId="2139" xr:uid="{00000000-0005-0000-0000-000046040000}"/>
    <cellStyle name="Calculation 2 10 2 4 3 2" xfId="3186" xr:uid="{00000000-0005-0000-0000-000047040000}"/>
    <cellStyle name="Calculation 2 10 2 4 3 3" xfId="3190" xr:uid="{00000000-0005-0000-0000-000048040000}"/>
    <cellStyle name="Calculation 2 10 2 4 3 4" xfId="3197" xr:uid="{00000000-0005-0000-0000-000049040000}"/>
    <cellStyle name="Calculation 2 10 2 4 4" xfId="2142" xr:uid="{00000000-0005-0000-0000-00004A040000}"/>
    <cellStyle name="Calculation 2 10 2 4 4 2" xfId="3202" xr:uid="{00000000-0005-0000-0000-00004B040000}"/>
    <cellStyle name="Calculation 2 10 2 4 4 3" xfId="3204" xr:uid="{00000000-0005-0000-0000-00004C040000}"/>
    <cellStyle name="Calculation 2 10 2 4 5" xfId="2144" xr:uid="{00000000-0005-0000-0000-00004D040000}"/>
    <cellStyle name="Calculation 2 10 2 4 5 2" xfId="3205" xr:uid="{00000000-0005-0000-0000-00004E040000}"/>
    <cellStyle name="Calculation 2 10 2 4 5 3" xfId="3207" xr:uid="{00000000-0005-0000-0000-00004F040000}"/>
    <cellStyle name="Calculation 2 10 2 4 6" xfId="3208" xr:uid="{00000000-0005-0000-0000-000050040000}"/>
    <cellStyle name="Calculation 2 10 2 4 7" xfId="3210" xr:uid="{00000000-0005-0000-0000-000051040000}"/>
    <cellStyle name="Calculation 2 10 2 5" xfId="3211" xr:uid="{00000000-0005-0000-0000-000052040000}"/>
    <cellStyle name="Calculation 2 10 2 5 2" xfId="3212" xr:uid="{00000000-0005-0000-0000-000053040000}"/>
    <cellStyle name="Calculation 2 10 2 5 2 2" xfId="3214" xr:uid="{00000000-0005-0000-0000-000054040000}"/>
    <cellStyle name="Calculation 2 10 2 5 2 3" xfId="3219" xr:uid="{00000000-0005-0000-0000-000055040000}"/>
    <cellStyle name="Calculation 2 10 2 5 2 4" xfId="3060" xr:uid="{00000000-0005-0000-0000-000056040000}"/>
    <cellStyle name="Calculation 2 10 2 5 3" xfId="2650" xr:uid="{00000000-0005-0000-0000-000057040000}"/>
    <cellStyle name="Calculation 2 10 2 5 3 2" xfId="2653" xr:uid="{00000000-0005-0000-0000-000058040000}"/>
    <cellStyle name="Calculation 2 10 2 5 3 3" xfId="2661" xr:uid="{00000000-0005-0000-0000-000059040000}"/>
    <cellStyle name="Calculation 2 10 2 5 3 4" xfId="2668" xr:uid="{00000000-0005-0000-0000-00005A040000}"/>
    <cellStyle name="Calculation 2 10 2 5 4" xfId="2685" xr:uid="{00000000-0005-0000-0000-00005B040000}"/>
    <cellStyle name="Calculation 2 10 2 5 4 2" xfId="2687" xr:uid="{00000000-0005-0000-0000-00005C040000}"/>
    <cellStyle name="Calculation 2 10 2 5 4 3" xfId="2691" xr:uid="{00000000-0005-0000-0000-00005D040000}"/>
    <cellStyle name="Calculation 2 10 2 5 5" xfId="2471" xr:uid="{00000000-0005-0000-0000-00005E040000}"/>
    <cellStyle name="Calculation 2 10 2 5 5 2" xfId="3224" xr:uid="{00000000-0005-0000-0000-00005F040000}"/>
    <cellStyle name="Calculation 2 10 2 5 5 3" xfId="3227" xr:uid="{00000000-0005-0000-0000-000060040000}"/>
    <cellStyle name="Calculation 2 10 2 5 6" xfId="225" xr:uid="{00000000-0005-0000-0000-000061040000}"/>
    <cellStyle name="Calculation 2 10 2 5 7" xfId="2695" xr:uid="{00000000-0005-0000-0000-000062040000}"/>
    <cellStyle name="Calculation 2 10 2 6" xfId="3229" xr:uid="{00000000-0005-0000-0000-000063040000}"/>
    <cellStyle name="Calculation 2 10 2 6 2" xfId="3230" xr:uid="{00000000-0005-0000-0000-000064040000}"/>
    <cellStyle name="Calculation 2 10 2 6 2 2" xfId="3088" xr:uid="{00000000-0005-0000-0000-000065040000}"/>
    <cellStyle name="Calculation 2 10 2 6 2 3" xfId="2831" xr:uid="{00000000-0005-0000-0000-000066040000}"/>
    <cellStyle name="Calculation 2 10 2 6 2 4" xfId="2890" xr:uid="{00000000-0005-0000-0000-000067040000}"/>
    <cellStyle name="Calculation 2 10 2 6 3" xfId="2710" xr:uid="{00000000-0005-0000-0000-000068040000}"/>
    <cellStyle name="Calculation 2 10 2 6 3 2" xfId="893" xr:uid="{00000000-0005-0000-0000-000069040000}"/>
    <cellStyle name="Calculation 2 10 2 6 3 3" xfId="898" xr:uid="{00000000-0005-0000-0000-00006A040000}"/>
    <cellStyle name="Calculation 2 10 2 6 3 4" xfId="1186" xr:uid="{00000000-0005-0000-0000-00006B040000}"/>
    <cellStyle name="Calculation 2 10 2 6 4" xfId="2714" xr:uid="{00000000-0005-0000-0000-00006C040000}"/>
    <cellStyle name="Calculation 2 10 2 6 4 2" xfId="3234" xr:uid="{00000000-0005-0000-0000-00006D040000}"/>
    <cellStyle name="Calculation 2 10 2 6 4 3" xfId="3241" xr:uid="{00000000-0005-0000-0000-00006E040000}"/>
    <cellStyle name="Calculation 2 10 2 6 5" xfId="2717" xr:uid="{00000000-0005-0000-0000-00006F040000}"/>
    <cellStyle name="Calculation 2 10 2 6 5 2" xfId="3249" xr:uid="{00000000-0005-0000-0000-000070040000}"/>
    <cellStyle name="Calculation 2 10 2 6 5 3" xfId="1955" xr:uid="{00000000-0005-0000-0000-000071040000}"/>
    <cellStyle name="Calculation 2 10 2 6 6" xfId="3252" xr:uid="{00000000-0005-0000-0000-000072040000}"/>
    <cellStyle name="Calculation 2 10 2 6 7" xfId="3253" xr:uid="{00000000-0005-0000-0000-000073040000}"/>
    <cellStyle name="Calculation 2 10 2 7" xfId="3256" xr:uid="{00000000-0005-0000-0000-000074040000}"/>
    <cellStyle name="Calculation 2 10 2 7 2" xfId="3257" xr:uid="{00000000-0005-0000-0000-000075040000}"/>
    <cellStyle name="Calculation 2 10 2 7 2 2" xfId="3264" xr:uid="{00000000-0005-0000-0000-000076040000}"/>
    <cellStyle name="Calculation 2 10 2 7 2 3" xfId="3271" xr:uid="{00000000-0005-0000-0000-000077040000}"/>
    <cellStyle name="Calculation 2 10 2 7 2 4" xfId="3279" xr:uid="{00000000-0005-0000-0000-000078040000}"/>
    <cellStyle name="Calculation 2 10 2 7 3" xfId="2722" xr:uid="{00000000-0005-0000-0000-000079040000}"/>
    <cellStyle name="Calculation 2 10 2 7 3 2" xfId="3288" xr:uid="{00000000-0005-0000-0000-00007A040000}"/>
    <cellStyle name="Calculation 2 10 2 7 3 3" xfId="3294" xr:uid="{00000000-0005-0000-0000-00007B040000}"/>
    <cellStyle name="Calculation 2 10 2 7 3 4" xfId="3301" xr:uid="{00000000-0005-0000-0000-00007C040000}"/>
    <cellStyle name="Calculation 2 10 2 7 4" xfId="2731" xr:uid="{00000000-0005-0000-0000-00007D040000}"/>
    <cellStyle name="Calculation 2 10 2 7 4 2" xfId="3307" xr:uid="{00000000-0005-0000-0000-00007E040000}"/>
    <cellStyle name="Calculation 2 10 2 7 4 3" xfId="3314" xr:uid="{00000000-0005-0000-0000-00007F040000}"/>
    <cellStyle name="Calculation 2 10 2 7 5" xfId="2739" xr:uid="{00000000-0005-0000-0000-000080040000}"/>
    <cellStyle name="Calculation 2 10 2 7 5 2" xfId="3323" xr:uid="{00000000-0005-0000-0000-000081040000}"/>
    <cellStyle name="Calculation 2 10 2 7 5 3" xfId="3327" xr:uid="{00000000-0005-0000-0000-000082040000}"/>
    <cellStyle name="Calculation 2 10 2 7 6" xfId="3332" xr:uid="{00000000-0005-0000-0000-000083040000}"/>
    <cellStyle name="Calculation 2 10 2 7 7" xfId="3337" xr:uid="{00000000-0005-0000-0000-000084040000}"/>
    <cellStyle name="Calculation 2 10 2 8" xfId="3344" xr:uid="{00000000-0005-0000-0000-000085040000}"/>
    <cellStyle name="Calculation 2 10 2 8 2" xfId="3345" xr:uid="{00000000-0005-0000-0000-000086040000}"/>
    <cellStyle name="Calculation 2 10 2 8 2 2" xfId="3350" xr:uid="{00000000-0005-0000-0000-000087040000}"/>
    <cellStyle name="Calculation 2 10 2 8 2 3" xfId="3353" xr:uid="{00000000-0005-0000-0000-000088040000}"/>
    <cellStyle name="Calculation 2 10 2 8 2 4" xfId="3356" xr:uid="{00000000-0005-0000-0000-000089040000}"/>
    <cellStyle name="Calculation 2 10 2 8 3" xfId="2747" xr:uid="{00000000-0005-0000-0000-00008A040000}"/>
    <cellStyle name="Calculation 2 10 2 8 3 2" xfId="3361" xr:uid="{00000000-0005-0000-0000-00008B040000}"/>
    <cellStyle name="Calculation 2 10 2 8 3 3" xfId="3364" xr:uid="{00000000-0005-0000-0000-00008C040000}"/>
    <cellStyle name="Calculation 2 10 2 8 3 4" xfId="3368" xr:uid="{00000000-0005-0000-0000-00008D040000}"/>
    <cellStyle name="Calculation 2 10 2 8 4" xfId="2756" xr:uid="{00000000-0005-0000-0000-00008E040000}"/>
    <cellStyle name="Calculation 2 10 2 8 4 2" xfId="3376" xr:uid="{00000000-0005-0000-0000-00008F040000}"/>
    <cellStyle name="Calculation 2 10 2 8 4 3" xfId="3381" xr:uid="{00000000-0005-0000-0000-000090040000}"/>
    <cellStyle name="Calculation 2 10 2 8 5" xfId="2761" xr:uid="{00000000-0005-0000-0000-000091040000}"/>
    <cellStyle name="Calculation 2 10 2 8 5 2" xfId="45" xr:uid="{00000000-0005-0000-0000-000092040000}"/>
    <cellStyle name="Calculation 2 10 2 8 5 3" xfId="162" xr:uid="{00000000-0005-0000-0000-000093040000}"/>
    <cellStyle name="Calculation 2 10 2 8 6" xfId="3387" xr:uid="{00000000-0005-0000-0000-000094040000}"/>
    <cellStyle name="Calculation 2 10 2 8 7" xfId="3390" xr:uid="{00000000-0005-0000-0000-000095040000}"/>
    <cellStyle name="Calculation 2 10 2 9" xfId="3395" xr:uid="{00000000-0005-0000-0000-000096040000}"/>
    <cellStyle name="Calculation 2 10 2 9 2" xfId="1149" xr:uid="{00000000-0005-0000-0000-000097040000}"/>
    <cellStyle name="Calculation 2 10 2 9 2 2" xfId="3399" xr:uid="{00000000-0005-0000-0000-000098040000}"/>
    <cellStyle name="Calculation 2 10 2 9 2 3" xfId="3403" xr:uid="{00000000-0005-0000-0000-000099040000}"/>
    <cellStyle name="Calculation 2 10 2 9 2 4" xfId="3408" xr:uid="{00000000-0005-0000-0000-00009A040000}"/>
    <cellStyle name="Calculation 2 10 2 9 3" xfId="2766" xr:uid="{00000000-0005-0000-0000-00009B040000}"/>
    <cellStyle name="Calculation 2 10 2 9 3 2" xfId="3414" xr:uid="{00000000-0005-0000-0000-00009C040000}"/>
    <cellStyle name="Calculation 2 10 2 9 3 3" xfId="3420" xr:uid="{00000000-0005-0000-0000-00009D040000}"/>
    <cellStyle name="Calculation 2 10 2 9 3 4" xfId="3427" xr:uid="{00000000-0005-0000-0000-00009E040000}"/>
    <cellStyle name="Calculation 2 10 2 9 4" xfId="2773" xr:uid="{00000000-0005-0000-0000-00009F040000}"/>
    <cellStyle name="Calculation 2 10 2 9 4 2" xfId="3435" xr:uid="{00000000-0005-0000-0000-0000A0040000}"/>
    <cellStyle name="Calculation 2 10 2 9 4 3" xfId="3442" xr:uid="{00000000-0005-0000-0000-0000A1040000}"/>
    <cellStyle name="Calculation 2 10 2 9 5" xfId="2777" xr:uid="{00000000-0005-0000-0000-0000A2040000}"/>
    <cellStyle name="Calculation 2 10 2 9 5 2" xfId="3451" xr:uid="{00000000-0005-0000-0000-0000A3040000}"/>
    <cellStyle name="Calculation 2 10 2 9 5 3" xfId="3458" xr:uid="{00000000-0005-0000-0000-0000A4040000}"/>
    <cellStyle name="Calculation 2 10 2 9 6" xfId="3464" xr:uid="{00000000-0005-0000-0000-0000A5040000}"/>
    <cellStyle name="Calculation 2 10 2 9 7" xfId="3467" xr:uid="{00000000-0005-0000-0000-0000A6040000}"/>
    <cellStyle name="Calculation 2 10 20" xfId="789" xr:uid="{00000000-0005-0000-0000-0000A7040000}"/>
    <cellStyle name="Calculation 2 10 3" xfId="2030" xr:uid="{00000000-0005-0000-0000-0000A8040000}"/>
    <cellStyle name="Calculation 2 10 3 10" xfId="3471" xr:uid="{00000000-0005-0000-0000-0000A9040000}"/>
    <cellStyle name="Calculation 2 10 3 10 2" xfId="904" xr:uid="{00000000-0005-0000-0000-0000AA040000}"/>
    <cellStyle name="Calculation 2 10 3 10 2 2" xfId="3473" xr:uid="{00000000-0005-0000-0000-0000AB040000}"/>
    <cellStyle name="Calculation 2 10 3 10 2 3" xfId="3474" xr:uid="{00000000-0005-0000-0000-0000AC040000}"/>
    <cellStyle name="Calculation 2 10 3 10 2 4" xfId="3476" xr:uid="{00000000-0005-0000-0000-0000AD040000}"/>
    <cellStyle name="Calculation 2 10 3 10 3" xfId="3483" xr:uid="{00000000-0005-0000-0000-0000AE040000}"/>
    <cellStyle name="Calculation 2 10 3 10 3 2" xfId="3485" xr:uid="{00000000-0005-0000-0000-0000AF040000}"/>
    <cellStyle name="Calculation 2 10 3 10 3 3" xfId="3486" xr:uid="{00000000-0005-0000-0000-0000B0040000}"/>
    <cellStyle name="Calculation 2 10 3 10 3 4" xfId="3488" xr:uid="{00000000-0005-0000-0000-0000B1040000}"/>
    <cellStyle name="Calculation 2 10 3 10 4" xfId="3491" xr:uid="{00000000-0005-0000-0000-0000B2040000}"/>
    <cellStyle name="Calculation 2 10 3 10 4 2" xfId="3492" xr:uid="{00000000-0005-0000-0000-0000B3040000}"/>
    <cellStyle name="Calculation 2 10 3 10 4 3" xfId="3493" xr:uid="{00000000-0005-0000-0000-0000B4040000}"/>
    <cellStyle name="Calculation 2 10 3 10 5" xfId="3495" xr:uid="{00000000-0005-0000-0000-0000B5040000}"/>
    <cellStyle name="Calculation 2 10 3 10 5 2" xfId="3500" xr:uid="{00000000-0005-0000-0000-0000B6040000}"/>
    <cellStyle name="Calculation 2 10 3 10 5 3" xfId="3503" xr:uid="{00000000-0005-0000-0000-0000B7040000}"/>
    <cellStyle name="Calculation 2 10 3 10 6" xfId="3506" xr:uid="{00000000-0005-0000-0000-0000B8040000}"/>
    <cellStyle name="Calculation 2 10 3 10 7" xfId="3510" xr:uid="{00000000-0005-0000-0000-0000B9040000}"/>
    <cellStyle name="Calculation 2 10 3 11" xfId="3515" xr:uid="{00000000-0005-0000-0000-0000BA040000}"/>
    <cellStyle name="Calculation 2 10 3 11 2" xfId="3517" xr:uid="{00000000-0005-0000-0000-0000BB040000}"/>
    <cellStyle name="Calculation 2 10 3 11 3" xfId="3519" xr:uid="{00000000-0005-0000-0000-0000BC040000}"/>
    <cellStyle name="Calculation 2 10 3 11 4" xfId="3520" xr:uid="{00000000-0005-0000-0000-0000BD040000}"/>
    <cellStyle name="Calculation 2 10 3 12" xfId="3522" xr:uid="{00000000-0005-0000-0000-0000BE040000}"/>
    <cellStyle name="Calculation 2 10 3 12 2" xfId="3524" xr:uid="{00000000-0005-0000-0000-0000BF040000}"/>
    <cellStyle name="Calculation 2 10 3 12 3" xfId="3525" xr:uid="{00000000-0005-0000-0000-0000C0040000}"/>
    <cellStyle name="Calculation 2 10 3 12 4" xfId="3526" xr:uid="{00000000-0005-0000-0000-0000C1040000}"/>
    <cellStyle name="Calculation 2 10 3 13" xfId="3527" xr:uid="{00000000-0005-0000-0000-0000C2040000}"/>
    <cellStyle name="Calculation 2 10 3 13 2" xfId="3530" xr:uid="{00000000-0005-0000-0000-0000C3040000}"/>
    <cellStyle name="Calculation 2 10 3 13 3" xfId="3532" xr:uid="{00000000-0005-0000-0000-0000C4040000}"/>
    <cellStyle name="Calculation 2 10 3 14" xfId="3534" xr:uid="{00000000-0005-0000-0000-0000C5040000}"/>
    <cellStyle name="Calculation 2 10 3 14 2" xfId="3537" xr:uid="{00000000-0005-0000-0000-0000C6040000}"/>
    <cellStyle name="Calculation 2 10 3 14 3" xfId="3540" xr:uid="{00000000-0005-0000-0000-0000C7040000}"/>
    <cellStyle name="Calculation 2 10 3 15" xfId="3543" xr:uid="{00000000-0005-0000-0000-0000C8040000}"/>
    <cellStyle name="Calculation 2 10 3 16" xfId="3548" xr:uid="{00000000-0005-0000-0000-0000C9040000}"/>
    <cellStyle name="Calculation 2 10 3 2" xfId="2038" xr:uid="{00000000-0005-0000-0000-0000CA040000}"/>
    <cellStyle name="Calculation 2 10 3 2 2" xfId="2042" xr:uid="{00000000-0005-0000-0000-0000CB040000}"/>
    <cellStyle name="Calculation 2 10 3 2 2 2" xfId="2048" xr:uid="{00000000-0005-0000-0000-0000CC040000}"/>
    <cellStyle name="Calculation 2 10 3 2 2 3" xfId="2286" xr:uid="{00000000-0005-0000-0000-0000CD040000}"/>
    <cellStyle name="Calculation 2 10 3 2 2 4" xfId="3550" xr:uid="{00000000-0005-0000-0000-0000CE040000}"/>
    <cellStyle name="Calculation 2 10 3 2 3" xfId="3553" xr:uid="{00000000-0005-0000-0000-0000CF040000}"/>
    <cellStyle name="Calculation 2 10 3 2 3 2" xfId="3554" xr:uid="{00000000-0005-0000-0000-0000D0040000}"/>
    <cellStyle name="Calculation 2 10 3 2 3 3" xfId="3555" xr:uid="{00000000-0005-0000-0000-0000D1040000}"/>
    <cellStyle name="Calculation 2 10 3 2 3 4" xfId="3556" xr:uid="{00000000-0005-0000-0000-0000D2040000}"/>
    <cellStyle name="Calculation 2 10 3 2 4" xfId="3559" xr:uid="{00000000-0005-0000-0000-0000D3040000}"/>
    <cellStyle name="Calculation 2 10 3 2 4 2" xfId="3562" xr:uid="{00000000-0005-0000-0000-0000D4040000}"/>
    <cellStyle name="Calculation 2 10 3 2 4 3" xfId="3563" xr:uid="{00000000-0005-0000-0000-0000D5040000}"/>
    <cellStyle name="Calculation 2 10 3 2 5" xfId="3564" xr:uid="{00000000-0005-0000-0000-0000D6040000}"/>
    <cellStyle name="Calculation 2 10 3 2 5 2" xfId="703" xr:uid="{00000000-0005-0000-0000-0000D7040000}"/>
    <cellStyle name="Calculation 2 10 3 2 5 3" xfId="710" xr:uid="{00000000-0005-0000-0000-0000D8040000}"/>
    <cellStyle name="Calculation 2 10 3 2 6" xfId="3567" xr:uid="{00000000-0005-0000-0000-0000D9040000}"/>
    <cellStyle name="Calculation 2 10 3 2 7" xfId="3569" xr:uid="{00000000-0005-0000-0000-0000DA040000}"/>
    <cellStyle name="Calculation 2 10 3 3" xfId="2055" xr:uid="{00000000-0005-0000-0000-0000DB040000}"/>
    <cellStyle name="Calculation 2 10 3 3 2" xfId="3571" xr:uid="{00000000-0005-0000-0000-0000DC040000}"/>
    <cellStyle name="Calculation 2 10 3 3 2 2" xfId="1516" xr:uid="{00000000-0005-0000-0000-0000DD040000}"/>
    <cellStyle name="Calculation 2 10 3 3 2 3" xfId="2004" xr:uid="{00000000-0005-0000-0000-0000DE040000}"/>
    <cellStyle name="Calculation 2 10 3 3 2 4" xfId="3572" xr:uid="{00000000-0005-0000-0000-0000DF040000}"/>
    <cellStyle name="Calculation 2 10 3 3 3" xfId="3574" xr:uid="{00000000-0005-0000-0000-0000E0040000}"/>
    <cellStyle name="Calculation 2 10 3 3 3 2" xfId="3576" xr:uid="{00000000-0005-0000-0000-0000E1040000}"/>
    <cellStyle name="Calculation 2 10 3 3 3 3" xfId="3578" xr:uid="{00000000-0005-0000-0000-0000E2040000}"/>
    <cellStyle name="Calculation 2 10 3 3 3 4" xfId="3579" xr:uid="{00000000-0005-0000-0000-0000E3040000}"/>
    <cellStyle name="Calculation 2 10 3 3 4" xfId="3581" xr:uid="{00000000-0005-0000-0000-0000E4040000}"/>
    <cellStyle name="Calculation 2 10 3 3 4 2" xfId="3583" xr:uid="{00000000-0005-0000-0000-0000E5040000}"/>
    <cellStyle name="Calculation 2 10 3 3 4 3" xfId="3586" xr:uid="{00000000-0005-0000-0000-0000E6040000}"/>
    <cellStyle name="Calculation 2 10 3 3 5" xfId="3587" xr:uid="{00000000-0005-0000-0000-0000E7040000}"/>
    <cellStyle name="Calculation 2 10 3 3 5 2" xfId="808" xr:uid="{00000000-0005-0000-0000-0000E8040000}"/>
    <cellStyle name="Calculation 2 10 3 3 5 3" xfId="754" xr:uid="{00000000-0005-0000-0000-0000E9040000}"/>
    <cellStyle name="Calculation 2 10 3 3 6" xfId="3588" xr:uid="{00000000-0005-0000-0000-0000EA040000}"/>
    <cellStyle name="Calculation 2 10 3 3 7" xfId="3590" xr:uid="{00000000-0005-0000-0000-0000EB040000}"/>
    <cellStyle name="Calculation 2 10 3 4" xfId="3592" xr:uid="{00000000-0005-0000-0000-0000EC040000}"/>
    <cellStyle name="Calculation 2 10 3 4 2" xfId="2181" xr:uid="{00000000-0005-0000-0000-0000ED040000}"/>
    <cellStyle name="Calculation 2 10 3 4 2 2" xfId="2304" xr:uid="{00000000-0005-0000-0000-0000EE040000}"/>
    <cellStyle name="Calculation 2 10 3 4 2 3" xfId="2309" xr:uid="{00000000-0005-0000-0000-0000EF040000}"/>
    <cellStyle name="Calculation 2 10 3 4 2 4" xfId="3593" xr:uid="{00000000-0005-0000-0000-0000F0040000}"/>
    <cellStyle name="Calculation 2 10 3 4 3" xfId="3599" xr:uid="{00000000-0005-0000-0000-0000F1040000}"/>
    <cellStyle name="Calculation 2 10 3 4 3 2" xfId="3601" xr:uid="{00000000-0005-0000-0000-0000F2040000}"/>
    <cellStyle name="Calculation 2 10 3 4 3 3" xfId="3605" xr:uid="{00000000-0005-0000-0000-0000F3040000}"/>
    <cellStyle name="Calculation 2 10 3 4 3 4" xfId="3608" xr:uid="{00000000-0005-0000-0000-0000F4040000}"/>
    <cellStyle name="Calculation 2 10 3 4 4" xfId="3615" xr:uid="{00000000-0005-0000-0000-0000F5040000}"/>
    <cellStyle name="Calculation 2 10 3 4 4 2" xfId="3617" xr:uid="{00000000-0005-0000-0000-0000F6040000}"/>
    <cellStyle name="Calculation 2 10 3 4 4 3" xfId="3620" xr:uid="{00000000-0005-0000-0000-0000F7040000}"/>
    <cellStyle name="Calculation 2 10 3 4 5" xfId="3623" xr:uid="{00000000-0005-0000-0000-0000F8040000}"/>
    <cellStyle name="Calculation 2 10 3 4 5 2" xfId="484" xr:uid="{00000000-0005-0000-0000-0000F9040000}"/>
    <cellStyle name="Calculation 2 10 3 4 5 3" xfId="514" xr:uid="{00000000-0005-0000-0000-0000FA040000}"/>
    <cellStyle name="Calculation 2 10 3 4 6" xfId="3624" xr:uid="{00000000-0005-0000-0000-0000FB040000}"/>
    <cellStyle name="Calculation 2 10 3 4 7" xfId="3626" xr:uid="{00000000-0005-0000-0000-0000FC040000}"/>
    <cellStyle name="Calculation 2 10 3 5" xfId="3627" xr:uid="{00000000-0005-0000-0000-0000FD040000}"/>
    <cellStyle name="Calculation 2 10 3 5 2" xfId="3629" xr:uid="{00000000-0005-0000-0000-0000FE040000}"/>
    <cellStyle name="Calculation 2 10 3 5 2 2" xfId="1396" xr:uid="{00000000-0005-0000-0000-0000FF040000}"/>
    <cellStyle name="Calculation 2 10 3 5 2 3" xfId="3631" xr:uid="{00000000-0005-0000-0000-000000050000}"/>
    <cellStyle name="Calculation 2 10 3 5 2 4" xfId="3632" xr:uid="{00000000-0005-0000-0000-000001050000}"/>
    <cellStyle name="Calculation 2 10 3 5 3" xfId="3634" xr:uid="{00000000-0005-0000-0000-000002050000}"/>
    <cellStyle name="Calculation 2 10 3 5 3 2" xfId="3636" xr:uid="{00000000-0005-0000-0000-000003050000}"/>
    <cellStyle name="Calculation 2 10 3 5 3 3" xfId="3638" xr:uid="{00000000-0005-0000-0000-000004050000}"/>
    <cellStyle name="Calculation 2 10 3 5 3 4" xfId="3639" xr:uid="{00000000-0005-0000-0000-000005050000}"/>
    <cellStyle name="Calculation 2 10 3 5 4" xfId="3642" xr:uid="{00000000-0005-0000-0000-000006050000}"/>
    <cellStyle name="Calculation 2 10 3 5 4 2" xfId="2638" xr:uid="{00000000-0005-0000-0000-000007050000}"/>
    <cellStyle name="Calculation 2 10 3 5 4 3" xfId="3644" xr:uid="{00000000-0005-0000-0000-000008050000}"/>
    <cellStyle name="Calculation 2 10 3 5 5" xfId="3647" xr:uid="{00000000-0005-0000-0000-000009050000}"/>
    <cellStyle name="Calculation 2 10 3 5 5 2" xfId="1197" xr:uid="{00000000-0005-0000-0000-00000A050000}"/>
    <cellStyle name="Calculation 2 10 3 5 5 3" xfId="1204" xr:uid="{00000000-0005-0000-0000-00000B050000}"/>
    <cellStyle name="Calculation 2 10 3 5 6" xfId="3649" xr:uid="{00000000-0005-0000-0000-00000C050000}"/>
    <cellStyle name="Calculation 2 10 3 5 7" xfId="3650" xr:uid="{00000000-0005-0000-0000-00000D050000}"/>
    <cellStyle name="Calculation 2 10 3 6" xfId="3651" xr:uid="{00000000-0005-0000-0000-00000E050000}"/>
    <cellStyle name="Calculation 2 10 3 6 2" xfId="3653" xr:uid="{00000000-0005-0000-0000-00000F050000}"/>
    <cellStyle name="Calculation 2 10 3 6 2 2" xfId="3655" xr:uid="{00000000-0005-0000-0000-000010050000}"/>
    <cellStyle name="Calculation 2 10 3 6 2 3" xfId="3657" xr:uid="{00000000-0005-0000-0000-000011050000}"/>
    <cellStyle name="Calculation 2 10 3 6 2 4" xfId="3658" xr:uid="{00000000-0005-0000-0000-000012050000}"/>
    <cellStyle name="Calculation 2 10 3 6 3" xfId="3661" xr:uid="{00000000-0005-0000-0000-000013050000}"/>
    <cellStyle name="Calculation 2 10 3 6 3 2" xfId="3663" xr:uid="{00000000-0005-0000-0000-000014050000}"/>
    <cellStyle name="Calculation 2 10 3 6 3 3" xfId="3665" xr:uid="{00000000-0005-0000-0000-000015050000}"/>
    <cellStyle name="Calculation 2 10 3 6 3 4" xfId="3666" xr:uid="{00000000-0005-0000-0000-000016050000}"/>
    <cellStyle name="Calculation 2 10 3 6 4" xfId="3670" xr:uid="{00000000-0005-0000-0000-000017050000}"/>
    <cellStyle name="Calculation 2 10 3 6 4 2" xfId="3673" xr:uid="{00000000-0005-0000-0000-000018050000}"/>
    <cellStyle name="Calculation 2 10 3 6 4 3" xfId="3678" xr:uid="{00000000-0005-0000-0000-000019050000}"/>
    <cellStyle name="Calculation 2 10 3 6 5" xfId="3681" xr:uid="{00000000-0005-0000-0000-00001A050000}"/>
    <cellStyle name="Calculation 2 10 3 6 5 2" xfId="3684" xr:uid="{00000000-0005-0000-0000-00001B050000}"/>
    <cellStyle name="Calculation 2 10 3 6 5 3" xfId="1676" xr:uid="{00000000-0005-0000-0000-00001C050000}"/>
    <cellStyle name="Calculation 2 10 3 6 6" xfId="3688" xr:uid="{00000000-0005-0000-0000-00001D050000}"/>
    <cellStyle name="Calculation 2 10 3 6 7" xfId="3689" xr:uid="{00000000-0005-0000-0000-00001E050000}"/>
    <cellStyle name="Calculation 2 10 3 7" xfId="3691" xr:uid="{00000000-0005-0000-0000-00001F050000}"/>
    <cellStyle name="Calculation 2 10 3 7 2" xfId="3692" xr:uid="{00000000-0005-0000-0000-000020050000}"/>
    <cellStyle name="Calculation 2 10 3 7 2 2" xfId="866" xr:uid="{00000000-0005-0000-0000-000021050000}"/>
    <cellStyle name="Calculation 2 10 3 7 2 3" xfId="3694" xr:uid="{00000000-0005-0000-0000-000022050000}"/>
    <cellStyle name="Calculation 2 10 3 7 2 4" xfId="3697" xr:uid="{00000000-0005-0000-0000-000023050000}"/>
    <cellStyle name="Calculation 2 10 3 7 3" xfId="3699" xr:uid="{00000000-0005-0000-0000-000024050000}"/>
    <cellStyle name="Calculation 2 10 3 7 3 2" xfId="3702" xr:uid="{00000000-0005-0000-0000-000025050000}"/>
    <cellStyle name="Calculation 2 10 3 7 3 3" xfId="3705" xr:uid="{00000000-0005-0000-0000-000026050000}"/>
    <cellStyle name="Calculation 2 10 3 7 3 4" xfId="3708" xr:uid="{00000000-0005-0000-0000-000027050000}"/>
    <cellStyle name="Calculation 2 10 3 7 4" xfId="3712" xr:uid="{00000000-0005-0000-0000-000028050000}"/>
    <cellStyle name="Calculation 2 10 3 7 4 2" xfId="3716" xr:uid="{00000000-0005-0000-0000-000029050000}"/>
    <cellStyle name="Calculation 2 10 3 7 4 3" xfId="3722" xr:uid="{00000000-0005-0000-0000-00002A050000}"/>
    <cellStyle name="Calculation 2 10 3 7 5" xfId="3726" xr:uid="{00000000-0005-0000-0000-00002B050000}"/>
    <cellStyle name="Calculation 2 10 3 7 5 2" xfId="3730" xr:uid="{00000000-0005-0000-0000-00002C050000}"/>
    <cellStyle name="Calculation 2 10 3 7 5 3" xfId="3734" xr:uid="{00000000-0005-0000-0000-00002D050000}"/>
    <cellStyle name="Calculation 2 10 3 7 6" xfId="3737" xr:uid="{00000000-0005-0000-0000-00002E050000}"/>
    <cellStyle name="Calculation 2 10 3 7 7" xfId="3739" xr:uid="{00000000-0005-0000-0000-00002F050000}"/>
    <cellStyle name="Calculation 2 10 3 8" xfId="3743" xr:uid="{00000000-0005-0000-0000-000030050000}"/>
    <cellStyle name="Calculation 2 10 3 8 2" xfId="3745" xr:uid="{00000000-0005-0000-0000-000031050000}"/>
    <cellStyle name="Calculation 2 10 3 8 2 2" xfId="3749" xr:uid="{00000000-0005-0000-0000-000032050000}"/>
    <cellStyle name="Calculation 2 10 3 8 2 3" xfId="3752" xr:uid="{00000000-0005-0000-0000-000033050000}"/>
    <cellStyle name="Calculation 2 10 3 8 2 4" xfId="3754" xr:uid="{00000000-0005-0000-0000-000034050000}"/>
    <cellStyle name="Calculation 2 10 3 8 3" xfId="3756" xr:uid="{00000000-0005-0000-0000-000035050000}"/>
    <cellStyle name="Calculation 2 10 3 8 3 2" xfId="3762" xr:uid="{00000000-0005-0000-0000-000036050000}"/>
    <cellStyle name="Calculation 2 10 3 8 3 3" xfId="3766" xr:uid="{00000000-0005-0000-0000-000037050000}"/>
    <cellStyle name="Calculation 2 10 3 8 3 4" xfId="3768" xr:uid="{00000000-0005-0000-0000-000038050000}"/>
    <cellStyle name="Calculation 2 10 3 8 4" xfId="3770" xr:uid="{00000000-0005-0000-0000-000039050000}"/>
    <cellStyle name="Calculation 2 10 3 8 4 2" xfId="3778" xr:uid="{00000000-0005-0000-0000-00003A050000}"/>
    <cellStyle name="Calculation 2 10 3 8 4 3" xfId="3787" xr:uid="{00000000-0005-0000-0000-00003B050000}"/>
    <cellStyle name="Calculation 2 10 3 8 5" xfId="3793" xr:uid="{00000000-0005-0000-0000-00003C050000}"/>
    <cellStyle name="Calculation 2 10 3 8 5 2" xfId="3798" xr:uid="{00000000-0005-0000-0000-00003D050000}"/>
    <cellStyle name="Calculation 2 10 3 8 5 3" xfId="1706" xr:uid="{00000000-0005-0000-0000-00003E050000}"/>
    <cellStyle name="Calculation 2 10 3 8 6" xfId="3804" xr:uid="{00000000-0005-0000-0000-00003F050000}"/>
    <cellStyle name="Calculation 2 10 3 8 7" xfId="3807" xr:uid="{00000000-0005-0000-0000-000040050000}"/>
    <cellStyle name="Calculation 2 10 3 9" xfId="3811" xr:uid="{00000000-0005-0000-0000-000041050000}"/>
    <cellStyle name="Calculation 2 10 3 9 2" xfId="124" xr:uid="{00000000-0005-0000-0000-000042050000}"/>
    <cellStyle name="Calculation 2 10 3 9 2 2" xfId="3815" xr:uid="{00000000-0005-0000-0000-000043050000}"/>
    <cellStyle name="Calculation 2 10 3 9 2 3" xfId="3819" xr:uid="{00000000-0005-0000-0000-000044050000}"/>
    <cellStyle name="Calculation 2 10 3 9 2 4" xfId="3822" xr:uid="{00000000-0005-0000-0000-000045050000}"/>
    <cellStyle name="Calculation 2 10 3 9 3" xfId="3823" xr:uid="{00000000-0005-0000-0000-000046050000}"/>
    <cellStyle name="Calculation 2 10 3 9 3 2" xfId="3831" xr:uid="{00000000-0005-0000-0000-000047050000}"/>
    <cellStyle name="Calculation 2 10 3 9 3 3" xfId="3838" xr:uid="{00000000-0005-0000-0000-000048050000}"/>
    <cellStyle name="Calculation 2 10 3 9 3 4" xfId="3843" xr:uid="{00000000-0005-0000-0000-000049050000}"/>
    <cellStyle name="Calculation 2 10 3 9 4" xfId="3848" xr:uid="{00000000-0005-0000-0000-00004A050000}"/>
    <cellStyle name="Calculation 2 10 3 9 4 2" xfId="3856" xr:uid="{00000000-0005-0000-0000-00004B050000}"/>
    <cellStyle name="Calculation 2 10 3 9 4 3" xfId="3865" xr:uid="{00000000-0005-0000-0000-00004C050000}"/>
    <cellStyle name="Calculation 2 10 3 9 5" xfId="3870" xr:uid="{00000000-0005-0000-0000-00004D050000}"/>
    <cellStyle name="Calculation 2 10 3 9 5 2" xfId="3878" xr:uid="{00000000-0005-0000-0000-00004E050000}"/>
    <cellStyle name="Calculation 2 10 3 9 5 3" xfId="3886" xr:uid="{00000000-0005-0000-0000-00004F050000}"/>
    <cellStyle name="Calculation 2 10 3 9 6" xfId="3892" xr:uid="{00000000-0005-0000-0000-000050050000}"/>
    <cellStyle name="Calculation 2 10 3 9 7" xfId="1986" xr:uid="{00000000-0005-0000-0000-000051050000}"/>
    <cellStyle name="Calculation 2 10 4" xfId="1563" xr:uid="{00000000-0005-0000-0000-000052050000}"/>
    <cellStyle name="Calculation 2 10 4 2" xfId="1416" xr:uid="{00000000-0005-0000-0000-000053050000}"/>
    <cellStyle name="Calculation 2 10 4 2 2" xfId="2088" xr:uid="{00000000-0005-0000-0000-000054050000}"/>
    <cellStyle name="Calculation 2 10 4 2 3" xfId="2104" xr:uid="{00000000-0005-0000-0000-000055050000}"/>
    <cellStyle name="Calculation 2 10 4 2 4" xfId="3893" xr:uid="{00000000-0005-0000-0000-000056050000}"/>
    <cellStyle name="Calculation 2 10 4 3" xfId="1421" xr:uid="{00000000-0005-0000-0000-000057050000}"/>
    <cellStyle name="Calculation 2 10 4 3 2" xfId="1586" xr:uid="{00000000-0005-0000-0000-000058050000}"/>
    <cellStyle name="Calculation 2 10 4 3 3" xfId="3894" xr:uid="{00000000-0005-0000-0000-000059050000}"/>
    <cellStyle name="Calculation 2 10 4 3 4" xfId="299" xr:uid="{00000000-0005-0000-0000-00005A050000}"/>
    <cellStyle name="Calculation 2 10 4 4" xfId="2106" xr:uid="{00000000-0005-0000-0000-00005B050000}"/>
    <cellStyle name="Calculation 2 10 4 4 2" xfId="3895" xr:uid="{00000000-0005-0000-0000-00005C050000}"/>
    <cellStyle name="Calculation 2 10 4 4 3" xfId="3896" xr:uid="{00000000-0005-0000-0000-00005D050000}"/>
    <cellStyle name="Calculation 2 10 4 5" xfId="2110" xr:uid="{00000000-0005-0000-0000-00005E050000}"/>
    <cellStyle name="Calculation 2 10 4 5 2" xfId="3898" xr:uid="{00000000-0005-0000-0000-00005F050000}"/>
    <cellStyle name="Calculation 2 10 4 5 3" xfId="3899" xr:uid="{00000000-0005-0000-0000-000060050000}"/>
    <cellStyle name="Calculation 2 10 4 6" xfId="2114" xr:uid="{00000000-0005-0000-0000-000061050000}"/>
    <cellStyle name="Calculation 2 10 4 7" xfId="2119" xr:uid="{00000000-0005-0000-0000-000062050000}"/>
    <cellStyle name="Calculation 2 10 5" xfId="2065" xr:uid="{00000000-0005-0000-0000-000063050000}"/>
    <cellStyle name="Calculation 2 10 5 2" xfId="3902" xr:uid="{00000000-0005-0000-0000-000064050000}"/>
    <cellStyle name="Calculation 2 10 5 2 2" xfId="3903" xr:uid="{00000000-0005-0000-0000-000065050000}"/>
    <cellStyle name="Calculation 2 10 5 2 3" xfId="3904" xr:uid="{00000000-0005-0000-0000-000066050000}"/>
    <cellStyle name="Calculation 2 10 5 2 4" xfId="3905" xr:uid="{00000000-0005-0000-0000-000067050000}"/>
    <cellStyle name="Calculation 2 10 5 3" xfId="3907" xr:uid="{00000000-0005-0000-0000-000068050000}"/>
    <cellStyle name="Calculation 2 10 5 3 2" xfId="2605" xr:uid="{00000000-0005-0000-0000-000069050000}"/>
    <cellStyle name="Calculation 2 10 5 3 3" xfId="3908" xr:uid="{00000000-0005-0000-0000-00006A050000}"/>
    <cellStyle name="Calculation 2 10 5 3 4" xfId="3909" xr:uid="{00000000-0005-0000-0000-00006B050000}"/>
    <cellStyle name="Calculation 2 10 5 4" xfId="3910" xr:uid="{00000000-0005-0000-0000-00006C050000}"/>
    <cellStyle name="Calculation 2 10 5 4 2" xfId="3913" xr:uid="{00000000-0005-0000-0000-00006D050000}"/>
    <cellStyle name="Calculation 2 10 5 4 3" xfId="3914" xr:uid="{00000000-0005-0000-0000-00006E050000}"/>
    <cellStyle name="Calculation 2 10 5 5" xfId="3915" xr:uid="{00000000-0005-0000-0000-00006F050000}"/>
    <cellStyle name="Calculation 2 10 5 5 2" xfId="252" xr:uid="{00000000-0005-0000-0000-000070050000}"/>
    <cellStyle name="Calculation 2 10 5 5 3" xfId="266" xr:uid="{00000000-0005-0000-0000-000071050000}"/>
    <cellStyle name="Calculation 2 10 5 6" xfId="662" xr:uid="{00000000-0005-0000-0000-000072050000}"/>
    <cellStyle name="Calculation 2 10 5 7" xfId="3918" xr:uid="{00000000-0005-0000-0000-000073050000}"/>
    <cellStyle name="Calculation 2 10 6" xfId="2074" xr:uid="{00000000-0005-0000-0000-000074050000}"/>
    <cellStyle name="Calculation 2 10 6 2" xfId="2122" xr:uid="{00000000-0005-0000-0000-000075050000}"/>
    <cellStyle name="Calculation 2 10 6 2 2" xfId="2127" xr:uid="{00000000-0005-0000-0000-000076050000}"/>
    <cellStyle name="Calculation 2 10 6 2 3" xfId="96" xr:uid="{00000000-0005-0000-0000-000077050000}"/>
    <cellStyle name="Calculation 2 10 6 2 4" xfId="3919" xr:uid="{00000000-0005-0000-0000-000078050000}"/>
    <cellStyle name="Calculation 2 10 6 3" xfId="2134" xr:uid="{00000000-0005-0000-0000-000079050000}"/>
    <cellStyle name="Calculation 2 10 6 3 2" xfId="3920" xr:uid="{00000000-0005-0000-0000-00007A050000}"/>
    <cellStyle name="Calculation 2 10 6 3 3" xfId="3921" xr:uid="{00000000-0005-0000-0000-00007B050000}"/>
    <cellStyle name="Calculation 2 10 6 3 4" xfId="3922" xr:uid="{00000000-0005-0000-0000-00007C050000}"/>
    <cellStyle name="Calculation 2 10 6 4" xfId="3923" xr:uid="{00000000-0005-0000-0000-00007D050000}"/>
    <cellStyle name="Calculation 2 10 6 4 2" xfId="3926" xr:uid="{00000000-0005-0000-0000-00007E050000}"/>
    <cellStyle name="Calculation 2 10 6 4 3" xfId="3927" xr:uid="{00000000-0005-0000-0000-00007F050000}"/>
    <cellStyle name="Calculation 2 10 6 5" xfId="3928" xr:uid="{00000000-0005-0000-0000-000080050000}"/>
    <cellStyle name="Calculation 2 10 6 5 2" xfId="3932" xr:uid="{00000000-0005-0000-0000-000081050000}"/>
    <cellStyle name="Calculation 2 10 6 5 3" xfId="3933" xr:uid="{00000000-0005-0000-0000-000082050000}"/>
    <cellStyle name="Calculation 2 10 6 6" xfId="3934" xr:uid="{00000000-0005-0000-0000-000083050000}"/>
    <cellStyle name="Calculation 2 10 6 7" xfId="3935" xr:uid="{00000000-0005-0000-0000-000084050000}"/>
    <cellStyle name="Calculation 2 10 7" xfId="2078" xr:uid="{00000000-0005-0000-0000-000085050000}"/>
    <cellStyle name="Calculation 2 10 7 2" xfId="3938" xr:uid="{00000000-0005-0000-0000-000086050000}"/>
    <cellStyle name="Calculation 2 10 7 2 2" xfId="3940" xr:uid="{00000000-0005-0000-0000-000087050000}"/>
    <cellStyle name="Calculation 2 10 7 2 3" xfId="3942" xr:uid="{00000000-0005-0000-0000-000088050000}"/>
    <cellStyle name="Calculation 2 10 7 2 4" xfId="3943" xr:uid="{00000000-0005-0000-0000-000089050000}"/>
    <cellStyle name="Calculation 2 10 7 3" xfId="3945" xr:uid="{00000000-0005-0000-0000-00008A050000}"/>
    <cellStyle name="Calculation 2 10 7 3 2" xfId="2517" xr:uid="{00000000-0005-0000-0000-00008B050000}"/>
    <cellStyle name="Calculation 2 10 7 3 3" xfId="3946" xr:uid="{00000000-0005-0000-0000-00008C050000}"/>
    <cellStyle name="Calculation 2 10 7 3 4" xfId="3947" xr:uid="{00000000-0005-0000-0000-00008D050000}"/>
    <cellStyle name="Calculation 2 10 7 4" xfId="3949" xr:uid="{00000000-0005-0000-0000-00008E050000}"/>
    <cellStyle name="Calculation 2 10 7 4 2" xfId="3952" xr:uid="{00000000-0005-0000-0000-00008F050000}"/>
    <cellStyle name="Calculation 2 10 7 4 3" xfId="3953" xr:uid="{00000000-0005-0000-0000-000090050000}"/>
    <cellStyle name="Calculation 2 10 7 5" xfId="3954" xr:uid="{00000000-0005-0000-0000-000091050000}"/>
    <cellStyle name="Calculation 2 10 7 5 2" xfId="1019" xr:uid="{00000000-0005-0000-0000-000092050000}"/>
    <cellStyle name="Calculation 2 10 7 5 3" xfId="1071" xr:uid="{00000000-0005-0000-0000-000093050000}"/>
    <cellStyle name="Calculation 2 10 7 6" xfId="3956" xr:uid="{00000000-0005-0000-0000-000094050000}"/>
    <cellStyle name="Calculation 2 10 7 7" xfId="3957" xr:uid="{00000000-0005-0000-0000-000095050000}"/>
    <cellStyle name="Calculation 2 10 8" xfId="2137" xr:uid="{00000000-0005-0000-0000-000096050000}"/>
    <cellStyle name="Calculation 2 10 8 2" xfId="3174" xr:uid="{00000000-0005-0000-0000-000097050000}"/>
    <cellStyle name="Calculation 2 10 8 2 2" xfId="3960" xr:uid="{00000000-0005-0000-0000-000098050000}"/>
    <cellStyle name="Calculation 2 10 8 2 3" xfId="3962" xr:uid="{00000000-0005-0000-0000-000099050000}"/>
    <cellStyle name="Calculation 2 10 8 2 4" xfId="3963" xr:uid="{00000000-0005-0000-0000-00009A050000}"/>
    <cellStyle name="Calculation 2 10 8 3" xfId="3178" xr:uid="{00000000-0005-0000-0000-00009B050000}"/>
    <cellStyle name="Calculation 2 10 8 3 2" xfId="3964" xr:uid="{00000000-0005-0000-0000-00009C050000}"/>
    <cellStyle name="Calculation 2 10 8 3 3" xfId="3965" xr:uid="{00000000-0005-0000-0000-00009D050000}"/>
    <cellStyle name="Calculation 2 10 8 3 4" xfId="3966" xr:uid="{00000000-0005-0000-0000-00009E050000}"/>
    <cellStyle name="Calculation 2 10 8 4" xfId="3184" xr:uid="{00000000-0005-0000-0000-00009F050000}"/>
    <cellStyle name="Calculation 2 10 8 4 2" xfId="3968" xr:uid="{00000000-0005-0000-0000-0000A0050000}"/>
    <cellStyle name="Calculation 2 10 8 4 3" xfId="3969" xr:uid="{00000000-0005-0000-0000-0000A1050000}"/>
    <cellStyle name="Calculation 2 10 8 5" xfId="3972" xr:uid="{00000000-0005-0000-0000-0000A2050000}"/>
    <cellStyle name="Calculation 2 10 8 5 2" xfId="1927" xr:uid="{00000000-0005-0000-0000-0000A3050000}"/>
    <cellStyle name="Calculation 2 10 8 5 3" xfId="2269" xr:uid="{00000000-0005-0000-0000-0000A4050000}"/>
    <cellStyle name="Calculation 2 10 8 6" xfId="3975" xr:uid="{00000000-0005-0000-0000-0000A5050000}"/>
    <cellStyle name="Calculation 2 10 8 7" xfId="3978" xr:uid="{00000000-0005-0000-0000-0000A6050000}"/>
    <cellStyle name="Calculation 2 10 9" xfId="2140" xr:uid="{00000000-0005-0000-0000-0000A7050000}"/>
    <cellStyle name="Calculation 2 10 9 2" xfId="3188" xr:uid="{00000000-0005-0000-0000-0000A8050000}"/>
    <cellStyle name="Calculation 2 10 9 2 2" xfId="2818" xr:uid="{00000000-0005-0000-0000-0000A9050000}"/>
    <cellStyle name="Calculation 2 10 9 2 3" xfId="2821" xr:uid="{00000000-0005-0000-0000-0000AA050000}"/>
    <cellStyle name="Calculation 2 10 9 2 4" xfId="2823" xr:uid="{00000000-0005-0000-0000-0000AB050000}"/>
    <cellStyle name="Calculation 2 10 9 3" xfId="3193" xr:uid="{00000000-0005-0000-0000-0000AC050000}"/>
    <cellStyle name="Calculation 2 10 9 3 2" xfId="3979" xr:uid="{00000000-0005-0000-0000-0000AD050000}"/>
    <cellStyle name="Calculation 2 10 9 3 3" xfId="3980" xr:uid="{00000000-0005-0000-0000-0000AE050000}"/>
    <cellStyle name="Calculation 2 10 9 3 4" xfId="3981" xr:uid="{00000000-0005-0000-0000-0000AF050000}"/>
    <cellStyle name="Calculation 2 10 9 4" xfId="3200" xr:uid="{00000000-0005-0000-0000-0000B0050000}"/>
    <cellStyle name="Calculation 2 10 9 4 2" xfId="3983" xr:uid="{00000000-0005-0000-0000-0000B1050000}"/>
    <cellStyle name="Calculation 2 10 9 4 3" xfId="3985" xr:uid="{00000000-0005-0000-0000-0000B2050000}"/>
    <cellStyle name="Calculation 2 10 9 5" xfId="3988" xr:uid="{00000000-0005-0000-0000-0000B3050000}"/>
    <cellStyle name="Calculation 2 10 9 5 2" xfId="3992" xr:uid="{00000000-0005-0000-0000-0000B4050000}"/>
    <cellStyle name="Calculation 2 10 9 5 3" xfId="3145" xr:uid="{00000000-0005-0000-0000-0000B5050000}"/>
    <cellStyle name="Calculation 2 10 9 6" xfId="3994" xr:uid="{00000000-0005-0000-0000-0000B6050000}"/>
    <cellStyle name="Calculation 2 10 9 7" xfId="3997" xr:uid="{00000000-0005-0000-0000-0000B7050000}"/>
    <cellStyle name="Calculation 2 11" xfId="77" xr:uid="{00000000-0005-0000-0000-0000B8050000}"/>
    <cellStyle name="Calculation 2 11 10" xfId="4002" xr:uid="{00000000-0005-0000-0000-0000B9050000}"/>
    <cellStyle name="Calculation 2 11 10 2" xfId="4003" xr:uid="{00000000-0005-0000-0000-0000BA050000}"/>
    <cellStyle name="Calculation 2 11 10 2 2" xfId="4006" xr:uid="{00000000-0005-0000-0000-0000BB050000}"/>
    <cellStyle name="Calculation 2 11 10 2 3" xfId="4010" xr:uid="{00000000-0005-0000-0000-0000BC050000}"/>
    <cellStyle name="Calculation 2 11 10 2 4" xfId="4011" xr:uid="{00000000-0005-0000-0000-0000BD050000}"/>
    <cellStyle name="Calculation 2 11 10 3" xfId="4013" xr:uid="{00000000-0005-0000-0000-0000BE050000}"/>
    <cellStyle name="Calculation 2 11 10 3 2" xfId="4016" xr:uid="{00000000-0005-0000-0000-0000BF050000}"/>
    <cellStyle name="Calculation 2 11 10 3 3" xfId="4021" xr:uid="{00000000-0005-0000-0000-0000C0050000}"/>
    <cellStyle name="Calculation 2 11 10 3 4" xfId="4022" xr:uid="{00000000-0005-0000-0000-0000C1050000}"/>
    <cellStyle name="Calculation 2 11 10 4" xfId="4024" xr:uid="{00000000-0005-0000-0000-0000C2050000}"/>
    <cellStyle name="Calculation 2 11 10 4 2" xfId="4027" xr:uid="{00000000-0005-0000-0000-0000C3050000}"/>
    <cellStyle name="Calculation 2 11 10 4 3" xfId="4033" xr:uid="{00000000-0005-0000-0000-0000C4050000}"/>
    <cellStyle name="Calculation 2 11 10 5" xfId="4034" xr:uid="{00000000-0005-0000-0000-0000C5050000}"/>
    <cellStyle name="Calculation 2 11 10 5 2" xfId="4036" xr:uid="{00000000-0005-0000-0000-0000C6050000}"/>
    <cellStyle name="Calculation 2 11 10 5 3" xfId="4038" xr:uid="{00000000-0005-0000-0000-0000C7050000}"/>
    <cellStyle name="Calculation 2 11 10 6" xfId="4039" xr:uid="{00000000-0005-0000-0000-0000C8050000}"/>
    <cellStyle name="Calculation 2 11 10 7" xfId="4043" xr:uid="{00000000-0005-0000-0000-0000C9050000}"/>
    <cellStyle name="Calculation 2 11 11" xfId="2986" xr:uid="{00000000-0005-0000-0000-0000CA050000}"/>
    <cellStyle name="Calculation 2 11 11 2" xfId="4047" xr:uid="{00000000-0005-0000-0000-0000CB050000}"/>
    <cellStyle name="Calculation 2 11 11 2 2" xfId="4049" xr:uid="{00000000-0005-0000-0000-0000CC050000}"/>
    <cellStyle name="Calculation 2 11 11 2 3" xfId="4051" xr:uid="{00000000-0005-0000-0000-0000CD050000}"/>
    <cellStyle name="Calculation 2 11 11 2 4" xfId="4057" xr:uid="{00000000-0005-0000-0000-0000CE050000}"/>
    <cellStyle name="Calculation 2 11 11 3" xfId="4058" xr:uid="{00000000-0005-0000-0000-0000CF050000}"/>
    <cellStyle name="Calculation 2 11 11 3 2" xfId="4062" xr:uid="{00000000-0005-0000-0000-0000D0050000}"/>
    <cellStyle name="Calculation 2 11 11 3 3" xfId="4065" xr:uid="{00000000-0005-0000-0000-0000D1050000}"/>
    <cellStyle name="Calculation 2 11 11 3 4" xfId="1118" xr:uid="{00000000-0005-0000-0000-0000D2050000}"/>
    <cellStyle name="Calculation 2 11 11 4" xfId="4067" xr:uid="{00000000-0005-0000-0000-0000D3050000}"/>
    <cellStyle name="Calculation 2 11 11 4 2" xfId="4070" xr:uid="{00000000-0005-0000-0000-0000D4050000}"/>
    <cellStyle name="Calculation 2 11 11 4 3" xfId="4073" xr:uid="{00000000-0005-0000-0000-0000D5050000}"/>
    <cellStyle name="Calculation 2 11 11 5" xfId="4075" xr:uid="{00000000-0005-0000-0000-0000D6050000}"/>
    <cellStyle name="Calculation 2 11 11 5 2" xfId="2436" xr:uid="{00000000-0005-0000-0000-0000D7050000}"/>
    <cellStyle name="Calculation 2 11 11 5 3" xfId="2438" xr:uid="{00000000-0005-0000-0000-0000D8050000}"/>
    <cellStyle name="Calculation 2 11 11 6" xfId="4080" xr:uid="{00000000-0005-0000-0000-0000D9050000}"/>
    <cellStyle name="Calculation 2 11 11 7" xfId="4083" xr:uid="{00000000-0005-0000-0000-0000DA050000}"/>
    <cellStyle name="Calculation 2 11 12" xfId="2991" xr:uid="{00000000-0005-0000-0000-0000DB050000}"/>
    <cellStyle name="Calculation 2 11 12 2" xfId="4084" xr:uid="{00000000-0005-0000-0000-0000DC050000}"/>
    <cellStyle name="Calculation 2 11 12 2 2" xfId="4087" xr:uid="{00000000-0005-0000-0000-0000DD050000}"/>
    <cellStyle name="Calculation 2 11 12 2 3" xfId="4089" xr:uid="{00000000-0005-0000-0000-0000DE050000}"/>
    <cellStyle name="Calculation 2 11 12 2 4" xfId="4095" xr:uid="{00000000-0005-0000-0000-0000DF050000}"/>
    <cellStyle name="Calculation 2 11 12 3" xfId="4098" xr:uid="{00000000-0005-0000-0000-0000E0050000}"/>
    <cellStyle name="Calculation 2 11 12 3 2" xfId="4104" xr:uid="{00000000-0005-0000-0000-0000E1050000}"/>
    <cellStyle name="Calculation 2 11 12 3 3" xfId="4107" xr:uid="{00000000-0005-0000-0000-0000E2050000}"/>
    <cellStyle name="Calculation 2 11 12 3 4" xfId="4112" xr:uid="{00000000-0005-0000-0000-0000E3050000}"/>
    <cellStyle name="Calculation 2 11 12 4" xfId="4114" xr:uid="{00000000-0005-0000-0000-0000E4050000}"/>
    <cellStyle name="Calculation 2 11 12 4 2" xfId="4118" xr:uid="{00000000-0005-0000-0000-0000E5050000}"/>
    <cellStyle name="Calculation 2 11 12 4 3" xfId="4121" xr:uid="{00000000-0005-0000-0000-0000E6050000}"/>
    <cellStyle name="Calculation 2 11 12 5" xfId="4125" xr:uid="{00000000-0005-0000-0000-0000E7050000}"/>
    <cellStyle name="Calculation 2 11 12 5 2" xfId="697" xr:uid="{00000000-0005-0000-0000-0000E8050000}"/>
    <cellStyle name="Calculation 2 11 12 5 3" xfId="4126" xr:uid="{00000000-0005-0000-0000-0000E9050000}"/>
    <cellStyle name="Calculation 2 11 12 6" xfId="4135" xr:uid="{00000000-0005-0000-0000-0000EA050000}"/>
    <cellStyle name="Calculation 2 11 12 7" xfId="4140" xr:uid="{00000000-0005-0000-0000-0000EB050000}"/>
    <cellStyle name="Calculation 2 11 13" xfId="2996" xr:uid="{00000000-0005-0000-0000-0000EC050000}"/>
    <cellStyle name="Calculation 2 11 13 2" xfId="4141" xr:uid="{00000000-0005-0000-0000-0000ED050000}"/>
    <cellStyle name="Calculation 2 11 13 3" xfId="4145" xr:uid="{00000000-0005-0000-0000-0000EE050000}"/>
    <cellStyle name="Calculation 2 11 13 4" xfId="4150" xr:uid="{00000000-0005-0000-0000-0000EF050000}"/>
    <cellStyle name="Calculation 2 11 14" xfId="4159" xr:uid="{00000000-0005-0000-0000-0000F0050000}"/>
    <cellStyle name="Calculation 2 11 14 2" xfId="4164" xr:uid="{00000000-0005-0000-0000-0000F1050000}"/>
    <cellStyle name="Calculation 2 11 14 3" xfId="1439" xr:uid="{00000000-0005-0000-0000-0000F2050000}"/>
    <cellStyle name="Calculation 2 11 14 4" xfId="1340" xr:uid="{00000000-0005-0000-0000-0000F3050000}"/>
    <cellStyle name="Calculation 2 11 15" xfId="4173" xr:uid="{00000000-0005-0000-0000-0000F4050000}"/>
    <cellStyle name="Calculation 2 11 15 2" xfId="4178" xr:uid="{00000000-0005-0000-0000-0000F5050000}"/>
    <cellStyle name="Calculation 2 11 15 3" xfId="4181" xr:uid="{00000000-0005-0000-0000-0000F6050000}"/>
    <cellStyle name="Calculation 2 11 16" xfId="4184" xr:uid="{00000000-0005-0000-0000-0000F7050000}"/>
    <cellStyle name="Calculation 2 11 16 2" xfId="4188" xr:uid="{00000000-0005-0000-0000-0000F8050000}"/>
    <cellStyle name="Calculation 2 11 16 3" xfId="4192" xr:uid="{00000000-0005-0000-0000-0000F9050000}"/>
    <cellStyle name="Calculation 2 11 17" xfId="4194" xr:uid="{00000000-0005-0000-0000-0000FA050000}"/>
    <cellStyle name="Calculation 2 11 17 2" xfId="4200" xr:uid="{00000000-0005-0000-0000-0000FB050000}"/>
    <cellStyle name="Calculation 2 11 17 2 2" xfId="2588" xr:uid="{00000000-0005-0000-0000-0000FC050000}"/>
    <cellStyle name="Calculation 2 11 18" xfId="503" xr:uid="{00000000-0005-0000-0000-0000FD050000}"/>
    <cellStyle name="Calculation 2 11 19" xfId="1853" xr:uid="{00000000-0005-0000-0000-0000FE050000}"/>
    <cellStyle name="Calculation 2 11 2" xfId="4203" xr:uid="{00000000-0005-0000-0000-0000FF050000}"/>
    <cellStyle name="Calculation 2 11 2 10" xfId="4205" xr:uid="{00000000-0005-0000-0000-000000060000}"/>
    <cellStyle name="Calculation 2 11 2 10 2" xfId="4207" xr:uid="{00000000-0005-0000-0000-000001060000}"/>
    <cellStyle name="Calculation 2 11 2 10 2 2" xfId="4209" xr:uid="{00000000-0005-0000-0000-000002060000}"/>
    <cellStyle name="Calculation 2 11 2 10 2 3" xfId="4212" xr:uid="{00000000-0005-0000-0000-000003060000}"/>
    <cellStyle name="Calculation 2 11 2 10 2 4" xfId="4215" xr:uid="{00000000-0005-0000-0000-000004060000}"/>
    <cellStyle name="Calculation 2 11 2 10 3" xfId="4217" xr:uid="{00000000-0005-0000-0000-000005060000}"/>
    <cellStyle name="Calculation 2 11 2 10 3 2" xfId="4220" xr:uid="{00000000-0005-0000-0000-000006060000}"/>
    <cellStyle name="Calculation 2 11 2 10 3 3" xfId="4223" xr:uid="{00000000-0005-0000-0000-000007060000}"/>
    <cellStyle name="Calculation 2 11 2 10 3 4" xfId="4226" xr:uid="{00000000-0005-0000-0000-000008060000}"/>
    <cellStyle name="Calculation 2 11 2 10 4" xfId="4228" xr:uid="{00000000-0005-0000-0000-000009060000}"/>
    <cellStyle name="Calculation 2 11 2 10 4 2" xfId="4231" xr:uid="{00000000-0005-0000-0000-00000A060000}"/>
    <cellStyle name="Calculation 2 11 2 10 4 3" xfId="4233" xr:uid="{00000000-0005-0000-0000-00000B060000}"/>
    <cellStyle name="Calculation 2 11 2 10 5" xfId="4236" xr:uid="{00000000-0005-0000-0000-00000C060000}"/>
    <cellStyle name="Calculation 2 11 2 10 5 2" xfId="4241" xr:uid="{00000000-0005-0000-0000-00000D060000}"/>
    <cellStyle name="Calculation 2 11 2 10 5 3" xfId="4245" xr:uid="{00000000-0005-0000-0000-00000E060000}"/>
    <cellStyle name="Calculation 2 11 2 10 6" xfId="4249" xr:uid="{00000000-0005-0000-0000-00000F060000}"/>
    <cellStyle name="Calculation 2 11 2 10 7" xfId="2793" xr:uid="{00000000-0005-0000-0000-000010060000}"/>
    <cellStyle name="Calculation 2 11 2 11" xfId="4252" xr:uid="{00000000-0005-0000-0000-000011060000}"/>
    <cellStyle name="Calculation 2 11 2 11 2" xfId="4254" xr:uid="{00000000-0005-0000-0000-000012060000}"/>
    <cellStyle name="Calculation 2 11 2 11 3" xfId="4255" xr:uid="{00000000-0005-0000-0000-000013060000}"/>
    <cellStyle name="Calculation 2 11 2 11 4" xfId="4257" xr:uid="{00000000-0005-0000-0000-000014060000}"/>
    <cellStyle name="Calculation 2 11 2 12" xfId="4259" xr:uid="{00000000-0005-0000-0000-000015060000}"/>
    <cellStyle name="Calculation 2 11 2 12 2" xfId="4260" xr:uid="{00000000-0005-0000-0000-000016060000}"/>
    <cellStyle name="Calculation 2 11 2 12 3" xfId="4261" xr:uid="{00000000-0005-0000-0000-000017060000}"/>
    <cellStyle name="Calculation 2 11 2 12 4" xfId="4263" xr:uid="{00000000-0005-0000-0000-000018060000}"/>
    <cellStyle name="Calculation 2 11 2 13" xfId="2266" xr:uid="{00000000-0005-0000-0000-000019060000}"/>
    <cellStyle name="Calculation 2 11 2 13 2" xfId="4266" xr:uid="{00000000-0005-0000-0000-00001A060000}"/>
    <cellStyle name="Calculation 2 11 2 13 3" xfId="4268" xr:uid="{00000000-0005-0000-0000-00001B060000}"/>
    <cellStyle name="Calculation 2 11 2 14" xfId="4269" xr:uid="{00000000-0005-0000-0000-00001C060000}"/>
    <cellStyle name="Calculation 2 11 2 14 2" xfId="4271" xr:uid="{00000000-0005-0000-0000-00001D060000}"/>
    <cellStyle name="Calculation 2 11 2 14 3" xfId="1266" xr:uid="{00000000-0005-0000-0000-00001E060000}"/>
    <cellStyle name="Calculation 2 11 2 15" xfId="4272" xr:uid="{00000000-0005-0000-0000-00001F060000}"/>
    <cellStyle name="Calculation 2 11 2 16" xfId="4273" xr:uid="{00000000-0005-0000-0000-000020060000}"/>
    <cellStyle name="Calculation 2 11 2 2" xfId="4274" xr:uid="{00000000-0005-0000-0000-000021060000}"/>
    <cellStyle name="Calculation 2 11 2 2 2" xfId="4285" xr:uid="{00000000-0005-0000-0000-000022060000}"/>
    <cellStyle name="Calculation 2 11 2 2 2 2" xfId="3496" xr:uid="{00000000-0005-0000-0000-000023060000}"/>
    <cellStyle name="Calculation 2 11 2 2 2 3" xfId="3507" xr:uid="{00000000-0005-0000-0000-000024060000}"/>
    <cellStyle name="Calculation 2 11 2 2 2 4" xfId="3511" xr:uid="{00000000-0005-0000-0000-000025060000}"/>
    <cellStyle name="Calculation 2 11 2 2 3" xfId="4286" xr:uid="{00000000-0005-0000-0000-000026060000}"/>
    <cellStyle name="Calculation 2 11 2 2 3 2" xfId="4287" xr:uid="{00000000-0005-0000-0000-000027060000}"/>
    <cellStyle name="Calculation 2 11 2 2 3 3" xfId="4288" xr:uid="{00000000-0005-0000-0000-000028060000}"/>
    <cellStyle name="Calculation 2 11 2 2 3 4" xfId="4289" xr:uid="{00000000-0005-0000-0000-000029060000}"/>
    <cellStyle name="Calculation 2 11 2 2 4" xfId="4290" xr:uid="{00000000-0005-0000-0000-00002A060000}"/>
    <cellStyle name="Calculation 2 11 2 2 4 2" xfId="4291" xr:uid="{00000000-0005-0000-0000-00002B060000}"/>
    <cellStyle name="Calculation 2 11 2 2 4 3" xfId="4004" xr:uid="{00000000-0005-0000-0000-00002C060000}"/>
    <cellStyle name="Calculation 2 11 2 2 5" xfId="4292" xr:uid="{00000000-0005-0000-0000-00002D060000}"/>
    <cellStyle name="Calculation 2 11 2 2 5 2" xfId="4295" xr:uid="{00000000-0005-0000-0000-00002E060000}"/>
    <cellStyle name="Calculation 2 11 2 2 5 3" xfId="4048" xr:uid="{00000000-0005-0000-0000-00002F060000}"/>
    <cellStyle name="Calculation 2 11 2 2 6" xfId="4296" xr:uid="{00000000-0005-0000-0000-000030060000}"/>
    <cellStyle name="Calculation 2 11 2 2 7" xfId="4298" xr:uid="{00000000-0005-0000-0000-000031060000}"/>
    <cellStyle name="Calculation 2 11 2 3" xfId="1813" xr:uid="{00000000-0005-0000-0000-000032060000}"/>
    <cellStyle name="Calculation 2 11 2 3 2" xfId="1817" xr:uid="{00000000-0005-0000-0000-000033060000}"/>
    <cellStyle name="Calculation 2 11 2 3 2 2" xfId="3477" xr:uid="{00000000-0005-0000-0000-000034060000}"/>
    <cellStyle name="Calculation 2 11 2 3 2 3" xfId="4304" xr:uid="{00000000-0005-0000-0000-000035060000}"/>
    <cellStyle name="Calculation 2 11 2 3 2 4" xfId="4307" xr:uid="{00000000-0005-0000-0000-000036060000}"/>
    <cellStyle name="Calculation 2 11 2 3 3" xfId="4308" xr:uid="{00000000-0005-0000-0000-000037060000}"/>
    <cellStyle name="Calculation 2 11 2 3 3 2" xfId="3489" xr:uid="{00000000-0005-0000-0000-000038060000}"/>
    <cellStyle name="Calculation 2 11 2 3 3 3" xfId="4310" xr:uid="{00000000-0005-0000-0000-000039060000}"/>
    <cellStyle name="Calculation 2 11 2 3 3 4" xfId="4311" xr:uid="{00000000-0005-0000-0000-00003A060000}"/>
    <cellStyle name="Calculation 2 11 2 3 4" xfId="4312" xr:uid="{00000000-0005-0000-0000-00003B060000}"/>
    <cellStyle name="Calculation 2 11 2 3 4 2" xfId="4314" xr:uid="{00000000-0005-0000-0000-00003C060000}"/>
    <cellStyle name="Calculation 2 11 2 3 4 3" xfId="4315" xr:uid="{00000000-0005-0000-0000-00003D060000}"/>
    <cellStyle name="Calculation 2 11 2 3 5" xfId="4317" xr:uid="{00000000-0005-0000-0000-00003E060000}"/>
    <cellStyle name="Calculation 2 11 2 3 5 2" xfId="4322" xr:uid="{00000000-0005-0000-0000-00003F060000}"/>
    <cellStyle name="Calculation 2 11 2 3 5 3" xfId="1401" xr:uid="{00000000-0005-0000-0000-000040060000}"/>
    <cellStyle name="Calculation 2 11 2 3 6" xfId="4324" xr:uid="{00000000-0005-0000-0000-000041060000}"/>
    <cellStyle name="Calculation 2 11 2 3 7" xfId="4327" xr:uid="{00000000-0005-0000-0000-000042060000}"/>
    <cellStyle name="Calculation 2 11 2 4" xfId="4329" xr:uid="{00000000-0005-0000-0000-000043060000}"/>
    <cellStyle name="Calculation 2 11 2 4 2" xfId="4331" xr:uid="{00000000-0005-0000-0000-000044060000}"/>
    <cellStyle name="Calculation 2 11 2 4 2 2" xfId="4334" xr:uid="{00000000-0005-0000-0000-000045060000}"/>
    <cellStyle name="Calculation 2 11 2 4 2 3" xfId="4339" xr:uid="{00000000-0005-0000-0000-000046060000}"/>
    <cellStyle name="Calculation 2 11 2 4 2 4" xfId="4344" xr:uid="{00000000-0005-0000-0000-000047060000}"/>
    <cellStyle name="Calculation 2 11 2 4 3" xfId="4345" xr:uid="{00000000-0005-0000-0000-000048060000}"/>
    <cellStyle name="Calculation 2 11 2 4 3 2" xfId="2796" xr:uid="{00000000-0005-0000-0000-000049060000}"/>
    <cellStyle name="Calculation 2 11 2 4 3 3" xfId="2799" xr:uid="{00000000-0005-0000-0000-00004A060000}"/>
    <cellStyle name="Calculation 2 11 2 4 3 4" xfId="4348" xr:uid="{00000000-0005-0000-0000-00004B060000}"/>
    <cellStyle name="Calculation 2 11 2 4 4" xfId="4349" xr:uid="{00000000-0005-0000-0000-00004C060000}"/>
    <cellStyle name="Calculation 2 11 2 4 4 2" xfId="4350" xr:uid="{00000000-0005-0000-0000-00004D060000}"/>
    <cellStyle name="Calculation 2 11 2 4 4 3" xfId="4353" xr:uid="{00000000-0005-0000-0000-00004E060000}"/>
    <cellStyle name="Calculation 2 11 2 4 5" xfId="4355" xr:uid="{00000000-0005-0000-0000-00004F060000}"/>
    <cellStyle name="Calculation 2 11 2 4 5 2" xfId="4356" xr:uid="{00000000-0005-0000-0000-000050060000}"/>
    <cellStyle name="Calculation 2 11 2 4 5 3" xfId="4357" xr:uid="{00000000-0005-0000-0000-000051060000}"/>
    <cellStyle name="Calculation 2 11 2 4 6" xfId="4359" xr:uid="{00000000-0005-0000-0000-000052060000}"/>
    <cellStyle name="Calculation 2 11 2 4 7" xfId="4361" xr:uid="{00000000-0005-0000-0000-000053060000}"/>
    <cellStyle name="Calculation 2 11 2 5" xfId="4363" xr:uid="{00000000-0005-0000-0000-000054060000}"/>
    <cellStyle name="Calculation 2 11 2 5 2" xfId="4366" xr:uid="{00000000-0005-0000-0000-000055060000}"/>
    <cellStyle name="Calculation 2 11 2 5 2 2" xfId="955" xr:uid="{00000000-0005-0000-0000-000056060000}"/>
    <cellStyle name="Calculation 2 11 2 5 2 3" xfId="4368" xr:uid="{00000000-0005-0000-0000-000057060000}"/>
    <cellStyle name="Calculation 2 11 2 5 2 4" xfId="4369" xr:uid="{00000000-0005-0000-0000-000058060000}"/>
    <cellStyle name="Calculation 2 11 2 5 3" xfId="2390" xr:uid="{00000000-0005-0000-0000-000059060000}"/>
    <cellStyle name="Calculation 2 11 2 5 3 2" xfId="4370" xr:uid="{00000000-0005-0000-0000-00005A060000}"/>
    <cellStyle name="Calculation 2 11 2 5 3 3" xfId="4371" xr:uid="{00000000-0005-0000-0000-00005B060000}"/>
    <cellStyle name="Calculation 2 11 2 5 3 4" xfId="4372" xr:uid="{00000000-0005-0000-0000-00005C060000}"/>
    <cellStyle name="Calculation 2 11 2 5 4" xfId="2392" xr:uid="{00000000-0005-0000-0000-00005D060000}"/>
    <cellStyle name="Calculation 2 11 2 5 4 2" xfId="1328" xr:uid="{00000000-0005-0000-0000-00005E060000}"/>
    <cellStyle name="Calculation 2 11 2 5 4 3" xfId="4373" xr:uid="{00000000-0005-0000-0000-00005F060000}"/>
    <cellStyle name="Calculation 2 11 2 5 5" xfId="1277" xr:uid="{00000000-0005-0000-0000-000060060000}"/>
    <cellStyle name="Calculation 2 11 2 5 5 2" xfId="4374" xr:uid="{00000000-0005-0000-0000-000061060000}"/>
    <cellStyle name="Calculation 2 11 2 5 5 3" xfId="3011" xr:uid="{00000000-0005-0000-0000-000062060000}"/>
    <cellStyle name="Calculation 2 11 2 5 6" xfId="4376" xr:uid="{00000000-0005-0000-0000-000063060000}"/>
    <cellStyle name="Calculation 2 11 2 5 7" xfId="2598" xr:uid="{00000000-0005-0000-0000-000064060000}"/>
    <cellStyle name="Calculation 2 11 2 6" xfId="4377" xr:uid="{00000000-0005-0000-0000-000065060000}"/>
    <cellStyle name="Calculation 2 11 2 6 2" xfId="4378" xr:uid="{00000000-0005-0000-0000-000066060000}"/>
    <cellStyle name="Calculation 2 11 2 6 2 2" xfId="4379" xr:uid="{00000000-0005-0000-0000-000067060000}"/>
    <cellStyle name="Calculation 2 11 2 6 2 3" xfId="4380" xr:uid="{00000000-0005-0000-0000-000068060000}"/>
    <cellStyle name="Calculation 2 11 2 6 2 4" xfId="4381" xr:uid="{00000000-0005-0000-0000-000069060000}"/>
    <cellStyle name="Calculation 2 11 2 6 3" xfId="4382" xr:uid="{00000000-0005-0000-0000-00006A060000}"/>
    <cellStyle name="Calculation 2 11 2 6 3 2" xfId="4383" xr:uid="{00000000-0005-0000-0000-00006B060000}"/>
    <cellStyle name="Calculation 2 11 2 6 3 3" xfId="4384" xr:uid="{00000000-0005-0000-0000-00006C060000}"/>
    <cellStyle name="Calculation 2 11 2 6 3 4" xfId="4385" xr:uid="{00000000-0005-0000-0000-00006D060000}"/>
    <cellStyle name="Calculation 2 11 2 6 4" xfId="4386" xr:uid="{00000000-0005-0000-0000-00006E060000}"/>
    <cellStyle name="Calculation 2 11 2 6 4 2" xfId="4387" xr:uid="{00000000-0005-0000-0000-00006F060000}"/>
    <cellStyle name="Calculation 2 11 2 6 4 3" xfId="4388" xr:uid="{00000000-0005-0000-0000-000070060000}"/>
    <cellStyle name="Calculation 2 11 2 6 5" xfId="4394" xr:uid="{00000000-0005-0000-0000-000071060000}"/>
    <cellStyle name="Calculation 2 11 2 6 5 2" xfId="4399" xr:uid="{00000000-0005-0000-0000-000072060000}"/>
    <cellStyle name="Calculation 2 11 2 6 5 3" xfId="4404" xr:uid="{00000000-0005-0000-0000-000073060000}"/>
    <cellStyle name="Calculation 2 11 2 6 6" xfId="4410" xr:uid="{00000000-0005-0000-0000-000074060000}"/>
    <cellStyle name="Calculation 2 11 2 6 7" xfId="1030" xr:uid="{00000000-0005-0000-0000-000075060000}"/>
    <cellStyle name="Calculation 2 11 2 7" xfId="4411" xr:uid="{00000000-0005-0000-0000-000076060000}"/>
    <cellStyle name="Calculation 2 11 2 7 2" xfId="4414" xr:uid="{00000000-0005-0000-0000-000077060000}"/>
    <cellStyle name="Calculation 2 11 2 7 2 2" xfId="4415" xr:uid="{00000000-0005-0000-0000-000078060000}"/>
    <cellStyle name="Calculation 2 11 2 7 2 3" xfId="4416" xr:uid="{00000000-0005-0000-0000-000079060000}"/>
    <cellStyle name="Calculation 2 11 2 7 2 4" xfId="4417" xr:uid="{00000000-0005-0000-0000-00007A060000}"/>
    <cellStyle name="Calculation 2 11 2 7 3" xfId="4418" xr:uid="{00000000-0005-0000-0000-00007B060000}"/>
    <cellStyle name="Calculation 2 11 2 7 3 2" xfId="4419" xr:uid="{00000000-0005-0000-0000-00007C060000}"/>
    <cellStyle name="Calculation 2 11 2 7 3 3" xfId="4420" xr:uid="{00000000-0005-0000-0000-00007D060000}"/>
    <cellStyle name="Calculation 2 11 2 7 3 4" xfId="4421" xr:uid="{00000000-0005-0000-0000-00007E060000}"/>
    <cellStyle name="Calculation 2 11 2 7 4" xfId="4422" xr:uid="{00000000-0005-0000-0000-00007F060000}"/>
    <cellStyle name="Calculation 2 11 2 7 4 2" xfId="4423" xr:uid="{00000000-0005-0000-0000-000080060000}"/>
    <cellStyle name="Calculation 2 11 2 7 4 3" xfId="2537" xr:uid="{00000000-0005-0000-0000-000081060000}"/>
    <cellStyle name="Calculation 2 11 2 7 5" xfId="4428" xr:uid="{00000000-0005-0000-0000-000082060000}"/>
    <cellStyle name="Calculation 2 11 2 7 5 2" xfId="4434" xr:uid="{00000000-0005-0000-0000-000083060000}"/>
    <cellStyle name="Calculation 2 11 2 7 5 3" xfId="4443" xr:uid="{00000000-0005-0000-0000-000084060000}"/>
    <cellStyle name="Calculation 2 11 2 7 6" xfId="4447" xr:uid="{00000000-0005-0000-0000-000085060000}"/>
    <cellStyle name="Calculation 2 11 2 7 7" xfId="4451" xr:uid="{00000000-0005-0000-0000-000086060000}"/>
    <cellStyle name="Calculation 2 11 2 8" xfId="4197" xr:uid="{00000000-0005-0000-0000-000087060000}"/>
    <cellStyle name="Calculation 2 11 2 8 2" xfId="2584" xr:uid="{00000000-0005-0000-0000-000088060000}"/>
    <cellStyle name="Calculation 2 11 2 8 2 2" xfId="4452" xr:uid="{00000000-0005-0000-0000-000089060000}"/>
    <cellStyle name="Calculation 2 11 2 8 2 3" xfId="4208" xr:uid="{00000000-0005-0000-0000-00008A060000}"/>
    <cellStyle name="Calculation 2 11 2 8 2 4" xfId="4211" xr:uid="{00000000-0005-0000-0000-00008B060000}"/>
    <cellStyle name="Calculation 2 11 2 8 3" xfId="4455" xr:uid="{00000000-0005-0000-0000-00008C060000}"/>
    <cellStyle name="Calculation 2 11 2 8 3 2" xfId="4456" xr:uid="{00000000-0005-0000-0000-00008D060000}"/>
    <cellStyle name="Calculation 2 11 2 8 3 3" xfId="4219" xr:uid="{00000000-0005-0000-0000-00008E060000}"/>
    <cellStyle name="Calculation 2 11 2 8 3 4" xfId="4222" xr:uid="{00000000-0005-0000-0000-00008F060000}"/>
    <cellStyle name="Calculation 2 11 2 8 4" xfId="4457" xr:uid="{00000000-0005-0000-0000-000090060000}"/>
    <cellStyle name="Calculation 2 11 2 8 4 2" xfId="4458" xr:uid="{00000000-0005-0000-0000-000091060000}"/>
    <cellStyle name="Calculation 2 11 2 8 4 3" xfId="4230" xr:uid="{00000000-0005-0000-0000-000092060000}"/>
    <cellStyle name="Calculation 2 11 2 8 5" xfId="4462" xr:uid="{00000000-0005-0000-0000-000093060000}"/>
    <cellStyle name="Calculation 2 11 2 8 5 2" xfId="4466" xr:uid="{00000000-0005-0000-0000-000094060000}"/>
    <cellStyle name="Calculation 2 11 2 8 5 3" xfId="4243" xr:uid="{00000000-0005-0000-0000-000095060000}"/>
    <cellStyle name="Calculation 2 11 2 8 6" xfId="4470" xr:uid="{00000000-0005-0000-0000-000096060000}"/>
    <cellStyle name="Calculation 2 11 2 8 7" xfId="4474" xr:uid="{00000000-0005-0000-0000-000097060000}"/>
    <cellStyle name="Calculation 2 11 2 9" xfId="4475" xr:uid="{00000000-0005-0000-0000-000098060000}"/>
    <cellStyle name="Calculation 2 11 2 9 2" xfId="4481" xr:uid="{00000000-0005-0000-0000-000099060000}"/>
    <cellStyle name="Calculation 2 11 2 9 2 2" xfId="4482" xr:uid="{00000000-0005-0000-0000-00009A060000}"/>
    <cellStyle name="Calculation 2 11 2 9 2 3" xfId="4483" xr:uid="{00000000-0005-0000-0000-00009B060000}"/>
    <cellStyle name="Calculation 2 11 2 9 2 4" xfId="4484" xr:uid="{00000000-0005-0000-0000-00009C060000}"/>
    <cellStyle name="Calculation 2 11 2 9 3" xfId="4487" xr:uid="{00000000-0005-0000-0000-00009D060000}"/>
    <cellStyle name="Calculation 2 11 2 9 3 2" xfId="4488" xr:uid="{00000000-0005-0000-0000-00009E060000}"/>
    <cellStyle name="Calculation 2 11 2 9 3 3" xfId="4489" xr:uid="{00000000-0005-0000-0000-00009F060000}"/>
    <cellStyle name="Calculation 2 11 2 9 3 4" xfId="1679" xr:uid="{00000000-0005-0000-0000-0000A0060000}"/>
    <cellStyle name="Calculation 2 11 2 9 4" xfId="1917" xr:uid="{00000000-0005-0000-0000-0000A1060000}"/>
    <cellStyle name="Calculation 2 11 2 9 4 2" xfId="414" xr:uid="{00000000-0005-0000-0000-0000A2060000}"/>
    <cellStyle name="Calculation 2 11 2 9 4 3" xfId="436" xr:uid="{00000000-0005-0000-0000-0000A3060000}"/>
    <cellStyle name="Calculation 2 11 2 9 5" xfId="1941" xr:uid="{00000000-0005-0000-0000-0000A4060000}"/>
    <cellStyle name="Calculation 2 11 2 9 5 2" xfId="638" xr:uid="{00000000-0005-0000-0000-0000A5060000}"/>
    <cellStyle name="Calculation 2 11 2 9 5 3" xfId="644" xr:uid="{00000000-0005-0000-0000-0000A6060000}"/>
    <cellStyle name="Calculation 2 11 2 9 6" xfId="1946" xr:uid="{00000000-0005-0000-0000-0000A7060000}"/>
    <cellStyle name="Calculation 2 11 2 9 7" xfId="1371" xr:uid="{00000000-0005-0000-0000-0000A8060000}"/>
    <cellStyle name="Calculation 2 11 20" xfId="4172" xr:uid="{00000000-0005-0000-0000-0000A9060000}"/>
    <cellStyle name="Calculation 2 11 3" xfId="4490" xr:uid="{00000000-0005-0000-0000-0000AA060000}"/>
    <cellStyle name="Calculation 2 11 3 10" xfId="4495" xr:uid="{00000000-0005-0000-0000-0000AB060000}"/>
    <cellStyle name="Calculation 2 11 3 10 2" xfId="4497" xr:uid="{00000000-0005-0000-0000-0000AC060000}"/>
    <cellStyle name="Calculation 2 11 3 10 2 2" xfId="523" xr:uid="{00000000-0005-0000-0000-0000AD060000}"/>
    <cellStyle name="Calculation 2 11 3 10 2 3" xfId="530" xr:uid="{00000000-0005-0000-0000-0000AE060000}"/>
    <cellStyle name="Calculation 2 11 3 10 2 4" xfId="544" xr:uid="{00000000-0005-0000-0000-0000AF060000}"/>
    <cellStyle name="Calculation 2 11 3 10 3" xfId="4499" xr:uid="{00000000-0005-0000-0000-0000B0060000}"/>
    <cellStyle name="Calculation 2 11 3 10 3 2" xfId="4501" xr:uid="{00000000-0005-0000-0000-0000B1060000}"/>
    <cellStyle name="Calculation 2 11 3 10 3 3" xfId="4504" xr:uid="{00000000-0005-0000-0000-0000B2060000}"/>
    <cellStyle name="Calculation 2 11 3 10 3 4" xfId="4507" xr:uid="{00000000-0005-0000-0000-0000B3060000}"/>
    <cellStyle name="Calculation 2 11 3 10 4" xfId="4512" xr:uid="{00000000-0005-0000-0000-0000B4060000}"/>
    <cellStyle name="Calculation 2 11 3 10 4 2" xfId="594" xr:uid="{00000000-0005-0000-0000-0000B5060000}"/>
    <cellStyle name="Calculation 2 11 3 10 4 3" xfId="4513" xr:uid="{00000000-0005-0000-0000-0000B6060000}"/>
    <cellStyle name="Calculation 2 11 3 10 5" xfId="4517" xr:uid="{00000000-0005-0000-0000-0000B7060000}"/>
    <cellStyle name="Calculation 2 11 3 10 5 2" xfId="4520" xr:uid="{00000000-0005-0000-0000-0000B8060000}"/>
    <cellStyle name="Calculation 2 11 3 10 5 3" xfId="4524" xr:uid="{00000000-0005-0000-0000-0000B9060000}"/>
    <cellStyle name="Calculation 2 11 3 10 6" xfId="4527" xr:uid="{00000000-0005-0000-0000-0000BA060000}"/>
    <cellStyle name="Calculation 2 11 3 10 7" xfId="4528" xr:uid="{00000000-0005-0000-0000-0000BB060000}"/>
    <cellStyle name="Calculation 2 11 3 11" xfId="4530" xr:uid="{00000000-0005-0000-0000-0000BC060000}"/>
    <cellStyle name="Calculation 2 11 3 11 2" xfId="3028" xr:uid="{00000000-0005-0000-0000-0000BD060000}"/>
    <cellStyle name="Calculation 2 11 3 11 3" xfId="3032" xr:uid="{00000000-0005-0000-0000-0000BE060000}"/>
    <cellStyle name="Calculation 2 11 3 11 4" xfId="4532" xr:uid="{00000000-0005-0000-0000-0000BF060000}"/>
    <cellStyle name="Calculation 2 11 3 12" xfId="4533" xr:uid="{00000000-0005-0000-0000-0000C0060000}"/>
    <cellStyle name="Calculation 2 11 3 12 2" xfId="3045" xr:uid="{00000000-0005-0000-0000-0000C1060000}"/>
    <cellStyle name="Calculation 2 11 3 12 3" xfId="3049" xr:uid="{00000000-0005-0000-0000-0000C2060000}"/>
    <cellStyle name="Calculation 2 11 3 12 4" xfId="4536" xr:uid="{00000000-0005-0000-0000-0000C3060000}"/>
    <cellStyle name="Calculation 2 11 3 13" xfId="4537" xr:uid="{00000000-0005-0000-0000-0000C4060000}"/>
    <cellStyle name="Calculation 2 11 3 13 2" xfId="2271" xr:uid="{00000000-0005-0000-0000-0000C5060000}"/>
    <cellStyle name="Calculation 2 11 3 13 3" xfId="4542" xr:uid="{00000000-0005-0000-0000-0000C6060000}"/>
    <cellStyle name="Calculation 2 11 3 14" xfId="4545" xr:uid="{00000000-0005-0000-0000-0000C7060000}"/>
    <cellStyle name="Calculation 2 11 3 14 2" xfId="2676" xr:uid="{00000000-0005-0000-0000-0000C8060000}"/>
    <cellStyle name="Calculation 2 11 3 14 3" xfId="66" xr:uid="{00000000-0005-0000-0000-0000C9060000}"/>
    <cellStyle name="Calculation 2 11 3 15" xfId="4548" xr:uid="{00000000-0005-0000-0000-0000CA060000}"/>
    <cellStyle name="Calculation 2 11 3 16" xfId="4550" xr:uid="{00000000-0005-0000-0000-0000CB060000}"/>
    <cellStyle name="Calculation 2 11 3 2" xfId="4552" xr:uid="{00000000-0005-0000-0000-0000CC060000}"/>
    <cellStyle name="Calculation 2 11 3 2 2" xfId="4557" xr:uid="{00000000-0005-0000-0000-0000CD060000}"/>
    <cellStyle name="Calculation 2 11 3 2 2 2" xfId="2394" xr:uid="{00000000-0005-0000-0000-0000CE060000}"/>
    <cellStyle name="Calculation 2 11 3 2 2 3" xfId="2397" xr:uid="{00000000-0005-0000-0000-0000CF060000}"/>
    <cellStyle name="Calculation 2 11 3 2 2 4" xfId="4559" xr:uid="{00000000-0005-0000-0000-0000D0060000}"/>
    <cellStyle name="Calculation 2 11 3 2 3" xfId="4560" xr:uid="{00000000-0005-0000-0000-0000D1060000}"/>
    <cellStyle name="Calculation 2 11 3 2 3 2" xfId="4561" xr:uid="{00000000-0005-0000-0000-0000D2060000}"/>
    <cellStyle name="Calculation 2 11 3 2 3 3" xfId="4562" xr:uid="{00000000-0005-0000-0000-0000D3060000}"/>
    <cellStyle name="Calculation 2 11 3 2 3 4" xfId="4564" xr:uid="{00000000-0005-0000-0000-0000D4060000}"/>
    <cellStyle name="Calculation 2 11 3 2 4" xfId="4565" xr:uid="{00000000-0005-0000-0000-0000D5060000}"/>
    <cellStyle name="Calculation 2 11 3 2 4 2" xfId="4567" xr:uid="{00000000-0005-0000-0000-0000D6060000}"/>
    <cellStyle name="Calculation 2 11 3 2 4 3" xfId="4569" xr:uid="{00000000-0005-0000-0000-0000D7060000}"/>
    <cellStyle name="Calculation 2 11 3 2 5" xfId="4570" xr:uid="{00000000-0005-0000-0000-0000D8060000}"/>
    <cellStyle name="Calculation 2 11 3 2 5 2" xfId="113" xr:uid="{00000000-0005-0000-0000-0000D9060000}"/>
    <cellStyle name="Calculation 2 11 3 2 5 3" xfId="4572" xr:uid="{00000000-0005-0000-0000-0000DA060000}"/>
    <cellStyle name="Calculation 2 11 3 2 6" xfId="4573" xr:uid="{00000000-0005-0000-0000-0000DB060000}"/>
    <cellStyle name="Calculation 2 11 3 2 7" xfId="4575" xr:uid="{00000000-0005-0000-0000-0000DC060000}"/>
    <cellStyle name="Calculation 2 11 3 3" xfId="4577" xr:uid="{00000000-0005-0000-0000-0000DD060000}"/>
    <cellStyle name="Calculation 2 11 3 3 2" xfId="4582" xr:uid="{00000000-0005-0000-0000-0000DE060000}"/>
    <cellStyle name="Calculation 2 11 3 3 2 2" xfId="4584" xr:uid="{00000000-0005-0000-0000-0000DF060000}"/>
    <cellStyle name="Calculation 2 11 3 3 2 3" xfId="4588" xr:uid="{00000000-0005-0000-0000-0000E0060000}"/>
    <cellStyle name="Calculation 2 11 3 3 2 4" xfId="4592" xr:uid="{00000000-0005-0000-0000-0000E1060000}"/>
    <cellStyle name="Calculation 2 11 3 3 3" xfId="4595" xr:uid="{00000000-0005-0000-0000-0000E2060000}"/>
    <cellStyle name="Calculation 2 11 3 3 3 2" xfId="4596" xr:uid="{00000000-0005-0000-0000-0000E3060000}"/>
    <cellStyle name="Calculation 2 11 3 3 3 3" xfId="4598" xr:uid="{00000000-0005-0000-0000-0000E4060000}"/>
    <cellStyle name="Calculation 2 11 3 3 3 4" xfId="4600" xr:uid="{00000000-0005-0000-0000-0000E5060000}"/>
    <cellStyle name="Calculation 2 11 3 3 4" xfId="4601" xr:uid="{00000000-0005-0000-0000-0000E6060000}"/>
    <cellStyle name="Calculation 2 11 3 3 4 2" xfId="993" xr:uid="{00000000-0005-0000-0000-0000E7060000}"/>
    <cellStyle name="Calculation 2 11 3 3 4 3" xfId="4602" xr:uid="{00000000-0005-0000-0000-0000E8060000}"/>
    <cellStyle name="Calculation 2 11 3 3 5" xfId="4604" xr:uid="{00000000-0005-0000-0000-0000E9060000}"/>
    <cellStyle name="Calculation 2 11 3 3 5 2" xfId="4608" xr:uid="{00000000-0005-0000-0000-0000EA060000}"/>
    <cellStyle name="Calculation 2 11 3 3 5 3" xfId="4610" xr:uid="{00000000-0005-0000-0000-0000EB060000}"/>
    <cellStyle name="Calculation 2 11 3 3 6" xfId="4612" xr:uid="{00000000-0005-0000-0000-0000EC060000}"/>
    <cellStyle name="Calculation 2 11 3 3 7" xfId="4615" xr:uid="{00000000-0005-0000-0000-0000ED060000}"/>
    <cellStyle name="Calculation 2 11 3 4" xfId="4617" xr:uid="{00000000-0005-0000-0000-0000EE060000}"/>
    <cellStyle name="Calculation 2 11 3 4 2" xfId="4619" xr:uid="{00000000-0005-0000-0000-0000EF060000}"/>
    <cellStyle name="Calculation 2 11 3 4 2 2" xfId="2403" xr:uid="{00000000-0005-0000-0000-0000F0060000}"/>
    <cellStyle name="Calculation 2 11 3 4 2 3" xfId="2407" xr:uid="{00000000-0005-0000-0000-0000F1060000}"/>
    <cellStyle name="Calculation 2 11 3 4 2 4" xfId="4620" xr:uid="{00000000-0005-0000-0000-0000F2060000}"/>
    <cellStyle name="Calculation 2 11 3 4 3" xfId="4621" xr:uid="{00000000-0005-0000-0000-0000F3060000}"/>
    <cellStyle name="Calculation 2 11 3 4 3 2" xfId="4622" xr:uid="{00000000-0005-0000-0000-0000F4060000}"/>
    <cellStyle name="Calculation 2 11 3 4 3 3" xfId="4624" xr:uid="{00000000-0005-0000-0000-0000F5060000}"/>
    <cellStyle name="Calculation 2 11 3 4 3 4" xfId="4626" xr:uid="{00000000-0005-0000-0000-0000F6060000}"/>
    <cellStyle name="Calculation 2 11 3 4 4" xfId="4627" xr:uid="{00000000-0005-0000-0000-0000F7060000}"/>
    <cellStyle name="Calculation 2 11 3 4 4 2" xfId="4628" xr:uid="{00000000-0005-0000-0000-0000F8060000}"/>
    <cellStyle name="Calculation 2 11 3 4 4 3" xfId="4631" xr:uid="{00000000-0005-0000-0000-0000F9060000}"/>
    <cellStyle name="Calculation 2 11 3 4 5" xfId="4633" xr:uid="{00000000-0005-0000-0000-0000FA060000}"/>
    <cellStyle name="Calculation 2 11 3 4 5 2" xfId="4634" xr:uid="{00000000-0005-0000-0000-0000FB060000}"/>
    <cellStyle name="Calculation 2 11 3 4 5 3" xfId="4637" xr:uid="{00000000-0005-0000-0000-0000FC060000}"/>
    <cellStyle name="Calculation 2 11 3 4 6" xfId="4639" xr:uid="{00000000-0005-0000-0000-0000FD060000}"/>
    <cellStyle name="Calculation 2 11 3 4 7" xfId="4641" xr:uid="{00000000-0005-0000-0000-0000FE060000}"/>
    <cellStyle name="Calculation 2 11 3 5" xfId="4643" xr:uid="{00000000-0005-0000-0000-0000FF060000}"/>
    <cellStyle name="Calculation 2 11 3 5 2" xfId="4648" xr:uid="{00000000-0005-0000-0000-000000070000}"/>
    <cellStyle name="Calculation 2 11 3 5 2 2" xfId="1226" xr:uid="{00000000-0005-0000-0000-000001070000}"/>
    <cellStyle name="Calculation 2 11 3 5 2 3" xfId="4650" xr:uid="{00000000-0005-0000-0000-000002070000}"/>
    <cellStyle name="Calculation 2 11 3 5 2 4" xfId="4652" xr:uid="{00000000-0005-0000-0000-000003070000}"/>
    <cellStyle name="Calculation 2 11 3 5 3" xfId="4656" xr:uid="{00000000-0005-0000-0000-000004070000}"/>
    <cellStyle name="Calculation 2 11 3 5 3 2" xfId="4657" xr:uid="{00000000-0005-0000-0000-000005070000}"/>
    <cellStyle name="Calculation 2 11 3 5 3 3" xfId="4659" xr:uid="{00000000-0005-0000-0000-000006070000}"/>
    <cellStyle name="Calculation 2 11 3 5 3 4" xfId="4661" xr:uid="{00000000-0005-0000-0000-000007070000}"/>
    <cellStyle name="Calculation 2 11 3 5 4" xfId="4664" xr:uid="{00000000-0005-0000-0000-000008070000}"/>
    <cellStyle name="Calculation 2 11 3 5 4 2" xfId="4665" xr:uid="{00000000-0005-0000-0000-000009070000}"/>
    <cellStyle name="Calculation 2 11 3 5 4 3" xfId="1441" xr:uid="{00000000-0005-0000-0000-00000A070000}"/>
    <cellStyle name="Calculation 2 11 3 5 5" xfId="4669" xr:uid="{00000000-0005-0000-0000-00000B070000}"/>
    <cellStyle name="Calculation 2 11 3 5 5 2" xfId="4670" xr:uid="{00000000-0005-0000-0000-00000C070000}"/>
    <cellStyle name="Calculation 2 11 3 5 5 3" xfId="4672" xr:uid="{00000000-0005-0000-0000-00000D070000}"/>
    <cellStyle name="Calculation 2 11 3 5 6" xfId="4675" xr:uid="{00000000-0005-0000-0000-00000E070000}"/>
    <cellStyle name="Calculation 2 11 3 5 7" xfId="4676" xr:uid="{00000000-0005-0000-0000-00000F070000}"/>
    <cellStyle name="Calculation 2 11 3 6" xfId="4677" xr:uid="{00000000-0005-0000-0000-000010070000}"/>
    <cellStyle name="Calculation 2 11 3 6 2" xfId="2217" xr:uid="{00000000-0005-0000-0000-000011070000}"/>
    <cellStyle name="Calculation 2 11 3 6 2 2" xfId="2423" xr:uid="{00000000-0005-0000-0000-000012070000}"/>
    <cellStyle name="Calculation 2 11 3 6 2 3" xfId="2427" xr:uid="{00000000-0005-0000-0000-000013070000}"/>
    <cellStyle name="Calculation 2 11 3 6 2 4" xfId="4678" xr:uid="{00000000-0005-0000-0000-000014070000}"/>
    <cellStyle name="Calculation 2 11 3 6 3" xfId="2219" xr:uid="{00000000-0005-0000-0000-000015070000}"/>
    <cellStyle name="Calculation 2 11 3 6 3 2" xfId="4679" xr:uid="{00000000-0005-0000-0000-000016070000}"/>
    <cellStyle name="Calculation 2 11 3 6 3 3" xfId="4681" xr:uid="{00000000-0005-0000-0000-000017070000}"/>
    <cellStyle name="Calculation 2 11 3 6 3 4" xfId="4683" xr:uid="{00000000-0005-0000-0000-000018070000}"/>
    <cellStyle name="Calculation 2 11 3 6 4" xfId="4684" xr:uid="{00000000-0005-0000-0000-000019070000}"/>
    <cellStyle name="Calculation 2 11 3 6 4 2" xfId="4685" xr:uid="{00000000-0005-0000-0000-00001A070000}"/>
    <cellStyle name="Calculation 2 11 3 6 4 3" xfId="4687" xr:uid="{00000000-0005-0000-0000-00001B070000}"/>
    <cellStyle name="Calculation 2 11 3 6 5" xfId="4690" xr:uid="{00000000-0005-0000-0000-00001C070000}"/>
    <cellStyle name="Calculation 2 11 3 6 5 2" xfId="4691" xr:uid="{00000000-0005-0000-0000-00001D070000}"/>
    <cellStyle name="Calculation 2 11 3 6 5 3" xfId="1746" xr:uid="{00000000-0005-0000-0000-00001E070000}"/>
    <cellStyle name="Calculation 2 11 3 6 6" xfId="4694" xr:uid="{00000000-0005-0000-0000-00001F070000}"/>
    <cellStyle name="Calculation 2 11 3 6 7" xfId="4695" xr:uid="{00000000-0005-0000-0000-000020070000}"/>
    <cellStyle name="Calculation 2 11 3 7" xfId="4696" xr:uid="{00000000-0005-0000-0000-000021070000}"/>
    <cellStyle name="Calculation 2 11 3 7 2" xfId="4698" xr:uid="{00000000-0005-0000-0000-000022070000}"/>
    <cellStyle name="Calculation 2 11 3 7 2 2" xfId="4699" xr:uid="{00000000-0005-0000-0000-000023070000}"/>
    <cellStyle name="Calculation 2 11 3 7 2 3" xfId="4701" xr:uid="{00000000-0005-0000-0000-000024070000}"/>
    <cellStyle name="Calculation 2 11 3 7 2 4" xfId="4703" xr:uid="{00000000-0005-0000-0000-000025070000}"/>
    <cellStyle name="Calculation 2 11 3 7 3" xfId="4704" xr:uid="{00000000-0005-0000-0000-000026070000}"/>
    <cellStyle name="Calculation 2 11 3 7 3 2" xfId="4705" xr:uid="{00000000-0005-0000-0000-000027070000}"/>
    <cellStyle name="Calculation 2 11 3 7 3 3" xfId="4707" xr:uid="{00000000-0005-0000-0000-000028070000}"/>
    <cellStyle name="Calculation 2 11 3 7 3 4" xfId="4709" xr:uid="{00000000-0005-0000-0000-000029070000}"/>
    <cellStyle name="Calculation 2 11 3 7 4" xfId="4710" xr:uid="{00000000-0005-0000-0000-00002A070000}"/>
    <cellStyle name="Calculation 2 11 3 7 4 2" xfId="4711" xr:uid="{00000000-0005-0000-0000-00002B070000}"/>
    <cellStyle name="Calculation 2 11 3 7 4 3" xfId="4714" xr:uid="{00000000-0005-0000-0000-00002C070000}"/>
    <cellStyle name="Calculation 2 11 3 7 5" xfId="4715" xr:uid="{00000000-0005-0000-0000-00002D070000}"/>
    <cellStyle name="Calculation 2 11 3 7 5 2" xfId="4716" xr:uid="{00000000-0005-0000-0000-00002E070000}"/>
    <cellStyle name="Calculation 2 11 3 7 5 3" xfId="4720" xr:uid="{00000000-0005-0000-0000-00002F070000}"/>
    <cellStyle name="Calculation 2 11 3 7 6" xfId="4721" xr:uid="{00000000-0005-0000-0000-000030070000}"/>
    <cellStyle name="Calculation 2 11 3 7 7" xfId="4722" xr:uid="{00000000-0005-0000-0000-000031070000}"/>
    <cellStyle name="Calculation 2 11 3 8" xfId="506" xr:uid="{00000000-0005-0000-0000-000032070000}"/>
    <cellStyle name="Calculation 2 11 3 8 2" xfId="4726" xr:uid="{00000000-0005-0000-0000-000033070000}"/>
    <cellStyle name="Calculation 2 11 3 8 2 2" xfId="3339" xr:uid="{00000000-0005-0000-0000-000034070000}"/>
    <cellStyle name="Calculation 2 11 3 8 2 3" xfId="4728" xr:uid="{00000000-0005-0000-0000-000035070000}"/>
    <cellStyle name="Calculation 2 11 3 8 2 4" xfId="4732" xr:uid="{00000000-0005-0000-0000-000036070000}"/>
    <cellStyle name="Calculation 2 11 3 8 3" xfId="4736" xr:uid="{00000000-0005-0000-0000-000037070000}"/>
    <cellStyle name="Calculation 2 11 3 8 3 2" xfId="3392" xr:uid="{00000000-0005-0000-0000-000038070000}"/>
    <cellStyle name="Calculation 2 11 3 8 3 3" xfId="4738" xr:uid="{00000000-0005-0000-0000-000039070000}"/>
    <cellStyle name="Calculation 2 11 3 8 3 4" xfId="4742" xr:uid="{00000000-0005-0000-0000-00003A070000}"/>
    <cellStyle name="Calculation 2 11 3 8 4" xfId="4743" xr:uid="{00000000-0005-0000-0000-00003B070000}"/>
    <cellStyle name="Calculation 2 11 3 8 4 2" xfId="3469" xr:uid="{00000000-0005-0000-0000-00003C070000}"/>
    <cellStyle name="Calculation 2 11 3 8 4 3" xfId="4745" xr:uid="{00000000-0005-0000-0000-00003D070000}"/>
    <cellStyle name="Calculation 2 11 3 8 5" xfId="4746" xr:uid="{00000000-0005-0000-0000-00003E070000}"/>
    <cellStyle name="Calculation 2 11 3 8 5 2" xfId="4747" xr:uid="{00000000-0005-0000-0000-00003F070000}"/>
    <cellStyle name="Calculation 2 11 3 8 5 3" xfId="4749" xr:uid="{00000000-0005-0000-0000-000040070000}"/>
    <cellStyle name="Calculation 2 11 3 8 6" xfId="4750" xr:uid="{00000000-0005-0000-0000-000041070000}"/>
    <cellStyle name="Calculation 2 11 3 8 7" xfId="4751" xr:uid="{00000000-0005-0000-0000-000042070000}"/>
    <cellStyle name="Calculation 2 11 3 9" xfId="4752" xr:uid="{00000000-0005-0000-0000-000043070000}"/>
    <cellStyle name="Calculation 2 11 3 9 2" xfId="4758" xr:uid="{00000000-0005-0000-0000-000044070000}"/>
    <cellStyle name="Calculation 2 11 3 9 2 2" xfId="3741" xr:uid="{00000000-0005-0000-0000-000045070000}"/>
    <cellStyle name="Calculation 2 11 3 9 2 3" xfId="4759" xr:uid="{00000000-0005-0000-0000-000046070000}"/>
    <cellStyle name="Calculation 2 11 3 9 2 4" xfId="4761" xr:uid="{00000000-0005-0000-0000-000047070000}"/>
    <cellStyle name="Calculation 2 11 3 9 3" xfId="4765" xr:uid="{00000000-0005-0000-0000-000048070000}"/>
    <cellStyle name="Calculation 2 11 3 9 3 2" xfId="3809" xr:uid="{00000000-0005-0000-0000-000049070000}"/>
    <cellStyle name="Calculation 2 11 3 9 3 3" xfId="4766" xr:uid="{00000000-0005-0000-0000-00004A070000}"/>
    <cellStyle name="Calculation 2 11 3 9 3 4" xfId="4768" xr:uid="{00000000-0005-0000-0000-00004B070000}"/>
    <cellStyle name="Calculation 2 11 3 9 4" xfId="1979" xr:uid="{00000000-0005-0000-0000-00004C070000}"/>
    <cellStyle name="Calculation 2 11 3 9 4 2" xfId="1988" xr:uid="{00000000-0005-0000-0000-00004D070000}"/>
    <cellStyle name="Calculation 2 11 3 9 4 3" xfId="2012" xr:uid="{00000000-0005-0000-0000-00004E070000}"/>
    <cellStyle name="Calculation 2 11 3 9 5" xfId="2025" xr:uid="{00000000-0005-0000-0000-00004F070000}"/>
    <cellStyle name="Calculation 2 11 3 9 5 2" xfId="3118" xr:uid="{00000000-0005-0000-0000-000050070000}"/>
    <cellStyle name="Calculation 2 11 3 9 5 3" xfId="3140" xr:uid="{00000000-0005-0000-0000-000051070000}"/>
    <cellStyle name="Calculation 2 11 3 9 6" xfId="2031" xr:uid="{00000000-0005-0000-0000-000052070000}"/>
    <cellStyle name="Calculation 2 11 3 9 7" xfId="1564" xr:uid="{00000000-0005-0000-0000-000053070000}"/>
    <cellStyle name="Calculation 2 11 4" xfId="4769" xr:uid="{00000000-0005-0000-0000-000054070000}"/>
    <cellStyle name="Calculation 2 11 4 2" xfId="4772" xr:uid="{00000000-0005-0000-0000-000055070000}"/>
    <cellStyle name="Calculation 2 11 4 2 2" xfId="4775" xr:uid="{00000000-0005-0000-0000-000056070000}"/>
    <cellStyle name="Calculation 2 11 4 2 3" xfId="4776" xr:uid="{00000000-0005-0000-0000-000057070000}"/>
    <cellStyle name="Calculation 2 11 4 2 4" xfId="4777" xr:uid="{00000000-0005-0000-0000-000058070000}"/>
    <cellStyle name="Calculation 2 11 4 3" xfId="4778" xr:uid="{00000000-0005-0000-0000-000059070000}"/>
    <cellStyle name="Calculation 2 11 4 3 2" xfId="4780" xr:uid="{00000000-0005-0000-0000-00005A070000}"/>
    <cellStyle name="Calculation 2 11 4 3 3" xfId="4781" xr:uid="{00000000-0005-0000-0000-00005B070000}"/>
    <cellStyle name="Calculation 2 11 4 3 4" xfId="4782" xr:uid="{00000000-0005-0000-0000-00005C070000}"/>
    <cellStyle name="Calculation 2 11 4 4" xfId="4783" xr:uid="{00000000-0005-0000-0000-00005D070000}"/>
    <cellStyle name="Calculation 2 11 4 4 2" xfId="4784" xr:uid="{00000000-0005-0000-0000-00005E070000}"/>
    <cellStyle name="Calculation 2 11 4 4 3" xfId="4786" xr:uid="{00000000-0005-0000-0000-00005F070000}"/>
    <cellStyle name="Calculation 2 11 4 5" xfId="4788" xr:uid="{00000000-0005-0000-0000-000060070000}"/>
    <cellStyle name="Calculation 2 11 4 5 2" xfId="4789" xr:uid="{00000000-0005-0000-0000-000061070000}"/>
    <cellStyle name="Calculation 2 11 4 5 3" xfId="4791" xr:uid="{00000000-0005-0000-0000-000062070000}"/>
    <cellStyle name="Calculation 2 11 4 6" xfId="4792" xr:uid="{00000000-0005-0000-0000-000063070000}"/>
    <cellStyle name="Calculation 2 11 4 7" xfId="4793" xr:uid="{00000000-0005-0000-0000-000064070000}"/>
    <cellStyle name="Calculation 2 11 5" xfId="4795" xr:uid="{00000000-0005-0000-0000-000065070000}"/>
    <cellStyle name="Calculation 2 11 5 2" xfId="4797" xr:uid="{00000000-0005-0000-0000-000066070000}"/>
    <cellStyle name="Calculation 2 11 5 2 2" xfId="4801" xr:uid="{00000000-0005-0000-0000-000067070000}"/>
    <cellStyle name="Calculation 2 11 5 2 3" xfId="4802" xr:uid="{00000000-0005-0000-0000-000068070000}"/>
    <cellStyle name="Calculation 2 11 5 2 4" xfId="4803" xr:uid="{00000000-0005-0000-0000-000069070000}"/>
    <cellStyle name="Calculation 2 11 5 3" xfId="4804" xr:uid="{00000000-0005-0000-0000-00006A070000}"/>
    <cellStyle name="Calculation 2 11 5 3 2" xfId="4807" xr:uid="{00000000-0005-0000-0000-00006B070000}"/>
    <cellStyle name="Calculation 2 11 5 3 3" xfId="4808" xr:uid="{00000000-0005-0000-0000-00006C070000}"/>
    <cellStyle name="Calculation 2 11 5 3 4" xfId="4809" xr:uid="{00000000-0005-0000-0000-00006D070000}"/>
    <cellStyle name="Calculation 2 11 5 4" xfId="4810" xr:uid="{00000000-0005-0000-0000-00006E070000}"/>
    <cellStyle name="Calculation 2 11 5 4 2" xfId="4811" xr:uid="{00000000-0005-0000-0000-00006F070000}"/>
    <cellStyle name="Calculation 2 11 5 4 3" xfId="4812" xr:uid="{00000000-0005-0000-0000-000070070000}"/>
    <cellStyle name="Calculation 2 11 5 5" xfId="4496" xr:uid="{00000000-0005-0000-0000-000071070000}"/>
    <cellStyle name="Calculation 2 11 5 5 2" xfId="525" xr:uid="{00000000-0005-0000-0000-000072070000}"/>
    <cellStyle name="Calculation 2 11 5 5 3" xfId="531" xr:uid="{00000000-0005-0000-0000-000073070000}"/>
    <cellStyle name="Calculation 2 11 5 6" xfId="4498" xr:uid="{00000000-0005-0000-0000-000074070000}"/>
    <cellStyle name="Calculation 2 11 5 7" xfId="4511" xr:uid="{00000000-0005-0000-0000-000075070000}"/>
    <cellStyle name="Calculation 2 11 6" xfId="4813" xr:uid="{00000000-0005-0000-0000-000076070000}"/>
    <cellStyle name="Calculation 2 11 6 2" xfId="4814" xr:uid="{00000000-0005-0000-0000-000077070000}"/>
    <cellStyle name="Calculation 2 11 6 2 2" xfId="4817" xr:uid="{00000000-0005-0000-0000-000078070000}"/>
    <cellStyle name="Calculation 2 11 6 2 3" xfId="4818" xr:uid="{00000000-0005-0000-0000-000079070000}"/>
    <cellStyle name="Calculation 2 11 6 2 4" xfId="4819" xr:uid="{00000000-0005-0000-0000-00007A070000}"/>
    <cellStyle name="Calculation 2 11 6 3" xfId="4820" xr:uid="{00000000-0005-0000-0000-00007B070000}"/>
    <cellStyle name="Calculation 2 11 6 3 2" xfId="1298" xr:uid="{00000000-0005-0000-0000-00007C070000}"/>
    <cellStyle name="Calculation 2 11 6 3 3" xfId="1300" xr:uid="{00000000-0005-0000-0000-00007D070000}"/>
    <cellStyle name="Calculation 2 11 6 3 4" xfId="817" xr:uid="{00000000-0005-0000-0000-00007E070000}"/>
    <cellStyle name="Calculation 2 11 6 4" xfId="3025" xr:uid="{00000000-0005-0000-0000-00007F070000}"/>
    <cellStyle name="Calculation 2 11 6 4 2" xfId="4823" xr:uid="{00000000-0005-0000-0000-000080070000}"/>
    <cellStyle name="Calculation 2 11 6 4 3" xfId="4824" xr:uid="{00000000-0005-0000-0000-000081070000}"/>
    <cellStyle name="Calculation 2 11 6 5" xfId="3029" xr:uid="{00000000-0005-0000-0000-000082070000}"/>
    <cellStyle name="Calculation 2 11 6 5 2" xfId="1314" xr:uid="{00000000-0005-0000-0000-000083070000}"/>
    <cellStyle name="Calculation 2 11 6 5 3" xfId="1316" xr:uid="{00000000-0005-0000-0000-000084070000}"/>
    <cellStyle name="Calculation 2 11 6 6" xfId="3033" xr:uid="{00000000-0005-0000-0000-000085070000}"/>
    <cellStyle name="Calculation 2 11 6 7" xfId="4531" xr:uid="{00000000-0005-0000-0000-000086070000}"/>
    <cellStyle name="Calculation 2 11 7" xfId="4825" xr:uid="{00000000-0005-0000-0000-000087070000}"/>
    <cellStyle name="Calculation 2 11 7 2" xfId="4826" xr:uid="{00000000-0005-0000-0000-000088070000}"/>
    <cellStyle name="Calculation 2 11 7 2 2" xfId="1857" xr:uid="{00000000-0005-0000-0000-000089070000}"/>
    <cellStyle name="Calculation 2 11 7 2 3" xfId="106" xr:uid="{00000000-0005-0000-0000-00008A070000}"/>
    <cellStyle name="Calculation 2 11 7 2 4" xfId="138" xr:uid="{00000000-0005-0000-0000-00008B070000}"/>
    <cellStyle name="Calculation 2 11 7 3" xfId="4830" xr:uid="{00000000-0005-0000-0000-00008C070000}"/>
    <cellStyle name="Calculation 2 11 7 3 2" xfId="1270" xr:uid="{00000000-0005-0000-0000-00008D070000}"/>
    <cellStyle name="Calculation 2 11 7 3 3" xfId="1391" xr:uid="{00000000-0005-0000-0000-00008E070000}"/>
    <cellStyle name="Calculation 2 11 7 3 4" xfId="997" xr:uid="{00000000-0005-0000-0000-00008F070000}"/>
    <cellStyle name="Calculation 2 11 7 4" xfId="3042" xr:uid="{00000000-0005-0000-0000-000090070000}"/>
    <cellStyle name="Calculation 2 11 7 4 2" xfId="1418" xr:uid="{00000000-0005-0000-0000-000091070000}"/>
    <cellStyle name="Calculation 2 11 7 4 3" xfId="1424" xr:uid="{00000000-0005-0000-0000-000092070000}"/>
    <cellStyle name="Calculation 2 11 7 5" xfId="3046" xr:uid="{00000000-0005-0000-0000-000093070000}"/>
    <cellStyle name="Calculation 2 11 7 5 2" xfId="857" xr:uid="{00000000-0005-0000-0000-000094070000}"/>
    <cellStyle name="Calculation 2 11 7 5 3" xfId="1334" xr:uid="{00000000-0005-0000-0000-000095070000}"/>
    <cellStyle name="Calculation 2 11 7 6" xfId="3051" xr:uid="{00000000-0005-0000-0000-000096070000}"/>
    <cellStyle name="Calculation 2 11 7 7" xfId="4534" xr:uid="{00000000-0005-0000-0000-000097070000}"/>
    <cellStyle name="Calculation 2 11 8" xfId="3213" xr:uid="{00000000-0005-0000-0000-000098070000}"/>
    <cellStyle name="Calculation 2 11 8 2" xfId="3218" xr:uid="{00000000-0005-0000-0000-000099070000}"/>
    <cellStyle name="Calculation 2 11 8 2 2" xfId="4833" xr:uid="{00000000-0005-0000-0000-00009A070000}"/>
    <cellStyle name="Calculation 2 11 8 2 3" xfId="4835" xr:uid="{00000000-0005-0000-0000-00009B070000}"/>
    <cellStyle name="Calculation 2 11 8 2 4" xfId="4837" xr:uid="{00000000-0005-0000-0000-00009C070000}"/>
    <cellStyle name="Calculation 2 11 8 3" xfId="3223" xr:uid="{00000000-0005-0000-0000-00009D070000}"/>
    <cellStyle name="Calculation 2 11 8 3 2" xfId="450" xr:uid="{00000000-0005-0000-0000-00009E070000}"/>
    <cellStyle name="Calculation 2 11 8 3 3" xfId="460" xr:uid="{00000000-0005-0000-0000-00009F070000}"/>
    <cellStyle name="Calculation 2 11 8 3 4" xfId="24" xr:uid="{00000000-0005-0000-0000-0000A0070000}"/>
    <cellStyle name="Calculation 2 11 8 4" xfId="3063" xr:uid="{00000000-0005-0000-0000-0000A1070000}"/>
    <cellStyle name="Calculation 2 11 8 4 2" xfId="4838" xr:uid="{00000000-0005-0000-0000-0000A2070000}"/>
    <cellStyle name="Calculation 2 11 8 4 3" xfId="4839" xr:uid="{00000000-0005-0000-0000-0000A3070000}"/>
    <cellStyle name="Calculation 2 11 8 5" xfId="2274" xr:uid="{00000000-0005-0000-0000-0000A4070000}"/>
    <cellStyle name="Calculation 2 11 8 5 2" xfId="2280" xr:uid="{00000000-0005-0000-0000-0000A5070000}"/>
    <cellStyle name="Calculation 2 11 8 5 3" xfId="2049" xr:uid="{00000000-0005-0000-0000-0000A6070000}"/>
    <cellStyle name="Calculation 2 11 8 6" xfId="4539" xr:uid="{00000000-0005-0000-0000-0000A7070000}"/>
    <cellStyle name="Calculation 2 11 8 7" xfId="4840" xr:uid="{00000000-0005-0000-0000-0000A8070000}"/>
    <cellStyle name="Calculation 2 11 9" xfId="2651" xr:uid="{00000000-0005-0000-0000-0000A9070000}"/>
    <cellStyle name="Calculation 2 11 9 2" xfId="2655" xr:uid="{00000000-0005-0000-0000-0000AA070000}"/>
    <cellStyle name="Calculation 2 11 9 2 2" xfId="2659" xr:uid="{00000000-0005-0000-0000-0000AB070000}"/>
    <cellStyle name="Calculation 2 11 9 2 3" xfId="1975" xr:uid="{00000000-0005-0000-0000-0000AC070000}"/>
    <cellStyle name="Calculation 2 11 9 2 4" xfId="2080" xr:uid="{00000000-0005-0000-0000-0000AD070000}"/>
    <cellStyle name="Calculation 2 11 9 3" xfId="2664" xr:uid="{00000000-0005-0000-0000-0000AE070000}"/>
    <cellStyle name="Calculation 2 11 9 3 2" xfId="1538" xr:uid="{00000000-0005-0000-0000-0000AF070000}"/>
    <cellStyle name="Calculation 2 11 9 3 3" xfId="1545" xr:uid="{00000000-0005-0000-0000-0000B0070000}"/>
    <cellStyle name="Calculation 2 11 9 3 4" xfId="1571" xr:uid="{00000000-0005-0000-0000-0000B1070000}"/>
    <cellStyle name="Calculation 2 11 9 4" xfId="2671" xr:uid="{00000000-0005-0000-0000-0000B2070000}"/>
    <cellStyle name="Calculation 2 11 9 4 2" xfId="4843" xr:uid="{00000000-0005-0000-0000-0000B3070000}"/>
    <cellStyle name="Calculation 2 11 9 4 3" xfId="4845" xr:uid="{00000000-0005-0000-0000-0000B4070000}"/>
    <cellStyle name="Calculation 2 11 9 5" xfId="2681" xr:uid="{00000000-0005-0000-0000-0000B5070000}"/>
    <cellStyle name="Calculation 2 11 9 5 2" xfId="1501" xr:uid="{00000000-0005-0000-0000-0000B6070000}"/>
    <cellStyle name="Calculation 2 11 9 5 3" xfId="1517" xr:uid="{00000000-0005-0000-0000-0000B7070000}"/>
    <cellStyle name="Calculation 2 11 9 6" xfId="62" xr:uid="{00000000-0005-0000-0000-0000B8070000}"/>
    <cellStyle name="Calculation 2 11 9 7" xfId="4850" xr:uid="{00000000-0005-0000-0000-0000B9070000}"/>
    <cellStyle name="Calculation 2 12" xfId="84" xr:uid="{00000000-0005-0000-0000-0000BA070000}"/>
    <cellStyle name="Calculation 2 12 10" xfId="2535" xr:uid="{00000000-0005-0000-0000-0000BB070000}"/>
    <cellStyle name="Calculation 2 12 10 2" xfId="2541" xr:uid="{00000000-0005-0000-0000-0000BC070000}"/>
    <cellStyle name="Calculation 2 12 10 2 2" xfId="4857" xr:uid="{00000000-0005-0000-0000-0000BD070000}"/>
    <cellStyle name="Calculation 2 12 10 2 3" xfId="4864" xr:uid="{00000000-0005-0000-0000-0000BE070000}"/>
    <cellStyle name="Calculation 2 12 10 2 4" xfId="4871" xr:uid="{00000000-0005-0000-0000-0000BF070000}"/>
    <cellStyle name="Calculation 2 12 10 3" xfId="4876" xr:uid="{00000000-0005-0000-0000-0000C0070000}"/>
    <cellStyle name="Calculation 2 12 10 3 2" xfId="2906" xr:uid="{00000000-0005-0000-0000-0000C1070000}"/>
    <cellStyle name="Calculation 2 12 10 3 3" xfId="4880" xr:uid="{00000000-0005-0000-0000-0000C2070000}"/>
    <cellStyle name="Calculation 2 12 10 3 4" xfId="86" xr:uid="{00000000-0005-0000-0000-0000C3070000}"/>
    <cellStyle name="Calculation 2 12 10 4" xfId="4886" xr:uid="{00000000-0005-0000-0000-0000C4070000}"/>
    <cellStyle name="Calculation 2 12 10 4 2" xfId="2913" xr:uid="{00000000-0005-0000-0000-0000C5070000}"/>
    <cellStyle name="Calculation 2 12 10 4 3" xfId="4888" xr:uid="{00000000-0005-0000-0000-0000C6070000}"/>
    <cellStyle name="Calculation 2 12 10 5" xfId="4893" xr:uid="{00000000-0005-0000-0000-0000C7070000}"/>
    <cellStyle name="Calculation 2 12 10 5 2" xfId="4894" xr:uid="{00000000-0005-0000-0000-0000C8070000}"/>
    <cellStyle name="Calculation 2 12 10 5 3" xfId="4898" xr:uid="{00000000-0005-0000-0000-0000C9070000}"/>
    <cellStyle name="Calculation 2 12 10 6" xfId="2702" xr:uid="{00000000-0005-0000-0000-0000CA070000}"/>
    <cellStyle name="Calculation 2 12 10 7" xfId="139" xr:uid="{00000000-0005-0000-0000-0000CB070000}"/>
    <cellStyle name="Calculation 2 12 11" xfId="4901" xr:uid="{00000000-0005-0000-0000-0000CC070000}"/>
    <cellStyle name="Calculation 2 12 11 2" xfId="4438" xr:uid="{00000000-0005-0000-0000-0000CD070000}"/>
    <cellStyle name="Calculation 2 12 11 2 2" xfId="4907" xr:uid="{00000000-0005-0000-0000-0000CE070000}"/>
    <cellStyle name="Calculation 2 12 11 2 3" xfId="4913" xr:uid="{00000000-0005-0000-0000-0000CF070000}"/>
    <cellStyle name="Calculation 2 12 11 2 4" xfId="4920" xr:uid="{00000000-0005-0000-0000-0000D0070000}"/>
    <cellStyle name="Calculation 2 12 11 3" xfId="4928" xr:uid="{00000000-0005-0000-0000-0000D1070000}"/>
    <cellStyle name="Calculation 2 12 11 3 2" xfId="2947" xr:uid="{00000000-0005-0000-0000-0000D2070000}"/>
    <cellStyle name="Calculation 2 12 11 3 3" xfId="4932" xr:uid="{00000000-0005-0000-0000-0000D3070000}"/>
    <cellStyle name="Calculation 2 12 11 3 4" xfId="4939" xr:uid="{00000000-0005-0000-0000-0000D4070000}"/>
    <cellStyle name="Calculation 2 12 11 4" xfId="4942" xr:uid="{00000000-0005-0000-0000-0000D5070000}"/>
    <cellStyle name="Calculation 2 12 11 4 2" xfId="2954" xr:uid="{00000000-0005-0000-0000-0000D6070000}"/>
    <cellStyle name="Calculation 2 12 11 4 3" xfId="4944" xr:uid="{00000000-0005-0000-0000-0000D7070000}"/>
    <cellStyle name="Calculation 2 12 11 5" xfId="4948" xr:uid="{00000000-0005-0000-0000-0000D8070000}"/>
    <cellStyle name="Calculation 2 12 11 5 2" xfId="4949" xr:uid="{00000000-0005-0000-0000-0000D9070000}"/>
    <cellStyle name="Calculation 2 12 11 5 3" xfId="4955" xr:uid="{00000000-0005-0000-0000-0000DA070000}"/>
    <cellStyle name="Calculation 2 12 11 6" xfId="4958" xr:uid="{00000000-0005-0000-0000-0000DB070000}"/>
    <cellStyle name="Calculation 2 12 11 7" xfId="1003" xr:uid="{00000000-0005-0000-0000-0000DC070000}"/>
    <cellStyle name="Calculation 2 12 12" xfId="4959" xr:uid="{00000000-0005-0000-0000-0000DD070000}"/>
    <cellStyle name="Calculation 2 12 12 2" xfId="4966" xr:uid="{00000000-0005-0000-0000-0000DE070000}"/>
    <cellStyle name="Calculation 2 12 12 2 2" xfId="4972" xr:uid="{00000000-0005-0000-0000-0000DF070000}"/>
    <cellStyle name="Calculation 2 12 12 2 3" xfId="4977" xr:uid="{00000000-0005-0000-0000-0000E0070000}"/>
    <cellStyle name="Calculation 2 12 12 2 4" xfId="4982" xr:uid="{00000000-0005-0000-0000-0000E1070000}"/>
    <cellStyle name="Calculation 2 12 12 3" xfId="4990" xr:uid="{00000000-0005-0000-0000-0000E2070000}"/>
    <cellStyle name="Calculation 2 12 12 3 2" xfId="4992" xr:uid="{00000000-0005-0000-0000-0000E3070000}"/>
    <cellStyle name="Calculation 2 12 12 3 3" xfId="4993" xr:uid="{00000000-0005-0000-0000-0000E4070000}"/>
    <cellStyle name="Calculation 2 12 12 3 4" xfId="4998" xr:uid="{00000000-0005-0000-0000-0000E5070000}"/>
    <cellStyle name="Calculation 2 12 12 4" xfId="5001" xr:uid="{00000000-0005-0000-0000-0000E6070000}"/>
    <cellStyle name="Calculation 2 12 12 4 2" xfId="5002" xr:uid="{00000000-0005-0000-0000-0000E7070000}"/>
    <cellStyle name="Calculation 2 12 12 4 3" xfId="5005" xr:uid="{00000000-0005-0000-0000-0000E8070000}"/>
    <cellStyle name="Calculation 2 12 12 5" xfId="5007" xr:uid="{00000000-0005-0000-0000-0000E9070000}"/>
    <cellStyle name="Calculation 2 12 12 5 2" xfId="5008" xr:uid="{00000000-0005-0000-0000-0000EA070000}"/>
    <cellStyle name="Calculation 2 12 12 5 3" xfId="52" xr:uid="{00000000-0005-0000-0000-0000EB070000}"/>
    <cellStyle name="Calculation 2 12 12 6" xfId="5011" xr:uid="{00000000-0005-0000-0000-0000EC070000}"/>
    <cellStyle name="Calculation 2 12 12 7" xfId="1039" xr:uid="{00000000-0005-0000-0000-0000ED070000}"/>
    <cellStyle name="Calculation 2 12 13" xfId="5012" xr:uid="{00000000-0005-0000-0000-0000EE070000}"/>
    <cellStyle name="Calculation 2 12 13 2" xfId="5020" xr:uid="{00000000-0005-0000-0000-0000EF070000}"/>
    <cellStyle name="Calculation 2 12 13 3" xfId="5024" xr:uid="{00000000-0005-0000-0000-0000F0070000}"/>
    <cellStyle name="Calculation 2 12 13 4" xfId="5028" xr:uid="{00000000-0005-0000-0000-0000F1070000}"/>
    <cellStyle name="Calculation 2 12 14" xfId="4332" xr:uid="{00000000-0005-0000-0000-0000F2070000}"/>
    <cellStyle name="Calculation 2 12 14 2" xfId="5031" xr:uid="{00000000-0005-0000-0000-0000F3070000}"/>
    <cellStyle name="Calculation 2 12 14 3" xfId="5034" xr:uid="{00000000-0005-0000-0000-0000F4070000}"/>
    <cellStyle name="Calculation 2 12 14 4" xfId="5037" xr:uid="{00000000-0005-0000-0000-0000F5070000}"/>
    <cellStyle name="Calculation 2 12 15" xfId="4336" xr:uid="{00000000-0005-0000-0000-0000F6070000}"/>
    <cellStyle name="Calculation 2 12 15 2" xfId="5039" xr:uid="{00000000-0005-0000-0000-0000F7070000}"/>
    <cellStyle name="Calculation 2 12 15 3" xfId="5042" xr:uid="{00000000-0005-0000-0000-0000F8070000}"/>
    <cellStyle name="Calculation 2 12 16" xfId="4341" xr:uid="{00000000-0005-0000-0000-0000F9070000}"/>
    <cellStyle name="Calculation 2 12 16 2" xfId="5045" xr:uid="{00000000-0005-0000-0000-0000FA070000}"/>
    <cellStyle name="Calculation 2 12 16 3" xfId="5049" xr:uid="{00000000-0005-0000-0000-0000FB070000}"/>
    <cellStyle name="Calculation 2 12 17" xfId="5052" xr:uid="{00000000-0005-0000-0000-0000FC070000}"/>
    <cellStyle name="Calculation 2 12 18" xfId="5055" xr:uid="{00000000-0005-0000-0000-0000FD070000}"/>
    <cellStyle name="Calculation 2 12 19" xfId="1431" xr:uid="{00000000-0005-0000-0000-0000FE070000}"/>
    <cellStyle name="Calculation 2 12 2" xfId="5056" xr:uid="{00000000-0005-0000-0000-0000FF070000}"/>
    <cellStyle name="Calculation 2 12 2 10" xfId="5060" xr:uid="{00000000-0005-0000-0000-000000080000}"/>
    <cellStyle name="Calculation 2 12 2 10 2" xfId="5064" xr:uid="{00000000-0005-0000-0000-000001080000}"/>
    <cellStyle name="Calculation 2 12 2 10 2 2" xfId="3594" xr:uid="{00000000-0005-0000-0000-000002080000}"/>
    <cellStyle name="Calculation 2 12 2 10 2 3" xfId="5070" xr:uid="{00000000-0005-0000-0000-000003080000}"/>
    <cellStyle name="Calculation 2 12 2 10 2 4" xfId="5075" xr:uid="{00000000-0005-0000-0000-000004080000}"/>
    <cellStyle name="Calculation 2 12 2 10 3" xfId="5079" xr:uid="{00000000-0005-0000-0000-000005080000}"/>
    <cellStyle name="Calculation 2 12 2 10 3 2" xfId="3609" xr:uid="{00000000-0005-0000-0000-000006080000}"/>
    <cellStyle name="Calculation 2 12 2 10 3 3" xfId="5086" xr:uid="{00000000-0005-0000-0000-000007080000}"/>
    <cellStyle name="Calculation 2 12 2 10 3 4" xfId="5093" xr:uid="{00000000-0005-0000-0000-000008080000}"/>
    <cellStyle name="Calculation 2 12 2 10 4" xfId="5096" xr:uid="{00000000-0005-0000-0000-000009080000}"/>
    <cellStyle name="Calculation 2 12 2 10 4 2" xfId="5101" xr:uid="{00000000-0005-0000-0000-00000A080000}"/>
    <cellStyle name="Calculation 2 12 2 10 4 3" xfId="5106" xr:uid="{00000000-0005-0000-0000-00000B080000}"/>
    <cellStyle name="Calculation 2 12 2 10 5" xfId="5108" xr:uid="{00000000-0005-0000-0000-00000C080000}"/>
    <cellStyle name="Calculation 2 12 2 10 5 2" xfId="934" xr:uid="{00000000-0005-0000-0000-00000D080000}"/>
    <cellStyle name="Calculation 2 12 2 10 5 3" xfId="942" xr:uid="{00000000-0005-0000-0000-00000E080000}"/>
    <cellStyle name="Calculation 2 12 2 10 6" xfId="5112" xr:uid="{00000000-0005-0000-0000-00000F080000}"/>
    <cellStyle name="Calculation 2 12 2 10 7" xfId="5117" xr:uid="{00000000-0005-0000-0000-000010080000}"/>
    <cellStyle name="Calculation 2 12 2 11" xfId="5120" xr:uid="{00000000-0005-0000-0000-000011080000}"/>
    <cellStyle name="Calculation 2 12 2 11 2" xfId="5125" xr:uid="{00000000-0005-0000-0000-000012080000}"/>
    <cellStyle name="Calculation 2 12 2 11 3" xfId="5129" xr:uid="{00000000-0005-0000-0000-000013080000}"/>
    <cellStyle name="Calculation 2 12 2 11 4" xfId="5133" xr:uid="{00000000-0005-0000-0000-000014080000}"/>
    <cellStyle name="Calculation 2 12 2 12" xfId="3261" xr:uid="{00000000-0005-0000-0000-000015080000}"/>
    <cellStyle name="Calculation 2 12 2 12 2" xfId="3267" xr:uid="{00000000-0005-0000-0000-000016080000}"/>
    <cellStyle name="Calculation 2 12 2 12 3" xfId="3274" xr:uid="{00000000-0005-0000-0000-000017080000}"/>
    <cellStyle name="Calculation 2 12 2 12 4" xfId="3282" xr:uid="{00000000-0005-0000-0000-000018080000}"/>
    <cellStyle name="Calculation 2 12 2 13" xfId="2726" xr:uid="{00000000-0005-0000-0000-000019080000}"/>
    <cellStyle name="Calculation 2 12 2 13 2" xfId="3291" xr:uid="{00000000-0005-0000-0000-00001A080000}"/>
    <cellStyle name="Calculation 2 12 2 13 3" xfId="3297" xr:uid="{00000000-0005-0000-0000-00001B080000}"/>
    <cellStyle name="Calculation 2 12 2 14" xfId="2735" xr:uid="{00000000-0005-0000-0000-00001C080000}"/>
    <cellStyle name="Calculation 2 12 2 14 2" xfId="3310" xr:uid="{00000000-0005-0000-0000-00001D080000}"/>
    <cellStyle name="Calculation 2 12 2 14 3" xfId="3317" xr:uid="{00000000-0005-0000-0000-00001E080000}"/>
    <cellStyle name="Calculation 2 12 2 15" xfId="2742" xr:uid="{00000000-0005-0000-0000-00001F080000}"/>
    <cellStyle name="Calculation 2 12 2 16" xfId="3335" xr:uid="{00000000-0005-0000-0000-000020080000}"/>
    <cellStyle name="Calculation 2 12 2 2" xfId="5136" xr:uid="{00000000-0005-0000-0000-000021080000}"/>
    <cellStyle name="Calculation 2 12 2 2 2" xfId="5140" xr:uid="{00000000-0005-0000-0000-000022080000}"/>
    <cellStyle name="Calculation 2 12 2 2 2 2" xfId="5146" xr:uid="{00000000-0005-0000-0000-000023080000}"/>
    <cellStyle name="Calculation 2 12 2 2 2 3" xfId="5147" xr:uid="{00000000-0005-0000-0000-000024080000}"/>
    <cellStyle name="Calculation 2 12 2 2 2 4" xfId="5149" xr:uid="{00000000-0005-0000-0000-000025080000}"/>
    <cellStyle name="Calculation 2 12 2 2 3" xfId="4265" xr:uid="{00000000-0005-0000-0000-000026080000}"/>
    <cellStyle name="Calculation 2 12 2 2 3 2" xfId="5150" xr:uid="{00000000-0005-0000-0000-000027080000}"/>
    <cellStyle name="Calculation 2 12 2 2 3 3" xfId="5151" xr:uid="{00000000-0005-0000-0000-000028080000}"/>
    <cellStyle name="Calculation 2 12 2 2 3 4" xfId="5152" xr:uid="{00000000-0005-0000-0000-000029080000}"/>
    <cellStyle name="Calculation 2 12 2 2 4" xfId="4267" xr:uid="{00000000-0005-0000-0000-00002A080000}"/>
    <cellStyle name="Calculation 2 12 2 2 4 2" xfId="5153" xr:uid="{00000000-0005-0000-0000-00002B080000}"/>
    <cellStyle name="Calculation 2 12 2 2 4 3" xfId="5154" xr:uid="{00000000-0005-0000-0000-00002C080000}"/>
    <cellStyle name="Calculation 2 12 2 2 5" xfId="5155" xr:uid="{00000000-0005-0000-0000-00002D080000}"/>
    <cellStyle name="Calculation 2 12 2 2 5 2" xfId="5156" xr:uid="{00000000-0005-0000-0000-00002E080000}"/>
    <cellStyle name="Calculation 2 12 2 2 5 3" xfId="5157" xr:uid="{00000000-0005-0000-0000-00002F080000}"/>
    <cellStyle name="Calculation 2 12 2 2 6" xfId="5158" xr:uid="{00000000-0005-0000-0000-000030080000}"/>
    <cellStyle name="Calculation 2 12 2 2 7" xfId="5159" xr:uid="{00000000-0005-0000-0000-000031080000}"/>
    <cellStyle name="Calculation 2 12 2 3" xfId="5160" xr:uid="{00000000-0005-0000-0000-000032080000}"/>
    <cellStyle name="Calculation 2 12 2 3 2" xfId="5163" xr:uid="{00000000-0005-0000-0000-000033080000}"/>
    <cellStyle name="Calculation 2 12 2 3 2 2" xfId="4316" xr:uid="{00000000-0005-0000-0000-000034080000}"/>
    <cellStyle name="Calculation 2 12 2 3 2 3" xfId="4323" xr:uid="{00000000-0005-0000-0000-000035080000}"/>
    <cellStyle name="Calculation 2 12 2 3 2 4" xfId="4326" xr:uid="{00000000-0005-0000-0000-000036080000}"/>
    <cellStyle name="Calculation 2 12 2 3 3" xfId="4270" xr:uid="{00000000-0005-0000-0000-000037080000}"/>
    <cellStyle name="Calculation 2 12 2 3 3 2" xfId="4354" xr:uid="{00000000-0005-0000-0000-000038080000}"/>
    <cellStyle name="Calculation 2 12 2 3 3 3" xfId="4358" xr:uid="{00000000-0005-0000-0000-000039080000}"/>
    <cellStyle name="Calculation 2 12 2 3 3 4" xfId="4360" xr:uid="{00000000-0005-0000-0000-00003A080000}"/>
    <cellStyle name="Calculation 2 12 2 3 4" xfId="1267" xr:uid="{00000000-0005-0000-0000-00003B080000}"/>
    <cellStyle name="Calculation 2 12 2 3 4 2" xfId="1278" xr:uid="{00000000-0005-0000-0000-00003C080000}"/>
    <cellStyle name="Calculation 2 12 2 3 4 3" xfId="4375" xr:uid="{00000000-0005-0000-0000-00003D080000}"/>
    <cellStyle name="Calculation 2 12 2 3 5" xfId="5172" xr:uid="{00000000-0005-0000-0000-00003E080000}"/>
    <cellStyle name="Calculation 2 12 2 3 5 2" xfId="4393" xr:uid="{00000000-0005-0000-0000-00003F080000}"/>
    <cellStyle name="Calculation 2 12 2 3 5 3" xfId="4409" xr:uid="{00000000-0005-0000-0000-000040080000}"/>
    <cellStyle name="Calculation 2 12 2 3 6" xfId="5179" xr:uid="{00000000-0005-0000-0000-000041080000}"/>
    <cellStyle name="Calculation 2 12 2 3 7" xfId="5183" xr:uid="{00000000-0005-0000-0000-000042080000}"/>
    <cellStyle name="Calculation 2 12 2 4" xfId="5184" xr:uid="{00000000-0005-0000-0000-000043080000}"/>
    <cellStyle name="Calculation 2 12 2 4 2" xfId="5185" xr:uid="{00000000-0005-0000-0000-000044080000}"/>
    <cellStyle name="Calculation 2 12 2 4 2 2" xfId="4603" xr:uid="{00000000-0005-0000-0000-000045080000}"/>
    <cellStyle name="Calculation 2 12 2 4 2 3" xfId="4611" xr:uid="{00000000-0005-0000-0000-000046080000}"/>
    <cellStyle name="Calculation 2 12 2 4 2 4" xfId="4614" xr:uid="{00000000-0005-0000-0000-000047080000}"/>
    <cellStyle name="Calculation 2 12 2 4 3" xfId="5186" xr:uid="{00000000-0005-0000-0000-000048080000}"/>
    <cellStyle name="Calculation 2 12 2 4 3 2" xfId="4632" xr:uid="{00000000-0005-0000-0000-000049080000}"/>
    <cellStyle name="Calculation 2 12 2 4 3 3" xfId="4638" xr:uid="{00000000-0005-0000-0000-00004A080000}"/>
    <cellStyle name="Calculation 2 12 2 4 3 4" xfId="4640" xr:uid="{00000000-0005-0000-0000-00004B080000}"/>
    <cellStyle name="Calculation 2 12 2 4 4" xfId="5187" xr:uid="{00000000-0005-0000-0000-00004C080000}"/>
    <cellStyle name="Calculation 2 12 2 4 4 2" xfId="4667" xr:uid="{00000000-0005-0000-0000-00004D080000}"/>
    <cellStyle name="Calculation 2 12 2 4 4 3" xfId="4673" xr:uid="{00000000-0005-0000-0000-00004E080000}"/>
    <cellStyle name="Calculation 2 12 2 4 5" xfId="5191" xr:uid="{00000000-0005-0000-0000-00004F080000}"/>
    <cellStyle name="Calculation 2 12 2 4 5 2" xfId="4689" xr:uid="{00000000-0005-0000-0000-000050080000}"/>
    <cellStyle name="Calculation 2 12 2 4 5 3" xfId="4693" xr:uid="{00000000-0005-0000-0000-000051080000}"/>
    <cellStyle name="Calculation 2 12 2 4 6" xfId="5195" xr:uid="{00000000-0005-0000-0000-000052080000}"/>
    <cellStyle name="Calculation 2 12 2 4 7" xfId="70" xr:uid="{00000000-0005-0000-0000-000053080000}"/>
    <cellStyle name="Calculation 2 12 2 5" xfId="5196" xr:uid="{00000000-0005-0000-0000-000054080000}"/>
    <cellStyle name="Calculation 2 12 2 5 2" xfId="2283" xr:uid="{00000000-0005-0000-0000-000055080000}"/>
    <cellStyle name="Calculation 2 12 2 5 2 2" xfId="5197" xr:uid="{00000000-0005-0000-0000-000056080000}"/>
    <cellStyle name="Calculation 2 12 2 5 2 3" xfId="5199" xr:uid="{00000000-0005-0000-0000-000057080000}"/>
    <cellStyle name="Calculation 2 12 2 5 2 4" xfId="5201" xr:uid="{00000000-0005-0000-0000-000058080000}"/>
    <cellStyle name="Calculation 2 12 2 5 3" xfId="5202" xr:uid="{00000000-0005-0000-0000-000059080000}"/>
    <cellStyle name="Calculation 2 12 2 5 3 2" xfId="5203" xr:uid="{00000000-0005-0000-0000-00005A080000}"/>
    <cellStyle name="Calculation 2 12 2 5 3 3" xfId="5205" xr:uid="{00000000-0005-0000-0000-00005B080000}"/>
    <cellStyle name="Calculation 2 12 2 5 3 4" xfId="5207" xr:uid="{00000000-0005-0000-0000-00005C080000}"/>
    <cellStyle name="Calculation 2 12 2 5 4" xfId="5208" xr:uid="{00000000-0005-0000-0000-00005D080000}"/>
    <cellStyle name="Calculation 2 12 2 5 4 2" xfId="5209" xr:uid="{00000000-0005-0000-0000-00005E080000}"/>
    <cellStyle name="Calculation 2 12 2 5 4 3" xfId="2331" xr:uid="{00000000-0005-0000-0000-00005F080000}"/>
    <cellStyle name="Calculation 2 12 2 5 5" xfId="2485" xr:uid="{00000000-0005-0000-0000-000060080000}"/>
    <cellStyle name="Calculation 2 12 2 5 5 2" xfId="5211" xr:uid="{00000000-0005-0000-0000-000061080000}"/>
    <cellStyle name="Calculation 2 12 2 5 5 3" xfId="2345" xr:uid="{00000000-0005-0000-0000-000062080000}"/>
    <cellStyle name="Calculation 2 12 2 5 6" xfId="2491" xr:uid="{00000000-0005-0000-0000-000063080000}"/>
    <cellStyle name="Calculation 2 12 2 5 7" xfId="5213" xr:uid="{00000000-0005-0000-0000-000064080000}"/>
    <cellStyle name="Calculation 2 12 2 6" xfId="5214" xr:uid="{00000000-0005-0000-0000-000065080000}"/>
    <cellStyle name="Calculation 2 12 2 6 2" xfId="5215" xr:uid="{00000000-0005-0000-0000-000066080000}"/>
    <cellStyle name="Calculation 2 12 2 6 2 2" xfId="5216" xr:uid="{00000000-0005-0000-0000-000067080000}"/>
    <cellStyle name="Calculation 2 12 2 6 2 3" xfId="5217" xr:uid="{00000000-0005-0000-0000-000068080000}"/>
    <cellStyle name="Calculation 2 12 2 6 2 4" xfId="5218" xr:uid="{00000000-0005-0000-0000-000069080000}"/>
    <cellStyle name="Calculation 2 12 2 6 3" xfId="5219" xr:uid="{00000000-0005-0000-0000-00006A080000}"/>
    <cellStyle name="Calculation 2 12 2 6 3 2" xfId="5220" xr:uid="{00000000-0005-0000-0000-00006B080000}"/>
    <cellStyle name="Calculation 2 12 2 6 3 3" xfId="5221" xr:uid="{00000000-0005-0000-0000-00006C080000}"/>
    <cellStyle name="Calculation 2 12 2 6 3 4" xfId="5222" xr:uid="{00000000-0005-0000-0000-00006D080000}"/>
    <cellStyle name="Calculation 2 12 2 6 4" xfId="5223" xr:uid="{00000000-0005-0000-0000-00006E080000}"/>
    <cellStyle name="Calculation 2 12 2 6 4 2" xfId="551" xr:uid="{00000000-0005-0000-0000-00006F080000}"/>
    <cellStyle name="Calculation 2 12 2 6 4 3" xfId="556" xr:uid="{00000000-0005-0000-0000-000070080000}"/>
    <cellStyle name="Calculation 2 12 2 6 5" xfId="5228" xr:uid="{00000000-0005-0000-0000-000071080000}"/>
    <cellStyle name="Calculation 2 12 2 6 5 2" xfId="4494" xr:uid="{00000000-0005-0000-0000-000072080000}"/>
    <cellStyle name="Calculation 2 12 2 6 5 3" xfId="4529" xr:uid="{00000000-0005-0000-0000-000073080000}"/>
    <cellStyle name="Calculation 2 12 2 6 6" xfId="5230" xr:uid="{00000000-0005-0000-0000-000074080000}"/>
    <cellStyle name="Calculation 2 12 2 6 7" xfId="5231" xr:uid="{00000000-0005-0000-0000-000075080000}"/>
    <cellStyle name="Calculation 2 12 2 7" xfId="5232" xr:uid="{00000000-0005-0000-0000-000076080000}"/>
    <cellStyle name="Calculation 2 12 2 7 2" xfId="5237" xr:uid="{00000000-0005-0000-0000-000077080000}"/>
    <cellStyle name="Calculation 2 12 2 7 2 2" xfId="951" xr:uid="{00000000-0005-0000-0000-000078080000}"/>
    <cellStyle name="Calculation 2 12 2 7 2 3" xfId="756" xr:uid="{00000000-0005-0000-0000-000079080000}"/>
    <cellStyle name="Calculation 2 12 2 7 2 4" xfId="222" xr:uid="{00000000-0005-0000-0000-00007A080000}"/>
    <cellStyle name="Calculation 2 12 2 7 3" xfId="5239" xr:uid="{00000000-0005-0000-0000-00007B080000}"/>
    <cellStyle name="Calculation 2 12 2 7 3 2" xfId="5241" xr:uid="{00000000-0005-0000-0000-00007C080000}"/>
    <cellStyle name="Calculation 2 12 2 7 3 3" xfId="5242" xr:uid="{00000000-0005-0000-0000-00007D080000}"/>
    <cellStyle name="Calculation 2 12 2 7 3 4" xfId="5243" xr:uid="{00000000-0005-0000-0000-00007E080000}"/>
    <cellStyle name="Calculation 2 12 2 7 4" xfId="5247" xr:uid="{00000000-0005-0000-0000-00007F080000}"/>
    <cellStyle name="Calculation 2 12 2 7 4 2" xfId="5253" xr:uid="{00000000-0005-0000-0000-000080080000}"/>
    <cellStyle name="Calculation 2 12 2 7 4 3" xfId="5256" xr:uid="{00000000-0005-0000-0000-000081080000}"/>
    <cellStyle name="Calculation 2 12 2 7 5" xfId="5260" xr:uid="{00000000-0005-0000-0000-000082080000}"/>
    <cellStyle name="Calculation 2 12 2 7 5 2" xfId="5265" xr:uid="{00000000-0005-0000-0000-000083080000}"/>
    <cellStyle name="Calculation 2 12 2 7 5 3" xfId="5268" xr:uid="{00000000-0005-0000-0000-000084080000}"/>
    <cellStyle name="Calculation 2 12 2 7 6" xfId="5271" xr:uid="{00000000-0005-0000-0000-000085080000}"/>
    <cellStyle name="Calculation 2 12 2 7 7" xfId="5273" xr:uid="{00000000-0005-0000-0000-000086080000}"/>
    <cellStyle name="Calculation 2 12 2 8" xfId="5274" xr:uid="{00000000-0005-0000-0000-000087080000}"/>
    <cellStyle name="Calculation 2 12 2 8 2" xfId="5279" xr:uid="{00000000-0005-0000-0000-000088080000}"/>
    <cellStyle name="Calculation 2 12 2 8 2 2" xfId="1005" xr:uid="{00000000-0005-0000-0000-000089080000}"/>
    <cellStyle name="Calculation 2 12 2 8 2 3" xfId="1010" xr:uid="{00000000-0005-0000-0000-00008A080000}"/>
    <cellStyle name="Calculation 2 12 2 8 2 4" xfId="1404" xr:uid="{00000000-0005-0000-0000-00008B080000}"/>
    <cellStyle name="Calculation 2 12 2 8 3" xfId="5281" xr:uid="{00000000-0005-0000-0000-00008C080000}"/>
    <cellStyle name="Calculation 2 12 2 8 3 2" xfId="5283" xr:uid="{00000000-0005-0000-0000-00008D080000}"/>
    <cellStyle name="Calculation 2 12 2 8 3 3" xfId="5284" xr:uid="{00000000-0005-0000-0000-00008E080000}"/>
    <cellStyle name="Calculation 2 12 2 8 3 4" xfId="5285" xr:uid="{00000000-0005-0000-0000-00008F080000}"/>
    <cellStyle name="Calculation 2 12 2 8 4" xfId="5289" xr:uid="{00000000-0005-0000-0000-000090080000}"/>
    <cellStyle name="Calculation 2 12 2 8 4 2" xfId="5292" xr:uid="{00000000-0005-0000-0000-000091080000}"/>
    <cellStyle name="Calculation 2 12 2 8 4 3" xfId="5294" xr:uid="{00000000-0005-0000-0000-000092080000}"/>
    <cellStyle name="Calculation 2 12 2 8 5" xfId="5299" xr:uid="{00000000-0005-0000-0000-000093080000}"/>
    <cellStyle name="Calculation 2 12 2 8 5 2" xfId="5302" xr:uid="{00000000-0005-0000-0000-000094080000}"/>
    <cellStyle name="Calculation 2 12 2 8 5 3" xfId="5305" xr:uid="{00000000-0005-0000-0000-000095080000}"/>
    <cellStyle name="Calculation 2 12 2 8 6" xfId="562" xr:uid="{00000000-0005-0000-0000-000096080000}"/>
    <cellStyle name="Calculation 2 12 2 8 7" xfId="1131" xr:uid="{00000000-0005-0000-0000-000097080000}"/>
    <cellStyle name="Calculation 2 12 2 9" xfId="5306" xr:uid="{00000000-0005-0000-0000-000098080000}"/>
    <cellStyle name="Calculation 2 12 2 9 2" xfId="5309" xr:uid="{00000000-0005-0000-0000-000099080000}"/>
    <cellStyle name="Calculation 2 12 2 9 2 2" xfId="1232" xr:uid="{00000000-0005-0000-0000-00009A080000}"/>
    <cellStyle name="Calculation 2 12 2 9 2 3" xfId="761" xr:uid="{00000000-0005-0000-0000-00009B080000}"/>
    <cellStyle name="Calculation 2 12 2 9 2 4" xfId="771" xr:uid="{00000000-0005-0000-0000-00009C080000}"/>
    <cellStyle name="Calculation 2 12 2 9 3" xfId="5311" xr:uid="{00000000-0005-0000-0000-00009D080000}"/>
    <cellStyle name="Calculation 2 12 2 9 3 2" xfId="5313" xr:uid="{00000000-0005-0000-0000-00009E080000}"/>
    <cellStyle name="Calculation 2 12 2 9 3 3" xfId="5314" xr:uid="{00000000-0005-0000-0000-00009F080000}"/>
    <cellStyle name="Calculation 2 12 2 9 3 4" xfId="5315" xr:uid="{00000000-0005-0000-0000-0000A0080000}"/>
    <cellStyle name="Calculation 2 12 2 9 4" xfId="5318" xr:uid="{00000000-0005-0000-0000-0000A1080000}"/>
    <cellStyle name="Calculation 2 12 2 9 4 2" xfId="3551" xr:uid="{00000000-0005-0000-0000-0000A2080000}"/>
    <cellStyle name="Calculation 2 12 2 9 4 3" xfId="5320" xr:uid="{00000000-0005-0000-0000-0000A3080000}"/>
    <cellStyle name="Calculation 2 12 2 9 5" xfId="5323" xr:uid="{00000000-0005-0000-0000-0000A4080000}"/>
    <cellStyle name="Calculation 2 12 2 9 5 2" xfId="3557" xr:uid="{00000000-0005-0000-0000-0000A5080000}"/>
    <cellStyle name="Calculation 2 12 2 9 5 3" xfId="5325" xr:uid="{00000000-0005-0000-0000-0000A6080000}"/>
    <cellStyle name="Calculation 2 12 2 9 6" xfId="5328" xr:uid="{00000000-0005-0000-0000-0000A7080000}"/>
    <cellStyle name="Calculation 2 12 2 9 7" xfId="5332" xr:uid="{00000000-0005-0000-0000-0000A8080000}"/>
    <cellStyle name="Calculation 2 12 20" xfId="4335" xr:uid="{00000000-0005-0000-0000-0000A9080000}"/>
    <cellStyle name="Calculation 2 12 3" xfId="5334" xr:uid="{00000000-0005-0000-0000-0000AA080000}"/>
    <cellStyle name="Calculation 2 12 3 10" xfId="3610" xr:uid="{00000000-0005-0000-0000-0000AB080000}"/>
    <cellStyle name="Calculation 2 12 3 10 2" xfId="5336" xr:uid="{00000000-0005-0000-0000-0000AC080000}"/>
    <cellStyle name="Calculation 2 12 3 10 2 2" xfId="5337" xr:uid="{00000000-0005-0000-0000-0000AD080000}"/>
    <cellStyle name="Calculation 2 12 3 10 2 3" xfId="18" xr:uid="{00000000-0005-0000-0000-0000AE080000}"/>
    <cellStyle name="Calculation 2 12 3 10 2 4" xfId="4566" xr:uid="{00000000-0005-0000-0000-0000AF080000}"/>
    <cellStyle name="Calculation 2 12 3 10 3" xfId="5340" xr:uid="{00000000-0005-0000-0000-0000B0080000}"/>
    <cellStyle name="Calculation 2 12 3 10 3 2" xfId="5344" xr:uid="{00000000-0005-0000-0000-0000B1080000}"/>
    <cellStyle name="Calculation 2 12 3 10 3 3" xfId="5347" xr:uid="{00000000-0005-0000-0000-0000B2080000}"/>
    <cellStyle name="Calculation 2 12 3 10 3 4" xfId="112" xr:uid="{00000000-0005-0000-0000-0000B3080000}"/>
    <cellStyle name="Calculation 2 12 3 10 4" xfId="5350" xr:uid="{00000000-0005-0000-0000-0000B4080000}"/>
    <cellStyle name="Calculation 2 12 3 10 4 2" xfId="2341" xr:uid="{00000000-0005-0000-0000-0000B5080000}"/>
    <cellStyle name="Calculation 2 12 3 10 4 3" xfId="5353" xr:uid="{00000000-0005-0000-0000-0000B6080000}"/>
    <cellStyle name="Calculation 2 12 3 10 5" xfId="5358" xr:uid="{00000000-0005-0000-0000-0000B7080000}"/>
    <cellStyle name="Calculation 2 12 3 10 5 2" xfId="5362" xr:uid="{00000000-0005-0000-0000-0000B8080000}"/>
    <cellStyle name="Calculation 2 12 3 10 5 3" xfId="5364" xr:uid="{00000000-0005-0000-0000-0000B9080000}"/>
    <cellStyle name="Calculation 2 12 3 10 6" xfId="5368" xr:uid="{00000000-0005-0000-0000-0000BA080000}"/>
    <cellStyle name="Calculation 2 12 3 10 7" xfId="5374" xr:uid="{00000000-0005-0000-0000-0000BB080000}"/>
    <cellStyle name="Calculation 2 12 3 11" xfId="5084" xr:uid="{00000000-0005-0000-0000-0000BC080000}"/>
    <cellStyle name="Calculation 2 12 3 11 2" xfId="3475" xr:uid="{00000000-0005-0000-0000-0000BD080000}"/>
    <cellStyle name="Calculation 2 12 3 11 3" xfId="3478" xr:uid="{00000000-0005-0000-0000-0000BE080000}"/>
    <cellStyle name="Calculation 2 12 3 11 4" xfId="4303" xr:uid="{00000000-0005-0000-0000-0000BF080000}"/>
    <cellStyle name="Calculation 2 12 3 12" xfId="5091" xr:uid="{00000000-0005-0000-0000-0000C0080000}"/>
    <cellStyle name="Calculation 2 12 3 12 2" xfId="3487" xr:uid="{00000000-0005-0000-0000-0000C1080000}"/>
    <cellStyle name="Calculation 2 12 3 12 3" xfId="3490" xr:uid="{00000000-0005-0000-0000-0000C2080000}"/>
    <cellStyle name="Calculation 2 12 3 12 4" xfId="4309" xr:uid="{00000000-0005-0000-0000-0000C3080000}"/>
    <cellStyle name="Calculation 2 12 3 13" xfId="5378" xr:uid="{00000000-0005-0000-0000-0000C4080000}"/>
    <cellStyle name="Calculation 2 12 3 13 2" xfId="3494" xr:uid="{00000000-0005-0000-0000-0000C5080000}"/>
    <cellStyle name="Calculation 2 12 3 13 3" xfId="4313" xr:uid="{00000000-0005-0000-0000-0000C6080000}"/>
    <cellStyle name="Calculation 2 12 3 14" xfId="5382" xr:uid="{00000000-0005-0000-0000-0000C7080000}"/>
    <cellStyle name="Calculation 2 12 3 14 2" xfId="3504" xr:uid="{00000000-0005-0000-0000-0000C8080000}"/>
    <cellStyle name="Calculation 2 12 3 14 3" xfId="4321" xr:uid="{00000000-0005-0000-0000-0000C9080000}"/>
    <cellStyle name="Calculation 2 12 3 15" xfId="5385" xr:uid="{00000000-0005-0000-0000-0000CA080000}"/>
    <cellStyle name="Calculation 2 12 3 16" xfId="5387" xr:uid="{00000000-0005-0000-0000-0000CB080000}"/>
    <cellStyle name="Calculation 2 12 3 2" xfId="5390" xr:uid="{00000000-0005-0000-0000-0000CC080000}"/>
    <cellStyle name="Calculation 2 12 3 2 2" xfId="5393" xr:uid="{00000000-0005-0000-0000-0000CD080000}"/>
    <cellStyle name="Calculation 2 12 3 2 2 2" xfId="2474" xr:uid="{00000000-0005-0000-0000-0000CE080000}"/>
    <cellStyle name="Calculation 2 12 3 2 2 3" xfId="2478" xr:uid="{00000000-0005-0000-0000-0000CF080000}"/>
    <cellStyle name="Calculation 2 12 3 2 2 4" xfId="5395" xr:uid="{00000000-0005-0000-0000-0000D0080000}"/>
    <cellStyle name="Calculation 2 12 3 2 3" xfId="1923" xr:uid="{00000000-0005-0000-0000-0000D1080000}"/>
    <cellStyle name="Calculation 2 12 3 2 3 2" xfId="5396" xr:uid="{00000000-0005-0000-0000-0000D2080000}"/>
    <cellStyle name="Calculation 2 12 3 2 3 3" xfId="5398" xr:uid="{00000000-0005-0000-0000-0000D3080000}"/>
    <cellStyle name="Calculation 2 12 3 2 3 4" xfId="5402" xr:uid="{00000000-0005-0000-0000-0000D4080000}"/>
    <cellStyle name="Calculation 2 12 3 2 4" xfId="5403" xr:uid="{00000000-0005-0000-0000-0000D5080000}"/>
    <cellStyle name="Calculation 2 12 3 2 4 2" xfId="5404" xr:uid="{00000000-0005-0000-0000-0000D6080000}"/>
    <cellStyle name="Calculation 2 12 3 2 4 3" xfId="5406" xr:uid="{00000000-0005-0000-0000-0000D7080000}"/>
    <cellStyle name="Calculation 2 12 3 2 5" xfId="5409" xr:uid="{00000000-0005-0000-0000-0000D8080000}"/>
    <cellStyle name="Calculation 2 12 3 2 5 2" xfId="5410" xr:uid="{00000000-0005-0000-0000-0000D9080000}"/>
    <cellStyle name="Calculation 2 12 3 2 5 3" xfId="5413" xr:uid="{00000000-0005-0000-0000-0000DA080000}"/>
    <cellStyle name="Calculation 2 12 3 2 6" xfId="5417" xr:uid="{00000000-0005-0000-0000-0000DB080000}"/>
    <cellStyle name="Calculation 2 12 3 2 7" xfId="4008" xr:uid="{00000000-0005-0000-0000-0000DC080000}"/>
    <cellStyle name="Calculation 2 12 3 3" xfId="5418" xr:uid="{00000000-0005-0000-0000-0000DD080000}"/>
    <cellStyle name="Calculation 2 12 3 3 2" xfId="5421" xr:uid="{00000000-0005-0000-0000-0000DE080000}"/>
    <cellStyle name="Calculation 2 12 3 3 2 2" xfId="5168" xr:uid="{00000000-0005-0000-0000-0000DF080000}"/>
    <cellStyle name="Calculation 2 12 3 3 2 3" xfId="5175" xr:uid="{00000000-0005-0000-0000-0000E0080000}"/>
    <cellStyle name="Calculation 2 12 3 3 2 4" xfId="5182" xr:uid="{00000000-0005-0000-0000-0000E1080000}"/>
    <cellStyle name="Calculation 2 12 3 3 3" xfId="5422" xr:uid="{00000000-0005-0000-0000-0000E2080000}"/>
    <cellStyle name="Calculation 2 12 3 3 3 2" xfId="5188" xr:uid="{00000000-0005-0000-0000-0000E3080000}"/>
    <cellStyle name="Calculation 2 12 3 3 3 3" xfId="5192" xr:uid="{00000000-0005-0000-0000-0000E4080000}"/>
    <cellStyle name="Calculation 2 12 3 3 3 4" xfId="71" xr:uid="{00000000-0005-0000-0000-0000E5080000}"/>
    <cellStyle name="Calculation 2 12 3 3 4" xfId="2482" xr:uid="{00000000-0005-0000-0000-0000E6080000}"/>
    <cellStyle name="Calculation 2 12 3 3 4 2" xfId="2488" xr:uid="{00000000-0005-0000-0000-0000E7080000}"/>
    <cellStyle name="Calculation 2 12 3 3 4 3" xfId="2492" xr:uid="{00000000-0005-0000-0000-0000E8080000}"/>
    <cellStyle name="Calculation 2 12 3 3 5" xfId="2494" xr:uid="{00000000-0005-0000-0000-0000E9080000}"/>
    <cellStyle name="Calculation 2 12 3 3 5 2" xfId="5225" xr:uid="{00000000-0005-0000-0000-0000EA080000}"/>
    <cellStyle name="Calculation 2 12 3 3 5 3" xfId="5229" xr:uid="{00000000-0005-0000-0000-0000EB080000}"/>
    <cellStyle name="Calculation 2 12 3 3 6" xfId="2500" xr:uid="{00000000-0005-0000-0000-0000EC080000}"/>
    <cellStyle name="Calculation 2 12 3 3 7" xfId="4018" xr:uid="{00000000-0005-0000-0000-0000ED080000}"/>
    <cellStyle name="Calculation 2 12 3 4" xfId="5423" xr:uid="{00000000-0005-0000-0000-0000EE080000}"/>
    <cellStyle name="Calculation 2 12 3 4 2" xfId="5427" xr:uid="{00000000-0005-0000-0000-0000EF080000}"/>
    <cellStyle name="Calculation 2 12 3 4 2 2" xfId="2497" xr:uid="{00000000-0005-0000-0000-0000F0080000}"/>
    <cellStyle name="Calculation 2 12 3 4 2 3" xfId="2503" xr:uid="{00000000-0005-0000-0000-0000F1080000}"/>
    <cellStyle name="Calculation 2 12 3 4 2 4" xfId="4019" xr:uid="{00000000-0005-0000-0000-0000F2080000}"/>
    <cellStyle name="Calculation 2 12 3 4 3" xfId="5432" xr:uid="{00000000-0005-0000-0000-0000F3080000}"/>
    <cellStyle name="Calculation 2 12 3 4 3 2" xfId="5434" xr:uid="{00000000-0005-0000-0000-0000F4080000}"/>
    <cellStyle name="Calculation 2 12 3 4 3 3" xfId="5438" xr:uid="{00000000-0005-0000-0000-0000F5080000}"/>
    <cellStyle name="Calculation 2 12 3 4 3 4" xfId="4029" xr:uid="{00000000-0005-0000-0000-0000F6080000}"/>
    <cellStyle name="Calculation 2 12 3 4 4" xfId="5441" xr:uid="{00000000-0005-0000-0000-0000F7080000}"/>
    <cellStyle name="Calculation 2 12 3 4 4 2" xfId="5443" xr:uid="{00000000-0005-0000-0000-0000F8080000}"/>
    <cellStyle name="Calculation 2 12 3 4 4 3" xfId="5447" xr:uid="{00000000-0005-0000-0000-0000F9080000}"/>
    <cellStyle name="Calculation 2 12 3 4 5" xfId="5433" xr:uid="{00000000-0005-0000-0000-0000FA080000}"/>
    <cellStyle name="Calculation 2 12 3 4 5 2" xfId="5449" xr:uid="{00000000-0005-0000-0000-0000FB080000}"/>
    <cellStyle name="Calculation 2 12 3 4 5 3" xfId="5453" xr:uid="{00000000-0005-0000-0000-0000FC080000}"/>
    <cellStyle name="Calculation 2 12 3 4 6" xfId="5437" xr:uid="{00000000-0005-0000-0000-0000FD080000}"/>
    <cellStyle name="Calculation 2 12 3 4 7" xfId="4031" xr:uid="{00000000-0005-0000-0000-0000FE080000}"/>
    <cellStyle name="Calculation 2 12 3 5" xfId="5454" xr:uid="{00000000-0005-0000-0000-0000FF080000}"/>
    <cellStyle name="Calculation 2 12 3 5 2" xfId="5455" xr:uid="{00000000-0005-0000-0000-000000090000}"/>
    <cellStyle name="Calculation 2 12 3 5 2 2" xfId="5456" xr:uid="{00000000-0005-0000-0000-000001090000}"/>
    <cellStyle name="Calculation 2 12 3 5 2 3" xfId="5458" xr:uid="{00000000-0005-0000-0000-000002090000}"/>
    <cellStyle name="Calculation 2 12 3 5 2 4" xfId="4060" xr:uid="{00000000-0005-0000-0000-000003090000}"/>
    <cellStyle name="Calculation 2 12 3 5 3" xfId="5460" xr:uid="{00000000-0005-0000-0000-000004090000}"/>
    <cellStyle name="Calculation 2 12 3 5 3 2" xfId="5461" xr:uid="{00000000-0005-0000-0000-000005090000}"/>
    <cellStyle name="Calculation 2 12 3 5 3 3" xfId="5463" xr:uid="{00000000-0005-0000-0000-000006090000}"/>
    <cellStyle name="Calculation 2 12 3 5 3 4" xfId="4069" xr:uid="{00000000-0005-0000-0000-000007090000}"/>
    <cellStyle name="Calculation 2 12 3 5 4" xfId="5465" xr:uid="{00000000-0005-0000-0000-000008090000}"/>
    <cellStyle name="Calculation 2 12 3 5 4 2" xfId="5466" xr:uid="{00000000-0005-0000-0000-000009090000}"/>
    <cellStyle name="Calculation 2 12 3 5 4 3" xfId="2433" xr:uid="{00000000-0005-0000-0000-00000A090000}"/>
    <cellStyle name="Calculation 2 12 3 5 5" xfId="5442" xr:uid="{00000000-0005-0000-0000-00000B090000}"/>
    <cellStyle name="Calculation 2 12 3 5 5 2" xfId="5468" xr:uid="{00000000-0005-0000-0000-00000C090000}"/>
    <cellStyle name="Calculation 2 12 3 5 5 3" xfId="5471" xr:uid="{00000000-0005-0000-0000-00000D090000}"/>
    <cellStyle name="Calculation 2 12 3 5 6" xfId="5446" xr:uid="{00000000-0005-0000-0000-00000E090000}"/>
    <cellStyle name="Calculation 2 12 3 5 7" xfId="4037" xr:uid="{00000000-0005-0000-0000-00000F090000}"/>
    <cellStyle name="Calculation 2 12 3 6" xfId="5473" xr:uid="{00000000-0005-0000-0000-000010090000}"/>
    <cellStyle name="Calculation 2 12 3 6 2" xfId="5474" xr:uid="{00000000-0005-0000-0000-000011090000}"/>
    <cellStyle name="Calculation 2 12 3 6 2 2" xfId="5475" xr:uid="{00000000-0005-0000-0000-000012090000}"/>
    <cellStyle name="Calculation 2 12 3 6 2 3" xfId="5477" xr:uid="{00000000-0005-0000-0000-000013090000}"/>
    <cellStyle name="Calculation 2 12 3 6 2 4" xfId="4102" xr:uid="{00000000-0005-0000-0000-000014090000}"/>
    <cellStyle name="Calculation 2 12 3 6 3" xfId="5479" xr:uid="{00000000-0005-0000-0000-000015090000}"/>
    <cellStyle name="Calculation 2 12 3 6 3 2" xfId="5480" xr:uid="{00000000-0005-0000-0000-000016090000}"/>
    <cellStyle name="Calculation 2 12 3 6 3 3" xfId="5482" xr:uid="{00000000-0005-0000-0000-000017090000}"/>
    <cellStyle name="Calculation 2 12 3 6 3 4" xfId="4117" xr:uid="{00000000-0005-0000-0000-000018090000}"/>
    <cellStyle name="Calculation 2 12 3 6 4" xfId="5484" xr:uid="{00000000-0005-0000-0000-000019090000}"/>
    <cellStyle name="Calculation 2 12 3 6 4 2" xfId="689" xr:uid="{00000000-0005-0000-0000-00001A090000}"/>
    <cellStyle name="Calculation 2 12 3 6 4 3" xfId="693" xr:uid="{00000000-0005-0000-0000-00001B090000}"/>
    <cellStyle name="Calculation 2 12 3 6 5" xfId="5448" xr:uid="{00000000-0005-0000-0000-00001C090000}"/>
    <cellStyle name="Calculation 2 12 3 6 5 2" xfId="5485" xr:uid="{00000000-0005-0000-0000-00001D090000}"/>
    <cellStyle name="Calculation 2 12 3 6 5 3" xfId="1867" xr:uid="{00000000-0005-0000-0000-00001E090000}"/>
    <cellStyle name="Calculation 2 12 3 6 6" xfId="5452" xr:uid="{00000000-0005-0000-0000-00001F090000}"/>
    <cellStyle name="Calculation 2 12 3 6 7" xfId="5487" xr:uid="{00000000-0005-0000-0000-000020090000}"/>
    <cellStyle name="Calculation 2 12 3 7" xfId="5489" xr:uid="{00000000-0005-0000-0000-000021090000}"/>
    <cellStyle name="Calculation 2 12 3 7 2" xfId="5493" xr:uid="{00000000-0005-0000-0000-000022090000}"/>
    <cellStyle name="Calculation 2 12 3 7 2 2" xfId="3999" xr:uid="{00000000-0005-0000-0000-000023090000}"/>
    <cellStyle name="Calculation 2 12 3 7 2 3" xfId="5496" xr:uid="{00000000-0005-0000-0000-000024090000}"/>
    <cellStyle name="Calculation 2 12 3 7 2 4" xfId="5499" xr:uid="{00000000-0005-0000-0000-000025090000}"/>
    <cellStyle name="Calculation 2 12 3 7 3" xfId="5502" xr:uid="{00000000-0005-0000-0000-000026090000}"/>
    <cellStyle name="Calculation 2 12 3 7 3 2" xfId="5504" xr:uid="{00000000-0005-0000-0000-000027090000}"/>
    <cellStyle name="Calculation 2 12 3 7 3 3" xfId="5506" xr:uid="{00000000-0005-0000-0000-000028090000}"/>
    <cellStyle name="Calculation 2 12 3 7 3 4" xfId="5509" xr:uid="{00000000-0005-0000-0000-000029090000}"/>
    <cellStyle name="Calculation 2 12 3 7 4" xfId="5514" xr:uid="{00000000-0005-0000-0000-00002A090000}"/>
    <cellStyle name="Calculation 2 12 3 7 4 2" xfId="5517" xr:uid="{00000000-0005-0000-0000-00002B090000}"/>
    <cellStyle name="Calculation 2 12 3 7 4 3" xfId="5520" xr:uid="{00000000-0005-0000-0000-00002C090000}"/>
    <cellStyle name="Calculation 2 12 3 7 5" xfId="5525" xr:uid="{00000000-0005-0000-0000-00002D090000}"/>
    <cellStyle name="Calculation 2 12 3 7 5 2" xfId="5527" xr:uid="{00000000-0005-0000-0000-00002E090000}"/>
    <cellStyle name="Calculation 2 12 3 7 5 3" xfId="5531" xr:uid="{00000000-0005-0000-0000-00002F090000}"/>
    <cellStyle name="Calculation 2 12 3 7 6" xfId="5536" xr:uid="{00000000-0005-0000-0000-000030090000}"/>
    <cellStyle name="Calculation 2 12 3 7 7" xfId="5538" xr:uid="{00000000-0005-0000-0000-000031090000}"/>
    <cellStyle name="Calculation 2 12 3 8" xfId="5539" xr:uid="{00000000-0005-0000-0000-000032090000}"/>
    <cellStyle name="Calculation 2 12 3 8 2" xfId="5542" xr:uid="{00000000-0005-0000-0000-000033090000}"/>
    <cellStyle name="Calculation 2 12 3 8 2 2" xfId="4847" xr:uid="{00000000-0005-0000-0000-000034090000}"/>
    <cellStyle name="Calculation 2 12 3 8 2 3" xfId="744" xr:uid="{00000000-0005-0000-0000-000035090000}"/>
    <cellStyle name="Calculation 2 12 3 8 2 4" xfId="813" xr:uid="{00000000-0005-0000-0000-000036090000}"/>
    <cellStyle name="Calculation 2 12 3 8 3" xfId="5544" xr:uid="{00000000-0005-0000-0000-000037090000}"/>
    <cellStyle name="Calculation 2 12 3 8 3 2" xfId="5546" xr:uid="{00000000-0005-0000-0000-000038090000}"/>
    <cellStyle name="Calculation 2 12 3 8 3 3" xfId="838" xr:uid="{00000000-0005-0000-0000-000039090000}"/>
    <cellStyle name="Calculation 2 12 3 8 3 4" xfId="984" xr:uid="{00000000-0005-0000-0000-00003A090000}"/>
    <cellStyle name="Calculation 2 12 3 8 4" xfId="5551" xr:uid="{00000000-0005-0000-0000-00003B090000}"/>
    <cellStyle name="Calculation 2 12 3 8 4 2" xfId="5554" xr:uid="{00000000-0005-0000-0000-00003C090000}"/>
    <cellStyle name="Calculation 2 12 3 8 4 3" xfId="1100" xr:uid="{00000000-0005-0000-0000-00003D090000}"/>
    <cellStyle name="Calculation 2 12 3 8 5" xfId="5559" xr:uid="{00000000-0005-0000-0000-00003E090000}"/>
    <cellStyle name="Calculation 2 12 3 8 5 2" xfId="5561" xr:uid="{00000000-0005-0000-0000-00003F090000}"/>
    <cellStyle name="Calculation 2 12 3 8 5 3" xfId="1895" xr:uid="{00000000-0005-0000-0000-000040090000}"/>
    <cellStyle name="Calculation 2 12 3 8 6" xfId="5565" xr:uid="{00000000-0005-0000-0000-000041090000}"/>
    <cellStyle name="Calculation 2 12 3 8 7" xfId="5568" xr:uid="{00000000-0005-0000-0000-000042090000}"/>
    <cellStyle name="Calculation 2 12 3 9" xfId="5570" xr:uid="{00000000-0005-0000-0000-000043090000}"/>
    <cellStyle name="Calculation 2 12 3 9 2" xfId="5575" xr:uid="{00000000-0005-0000-0000-000044090000}"/>
    <cellStyle name="Calculation 2 12 3 9 2 2" xfId="2875" xr:uid="{00000000-0005-0000-0000-000045090000}"/>
    <cellStyle name="Calculation 2 12 3 9 2 3" xfId="2885" xr:uid="{00000000-0005-0000-0000-000046090000}"/>
    <cellStyle name="Calculation 2 12 3 9 2 4" xfId="2889" xr:uid="{00000000-0005-0000-0000-000047090000}"/>
    <cellStyle name="Calculation 2 12 3 9 3" xfId="5579" xr:uid="{00000000-0005-0000-0000-000048090000}"/>
    <cellStyle name="Calculation 2 12 3 9 3 2" xfId="2920" xr:uid="{00000000-0005-0000-0000-000049090000}"/>
    <cellStyle name="Calculation 2 12 3 9 3 3" xfId="2926" xr:uid="{00000000-0005-0000-0000-00004A090000}"/>
    <cellStyle name="Calculation 2 12 3 9 3 4" xfId="2929" xr:uid="{00000000-0005-0000-0000-00004B090000}"/>
    <cellStyle name="Calculation 2 12 3 9 4" xfId="2163" xr:uid="{00000000-0005-0000-0000-00004C090000}"/>
    <cellStyle name="Calculation 2 12 3 9 4 2" xfId="2171" xr:uid="{00000000-0005-0000-0000-00004D090000}"/>
    <cellStyle name="Calculation 2 12 3 9 4 3" xfId="2964" xr:uid="{00000000-0005-0000-0000-00004E090000}"/>
    <cellStyle name="Calculation 2 12 3 9 5" xfId="5582" xr:uid="{00000000-0005-0000-0000-00004F090000}"/>
    <cellStyle name="Calculation 2 12 3 9 5 2" xfId="5584" xr:uid="{00000000-0005-0000-0000-000050090000}"/>
    <cellStyle name="Calculation 2 12 3 9 5 3" xfId="118" xr:uid="{00000000-0005-0000-0000-000051090000}"/>
    <cellStyle name="Calculation 2 12 3 9 6" xfId="5587" xr:uid="{00000000-0005-0000-0000-000052090000}"/>
    <cellStyle name="Calculation 2 12 3 9 7" xfId="5590" xr:uid="{00000000-0005-0000-0000-000053090000}"/>
    <cellStyle name="Calculation 2 12 4" xfId="5592" xr:uid="{00000000-0005-0000-0000-000054090000}"/>
    <cellStyle name="Calculation 2 12 4 2" xfId="5593" xr:uid="{00000000-0005-0000-0000-000055090000}"/>
    <cellStyle name="Calculation 2 12 4 2 2" xfId="3123" xr:uid="{00000000-0005-0000-0000-000056090000}"/>
    <cellStyle name="Calculation 2 12 4 2 3" xfId="5595" xr:uid="{00000000-0005-0000-0000-000057090000}"/>
    <cellStyle name="Calculation 2 12 4 2 4" xfId="5596" xr:uid="{00000000-0005-0000-0000-000058090000}"/>
    <cellStyle name="Calculation 2 12 4 3" xfId="5597" xr:uid="{00000000-0005-0000-0000-000059090000}"/>
    <cellStyle name="Calculation 2 12 4 3 2" xfId="3127" xr:uid="{00000000-0005-0000-0000-00005A090000}"/>
    <cellStyle name="Calculation 2 12 4 3 3" xfId="5599" xr:uid="{00000000-0005-0000-0000-00005B090000}"/>
    <cellStyle name="Calculation 2 12 4 3 4" xfId="5600" xr:uid="{00000000-0005-0000-0000-00005C090000}"/>
    <cellStyle name="Calculation 2 12 4 4" xfId="1757" xr:uid="{00000000-0005-0000-0000-00005D090000}"/>
    <cellStyle name="Calculation 2 12 4 4 2" xfId="5601" xr:uid="{00000000-0005-0000-0000-00005E090000}"/>
    <cellStyle name="Calculation 2 12 4 4 3" xfId="5602" xr:uid="{00000000-0005-0000-0000-00005F090000}"/>
    <cellStyle name="Calculation 2 12 4 5" xfId="5603" xr:uid="{00000000-0005-0000-0000-000060090000}"/>
    <cellStyle name="Calculation 2 12 4 5 2" xfId="5604" xr:uid="{00000000-0005-0000-0000-000061090000}"/>
    <cellStyle name="Calculation 2 12 4 5 3" xfId="143" xr:uid="{00000000-0005-0000-0000-000062090000}"/>
    <cellStyle name="Calculation 2 12 4 6" xfId="5605" xr:uid="{00000000-0005-0000-0000-000063090000}"/>
    <cellStyle name="Calculation 2 12 4 7" xfId="5609" xr:uid="{00000000-0005-0000-0000-000064090000}"/>
    <cellStyle name="Calculation 2 12 5" xfId="5612" xr:uid="{00000000-0005-0000-0000-000065090000}"/>
    <cellStyle name="Calculation 2 12 5 2" xfId="5613" xr:uid="{00000000-0005-0000-0000-000066090000}"/>
    <cellStyle name="Calculation 2 12 5 2 2" xfId="3151" xr:uid="{00000000-0005-0000-0000-000067090000}"/>
    <cellStyle name="Calculation 2 12 5 2 3" xfId="5616" xr:uid="{00000000-0005-0000-0000-000068090000}"/>
    <cellStyle name="Calculation 2 12 5 2 4" xfId="5617" xr:uid="{00000000-0005-0000-0000-000069090000}"/>
    <cellStyle name="Calculation 2 12 5 3" xfId="5618" xr:uid="{00000000-0005-0000-0000-00006A090000}"/>
    <cellStyle name="Calculation 2 12 5 3 2" xfId="3157" xr:uid="{00000000-0005-0000-0000-00006B090000}"/>
    <cellStyle name="Calculation 2 12 5 3 3" xfId="5621" xr:uid="{00000000-0005-0000-0000-00006C090000}"/>
    <cellStyle name="Calculation 2 12 5 3 4" xfId="2507" xr:uid="{00000000-0005-0000-0000-00006D090000}"/>
    <cellStyle name="Calculation 2 12 5 4" xfId="5622" xr:uid="{00000000-0005-0000-0000-00006E090000}"/>
    <cellStyle name="Calculation 2 12 5 4 2" xfId="5623" xr:uid="{00000000-0005-0000-0000-00006F090000}"/>
    <cellStyle name="Calculation 2 12 5 4 3" xfId="5624" xr:uid="{00000000-0005-0000-0000-000070090000}"/>
    <cellStyle name="Calculation 2 12 5 5" xfId="5625" xr:uid="{00000000-0005-0000-0000-000071090000}"/>
    <cellStyle name="Calculation 2 12 5 5 2" xfId="433" xr:uid="{00000000-0005-0000-0000-000072090000}"/>
    <cellStyle name="Calculation 2 12 5 5 3" xfId="675" xr:uid="{00000000-0005-0000-0000-000073090000}"/>
    <cellStyle name="Calculation 2 12 5 6" xfId="199" xr:uid="{00000000-0005-0000-0000-000074090000}"/>
    <cellStyle name="Calculation 2 12 5 7" xfId="5628" xr:uid="{00000000-0005-0000-0000-000075090000}"/>
    <cellStyle name="Calculation 2 12 6" xfId="5630" xr:uid="{00000000-0005-0000-0000-000076090000}"/>
    <cellStyle name="Calculation 2 12 6 2" xfId="2322" xr:uid="{00000000-0005-0000-0000-000077090000}"/>
    <cellStyle name="Calculation 2 12 6 2 2" xfId="3185" xr:uid="{00000000-0005-0000-0000-000078090000}"/>
    <cellStyle name="Calculation 2 12 6 2 3" xfId="3973" xr:uid="{00000000-0005-0000-0000-000079090000}"/>
    <cellStyle name="Calculation 2 12 6 2 4" xfId="3976" xr:uid="{00000000-0005-0000-0000-00007A090000}"/>
    <cellStyle name="Calculation 2 12 6 3" xfId="5632" xr:uid="{00000000-0005-0000-0000-00007B090000}"/>
    <cellStyle name="Calculation 2 12 6 3 2" xfId="3201" xr:uid="{00000000-0005-0000-0000-00007C090000}"/>
    <cellStyle name="Calculation 2 12 6 3 3" xfId="3989" xr:uid="{00000000-0005-0000-0000-00007D090000}"/>
    <cellStyle name="Calculation 2 12 6 3 4" xfId="3995" xr:uid="{00000000-0005-0000-0000-00007E090000}"/>
    <cellStyle name="Calculation 2 12 6 4" xfId="5636" xr:uid="{00000000-0005-0000-0000-00007F090000}"/>
    <cellStyle name="Calculation 2 12 6 4 2" xfId="5637" xr:uid="{00000000-0005-0000-0000-000080090000}"/>
    <cellStyle name="Calculation 2 12 6 4 3" xfId="5638" xr:uid="{00000000-0005-0000-0000-000081090000}"/>
    <cellStyle name="Calculation 2 12 6 5" xfId="5639" xr:uid="{00000000-0005-0000-0000-000082090000}"/>
    <cellStyle name="Calculation 2 12 6 5 2" xfId="5640" xr:uid="{00000000-0005-0000-0000-000083090000}"/>
    <cellStyle name="Calculation 2 12 6 5 3" xfId="5641" xr:uid="{00000000-0005-0000-0000-000084090000}"/>
    <cellStyle name="Calculation 2 12 6 6" xfId="5642" xr:uid="{00000000-0005-0000-0000-000085090000}"/>
    <cellStyle name="Calculation 2 12 6 7" xfId="5645" xr:uid="{00000000-0005-0000-0000-000086090000}"/>
    <cellStyle name="Calculation 2 12 7" xfId="5647" xr:uid="{00000000-0005-0000-0000-000087090000}"/>
    <cellStyle name="Calculation 2 12 7 2" xfId="3055" xr:uid="{00000000-0005-0000-0000-000088090000}"/>
    <cellStyle name="Calculation 2 12 7 2 2" xfId="3064" xr:uid="{00000000-0005-0000-0000-000089090000}"/>
    <cellStyle name="Calculation 2 12 7 2 3" xfId="2276" xr:uid="{00000000-0005-0000-0000-00008A090000}"/>
    <cellStyle name="Calculation 2 12 7 2 4" xfId="4538" xr:uid="{00000000-0005-0000-0000-00008B090000}"/>
    <cellStyle name="Calculation 2 12 7 3" xfId="3068" xr:uid="{00000000-0005-0000-0000-00008C090000}"/>
    <cellStyle name="Calculation 2 12 7 3 2" xfId="2673" xr:uid="{00000000-0005-0000-0000-00008D090000}"/>
    <cellStyle name="Calculation 2 12 7 3 3" xfId="2678" xr:uid="{00000000-0005-0000-0000-00008E090000}"/>
    <cellStyle name="Calculation 2 12 7 3 4" xfId="60" xr:uid="{00000000-0005-0000-0000-00008F090000}"/>
    <cellStyle name="Calculation 2 12 7 4" xfId="3072" xr:uid="{00000000-0005-0000-0000-000090090000}"/>
    <cellStyle name="Calculation 2 12 7 4 2" xfId="5648" xr:uid="{00000000-0005-0000-0000-000091090000}"/>
    <cellStyle name="Calculation 2 12 7 4 3" xfId="2288" xr:uid="{00000000-0005-0000-0000-000092090000}"/>
    <cellStyle name="Calculation 2 12 7 5" xfId="3076" xr:uid="{00000000-0005-0000-0000-000093090000}"/>
    <cellStyle name="Calculation 2 12 7 5 2" xfId="5649" xr:uid="{00000000-0005-0000-0000-000094090000}"/>
    <cellStyle name="Calculation 2 12 7 5 3" xfId="5650" xr:uid="{00000000-0005-0000-0000-000095090000}"/>
    <cellStyle name="Calculation 2 12 7 6" xfId="1" xr:uid="{00000000-0005-0000-0000-000096090000}"/>
    <cellStyle name="Calculation 2 12 7 7" xfId="5652" xr:uid="{00000000-0005-0000-0000-000097090000}"/>
    <cellStyle name="Calculation 2 12 8" xfId="3232" xr:uid="{00000000-0005-0000-0000-000098090000}"/>
    <cellStyle name="Calculation 2 12 8 2" xfId="3092" xr:uid="{00000000-0005-0000-0000-000099090000}"/>
    <cellStyle name="Calculation 2 12 8 2 2" xfId="2891" xr:uid="{00000000-0005-0000-0000-00009A090000}"/>
    <cellStyle name="Calculation 2 12 8 2 3" xfId="2930" xr:uid="{00000000-0005-0000-0000-00009B090000}"/>
    <cellStyle name="Calculation 2 12 8 2 4" xfId="2970" xr:uid="{00000000-0005-0000-0000-00009C090000}"/>
    <cellStyle name="Calculation 2 12 8 3" xfId="2835" xr:uid="{00000000-0005-0000-0000-00009D090000}"/>
    <cellStyle name="Calculation 2 12 8 3 2" xfId="1188" xr:uid="{00000000-0005-0000-0000-00009E090000}"/>
    <cellStyle name="Calculation 2 12 8 3 3" xfId="2848" xr:uid="{00000000-0005-0000-0000-00009F090000}"/>
    <cellStyle name="Calculation 2 12 8 3 4" xfId="2865" xr:uid="{00000000-0005-0000-0000-0000A0090000}"/>
    <cellStyle name="Calculation 2 12 8 4" xfId="2894" xr:uid="{00000000-0005-0000-0000-0000A1090000}"/>
    <cellStyle name="Calculation 2 12 8 4 2" xfId="2896" xr:uid="{00000000-0005-0000-0000-0000A2090000}"/>
    <cellStyle name="Calculation 2 12 8 4 3" xfId="2908" xr:uid="{00000000-0005-0000-0000-0000A3090000}"/>
    <cellStyle name="Calculation 2 12 8 5" xfId="2934" xr:uid="{00000000-0005-0000-0000-0000A4090000}"/>
    <cellStyle name="Calculation 2 12 8 5 2" xfId="2936" xr:uid="{00000000-0005-0000-0000-0000A5090000}"/>
    <cellStyle name="Calculation 2 12 8 5 3" xfId="2093" xr:uid="{00000000-0005-0000-0000-0000A6090000}"/>
    <cellStyle name="Calculation 2 12 8 6" xfId="2973" xr:uid="{00000000-0005-0000-0000-0000A7090000}"/>
    <cellStyle name="Calculation 2 12 8 7" xfId="2981" xr:uid="{00000000-0005-0000-0000-0000A8090000}"/>
    <cellStyle name="Calculation 2 12 9" xfId="2711" xr:uid="{00000000-0005-0000-0000-0000A9090000}"/>
    <cellStyle name="Calculation 2 12 9 2" xfId="894" xr:uid="{00000000-0005-0000-0000-0000AA090000}"/>
    <cellStyle name="Calculation 2 12 9 2 2" xfId="3283" xr:uid="{00000000-0005-0000-0000-0000AB090000}"/>
    <cellStyle name="Calculation 2 12 9 2 3" xfId="5658" xr:uid="{00000000-0005-0000-0000-0000AC090000}"/>
    <cellStyle name="Calculation 2 12 9 2 4" xfId="5663" xr:uid="{00000000-0005-0000-0000-0000AD090000}"/>
    <cellStyle name="Calculation 2 12 9 3" xfId="900" xr:uid="{00000000-0005-0000-0000-0000AE090000}"/>
    <cellStyle name="Calculation 2 12 9 3 2" xfId="3302" xr:uid="{00000000-0005-0000-0000-0000AF090000}"/>
    <cellStyle name="Calculation 2 12 9 3 3" xfId="5668" xr:uid="{00000000-0005-0000-0000-0000B0090000}"/>
    <cellStyle name="Calculation 2 12 9 3 4" xfId="5673" xr:uid="{00000000-0005-0000-0000-0000B1090000}"/>
    <cellStyle name="Calculation 2 12 9 4" xfId="1190" xr:uid="{00000000-0005-0000-0000-0000B2090000}"/>
    <cellStyle name="Calculation 2 12 9 4 2" xfId="2838" xr:uid="{00000000-0005-0000-0000-0000B3090000}"/>
    <cellStyle name="Calculation 2 12 9 4 3" xfId="2844" xr:uid="{00000000-0005-0000-0000-0000B4090000}"/>
    <cellStyle name="Calculation 2 12 9 5" xfId="2852" xr:uid="{00000000-0005-0000-0000-0000B5090000}"/>
    <cellStyle name="Calculation 2 12 9 5 2" xfId="2856" xr:uid="{00000000-0005-0000-0000-0000B6090000}"/>
    <cellStyle name="Calculation 2 12 9 5 3" xfId="2861" xr:uid="{00000000-0005-0000-0000-0000B7090000}"/>
    <cellStyle name="Calculation 2 12 9 6" xfId="2868" xr:uid="{00000000-0005-0000-0000-0000B8090000}"/>
    <cellStyle name="Calculation 2 12 9 7" xfId="2878" xr:uid="{00000000-0005-0000-0000-0000B9090000}"/>
    <cellStyle name="Calculation 2 13" xfId="724" xr:uid="{00000000-0005-0000-0000-0000BA090000}"/>
    <cellStyle name="Calculation 2 13 10" xfId="5165" xr:uid="{00000000-0005-0000-0000-0000BB090000}"/>
    <cellStyle name="Calculation 2 13 10 2" xfId="4389" xr:uid="{00000000-0005-0000-0000-0000BC090000}"/>
    <cellStyle name="Calculation 2 13 10 2 2" xfId="4395" xr:uid="{00000000-0005-0000-0000-0000BD090000}"/>
    <cellStyle name="Calculation 2 13 10 2 3" xfId="4401" xr:uid="{00000000-0005-0000-0000-0000BE090000}"/>
    <cellStyle name="Calculation 2 13 10 2 4" xfId="5674" xr:uid="{00000000-0005-0000-0000-0000BF090000}"/>
    <cellStyle name="Calculation 2 13 10 3" xfId="4406" xr:uid="{00000000-0005-0000-0000-0000C0090000}"/>
    <cellStyle name="Calculation 2 13 10 3 2" xfId="4053" xr:uid="{00000000-0005-0000-0000-0000C1090000}"/>
    <cellStyle name="Calculation 2 13 10 3 3" xfId="5676" xr:uid="{00000000-0005-0000-0000-0000C2090000}"/>
    <cellStyle name="Calculation 2 13 10 3 4" xfId="5679" xr:uid="{00000000-0005-0000-0000-0000C3090000}"/>
    <cellStyle name="Calculation 2 13 10 4" xfId="1033" xr:uid="{00000000-0005-0000-0000-0000C4090000}"/>
    <cellStyle name="Calculation 2 13 10 4 2" xfId="1121" xr:uid="{00000000-0005-0000-0000-0000C5090000}"/>
    <cellStyle name="Calculation 2 13 10 4 3" xfId="5680" xr:uid="{00000000-0005-0000-0000-0000C6090000}"/>
    <cellStyle name="Calculation 2 13 10 5" xfId="5683" xr:uid="{00000000-0005-0000-0000-0000C7090000}"/>
    <cellStyle name="Calculation 2 13 10 5 2" xfId="5686" xr:uid="{00000000-0005-0000-0000-0000C8090000}"/>
    <cellStyle name="Calculation 2 13 10 5 3" xfId="5688" xr:uid="{00000000-0005-0000-0000-0000C9090000}"/>
    <cellStyle name="Calculation 2 13 10 6" xfId="5690" xr:uid="{00000000-0005-0000-0000-0000CA090000}"/>
    <cellStyle name="Calculation 2 13 10 7" xfId="5694" xr:uid="{00000000-0005-0000-0000-0000CB090000}"/>
    <cellStyle name="Calculation 2 13 11" xfId="5173" xr:uid="{00000000-0005-0000-0000-0000CC090000}"/>
    <cellStyle name="Calculation 2 13 11 2" xfId="4424" xr:uid="{00000000-0005-0000-0000-0000CD090000}"/>
    <cellStyle name="Calculation 2 13 11 2 2" xfId="4429" xr:uid="{00000000-0005-0000-0000-0000CE090000}"/>
    <cellStyle name="Calculation 2 13 11 2 3" xfId="4435" xr:uid="{00000000-0005-0000-0000-0000CF090000}"/>
    <cellStyle name="Calculation 2 13 11 2 4" xfId="4925" xr:uid="{00000000-0005-0000-0000-0000D0090000}"/>
    <cellStyle name="Calculation 2 13 11 3" xfId="4444" xr:uid="{00000000-0005-0000-0000-0000D1090000}"/>
    <cellStyle name="Calculation 2 13 11 3 2" xfId="4091" xr:uid="{00000000-0005-0000-0000-0000D2090000}"/>
    <cellStyle name="Calculation 2 13 11 3 3" xfId="4963" xr:uid="{00000000-0005-0000-0000-0000D3090000}"/>
    <cellStyle name="Calculation 2 13 11 3 4" xfId="4988" xr:uid="{00000000-0005-0000-0000-0000D4090000}"/>
    <cellStyle name="Calculation 2 13 11 4" xfId="4448" xr:uid="{00000000-0005-0000-0000-0000D5090000}"/>
    <cellStyle name="Calculation 2 13 11 4 2" xfId="4109" xr:uid="{00000000-0005-0000-0000-0000D6090000}"/>
    <cellStyle name="Calculation 2 13 11 4 3" xfId="5017" xr:uid="{00000000-0005-0000-0000-0000D7090000}"/>
    <cellStyle name="Calculation 2 13 11 5" xfId="5698" xr:uid="{00000000-0005-0000-0000-0000D8090000}"/>
    <cellStyle name="Calculation 2 13 11 5 2" xfId="5701" xr:uid="{00000000-0005-0000-0000-0000D9090000}"/>
    <cellStyle name="Calculation 2 13 11 5 3" xfId="5030" xr:uid="{00000000-0005-0000-0000-0000DA090000}"/>
    <cellStyle name="Calculation 2 13 11 6" xfId="5703" xr:uid="{00000000-0005-0000-0000-0000DB090000}"/>
    <cellStyle name="Calculation 2 13 11 7" xfId="5707" xr:uid="{00000000-0005-0000-0000-0000DC090000}"/>
    <cellStyle name="Calculation 2 13 12" xfId="5180" xr:uid="{00000000-0005-0000-0000-0000DD090000}"/>
    <cellStyle name="Calculation 2 13 12 2" xfId="4459" xr:uid="{00000000-0005-0000-0000-0000DE090000}"/>
    <cellStyle name="Calculation 2 13 12 2 2" xfId="4463" xr:uid="{00000000-0005-0000-0000-0000DF090000}"/>
    <cellStyle name="Calculation 2 13 12 2 3" xfId="4240" xr:uid="{00000000-0005-0000-0000-0000E0090000}"/>
    <cellStyle name="Calculation 2 13 12 2 4" xfId="4244" xr:uid="{00000000-0005-0000-0000-0000E1090000}"/>
    <cellStyle name="Calculation 2 13 12 3" xfId="4467" xr:uid="{00000000-0005-0000-0000-0000E2090000}"/>
    <cellStyle name="Calculation 2 13 12 3 2" xfId="5711" xr:uid="{00000000-0005-0000-0000-0000E3090000}"/>
    <cellStyle name="Calculation 2 13 12 3 3" xfId="5714" xr:uid="{00000000-0005-0000-0000-0000E4090000}"/>
    <cellStyle name="Calculation 2 13 12 3 4" xfId="5716" xr:uid="{00000000-0005-0000-0000-0000E5090000}"/>
    <cellStyle name="Calculation 2 13 12 4" xfId="4471" xr:uid="{00000000-0005-0000-0000-0000E6090000}"/>
    <cellStyle name="Calculation 2 13 12 4 2" xfId="5718" xr:uid="{00000000-0005-0000-0000-0000E7090000}"/>
    <cellStyle name="Calculation 2 13 12 4 3" xfId="5720" xr:uid="{00000000-0005-0000-0000-0000E8090000}"/>
    <cellStyle name="Calculation 2 13 12 5" xfId="5722" xr:uid="{00000000-0005-0000-0000-0000E9090000}"/>
    <cellStyle name="Calculation 2 13 12 5 2" xfId="5725" xr:uid="{00000000-0005-0000-0000-0000EA090000}"/>
    <cellStyle name="Calculation 2 13 12 5 3" xfId="5727" xr:uid="{00000000-0005-0000-0000-0000EB090000}"/>
    <cellStyle name="Calculation 2 13 12 6" xfId="5729" xr:uid="{00000000-0005-0000-0000-0000EC090000}"/>
    <cellStyle name="Calculation 2 13 12 7" xfId="5731" xr:uid="{00000000-0005-0000-0000-0000ED090000}"/>
    <cellStyle name="Calculation 2 13 13" xfId="5733" xr:uid="{00000000-0005-0000-0000-0000EE090000}"/>
    <cellStyle name="Calculation 2 13 13 2" xfId="1945" xr:uid="{00000000-0005-0000-0000-0000EF090000}"/>
    <cellStyle name="Calculation 2 13 13 3" xfId="1950" xr:uid="{00000000-0005-0000-0000-0000F0090000}"/>
    <cellStyle name="Calculation 2 13 13 4" xfId="1375" xr:uid="{00000000-0005-0000-0000-0000F1090000}"/>
    <cellStyle name="Calculation 2 13 14" xfId="5736" xr:uid="{00000000-0005-0000-0000-0000F2090000}"/>
    <cellStyle name="Calculation 2 13 14 2" xfId="5738" xr:uid="{00000000-0005-0000-0000-0000F3090000}"/>
    <cellStyle name="Calculation 2 13 14 3" xfId="5740" xr:uid="{00000000-0005-0000-0000-0000F4090000}"/>
    <cellStyle name="Calculation 2 13 14 4" xfId="1735" xr:uid="{00000000-0005-0000-0000-0000F5090000}"/>
    <cellStyle name="Calculation 2 13 15" xfId="5742" xr:uid="{00000000-0005-0000-0000-0000F6090000}"/>
    <cellStyle name="Calculation 2 13 15 2" xfId="1964" xr:uid="{00000000-0005-0000-0000-0000F7090000}"/>
    <cellStyle name="Calculation 2 13 15 3" xfId="1967" xr:uid="{00000000-0005-0000-0000-0000F8090000}"/>
    <cellStyle name="Calculation 2 13 16" xfId="5743" xr:uid="{00000000-0005-0000-0000-0000F9090000}"/>
    <cellStyle name="Calculation 2 13 16 2" xfId="5744" xr:uid="{00000000-0005-0000-0000-0000FA090000}"/>
    <cellStyle name="Calculation 2 13 16 3" xfId="5745" xr:uid="{00000000-0005-0000-0000-0000FB090000}"/>
    <cellStyle name="Calculation 2 13 17" xfId="5746" xr:uid="{00000000-0005-0000-0000-0000FC090000}"/>
    <cellStyle name="Calculation 2 13 18" xfId="641" xr:uid="{00000000-0005-0000-0000-0000FD090000}"/>
    <cellStyle name="Calculation 2 13 19" xfId="1582" xr:uid="{00000000-0005-0000-0000-0000FE090000}"/>
    <cellStyle name="Calculation 2 13 2" xfId="729" xr:uid="{00000000-0005-0000-0000-0000FF090000}"/>
    <cellStyle name="Calculation 2 13 2 10" xfId="5748" xr:uid="{00000000-0005-0000-0000-0000000A0000}"/>
    <cellStyle name="Calculation 2 13 2 10 2" xfId="5751" xr:uid="{00000000-0005-0000-0000-0000010A0000}"/>
    <cellStyle name="Calculation 2 13 2 10 2 2" xfId="4713" xr:uid="{00000000-0005-0000-0000-0000020A0000}"/>
    <cellStyle name="Calculation 2 13 2 10 2 3" xfId="5754" xr:uid="{00000000-0005-0000-0000-0000030A0000}"/>
    <cellStyle name="Calculation 2 13 2 10 2 4" xfId="5755" xr:uid="{00000000-0005-0000-0000-0000040A0000}"/>
    <cellStyle name="Calculation 2 13 2 10 3" xfId="5756" xr:uid="{00000000-0005-0000-0000-0000050A0000}"/>
    <cellStyle name="Calculation 2 13 2 10 3 2" xfId="4718" xr:uid="{00000000-0005-0000-0000-0000060A0000}"/>
    <cellStyle name="Calculation 2 13 2 10 3 3" xfId="5759" xr:uid="{00000000-0005-0000-0000-0000070A0000}"/>
    <cellStyle name="Calculation 2 13 2 10 3 4" xfId="5760" xr:uid="{00000000-0005-0000-0000-0000080A0000}"/>
    <cellStyle name="Calculation 2 13 2 10 4" xfId="5761" xr:uid="{00000000-0005-0000-0000-0000090A0000}"/>
    <cellStyle name="Calculation 2 13 2 10 4 2" xfId="5763" xr:uid="{00000000-0005-0000-0000-00000A0A0000}"/>
    <cellStyle name="Calculation 2 13 2 10 4 3" xfId="5765" xr:uid="{00000000-0005-0000-0000-00000B0A0000}"/>
    <cellStyle name="Calculation 2 13 2 10 5" xfId="946" xr:uid="{00000000-0005-0000-0000-00000C0A0000}"/>
    <cellStyle name="Calculation 2 13 2 10 5 2" xfId="949" xr:uid="{00000000-0005-0000-0000-00000D0A0000}"/>
    <cellStyle name="Calculation 2 13 2 10 5 3" xfId="1367" xr:uid="{00000000-0005-0000-0000-00000E0A0000}"/>
    <cellStyle name="Calculation 2 13 2 10 6" xfId="956" xr:uid="{00000000-0005-0000-0000-00000F0A0000}"/>
    <cellStyle name="Calculation 2 13 2 10 7" xfId="4367" xr:uid="{00000000-0005-0000-0000-0000100A0000}"/>
    <cellStyle name="Calculation 2 13 2 11" xfId="5766" xr:uid="{00000000-0005-0000-0000-0000110A0000}"/>
    <cellStyle name="Calculation 2 13 2 11 2" xfId="5769" xr:uid="{00000000-0005-0000-0000-0000120A0000}"/>
    <cellStyle name="Calculation 2 13 2 11 3" xfId="5771" xr:uid="{00000000-0005-0000-0000-0000130A0000}"/>
    <cellStyle name="Calculation 2 13 2 11 4" xfId="5773" xr:uid="{00000000-0005-0000-0000-0000140A0000}"/>
    <cellStyle name="Calculation 2 13 2 12" xfId="5775" xr:uid="{00000000-0005-0000-0000-0000150A0000}"/>
    <cellStyle name="Calculation 2 13 2 12 2" xfId="5778" xr:uid="{00000000-0005-0000-0000-0000160A0000}"/>
    <cellStyle name="Calculation 2 13 2 12 3" xfId="5780" xr:uid="{00000000-0005-0000-0000-0000170A0000}"/>
    <cellStyle name="Calculation 2 13 2 12 4" xfId="5782" xr:uid="{00000000-0005-0000-0000-0000180A0000}"/>
    <cellStyle name="Calculation 2 13 2 13" xfId="5784" xr:uid="{00000000-0005-0000-0000-0000190A0000}"/>
    <cellStyle name="Calculation 2 13 2 13 2" xfId="5787" xr:uid="{00000000-0005-0000-0000-00001A0A0000}"/>
    <cellStyle name="Calculation 2 13 2 13 3" xfId="1805" xr:uid="{00000000-0005-0000-0000-00001B0A0000}"/>
    <cellStyle name="Calculation 2 13 2 14" xfId="5791" xr:uid="{00000000-0005-0000-0000-00001C0A0000}"/>
    <cellStyle name="Calculation 2 13 2 14 2" xfId="5407" xr:uid="{00000000-0005-0000-0000-00001D0A0000}"/>
    <cellStyle name="Calculation 2 13 2 14 3" xfId="5415" xr:uid="{00000000-0005-0000-0000-00001E0A0000}"/>
    <cellStyle name="Calculation 2 13 2 15" xfId="5424" xr:uid="{00000000-0005-0000-0000-00001F0A0000}"/>
    <cellStyle name="Calculation 2 13 2 16" xfId="5428" xr:uid="{00000000-0005-0000-0000-0000200A0000}"/>
    <cellStyle name="Calculation 2 13 2 2" xfId="5244" xr:uid="{00000000-0005-0000-0000-0000210A0000}"/>
    <cellStyle name="Calculation 2 13 2 2 2" xfId="5249" xr:uid="{00000000-0005-0000-0000-0000220A0000}"/>
    <cellStyle name="Calculation 2 13 2 2 2 2" xfId="5795" xr:uid="{00000000-0005-0000-0000-0000230A0000}"/>
    <cellStyle name="Calculation 2 13 2 2 2 3" xfId="3347" xr:uid="{00000000-0005-0000-0000-0000240A0000}"/>
    <cellStyle name="Calculation 2 13 2 2 2 4" xfId="2750" xr:uid="{00000000-0005-0000-0000-0000250A0000}"/>
    <cellStyle name="Calculation 2 13 2 2 3" xfId="5254" xr:uid="{00000000-0005-0000-0000-0000260A0000}"/>
    <cellStyle name="Calculation 2 13 2 2 3 2" xfId="1139" xr:uid="{00000000-0005-0000-0000-0000270A0000}"/>
    <cellStyle name="Calculation 2 13 2 2 3 3" xfId="1151" xr:uid="{00000000-0005-0000-0000-0000280A0000}"/>
    <cellStyle name="Calculation 2 13 2 2 3 4" xfId="2768" xr:uid="{00000000-0005-0000-0000-0000290A0000}"/>
    <cellStyle name="Calculation 2 13 2 2 4" xfId="5797" xr:uid="{00000000-0005-0000-0000-00002A0A0000}"/>
    <cellStyle name="Calculation 2 13 2 2 4 2" xfId="5802" xr:uid="{00000000-0005-0000-0000-00002B0A0000}"/>
    <cellStyle name="Calculation 2 13 2 2 4 3" xfId="5807" xr:uid="{00000000-0005-0000-0000-00002C0A0000}"/>
    <cellStyle name="Calculation 2 13 2 2 5" xfId="5809" xr:uid="{00000000-0005-0000-0000-00002D0A0000}"/>
    <cellStyle name="Calculation 2 13 2 2 5 2" xfId="5069" xr:uid="{00000000-0005-0000-0000-00002E0A0000}"/>
    <cellStyle name="Calculation 2 13 2 2 5 3" xfId="5074" xr:uid="{00000000-0005-0000-0000-00002F0A0000}"/>
    <cellStyle name="Calculation 2 13 2 2 6" xfId="5811" xr:uid="{00000000-0005-0000-0000-0000300A0000}"/>
    <cellStyle name="Calculation 2 13 2 2 7" xfId="5814" xr:uid="{00000000-0005-0000-0000-0000310A0000}"/>
    <cellStyle name="Calculation 2 13 2 3" xfId="5257" xr:uid="{00000000-0005-0000-0000-0000320A0000}"/>
    <cellStyle name="Calculation 2 13 2 3 2" xfId="5261" xr:uid="{00000000-0005-0000-0000-0000330A0000}"/>
    <cellStyle name="Calculation 2 13 2 3 2 2" xfId="5817" xr:uid="{00000000-0005-0000-0000-0000340A0000}"/>
    <cellStyle name="Calculation 2 13 2 3 2 3" xfId="3747" xr:uid="{00000000-0005-0000-0000-0000350A0000}"/>
    <cellStyle name="Calculation 2 13 2 3 2 4" xfId="3758" xr:uid="{00000000-0005-0000-0000-0000360A0000}"/>
    <cellStyle name="Calculation 2 13 2 3 3" xfId="5266" xr:uid="{00000000-0005-0000-0000-0000370A0000}"/>
    <cellStyle name="Calculation 2 13 2 3 3 2" xfId="1669" xr:uid="{00000000-0005-0000-0000-0000380A0000}"/>
    <cellStyle name="Calculation 2 13 2 3 3 3" xfId="122" xr:uid="{00000000-0005-0000-0000-0000390A0000}"/>
    <cellStyle name="Calculation 2 13 2 3 3 4" xfId="3824" xr:uid="{00000000-0005-0000-0000-00003A0A0000}"/>
    <cellStyle name="Calculation 2 13 2 3 4" xfId="5820" xr:uid="{00000000-0005-0000-0000-00003B0A0000}"/>
    <cellStyle name="Calculation 2 13 2 3 4 2" xfId="174" xr:uid="{00000000-0005-0000-0000-00003C0A0000}"/>
    <cellStyle name="Calculation 2 13 2 3 4 3" xfId="5822" xr:uid="{00000000-0005-0000-0000-00003D0A0000}"/>
    <cellStyle name="Calculation 2 13 2 3 5" xfId="5825" xr:uid="{00000000-0005-0000-0000-00003E0A0000}"/>
    <cellStyle name="Calculation 2 13 2 3 5 2" xfId="2385" xr:uid="{00000000-0005-0000-0000-00003F0A0000}"/>
    <cellStyle name="Calculation 2 13 2 3 5 3" xfId="5828" xr:uid="{00000000-0005-0000-0000-0000400A0000}"/>
    <cellStyle name="Calculation 2 13 2 3 6" xfId="5831" xr:uid="{00000000-0005-0000-0000-0000410A0000}"/>
    <cellStyle name="Calculation 2 13 2 3 7" xfId="5833" xr:uid="{00000000-0005-0000-0000-0000420A0000}"/>
    <cellStyle name="Calculation 2 13 2 4" xfId="5269" xr:uid="{00000000-0005-0000-0000-0000430A0000}"/>
    <cellStyle name="Calculation 2 13 2 4 2" xfId="5836" xr:uid="{00000000-0005-0000-0000-0000440A0000}"/>
    <cellStyle name="Calculation 2 13 2 4 2 2" xfId="5839" xr:uid="{00000000-0005-0000-0000-0000450A0000}"/>
    <cellStyle name="Calculation 2 13 2 4 2 3" xfId="5841" xr:uid="{00000000-0005-0000-0000-0000460A0000}"/>
    <cellStyle name="Calculation 2 13 2 4 2 4" xfId="5843" xr:uid="{00000000-0005-0000-0000-0000470A0000}"/>
    <cellStyle name="Calculation 2 13 2 4 3" xfId="5845" xr:uid="{00000000-0005-0000-0000-0000480A0000}"/>
    <cellStyle name="Calculation 2 13 2 4 3 2" xfId="5847" xr:uid="{00000000-0005-0000-0000-0000490A0000}"/>
    <cellStyle name="Calculation 2 13 2 4 3 3" xfId="5849" xr:uid="{00000000-0005-0000-0000-00004A0A0000}"/>
    <cellStyle name="Calculation 2 13 2 4 3 4" xfId="5851" xr:uid="{00000000-0005-0000-0000-00004B0A0000}"/>
    <cellStyle name="Calculation 2 13 2 4 4" xfId="5853" xr:uid="{00000000-0005-0000-0000-00004C0A0000}"/>
    <cellStyle name="Calculation 2 13 2 4 4 2" xfId="5855" xr:uid="{00000000-0005-0000-0000-00004D0A0000}"/>
    <cellStyle name="Calculation 2 13 2 4 4 3" xfId="5857" xr:uid="{00000000-0005-0000-0000-00004E0A0000}"/>
    <cellStyle name="Calculation 2 13 2 4 5" xfId="5860" xr:uid="{00000000-0005-0000-0000-00004F0A0000}"/>
    <cellStyle name="Calculation 2 13 2 4 5 2" xfId="5864" xr:uid="{00000000-0005-0000-0000-0000500A0000}"/>
    <cellStyle name="Calculation 2 13 2 4 5 3" xfId="5867" xr:uid="{00000000-0005-0000-0000-0000510A0000}"/>
    <cellStyle name="Calculation 2 13 2 4 6" xfId="5870" xr:uid="{00000000-0005-0000-0000-0000520A0000}"/>
    <cellStyle name="Calculation 2 13 2 4 7" xfId="5872" xr:uid="{00000000-0005-0000-0000-0000530A0000}"/>
    <cellStyle name="Calculation 2 13 2 5" xfId="5272" xr:uid="{00000000-0005-0000-0000-0000540A0000}"/>
    <cellStyle name="Calculation 2 13 2 5 2" xfId="341" xr:uid="{00000000-0005-0000-0000-0000550A0000}"/>
    <cellStyle name="Calculation 2 13 2 5 2 2" xfId="5874" xr:uid="{00000000-0005-0000-0000-0000560A0000}"/>
    <cellStyle name="Calculation 2 13 2 5 2 3" xfId="5876" xr:uid="{00000000-0005-0000-0000-0000570A0000}"/>
    <cellStyle name="Calculation 2 13 2 5 2 4" xfId="5878" xr:uid="{00000000-0005-0000-0000-0000580A0000}"/>
    <cellStyle name="Calculation 2 13 2 5 3" xfId="346" xr:uid="{00000000-0005-0000-0000-0000590A0000}"/>
    <cellStyle name="Calculation 2 13 2 5 3 2" xfId="354" xr:uid="{00000000-0005-0000-0000-00005A0A0000}"/>
    <cellStyle name="Calculation 2 13 2 5 3 3" xfId="362" xr:uid="{00000000-0005-0000-0000-00005B0A0000}"/>
    <cellStyle name="Calculation 2 13 2 5 3 4" xfId="5880" xr:uid="{00000000-0005-0000-0000-00005C0A0000}"/>
    <cellStyle name="Calculation 2 13 2 5 4" xfId="367" xr:uid="{00000000-0005-0000-0000-00005D0A0000}"/>
    <cellStyle name="Calculation 2 13 2 5 4 2" xfId="5881" xr:uid="{00000000-0005-0000-0000-00005E0A0000}"/>
    <cellStyle name="Calculation 2 13 2 5 4 3" xfId="5883" xr:uid="{00000000-0005-0000-0000-00005F0A0000}"/>
    <cellStyle name="Calculation 2 13 2 5 5" xfId="375" xr:uid="{00000000-0005-0000-0000-0000600A0000}"/>
    <cellStyle name="Calculation 2 13 2 5 5 2" xfId="5886" xr:uid="{00000000-0005-0000-0000-0000610A0000}"/>
    <cellStyle name="Calculation 2 13 2 5 5 3" xfId="5888" xr:uid="{00000000-0005-0000-0000-0000620A0000}"/>
    <cellStyle name="Calculation 2 13 2 5 6" xfId="383" xr:uid="{00000000-0005-0000-0000-0000630A0000}"/>
    <cellStyle name="Calculation 2 13 2 5 7" xfId="2603" xr:uid="{00000000-0005-0000-0000-0000640A0000}"/>
    <cellStyle name="Calculation 2 13 2 6" xfId="5889" xr:uid="{00000000-0005-0000-0000-0000650A0000}"/>
    <cellStyle name="Calculation 2 13 2 6 2" xfId="5890" xr:uid="{00000000-0005-0000-0000-0000660A0000}"/>
    <cellStyle name="Calculation 2 13 2 6 2 2" xfId="5893" xr:uid="{00000000-0005-0000-0000-0000670A0000}"/>
    <cellStyle name="Calculation 2 13 2 6 2 3" xfId="5895" xr:uid="{00000000-0005-0000-0000-0000680A0000}"/>
    <cellStyle name="Calculation 2 13 2 6 2 4" xfId="5897" xr:uid="{00000000-0005-0000-0000-0000690A0000}"/>
    <cellStyle name="Calculation 2 13 2 6 3" xfId="5899" xr:uid="{00000000-0005-0000-0000-00006A0A0000}"/>
    <cellStyle name="Calculation 2 13 2 6 3 2" xfId="5902" xr:uid="{00000000-0005-0000-0000-00006B0A0000}"/>
    <cellStyle name="Calculation 2 13 2 6 3 3" xfId="5905" xr:uid="{00000000-0005-0000-0000-00006C0A0000}"/>
    <cellStyle name="Calculation 2 13 2 6 3 4" xfId="5908" xr:uid="{00000000-0005-0000-0000-00006D0A0000}"/>
    <cellStyle name="Calculation 2 13 2 6 4" xfId="5910" xr:uid="{00000000-0005-0000-0000-00006E0A0000}"/>
    <cellStyle name="Calculation 2 13 2 6 4 2" xfId="5914" xr:uid="{00000000-0005-0000-0000-00006F0A0000}"/>
    <cellStyle name="Calculation 2 13 2 6 4 3" xfId="5916" xr:uid="{00000000-0005-0000-0000-0000700A0000}"/>
    <cellStyle name="Calculation 2 13 2 6 5" xfId="5919" xr:uid="{00000000-0005-0000-0000-0000710A0000}"/>
    <cellStyle name="Calculation 2 13 2 6 5 2" xfId="5923" xr:uid="{00000000-0005-0000-0000-0000720A0000}"/>
    <cellStyle name="Calculation 2 13 2 6 5 3" xfId="5924" xr:uid="{00000000-0005-0000-0000-0000730A0000}"/>
    <cellStyle name="Calculation 2 13 2 6 6" xfId="5925" xr:uid="{00000000-0005-0000-0000-0000740A0000}"/>
    <cellStyle name="Calculation 2 13 2 6 7" xfId="5928" xr:uid="{00000000-0005-0000-0000-0000750A0000}"/>
    <cellStyle name="Calculation 2 13 2 7" xfId="5929" xr:uid="{00000000-0005-0000-0000-0000760A0000}"/>
    <cellStyle name="Calculation 2 13 2 7 2" xfId="5934" xr:uid="{00000000-0005-0000-0000-0000770A0000}"/>
    <cellStyle name="Calculation 2 13 2 7 2 2" xfId="179" xr:uid="{00000000-0005-0000-0000-0000780A0000}"/>
    <cellStyle name="Calculation 2 13 2 7 2 3" xfId="5936" xr:uid="{00000000-0005-0000-0000-0000790A0000}"/>
    <cellStyle name="Calculation 2 13 2 7 2 4" xfId="5937" xr:uid="{00000000-0005-0000-0000-00007A0A0000}"/>
    <cellStyle name="Calculation 2 13 2 7 3" xfId="5938" xr:uid="{00000000-0005-0000-0000-00007B0A0000}"/>
    <cellStyle name="Calculation 2 13 2 7 3 2" xfId="5940" xr:uid="{00000000-0005-0000-0000-00007C0A0000}"/>
    <cellStyle name="Calculation 2 13 2 7 3 3" xfId="5942" xr:uid="{00000000-0005-0000-0000-00007D0A0000}"/>
    <cellStyle name="Calculation 2 13 2 7 3 4" xfId="5944" xr:uid="{00000000-0005-0000-0000-00007E0A0000}"/>
    <cellStyle name="Calculation 2 13 2 7 4" xfId="5945" xr:uid="{00000000-0005-0000-0000-00007F0A0000}"/>
    <cellStyle name="Calculation 2 13 2 7 4 2" xfId="5948" xr:uid="{00000000-0005-0000-0000-0000800A0000}"/>
    <cellStyle name="Calculation 2 13 2 7 4 3" xfId="5949" xr:uid="{00000000-0005-0000-0000-0000810A0000}"/>
    <cellStyle name="Calculation 2 13 2 7 5" xfId="5950" xr:uid="{00000000-0005-0000-0000-0000820A0000}"/>
    <cellStyle name="Calculation 2 13 2 7 5 2" xfId="5952" xr:uid="{00000000-0005-0000-0000-0000830A0000}"/>
    <cellStyle name="Calculation 2 13 2 7 5 3" xfId="5953" xr:uid="{00000000-0005-0000-0000-0000840A0000}"/>
    <cellStyle name="Calculation 2 13 2 7 6" xfId="5954" xr:uid="{00000000-0005-0000-0000-0000850A0000}"/>
    <cellStyle name="Calculation 2 13 2 7 7" xfId="213" xr:uid="{00000000-0005-0000-0000-0000860A0000}"/>
    <cellStyle name="Calculation 2 13 2 8" xfId="5955" xr:uid="{00000000-0005-0000-0000-0000870A0000}"/>
    <cellStyle name="Calculation 2 13 2 8 2" xfId="5960" xr:uid="{00000000-0005-0000-0000-0000880A0000}"/>
    <cellStyle name="Calculation 2 13 2 8 2 2" xfId="2564" xr:uid="{00000000-0005-0000-0000-0000890A0000}"/>
    <cellStyle name="Calculation 2 13 2 8 2 3" xfId="2566" xr:uid="{00000000-0005-0000-0000-00008A0A0000}"/>
    <cellStyle name="Calculation 2 13 2 8 2 4" xfId="2570" xr:uid="{00000000-0005-0000-0000-00008B0A0000}"/>
    <cellStyle name="Calculation 2 13 2 8 3" xfId="5962" xr:uid="{00000000-0005-0000-0000-00008C0A0000}"/>
    <cellStyle name="Calculation 2 13 2 8 3 2" xfId="2617" xr:uid="{00000000-0005-0000-0000-00008D0A0000}"/>
    <cellStyle name="Calculation 2 13 2 8 3 3" xfId="2619" xr:uid="{00000000-0005-0000-0000-00008E0A0000}"/>
    <cellStyle name="Calculation 2 13 2 8 3 4" xfId="2621" xr:uid="{00000000-0005-0000-0000-00008F0A0000}"/>
    <cellStyle name="Calculation 2 13 2 8 4" xfId="5964" xr:uid="{00000000-0005-0000-0000-0000900A0000}"/>
    <cellStyle name="Calculation 2 13 2 8 4 2" xfId="2745" xr:uid="{00000000-0005-0000-0000-0000910A0000}"/>
    <cellStyle name="Calculation 2 13 2 8 4 3" xfId="2764" xr:uid="{00000000-0005-0000-0000-0000920A0000}"/>
    <cellStyle name="Calculation 2 13 2 8 5" xfId="5967" xr:uid="{00000000-0005-0000-0000-0000930A0000}"/>
    <cellStyle name="Calculation 2 13 2 8 5 2" xfId="5969" xr:uid="{00000000-0005-0000-0000-0000940A0000}"/>
    <cellStyle name="Calculation 2 13 2 8 5 3" xfId="5970" xr:uid="{00000000-0005-0000-0000-0000950A0000}"/>
    <cellStyle name="Calculation 2 13 2 8 6" xfId="5971" xr:uid="{00000000-0005-0000-0000-0000960A0000}"/>
    <cellStyle name="Calculation 2 13 2 8 7" xfId="5973" xr:uid="{00000000-0005-0000-0000-0000970A0000}"/>
    <cellStyle name="Calculation 2 13 2 9" xfId="5975" xr:uid="{00000000-0005-0000-0000-0000980A0000}"/>
    <cellStyle name="Calculation 2 13 2 9 2" xfId="5979" xr:uid="{00000000-0005-0000-0000-0000990A0000}"/>
    <cellStyle name="Calculation 2 13 2 9 2 2" xfId="5981" xr:uid="{00000000-0005-0000-0000-00009A0A0000}"/>
    <cellStyle name="Calculation 2 13 2 9 2 3" xfId="5982" xr:uid="{00000000-0005-0000-0000-00009B0A0000}"/>
    <cellStyle name="Calculation 2 13 2 9 2 4" xfId="3165" xr:uid="{00000000-0005-0000-0000-00009C0A0000}"/>
    <cellStyle name="Calculation 2 13 2 9 3" xfId="5983" xr:uid="{00000000-0005-0000-0000-00009D0A0000}"/>
    <cellStyle name="Calculation 2 13 2 9 3 2" xfId="5985" xr:uid="{00000000-0005-0000-0000-00009E0A0000}"/>
    <cellStyle name="Calculation 2 13 2 9 3 3" xfId="41" xr:uid="{00000000-0005-0000-0000-00009F0A0000}"/>
    <cellStyle name="Calculation 2 13 2 9 3 4" xfId="5986" xr:uid="{00000000-0005-0000-0000-0000A00A0000}"/>
    <cellStyle name="Calculation 2 13 2 9 4" xfId="5987" xr:uid="{00000000-0005-0000-0000-0000A10A0000}"/>
    <cellStyle name="Calculation 2 13 2 9 4 2" xfId="4558" xr:uid="{00000000-0005-0000-0000-0000A20A0000}"/>
    <cellStyle name="Calculation 2 13 2 9 4 3" xfId="5988" xr:uid="{00000000-0005-0000-0000-0000A30A0000}"/>
    <cellStyle name="Calculation 2 13 2 9 5" xfId="5989" xr:uid="{00000000-0005-0000-0000-0000A40A0000}"/>
    <cellStyle name="Calculation 2 13 2 9 5 2" xfId="4563" xr:uid="{00000000-0005-0000-0000-0000A50A0000}"/>
    <cellStyle name="Calculation 2 13 2 9 5 3" xfId="5990" xr:uid="{00000000-0005-0000-0000-0000A60A0000}"/>
    <cellStyle name="Calculation 2 13 2 9 6" xfId="5991" xr:uid="{00000000-0005-0000-0000-0000A70A0000}"/>
    <cellStyle name="Calculation 2 13 2 9 7" xfId="5995" xr:uid="{00000000-0005-0000-0000-0000A80A0000}"/>
    <cellStyle name="Calculation 2 13 3" xfId="5997" xr:uid="{00000000-0005-0000-0000-0000A90A0000}"/>
    <cellStyle name="Calculation 2 13 3 10" xfId="3845" xr:uid="{00000000-0005-0000-0000-0000AA0A0000}"/>
    <cellStyle name="Calculation 2 13 3 10 2" xfId="5606" xr:uid="{00000000-0005-0000-0000-0000AB0A0000}"/>
    <cellStyle name="Calculation 2 13 3 10 2 2" xfId="6002" xr:uid="{00000000-0005-0000-0000-0000AC0A0000}"/>
    <cellStyle name="Calculation 2 13 3 10 2 3" xfId="6007" xr:uid="{00000000-0005-0000-0000-0000AD0A0000}"/>
    <cellStyle name="Calculation 2 13 3 10 2 4" xfId="1042" xr:uid="{00000000-0005-0000-0000-0000AE0A0000}"/>
    <cellStyle name="Calculation 2 13 3 10 3" xfId="1332" xr:uid="{00000000-0005-0000-0000-0000AF0A0000}"/>
    <cellStyle name="Calculation 2 13 3 10 3 2" xfId="1337" xr:uid="{00000000-0005-0000-0000-0000B00A0000}"/>
    <cellStyle name="Calculation 2 13 3 10 3 3" xfId="1083" xr:uid="{00000000-0005-0000-0000-0000B10A0000}"/>
    <cellStyle name="Calculation 2 13 3 10 3 4" xfId="1089" xr:uid="{00000000-0005-0000-0000-0000B20A0000}"/>
    <cellStyle name="Calculation 2 13 3 10 4" xfId="1355" xr:uid="{00000000-0005-0000-0000-0000B30A0000}"/>
    <cellStyle name="Calculation 2 13 3 10 4 2" xfId="6009" xr:uid="{00000000-0005-0000-0000-0000B40A0000}"/>
    <cellStyle name="Calculation 2 13 3 10 4 3" xfId="6010" xr:uid="{00000000-0005-0000-0000-0000B50A0000}"/>
    <cellStyle name="Calculation 2 13 3 10 5" xfId="1359" xr:uid="{00000000-0005-0000-0000-0000B60A0000}"/>
    <cellStyle name="Calculation 2 13 3 10 5 2" xfId="1363" xr:uid="{00000000-0005-0000-0000-0000B70A0000}"/>
    <cellStyle name="Calculation 2 13 3 10 5 3" xfId="1377" xr:uid="{00000000-0005-0000-0000-0000B80A0000}"/>
    <cellStyle name="Calculation 2 13 3 10 6" xfId="1381" xr:uid="{00000000-0005-0000-0000-0000B90A0000}"/>
    <cellStyle name="Calculation 2 13 3 10 7" xfId="1383" xr:uid="{00000000-0005-0000-0000-0000BA0A0000}"/>
    <cellStyle name="Calculation 2 13 3 11" xfId="6011" xr:uid="{00000000-0005-0000-0000-0000BB0A0000}"/>
    <cellStyle name="Calculation 2 13 3 11 2" xfId="5626" xr:uid="{00000000-0005-0000-0000-0000BC0A0000}"/>
    <cellStyle name="Calculation 2 13 3 11 3" xfId="6013" xr:uid="{00000000-0005-0000-0000-0000BD0A0000}"/>
    <cellStyle name="Calculation 2 13 3 11 4" xfId="6015" xr:uid="{00000000-0005-0000-0000-0000BE0A0000}"/>
    <cellStyle name="Calculation 2 13 3 12" xfId="6017" xr:uid="{00000000-0005-0000-0000-0000BF0A0000}"/>
    <cellStyle name="Calculation 2 13 3 12 2" xfId="5643" xr:uid="{00000000-0005-0000-0000-0000C00A0000}"/>
    <cellStyle name="Calculation 2 13 3 12 3" xfId="6019" xr:uid="{00000000-0005-0000-0000-0000C10A0000}"/>
    <cellStyle name="Calculation 2 13 3 12 4" xfId="6021" xr:uid="{00000000-0005-0000-0000-0000C20A0000}"/>
    <cellStyle name="Calculation 2 13 3 13" xfId="6023" xr:uid="{00000000-0005-0000-0000-0000C30A0000}"/>
    <cellStyle name="Calculation 2 13 3 13 2" xfId="5651" xr:uid="{00000000-0005-0000-0000-0000C40A0000}"/>
    <cellStyle name="Calculation 2 13 3 13 3" xfId="6027" xr:uid="{00000000-0005-0000-0000-0000C50A0000}"/>
    <cellStyle name="Calculation 2 13 3 14" xfId="6028" xr:uid="{00000000-0005-0000-0000-0000C60A0000}"/>
    <cellStyle name="Calculation 2 13 3 14 2" xfId="2982" xr:uid="{00000000-0005-0000-0000-0000C70A0000}"/>
    <cellStyle name="Calculation 2 13 3 14 3" xfId="790" xr:uid="{00000000-0005-0000-0000-0000C80A0000}"/>
    <cellStyle name="Calculation 2 13 3 15" xfId="5572" xr:uid="{00000000-0005-0000-0000-0000C90A0000}"/>
    <cellStyle name="Calculation 2 13 3 16" xfId="5577" xr:uid="{00000000-0005-0000-0000-0000CA0A0000}"/>
    <cellStyle name="Calculation 2 13 3 2" xfId="5286" xr:uid="{00000000-0005-0000-0000-0000CB0A0000}"/>
    <cellStyle name="Calculation 2 13 3 2 2" xfId="5291" xr:uid="{00000000-0005-0000-0000-0000CC0A0000}"/>
    <cellStyle name="Calculation 2 13 3 2 2 2" xfId="256" xr:uid="{00000000-0005-0000-0000-0000CD0A0000}"/>
    <cellStyle name="Calculation 2 13 3 2 2 3" xfId="2589" xr:uid="{00000000-0005-0000-0000-0000CE0A0000}"/>
    <cellStyle name="Calculation 2 13 3 2 2 4" xfId="4453" xr:uid="{00000000-0005-0000-0000-0000CF0A0000}"/>
    <cellStyle name="Calculation 2 13 3 2 3" xfId="5293" xr:uid="{00000000-0005-0000-0000-0000D00A0000}"/>
    <cellStyle name="Calculation 2 13 3 2 3 2" xfId="4868" xr:uid="{00000000-0005-0000-0000-0000D10A0000}"/>
    <cellStyle name="Calculation 2 13 3 2 3 3" xfId="4477" xr:uid="{00000000-0005-0000-0000-0000D20A0000}"/>
    <cellStyle name="Calculation 2 13 3 2 3 4" xfId="4485" xr:uid="{00000000-0005-0000-0000-0000D30A0000}"/>
    <cellStyle name="Calculation 2 13 3 2 4" xfId="6032" xr:uid="{00000000-0005-0000-0000-0000D40A0000}"/>
    <cellStyle name="Calculation 2 13 3 2 4 2" xfId="89" xr:uid="{00000000-0005-0000-0000-0000D50A0000}"/>
    <cellStyle name="Calculation 2 13 3 2 4 3" xfId="6033" xr:uid="{00000000-0005-0000-0000-0000D60A0000}"/>
    <cellStyle name="Calculation 2 13 3 2 5" xfId="6035" xr:uid="{00000000-0005-0000-0000-0000D70A0000}"/>
    <cellStyle name="Calculation 2 13 3 2 5 2" xfId="6038" xr:uid="{00000000-0005-0000-0000-0000D80A0000}"/>
    <cellStyle name="Calculation 2 13 3 2 5 3" xfId="6043" xr:uid="{00000000-0005-0000-0000-0000D90A0000}"/>
    <cellStyle name="Calculation 2 13 3 2 6" xfId="6046" xr:uid="{00000000-0005-0000-0000-0000DA0A0000}"/>
    <cellStyle name="Calculation 2 13 3 2 7" xfId="6049" xr:uid="{00000000-0005-0000-0000-0000DB0A0000}"/>
    <cellStyle name="Calculation 2 13 3 3" xfId="5295" xr:uid="{00000000-0005-0000-0000-0000DC0A0000}"/>
    <cellStyle name="Calculation 2 13 3 3 2" xfId="5301" xr:uid="{00000000-0005-0000-0000-0000DD0A0000}"/>
    <cellStyle name="Calculation 2 13 3 3 2 2" xfId="6052" xr:uid="{00000000-0005-0000-0000-0000DE0A0000}"/>
    <cellStyle name="Calculation 2 13 3 3 2 3" xfId="4724" xr:uid="{00000000-0005-0000-0000-0000DF0A0000}"/>
    <cellStyle name="Calculation 2 13 3 3 2 4" xfId="4734" xr:uid="{00000000-0005-0000-0000-0000E00A0000}"/>
    <cellStyle name="Calculation 2 13 3 3 3" xfId="5304" xr:uid="{00000000-0005-0000-0000-0000E10A0000}"/>
    <cellStyle name="Calculation 2 13 3 3 3 2" xfId="4918" xr:uid="{00000000-0005-0000-0000-0000E20A0000}"/>
    <cellStyle name="Calculation 2 13 3 3 3 3" xfId="4756" xr:uid="{00000000-0005-0000-0000-0000E30A0000}"/>
    <cellStyle name="Calculation 2 13 3 3 3 4" xfId="4763" xr:uid="{00000000-0005-0000-0000-0000E40A0000}"/>
    <cellStyle name="Calculation 2 13 3 3 4" xfId="6055" xr:uid="{00000000-0005-0000-0000-0000E50A0000}"/>
    <cellStyle name="Calculation 2 13 3 3 4 2" xfId="4937" xr:uid="{00000000-0005-0000-0000-0000E60A0000}"/>
    <cellStyle name="Calculation 2 13 3 3 4 3" xfId="6058" xr:uid="{00000000-0005-0000-0000-0000E70A0000}"/>
    <cellStyle name="Calculation 2 13 3 3 5" xfId="6060" xr:uid="{00000000-0005-0000-0000-0000E80A0000}"/>
    <cellStyle name="Calculation 2 13 3 3 5 2" xfId="2461" xr:uid="{00000000-0005-0000-0000-0000E90A0000}"/>
    <cellStyle name="Calculation 2 13 3 3 5 3" xfId="6064" xr:uid="{00000000-0005-0000-0000-0000EA0A0000}"/>
    <cellStyle name="Calculation 2 13 3 3 6" xfId="1256" xr:uid="{00000000-0005-0000-0000-0000EB0A0000}"/>
    <cellStyle name="Calculation 2 13 3 3 7" xfId="1284" xr:uid="{00000000-0005-0000-0000-0000EC0A0000}"/>
    <cellStyle name="Calculation 2 13 3 4" xfId="563" xr:uid="{00000000-0005-0000-0000-0000ED0A0000}"/>
    <cellStyle name="Calculation 2 13 3 4 2" xfId="1114" xr:uid="{00000000-0005-0000-0000-0000EE0A0000}"/>
    <cellStyle name="Calculation 2 13 3 4 2 2" xfId="1025" xr:uid="{00000000-0005-0000-0000-0000EF0A0000}"/>
    <cellStyle name="Calculation 2 13 3 4 2 3" xfId="1077" xr:uid="{00000000-0005-0000-0000-0000F00A0000}"/>
    <cellStyle name="Calculation 2 13 3 4 2 4" xfId="6070" xr:uid="{00000000-0005-0000-0000-0000F10A0000}"/>
    <cellStyle name="Calculation 2 13 3 4 3" xfId="1123" xr:uid="{00000000-0005-0000-0000-0000F20A0000}"/>
    <cellStyle name="Calculation 2 13 3 4 3 2" xfId="4980" xr:uid="{00000000-0005-0000-0000-0000F30A0000}"/>
    <cellStyle name="Calculation 2 13 3 4 3 3" xfId="6073" xr:uid="{00000000-0005-0000-0000-0000F40A0000}"/>
    <cellStyle name="Calculation 2 13 3 4 3 4" xfId="6080" xr:uid="{00000000-0005-0000-0000-0000F50A0000}"/>
    <cellStyle name="Calculation 2 13 3 4 4" xfId="6083" xr:uid="{00000000-0005-0000-0000-0000F60A0000}"/>
    <cellStyle name="Calculation 2 13 3 4 4 2" xfId="4996" xr:uid="{00000000-0005-0000-0000-0000F70A0000}"/>
    <cellStyle name="Calculation 2 13 3 4 4 3" xfId="6086" xr:uid="{00000000-0005-0000-0000-0000F80A0000}"/>
    <cellStyle name="Calculation 2 13 3 4 5" xfId="6088" xr:uid="{00000000-0005-0000-0000-0000F90A0000}"/>
    <cellStyle name="Calculation 2 13 3 4 5 2" xfId="6092" xr:uid="{00000000-0005-0000-0000-0000FA0A0000}"/>
    <cellStyle name="Calculation 2 13 3 4 5 3" xfId="6096" xr:uid="{00000000-0005-0000-0000-0000FB0A0000}"/>
    <cellStyle name="Calculation 2 13 3 4 6" xfId="6098" xr:uid="{00000000-0005-0000-0000-0000FC0A0000}"/>
    <cellStyle name="Calculation 2 13 3 4 7" xfId="6101" xr:uid="{00000000-0005-0000-0000-0000FD0A0000}"/>
    <cellStyle name="Calculation 2 13 3 5" xfId="1132" xr:uid="{00000000-0005-0000-0000-0000FE0A0000}"/>
    <cellStyle name="Calculation 2 13 3 5 2" xfId="599" xr:uid="{00000000-0005-0000-0000-0000FF0A0000}"/>
    <cellStyle name="Calculation 2 13 3 5 2 2" xfId="6104" xr:uid="{00000000-0005-0000-0000-0000000B0000}"/>
    <cellStyle name="Calculation 2 13 3 5 2 3" xfId="4519" xr:uid="{00000000-0005-0000-0000-0000010B0000}"/>
    <cellStyle name="Calculation 2 13 3 5 2 4" xfId="4525" xr:uid="{00000000-0005-0000-0000-0000020B0000}"/>
    <cellStyle name="Calculation 2 13 3 5 3" xfId="608" xr:uid="{00000000-0005-0000-0000-0000030B0000}"/>
    <cellStyle name="Calculation 2 13 3 5 3 2" xfId="4041" xr:uid="{00000000-0005-0000-0000-0000040B0000}"/>
    <cellStyle name="Calculation 2 13 3 5 3 3" xfId="4045" xr:uid="{00000000-0005-0000-0000-0000050B0000}"/>
    <cellStyle name="Calculation 2 13 3 5 3 4" xfId="6107" xr:uid="{00000000-0005-0000-0000-0000060B0000}"/>
    <cellStyle name="Calculation 2 13 3 5 4" xfId="617" xr:uid="{00000000-0005-0000-0000-0000070B0000}"/>
    <cellStyle name="Calculation 2 13 3 5 4 2" xfId="4077" xr:uid="{00000000-0005-0000-0000-0000080B0000}"/>
    <cellStyle name="Calculation 2 13 3 5 4 3" xfId="4082" xr:uid="{00000000-0005-0000-0000-0000090B0000}"/>
    <cellStyle name="Calculation 2 13 3 5 5" xfId="496" xr:uid="{00000000-0005-0000-0000-00000A0B0000}"/>
    <cellStyle name="Calculation 2 13 3 5 5 2" xfId="4131" xr:uid="{00000000-0005-0000-0000-00000B0B0000}"/>
    <cellStyle name="Calculation 2 13 3 5 5 3" xfId="4138" xr:uid="{00000000-0005-0000-0000-00000C0B0000}"/>
    <cellStyle name="Calculation 2 13 3 5 6" xfId="6110" xr:uid="{00000000-0005-0000-0000-00000D0B0000}"/>
    <cellStyle name="Calculation 2 13 3 5 7" xfId="6113" xr:uid="{00000000-0005-0000-0000-00000E0B0000}"/>
    <cellStyle name="Calculation 2 13 3 6" xfId="1144" xr:uid="{00000000-0005-0000-0000-00000F0B0000}"/>
    <cellStyle name="Calculation 2 13 3 6 2" xfId="6115" xr:uid="{00000000-0005-0000-0000-0000100B0000}"/>
    <cellStyle name="Calculation 2 13 3 6 2 2" xfId="2608" xr:uid="{00000000-0005-0000-0000-0000110B0000}"/>
    <cellStyle name="Calculation 2 13 3 6 2 3" xfId="184" xr:uid="{00000000-0005-0000-0000-0000120B0000}"/>
    <cellStyle name="Calculation 2 13 3 6 2 4" xfId="329" xr:uid="{00000000-0005-0000-0000-0000130B0000}"/>
    <cellStyle name="Calculation 2 13 3 6 3" xfId="6118" xr:uid="{00000000-0005-0000-0000-0000140B0000}"/>
    <cellStyle name="Calculation 2 13 3 6 3 2" xfId="6120" xr:uid="{00000000-0005-0000-0000-0000150B0000}"/>
    <cellStyle name="Calculation 2 13 3 6 3 3" xfId="392" xr:uid="{00000000-0005-0000-0000-0000160B0000}"/>
    <cellStyle name="Calculation 2 13 3 6 3 4" xfId="398" xr:uid="{00000000-0005-0000-0000-0000170B0000}"/>
    <cellStyle name="Calculation 2 13 3 6 4" xfId="6123" xr:uid="{00000000-0005-0000-0000-0000180B0000}"/>
    <cellStyle name="Calculation 2 13 3 6 4 2" xfId="6126" xr:uid="{00000000-0005-0000-0000-0000190B0000}"/>
    <cellStyle name="Calculation 2 13 3 6 4 3" xfId="410" xr:uid="{00000000-0005-0000-0000-00001A0B0000}"/>
    <cellStyle name="Calculation 2 13 3 6 5" xfId="6128" xr:uid="{00000000-0005-0000-0000-00001B0B0000}"/>
    <cellStyle name="Calculation 2 13 3 6 5 2" xfId="6131" xr:uid="{00000000-0005-0000-0000-00001C0B0000}"/>
    <cellStyle name="Calculation 2 13 3 6 5 3" xfId="418" xr:uid="{00000000-0005-0000-0000-00001D0B0000}"/>
    <cellStyle name="Calculation 2 13 3 6 6" xfId="6133" xr:uid="{00000000-0005-0000-0000-00001E0B0000}"/>
    <cellStyle name="Calculation 2 13 3 6 7" xfId="6135" xr:uid="{00000000-0005-0000-0000-00001F0B0000}"/>
    <cellStyle name="Calculation 2 13 3 7" xfId="1159" xr:uid="{00000000-0005-0000-0000-0000200B0000}"/>
    <cellStyle name="Calculation 2 13 3 7 2" xfId="6137" xr:uid="{00000000-0005-0000-0000-0000210B0000}"/>
    <cellStyle name="Calculation 2 13 3 7 2 2" xfId="1106" xr:uid="{00000000-0005-0000-0000-0000220B0000}"/>
    <cellStyle name="Calculation 2 13 3 7 2 3" xfId="475" xr:uid="{00000000-0005-0000-0000-0000230B0000}"/>
    <cellStyle name="Calculation 2 13 3 7 2 4" xfId="572" xr:uid="{00000000-0005-0000-0000-0000240B0000}"/>
    <cellStyle name="Calculation 2 13 3 7 3" xfId="6141" xr:uid="{00000000-0005-0000-0000-0000250B0000}"/>
    <cellStyle name="Calculation 2 13 3 7 3 2" xfId="588" xr:uid="{00000000-0005-0000-0000-0000260B0000}"/>
    <cellStyle name="Calculation 2 13 3 7 3 3" xfId="1308" xr:uid="{00000000-0005-0000-0000-0000270B0000}"/>
    <cellStyle name="Calculation 2 13 3 7 3 4" xfId="1319" xr:uid="{00000000-0005-0000-0000-0000280B0000}"/>
    <cellStyle name="Calculation 2 13 3 7 4" xfId="6145" xr:uid="{00000000-0005-0000-0000-0000290B0000}"/>
    <cellStyle name="Calculation 2 13 3 7 4 2" xfId="1409" xr:uid="{00000000-0005-0000-0000-00002A0B0000}"/>
    <cellStyle name="Calculation 2 13 3 7 4 3" xfId="627" xr:uid="{00000000-0005-0000-0000-00002B0B0000}"/>
    <cellStyle name="Calculation 2 13 3 7 5" xfId="6148" xr:uid="{00000000-0005-0000-0000-00002C0B0000}"/>
    <cellStyle name="Calculation 2 13 3 7 5 2" xfId="1451" xr:uid="{00000000-0005-0000-0000-00002D0B0000}"/>
    <cellStyle name="Calculation 2 13 3 7 5 3" xfId="1455" xr:uid="{00000000-0005-0000-0000-00002E0B0000}"/>
    <cellStyle name="Calculation 2 13 3 7 6" xfId="6150" xr:uid="{00000000-0005-0000-0000-00002F0B0000}"/>
    <cellStyle name="Calculation 2 13 3 7 7" xfId="6151" xr:uid="{00000000-0005-0000-0000-0000300B0000}"/>
    <cellStyle name="Calculation 2 13 3 8" xfId="1165" xr:uid="{00000000-0005-0000-0000-0000310B0000}"/>
    <cellStyle name="Calculation 2 13 3 8 2" xfId="6153" xr:uid="{00000000-0005-0000-0000-0000320B0000}"/>
    <cellStyle name="Calculation 2 13 3 8 2 2" xfId="6155" xr:uid="{00000000-0005-0000-0000-0000330B0000}"/>
    <cellStyle name="Calculation 2 13 3 8 2 3" xfId="650" xr:uid="{00000000-0005-0000-0000-0000340B0000}"/>
    <cellStyle name="Calculation 2 13 3 8 2 4" xfId="705" xr:uid="{00000000-0005-0000-0000-0000350B0000}"/>
    <cellStyle name="Calculation 2 13 3 8 3" xfId="6158" xr:uid="{00000000-0005-0000-0000-0000360B0000}"/>
    <cellStyle name="Calculation 2 13 3 8 3 2" xfId="6160" xr:uid="{00000000-0005-0000-0000-0000370B0000}"/>
    <cellStyle name="Calculation 2 13 3 8 3 3" xfId="6163" xr:uid="{00000000-0005-0000-0000-0000380B0000}"/>
    <cellStyle name="Calculation 2 13 3 8 3 4" xfId="6166" xr:uid="{00000000-0005-0000-0000-0000390B0000}"/>
    <cellStyle name="Calculation 2 13 3 8 4" xfId="6167" xr:uid="{00000000-0005-0000-0000-00003A0B0000}"/>
    <cellStyle name="Calculation 2 13 3 8 4 2" xfId="6170" xr:uid="{00000000-0005-0000-0000-00003B0B0000}"/>
    <cellStyle name="Calculation 2 13 3 8 4 3" xfId="734" xr:uid="{00000000-0005-0000-0000-00003C0B0000}"/>
    <cellStyle name="Calculation 2 13 3 8 5" xfId="6172" xr:uid="{00000000-0005-0000-0000-00003D0B0000}"/>
    <cellStyle name="Calculation 2 13 3 8 5 2" xfId="6174" xr:uid="{00000000-0005-0000-0000-00003E0B0000}"/>
    <cellStyle name="Calculation 2 13 3 8 5 3" xfId="1954" xr:uid="{00000000-0005-0000-0000-00003F0B0000}"/>
    <cellStyle name="Calculation 2 13 3 8 6" xfId="6176" xr:uid="{00000000-0005-0000-0000-0000400B0000}"/>
    <cellStyle name="Calculation 2 13 3 8 7" xfId="6178" xr:uid="{00000000-0005-0000-0000-0000410B0000}"/>
    <cellStyle name="Calculation 2 13 3 9" xfId="1170" xr:uid="{00000000-0005-0000-0000-0000420B0000}"/>
    <cellStyle name="Calculation 2 13 3 9 2" xfId="6181" xr:uid="{00000000-0005-0000-0000-0000430B0000}"/>
    <cellStyle name="Calculation 2 13 3 9 2 2" xfId="6183" xr:uid="{00000000-0005-0000-0000-0000440B0000}"/>
    <cellStyle name="Calculation 2 13 3 9 2 3" xfId="749" xr:uid="{00000000-0005-0000-0000-0000450B0000}"/>
    <cellStyle name="Calculation 2 13 3 9 2 4" xfId="809" xr:uid="{00000000-0005-0000-0000-0000460B0000}"/>
    <cellStyle name="Calculation 2 13 3 9 3" xfId="6187" xr:uid="{00000000-0005-0000-0000-0000470B0000}"/>
    <cellStyle name="Calculation 2 13 3 9 3 2" xfId="6189" xr:uid="{00000000-0005-0000-0000-0000480B0000}"/>
    <cellStyle name="Calculation 2 13 3 9 3 3" xfId="889" xr:uid="{00000000-0005-0000-0000-0000490B0000}"/>
    <cellStyle name="Calculation 2 13 3 9 3 4" xfId="6191" xr:uid="{00000000-0005-0000-0000-00004A0B0000}"/>
    <cellStyle name="Calculation 2 13 3 9 4" xfId="6192" xr:uid="{00000000-0005-0000-0000-00004B0B0000}"/>
    <cellStyle name="Calculation 2 13 3 9 4 2" xfId="6193" xr:uid="{00000000-0005-0000-0000-00004C0B0000}"/>
    <cellStyle name="Calculation 2 13 3 9 4 3" xfId="821" xr:uid="{00000000-0005-0000-0000-00004D0B0000}"/>
    <cellStyle name="Calculation 2 13 3 9 5" xfId="6195" xr:uid="{00000000-0005-0000-0000-00004E0B0000}"/>
    <cellStyle name="Calculation 2 13 3 9 5 2" xfId="6196" xr:uid="{00000000-0005-0000-0000-00004F0B0000}"/>
    <cellStyle name="Calculation 2 13 3 9 5 3" xfId="1672" xr:uid="{00000000-0005-0000-0000-0000500B0000}"/>
    <cellStyle name="Calculation 2 13 3 9 6" xfId="6198" xr:uid="{00000000-0005-0000-0000-0000510B0000}"/>
    <cellStyle name="Calculation 2 13 3 9 7" xfId="6203" xr:uid="{00000000-0005-0000-0000-0000520B0000}"/>
    <cellStyle name="Calculation 2 13 4" xfId="6205" xr:uid="{00000000-0005-0000-0000-0000530B0000}"/>
    <cellStyle name="Calculation 2 13 4 2" xfId="5316" xr:uid="{00000000-0005-0000-0000-0000540B0000}"/>
    <cellStyle name="Calculation 2 13 4 2 2" xfId="3552" xr:uid="{00000000-0005-0000-0000-0000550B0000}"/>
    <cellStyle name="Calculation 2 13 4 2 3" xfId="5319" xr:uid="{00000000-0005-0000-0000-0000560B0000}"/>
    <cellStyle name="Calculation 2 13 4 2 4" xfId="6206" xr:uid="{00000000-0005-0000-0000-0000570B0000}"/>
    <cellStyle name="Calculation 2 13 4 3" xfId="5321" xr:uid="{00000000-0005-0000-0000-0000580B0000}"/>
    <cellStyle name="Calculation 2 13 4 3 2" xfId="3558" xr:uid="{00000000-0005-0000-0000-0000590B0000}"/>
    <cellStyle name="Calculation 2 13 4 3 3" xfId="5324" xr:uid="{00000000-0005-0000-0000-00005A0B0000}"/>
    <cellStyle name="Calculation 2 13 4 3 4" xfId="6207" xr:uid="{00000000-0005-0000-0000-00005B0B0000}"/>
    <cellStyle name="Calculation 2 13 4 4" xfId="5326" xr:uid="{00000000-0005-0000-0000-00005C0B0000}"/>
    <cellStyle name="Calculation 2 13 4 4 2" xfId="6209" xr:uid="{00000000-0005-0000-0000-00005D0B0000}"/>
    <cellStyle name="Calculation 2 13 4 4 3" xfId="6210" xr:uid="{00000000-0005-0000-0000-00005E0B0000}"/>
    <cellStyle name="Calculation 2 13 4 5" xfId="5330" xr:uid="{00000000-0005-0000-0000-00005F0B0000}"/>
    <cellStyle name="Calculation 2 13 4 5 2" xfId="722" xr:uid="{00000000-0005-0000-0000-0000600B0000}"/>
    <cellStyle name="Calculation 2 13 4 5 3" xfId="72" xr:uid="{00000000-0005-0000-0000-0000610B0000}"/>
    <cellStyle name="Calculation 2 13 4 6" xfId="6211" xr:uid="{00000000-0005-0000-0000-0000620B0000}"/>
    <cellStyle name="Calculation 2 13 4 7" xfId="6212" xr:uid="{00000000-0005-0000-0000-0000630B0000}"/>
    <cellStyle name="Calculation 2 13 5" xfId="6216" xr:uid="{00000000-0005-0000-0000-0000640B0000}"/>
    <cellStyle name="Calculation 2 13 5 2" xfId="6217" xr:uid="{00000000-0005-0000-0000-0000650B0000}"/>
    <cellStyle name="Calculation 2 13 5 2 2" xfId="3573" xr:uid="{00000000-0005-0000-0000-0000660B0000}"/>
    <cellStyle name="Calculation 2 13 5 2 3" xfId="6220" xr:uid="{00000000-0005-0000-0000-0000670B0000}"/>
    <cellStyle name="Calculation 2 13 5 2 4" xfId="6221" xr:uid="{00000000-0005-0000-0000-0000680B0000}"/>
    <cellStyle name="Calculation 2 13 5 3" xfId="6222" xr:uid="{00000000-0005-0000-0000-0000690B0000}"/>
    <cellStyle name="Calculation 2 13 5 3 2" xfId="3580" xr:uid="{00000000-0005-0000-0000-00006A0B0000}"/>
    <cellStyle name="Calculation 2 13 5 3 3" xfId="6225" xr:uid="{00000000-0005-0000-0000-00006B0B0000}"/>
    <cellStyle name="Calculation 2 13 5 3 4" xfId="6226" xr:uid="{00000000-0005-0000-0000-00006C0B0000}"/>
    <cellStyle name="Calculation 2 13 5 4" xfId="1174" xr:uid="{00000000-0005-0000-0000-00006D0B0000}"/>
    <cellStyle name="Calculation 2 13 5 4 2" xfId="1177" xr:uid="{00000000-0005-0000-0000-00006E0B0000}"/>
    <cellStyle name="Calculation 2 13 5 4 3" xfId="6228" xr:uid="{00000000-0005-0000-0000-00006F0B0000}"/>
    <cellStyle name="Calculation 2 13 5 5" xfId="1182" xr:uid="{00000000-0005-0000-0000-0000700B0000}"/>
    <cellStyle name="Calculation 2 13 5 5 2" xfId="778" xr:uid="{00000000-0005-0000-0000-0000710B0000}"/>
    <cellStyle name="Calculation 2 13 5 5 3" xfId="783" xr:uid="{00000000-0005-0000-0000-0000720B0000}"/>
    <cellStyle name="Calculation 2 13 5 6" xfId="6229" xr:uid="{00000000-0005-0000-0000-0000730B0000}"/>
    <cellStyle name="Calculation 2 13 5 7" xfId="11" xr:uid="{00000000-0005-0000-0000-0000740B0000}"/>
    <cellStyle name="Calculation 2 13 6" xfId="5059" xr:uid="{00000000-0005-0000-0000-0000750B0000}"/>
    <cellStyle name="Calculation 2 13 6 2" xfId="5061" xr:uid="{00000000-0005-0000-0000-0000760B0000}"/>
    <cellStyle name="Calculation 2 13 6 2 2" xfId="3595" xr:uid="{00000000-0005-0000-0000-0000770B0000}"/>
    <cellStyle name="Calculation 2 13 6 2 3" xfId="5068" xr:uid="{00000000-0005-0000-0000-0000780B0000}"/>
    <cellStyle name="Calculation 2 13 6 2 4" xfId="5073" xr:uid="{00000000-0005-0000-0000-0000790B0000}"/>
    <cellStyle name="Calculation 2 13 6 3" xfId="5076" xr:uid="{00000000-0005-0000-0000-00007A0B0000}"/>
    <cellStyle name="Calculation 2 13 6 3 2" xfId="3611" xr:uid="{00000000-0005-0000-0000-00007B0B0000}"/>
    <cellStyle name="Calculation 2 13 6 3 3" xfId="5083" xr:uid="{00000000-0005-0000-0000-00007C0B0000}"/>
    <cellStyle name="Calculation 2 13 6 3 4" xfId="5089" xr:uid="{00000000-0005-0000-0000-00007D0B0000}"/>
    <cellStyle name="Calculation 2 13 6 4" xfId="5094" xr:uid="{00000000-0005-0000-0000-00007E0B0000}"/>
    <cellStyle name="Calculation 2 13 6 4 2" xfId="5099" xr:uid="{00000000-0005-0000-0000-00007F0B0000}"/>
    <cellStyle name="Calculation 2 13 6 4 3" xfId="5104" xr:uid="{00000000-0005-0000-0000-0000800B0000}"/>
    <cellStyle name="Calculation 2 13 6 5" xfId="5107" xr:uid="{00000000-0005-0000-0000-0000810B0000}"/>
    <cellStyle name="Calculation 2 13 6 5 2" xfId="935" xr:uid="{00000000-0005-0000-0000-0000820B0000}"/>
    <cellStyle name="Calculation 2 13 6 5 3" xfId="943" xr:uid="{00000000-0005-0000-0000-0000830B0000}"/>
    <cellStyle name="Calculation 2 13 6 6" xfId="5111" xr:uid="{00000000-0005-0000-0000-0000840B0000}"/>
    <cellStyle name="Calculation 2 13 6 7" xfId="5115" xr:uid="{00000000-0005-0000-0000-0000850B0000}"/>
    <cellStyle name="Calculation 2 13 7" xfId="5119" xr:uid="{00000000-0005-0000-0000-0000860B0000}"/>
    <cellStyle name="Calculation 2 13 7 2" xfId="5123" xr:uid="{00000000-0005-0000-0000-0000870B0000}"/>
    <cellStyle name="Calculation 2 13 7 2 2" xfId="3633" xr:uid="{00000000-0005-0000-0000-0000880B0000}"/>
    <cellStyle name="Calculation 2 13 7 2 3" xfId="2387" xr:uid="{00000000-0005-0000-0000-0000890B0000}"/>
    <cellStyle name="Calculation 2 13 7 2 4" xfId="5827" xr:uid="{00000000-0005-0000-0000-00008A0B0000}"/>
    <cellStyle name="Calculation 2 13 7 3" xfId="5128" xr:uid="{00000000-0005-0000-0000-00008B0B0000}"/>
    <cellStyle name="Calculation 2 13 7 3 2" xfId="3640" xr:uid="{00000000-0005-0000-0000-00008C0B0000}"/>
    <cellStyle name="Calculation 2 13 7 3 3" xfId="6230" xr:uid="{00000000-0005-0000-0000-00008D0B0000}"/>
    <cellStyle name="Calculation 2 13 7 3 4" xfId="6231" xr:uid="{00000000-0005-0000-0000-00008E0B0000}"/>
    <cellStyle name="Calculation 2 13 7 4" xfId="5132" xr:uid="{00000000-0005-0000-0000-00008F0B0000}"/>
    <cellStyle name="Calculation 2 13 7 4 2" xfId="6232" xr:uid="{00000000-0005-0000-0000-0000900B0000}"/>
    <cellStyle name="Calculation 2 13 7 4 3" xfId="2399" xr:uid="{00000000-0005-0000-0000-0000910B0000}"/>
    <cellStyle name="Calculation 2 13 7 5" xfId="6233" xr:uid="{00000000-0005-0000-0000-0000920B0000}"/>
    <cellStyle name="Calculation 2 13 7 5 2" xfId="1210" xr:uid="{00000000-0005-0000-0000-0000930B0000}"/>
    <cellStyle name="Calculation 2 13 7 5 3" xfId="1215" xr:uid="{00000000-0005-0000-0000-0000940B0000}"/>
    <cellStyle name="Calculation 2 13 7 6" xfId="6234" xr:uid="{00000000-0005-0000-0000-0000950B0000}"/>
    <cellStyle name="Calculation 2 13 7 7" xfId="6235" xr:uid="{00000000-0005-0000-0000-0000960B0000}"/>
    <cellStyle name="Calculation 2 13 8" xfId="3262" xr:uid="{00000000-0005-0000-0000-0000970B0000}"/>
    <cellStyle name="Calculation 2 13 8 2" xfId="3270" xr:uid="{00000000-0005-0000-0000-0000980B0000}"/>
    <cellStyle name="Calculation 2 13 8 2 2" xfId="3660" xr:uid="{00000000-0005-0000-0000-0000990B0000}"/>
    <cellStyle name="Calculation 2 13 8 2 3" xfId="5862" xr:uid="{00000000-0005-0000-0000-00009A0B0000}"/>
    <cellStyle name="Calculation 2 13 8 2 4" xfId="5865" xr:uid="{00000000-0005-0000-0000-00009B0B0000}"/>
    <cellStyle name="Calculation 2 13 8 3" xfId="3278" xr:uid="{00000000-0005-0000-0000-00009C0B0000}"/>
    <cellStyle name="Calculation 2 13 8 3 2" xfId="3667" xr:uid="{00000000-0005-0000-0000-00009D0B0000}"/>
    <cellStyle name="Calculation 2 13 8 3 3" xfId="6238" xr:uid="{00000000-0005-0000-0000-00009E0B0000}"/>
    <cellStyle name="Calculation 2 13 8 3 4" xfId="6240" xr:uid="{00000000-0005-0000-0000-00009F0B0000}"/>
    <cellStyle name="Calculation 2 13 8 4" xfId="3285" xr:uid="{00000000-0005-0000-0000-0000A00B0000}"/>
    <cellStyle name="Calculation 2 13 8 4 2" xfId="6242" xr:uid="{00000000-0005-0000-0000-0000A10B0000}"/>
    <cellStyle name="Calculation 2 13 8 4 3" xfId="6244" xr:uid="{00000000-0005-0000-0000-0000A20B0000}"/>
    <cellStyle name="Calculation 2 13 8 5" xfId="5655" xr:uid="{00000000-0005-0000-0000-0000A30B0000}"/>
    <cellStyle name="Calculation 2 13 8 5 2" xfId="1687" xr:uid="{00000000-0005-0000-0000-0000A40B0000}"/>
    <cellStyle name="Calculation 2 13 8 5 3" xfId="6246" xr:uid="{00000000-0005-0000-0000-0000A50B0000}"/>
    <cellStyle name="Calculation 2 13 8 6" xfId="5661" xr:uid="{00000000-0005-0000-0000-0000A60B0000}"/>
    <cellStyle name="Calculation 2 13 8 7" xfId="6248" xr:uid="{00000000-0005-0000-0000-0000A70B0000}"/>
    <cellStyle name="Calculation 2 13 9" xfId="2727" xr:uid="{00000000-0005-0000-0000-0000A80B0000}"/>
    <cellStyle name="Calculation 2 13 9 2" xfId="3292" xr:uid="{00000000-0005-0000-0000-0000A90B0000}"/>
    <cellStyle name="Calculation 2 13 9 2 2" xfId="3698" xr:uid="{00000000-0005-0000-0000-0000AA0B0000}"/>
    <cellStyle name="Calculation 2 13 9 2 3" xfId="5885" xr:uid="{00000000-0005-0000-0000-0000AB0B0000}"/>
    <cellStyle name="Calculation 2 13 9 2 4" xfId="5887" xr:uid="{00000000-0005-0000-0000-0000AC0B0000}"/>
    <cellStyle name="Calculation 2 13 9 3" xfId="3299" xr:uid="{00000000-0005-0000-0000-0000AD0B0000}"/>
    <cellStyle name="Calculation 2 13 9 3 2" xfId="3709" xr:uid="{00000000-0005-0000-0000-0000AE0B0000}"/>
    <cellStyle name="Calculation 2 13 9 3 3" xfId="6250" xr:uid="{00000000-0005-0000-0000-0000AF0B0000}"/>
    <cellStyle name="Calculation 2 13 9 3 4" xfId="6251" xr:uid="{00000000-0005-0000-0000-0000B00B0000}"/>
    <cellStyle name="Calculation 2 13 9 4" xfId="3304" xr:uid="{00000000-0005-0000-0000-0000B10B0000}"/>
    <cellStyle name="Calculation 2 13 9 4 2" xfId="6252" xr:uid="{00000000-0005-0000-0000-0000B20B0000}"/>
    <cellStyle name="Calculation 2 13 9 4 3" xfId="6253" xr:uid="{00000000-0005-0000-0000-0000B30B0000}"/>
    <cellStyle name="Calculation 2 13 9 5" xfId="5664" xr:uid="{00000000-0005-0000-0000-0000B40B0000}"/>
    <cellStyle name="Calculation 2 13 9 5 2" xfId="6254" xr:uid="{00000000-0005-0000-0000-0000B50B0000}"/>
    <cellStyle name="Calculation 2 13 9 5 3" xfId="6256" xr:uid="{00000000-0005-0000-0000-0000B60B0000}"/>
    <cellStyle name="Calculation 2 13 9 6" xfId="5669" xr:uid="{00000000-0005-0000-0000-0000B70B0000}"/>
    <cellStyle name="Calculation 2 13 9 7" xfId="6258" xr:uid="{00000000-0005-0000-0000-0000B80B0000}"/>
    <cellStyle name="Calculation 2 14" xfId="6262" xr:uid="{00000000-0005-0000-0000-0000B90B0000}"/>
    <cellStyle name="Calculation 2 14 10" xfId="5296" xr:uid="{00000000-0005-0000-0000-0000BA0B0000}"/>
    <cellStyle name="Calculation 2 14 10 2" xfId="5300" xr:uid="{00000000-0005-0000-0000-0000BB0B0000}"/>
    <cellStyle name="Calculation 2 14 10 2 2" xfId="6051" xr:uid="{00000000-0005-0000-0000-0000BC0B0000}"/>
    <cellStyle name="Calculation 2 14 10 2 3" xfId="4723" xr:uid="{00000000-0005-0000-0000-0000BD0B0000}"/>
    <cellStyle name="Calculation 2 14 10 2 4" xfId="4733" xr:uid="{00000000-0005-0000-0000-0000BE0B0000}"/>
    <cellStyle name="Calculation 2 14 10 3" xfId="5303" xr:uid="{00000000-0005-0000-0000-0000BF0B0000}"/>
    <cellStyle name="Calculation 2 14 10 3 2" xfId="4917" xr:uid="{00000000-0005-0000-0000-0000C00B0000}"/>
    <cellStyle name="Calculation 2 14 10 3 3" xfId="4755" xr:uid="{00000000-0005-0000-0000-0000C10B0000}"/>
    <cellStyle name="Calculation 2 14 10 3 4" xfId="4762" xr:uid="{00000000-0005-0000-0000-0000C20B0000}"/>
    <cellStyle name="Calculation 2 14 10 4" xfId="6054" xr:uid="{00000000-0005-0000-0000-0000C30B0000}"/>
    <cellStyle name="Calculation 2 14 10 4 2" xfId="4936" xr:uid="{00000000-0005-0000-0000-0000C40B0000}"/>
    <cellStyle name="Calculation 2 14 10 4 3" xfId="6057" xr:uid="{00000000-0005-0000-0000-0000C50B0000}"/>
    <cellStyle name="Calculation 2 14 10 5" xfId="6059" xr:uid="{00000000-0005-0000-0000-0000C60B0000}"/>
    <cellStyle name="Calculation 2 14 10 5 2" xfId="2462" xr:uid="{00000000-0005-0000-0000-0000C70B0000}"/>
    <cellStyle name="Calculation 2 14 10 5 3" xfId="6063" xr:uid="{00000000-0005-0000-0000-0000C80B0000}"/>
    <cellStyle name="Calculation 2 14 10 6" xfId="1257" xr:uid="{00000000-0005-0000-0000-0000C90B0000}"/>
    <cellStyle name="Calculation 2 14 10 7" xfId="1285" xr:uid="{00000000-0005-0000-0000-0000CA0B0000}"/>
    <cellStyle name="Calculation 2 14 11" xfId="564" xr:uid="{00000000-0005-0000-0000-0000CB0B0000}"/>
    <cellStyle name="Calculation 2 14 11 2" xfId="1115" xr:uid="{00000000-0005-0000-0000-0000CC0B0000}"/>
    <cellStyle name="Calculation 2 14 11 2 2" xfId="1026" xr:uid="{00000000-0005-0000-0000-0000CD0B0000}"/>
    <cellStyle name="Calculation 2 14 11 2 3" xfId="1078" xr:uid="{00000000-0005-0000-0000-0000CE0B0000}"/>
    <cellStyle name="Calculation 2 14 11 2 4" xfId="6069" xr:uid="{00000000-0005-0000-0000-0000CF0B0000}"/>
    <cellStyle name="Calculation 2 14 11 3" xfId="1124" xr:uid="{00000000-0005-0000-0000-0000D00B0000}"/>
    <cellStyle name="Calculation 2 14 11 3 2" xfId="4979" xr:uid="{00000000-0005-0000-0000-0000D10B0000}"/>
    <cellStyle name="Calculation 2 14 11 3 3" xfId="6072" xr:uid="{00000000-0005-0000-0000-0000D20B0000}"/>
    <cellStyle name="Calculation 2 14 11 3 4" xfId="6079" xr:uid="{00000000-0005-0000-0000-0000D30B0000}"/>
    <cellStyle name="Calculation 2 14 11 4" xfId="6082" xr:uid="{00000000-0005-0000-0000-0000D40B0000}"/>
    <cellStyle name="Calculation 2 14 11 4 2" xfId="4995" xr:uid="{00000000-0005-0000-0000-0000D50B0000}"/>
    <cellStyle name="Calculation 2 14 11 4 3" xfId="6085" xr:uid="{00000000-0005-0000-0000-0000D60B0000}"/>
    <cellStyle name="Calculation 2 14 11 5" xfId="6087" xr:uid="{00000000-0005-0000-0000-0000D70B0000}"/>
    <cellStyle name="Calculation 2 14 11 5 2" xfId="6091" xr:uid="{00000000-0005-0000-0000-0000D80B0000}"/>
    <cellStyle name="Calculation 2 14 11 5 3" xfId="6095" xr:uid="{00000000-0005-0000-0000-0000D90B0000}"/>
    <cellStyle name="Calculation 2 14 11 6" xfId="6097" xr:uid="{00000000-0005-0000-0000-0000DA0B0000}"/>
    <cellStyle name="Calculation 2 14 11 7" xfId="6100" xr:uid="{00000000-0005-0000-0000-0000DB0B0000}"/>
    <cellStyle name="Calculation 2 14 12" xfId="1133" xr:uid="{00000000-0005-0000-0000-0000DC0B0000}"/>
    <cellStyle name="Calculation 2 14 12 2" xfId="600" xr:uid="{00000000-0005-0000-0000-0000DD0B0000}"/>
    <cellStyle name="Calculation 2 14 12 2 2" xfId="6103" xr:uid="{00000000-0005-0000-0000-0000DE0B0000}"/>
    <cellStyle name="Calculation 2 14 12 2 3" xfId="4518" xr:uid="{00000000-0005-0000-0000-0000DF0B0000}"/>
    <cellStyle name="Calculation 2 14 12 2 4" xfId="4523" xr:uid="{00000000-0005-0000-0000-0000E00B0000}"/>
    <cellStyle name="Calculation 2 14 12 3" xfId="609" xr:uid="{00000000-0005-0000-0000-0000E10B0000}"/>
    <cellStyle name="Calculation 2 14 12 3 2" xfId="4042" xr:uid="{00000000-0005-0000-0000-0000E20B0000}"/>
    <cellStyle name="Calculation 2 14 12 3 3" xfId="4046" xr:uid="{00000000-0005-0000-0000-0000E30B0000}"/>
    <cellStyle name="Calculation 2 14 12 3 4" xfId="6106" xr:uid="{00000000-0005-0000-0000-0000E40B0000}"/>
    <cellStyle name="Calculation 2 14 12 4" xfId="618" xr:uid="{00000000-0005-0000-0000-0000E50B0000}"/>
    <cellStyle name="Calculation 2 14 12 4 2" xfId="4076" xr:uid="{00000000-0005-0000-0000-0000E60B0000}"/>
    <cellStyle name="Calculation 2 14 12 4 3" xfId="4081" xr:uid="{00000000-0005-0000-0000-0000E70B0000}"/>
    <cellStyle name="Calculation 2 14 12 5" xfId="497" xr:uid="{00000000-0005-0000-0000-0000E80B0000}"/>
    <cellStyle name="Calculation 2 14 12 5 2" xfId="4130" xr:uid="{00000000-0005-0000-0000-0000E90B0000}"/>
    <cellStyle name="Calculation 2 14 12 5 3" xfId="4137" xr:uid="{00000000-0005-0000-0000-0000EA0B0000}"/>
    <cellStyle name="Calculation 2 14 12 6" xfId="6109" xr:uid="{00000000-0005-0000-0000-0000EB0B0000}"/>
    <cellStyle name="Calculation 2 14 12 7" xfId="6112" xr:uid="{00000000-0005-0000-0000-0000EC0B0000}"/>
    <cellStyle name="Calculation 2 14 13" xfId="1145" xr:uid="{00000000-0005-0000-0000-0000ED0B0000}"/>
    <cellStyle name="Calculation 2 14 13 2" xfId="6114" xr:uid="{00000000-0005-0000-0000-0000EE0B0000}"/>
    <cellStyle name="Calculation 2 14 13 3" xfId="6117" xr:uid="{00000000-0005-0000-0000-0000EF0B0000}"/>
    <cellStyle name="Calculation 2 14 13 4" xfId="6122" xr:uid="{00000000-0005-0000-0000-0000F00B0000}"/>
    <cellStyle name="Calculation 2 14 14" xfId="1160" xr:uid="{00000000-0005-0000-0000-0000F10B0000}"/>
    <cellStyle name="Calculation 2 14 14 2" xfId="6136" xr:uid="{00000000-0005-0000-0000-0000F20B0000}"/>
    <cellStyle name="Calculation 2 14 14 3" xfId="6140" xr:uid="{00000000-0005-0000-0000-0000F30B0000}"/>
    <cellStyle name="Calculation 2 14 14 4" xfId="6144" xr:uid="{00000000-0005-0000-0000-0000F40B0000}"/>
    <cellStyle name="Calculation 2 14 15" xfId="1166" xr:uid="{00000000-0005-0000-0000-0000F50B0000}"/>
    <cellStyle name="Calculation 2 14 15 2" xfId="6152" xr:uid="{00000000-0005-0000-0000-0000F60B0000}"/>
    <cellStyle name="Calculation 2 14 15 3" xfId="6157" xr:uid="{00000000-0005-0000-0000-0000F70B0000}"/>
    <cellStyle name="Calculation 2 14 16" xfId="1171" xr:uid="{00000000-0005-0000-0000-0000F80B0000}"/>
    <cellStyle name="Calculation 2 14 16 2" xfId="6180" xr:uid="{00000000-0005-0000-0000-0000F90B0000}"/>
    <cellStyle name="Calculation 2 14 16 3" xfId="6186" xr:uid="{00000000-0005-0000-0000-0000FA0B0000}"/>
    <cellStyle name="Calculation 2 14 17" xfId="6264" xr:uid="{00000000-0005-0000-0000-0000FB0B0000}"/>
    <cellStyle name="Calculation 2 14 18" xfId="6268" xr:uid="{00000000-0005-0000-0000-0000FC0B0000}"/>
    <cellStyle name="Calculation 2 14 19" xfId="5142" xr:uid="{00000000-0005-0000-0000-0000FD0B0000}"/>
    <cellStyle name="Calculation 2 14 2" xfId="6271" xr:uid="{00000000-0005-0000-0000-0000FE0B0000}"/>
    <cellStyle name="Calculation 2 14 2 10" xfId="6275" xr:uid="{00000000-0005-0000-0000-0000FF0B0000}"/>
    <cellStyle name="Calculation 2 14 2 10 2" xfId="6277" xr:uid="{00000000-0005-0000-0000-0000000C0000}"/>
    <cellStyle name="Calculation 2 14 2 10 2 2" xfId="6284" xr:uid="{00000000-0005-0000-0000-0000010C0000}"/>
    <cellStyle name="Calculation 2 14 2 10 2 3" xfId="6290" xr:uid="{00000000-0005-0000-0000-0000020C0000}"/>
    <cellStyle name="Calculation 2 14 2 10 2 4" xfId="6295" xr:uid="{00000000-0005-0000-0000-0000030C0000}"/>
    <cellStyle name="Calculation 2 14 2 10 3" xfId="6299" xr:uid="{00000000-0005-0000-0000-0000040C0000}"/>
    <cellStyle name="Calculation 2 14 2 10 3 2" xfId="907" xr:uid="{00000000-0005-0000-0000-0000050C0000}"/>
    <cellStyle name="Calculation 2 14 2 10 3 3" xfId="290" xr:uid="{00000000-0005-0000-0000-0000060C0000}"/>
    <cellStyle name="Calculation 2 14 2 10 3 4" xfId="928" xr:uid="{00000000-0005-0000-0000-0000070C0000}"/>
    <cellStyle name="Calculation 2 14 2 10 4" xfId="6301" xr:uid="{00000000-0005-0000-0000-0000080C0000}"/>
    <cellStyle name="Calculation 2 14 2 10 4 2" xfId="6302" xr:uid="{00000000-0005-0000-0000-0000090C0000}"/>
    <cellStyle name="Calculation 2 14 2 10 4 3" xfId="6303" xr:uid="{00000000-0005-0000-0000-00000A0C0000}"/>
    <cellStyle name="Calculation 2 14 2 10 5" xfId="6309" xr:uid="{00000000-0005-0000-0000-00000B0C0000}"/>
    <cellStyle name="Calculation 2 14 2 10 5 2" xfId="6310" xr:uid="{00000000-0005-0000-0000-00000C0C0000}"/>
    <cellStyle name="Calculation 2 14 2 10 5 3" xfId="6311" xr:uid="{00000000-0005-0000-0000-00000D0C0000}"/>
    <cellStyle name="Calculation 2 14 2 10 6" xfId="6312" xr:uid="{00000000-0005-0000-0000-00000E0C0000}"/>
    <cellStyle name="Calculation 2 14 2 10 7" xfId="4365" xr:uid="{00000000-0005-0000-0000-00000F0C0000}"/>
    <cellStyle name="Calculation 2 14 2 11" xfId="3098" xr:uid="{00000000-0005-0000-0000-0000100C0000}"/>
    <cellStyle name="Calculation 2 14 2 11 2" xfId="6314" xr:uid="{00000000-0005-0000-0000-0000110C0000}"/>
    <cellStyle name="Calculation 2 14 2 11 3" xfId="6316" xr:uid="{00000000-0005-0000-0000-0000120C0000}"/>
    <cellStyle name="Calculation 2 14 2 11 4" xfId="6318" xr:uid="{00000000-0005-0000-0000-0000130C0000}"/>
    <cellStyle name="Calculation 2 14 2 12" xfId="3103" xr:uid="{00000000-0005-0000-0000-0000140C0000}"/>
    <cellStyle name="Calculation 2 14 2 12 2" xfId="6320" xr:uid="{00000000-0005-0000-0000-0000150C0000}"/>
    <cellStyle name="Calculation 2 14 2 12 3" xfId="6322" xr:uid="{00000000-0005-0000-0000-0000160C0000}"/>
    <cellStyle name="Calculation 2 14 2 12 4" xfId="6325" xr:uid="{00000000-0005-0000-0000-0000170C0000}"/>
    <cellStyle name="Calculation 2 14 2 13" xfId="3238" xr:uid="{00000000-0005-0000-0000-0000180C0000}"/>
    <cellStyle name="Calculation 2 14 2 13 2" xfId="3357" xr:uid="{00000000-0005-0000-0000-0000190C0000}"/>
    <cellStyle name="Calculation 2 14 2 13 3" xfId="6330" xr:uid="{00000000-0005-0000-0000-00001A0C0000}"/>
    <cellStyle name="Calculation 2 14 2 14" xfId="3244" xr:uid="{00000000-0005-0000-0000-00001B0C0000}"/>
    <cellStyle name="Calculation 2 14 2 14 2" xfId="3369" xr:uid="{00000000-0005-0000-0000-00001C0C0000}"/>
    <cellStyle name="Calculation 2 14 2 14 3" xfId="6335" xr:uid="{00000000-0005-0000-0000-00001D0C0000}"/>
    <cellStyle name="Calculation 2 14 2 15" xfId="2897" xr:uid="{00000000-0005-0000-0000-00001E0C0000}"/>
    <cellStyle name="Calculation 2 14 2 16" xfId="2909" xr:uid="{00000000-0005-0000-0000-00001F0C0000}"/>
    <cellStyle name="Calculation 2 14 2 2" xfId="5511" xr:uid="{00000000-0005-0000-0000-0000200C0000}"/>
    <cellStyle name="Calculation 2 14 2 2 2" xfId="5516" xr:uid="{00000000-0005-0000-0000-0000210C0000}"/>
    <cellStyle name="Calculation 2 14 2 2 2 2" xfId="6339" xr:uid="{00000000-0005-0000-0000-0000220C0000}"/>
    <cellStyle name="Calculation 2 14 2 2 2 3" xfId="2688" xr:uid="{00000000-0005-0000-0000-0000230C0000}"/>
    <cellStyle name="Calculation 2 14 2 2 2 4" xfId="2692" xr:uid="{00000000-0005-0000-0000-0000240C0000}"/>
    <cellStyle name="Calculation 2 14 2 2 3" xfId="5519" xr:uid="{00000000-0005-0000-0000-0000250C0000}"/>
    <cellStyle name="Calculation 2 14 2 2 3 2" xfId="2374" xr:uid="{00000000-0005-0000-0000-0000260C0000}"/>
    <cellStyle name="Calculation 2 14 2 2 3 3" xfId="3225" xr:uid="{00000000-0005-0000-0000-0000270C0000}"/>
    <cellStyle name="Calculation 2 14 2 2 3 4" xfId="3228" xr:uid="{00000000-0005-0000-0000-0000280C0000}"/>
    <cellStyle name="Calculation 2 14 2 2 4" xfId="6341" xr:uid="{00000000-0005-0000-0000-0000290C0000}"/>
    <cellStyle name="Calculation 2 14 2 2 4 2" xfId="6343" xr:uid="{00000000-0005-0000-0000-00002A0C0000}"/>
    <cellStyle name="Calculation 2 14 2 2 4 3" xfId="6345" xr:uid="{00000000-0005-0000-0000-00002B0C0000}"/>
    <cellStyle name="Calculation 2 14 2 2 5" xfId="6346" xr:uid="{00000000-0005-0000-0000-00002C0C0000}"/>
    <cellStyle name="Calculation 2 14 2 2 5 2" xfId="6348" xr:uid="{00000000-0005-0000-0000-00002D0C0000}"/>
    <cellStyle name="Calculation 2 14 2 2 5 3" xfId="6350" xr:uid="{00000000-0005-0000-0000-00002E0C0000}"/>
    <cellStyle name="Calculation 2 14 2 2 6" xfId="6351" xr:uid="{00000000-0005-0000-0000-00002F0C0000}"/>
    <cellStyle name="Calculation 2 14 2 2 7" xfId="6353" xr:uid="{00000000-0005-0000-0000-0000300C0000}"/>
    <cellStyle name="Calculation 2 14 2 3" xfId="5522" xr:uid="{00000000-0005-0000-0000-0000310C0000}"/>
    <cellStyle name="Calculation 2 14 2 3 2" xfId="5526" xr:uid="{00000000-0005-0000-0000-0000320C0000}"/>
    <cellStyle name="Calculation 2 14 2 3 2 2" xfId="3104" xr:uid="{00000000-0005-0000-0000-0000330C0000}"/>
    <cellStyle name="Calculation 2 14 2 3 2 3" xfId="3240" xr:uid="{00000000-0005-0000-0000-0000340C0000}"/>
    <cellStyle name="Calculation 2 14 2 3 2 4" xfId="3247" xr:uid="{00000000-0005-0000-0000-0000350C0000}"/>
    <cellStyle name="Calculation 2 14 2 3 3" xfId="5530" xr:uid="{00000000-0005-0000-0000-0000360C0000}"/>
    <cellStyle name="Calculation 2 14 2 3 3 2" xfId="2452" xr:uid="{00000000-0005-0000-0000-0000370C0000}"/>
    <cellStyle name="Calculation 2 14 2 3 3 3" xfId="3250" xr:uid="{00000000-0005-0000-0000-0000380C0000}"/>
    <cellStyle name="Calculation 2 14 2 3 3 4" xfId="1958" xr:uid="{00000000-0005-0000-0000-0000390C0000}"/>
    <cellStyle name="Calculation 2 14 2 3 4" xfId="6355" xr:uid="{00000000-0005-0000-0000-00003A0C0000}"/>
    <cellStyle name="Calculation 2 14 2 3 4 2" xfId="1885" xr:uid="{00000000-0005-0000-0000-00003B0C0000}"/>
    <cellStyle name="Calculation 2 14 2 3 4 3" xfId="6357" xr:uid="{00000000-0005-0000-0000-00003C0C0000}"/>
    <cellStyle name="Calculation 2 14 2 3 5" xfId="6358" xr:uid="{00000000-0005-0000-0000-00003D0C0000}"/>
    <cellStyle name="Calculation 2 14 2 3 5 2" xfId="6360" xr:uid="{00000000-0005-0000-0000-00003E0C0000}"/>
    <cellStyle name="Calculation 2 14 2 3 5 3" xfId="6361" xr:uid="{00000000-0005-0000-0000-00003F0C0000}"/>
    <cellStyle name="Calculation 2 14 2 3 6" xfId="6363" xr:uid="{00000000-0005-0000-0000-0000400C0000}"/>
    <cellStyle name="Calculation 2 14 2 3 7" xfId="6365" xr:uid="{00000000-0005-0000-0000-0000410C0000}"/>
    <cellStyle name="Calculation 2 14 2 4" xfId="5534" xr:uid="{00000000-0005-0000-0000-0000420C0000}"/>
    <cellStyle name="Calculation 2 14 2 4 2" xfId="6372" xr:uid="{00000000-0005-0000-0000-0000430C0000}"/>
    <cellStyle name="Calculation 2 14 2 4 2 2" xfId="6373" xr:uid="{00000000-0005-0000-0000-0000440C0000}"/>
    <cellStyle name="Calculation 2 14 2 4 2 3" xfId="3311" xr:uid="{00000000-0005-0000-0000-0000450C0000}"/>
    <cellStyle name="Calculation 2 14 2 4 2 4" xfId="3319" xr:uid="{00000000-0005-0000-0000-0000460C0000}"/>
    <cellStyle name="Calculation 2 14 2 4 3" xfId="6378" xr:uid="{00000000-0005-0000-0000-0000470C0000}"/>
    <cellStyle name="Calculation 2 14 2 4 3 2" xfId="2554" xr:uid="{00000000-0005-0000-0000-0000480C0000}"/>
    <cellStyle name="Calculation 2 14 2 4 3 3" xfId="3324" xr:uid="{00000000-0005-0000-0000-0000490C0000}"/>
    <cellStyle name="Calculation 2 14 2 4 3 4" xfId="3329" xr:uid="{00000000-0005-0000-0000-00004A0C0000}"/>
    <cellStyle name="Calculation 2 14 2 4 4" xfId="6379" xr:uid="{00000000-0005-0000-0000-00004B0C0000}"/>
    <cellStyle name="Calculation 2 14 2 4 4 2" xfId="6381" xr:uid="{00000000-0005-0000-0000-00004C0C0000}"/>
    <cellStyle name="Calculation 2 14 2 4 4 3" xfId="6384" xr:uid="{00000000-0005-0000-0000-00004D0C0000}"/>
    <cellStyle name="Calculation 2 14 2 4 5" xfId="6385" xr:uid="{00000000-0005-0000-0000-00004E0C0000}"/>
    <cellStyle name="Calculation 2 14 2 4 5 2" xfId="6387" xr:uid="{00000000-0005-0000-0000-00004F0C0000}"/>
    <cellStyle name="Calculation 2 14 2 4 5 3" xfId="6389" xr:uid="{00000000-0005-0000-0000-0000500C0000}"/>
    <cellStyle name="Calculation 2 14 2 4 6" xfId="6391" xr:uid="{00000000-0005-0000-0000-0000510C0000}"/>
    <cellStyle name="Calculation 2 14 2 4 7" xfId="6393" xr:uid="{00000000-0005-0000-0000-0000520C0000}"/>
    <cellStyle name="Calculation 2 14 2 5" xfId="5537" xr:uid="{00000000-0005-0000-0000-0000530C0000}"/>
    <cellStyle name="Calculation 2 14 2 5 2" xfId="2298" xr:uid="{00000000-0005-0000-0000-0000540C0000}"/>
    <cellStyle name="Calculation 2 14 2 5 2 2" xfId="6395" xr:uid="{00000000-0005-0000-0000-0000550C0000}"/>
    <cellStyle name="Calculation 2 14 2 5 2 3" xfId="3377" xr:uid="{00000000-0005-0000-0000-0000560C0000}"/>
    <cellStyle name="Calculation 2 14 2 5 2 4" xfId="3383" xr:uid="{00000000-0005-0000-0000-0000570C0000}"/>
    <cellStyle name="Calculation 2 14 2 5 3" xfId="1220" xr:uid="{00000000-0005-0000-0000-0000580C0000}"/>
    <cellStyle name="Calculation 2 14 2 5 3 2" xfId="57" xr:uid="{00000000-0005-0000-0000-0000590C0000}"/>
    <cellStyle name="Calculation 2 14 2 5 3 3" xfId="43" xr:uid="{00000000-0005-0000-0000-00005A0C0000}"/>
    <cellStyle name="Calculation 2 14 2 5 3 4" xfId="158" xr:uid="{00000000-0005-0000-0000-00005B0C0000}"/>
    <cellStyle name="Calculation 2 14 2 5 4" xfId="6397" xr:uid="{00000000-0005-0000-0000-00005C0C0000}"/>
    <cellStyle name="Calculation 2 14 2 5 4 2" xfId="6400" xr:uid="{00000000-0005-0000-0000-00005D0C0000}"/>
    <cellStyle name="Calculation 2 14 2 5 4 3" xfId="6403" xr:uid="{00000000-0005-0000-0000-00005E0C0000}"/>
    <cellStyle name="Calculation 2 14 2 5 5" xfId="6404" xr:uid="{00000000-0005-0000-0000-00005F0C0000}"/>
    <cellStyle name="Calculation 2 14 2 5 5 2" xfId="6407" xr:uid="{00000000-0005-0000-0000-0000600C0000}"/>
    <cellStyle name="Calculation 2 14 2 5 5 3" xfId="6409" xr:uid="{00000000-0005-0000-0000-0000610C0000}"/>
    <cellStyle name="Calculation 2 14 2 5 6" xfId="6410" xr:uid="{00000000-0005-0000-0000-0000620C0000}"/>
    <cellStyle name="Calculation 2 14 2 5 7" xfId="6412" xr:uid="{00000000-0005-0000-0000-0000630C0000}"/>
    <cellStyle name="Calculation 2 14 2 6" xfId="6413" xr:uid="{00000000-0005-0000-0000-0000640C0000}"/>
    <cellStyle name="Calculation 2 14 2 6 2" xfId="6416" xr:uid="{00000000-0005-0000-0000-0000650C0000}"/>
    <cellStyle name="Calculation 2 14 2 6 2 2" xfId="6417" xr:uid="{00000000-0005-0000-0000-0000660C0000}"/>
    <cellStyle name="Calculation 2 14 2 6 2 3" xfId="3436" xr:uid="{00000000-0005-0000-0000-0000670C0000}"/>
    <cellStyle name="Calculation 2 14 2 6 2 4" xfId="3444" xr:uid="{00000000-0005-0000-0000-0000680C0000}"/>
    <cellStyle name="Calculation 2 14 2 6 3" xfId="6418" xr:uid="{00000000-0005-0000-0000-0000690C0000}"/>
    <cellStyle name="Calculation 2 14 2 6 3 2" xfId="2707" xr:uid="{00000000-0005-0000-0000-00006A0C0000}"/>
    <cellStyle name="Calculation 2 14 2 6 3 3" xfId="3452" xr:uid="{00000000-0005-0000-0000-00006B0C0000}"/>
    <cellStyle name="Calculation 2 14 2 6 3 4" xfId="3460" xr:uid="{00000000-0005-0000-0000-00006C0C0000}"/>
    <cellStyle name="Calculation 2 14 2 6 4" xfId="6420" xr:uid="{00000000-0005-0000-0000-00006D0C0000}"/>
    <cellStyle name="Calculation 2 14 2 6 4 2" xfId="6424" xr:uid="{00000000-0005-0000-0000-00006E0C0000}"/>
    <cellStyle name="Calculation 2 14 2 6 4 3" xfId="6426" xr:uid="{00000000-0005-0000-0000-00006F0C0000}"/>
    <cellStyle name="Calculation 2 14 2 6 5" xfId="6427" xr:uid="{00000000-0005-0000-0000-0000700C0000}"/>
    <cellStyle name="Calculation 2 14 2 6 5 2" xfId="6430" xr:uid="{00000000-0005-0000-0000-0000710C0000}"/>
    <cellStyle name="Calculation 2 14 2 6 5 3" xfId="6431" xr:uid="{00000000-0005-0000-0000-0000720C0000}"/>
    <cellStyle name="Calculation 2 14 2 6 6" xfId="6432" xr:uid="{00000000-0005-0000-0000-0000730C0000}"/>
    <cellStyle name="Calculation 2 14 2 6 7" xfId="6434" xr:uid="{00000000-0005-0000-0000-0000740C0000}"/>
    <cellStyle name="Calculation 2 14 2 7" xfId="6435" xr:uid="{00000000-0005-0000-0000-0000750C0000}"/>
    <cellStyle name="Calculation 2 14 2 7 2" xfId="6441" xr:uid="{00000000-0005-0000-0000-0000760C0000}"/>
    <cellStyle name="Calculation 2 14 2 7 2 2" xfId="6443" xr:uid="{00000000-0005-0000-0000-0000770C0000}"/>
    <cellStyle name="Calculation 2 14 2 7 2 3" xfId="6444" xr:uid="{00000000-0005-0000-0000-0000780C0000}"/>
    <cellStyle name="Calculation 2 14 2 7 2 4" xfId="6445" xr:uid="{00000000-0005-0000-0000-0000790C0000}"/>
    <cellStyle name="Calculation 2 14 2 7 3" xfId="6447" xr:uid="{00000000-0005-0000-0000-00007A0C0000}"/>
    <cellStyle name="Calculation 2 14 2 7 3 2" xfId="6449" xr:uid="{00000000-0005-0000-0000-00007B0C0000}"/>
    <cellStyle name="Calculation 2 14 2 7 3 3" xfId="6450" xr:uid="{00000000-0005-0000-0000-00007C0C0000}"/>
    <cellStyle name="Calculation 2 14 2 7 3 4" xfId="6451" xr:uid="{00000000-0005-0000-0000-00007D0C0000}"/>
    <cellStyle name="Calculation 2 14 2 7 4" xfId="6453" xr:uid="{00000000-0005-0000-0000-00007E0C0000}"/>
    <cellStyle name="Calculation 2 14 2 7 4 2" xfId="6457" xr:uid="{00000000-0005-0000-0000-00007F0C0000}"/>
    <cellStyle name="Calculation 2 14 2 7 4 3" xfId="6458" xr:uid="{00000000-0005-0000-0000-0000800C0000}"/>
    <cellStyle name="Calculation 2 14 2 7 5" xfId="6459" xr:uid="{00000000-0005-0000-0000-0000810C0000}"/>
    <cellStyle name="Calculation 2 14 2 7 5 2" xfId="6462" xr:uid="{00000000-0005-0000-0000-0000820C0000}"/>
    <cellStyle name="Calculation 2 14 2 7 5 3" xfId="6463" xr:uid="{00000000-0005-0000-0000-0000830C0000}"/>
    <cellStyle name="Calculation 2 14 2 7 6" xfId="6464" xr:uid="{00000000-0005-0000-0000-0000840C0000}"/>
    <cellStyle name="Calculation 2 14 2 7 7" xfId="478" xr:uid="{00000000-0005-0000-0000-0000850C0000}"/>
    <cellStyle name="Calculation 2 14 2 8" xfId="6468" xr:uid="{00000000-0005-0000-0000-0000860C0000}"/>
    <cellStyle name="Calculation 2 14 2 8 2" xfId="6472" xr:uid="{00000000-0005-0000-0000-0000870C0000}"/>
    <cellStyle name="Calculation 2 14 2 8 2 2" xfId="3533" xr:uid="{00000000-0005-0000-0000-0000880C0000}"/>
    <cellStyle name="Calculation 2 14 2 8 2 3" xfId="6474" xr:uid="{00000000-0005-0000-0000-0000890C0000}"/>
    <cellStyle name="Calculation 2 14 2 8 2 4" xfId="4293" xr:uid="{00000000-0005-0000-0000-00008A0C0000}"/>
    <cellStyle name="Calculation 2 14 2 8 3" xfId="6475" xr:uid="{00000000-0005-0000-0000-00008B0C0000}"/>
    <cellStyle name="Calculation 2 14 2 8 3 2" xfId="3541" xr:uid="{00000000-0005-0000-0000-00008C0C0000}"/>
    <cellStyle name="Calculation 2 14 2 8 3 3" xfId="6477" xr:uid="{00000000-0005-0000-0000-00008D0C0000}"/>
    <cellStyle name="Calculation 2 14 2 8 3 4" xfId="6478" xr:uid="{00000000-0005-0000-0000-00008E0C0000}"/>
    <cellStyle name="Calculation 2 14 2 8 4" xfId="6480" xr:uid="{00000000-0005-0000-0000-00008F0C0000}"/>
    <cellStyle name="Calculation 2 14 2 8 4 2" xfId="6484" xr:uid="{00000000-0005-0000-0000-0000900C0000}"/>
    <cellStyle name="Calculation 2 14 2 8 4 3" xfId="6485" xr:uid="{00000000-0005-0000-0000-0000910C0000}"/>
    <cellStyle name="Calculation 2 14 2 8 5" xfId="6486" xr:uid="{00000000-0005-0000-0000-0000920C0000}"/>
    <cellStyle name="Calculation 2 14 2 8 5 2" xfId="352" xr:uid="{00000000-0005-0000-0000-0000930C0000}"/>
    <cellStyle name="Calculation 2 14 2 8 5 3" xfId="6489" xr:uid="{00000000-0005-0000-0000-0000940C0000}"/>
    <cellStyle name="Calculation 2 14 2 8 6" xfId="6490" xr:uid="{00000000-0005-0000-0000-0000950C0000}"/>
    <cellStyle name="Calculation 2 14 2 8 7" xfId="6493" xr:uid="{00000000-0005-0000-0000-0000960C0000}"/>
    <cellStyle name="Calculation 2 14 2 9" xfId="4281" xr:uid="{00000000-0005-0000-0000-0000970C0000}"/>
    <cellStyle name="Calculation 2 14 2 9 2" xfId="3498" xr:uid="{00000000-0005-0000-0000-0000980C0000}"/>
    <cellStyle name="Calculation 2 14 2 9 2 2" xfId="3501" xr:uid="{00000000-0005-0000-0000-0000990C0000}"/>
    <cellStyle name="Calculation 2 14 2 9 2 3" xfId="3505" xr:uid="{00000000-0005-0000-0000-00009A0C0000}"/>
    <cellStyle name="Calculation 2 14 2 9 2 4" xfId="4318" xr:uid="{00000000-0005-0000-0000-00009B0C0000}"/>
    <cellStyle name="Calculation 2 14 2 9 3" xfId="3509" xr:uid="{00000000-0005-0000-0000-00009C0C0000}"/>
    <cellStyle name="Calculation 2 14 2 9 3 2" xfId="6495" xr:uid="{00000000-0005-0000-0000-00009D0C0000}"/>
    <cellStyle name="Calculation 2 14 2 9 3 3" xfId="6496" xr:uid="{00000000-0005-0000-0000-00009E0C0000}"/>
    <cellStyle name="Calculation 2 14 2 9 3 4" xfId="6497" xr:uid="{00000000-0005-0000-0000-00009F0C0000}"/>
    <cellStyle name="Calculation 2 14 2 9 4" xfId="3513" xr:uid="{00000000-0005-0000-0000-0000A00C0000}"/>
    <cellStyle name="Calculation 2 14 2 9 4 2" xfId="5394" xr:uid="{00000000-0005-0000-0000-0000A10C0000}"/>
    <cellStyle name="Calculation 2 14 2 9 4 3" xfId="6500" xr:uid="{00000000-0005-0000-0000-0000A20C0000}"/>
    <cellStyle name="Calculation 2 14 2 9 5" xfId="6501" xr:uid="{00000000-0005-0000-0000-0000A30C0000}"/>
    <cellStyle name="Calculation 2 14 2 9 5 2" xfId="5400" xr:uid="{00000000-0005-0000-0000-0000A40C0000}"/>
    <cellStyle name="Calculation 2 14 2 9 5 3" xfId="6504" xr:uid="{00000000-0005-0000-0000-0000A50C0000}"/>
    <cellStyle name="Calculation 2 14 2 9 6" xfId="6506" xr:uid="{00000000-0005-0000-0000-0000A60C0000}"/>
    <cellStyle name="Calculation 2 14 2 9 7" xfId="582" xr:uid="{00000000-0005-0000-0000-0000A70C0000}"/>
    <cellStyle name="Calculation 2 14 3" xfId="6509" xr:uid="{00000000-0005-0000-0000-0000A80C0000}"/>
    <cellStyle name="Calculation 2 14 3 10" xfId="1444" xr:uid="{00000000-0005-0000-0000-0000A90C0000}"/>
    <cellStyle name="Calculation 2 14 3 10 2" xfId="6512" xr:uid="{00000000-0005-0000-0000-0000AA0C0000}"/>
    <cellStyle name="Calculation 2 14 3 10 2 2" xfId="6516" xr:uid="{00000000-0005-0000-0000-0000AB0C0000}"/>
    <cellStyle name="Calculation 2 14 3 10 2 3" xfId="6520" xr:uid="{00000000-0005-0000-0000-0000AC0C0000}"/>
    <cellStyle name="Calculation 2 14 3 10 2 4" xfId="6522" xr:uid="{00000000-0005-0000-0000-0000AD0C0000}"/>
    <cellStyle name="Calculation 2 14 3 10 3" xfId="6525" xr:uid="{00000000-0005-0000-0000-0000AE0C0000}"/>
    <cellStyle name="Calculation 2 14 3 10 3 2" xfId="6529" xr:uid="{00000000-0005-0000-0000-0000AF0C0000}"/>
    <cellStyle name="Calculation 2 14 3 10 3 3" xfId="6531" xr:uid="{00000000-0005-0000-0000-0000B00C0000}"/>
    <cellStyle name="Calculation 2 14 3 10 3 4" xfId="6533" xr:uid="{00000000-0005-0000-0000-0000B10C0000}"/>
    <cellStyle name="Calculation 2 14 3 10 4" xfId="6535" xr:uid="{00000000-0005-0000-0000-0000B20C0000}"/>
    <cellStyle name="Calculation 2 14 3 10 4 2" xfId="6466" xr:uid="{00000000-0005-0000-0000-0000B30C0000}"/>
    <cellStyle name="Calculation 2 14 3 10 4 3" xfId="4280" xr:uid="{00000000-0005-0000-0000-0000B40C0000}"/>
    <cellStyle name="Calculation 2 14 3 10 5" xfId="6537" xr:uid="{00000000-0005-0000-0000-0000B50C0000}"/>
    <cellStyle name="Calculation 2 14 3 10 5 2" xfId="6543" xr:uid="{00000000-0005-0000-0000-0000B60C0000}"/>
    <cellStyle name="Calculation 2 14 3 10 5 3" xfId="1818" xr:uid="{00000000-0005-0000-0000-0000B70C0000}"/>
    <cellStyle name="Calculation 2 14 3 10 6" xfId="1428" xr:uid="{00000000-0005-0000-0000-0000B80C0000}"/>
    <cellStyle name="Calculation 2 14 3 10 7" xfId="858" xr:uid="{00000000-0005-0000-0000-0000B90C0000}"/>
    <cellStyle name="Calculation 2 14 3 11" xfId="6544" xr:uid="{00000000-0005-0000-0000-0000BA0C0000}"/>
    <cellStyle name="Calculation 2 14 3 11 2" xfId="6547" xr:uid="{00000000-0005-0000-0000-0000BB0C0000}"/>
    <cellStyle name="Calculation 2 14 3 11 3" xfId="6549" xr:uid="{00000000-0005-0000-0000-0000BC0C0000}"/>
    <cellStyle name="Calculation 2 14 3 11 4" xfId="6551" xr:uid="{00000000-0005-0000-0000-0000BD0C0000}"/>
    <cellStyle name="Calculation 2 14 3 12" xfId="6553" xr:uid="{00000000-0005-0000-0000-0000BE0C0000}"/>
    <cellStyle name="Calculation 2 14 3 12 2" xfId="4337" xr:uid="{00000000-0005-0000-0000-0000BF0C0000}"/>
    <cellStyle name="Calculation 2 14 3 12 3" xfId="4342" xr:uid="{00000000-0005-0000-0000-0000C00C0000}"/>
    <cellStyle name="Calculation 2 14 3 12 4" xfId="5053" xr:uid="{00000000-0005-0000-0000-0000C10C0000}"/>
    <cellStyle name="Calculation 2 14 3 13" xfId="6554" xr:uid="{00000000-0005-0000-0000-0000C20C0000}"/>
    <cellStyle name="Calculation 2 14 3 13 2" xfId="2800" xr:uid="{00000000-0005-0000-0000-0000C30C0000}"/>
    <cellStyle name="Calculation 2 14 3 13 3" xfId="4347" xr:uid="{00000000-0005-0000-0000-0000C40C0000}"/>
    <cellStyle name="Calculation 2 14 3 14" xfId="6555" xr:uid="{00000000-0005-0000-0000-0000C50C0000}"/>
    <cellStyle name="Calculation 2 14 3 14 2" xfId="4352" xr:uid="{00000000-0005-0000-0000-0000C60C0000}"/>
    <cellStyle name="Calculation 2 14 3 14 3" xfId="6557" xr:uid="{00000000-0005-0000-0000-0000C70C0000}"/>
    <cellStyle name="Calculation 2 14 3 15" xfId="3002" xr:uid="{00000000-0005-0000-0000-0000C80C0000}"/>
    <cellStyle name="Calculation 2 14 3 16" xfId="3005" xr:uid="{00000000-0005-0000-0000-0000C90C0000}"/>
    <cellStyle name="Calculation 2 14 3 2" xfId="5549" xr:uid="{00000000-0005-0000-0000-0000CA0C0000}"/>
    <cellStyle name="Calculation 2 14 3 2 2" xfId="5553" xr:uid="{00000000-0005-0000-0000-0000CB0C0000}"/>
    <cellStyle name="Calculation 2 14 3 2 2 2" xfId="2633" xr:uid="{00000000-0005-0000-0000-0000CC0C0000}"/>
    <cellStyle name="Calculation 2 14 3 2 2 3" xfId="2639" xr:uid="{00000000-0005-0000-0000-0000CD0C0000}"/>
    <cellStyle name="Calculation 2 14 3 2 2 4" xfId="3645" xr:uid="{00000000-0005-0000-0000-0000CE0C0000}"/>
    <cellStyle name="Calculation 2 14 3 2 3" xfId="1101" xr:uid="{00000000-0005-0000-0000-0000CF0C0000}"/>
    <cellStyle name="Calculation 2 14 3 2 3 2" xfId="1111" xr:uid="{00000000-0005-0000-0000-0000D00C0000}"/>
    <cellStyle name="Calculation 2 14 3 2 3 3" xfId="1198" xr:uid="{00000000-0005-0000-0000-0000D10C0000}"/>
    <cellStyle name="Calculation 2 14 3 2 3 4" xfId="1205" xr:uid="{00000000-0005-0000-0000-0000D20C0000}"/>
    <cellStyle name="Calculation 2 14 3 2 4" xfId="130" xr:uid="{00000000-0005-0000-0000-0000D30C0000}"/>
    <cellStyle name="Calculation 2 14 3 2 4 2" xfId="671" xr:uid="{00000000-0005-0000-0000-0000D40C0000}"/>
    <cellStyle name="Calculation 2 14 3 2 4 3" xfId="679" xr:uid="{00000000-0005-0000-0000-0000D50C0000}"/>
    <cellStyle name="Calculation 2 14 3 2 5" xfId="1230" xr:uid="{00000000-0005-0000-0000-0000D60C0000}"/>
    <cellStyle name="Calculation 2 14 3 2 5 2" xfId="20" xr:uid="{00000000-0005-0000-0000-0000D70C0000}"/>
    <cellStyle name="Calculation 2 14 3 2 5 3" xfId="1235" xr:uid="{00000000-0005-0000-0000-0000D80C0000}"/>
    <cellStyle name="Calculation 2 14 3 2 6" xfId="1241" xr:uid="{00000000-0005-0000-0000-0000D90C0000}"/>
    <cellStyle name="Calculation 2 14 3 2 7" xfId="1244" xr:uid="{00000000-0005-0000-0000-0000DA0C0000}"/>
    <cellStyle name="Calculation 2 14 3 3" xfId="5557" xr:uid="{00000000-0005-0000-0000-0000DB0C0000}"/>
    <cellStyle name="Calculation 2 14 3 3 2" xfId="5560" xr:uid="{00000000-0005-0000-0000-0000DC0C0000}"/>
    <cellStyle name="Calculation 2 14 3 3 2 2" xfId="6559" xr:uid="{00000000-0005-0000-0000-0000DD0C0000}"/>
    <cellStyle name="Calculation 2 14 3 3 2 3" xfId="3675" xr:uid="{00000000-0005-0000-0000-0000DE0C0000}"/>
    <cellStyle name="Calculation 2 14 3 3 2 4" xfId="3679" xr:uid="{00000000-0005-0000-0000-0000DF0C0000}"/>
    <cellStyle name="Calculation 2 14 3 3 3" xfId="1896" xr:uid="{00000000-0005-0000-0000-0000E00C0000}"/>
    <cellStyle name="Calculation 2 14 3 3 3 2" xfId="1899" xr:uid="{00000000-0005-0000-0000-0000E10C0000}"/>
    <cellStyle name="Calculation 2 14 3 3 3 3" xfId="3686" xr:uid="{00000000-0005-0000-0000-0000E20C0000}"/>
    <cellStyle name="Calculation 2 14 3 3 3 4" xfId="1677" xr:uid="{00000000-0005-0000-0000-0000E30C0000}"/>
    <cellStyle name="Calculation 2 14 3 3 4" xfId="6561" xr:uid="{00000000-0005-0000-0000-0000E40C0000}"/>
    <cellStyle name="Calculation 2 14 3 3 4 2" xfId="1939" xr:uid="{00000000-0005-0000-0000-0000E50C0000}"/>
    <cellStyle name="Calculation 2 14 3 3 4 3" xfId="6563" xr:uid="{00000000-0005-0000-0000-0000E60C0000}"/>
    <cellStyle name="Calculation 2 14 3 3 5" xfId="6564" xr:uid="{00000000-0005-0000-0000-0000E70C0000}"/>
    <cellStyle name="Calculation 2 14 3 3 5 2" xfId="6567" xr:uid="{00000000-0005-0000-0000-0000E80C0000}"/>
    <cellStyle name="Calculation 2 14 3 3 5 3" xfId="6569" xr:uid="{00000000-0005-0000-0000-0000E90C0000}"/>
    <cellStyle name="Calculation 2 14 3 3 6" xfId="6570" xr:uid="{00000000-0005-0000-0000-0000EA0C0000}"/>
    <cellStyle name="Calculation 2 14 3 3 7" xfId="6572" xr:uid="{00000000-0005-0000-0000-0000EB0C0000}"/>
    <cellStyle name="Calculation 2 14 3 4" xfId="5564" xr:uid="{00000000-0005-0000-0000-0000EC0C0000}"/>
    <cellStyle name="Calculation 2 14 3 4 2" xfId="6577" xr:uid="{00000000-0005-0000-0000-0000ED0C0000}"/>
    <cellStyle name="Calculation 2 14 3 4 2 2" xfId="6579" xr:uid="{00000000-0005-0000-0000-0000EE0C0000}"/>
    <cellStyle name="Calculation 2 14 3 4 2 3" xfId="3718" xr:uid="{00000000-0005-0000-0000-0000EF0C0000}"/>
    <cellStyle name="Calculation 2 14 3 4 2 4" xfId="3723" xr:uid="{00000000-0005-0000-0000-0000F00C0000}"/>
    <cellStyle name="Calculation 2 14 3 4 3" xfId="6586" xr:uid="{00000000-0005-0000-0000-0000F10C0000}"/>
    <cellStyle name="Calculation 2 14 3 4 3 2" xfId="36" xr:uid="{00000000-0005-0000-0000-0000F20C0000}"/>
    <cellStyle name="Calculation 2 14 3 4 3 3" xfId="3732" xr:uid="{00000000-0005-0000-0000-0000F30C0000}"/>
    <cellStyle name="Calculation 2 14 3 4 3 4" xfId="3735" xr:uid="{00000000-0005-0000-0000-0000F40C0000}"/>
    <cellStyle name="Calculation 2 14 3 4 4" xfId="1683" xr:uid="{00000000-0005-0000-0000-0000F50C0000}"/>
    <cellStyle name="Calculation 2 14 3 4 4 2" xfId="3546" xr:uid="{00000000-0005-0000-0000-0000F60C0000}"/>
    <cellStyle name="Calculation 2 14 3 4 4 3" xfId="3549" xr:uid="{00000000-0005-0000-0000-0000F70C0000}"/>
    <cellStyle name="Calculation 2 14 3 4 5" xfId="6587" xr:uid="{00000000-0005-0000-0000-0000F80C0000}"/>
    <cellStyle name="Calculation 2 14 3 4 5 2" xfId="6591" xr:uid="{00000000-0005-0000-0000-0000F90C0000}"/>
    <cellStyle name="Calculation 2 14 3 4 5 3" xfId="6594" xr:uid="{00000000-0005-0000-0000-0000FA0C0000}"/>
    <cellStyle name="Calculation 2 14 3 4 6" xfId="6596" xr:uid="{00000000-0005-0000-0000-0000FB0C0000}"/>
    <cellStyle name="Calculation 2 14 3 4 7" xfId="6598" xr:uid="{00000000-0005-0000-0000-0000FC0C0000}"/>
    <cellStyle name="Calculation 2 14 3 5" xfId="5567" xr:uid="{00000000-0005-0000-0000-0000FD0C0000}"/>
    <cellStyle name="Calculation 2 14 3 5 2" xfId="6601" xr:uid="{00000000-0005-0000-0000-0000FE0C0000}"/>
    <cellStyle name="Calculation 2 14 3 5 2 2" xfId="6604" xr:uid="{00000000-0005-0000-0000-0000FF0C0000}"/>
    <cellStyle name="Calculation 2 14 3 5 2 3" xfId="3782" xr:uid="{00000000-0005-0000-0000-0000000D0000}"/>
    <cellStyle name="Calculation 2 14 3 5 2 4" xfId="3789" xr:uid="{00000000-0005-0000-0000-0000010D0000}"/>
    <cellStyle name="Calculation 2 14 3 5 3" xfId="6610" xr:uid="{00000000-0005-0000-0000-0000020D0000}"/>
    <cellStyle name="Calculation 2 14 3 5 3 2" xfId="6614" xr:uid="{00000000-0005-0000-0000-0000030D0000}"/>
    <cellStyle name="Calculation 2 14 3 5 3 3" xfId="3801" xr:uid="{00000000-0005-0000-0000-0000040D0000}"/>
    <cellStyle name="Calculation 2 14 3 5 3 4" xfId="1707" xr:uid="{00000000-0005-0000-0000-0000050D0000}"/>
    <cellStyle name="Calculation 2 14 3 5 4" xfId="6619" xr:uid="{00000000-0005-0000-0000-0000060D0000}"/>
    <cellStyle name="Calculation 2 14 3 5 4 2" xfId="6623" xr:uid="{00000000-0005-0000-0000-0000070D0000}"/>
    <cellStyle name="Calculation 2 14 3 5 4 3" xfId="6627" xr:uid="{00000000-0005-0000-0000-0000080D0000}"/>
    <cellStyle name="Calculation 2 14 3 5 5" xfId="6631" xr:uid="{00000000-0005-0000-0000-0000090D0000}"/>
    <cellStyle name="Calculation 2 14 3 5 5 2" xfId="6636" xr:uid="{00000000-0005-0000-0000-00000A0D0000}"/>
    <cellStyle name="Calculation 2 14 3 5 5 3" xfId="6639" xr:uid="{00000000-0005-0000-0000-00000B0D0000}"/>
    <cellStyle name="Calculation 2 14 3 5 6" xfId="1653" xr:uid="{00000000-0005-0000-0000-00000C0D0000}"/>
    <cellStyle name="Calculation 2 14 3 5 7" xfId="717" xr:uid="{00000000-0005-0000-0000-00000D0D0000}"/>
    <cellStyle name="Calculation 2 14 3 6" xfId="6640" xr:uid="{00000000-0005-0000-0000-00000E0D0000}"/>
    <cellStyle name="Calculation 2 14 3 6 2" xfId="6644" xr:uid="{00000000-0005-0000-0000-00000F0D0000}"/>
    <cellStyle name="Calculation 2 14 3 6 2 2" xfId="6646" xr:uid="{00000000-0005-0000-0000-0000100D0000}"/>
    <cellStyle name="Calculation 2 14 3 6 2 3" xfId="3858" xr:uid="{00000000-0005-0000-0000-0000110D0000}"/>
    <cellStyle name="Calculation 2 14 3 6 2 4" xfId="3867" xr:uid="{00000000-0005-0000-0000-0000120D0000}"/>
    <cellStyle name="Calculation 2 14 3 6 3" xfId="6648" xr:uid="{00000000-0005-0000-0000-0000130D0000}"/>
    <cellStyle name="Calculation 2 14 3 6 3 2" xfId="6651" xr:uid="{00000000-0005-0000-0000-0000140D0000}"/>
    <cellStyle name="Calculation 2 14 3 6 3 3" xfId="3881" xr:uid="{00000000-0005-0000-0000-0000150D0000}"/>
    <cellStyle name="Calculation 2 14 3 6 3 4" xfId="3889" xr:uid="{00000000-0005-0000-0000-0000160D0000}"/>
    <cellStyle name="Calculation 2 14 3 6 4" xfId="6653" xr:uid="{00000000-0005-0000-0000-0000170D0000}"/>
    <cellStyle name="Calculation 2 14 3 6 4 2" xfId="5696" xr:uid="{00000000-0005-0000-0000-0000180D0000}"/>
    <cellStyle name="Calculation 2 14 3 6 4 3" xfId="6656" xr:uid="{00000000-0005-0000-0000-0000190D0000}"/>
    <cellStyle name="Calculation 2 14 3 6 5" xfId="6657" xr:uid="{00000000-0005-0000-0000-00001A0D0000}"/>
    <cellStyle name="Calculation 2 14 3 6 5 2" xfId="5709" xr:uid="{00000000-0005-0000-0000-00001B0D0000}"/>
    <cellStyle name="Calculation 2 14 3 6 5 3" xfId="1992" xr:uid="{00000000-0005-0000-0000-00001C0D0000}"/>
    <cellStyle name="Calculation 2 14 3 6 6" xfId="6660" xr:uid="{00000000-0005-0000-0000-00001D0D0000}"/>
    <cellStyle name="Calculation 2 14 3 6 7" xfId="6662" xr:uid="{00000000-0005-0000-0000-00001E0D0000}"/>
    <cellStyle name="Calculation 2 14 3 7" xfId="6663" xr:uid="{00000000-0005-0000-0000-00001F0D0000}"/>
    <cellStyle name="Calculation 2 14 3 7 2" xfId="6670" xr:uid="{00000000-0005-0000-0000-0000200D0000}"/>
    <cellStyle name="Calculation 2 14 3 7 2 2" xfId="6672" xr:uid="{00000000-0005-0000-0000-0000210D0000}"/>
    <cellStyle name="Calculation 2 14 3 7 2 3" xfId="6675" xr:uid="{00000000-0005-0000-0000-0000220D0000}"/>
    <cellStyle name="Calculation 2 14 3 7 2 4" xfId="6677" xr:uid="{00000000-0005-0000-0000-0000230D0000}"/>
    <cellStyle name="Calculation 2 14 3 7 3" xfId="6679" xr:uid="{00000000-0005-0000-0000-0000240D0000}"/>
    <cellStyle name="Calculation 2 14 3 7 3 2" xfId="6681" xr:uid="{00000000-0005-0000-0000-0000250D0000}"/>
    <cellStyle name="Calculation 2 14 3 7 3 3" xfId="6684" xr:uid="{00000000-0005-0000-0000-0000260D0000}"/>
    <cellStyle name="Calculation 2 14 3 7 3 4" xfId="6686" xr:uid="{00000000-0005-0000-0000-0000270D0000}"/>
    <cellStyle name="Calculation 2 14 3 7 4" xfId="6688" xr:uid="{00000000-0005-0000-0000-0000280D0000}"/>
    <cellStyle name="Calculation 2 14 3 7 4 2" xfId="6692" xr:uid="{00000000-0005-0000-0000-0000290D0000}"/>
    <cellStyle name="Calculation 2 14 3 7 4 3" xfId="6694" xr:uid="{00000000-0005-0000-0000-00002A0D0000}"/>
    <cellStyle name="Calculation 2 14 3 7 5" xfId="6696" xr:uid="{00000000-0005-0000-0000-00002B0D0000}"/>
    <cellStyle name="Calculation 2 14 3 7 5 2" xfId="6699" xr:uid="{00000000-0005-0000-0000-00002C0D0000}"/>
    <cellStyle name="Calculation 2 14 3 7 5 3" xfId="3120" xr:uid="{00000000-0005-0000-0000-00002D0D0000}"/>
    <cellStyle name="Calculation 2 14 3 7 6" xfId="6701" xr:uid="{00000000-0005-0000-0000-00002E0D0000}"/>
    <cellStyle name="Calculation 2 14 3 7 7" xfId="1311" xr:uid="{00000000-0005-0000-0000-00002F0D0000}"/>
    <cellStyle name="Calculation 2 14 3 8" xfId="6539" xr:uid="{00000000-0005-0000-0000-0000300D0000}"/>
    <cellStyle name="Calculation 2 14 3 8 2" xfId="5338" xr:uid="{00000000-0005-0000-0000-0000310D0000}"/>
    <cellStyle name="Calculation 2 14 3 8 2 2" xfId="5341" xr:uid="{00000000-0005-0000-0000-0000320D0000}"/>
    <cellStyle name="Calculation 2 14 3 8 2 3" xfId="5345" xr:uid="{00000000-0005-0000-0000-0000330D0000}"/>
    <cellStyle name="Calculation 2 14 3 8 2 4" xfId="110" xr:uid="{00000000-0005-0000-0000-0000340D0000}"/>
    <cellStyle name="Calculation 2 14 3 8 3" xfId="5348" xr:uid="{00000000-0005-0000-0000-0000350D0000}"/>
    <cellStyle name="Calculation 2 14 3 8 3 2" xfId="2343" xr:uid="{00000000-0005-0000-0000-0000360D0000}"/>
    <cellStyle name="Calculation 2 14 3 8 3 3" xfId="5351" xr:uid="{00000000-0005-0000-0000-0000370D0000}"/>
    <cellStyle name="Calculation 2 14 3 8 3 4" xfId="6703" xr:uid="{00000000-0005-0000-0000-0000380D0000}"/>
    <cellStyle name="Calculation 2 14 3 8 4" xfId="5354" xr:uid="{00000000-0005-0000-0000-0000390D0000}"/>
    <cellStyle name="Calculation 2 14 3 8 4 2" xfId="5360" xr:uid="{00000000-0005-0000-0000-00003A0D0000}"/>
    <cellStyle name="Calculation 2 14 3 8 4 3" xfId="5363" xr:uid="{00000000-0005-0000-0000-00003B0D0000}"/>
    <cellStyle name="Calculation 2 14 3 8 5" xfId="5365" xr:uid="{00000000-0005-0000-0000-00003C0D0000}"/>
    <cellStyle name="Calculation 2 14 3 8 5 2" xfId="1218" xr:uid="{00000000-0005-0000-0000-00003D0D0000}"/>
    <cellStyle name="Calculation 2 14 3 8 5 3" xfId="2043" xr:uid="{00000000-0005-0000-0000-00003E0D0000}"/>
    <cellStyle name="Calculation 2 14 3 8 6" xfId="5371" xr:uid="{00000000-0005-0000-0000-00003F0D0000}"/>
    <cellStyle name="Calculation 2 14 3 8 7" xfId="6705" xr:uid="{00000000-0005-0000-0000-0000400D0000}"/>
    <cellStyle name="Calculation 2 14 3 9" xfId="1821" xr:uid="{00000000-0005-0000-0000-0000410D0000}"/>
    <cellStyle name="Calculation 2 14 3 9 2" xfId="3480" xr:uid="{00000000-0005-0000-0000-0000420D0000}"/>
    <cellStyle name="Calculation 2 14 3 9 2 2" xfId="6707" xr:uid="{00000000-0005-0000-0000-0000430D0000}"/>
    <cellStyle name="Calculation 2 14 3 9 2 3" xfId="6711" xr:uid="{00000000-0005-0000-0000-0000440D0000}"/>
    <cellStyle name="Calculation 2 14 3 9 2 4" xfId="4605" xr:uid="{00000000-0005-0000-0000-0000450D0000}"/>
    <cellStyle name="Calculation 2 14 3 9 3" xfId="4301" xr:uid="{00000000-0005-0000-0000-0000460D0000}"/>
    <cellStyle name="Calculation 2 14 3 9 3 2" xfId="6714" xr:uid="{00000000-0005-0000-0000-0000470D0000}"/>
    <cellStyle name="Calculation 2 14 3 9 3 3" xfId="6716" xr:uid="{00000000-0005-0000-0000-0000480D0000}"/>
    <cellStyle name="Calculation 2 14 3 9 3 4" xfId="6718" xr:uid="{00000000-0005-0000-0000-0000490D0000}"/>
    <cellStyle name="Calculation 2 14 3 9 4" xfId="4305" xr:uid="{00000000-0005-0000-0000-00004A0D0000}"/>
    <cellStyle name="Calculation 2 14 3 9 4 2" xfId="4546" xr:uid="{00000000-0005-0000-0000-00004B0D0000}"/>
    <cellStyle name="Calculation 2 14 3 9 4 3" xfId="4549" xr:uid="{00000000-0005-0000-0000-00004C0D0000}"/>
    <cellStyle name="Calculation 2 14 3 9 5" xfId="6721" xr:uid="{00000000-0005-0000-0000-00004D0D0000}"/>
    <cellStyle name="Calculation 2 14 3 9 5 2" xfId="6723" xr:uid="{00000000-0005-0000-0000-00004E0D0000}"/>
    <cellStyle name="Calculation 2 14 3 9 5 3" xfId="2089" xr:uid="{00000000-0005-0000-0000-00004F0D0000}"/>
    <cellStyle name="Calculation 2 14 3 9 6" xfId="6726" xr:uid="{00000000-0005-0000-0000-0000500D0000}"/>
    <cellStyle name="Calculation 2 14 3 9 7" xfId="6728" xr:uid="{00000000-0005-0000-0000-0000510D0000}"/>
    <cellStyle name="Calculation 2 14 4" xfId="2159" xr:uid="{00000000-0005-0000-0000-0000520D0000}"/>
    <cellStyle name="Calculation 2 14 4 2" xfId="2164" xr:uid="{00000000-0005-0000-0000-0000530D0000}"/>
    <cellStyle name="Calculation 2 14 4 2 2" xfId="2172" xr:uid="{00000000-0005-0000-0000-0000540D0000}"/>
    <cellStyle name="Calculation 2 14 4 2 3" xfId="2965" xr:uid="{00000000-0005-0000-0000-0000550D0000}"/>
    <cellStyle name="Calculation 2 14 4 2 4" xfId="2969" xr:uid="{00000000-0005-0000-0000-0000560D0000}"/>
    <cellStyle name="Calculation 2 14 4 3" xfId="5581" xr:uid="{00000000-0005-0000-0000-0000570D0000}"/>
    <cellStyle name="Calculation 2 14 4 3 2" xfId="5583" xr:uid="{00000000-0005-0000-0000-0000580D0000}"/>
    <cellStyle name="Calculation 2 14 4 3 3" xfId="117" xr:uid="{00000000-0005-0000-0000-0000590D0000}"/>
    <cellStyle name="Calculation 2 14 4 3 4" xfId="6730" xr:uid="{00000000-0005-0000-0000-00005A0D0000}"/>
    <cellStyle name="Calculation 2 14 4 4" xfId="5586" xr:uid="{00000000-0005-0000-0000-00005B0D0000}"/>
    <cellStyle name="Calculation 2 14 4 4 2" xfId="4158" xr:uid="{00000000-0005-0000-0000-00005C0D0000}"/>
    <cellStyle name="Calculation 2 14 4 4 3" xfId="4171" xr:uid="{00000000-0005-0000-0000-00005D0D0000}"/>
    <cellStyle name="Calculation 2 14 4 5" xfId="5589" xr:uid="{00000000-0005-0000-0000-00005E0D0000}"/>
    <cellStyle name="Calculation 2 14 4 5 2" xfId="6734" xr:uid="{00000000-0005-0000-0000-00005F0D0000}"/>
    <cellStyle name="Calculation 2 14 4 5 3" xfId="6737" xr:uid="{00000000-0005-0000-0000-0000600D0000}"/>
    <cellStyle name="Calculation 2 14 4 6" xfId="6738" xr:uid="{00000000-0005-0000-0000-0000610D0000}"/>
    <cellStyle name="Calculation 2 14 4 7" xfId="6739" xr:uid="{00000000-0005-0000-0000-0000620D0000}"/>
    <cellStyle name="Calculation 2 14 5" xfId="2174" xr:uid="{00000000-0005-0000-0000-0000630D0000}"/>
    <cellStyle name="Calculation 2 14 5 2" xfId="6744" xr:uid="{00000000-0005-0000-0000-0000640D0000}"/>
    <cellStyle name="Calculation 2 14 5 2 2" xfId="6746" xr:uid="{00000000-0005-0000-0000-0000650D0000}"/>
    <cellStyle name="Calculation 2 14 5 2 3" xfId="6747" xr:uid="{00000000-0005-0000-0000-0000660D0000}"/>
    <cellStyle name="Calculation 2 14 5 2 4" xfId="6748" xr:uid="{00000000-0005-0000-0000-0000670D0000}"/>
    <cellStyle name="Calculation 2 14 5 3" xfId="6749" xr:uid="{00000000-0005-0000-0000-0000680D0000}"/>
    <cellStyle name="Calculation 2 14 5 3 2" xfId="6751" xr:uid="{00000000-0005-0000-0000-0000690D0000}"/>
    <cellStyle name="Calculation 2 14 5 3 3" xfId="6752" xr:uid="{00000000-0005-0000-0000-00006A0D0000}"/>
    <cellStyle name="Calculation 2 14 5 3 4" xfId="6753" xr:uid="{00000000-0005-0000-0000-00006B0D0000}"/>
    <cellStyle name="Calculation 2 14 5 4" xfId="6276" xr:uid="{00000000-0005-0000-0000-00006C0D0000}"/>
    <cellStyle name="Calculation 2 14 5 4 2" xfId="6283" xr:uid="{00000000-0005-0000-0000-00006D0D0000}"/>
    <cellStyle name="Calculation 2 14 5 4 3" xfId="6289" xr:uid="{00000000-0005-0000-0000-00006E0D0000}"/>
    <cellStyle name="Calculation 2 14 5 5" xfId="6298" xr:uid="{00000000-0005-0000-0000-00006F0D0000}"/>
    <cellStyle name="Calculation 2 14 5 5 2" xfId="908" xr:uid="{00000000-0005-0000-0000-0000700D0000}"/>
    <cellStyle name="Calculation 2 14 5 5 3" xfId="289" xr:uid="{00000000-0005-0000-0000-0000710D0000}"/>
    <cellStyle name="Calculation 2 14 5 6" xfId="6300" xr:uid="{00000000-0005-0000-0000-0000720D0000}"/>
    <cellStyle name="Calculation 2 14 5 7" xfId="6305" xr:uid="{00000000-0005-0000-0000-0000730D0000}"/>
    <cellStyle name="Calculation 2 14 6" xfId="6755" xr:uid="{00000000-0005-0000-0000-0000740D0000}"/>
    <cellStyle name="Calculation 2 14 6 2" xfId="6756" xr:uid="{00000000-0005-0000-0000-0000750D0000}"/>
    <cellStyle name="Calculation 2 14 6 2 2" xfId="4887" xr:uid="{00000000-0005-0000-0000-0000760D0000}"/>
    <cellStyle name="Calculation 2 14 6 2 3" xfId="6037" xr:uid="{00000000-0005-0000-0000-0000770D0000}"/>
    <cellStyle name="Calculation 2 14 6 2 4" xfId="6042" xr:uid="{00000000-0005-0000-0000-0000780D0000}"/>
    <cellStyle name="Calculation 2 14 6 3" xfId="6758" xr:uid="{00000000-0005-0000-0000-0000790D0000}"/>
    <cellStyle name="Calculation 2 14 6 3 2" xfId="4897" xr:uid="{00000000-0005-0000-0000-00007A0D0000}"/>
    <cellStyle name="Calculation 2 14 6 3 3" xfId="6760" xr:uid="{00000000-0005-0000-0000-00007B0D0000}"/>
    <cellStyle name="Calculation 2 14 6 3 4" xfId="6761" xr:uid="{00000000-0005-0000-0000-00007C0D0000}"/>
    <cellStyle name="Calculation 2 14 6 4" xfId="6313" xr:uid="{00000000-0005-0000-0000-00007D0D0000}"/>
    <cellStyle name="Calculation 2 14 6 4 2" xfId="6762" xr:uid="{00000000-0005-0000-0000-00007E0D0000}"/>
    <cellStyle name="Calculation 2 14 6 4 3" xfId="6763" xr:uid="{00000000-0005-0000-0000-00007F0D0000}"/>
    <cellStyle name="Calculation 2 14 6 5" xfId="6315" xr:uid="{00000000-0005-0000-0000-0000800D0000}"/>
    <cellStyle name="Calculation 2 14 6 5 2" xfId="6764" xr:uid="{00000000-0005-0000-0000-0000810D0000}"/>
    <cellStyle name="Calculation 2 14 6 5 3" xfId="6765" xr:uid="{00000000-0005-0000-0000-0000820D0000}"/>
    <cellStyle name="Calculation 2 14 6 6" xfId="6317" xr:uid="{00000000-0005-0000-0000-0000830D0000}"/>
    <cellStyle name="Calculation 2 14 6 7" xfId="6766" xr:uid="{00000000-0005-0000-0000-0000840D0000}"/>
    <cellStyle name="Calculation 2 14 7" xfId="5794" xr:uid="{00000000-0005-0000-0000-0000850D0000}"/>
    <cellStyle name="Calculation 2 14 7 2" xfId="6769" xr:uid="{00000000-0005-0000-0000-0000860D0000}"/>
    <cellStyle name="Calculation 2 14 7 2 2" xfId="4943" xr:uid="{00000000-0005-0000-0000-0000870D0000}"/>
    <cellStyle name="Calculation 2 14 7 2 3" xfId="2464" xr:uid="{00000000-0005-0000-0000-0000880D0000}"/>
    <cellStyle name="Calculation 2 14 7 2 4" xfId="6062" xr:uid="{00000000-0005-0000-0000-0000890D0000}"/>
    <cellStyle name="Calculation 2 14 7 3" xfId="6771" xr:uid="{00000000-0005-0000-0000-00008A0D0000}"/>
    <cellStyle name="Calculation 2 14 7 3 2" xfId="4954" xr:uid="{00000000-0005-0000-0000-00008B0D0000}"/>
    <cellStyle name="Calculation 2 14 7 3 3" xfId="1261" xr:uid="{00000000-0005-0000-0000-00008C0D0000}"/>
    <cellStyle name="Calculation 2 14 7 3 4" xfId="1281" xr:uid="{00000000-0005-0000-0000-00008D0D0000}"/>
    <cellStyle name="Calculation 2 14 7 4" xfId="6319" xr:uid="{00000000-0005-0000-0000-00008E0D0000}"/>
    <cellStyle name="Calculation 2 14 7 4 2" xfId="6772" xr:uid="{00000000-0005-0000-0000-00008F0D0000}"/>
    <cellStyle name="Calculation 2 14 7 4 3" xfId="2480" xr:uid="{00000000-0005-0000-0000-0000900D0000}"/>
    <cellStyle name="Calculation 2 14 7 5" xfId="6321" xr:uid="{00000000-0005-0000-0000-0000910D0000}"/>
    <cellStyle name="Calculation 2 14 7 5 2" xfId="6773" xr:uid="{00000000-0005-0000-0000-0000920D0000}"/>
    <cellStyle name="Calculation 2 14 7 5 3" xfId="6774" xr:uid="{00000000-0005-0000-0000-0000930D0000}"/>
    <cellStyle name="Calculation 2 14 7 6" xfId="6324" xr:uid="{00000000-0005-0000-0000-0000940D0000}"/>
    <cellStyle name="Calculation 2 14 7 7" xfId="6775" xr:uid="{00000000-0005-0000-0000-0000950D0000}"/>
    <cellStyle name="Calculation 2 14 8" xfId="3348" xr:uid="{00000000-0005-0000-0000-0000960D0000}"/>
    <cellStyle name="Calculation 2 14 8 2" xfId="3352" xr:uid="{00000000-0005-0000-0000-0000970D0000}"/>
    <cellStyle name="Calculation 2 14 8 2 2" xfId="5004" xr:uid="{00000000-0005-0000-0000-0000980D0000}"/>
    <cellStyle name="Calculation 2 14 8 2 3" xfId="6090" xr:uid="{00000000-0005-0000-0000-0000990D0000}"/>
    <cellStyle name="Calculation 2 14 8 2 4" xfId="6094" xr:uid="{00000000-0005-0000-0000-00009A0D0000}"/>
    <cellStyle name="Calculation 2 14 8 3" xfId="3355" xr:uid="{00000000-0005-0000-0000-00009B0D0000}"/>
    <cellStyle name="Calculation 2 14 8 3 2" xfId="51" xr:uid="{00000000-0005-0000-0000-00009C0D0000}"/>
    <cellStyle name="Calculation 2 14 8 3 3" xfId="6778" xr:uid="{00000000-0005-0000-0000-00009D0D0000}"/>
    <cellStyle name="Calculation 2 14 8 3 4" xfId="6779" xr:uid="{00000000-0005-0000-0000-00009E0D0000}"/>
    <cellStyle name="Calculation 2 14 8 4" xfId="3359" xr:uid="{00000000-0005-0000-0000-00009F0D0000}"/>
    <cellStyle name="Calculation 2 14 8 4 2" xfId="6780" xr:uid="{00000000-0005-0000-0000-0000A00D0000}"/>
    <cellStyle name="Calculation 2 14 8 4 3" xfId="6781" xr:uid="{00000000-0005-0000-0000-0000A10D0000}"/>
    <cellStyle name="Calculation 2 14 8 5" xfId="6327" xr:uid="{00000000-0005-0000-0000-0000A20D0000}"/>
    <cellStyle name="Calculation 2 14 8 5 2" xfId="6782" xr:uid="{00000000-0005-0000-0000-0000A30D0000}"/>
    <cellStyle name="Calculation 2 14 8 5 3" xfId="2131" xr:uid="{00000000-0005-0000-0000-0000A40D0000}"/>
    <cellStyle name="Calculation 2 14 8 6" xfId="6783" xr:uid="{00000000-0005-0000-0000-0000A50D0000}"/>
    <cellStyle name="Calculation 2 14 8 7" xfId="2576" xr:uid="{00000000-0005-0000-0000-0000A60D0000}"/>
    <cellStyle name="Calculation 2 14 9" xfId="2751" xr:uid="{00000000-0005-0000-0000-0000A70D0000}"/>
    <cellStyle name="Calculation 2 14 9 2" xfId="3362" xr:uid="{00000000-0005-0000-0000-0000A80D0000}"/>
    <cellStyle name="Calculation 2 14 9 2 2" xfId="4124" xr:uid="{00000000-0005-0000-0000-0000A90D0000}"/>
    <cellStyle name="Calculation 2 14 9 2 3" xfId="4129" xr:uid="{00000000-0005-0000-0000-0000AA0D0000}"/>
    <cellStyle name="Calculation 2 14 9 2 4" xfId="4136" xr:uid="{00000000-0005-0000-0000-0000AB0D0000}"/>
    <cellStyle name="Calculation 2 14 9 3" xfId="3366" xr:uid="{00000000-0005-0000-0000-0000AC0D0000}"/>
    <cellStyle name="Calculation 2 14 9 3 2" xfId="6785" xr:uid="{00000000-0005-0000-0000-0000AD0D0000}"/>
    <cellStyle name="Calculation 2 14 9 3 3" xfId="6786" xr:uid="{00000000-0005-0000-0000-0000AE0D0000}"/>
    <cellStyle name="Calculation 2 14 9 3 4" xfId="6787" xr:uid="{00000000-0005-0000-0000-0000AF0D0000}"/>
    <cellStyle name="Calculation 2 14 9 4" xfId="3371" xr:uid="{00000000-0005-0000-0000-0000B00D0000}"/>
    <cellStyle name="Calculation 2 14 9 4 2" xfId="6788" xr:uid="{00000000-0005-0000-0000-0000B10D0000}"/>
    <cellStyle name="Calculation 2 14 9 4 3" xfId="6789" xr:uid="{00000000-0005-0000-0000-0000B20D0000}"/>
    <cellStyle name="Calculation 2 14 9 5" xfId="6331" xr:uid="{00000000-0005-0000-0000-0000B30D0000}"/>
    <cellStyle name="Calculation 2 14 9 5 2" xfId="6790" xr:uid="{00000000-0005-0000-0000-0000B40D0000}"/>
    <cellStyle name="Calculation 2 14 9 5 3" xfId="6792" xr:uid="{00000000-0005-0000-0000-0000B50D0000}"/>
    <cellStyle name="Calculation 2 14 9 6" xfId="4854" xr:uid="{00000000-0005-0000-0000-0000B60D0000}"/>
    <cellStyle name="Calculation 2 14 9 7" xfId="4860" xr:uid="{00000000-0005-0000-0000-0000B70D0000}"/>
    <cellStyle name="Calculation 2 15" xfId="234" xr:uid="{00000000-0005-0000-0000-0000B80D0000}"/>
    <cellStyle name="Calculation 2 15 10" xfId="3277" xr:uid="{00000000-0005-0000-0000-0000B90D0000}"/>
    <cellStyle name="Calculation 2 15 10 2" xfId="3668" xr:uid="{00000000-0005-0000-0000-0000BA0D0000}"/>
    <cellStyle name="Calculation 2 15 10 2 2" xfId="4874" xr:uid="{00000000-0005-0000-0000-0000BB0D0000}"/>
    <cellStyle name="Calculation 2 15 10 2 3" xfId="4884" xr:uid="{00000000-0005-0000-0000-0000BC0D0000}"/>
    <cellStyle name="Calculation 2 15 10 2 4" xfId="4891" xr:uid="{00000000-0005-0000-0000-0000BD0D0000}"/>
    <cellStyle name="Calculation 2 15 10 3" xfId="6237" xr:uid="{00000000-0005-0000-0000-0000BE0D0000}"/>
    <cellStyle name="Calculation 2 15 10 3 2" xfId="4923" xr:uid="{00000000-0005-0000-0000-0000BF0D0000}"/>
    <cellStyle name="Calculation 2 15 10 3 3" xfId="4941" xr:uid="{00000000-0005-0000-0000-0000C00D0000}"/>
    <cellStyle name="Calculation 2 15 10 3 4" xfId="4946" xr:uid="{00000000-0005-0000-0000-0000C10D0000}"/>
    <cellStyle name="Calculation 2 15 10 4" xfId="6239" xr:uid="{00000000-0005-0000-0000-0000C20D0000}"/>
    <cellStyle name="Calculation 2 15 10 4 2" xfId="4986" xr:uid="{00000000-0005-0000-0000-0000C30D0000}"/>
    <cellStyle name="Calculation 2 15 10 4 3" xfId="5000" xr:uid="{00000000-0005-0000-0000-0000C40D0000}"/>
    <cellStyle name="Calculation 2 15 10 5" xfId="6793" xr:uid="{00000000-0005-0000-0000-0000C50D0000}"/>
    <cellStyle name="Calculation 2 15 10 5 2" xfId="5023" xr:uid="{00000000-0005-0000-0000-0000C60D0000}"/>
    <cellStyle name="Calculation 2 15 10 5 3" xfId="5027" xr:uid="{00000000-0005-0000-0000-0000C70D0000}"/>
    <cellStyle name="Calculation 2 15 10 6" xfId="6794" xr:uid="{00000000-0005-0000-0000-0000C80D0000}"/>
    <cellStyle name="Calculation 2 15 10 7" xfId="68" xr:uid="{00000000-0005-0000-0000-0000C90D0000}"/>
    <cellStyle name="Calculation 2 15 11" xfId="3286" xr:uid="{00000000-0005-0000-0000-0000CA0D0000}"/>
    <cellStyle name="Calculation 2 15 11 2" xfId="6241" xr:uid="{00000000-0005-0000-0000-0000CB0D0000}"/>
    <cellStyle name="Calculation 2 15 11 3" xfId="6243" xr:uid="{00000000-0005-0000-0000-0000CC0D0000}"/>
    <cellStyle name="Calculation 2 15 11 4" xfId="6795" xr:uid="{00000000-0005-0000-0000-0000CD0D0000}"/>
    <cellStyle name="Calculation 2 15 12" xfId="5654" xr:uid="{00000000-0005-0000-0000-0000CE0D0000}"/>
    <cellStyle name="Calculation 2 15 12 2" xfId="1688" xr:uid="{00000000-0005-0000-0000-0000CF0D0000}"/>
    <cellStyle name="Calculation 2 15 12 3" xfId="6245" xr:uid="{00000000-0005-0000-0000-0000D00D0000}"/>
    <cellStyle name="Calculation 2 15 12 4" xfId="6796" xr:uid="{00000000-0005-0000-0000-0000D10D0000}"/>
    <cellStyle name="Calculation 2 15 13" xfId="5660" xr:uid="{00000000-0005-0000-0000-0000D20D0000}"/>
    <cellStyle name="Calculation 2 15 13 2" xfId="6797" xr:uid="{00000000-0005-0000-0000-0000D30D0000}"/>
    <cellStyle name="Calculation 2 15 13 3" xfId="6799" xr:uid="{00000000-0005-0000-0000-0000D40D0000}"/>
    <cellStyle name="Calculation 2 15 14" xfId="6247" xr:uid="{00000000-0005-0000-0000-0000D50D0000}"/>
    <cellStyle name="Calculation 2 15 14 2" xfId="6800" xr:uid="{00000000-0005-0000-0000-0000D60D0000}"/>
    <cellStyle name="Calculation 2 15 14 3" xfId="6802" xr:uid="{00000000-0005-0000-0000-0000D70D0000}"/>
    <cellStyle name="Calculation 2 15 15" xfId="6803" xr:uid="{00000000-0005-0000-0000-0000D80D0000}"/>
    <cellStyle name="Calculation 2 15 16" xfId="6804" xr:uid="{00000000-0005-0000-0000-0000D90D0000}"/>
    <cellStyle name="Calculation 2 15 17" xfId="6806" xr:uid="{00000000-0005-0000-0000-0000DA0D0000}"/>
    <cellStyle name="Calculation 2 15 2" xfId="536" xr:uid="{00000000-0005-0000-0000-0000DB0D0000}"/>
    <cellStyle name="Calculation 2 15 2 2" xfId="1046" xr:uid="{00000000-0005-0000-0000-0000DC0D0000}"/>
    <cellStyle name="Calculation 2 15 2 2 2" xfId="965" xr:uid="{00000000-0005-0000-0000-0000DD0D0000}"/>
    <cellStyle name="Calculation 2 15 2 2 3" xfId="973" xr:uid="{00000000-0005-0000-0000-0000DE0D0000}"/>
    <cellStyle name="Calculation 2 15 2 2 4" xfId="6807" xr:uid="{00000000-0005-0000-0000-0000DF0D0000}"/>
    <cellStyle name="Calculation 2 15 2 3" xfId="1060" xr:uid="{00000000-0005-0000-0000-0000E00D0000}"/>
    <cellStyle name="Calculation 2 15 2 3 2" xfId="6811" xr:uid="{00000000-0005-0000-0000-0000E10D0000}"/>
    <cellStyle name="Calculation 2 15 2 3 3" xfId="6812" xr:uid="{00000000-0005-0000-0000-0000E20D0000}"/>
    <cellStyle name="Calculation 2 15 2 3 4" xfId="6814" xr:uid="{00000000-0005-0000-0000-0000E30D0000}"/>
    <cellStyle name="Calculation 2 15 2 4" xfId="1592" xr:uid="{00000000-0005-0000-0000-0000E40D0000}"/>
    <cellStyle name="Calculation 2 15 2 4 2" xfId="6818" xr:uid="{00000000-0005-0000-0000-0000E50D0000}"/>
    <cellStyle name="Calculation 2 15 2 4 3" xfId="6819" xr:uid="{00000000-0005-0000-0000-0000E60D0000}"/>
    <cellStyle name="Calculation 2 15 2 5" xfId="1598" xr:uid="{00000000-0005-0000-0000-0000E70D0000}"/>
    <cellStyle name="Calculation 2 15 2 5 2" xfId="6821" xr:uid="{00000000-0005-0000-0000-0000E80D0000}"/>
    <cellStyle name="Calculation 2 15 2 5 3" xfId="2415" xr:uid="{00000000-0005-0000-0000-0000E90D0000}"/>
    <cellStyle name="Calculation 2 15 2 6" xfId="1602" xr:uid="{00000000-0005-0000-0000-0000EA0D0000}"/>
    <cellStyle name="Calculation 2 15 2 7" xfId="1608" xr:uid="{00000000-0005-0000-0000-0000EB0D0000}"/>
    <cellStyle name="Calculation 2 15 3" xfId="548" xr:uid="{00000000-0005-0000-0000-0000EC0D0000}"/>
    <cellStyle name="Calculation 2 15 3 2" xfId="1093" xr:uid="{00000000-0005-0000-0000-0000ED0D0000}"/>
    <cellStyle name="Calculation 2 15 3 2 2" xfId="261" xr:uid="{00000000-0005-0000-0000-0000EE0D0000}"/>
    <cellStyle name="Calculation 2 15 3 2 3" xfId="270" xr:uid="{00000000-0005-0000-0000-0000EF0D0000}"/>
    <cellStyle name="Calculation 2 15 3 2 4" xfId="6822" xr:uid="{00000000-0005-0000-0000-0000F00D0000}"/>
    <cellStyle name="Calculation 2 15 3 3" xfId="656" xr:uid="{00000000-0005-0000-0000-0000F10D0000}"/>
    <cellStyle name="Calculation 2 15 3 3 2" xfId="6824" xr:uid="{00000000-0005-0000-0000-0000F20D0000}"/>
    <cellStyle name="Calculation 2 15 3 3 3" xfId="6825" xr:uid="{00000000-0005-0000-0000-0000F30D0000}"/>
    <cellStyle name="Calculation 2 15 3 3 4" xfId="6827" xr:uid="{00000000-0005-0000-0000-0000F40D0000}"/>
    <cellStyle name="Calculation 2 15 3 4" xfId="1347" xr:uid="{00000000-0005-0000-0000-0000F50D0000}"/>
    <cellStyle name="Calculation 2 15 3 4 2" xfId="2447" xr:uid="{00000000-0005-0000-0000-0000F60D0000}"/>
    <cellStyle name="Calculation 2 15 3 4 3" xfId="6829" xr:uid="{00000000-0005-0000-0000-0000F70D0000}"/>
    <cellStyle name="Calculation 2 15 3 5" xfId="1350" xr:uid="{00000000-0005-0000-0000-0000F80D0000}"/>
    <cellStyle name="Calculation 2 15 3 5 2" xfId="6831" xr:uid="{00000000-0005-0000-0000-0000F90D0000}"/>
    <cellStyle name="Calculation 2 15 3 5 3" xfId="6832" xr:uid="{00000000-0005-0000-0000-0000FA0D0000}"/>
    <cellStyle name="Calculation 2 15 3 6" xfId="6834" xr:uid="{00000000-0005-0000-0000-0000FB0D0000}"/>
    <cellStyle name="Calculation 2 15 3 7" xfId="6835" xr:uid="{00000000-0005-0000-0000-0000FC0D0000}"/>
    <cellStyle name="Calculation 2 15 4" xfId="554" xr:uid="{00000000-0005-0000-0000-0000FD0D0000}"/>
    <cellStyle name="Calculation 2 15 4 2" xfId="1613" xr:uid="{00000000-0005-0000-0000-0000FE0D0000}"/>
    <cellStyle name="Calculation 2 15 4 2 2" xfId="1617" xr:uid="{00000000-0005-0000-0000-0000FF0D0000}"/>
    <cellStyle name="Calculation 2 15 4 2 3" xfId="6838" xr:uid="{00000000-0005-0000-0000-0000000E0000}"/>
    <cellStyle name="Calculation 2 15 4 2 4" xfId="6840" xr:uid="{00000000-0005-0000-0000-0000010E0000}"/>
    <cellStyle name="Calculation 2 15 4 3" xfId="1625" xr:uid="{00000000-0005-0000-0000-0000020E0000}"/>
    <cellStyle name="Calculation 2 15 4 3 2" xfId="6842" xr:uid="{00000000-0005-0000-0000-0000030E0000}"/>
    <cellStyle name="Calculation 2 15 4 3 3" xfId="6843" xr:uid="{00000000-0005-0000-0000-0000040E0000}"/>
    <cellStyle name="Calculation 2 15 4 3 4" xfId="6845" xr:uid="{00000000-0005-0000-0000-0000050E0000}"/>
    <cellStyle name="Calculation 2 15 4 4" xfId="6847" xr:uid="{00000000-0005-0000-0000-0000060E0000}"/>
    <cellStyle name="Calculation 2 15 4 4 2" xfId="2630" xr:uid="{00000000-0005-0000-0000-0000070E0000}"/>
    <cellStyle name="Calculation 2 15 4 4 3" xfId="6848" xr:uid="{00000000-0005-0000-0000-0000080E0000}"/>
    <cellStyle name="Calculation 2 15 4 5" xfId="6851" xr:uid="{00000000-0005-0000-0000-0000090E0000}"/>
    <cellStyle name="Calculation 2 15 4 5 2" xfId="6852" xr:uid="{00000000-0005-0000-0000-00000A0E0000}"/>
    <cellStyle name="Calculation 2 15 4 5 3" xfId="6853" xr:uid="{00000000-0005-0000-0000-00000B0E0000}"/>
    <cellStyle name="Calculation 2 15 4 6" xfId="6855" xr:uid="{00000000-0005-0000-0000-00000C0E0000}"/>
    <cellStyle name="Calculation 2 15 4 7" xfId="6856" xr:uid="{00000000-0005-0000-0000-00000D0E0000}"/>
    <cellStyle name="Calculation 2 15 5" xfId="559" xr:uid="{00000000-0005-0000-0000-00000E0E0000}"/>
    <cellStyle name="Calculation 2 15 5 2" xfId="6861" xr:uid="{00000000-0005-0000-0000-00000F0E0000}"/>
    <cellStyle name="Calculation 2 15 5 2 2" xfId="6865" xr:uid="{00000000-0005-0000-0000-0000100E0000}"/>
    <cellStyle name="Calculation 2 15 5 2 3" xfId="6869" xr:uid="{00000000-0005-0000-0000-0000110E0000}"/>
    <cellStyle name="Calculation 2 15 5 2 4" xfId="6874" xr:uid="{00000000-0005-0000-0000-0000120E0000}"/>
    <cellStyle name="Calculation 2 15 5 3" xfId="6877" xr:uid="{00000000-0005-0000-0000-0000130E0000}"/>
    <cellStyle name="Calculation 2 15 5 3 2" xfId="6881" xr:uid="{00000000-0005-0000-0000-0000140E0000}"/>
    <cellStyle name="Calculation 2 15 5 3 3" xfId="6885" xr:uid="{00000000-0005-0000-0000-0000150E0000}"/>
    <cellStyle name="Calculation 2 15 5 3 4" xfId="3019" xr:uid="{00000000-0005-0000-0000-0000160E0000}"/>
    <cellStyle name="Calculation 2 15 5 4" xfId="1750" xr:uid="{00000000-0005-0000-0000-0000170E0000}"/>
    <cellStyle name="Calculation 2 15 5 4 2" xfId="1753" xr:uid="{00000000-0005-0000-0000-0000180E0000}"/>
    <cellStyle name="Calculation 2 15 5 4 3" xfId="6888" xr:uid="{00000000-0005-0000-0000-0000190E0000}"/>
    <cellStyle name="Calculation 2 15 5 5" xfId="1759" xr:uid="{00000000-0005-0000-0000-00001A0E0000}"/>
    <cellStyle name="Calculation 2 15 5 5 2" xfId="846" xr:uid="{00000000-0005-0000-0000-00001B0E0000}"/>
    <cellStyle name="Calculation 2 15 5 5 3" xfId="873" xr:uid="{00000000-0005-0000-0000-00001C0E0000}"/>
    <cellStyle name="Calculation 2 15 5 6" xfId="6890" xr:uid="{00000000-0005-0000-0000-00001D0E0000}"/>
    <cellStyle name="Calculation 2 15 5 7" xfId="282" xr:uid="{00000000-0005-0000-0000-00001E0E0000}"/>
    <cellStyle name="Calculation 2 15 6" xfId="1128" xr:uid="{00000000-0005-0000-0000-00001F0E0000}"/>
    <cellStyle name="Calculation 2 15 6 2" xfId="6891" xr:uid="{00000000-0005-0000-0000-0000200E0000}"/>
    <cellStyle name="Calculation 2 15 6 2 2" xfId="6892" xr:uid="{00000000-0005-0000-0000-0000210E0000}"/>
    <cellStyle name="Calculation 2 15 6 2 3" xfId="6893" xr:uid="{00000000-0005-0000-0000-0000220E0000}"/>
    <cellStyle name="Calculation 2 15 6 2 4" xfId="6894" xr:uid="{00000000-0005-0000-0000-0000230E0000}"/>
    <cellStyle name="Calculation 2 15 6 3" xfId="6895" xr:uid="{00000000-0005-0000-0000-0000240E0000}"/>
    <cellStyle name="Calculation 2 15 6 3 2" xfId="6896" xr:uid="{00000000-0005-0000-0000-0000250E0000}"/>
    <cellStyle name="Calculation 2 15 6 3 3" xfId="6897" xr:uid="{00000000-0005-0000-0000-0000260E0000}"/>
    <cellStyle name="Calculation 2 15 6 3 4" xfId="6898" xr:uid="{00000000-0005-0000-0000-0000270E0000}"/>
    <cellStyle name="Calculation 2 15 6 4" xfId="6899" xr:uid="{00000000-0005-0000-0000-0000280E0000}"/>
    <cellStyle name="Calculation 2 15 6 4 2" xfId="6900" xr:uid="{00000000-0005-0000-0000-0000290E0000}"/>
    <cellStyle name="Calculation 2 15 6 4 3" xfId="6901" xr:uid="{00000000-0005-0000-0000-00002A0E0000}"/>
    <cellStyle name="Calculation 2 15 6 5" xfId="6902" xr:uid="{00000000-0005-0000-0000-00002B0E0000}"/>
    <cellStyle name="Calculation 2 15 6 5 2" xfId="6903" xr:uid="{00000000-0005-0000-0000-00002C0E0000}"/>
    <cellStyle name="Calculation 2 15 6 5 3" xfId="6904" xr:uid="{00000000-0005-0000-0000-00002D0E0000}"/>
    <cellStyle name="Calculation 2 15 6 6" xfId="6905" xr:uid="{00000000-0005-0000-0000-00002E0E0000}"/>
    <cellStyle name="Calculation 2 15 6 7" xfId="6906" xr:uid="{00000000-0005-0000-0000-00002F0E0000}"/>
    <cellStyle name="Calculation 2 15 7" xfId="1142" xr:uid="{00000000-0005-0000-0000-0000300E0000}"/>
    <cellStyle name="Calculation 2 15 7 2" xfId="6909" xr:uid="{00000000-0005-0000-0000-0000310E0000}"/>
    <cellStyle name="Calculation 2 15 7 2 2" xfId="6910" xr:uid="{00000000-0005-0000-0000-0000320E0000}"/>
    <cellStyle name="Calculation 2 15 7 2 3" xfId="2572" xr:uid="{00000000-0005-0000-0000-0000330E0000}"/>
    <cellStyle name="Calculation 2 15 7 2 4" xfId="6911" xr:uid="{00000000-0005-0000-0000-0000340E0000}"/>
    <cellStyle name="Calculation 2 15 7 3" xfId="6912" xr:uid="{00000000-0005-0000-0000-0000350E0000}"/>
    <cellStyle name="Calculation 2 15 7 3 2" xfId="6913" xr:uid="{00000000-0005-0000-0000-0000360E0000}"/>
    <cellStyle name="Calculation 2 15 7 3 3" xfId="6914" xr:uid="{00000000-0005-0000-0000-0000370E0000}"/>
    <cellStyle name="Calculation 2 15 7 3 4" xfId="6915" xr:uid="{00000000-0005-0000-0000-0000380E0000}"/>
    <cellStyle name="Calculation 2 15 7 4" xfId="6916" xr:uid="{00000000-0005-0000-0000-0000390E0000}"/>
    <cellStyle name="Calculation 2 15 7 4 2" xfId="6917" xr:uid="{00000000-0005-0000-0000-00003A0E0000}"/>
    <cellStyle name="Calculation 2 15 7 4 3" xfId="2591" xr:uid="{00000000-0005-0000-0000-00003B0E0000}"/>
    <cellStyle name="Calculation 2 15 7 5" xfId="6918" xr:uid="{00000000-0005-0000-0000-00003C0E0000}"/>
    <cellStyle name="Calculation 2 15 7 5 2" xfId="6919" xr:uid="{00000000-0005-0000-0000-00003D0E0000}"/>
    <cellStyle name="Calculation 2 15 7 5 3" xfId="6920" xr:uid="{00000000-0005-0000-0000-00003E0E0000}"/>
    <cellStyle name="Calculation 2 15 7 6" xfId="6921" xr:uid="{00000000-0005-0000-0000-00003F0E0000}"/>
    <cellStyle name="Calculation 2 15 7 7" xfId="6922" xr:uid="{00000000-0005-0000-0000-0000400E0000}"/>
    <cellStyle name="Calculation 2 15 8" xfId="1154" xr:uid="{00000000-0005-0000-0000-0000410E0000}"/>
    <cellStyle name="Calculation 2 15 8 2" xfId="3400" xr:uid="{00000000-0005-0000-0000-0000420E0000}"/>
    <cellStyle name="Calculation 2 15 8 2 2" xfId="6925" xr:uid="{00000000-0005-0000-0000-0000430E0000}"/>
    <cellStyle name="Calculation 2 15 8 2 3" xfId="6926" xr:uid="{00000000-0005-0000-0000-0000440E0000}"/>
    <cellStyle name="Calculation 2 15 8 2 4" xfId="6927" xr:uid="{00000000-0005-0000-0000-0000450E0000}"/>
    <cellStyle name="Calculation 2 15 8 3" xfId="3405" xr:uid="{00000000-0005-0000-0000-0000460E0000}"/>
    <cellStyle name="Calculation 2 15 8 3 2" xfId="6928" xr:uid="{00000000-0005-0000-0000-0000470E0000}"/>
    <cellStyle name="Calculation 2 15 8 3 3" xfId="6929" xr:uid="{00000000-0005-0000-0000-0000480E0000}"/>
    <cellStyle name="Calculation 2 15 8 3 4" xfId="6930" xr:uid="{00000000-0005-0000-0000-0000490E0000}"/>
    <cellStyle name="Calculation 2 15 8 4" xfId="3410" xr:uid="{00000000-0005-0000-0000-00004A0E0000}"/>
    <cellStyle name="Calculation 2 15 8 4 2" xfId="3137" xr:uid="{00000000-0005-0000-0000-00004B0E0000}"/>
    <cellStyle name="Calculation 2 15 8 4 3" xfId="6931" xr:uid="{00000000-0005-0000-0000-00004C0E0000}"/>
    <cellStyle name="Calculation 2 15 8 5" xfId="6932" xr:uid="{00000000-0005-0000-0000-00004D0E0000}"/>
    <cellStyle name="Calculation 2 15 8 5 2" xfId="3169" xr:uid="{00000000-0005-0000-0000-00004E0E0000}"/>
    <cellStyle name="Calculation 2 15 8 5 3" xfId="6935" xr:uid="{00000000-0005-0000-0000-00004F0E0000}"/>
    <cellStyle name="Calculation 2 15 8 6" xfId="6936" xr:uid="{00000000-0005-0000-0000-0000500E0000}"/>
    <cellStyle name="Calculation 2 15 8 7" xfId="6938" xr:uid="{00000000-0005-0000-0000-0000510E0000}"/>
    <cellStyle name="Calculation 2 15 9" xfId="2769" xr:uid="{00000000-0005-0000-0000-0000520E0000}"/>
    <cellStyle name="Calculation 2 15 9 2" xfId="3415" xr:uid="{00000000-0005-0000-0000-0000530E0000}"/>
    <cellStyle name="Calculation 2 15 9 2 2" xfId="6941" xr:uid="{00000000-0005-0000-0000-0000540E0000}"/>
    <cellStyle name="Calculation 2 15 9 2 3" xfId="6942" xr:uid="{00000000-0005-0000-0000-0000550E0000}"/>
    <cellStyle name="Calculation 2 15 9 2 4" xfId="6943" xr:uid="{00000000-0005-0000-0000-0000560E0000}"/>
    <cellStyle name="Calculation 2 15 9 3" xfId="3422" xr:uid="{00000000-0005-0000-0000-0000570E0000}"/>
    <cellStyle name="Calculation 2 15 9 3 2" xfId="6944" xr:uid="{00000000-0005-0000-0000-0000580E0000}"/>
    <cellStyle name="Calculation 2 15 9 3 3" xfId="6945" xr:uid="{00000000-0005-0000-0000-0000590E0000}"/>
    <cellStyle name="Calculation 2 15 9 3 4" xfId="6946" xr:uid="{00000000-0005-0000-0000-00005A0E0000}"/>
    <cellStyle name="Calculation 2 15 9 4" xfId="3429" xr:uid="{00000000-0005-0000-0000-00005B0E0000}"/>
    <cellStyle name="Calculation 2 15 9 4 2" xfId="3570" xr:uid="{00000000-0005-0000-0000-00005C0E0000}"/>
    <cellStyle name="Calculation 2 15 9 4 3" xfId="6947" xr:uid="{00000000-0005-0000-0000-00005D0E0000}"/>
    <cellStyle name="Calculation 2 15 9 5" xfId="6948" xr:uid="{00000000-0005-0000-0000-00005E0E0000}"/>
    <cellStyle name="Calculation 2 15 9 5 2" xfId="3591" xr:uid="{00000000-0005-0000-0000-00005F0E0000}"/>
    <cellStyle name="Calculation 2 15 9 5 3" xfId="6952" xr:uid="{00000000-0005-0000-0000-0000600E0000}"/>
    <cellStyle name="Calculation 2 15 9 6" xfId="4904" xr:uid="{00000000-0005-0000-0000-0000610E0000}"/>
    <cellStyle name="Calculation 2 15 9 7" xfId="4909" xr:uid="{00000000-0005-0000-0000-0000620E0000}"/>
    <cellStyle name="Calculation 2 16" xfId="1628" xr:uid="{00000000-0005-0000-0000-0000630E0000}"/>
    <cellStyle name="Calculation 2 16 10" xfId="6953" xr:uid="{00000000-0005-0000-0000-0000640E0000}"/>
    <cellStyle name="Calculation 2 16 10 2" xfId="4568" xr:uid="{00000000-0005-0000-0000-0000650E0000}"/>
    <cellStyle name="Calculation 2 16 10 2 2" xfId="6956" xr:uid="{00000000-0005-0000-0000-0000660E0000}"/>
    <cellStyle name="Calculation 2 16 10 2 3" xfId="1481" xr:uid="{00000000-0005-0000-0000-0000670E0000}"/>
    <cellStyle name="Calculation 2 16 10 2 4" xfId="1509" xr:uid="{00000000-0005-0000-0000-0000680E0000}"/>
    <cellStyle name="Calculation 2 16 10 3" xfId="6959" xr:uid="{00000000-0005-0000-0000-0000690E0000}"/>
    <cellStyle name="Calculation 2 16 10 3 2" xfId="6065" xr:uid="{00000000-0005-0000-0000-00006A0E0000}"/>
    <cellStyle name="Calculation 2 16 10 3 3" xfId="136" xr:uid="{00000000-0005-0000-0000-00006B0E0000}"/>
    <cellStyle name="Calculation 2 16 10 3 4" xfId="148" xr:uid="{00000000-0005-0000-0000-00006C0E0000}"/>
    <cellStyle name="Calculation 2 16 10 4" xfId="6961" xr:uid="{00000000-0005-0000-0000-00006D0E0000}"/>
    <cellStyle name="Calculation 2 16 10 4 2" xfId="6075" xr:uid="{00000000-0005-0000-0000-00006E0E0000}"/>
    <cellStyle name="Calculation 2 16 10 4 3" xfId="1551" xr:uid="{00000000-0005-0000-0000-00006F0E0000}"/>
    <cellStyle name="Calculation 2 16 10 5" xfId="6963" xr:uid="{00000000-0005-0000-0000-0000700E0000}"/>
    <cellStyle name="Calculation 2 16 10 5 2" xfId="6964" xr:uid="{00000000-0005-0000-0000-0000710E0000}"/>
    <cellStyle name="Calculation 2 16 10 5 3" xfId="2184" xr:uid="{00000000-0005-0000-0000-0000720E0000}"/>
    <cellStyle name="Calculation 2 16 10 6" xfId="6965" xr:uid="{00000000-0005-0000-0000-0000730E0000}"/>
    <cellStyle name="Calculation 2 16 10 7" xfId="6966" xr:uid="{00000000-0005-0000-0000-0000740E0000}"/>
    <cellStyle name="Calculation 2 16 11" xfId="2882" xr:uid="{00000000-0005-0000-0000-0000750E0000}"/>
    <cellStyle name="Calculation 2 16 11 2" xfId="4571" xr:uid="{00000000-0005-0000-0000-0000760E0000}"/>
    <cellStyle name="Calculation 2 16 11 3" xfId="6968" xr:uid="{00000000-0005-0000-0000-0000770E0000}"/>
    <cellStyle name="Calculation 2 16 11 4" xfId="6971" xr:uid="{00000000-0005-0000-0000-0000780E0000}"/>
    <cellStyle name="Calculation 2 16 12" xfId="916" xr:uid="{00000000-0005-0000-0000-0000790E0000}"/>
    <cellStyle name="Calculation 2 16 12 2" xfId="923" xr:uid="{00000000-0005-0000-0000-00007A0E0000}"/>
    <cellStyle name="Calculation 2 16 12 3" xfId="6973" xr:uid="{00000000-0005-0000-0000-00007B0E0000}"/>
    <cellStyle name="Calculation 2 16 12 4" xfId="6975" xr:uid="{00000000-0005-0000-0000-00007C0E0000}"/>
    <cellStyle name="Calculation 2 16 13" xfId="6978" xr:uid="{00000000-0005-0000-0000-00007D0E0000}"/>
    <cellStyle name="Calculation 2 16 13 2" xfId="6982" xr:uid="{00000000-0005-0000-0000-00007E0E0000}"/>
    <cellStyle name="Calculation 2 16 13 3" xfId="6984" xr:uid="{00000000-0005-0000-0000-00007F0E0000}"/>
    <cellStyle name="Calculation 2 16 14" xfId="6279" xr:uid="{00000000-0005-0000-0000-0000800E0000}"/>
    <cellStyle name="Calculation 2 16 14 2" xfId="3561" xr:uid="{00000000-0005-0000-0000-0000810E0000}"/>
    <cellStyle name="Calculation 2 16 14 3" xfId="3566" xr:uid="{00000000-0005-0000-0000-0000820E0000}"/>
    <cellStyle name="Calculation 2 16 15" xfId="6286" xr:uid="{00000000-0005-0000-0000-0000830E0000}"/>
    <cellStyle name="Calculation 2 16 16" xfId="6293" xr:uid="{00000000-0005-0000-0000-0000840E0000}"/>
    <cellStyle name="Calculation 2 16 17" xfId="6986" xr:uid="{00000000-0005-0000-0000-0000850E0000}"/>
    <cellStyle name="Calculation 2 16 2" xfId="6989" xr:uid="{00000000-0005-0000-0000-0000860E0000}"/>
    <cellStyle name="Calculation 2 16 2 2" xfId="6991" xr:uid="{00000000-0005-0000-0000-0000870E0000}"/>
    <cellStyle name="Calculation 2 16 2 2 2" xfId="6995" xr:uid="{00000000-0005-0000-0000-0000880E0000}"/>
    <cellStyle name="Calculation 2 16 2 2 3" xfId="6996" xr:uid="{00000000-0005-0000-0000-0000890E0000}"/>
    <cellStyle name="Calculation 2 16 2 2 4" xfId="1467" xr:uid="{00000000-0005-0000-0000-00008A0E0000}"/>
    <cellStyle name="Calculation 2 16 2 3" xfId="6997" xr:uid="{00000000-0005-0000-0000-00008B0E0000}"/>
    <cellStyle name="Calculation 2 16 2 3 2" xfId="7002" xr:uid="{00000000-0005-0000-0000-00008C0E0000}"/>
    <cellStyle name="Calculation 2 16 2 3 3" xfId="7003" xr:uid="{00000000-0005-0000-0000-00008D0E0000}"/>
    <cellStyle name="Calculation 2 16 2 3 4" xfId="7004" xr:uid="{00000000-0005-0000-0000-00008E0E0000}"/>
    <cellStyle name="Calculation 2 16 2 4" xfId="7006" xr:uid="{00000000-0005-0000-0000-00008F0E0000}"/>
    <cellStyle name="Calculation 2 16 2 4 2" xfId="7009" xr:uid="{00000000-0005-0000-0000-0000900E0000}"/>
    <cellStyle name="Calculation 2 16 2 4 3" xfId="7010" xr:uid="{00000000-0005-0000-0000-0000910E0000}"/>
    <cellStyle name="Calculation 2 16 2 5" xfId="7011" xr:uid="{00000000-0005-0000-0000-0000920E0000}"/>
    <cellStyle name="Calculation 2 16 2 5 2" xfId="7012" xr:uid="{00000000-0005-0000-0000-0000930E0000}"/>
    <cellStyle name="Calculation 2 16 2 5 3" xfId="7013" xr:uid="{00000000-0005-0000-0000-0000940E0000}"/>
    <cellStyle name="Calculation 2 16 2 6" xfId="7014" xr:uid="{00000000-0005-0000-0000-0000950E0000}"/>
    <cellStyle name="Calculation 2 16 2 7" xfId="1998" xr:uid="{00000000-0005-0000-0000-0000960E0000}"/>
    <cellStyle name="Calculation 2 16 3" xfId="7015" xr:uid="{00000000-0005-0000-0000-0000970E0000}"/>
    <cellStyle name="Calculation 2 16 3 2" xfId="7017" xr:uid="{00000000-0005-0000-0000-0000980E0000}"/>
    <cellStyle name="Calculation 2 16 3 2 2" xfId="7021" xr:uid="{00000000-0005-0000-0000-0000990E0000}"/>
    <cellStyle name="Calculation 2 16 3 2 3" xfId="7022" xr:uid="{00000000-0005-0000-0000-00009A0E0000}"/>
    <cellStyle name="Calculation 2 16 3 2 4" xfId="538" xr:uid="{00000000-0005-0000-0000-00009B0E0000}"/>
    <cellStyle name="Calculation 2 16 3 3" xfId="7023" xr:uid="{00000000-0005-0000-0000-00009C0E0000}"/>
    <cellStyle name="Calculation 2 16 3 3 2" xfId="7026" xr:uid="{00000000-0005-0000-0000-00009D0E0000}"/>
    <cellStyle name="Calculation 2 16 3 3 3" xfId="7028" xr:uid="{00000000-0005-0000-0000-00009E0E0000}"/>
    <cellStyle name="Calculation 2 16 3 3 4" xfId="6987" xr:uid="{00000000-0005-0000-0000-00009F0E0000}"/>
    <cellStyle name="Calculation 2 16 3 4" xfId="7029" xr:uid="{00000000-0005-0000-0000-0000A00E0000}"/>
    <cellStyle name="Calculation 2 16 3 4 2" xfId="7031" xr:uid="{00000000-0005-0000-0000-0000A10E0000}"/>
    <cellStyle name="Calculation 2 16 3 4 3" xfId="7032" xr:uid="{00000000-0005-0000-0000-0000A20E0000}"/>
    <cellStyle name="Calculation 2 16 3 5" xfId="7033" xr:uid="{00000000-0005-0000-0000-0000A30E0000}"/>
    <cellStyle name="Calculation 2 16 3 5 2" xfId="7034" xr:uid="{00000000-0005-0000-0000-0000A40E0000}"/>
    <cellStyle name="Calculation 2 16 3 5 3" xfId="7035" xr:uid="{00000000-0005-0000-0000-0000A50E0000}"/>
    <cellStyle name="Calculation 2 16 3 6" xfId="7036" xr:uid="{00000000-0005-0000-0000-0000A60E0000}"/>
    <cellStyle name="Calculation 2 16 3 7" xfId="7037" xr:uid="{00000000-0005-0000-0000-0000A70E0000}"/>
    <cellStyle name="Calculation 2 16 4" xfId="7040" xr:uid="{00000000-0005-0000-0000-0000A80E0000}"/>
    <cellStyle name="Calculation 2 16 4 2" xfId="7042" xr:uid="{00000000-0005-0000-0000-0000A90E0000}"/>
    <cellStyle name="Calculation 2 16 4 2 2" xfId="7045" xr:uid="{00000000-0005-0000-0000-0000AA0E0000}"/>
    <cellStyle name="Calculation 2 16 4 2 3" xfId="7046" xr:uid="{00000000-0005-0000-0000-0000AB0E0000}"/>
    <cellStyle name="Calculation 2 16 4 2 4" xfId="1644" xr:uid="{00000000-0005-0000-0000-0000AC0E0000}"/>
    <cellStyle name="Calculation 2 16 4 3" xfId="7047" xr:uid="{00000000-0005-0000-0000-0000AD0E0000}"/>
    <cellStyle name="Calculation 2 16 4 3 2" xfId="7049" xr:uid="{00000000-0005-0000-0000-0000AE0E0000}"/>
    <cellStyle name="Calculation 2 16 4 3 3" xfId="7050" xr:uid="{00000000-0005-0000-0000-0000AF0E0000}"/>
    <cellStyle name="Calculation 2 16 4 3 4" xfId="132" xr:uid="{00000000-0005-0000-0000-0000B00E0000}"/>
    <cellStyle name="Calculation 2 16 4 4" xfId="7051" xr:uid="{00000000-0005-0000-0000-0000B10E0000}"/>
    <cellStyle name="Calculation 2 16 4 4 2" xfId="2826" xr:uid="{00000000-0005-0000-0000-0000B20E0000}"/>
    <cellStyle name="Calculation 2 16 4 4 3" xfId="2828" xr:uid="{00000000-0005-0000-0000-0000B30E0000}"/>
    <cellStyle name="Calculation 2 16 4 5" xfId="7052" xr:uid="{00000000-0005-0000-0000-0000B40E0000}"/>
    <cellStyle name="Calculation 2 16 4 5 2" xfId="7053" xr:uid="{00000000-0005-0000-0000-0000B50E0000}"/>
    <cellStyle name="Calculation 2 16 4 5 3" xfId="7054" xr:uid="{00000000-0005-0000-0000-0000B60E0000}"/>
    <cellStyle name="Calculation 2 16 4 6" xfId="7055" xr:uid="{00000000-0005-0000-0000-0000B70E0000}"/>
    <cellStyle name="Calculation 2 16 4 7" xfId="7056" xr:uid="{00000000-0005-0000-0000-0000B80E0000}"/>
    <cellStyle name="Calculation 2 16 5" xfId="7061" xr:uid="{00000000-0005-0000-0000-0000B90E0000}"/>
    <cellStyle name="Calculation 2 16 5 2" xfId="7063" xr:uid="{00000000-0005-0000-0000-0000BA0E0000}"/>
    <cellStyle name="Calculation 2 16 5 2 2" xfId="7065" xr:uid="{00000000-0005-0000-0000-0000BB0E0000}"/>
    <cellStyle name="Calculation 2 16 5 2 3" xfId="7067" xr:uid="{00000000-0005-0000-0000-0000BC0E0000}"/>
    <cellStyle name="Calculation 2 16 5 2 4" xfId="7069" xr:uid="{00000000-0005-0000-0000-0000BD0E0000}"/>
    <cellStyle name="Calculation 2 16 5 3" xfId="7072" xr:uid="{00000000-0005-0000-0000-0000BE0E0000}"/>
    <cellStyle name="Calculation 2 16 5 3 2" xfId="7074" xr:uid="{00000000-0005-0000-0000-0000BF0E0000}"/>
    <cellStyle name="Calculation 2 16 5 3 3" xfId="7076" xr:uid="{00000000-0005-0000-0000-0000C00E0000}"/>
    <cellStyle name="Calculation 2 16 5 3 4" xfId="7078" xr:uid="{00000000-0005-0000-0000-0000C10E0000}"/>
    <cellStyle name="Calculation 2 16 5 4" xfId="7081" xr:uid="{00000000-0005-0000-0000-0000C20E0000}"/>
    <cellStyle name="Calculation 2 16 5 4 2" xfId="7082" xr:uid="{00000000-0005-0000-0000-0000C30E0000}"/>
    <cellStyle name="Calculation 2 16 5 4 3" xfId="7084" xr:uid="{00000000-0005-0000-0000-0000C40E0000}"/>
    <cellStyle name="Calculation 2 16 5 5" xfId="7086" xr:uid="{00000000-0005-0000-0000-0000C50E0000}"/>
    <cellStyle name="Calculation 2 16 5 5 2" xfId="7087" xr:uid="{00000000-0005-0000-0000-0000C60E0000}"/>
    <cellStyle name="Calculation 2 16 5 5 3" xfId="7088" xr:uid="{00000000-0005-0000-0000-0000C70E0000}"/>
    <cellStyle name="Calculation 2 16 5 6" xfId="7089" xr:uid="{00000000-0005-0000-0000-0000C80E0000}"/>
    <cellStyle name="Calculation 2 16 5 7" xfId="7090" xr:uid="{00000000-0005-0000-0000-0000C90E0000}"/>
    <cellStyle name="Calculation 2 16 6" xfId="7095" xr:uid="{00000000-0005-0000-0000-0000CA0E0000}"/>
    <cellStyle name="Calculation 2 16 6 2" xfId="7098" xr:uid="{00000000-0005-0000-0000-0000CB0E0000}"/>
    <cellStyle name="Calculation 2 16 6 2 2" xfId="7099" xr:uid="{00000000-0005-0000-0000-0000CC0E0000}"/>
    <cellStyle name="Calculation 2 16 6 2 3" xfId="16" xr:uid="{00000000-0005-0000-0000-0000CD0E0000}"/>
    <cellStyle name="Calculation 2 16 6 2 4" xfId="7100" xr:uid="{00000000-0005-0000-0000-0000CE0E0000}"/>
    <cellStyle name="Calculation 2 16 6 3" xfId="7101" xr:uid="{00000000-0005-0000-0000-0000CF0E0000}"/>
    <cellStyle name="Calculation 2 16 6 3 2" xfId="3094" xr:uid="{00000000-0005-0000-0000-0000D00E0000}"/>
    <cellStyle name="Calculation 2 16 6 3 3" xfId="3096" xr:uid="{00000000-0005-0000-0000-0000D10E0000}"/>
    <cellStyle name="Calculation 2 16 6 3 4" xfId="3106" xr:uid="{00000000-0005-0000-0000-0000D20E0000}"/>
    <cellStyle name="Calculation 2 16 6 4" xfId="7102" xr:uid="{00000000-0005-0000-0000-0000D30E0000}"/>
    <cellStyle name="Calculation 2 16 6 4 2" xfId="7103" xr:uid="{00000000-0005-0000-0000-0000D40E0000}"/>
    <cellStyle name="Calculation 2 16 6 4 3" xfId="7104" xr:uid="{00000000-0005-0000-0000-0000D50E0000}"/>
    <cellStyle name="Calculation 2 16 6 5" xfId="7105" xr:uid="{00000000-0005-0000-0000-0000D60E0000}"/>
    <cellStyle name="Calculation 2 16 6 5 2" xfId="7106" xr:uid="{00000000-0005-0000-0000-0000D70E0000}"/>
    <cellStyle name="Calculation 2 16 6 5 3" xfId="7107" xr:uid="{00000000-0005-0000-0000-0000D80E0000}"/>
    <cellStyle name="Calculation 2 16 6 6" xfId="7108" xr:uid="{00000000-0005-0000-0000-0000D90E0000}"/>
    <cellStyle name="Calculation 2 16 6 7" xfId="7109" xr:uid="{00000000-0005-0000-0000-0000DA0E0000}"/>
    <cellStyle name="Calculation 2 16 7" xfId="5799" xr:uid="{00000000-0005-0000-0000-0000DB0E0000}"/>
    <cellStyle name="Calculation 2 16 7 2" xfId="7113" xr:uid="{00000000-0005-0000-0000-0000DC0E0000}"/>
    <cellStyle name="Calculation 2 16 7 2 2" xfId="1497" xr:uid="{00000000-0005-0000-0000-0000DD0E0000}"/>
    <cellStyle name="Calculation 2 16 7 2 3" xfId="1513" xr:uid="{00000000-0005-0000-0000-0000DE0E0000}"/>
    <cellStyle name="Calculation 2 16 7 2 4" xfId="7114" xr:uid="{00000000-0005-0000-0000-0000DF0E0000}"/>
    <cellStyle name="Calculation 2 16 7 3" xfId="7115" xr:uid="{00000000-0005-0000-0000-0000E00E0000}"/>
    <cellStyle name="Calculation 2 16 7 3 2" xfId="7116" xr:uid="{00000000-0005-0000-0000-0000E10E0000}"/>
    <cellStyle name="Calculation 2 16 7 3 3" xfId="93" xr:uid="{00000000-0005-0000-0000-0000E20E0000}"/>
    <cellStyle name="Calculation 2 16 7 3 4" xfId="7117" xr:uid="{00000000-0005-0000-0000-0000E30E0000}"/>
    <cellStyle name="Calculation 2 16 7 4" xfId="7119" xr:uid="{00000000-0005-0000-0000-0000E40E0000}"/>
    <cellStyle name="Calculation 2 16 7 4 2" xfId="7120" xr:uid="{00000000-0005-0000-0000-0000E50E0000}"/>
    <cellStyle name="Calculation 2 16 7 4 3" xfId="2642" xr:uid="{00000000-0005-0000-0000-0000E60E0000}"/>
    <cellStyle name="Calculation 2 16 7 5" xfId="7121" xr:uid="{00000000-0005-0000-0000-0000E70E0000}"/>
    <cellStyle name="Calculation 2 16 7 5 2" xfId="5148" xr:uid="{00000000-0005-0000-0000-0000E80E0000}"/>
    <cellStyle name="Calculation 2 16 7 5 3" xfId="7122" xr:uid="{00000000-0005-0000-0000-0000E90E0000}"/>
    <cellStyle name="Calculation 2 16 7 6" xfId="7123" xr:uid="{00000000-0005-0000-0000-0000EA0E0000}"/>
    <cellStyle name="Calculation 2 16 7 7" xfId="7127" xr:uid="{00000000-0005-0000-0000-0000EB0E0000}"/>
    <cellStyle name="Calculation 2 16 8" xfId="5804" xr:uid="{00000000-0005-0000-0000-0000EC0E0000}"/>
    <cellStyle name="Calculation 2 16 8 2" xfId="7131" xr:uid="{00000000-0005-0000-0000-0000ED0E0000}"/>
    <cellStyle name="Calculation 2 16 8 2 2" xfId="7132" xr:uid="{00000000-0005-0000-0000-0000EE0E0000}"/>
    <cellStyle name="Calculation 2 16 8 2 3" xfId="7133" xr:uid="{00000000-0005-0000-0000-0000EF0E0000}"/>
    <cellStyle name="Calculation 2 16 8 2 4" xfId="7134" xr:uid="{00000000-0005-0000-0000-0000F00E0000}"/>
    <cellStyle name="Calculation 2 16 8 3" xfId="7135" xr:uid="{00000000-0005-0000-0000-0000F10E0000}"/>
    <cellStyle name="Calculation 2 16 8 3 2" xfId="7137" xr:uid="{00000000-0005-0000-0000-0000F20E0000}"/>
    <cellStyle name="Calculation 2 16 8 3 3" xfId="7139" xr:uid="{00000000-0005-0000-0000-0000F30E0000}"/>
    <cellStyle name="Calculation 2 16 8 3 4" xfId="7140" xr:uid="{00000000-0005-0000-0000-0000F40E0000}"/>
    <cellStyle name="Calculation 2 16 8 4" xfId="7141" xr:uid="{00000000-0005-0000-0000-0000F50E0000}"/>
    <cellStyle name="Calculation 2 16 8 4 2" xfId="4297" xr:uid="{00000000-0005-0000-0000-0000F60E0000}"/>
    <cellStyle name="Calculation 2 16 8 4 3" xfId="7143" xr:uid="{00000000-0005-0000-0000-0000F70E0000}"/>
    <cellStyle name="Calculation 2 16 8 5" xfId="7144" xr:uid="{00000000-0005-0000-0000-0000F80E0000}"/>
    <cellStyle name="Calculation 2 16 8 5 2" xfId="4325" xr:uid="{00000000-0005-0000-0000-0000F90E0000}"/>
    <cellStyle name="Calculation 2 16 8 5 3" xfId="7147" xr:uid="{00000000-0005-0000-0000-0000FA0E0000}"/>
    <cellStyle name="Calculation 2 16 8 6" xfId="7148" xr:uid="{00000000-0005-0000-0000-0000FB0E0000}"/>
    <cellStyle name="Calculation 2 16 8 7" xfId="2596" xr:uid="{00000000-0005-0000-0000-0000FC0E0000}"/>
    <cellStyle name="Calculation 2 16 9" xfId="2782" xr:uid="{00000000-0005-0000-0000-0000FD0E0000}"/>
    <cellStyle name="Calculation 2 16 9 2" xfId="7150" xr:uid="{00000000-0005-0000-0000-0000FE0E0000}"/>
    <cellStyle name="Calculation 2 16 9 2 2" xfId="7151" xr:uid="{00000000-0005-0000-0000-0000FF0E0000}"/>
    <cellStyle name="Calculation 2 16 9 2 3" xfId="7152" xr:uid="{00000000-0005-0000-0000-0000000F0000}"/>
    <cellStyle name="Calculation 2 16 9 2 4" xfId="7153" xr:uid="{00000000-0005-0000-0000-0000010F0000}"/>
    <cellStyle name="Calculation 2 16 9 3" xfId="7154" xr:uid="{00000000-0005-0000-0000-0000020F0000}"/>
    <cellStyle name="Calculation 2 16 9 3 2" xfId="7156" xr:uid="{00000000-0005-0000-0000-0000030F0000}"/>
    <cellStyle name="Calculation 2 16 9 3 3" xfId="7157" xr:uid="{00000000-0005-0000-0000-0000040F0000}"/>
    <cellStyle name="Calculation 2 16 9 3 4" xfId="7158" xr:uid="{00000000-0005-0000-0000-0000050F0000}"/>
    <cellStyle name="Calculation 2 16 9 4" xfId="7159" xr:uid="{00000000-0005-0000-0000-0000060F0000}"/>
    <cellStyle name="Calculation 2 16 9 4 2" xfId="4574" xr:uid="{00000000-0005-0000-0000-0000070F0000}"/>
    <cellStyle name="Calculation 2 16 9 4 3" xfId="7161" xr:uid="{00000000-0005-0000-0000-0000080F0000}"/>
    <cellStyle name="Calculation 2 16 9 5" xfId="7162" xr:uid="{00000000-0005-0000-0000-0000090F0000}"/>
    <cellStyle name="Calculation 2 16 9 5 2" xfId="4613" xr:uid="{00000000-0005-0000-0000-00000A0F0000}"/>
    <cellStyle name="Calculation 2 16 9 5 3" xfId="7166" xr:uid="{00000000-0005-0000-0000-00000B0F0000}"/>
    <cellStyle name="Calculation 2 16 9 6" xfId="4969" xr:uid="{00000000-0005-0000-0000-00000C0F0000}"/>
    <cellStyle name="Calculation 2 16 9 7" xfId="4973" xr:uid="{00000000-0005-0000-0000-00000D0F0000}"/>
    <cellStyle name="Calculation 2 17" xfId="1632" xr:uid="{00000000-0005-0000-0000-00000E0F0000}"/>
    <cellStyle name="Calculation 2 17 2" xfId="7167" xr:uid="{00000000-0005-0000-0000-00000F0F0000}"/>
    <cellStyle name="Calculation 2 17 2 2" xfId="7169" xr:uid="{00000000-0005-0000-0000-0000100F0000}"/>
    <cellStyle name="Calculation 2 17 2 3" xfId="6367" xr:uid="{00000000-0005-0000-0000-0000110F0000}"/>
    <cellStyle name="Calculation 2 17 2 4" xfId="6375" xr:uid="{00000000-0005-0000-0000-0000120F0000}"/>
    <cellStyle name="Calculation 2 17 3" xfId="2291" xr:uid="{00000000-0005-0000-0000-0000130F0000}"/>
    <cellStyle name="Calculation 2 17 3 2" xfId="2296" xr:uid="{00000000-0005-0000-0000-0000140F0000}"/>
    <cellStyle name="Calculation 2 17 3 3" xfId="2301" xr:uid="{00000000-0005-0000-0000-0000150F0000}"/>
    <cellStyle name="Calculation 2 17 3 4" xfId="1222" xr:uid="{00000000-0005-0000-0000-0000160F0000}"/>
    <cellStyle name="Calculation 2 17 4" xfId="2306" xr:uid="{00000000-0005-0000-0000-0000170F0000}"/>
    <cellStyle name="Calculation 2 17 4 2" xfId="7173" xr:uid="{00000000-0005-0000-0000-0000180F0000}"/>
    <cellStyle name="Calculation 2 17 4 3" xfId="6414" xr:uid="{00000000-0005-0000-0000-0000190F0000}"/>
    <cellStyle name="Calculation 2 17 5" xfId="2311" xr:uid="{00000000-0005-0000-0000-00001A0F0000}"/>
    <cellStyle name="Calculation 2 17 5 2" xfId="7176" xr:uid="{00000000-0005-0000-0000-00001B0F0000}"/>
    <cellStyle name="Calculation 2 17 5 3" xfId="6439" xr:uid="{00000000-0005-0000-0000-00001C0F0000}"/>
    <cellStyle name="Calculation 2 17 6" xfId="3598" xr:uid="{00000000-0005-0000-0000-00001D0F0000}"/>
    <cellStyle name="Calculation 2 17 7" xfId="5065" xr:uid="{00000000-0005-0000-0000-00001E0F0000}"/>
    <cellStyle name="Calculation 2 17 8" xfId="5071" xr:uid="{00000000-0005-0000-0000-00001F0F0000}"/>
    <cellStyle name="Calculation 2 18" xfId="1636" xr:uid="{00000000-0005-0000-0000-0000200F0000}"/>
    <cellStyle name="Calculation 2 18 2" xfId="7178" xr:uid="{00000000-0005-0000-0000-0000210F0000}"/>
    <cellStyle name="Calculation 2 18 2 2" xfId="871" xr:uid="{00000000-0005-0000-0000-0000220F0000}"/>
    <cellStyle name="Calculation 2 18 2 3" xfId="6573" xr:uid="{00000000-0005-0000-0000-0000230F0000}"/>
    <cellStyle name="Calculation 2 18 2 4" xfId="6583" xr:uid="{00000000-0005-0000-0000-0000240F0000}"/>
    <cellStyle name="Calculation 2 18 3" xfId="7180" xr:uid="{00000000-0005-0000-0000-0000250F0000}"/>
    <cellStyle name="Calculation 2 18 3 2" xfId="7182" xr:uid="{00000000-0005-0000-0000-0000260F0000}"/>
    <cellStyle name="Calculation 2 18 3 3" xfId="6599" xr:uid="{00000000-0005-0000-0000-0000270F0000}"/>
    <cellStyle name="Calculation 2 18 3 4" xfId="6608" xr:uid="{00000000-0005-0000-0000-0000280F0000}"/>
    <cellStyle name="Calculation 2 18 4" xfId="3603" xr:uid="{00000000-0005-0000-0000-0000290F0000}"/>
    <cellStyle name="Calculation 2 18 4 2" xfId="7185" xr:uid="{00000000-0005-0000-0000-00002A0F0000}"/>
    <cellStyle name="Calculation 2 18 4 3" xfId="6641" xr:uid="{00000000-0005-0000-0000-00002B0F0000}"/>
    <cellStyle name="Calculation 2 18 5" xfId="3607" xr:uid="{00000000-0005-0000-0000-00002C0F0000}"/>
    <cellStyle name="Calculation 2 18 5 2" xfId="7189" xr:uid="{00000000-0005-0000-0000-00002D0F0000}"/>
    <cellStyle name="Calculation 2 18 5 3" xfId="6667" xr:uid="{00000000-0005-0000-0000-00002E0F0000}"/>
    <cellStyle name="Calculation 2 18 6" xfId="3614" xr:uid="{00000000-0005-0000-0000-00002F0F0000}"/>
    <cellStyle name="Calculation 2 18 7" xfId="5080" xr:uid="{00000000-0005-0000-0000-0000300F0000}"/>
    <cellStyle name="Calculation 2 18 8" xfId="5087" xr:uid="{00000000-0005-0000-0000-0000310F0000}"/>
    <cellStyle name="Calculation 2 19" xfId="1640" xr:uid="{00000000-0005-0000-0000-0000320F0000}"/>
    <cellStyle name="Calculation 2 19 2" xfId="7192" xr:uid="{00000000-0005-0000-0000-0000330F0000}"/>
    <cellStyle name="Calculation 2 19 2 2" xfId="2999" xr:uid="{00000000-0005-0000-0000-0000340F0000}"/>
    <cellStyle name="Calculation 2 19 2 3" xfId="4154" xr:uid="{00000000-0005-0000-0000-0000350F0000}"/>
    <cellStyle name="Calculation 2 19 2 4" xfId="4168" xr:uid="{00000000-0005-0000-0000-0000360F0000}"/>
    <cellStyle name="Calculation 2 19 3" xfId="7194" xr:uid="{00000000-0005-0000-0000-0000370F0000}"/>
    <cellStyle name="Calculation 2 19 3 2" xfId="7196" xr:uid="{00000000-0005-0000-0000-0000380F0000}"/>
    <cellStyle name="Calculation 2 19 3 3" xfId="6732" xr:uid="{00000000-0005-0000-0000-0000390F0000}"/>
    <cellStyle name="Calculation 2 19 3 4" xfId="6735" xr:uid="{00000000-0005-0000-0000-00003A0F0000}"/>
    <cellStyle name="Calculation 2 19 4" xfId="3619" xr:uid="{00000000-0005-0000-0000-00003B0F0000}"/>
    <cellStyle name="Calculation 2 19 4 2" xfId="7199" xr:uid="{00000000-0005-0000-0000-00003C0F0000}"/>
    <cellStyle name="Calculation 2 19 4 3" xfId="7202" xr:uid="{00000000-0005-0000-0000-00003D0F0000}"/>
    <cellStyle name="Calculation 2 19 5" xfId="3622" xr:uid="{00000000-0005-0000-0000-00003E0F0000}"/>
    <cellStyle name="Calculation 2 19 5 2" xfId="7204" xr:uid="{00000000-0005-0000-0000-00003F0F0000}"/>
    <cellStyle name="Calculation 2 19 5 3" xfId="7206" xr:uid="{00000000-0005-0000-0000-0000400F0000}"/>
    <cellStyle name="Calculation 2 19 6" xfId="5097" xr:uid="{00000000-0005-0000-0000-0000410F0000}"/>
    <cellStyle name="Calculation 2 19 7" xfId="5102" xr:uid="{00000000-0005-0000-0000-0000420F0000}"/>
    <cellStyle name="Calculation 2 19 8" xfId="2788" xr:uid="{00000000-0005-0000-0000-0000430F0000}"/>
    <cellStyle name="Calculation 2 2" xfId="6629" xr:uid="{00000000-0005-0000-0000-0000440F0000}"/>
    <cellStyle name="Calculation 2 2 10" xfId="2719" xr:uid="{00000000-0005-0000-0000-0000450F0000}"/>
    <cellStyle name="Calculation 2 2 10 2" xfId="2728" xr:uid="{00000000-0005-0000-0000-0000460F0000}"/>
    <cellStyle name="Calculation 2 2 10 2 2" xfId="3293" xr:uid="{00000000-0005-0000-0000-0000470F0000}"/>
    <cellStyle name="Calculation 2 2 10 2 3" xfId="3300" xr:uid="{00000000-0005-0000-0000-0000480F0000}"/>
    <cellStyle name="Calculation 2 2 10 2 4" xfId="3305" xr:uid="{00000000-0005-0000-0000-0000490F0000}"/>
    <cellStyle name="Calculation 2 2 10 3" xfId="2736" xr:uid="{00000000-0005-0000-0000-00004A0F0000}"/>
    <cellStyle name="Calculation 2 2 10 3 2" xfId="3312" xr:uid="{00000000-0005-0000-0000-00004B0F0000}"/>
    <cellStyle name="Calculation 2 2 10 3 3" xfId="3321" xr:uid="{00000000-0005-0000-0000-00004C0F0000}"/>
    <cellStyle name="Calculation 2 2 10 3 4" xfId="2840" xr:uid="{00000000-0005-0000-0000-00004D0F0000}"/>
    <cellStyle name="Calculation 2 2 10 4" xfId="2743" xr:uid="{00000000-0005-0000-0000-00004E0F0000}"/>
    <cellStyle name="Calculation 2 2 10 4 2" xfId="3325" xr:uid="{00000000-0005-0000-0000-00004F0F0000}"/>
    <cellStyle name="Calculation 2 2 10 4 3" xfId="3331" xr:uid="{00000000-0005-0000-0000-0000500F0000}"/>
    <cellStyle name="Calculation 2 2 10 5" xfId="3336" xr:uid="{00000000-0005-0000-0000-0000510F0000}"/>
    <cellStyle name="Calculation 2 2 10 5 2" xfId="6383" xr:uid="{00000000-0005-0000-0000-0000520F0000}"/>
    <cellStyle name="Calculation 2 2 10 5 3" xfId="7208" xr:uid="{00000000-0005-0000-0000-0000530F0000}"/>
    <cellStyle name="Calculation 2 2 10 6" xfId="3341" xr:uid="{00000000-0005-0000-0000-0000540F0000}"/>
    <cellStyle name="Calculation 2 2 10 7" xfId="4727" xr:uid="{00000000-0005-0000-0000-0000550F0000}"/>
    <cellStyle name="Calculation 2 2 10 8" xfId="4730" xr:uid="{00000000-0005-0000-0000-0000560F0000}"/>
    <cellStyle name="Calculation 2 2 11" xfId="2746" xr:uid="{00000000-0005-0000-0000-0000570F0000}"/>
    <cellStyle name="Calculation 2 2 11 2" xfId="2752" xr:uid="{00000000-0005-0000-0000-0000580F0000}"/>
    <cellStyle name="Calculation 2 2 11 2 2" xfId="3363" xr:uid="{00000000-0005-0000-0000-0000590F0000}"/>
    <cellStyle name="Calculation 2 2 11 2 3" xfId="3367" xr:uid="{00000000-0005-0000-0000-00005A0F0000}"/>
    <cellStyle name="Calculation 2 2 11 2 4" xfId="3372" xr:uid="{00000000-0005-0000-0000-00005B0F0000}"/>
    <cellStyle name="Calculation 2 2 11 3" xfId="2757" xr:uid="{00000000-0005-0000-0000-00005C0F0000}"/>
    <cellStyle name="Calculation 2 2 11 3 2" xfId="3378" xr:uid="{00000000-0005-0000-0000-00005D0F0000}"/>
    <cellStyle name="Calculation 2 2 11 3 3" xfId="3385" xr:uid="{00000000-0005-0000-0000-00005E0F0000}"/>
    <cellStyle name="Calculation 2 2 11 3 4" xfId="2901" xr:uid="{00000000-0005-0000-0000-00005F0F0000}"/>
    <cellStyle name="Calculation 2 2 11 4" xfId="2762" xr:uid="{00000000-0005-0000-0000-0000600F0000}"/>
    <cellStyle name="Calculation 2 2 11 4 2" xfId="44" xr:uid="{00000000-0005-0000-0000-0000610F0000}"/>
    <cellStyle name="Calculation 2 2 11 4 3" xfId="160" xr:uid="{00000000-0005-0000-0000-0000620F0000}"/>
    <cellStyle name="Calculation 2 2 11 5" xfId="3388" xr:uid="{00000000-0005-0000-0000-0000630F0000}"/>
    <cellStyle name="Calculation 2 2 11 5 2" xfId="6402" xr:uid="{00000000-0005-0000-0000-0000640F0000}"/>
    <cellStyle name="Calculation 2 2 11 5 3" xfId="7209" xr:uid="{00000000-0005-0000-0000-0000650F0000}"/>
    <cellStyle name="Calculation 2 2 11 6" xfId="3393" xr:uid="{00000000-0005-0000-0000-0000660F0000}"/>
    <cellStyle name="Calculation 2 2 11 7" xfId="4737" xr:uid="{00000000-0005-0000-0000-0000670F0000}"/>
    <cellStyle name="Calculation 2 2 11 8" xfId="4740" xr:uid="{00000000-0005-0000-0000-0000680F0000}"/>
    <cellStyle name="Calculation 2 2 12" xfId="2765" xr:uid="{00000000-0005-0000-0000-0000690F0000}"/>
    <cellStyle name="Calculation 2 2 12 2" xfId="2770" xr:uid="{00000000-0005-0000-0000-00006A0F0000}"/>
    <cellStyle name="Calculation 2 2 12 2 2" xfId="3416" xr:uid="{00000000-0005-0000-0000-00006B0F0000}"/>
    <cellStyle name="Calculation 2 2 12 2 3" xfId="3423" xr:uid="{00000000-0005-0000-0000-00006C0F0000}"/>
    <cellStyle name="Calculation 2 2 12 2 4" xfId="3430" xr:uid="{00000000-0005-0000-0000-00006D0F0000}"/>
    <cellStyle name="Calculation 2 2 12 3" xfId="2774" xr:uid="{00000000-0005-0000-0000-00006E0F0000}"/>
    <cellStyle name="Calculation 2 2 12 3 2" xfId="3437" xr:uid="{00000000-0005-0000-0000-00006F0F0000}"/>
    <cellStyle name="Calculation 2 2 12 3 3" xfId="3446" xr:uid="{00000000-0005-0000-0000-0000700F0000}"/>
    <cellStyle name="Calculation 2 2 12 3 4" xfId="2940" xr:uid="{00000000-0005-0000-0000-0000710F0000}"/>
    <cellStyle name="Calculation 2 2 12 4" xfId="2778" xr:uid="{00000000-0005-0000-0000-0000720F0000}"/>
    <cellStyle name="Calculation 2 2 12 4 2" xfId="3453" xr:uid="{00000000-0005-0000-0000-0000730F0000}"/>
    <cellStyle name="Calculation 2 2 12 4 3" xfId="3462" xr:uid="{00000000-0005-0000-0000-0000740F0000}"/>
    <cellStyle name="Calculation 2 2 12 5" xfId="3465" xr:uid="{00000000-0005-0000-0000-0000750F0000}"/>
    <cellStyle name="Calculation 2 2 12 5 2" xfId="6425" xr:uid="{00000000-0005-0000-0000-0000760F0000}"/>
    <cellStyle name="Calculation 2 2 12 5 3" xfId="7210" xr:uid="{00000000-0005-0000-0000-0000770F0000}"/>
    <cellStyle name="Calculation 2 2 12 6" xfId="3470" xr:uid="{00000000-0005-0000-0000-0000780F0000}"/>
    <cellStyle name="Calculation 2 2 12 7" xfId="4744" xr:uid="{00000000-0005-0000-0000-0000790F0000}"/>
    <cellStyle name="Calculation 2 2 12 8" xfId="7211" xr:uid="{00000000-0005-0000-0000-00007A0F0000}"/>
    <cellStyle name="Calculation 2 2 13" xfId="2780" xr:uid="{00000000-0005-0000-0000-00007B0F0000}"/>
    <cellStyle name="Calculation 2 2 13 2" xfId="2783" xr:uid="{00000000-0005-0000-0000-00007C0F0000}"/>
    <cellStyle name="Calculation 2 2 13 3" xfId="2785" xr:uid="{00000000-0005-0000-0000-00007D0F0000}"/>
    <cellStyle name="Calculation 2 2 13 4" xfId="7212" xr:uid="{00000000-0005-0000-0000-00007E0F0000}"/>
    <cellStyle name="Calculation 2 2 13 5" xfId="7213" xr:uid="{00000000-0005-0000-0000-00007F0F0000}"/>
    <cellStyle name="Calculation 2 2 14" xfId="7215" xr:uid="{00000000-0005-0000-0000-0000800F0000}"/>
    <cellStyle name="Calculation 2 2 14 2" xfId="7217" xr:uid="{00000000-0005-0000-0000-0000810F0000}"/>
    <cellStyle name="Calculation 2 2 14 3" xfId="7218" xr:uid="{00000000-0005-0000-0000-0000820F0000}"/>
    <cellStyle name="Calculation 2 2 14 4" xfId="7220" xr:uid="{00000000-0005-0000-0000-0000830F0000}"/>
    <cellStyle name="Calculation 2 2 14 5" xfId="7222" xr:uid="{00000000-0005-0000-0000-0000840F0000}"/>
    <cellStyle name="Calculation 2 2 15" xfId="5999" xr:uid="{00000000-0005-0000-0000-0000850F0000}"/>
    <cellStyle name="Calculation 2 2 15 2" xfId="5377" xr:uid="{00000000-0005-0000-0000-0000860F0000}"/>
    <cellStyle name="Calculation 2 2 15 3" xfId="5380" xr:uid="{00000000-0005-0000-0000-0000870F0000}"/>
    <cellStyle name="Calculation 2 2 15 4" xfId="5383" xr:uid="{00000000-0005-0000-0000-0000880F0000}"/>
    <cellStyle name="Calculation 2 2 16" xfId="6004" xr:uid="{00000000-0005-0000-0000-0000890F0000}"/>
    <cellStyle name="Calculation 2 2 16 2" xfId="2803" xr:uid="{00000000-0005-0000-0000-00008A0F0000}"/>
    <cellStyle name="Calculation 2 2 16 3" xfId="2806" xr:uid="{00000000-0005-0000-0000-00008B0F0000}"/>
    <cellStyle name="Calculation 2 2 16 4" xfId="2809" xr:uid="{00000000-0005-0000-0000-00008C0F0000}"/>
    <cellStyle name="Calculation 2 2 17" xfId="1048" xr:uid="{00000000-0005-0000-0000-00008D0F0000}"/>
    <cellStyle name="Calculation 2 2 17 2" xfId="966" xr:uid="{00000000-0005-0000-0000-00008E0F0000}"/>
    <cellStyle name="Calculation 2 2 18" xfId="1062" xr:uid="{00000000-0005-0000-0000-00008F0F0000}"/>
    <cellStyle name="Calculation 2 2 18 2" xfId="6809" xr:uid="{00000000-0005-0000-0000-0000900F0000}"/>
    <cellStyle name="Calculation 2 2 19" xfId="1594" xr:uid="{00000000-0005-0000-0000-0000910F0000}"/>
    <cellStyle name="Calculation 2 2 19 2" xfId="6816" xr:uid="{00000000-0005-0000-0000-0000920F0000}"/>
    <cellStyle name="Calculation 2 2 2" xfId="6634" xr:uid="{00000000-0005-0000-0000-0000930F0000}"/>
    <cellStyle name="Calculation 2 2 2 10" xfId="6860" xr:uid="{00000000-0005-0000-0000-0000940F0000}"/>
    <cellStyle name="Calculation 2 2 2 10 2" xfId="6863" xr:uid="{00000000-0005-0000-0000-0000950F0000}"/>
    <cellStyle name="Calculation 2 2 2 10 2 2" xfId="2108" xr:uid="{00000000-0005-0000-0000-0000960F0000}"/>
    <cellStyle name="Calculation 2 2 2 10 2 3" xfId="2112" xr:uid="{00000000-0005-0000-0000-0000970F0000}"/>
    <cellStyle name="Calculation 2 2 2 10 2 4" xfId="2116" xr:uid="{00000000-0005-0000-0000-0000980F0000}"/>
    <cellStyle name="Calculation 2 2 2 10 3" xfId="6866" xr:uid="{00000000-0005-0000-0000-0000990F0000}"/>
    <cellStyle name="Calculation 2 2 2 10 3 2" xfId="3912" xr:uid="{00000000-0005-0000-0000-00009A0F0000}"/>
    <cellStyle name="Calculation 2 2 2 10 3 3" xfId="3917" xr:uid="{00000000-0005-0000-0000-00009B0F0000}"/>
    <cellStyle name="Calculation 2 2 2 10 3 4" xfId="663" xr:uid="{00000000-0005-0000-0000-00009C0F0000}"/>
    <cellStyle name="Calculation 2 2 2 10 4" xfId="6871" xr:uid="{00000000-0005-0000-0000-00009D0F0000}"/>
    <cellStyle name="Calculation 2 2 2 10 4 2" xfId="3925" xr:uid="{00000000-0005-0000-0000-00009E0F0000}"/>
    <cellStyle name="Calculation 2 2 2 10 4 3" xfId="3930" xr:uid="{00000000-0005-0000-0000-00009F0F0000}"/>
    <cellStyle name="Calculation 2 2 2 10 5" xfId="2318" xr:uid="{00000000-0005-0000-0000-0000A00F0000}"/>
    <cellStyle name="Calculation 2 2 2 10 5 2" xfId="3951" xr:uid="{00000000-0005-0000-0000-0000A10F0000}"/>
    <cellStyle name="Calculation 2 2 2 10 5 3" xfId="3955" xr:uid="{00000000-0005-0000-0000-0000A20F0000}"/>
    <cellStyle name="Calculation 2 2 2 10 6" xfId="2325" xr:uid="{00000000-0005-0000-0000-0000A30F0000}"/>
    <cellStyle name="Calculation 2 2 2 10 7" xfId="5631" xr:uid="{00000000-0005-0000-0000-0000A40F0000}"/>
    <cellStyle name="Calculation 2 2 2 10 8" xfId="5635" xr:uid="{00000000-0005-0000-0000-0000A50F0000}"/>
    <cellStyle name="Calculation 2 2 2 11" xfId="6876" xr:uid="{00000000-0005-0000-0000-0000A60F0000}"/>
    <cellStyle name="Calculation 2 2 2 11 2" xfId="6879" xr:uid="{00000000-0005-0000-0000-0000A70F0000}"/>
    <cellStyle name="Calculation 2 2 2 11 3" xfId="6882" xr:uid="{00000000-0005-0000-0000-0000A80F0000}"/>
    <cellStyle name="Calculation 2 2 2 11 4" xfId="3022" xr:uid="{00000000-0005-0000-0000-0000A90F0000}"/>
    <cellStyle name="Calculation 2 2 2 11 5" xfId="3036" xr:uid="{00000000-0005-0000-0000-0000AA0F0000}"/>
    <cellStyle name="Calculation 2 2 2 12" xfId="1751" xr:uid="{00000000-0005-0000-0000-0000AB0F0000}"/>
    <cellStyle name="Calculation 2 2 2 12 2" xfId="1755" xr:uid="{00000000-0005-0000-0000-0000AC0F0000}"/>
    <cellStyle name="Calculation 2 2 2 12 3" xfId="6886" xr:uid="{00000000-0005-0000-0000-0000AD0F0000}"/>
    <cellStyle name="Calculation 2 2 2 12 4" xfId="3082" xr:uid="{00000000-0005-0000-0000-0000AE0F0000}"/>
    <cellStyle name="Calculation 2 2 2 12 5" xfId="3085" xr:uid="{00000000-0005-0000-0000-0000AF0F0000}"/>
    <cellStyle name="Calculation 2 2 2 13" xfId="1760" xr:uid="{00000000-0005-0000-0000-0000B00F0000}"/>
    <cellStyle name="Calculation 2 2 2 13 2" xfId="848" xr:uid="{00000000-0005-0000-0000-0000B10F0000}"/>
    <cellStyle name="Calculation 2 2 2 13 3" xfId="875" xr:uid="{00000000-0005-0000-0000-0000B20F0000}"/>
    <cellStyle name="Calculation 2 2 2 13 4" xfId="880" xr:uid="{00000000-0005-0000-0000-0000B30F0000}"/>
    <cellStyle name="Calculation 2 2 2 14" xfId="6889" xr:uid="{00000000-0005-0000-0000-0000B40F0000}"/>
    <cellStyle name="Calculation 2 2 2 14 2" xfId="7225" xr:uid="{00000000-0005-0000-0000-0000B50F0000}"/>
    <cellStyle name="Calculation 2 2 2 14 3" xfId="6273" xr:uid="{00000000-0005-0000-0000-0000B60F0000}"/>
    <cellStyle name="Calculation 2 2 2 14 4" xfId="3100" xr:uid="{00000000-0005-0000-0000-0000B70F0000}"/>
    <cellStyle name="Calculation 2 2 2 15" xfId="280" xr:uid="{00000000-0005-0000-0000-0000B80F0000}"/>
    <cellStyle name="Calculation 2 2 2 15 2" xfId="293" xr:uid="{00000000-0005-0000-0000-0000B90F0000}"/>
    <cellStyle name="Calculation 2 2 2 16" xfId="7227" xr:uid="{00000000-0005-0000-0000-0000BA0F0000}"/>
    <cellStyle name="Calculation 2 2 2 16 2" xfId="1881" xr:uid="{00000000-0005-0000-0000-0000BB0F0000}"/>
    <cellStyle name="Calculation 2 2 2 17" xfId="4646" xr:uid="{00000000-0005-0000-0000-0000BC0F0000}"/>
    <cellStyle name="Calculation 2 2 2 17 2" xfId="1227" xr:uid="{00000000-0005-0000-0000-0000BD0F0000}"/>
    <cellStyle name="Calculation 2 2 2 18" xfId="4654" xr:uid="{00000000-0005-0000-0000-0000BE0F0000}"/>
    <cellStyle name="Calculation 2 2 2 19" xfId="4662" xr:uid="{00000000-0005-0000-0000-0000BF0F0000}"/>
    <cellStyle name="Calculation 2 2 2 2" xfId="4543" xr:uid="{00000000-0005-0000-0000-0000C00F0000}"/>
    <cellStyle name="Calculation 2 2 2 2 2" xfId="2682" xr:uid="{00000000-0005-0000-0000-0000C10F0000}"/>
    <cellStyle name="Calculation 2 2 2 2 2 2" xfId="1502" xr:uid="{00000000-0005-0000-0000-0000C20F0000}"/>
    <cellStyle name="Calculation 2 2 2 2 2 2 2" xfId="336" xr:uid="{00000000-0005-0000-0000-0000C30F0000}"/>
    <cellStyle name="Calculation 2 2 2 2 2 2 2 2" xfId="5993" xr:uid="{00000000-0005-0000-0000-0000C40F0000}"/>
    <cellStyle name="Calculation 2 2 2 2 2 2 2 2 2" xfId="6967" xr:uid="{00000000-0005-0000-0000-0000C50F0000}"/>
    <cellStyle name="Calculation 2 2 2 2 2 2 2 2 2 2" xfId="4522" xr:uid="{00000000-0005-0000-0000-0000C60F0000}"/>
    <cellStyle name="Calculation 2 2 2 2 2 2 2 2 2 2 2" xfId="1134" xr:uid="{00000000-0005-0000-0000-0000C70F0000}"/>
    <cellStyle name="Calculation 2 2 2 2 2 2 2 2 2 2 2 2" xfId="601" xr:uid="{00000000-0005-0000-0000-0000C80F0000}"/>
    <cellStyle name="Calculation 2 2 2 2 2 2 2 2 2 3" xfId="7229" xr:uid="{00000000-0005-0000-0000-0000C90F0000}"/>
    <cellStyle name="Calculation 2 2 2 2 2 2 2 2 3" xfId="6970" xr:uid="{00000000-0005-0000-0000-0000CA0F0000}"/>
    <cellStyle name="Calculation 2 2 2 2 2 2 2 3" xfId="7231" xr:uid="{00000000-0005-0000-0000-0000CB0F0000}"/>
    <cellStyle name="Calculation 2 2 2 2 2 2 3" xfId="340" xr:uid="{00000000-0005-0000-0000-0000CC0F0000}"/>
    <cellStyle name="Calculation 2 2 2 2 2 3" xfId="1518" xr:uid="{00000000-0005-0000-0000-0000CD0F0000}"/>
    <cellStyle name="Calculation 2 2 2 2 2 3 2" xfId="404" xr:uid="{00000000-0005-0000-0000-0000CE0F0000}"/>
    <cellStyle name="Calculation 2 2 2 2 2 3 2 2" xfId="6200" xr:uid="{00000000-0005-0000-0000-0000CF0F0000}"/>
    <cellStyle name="Calculation 2 2 2 2 2 4" xfId="2003" xr:uid="{00000000-0005-0000-0000-0000D00F0000}"/>
    <cellStyle name="Calculation 2 2 2 2 3" xfId="63" xr:uid="{00000000-0005-0000-0000-0000D10F0000}"/>
    <cellStyle name="Calculation 2 2 2 2 3 2" xfId="7234" xr:uid="{00000000-0005-0000-0000-0000D20F0000}"/>
    <cellStyle name="Calculation 2 2 2 2 3 2 2" xfId="7236" xr:uid="{00000000-0005-0000-0000-0000D30F0000}"/>
    <cellStyle name="Calculation 2 2 2 2 3 3" xfId="3575" xr:uid="{00000000-0005-0000-0000-0000D40F0000}"/>
    <cellStyle name="Calculation 2 2 2 2 3 4" xfId="3577" xr:uid="{00000000-0005-0000-0000-0000D50F0000}"/>
    <cellStyle name="Calculation 2 2 2 2 4" xfId="4851" xr:uid="{00000000-0005-0000-0000-0000D60F0000}"/>
    <cellStyle name="Calculation 2 2 2 2 4 2" xfId="7238" xr:uid="{00000000-0005-0000-0000-0000D70F0000}"/>
    <cellStyle name="Calculation 2 2 2 2 4 2 2" xfId="7239" xr:uid="{00000000-0005-0000-0000-0000D80F0000}"/>
    <cellStyle name="Calculation 2 2 2 2 4 3" xfId="3584" xr:uid="{00000000-0005-0000-0000-0000D90F0000}"/>
    <cellStyle name="Calculation 2 2 2 2 5" xfId="7240" xr:uid="{00000000-0005-0000-0000-0000DA0F0000}"/>
    <cellStyle name="Calculation 2 2 2 2 5 2" xfId="7241" xr:uid="{00000000-0005-0000-0000-0000DB0F0000}"/>
    <cellStyle name="Calculation 2 2 2 2 5 2 2" xfId="7242" xr:uid="{00000000-0005-0000-0000-0000DC0F0000}"/>
    <cellStyle name="Calculation 2 2 2 2 5 3" xfId="807" xr:uid="{00000000-0005-0000-0000-0000DD0F0000}"/>
    <cellStyle name="Calculation 2 2 2 2 6" xfId="7243" xr:uid="{00000000-0005-0000-0000-0000DE0F0000}"/>
    <cellStyle name="Calculation 2 2 2 2 6 2" xfId="7244" xr:uid="{00000000-0005-0000-0000-0000DF0F0000}"/>
    <cellStyle name="Calculation 2 2 2 2 6 2 2" xfId="7245" xr:uid="{00000000-0005-0000-0000-0000E00F0000}"/>
    <cellStyle name="Calculation 2 2 2 2 6 2 2 2" xfId="7246" xr:uid="{00000000-0005-0000-0000-0000E10F0000}"/>
    <cellStyle name="Calculation 2 2 2 2 6 3" xfId="7247" xr:uid="{00000000-0005-0000-0000-0000E20F0000}"/>
    <cellStyle name="Calculation 2 2 2 2 7" xfId="7248" xr:uid="{00000000-0005-0000-0000-0000E30F0000}"/>
    <cellStyle name="Calculation 2 2 2 2 8" xfId="823" xr:uid="{00000000-0005-0000-0000-0000E40F0000}"/>
    <cellStyle name="Calculation 2 2 2 2 9" xfId="829" xr:uid="{00000000-0005-0000-0000-0000E50F0000}"/>
    <cellStyle name="Calculation 2 2 2 20" xfId="281" xr:uid="{00000000-0005-0000-0000-0000E60F0000}"/>
    <cellStyle name="Calculation 2 2 2 21" xfId="7228" xr:uid="{00000000-0005-0000-0000-0000E70F0000}"/>
    <cellStyle name="Calculation 2 2 2 22" xfId="4647" xr:uid="{00000000-0005-0000-0000-0000E80F0000}"/>
    <cellStyle name="Calculation 2 2 2 23" xfId="4655" xr:uid="{00000000-0005-0000-0000-0000E90F0000}"/>
    <cellStyle name="Calculation 2 2 2 24" xfId="4663" xr:uid="{00000000-0005-0000-0000-0000EA0F0000}"/>
    <cellStyle name="Calculation 2 2 2 25" xfId="7249" xr:uid="{00000000-0005-0000-0000-0000EB0F0000}"/>
    <cellStyle name="Calculation 2 2 2 26" xfId="7251" xr:uid="{00000000-0005-0000-0000-0000EC0F0000}"/>
    <cellStyle name="Calculation 2 2 2 27" xfId="7252" xr:uid="{00000000-0005-0000-0000-0000ED0F0000}"/>
    <cellStyle name="Calculation 2 2 2 28" xfId="7254" xr:uid="{00000000-0005-0000-0000-0000EE0F0000}"/>
    <cellStyle name="Calculation 2 2 2 29" xfId="7256" xr:uid="{00000000-0005-0000-0000-0000EF0F0000}"/>
    <cellStyle name="Calculation 2 2 2 3" xfId="7257" xr:uid="{00000000-0005-0000-0000-0000F00F0000}"/>
    <cellStyle name="Calculation 2 2 2 3 2" xfId="7260" xr:uid="{00000000-0005-0000-0000-0000F10F0000}"/>
    <cellStyle name="Calculation 2 2 2 3 2 2" xfId="7262" xr:uid="{00000000-0005-0000-0000-0000F20F0000}"/>
    <cellStyle name="Calculation 2 2 2 3 2 3" xfId="2303" xr:uid="{00000000-0005-0000-0000-0000F30F0000}"/>
    <cellStyle name="Calculation 2 2 2 3 2 4" xfId="2308" xr:uid="{00000000-0005-0000-0000-0000F40F0000}"/>
    <cellStyle name="Calculation 2 2 2 3 3" xfId="7264" xr:uid="{00000000-0005-0000-0000-0000F50F0000}"/>
    <cellStyle name="Calculation 2 2 2 3 3 2" xfId="7267" xr:uid="{00000000-0005-0000-0000-0000F60F0000}"/>
    <cellStyle name="Calculation 2 2 2 3 3 3" xfId="3600" xr:uid="{00000000-0005-0000-0000-0000F70F0000}"/>
    <cellStyle name="Calculation 2 2 2 3 3 4" xfId="3604" xr:uid="{00000000-0005-0000-0000-0000F80F0000}"/>
    <cellStyle name="Calculation 2 2 2 3 4" xfId="7269" xr:uid="{00000000-0005-0000-0000-0000F90F0000}"/>
    <cellStyle name="Calculation 2 2 2 3 4 2" xfId="7271" xr:uid="{00000000-0005-0000-0000-0000FA0F0000}"/>
    <cellStyle name="Calculation 2 2 2 3 4 3" xfId="3616" xr:uid="{00000000-0005-0000-0000-0000FB0F0000}"/>
    <cellStyle name="Calculation 2 2 2 3 5" xfId="7272" xr:uid="{00000000-0005-0000-0000-0000FC0F0000}"/>
    <cellStyle name="Calculation 2 2 2 3 5 2" xfId="7273" xr:uid="{00000000-0005-0000-0000-0000FD0F0000}"/>
    <cellStyle name="Calculation 2 2 2 3 5 3" xfId="483" xr:uid="{00000000-0005-0000-0000-0000FE0F0000}"/>
    <cellStyle name="Calculation 2 2 2 3 6" xfId="7274" xr:uid="{00000000-0005-0000-0000-0000FF0F0000}"/>
    <cellStyle name="Calculation 2 2 2 3 6 2" xfId="7275" xr:uid="{00000000-0005-0000-0000-000000100000}"/>
    <cellStyle name="Calculation 2 2 2 3 7" xfId="7276" xr:uid="{00000000-0005-0000-0000-000001100000}"/>
    <cellStyle name="Calculation 2 2 2 3 8" xfId="7277" xr:uid="{00000000-0005-0000-0000-000002100000}"/>
    <cellStyle name="Calculation 2 2 2 30" xfId="7250" xr:uid="{00000000-0005-0000-0000-000003100000}"/>
    <cellStyle name="Calculation 2 2 2 4" xfId="7278" xr:uid="{00000000-0005-0000-0000-000004100000}"/>
    <cellStyle name="Calculation 2 2 2 4 2" xfId="7281" xr:uid="{00000000-0005-0000-0000-000005100000}"/>
    <cellStyle name="Calculation 2 2 2 4 2 2" xfId="1485" xr:uid="{00000000-0005-0000-0000-000006100000}"/>
    <cellStyle name="Calculation 2 2 2 4 2 3" xfId="1394" xr:uid="{00000000-0005-0000-0000-000007100000}"/>
    <cellStyle name="Calculation 2 2 2 4 2 4" xfId="3630" xr:uid="{00000000-0005-0000-0000-000008100000}"/>
    <cellStyle name="Calculation 2 2 2 4 3" xfId="7283" xr:uid="{00000000-0005-0000-0000-000009100000}"/>
    <cellStyle name="Calculation 2 2 2 4 3 2" xfId="7285" xr:uid="{00000000-0005-0000-0000-00000A100000}"/>
    <cellStyle name="Calculation 2 2 2 4 3 3" xfId="3635" xr:uid="{00000000-0005-0000-0000-00000B100000}"/>
    <cellStyle name="Calculation 2 2 2 4 3 4" xfId="3637" xr:uid="{00000000-0005-0000-0000-00000C100000}"/>
    <cellStyle name="Calculation 2 2 2 4 4" xfId="7286" xr:uid="{00000000-0005-0000-0000-00000D100000}"/>
    <cellStyle name="Calculation 2 2 2 4 4 2" xfId="7287" xr:uid="{00000000-0005-0000-0000-00000E100000}"/>
    <cellStyle name="Calculation 2 2 2 4 4 3" xfId="2637" xr:uid="{00000000-0005-0000-0000-00000F100000}"/>
    <cellStyle name="Calculation 2 2 2 4 5" xfId="7288" xr:uid="{00000000-0005-0000-0000-000010100000}"/>
    <cellStyle name="Calculation 2 2 2 4 5 2" xfId="7289" xr:uid="{00000000-0005-0000-0000-000011100000}"/>
    <cellStyle name="Calculation 2 2 2 4 5 3" xfId="1196" xr:uid="{00000000-0005-0000-0000-000012100000}"/>
    <cellStyle name="Calculation 2 2 2 4 6" xfId="7290" xr:uid="{00000000-0005-0000-0000-000013100000}"/>
    <cellStyle name="Calculation 2 2 2 4 6 2" xfId="7291" xr:uid="{00000000-0005-0000-0000-000014100000}"/>
    <cellStyle name="Calculation 2 2 2 4 7" xfId="7292" xr:uid="{00000000-0005-0000-0000-000015100000}"/>
    <cellStyle name="Calculation 2 2 2 4 8" xfId="1239" xr:uid="{00000000-0005-0000-0000-000016100000}"/>
    <cellStyle name="Calculation 2 2 2 5" xfId="7293" xr:uid="{00000000-0005-0000-0000-000017100000}"/>
    <cellStyle name="Calculation 2 2 2 5 2" xfId="7296" xr:uid="{00000000-0005-0000-0000-000018100000}"/>
    <cellStyle name="Calculation 2 2 2 5 2 2" xfId="7297" xr:uid="{00000000-0005-0000-0000-000019100000}"/>
    <cellStyle name="Calculation 2 2 2 5 2 2 2" xfId="7298" xr:uid="{00000000-0005-0000-0000-00001A100000}"/>
    <cellStyle name="Calculation 2 2 2 5 2 2 2 2" xfId="7299" xr:uid="{00000000-0005-0000-0000-00001B100000}"/>
    <cellStyle name="Calculation 2 2 2 5 2 2 2 2 2" xfId="7301" xr:uid="{00000000-0005-0000-0000-00001C100000}"/>
    <cellStyle name="Calculation 2 2 2 5 2 2 2 2 2 2" xfId="7302" xr:uid="{00000000-0005-0000-0000-00001D100000}"/>
    <cellStyle name="Calculation 2 2 2 5 2 2 2 3" xfId="7305" xr:uid="{00000000-0005-0000-0000-00001E100000}"/>
    <cellStyle name="Calculation 2 2 2 5 2 3" xfId="3654" xr:uid="{00000000-0005-0000-0000-00001F100000}"/>
    <cellStyle name="Calculation 2 2 2 5 2 4" xfId="3656" xr:uid="{00000000-0005-0000-0000-000020100000}"/>
    <cellStyle name="Calculation 2 2 2 5 3" xfId="7306" xr:uid="{00000000-0005-0000-0000-000021100000}"/>
    <cellStyle name="Calculation 2 2 2 5 3 2" xfId="7307" xr:uid="{00000000-0005-0000-0000-000022100000}"/>
    <cellStyle name="Calculation 2 2 2 5 3 2 2" xfId="7308" xr:uid="{00000000-0005-0000-0000-000023100000}"/>
    <cellStyle name="Calculation 2 2 2 5 3 3" xfId="3662" xr:uid="{00000000-0005-0000-0000-000024100000}"/>
    <cellStyle name="Calculation 2 2 2 5 3 4" xfId="3664" xr:uid="{00000000-0005-0000-0000-000025100000}"/>
    <cellStyle name="Calculation 2 2 2 5 4" xfId="7309" xr:uid="{00000000-0005-0000-0000-000026100000}"/>
    <cellStyle name="Calculation 2 2 2 5 4 2" xfId="7312" xr:uid="{00000000-0005-0000-0000-000027100000}"/>
    <cellStyle name="Calculation 2 2 2 5 4 3" xfId="3672" xr:uid="{00000000-0005-0000-0000-000028100000}"/>
    <cellStyle name="Calculation 2 2 2 5 5" xfId="7314" xr:uid="{00000000-0005-0000-0000-000029100000}"/>
    <cellStyle name="Calculation 2 2 2 5 5 2" xfId="7317" xr:uid="{00000000-0005-0000-0000-00002A100000}"/>
    <cellStyle name="Calculation 2 2 2 5 5 3" xfId="3683" xr:uid="{00000000-0005-0000-0000-00002B100000}"/>
    <cellStyle name="Calculation 2 2 2 5 6" xfId="7319" xr:uid="{00000000-0005-0000-0000-00002C100000}"/>
    <cellStyle name="Calculation 2 2 2 5 6 2" xfId="7322" xr:uid="{00000000-0005-0000-0000-00002D100000}"/>
    <cellStyle name="Calculation 2 2 2 5 6 2 2" xfId="7325" xr:uid="{00000000-0005-0000-0000-00002E100000}"/>
    <cellStyle name="Calculation 2 2 2 5 7" xfId="7326" xr:uid="{00000000-0005-0000-0000-00002F100000}"/>
    <cellStyle name="Calculation 2 2 2 5 8" xfId="7329" xr:uid="{00000000-0005-0000-0000-000030100000}"/>
    <cellStyle name="Calculation 2 2 2 6" xfId="7332" xr:uid="{00000000-0005-0000-0000-000031100000}"/>
    <cellStyle name="Calculation 2 2 2 6 2" xfId="7334" xr:uid="{00000000-0005-0000-0000-000032100000}"/>
    <cellStyle name="Calculation 2 2 2 6 2 2" xfId="7336" xr:uid="{00000000-0005-0000-0000-000033100000}"/>
    <cellStyle name="Calculation 2 2 2 6 2 3" xfId="865" xr:uid="{00000000-0005-0000-0000-000034100000}"/>
    <cellStyle name="Calculation 2 2 2 6 2 4" xfId="3695" xr:uid="{00000000-0005-0000-0000-000035100000}"/>
    <cellStyle name="Calculation 2 2 2 6 3" xfId="7337" xr:uid="{00000000-0005-0000-0000-000036100000}"/>
    <cellStyle name="Calculation 2 2 2 6 3 2" xfId="7339" xr:uid="{00000000-0005-0000-0000-000037100000}"/>
    <cellStyle name="Calculation 2 2 2 6 3 3" xfId="3701" xr:uid="{00000000-0005-0000-0000-000038100000}"/>
    <cellStyle name="Calculation 2 2 2 6 3 4" xfId="3706" xr:uid="{00000000-0005-0000-0000-000039100000}"/>
    <cellStyle name="Calculation 2 2 2 6 4" xfId="7341" xr:uid="{00000000-0005-0000-0000-00003A100000}"/>
    <cellStyle name="Calculation 2 2 2 6 4 2" xfId="7345" xr:uid="{00000000-0005-0000-0000-00003B100000}"/>
    <cellStyle name="Calculation 2 2 2 6 4 3" xfId="3715" xr:uid="{00000000-0005-0000-0000-00003C100000}"/>
    <cellStyle name="Calculation 2 2 2 6 5" xfId="7347" xr:uid="{00000000-0005-0000-0000-00003D100000}"/>
    <cellStyle name="Calculation 2 2 2 6 5 2" xfId="7351" xr:uid="{00000000-0005-0000-0000-00003E100000}"/>
    <cellStyle name="Calculation 2 2 2 6 5 3" xfId="3729" xr:uid="{00000000-0005-0000-0000-00003F100000}"/>
    <cellStyle name="Calculation 2 2 2 6 6" xfId="7353" xr:uid="{00000000-0005-0000-0000-000040100000}"/>
    <cellStyle name="Calculation 2 2 2 6 6 2" xfId="7357" xr:uid="{00000000-0005-0000-0000-000041100000}"/>
    <cellStyle name="Calculation 2 2 2 6 6 2 2" xfId="7361" xr:uid="{00000000-0005-0000-0000-000042100000}"/>
    <cellStyle name="Calculation 2 2 2 6 7" xfId="7362" xr:uid="{00000000-0005-0000-0000-000043100000}"/>
    <cellStyle name="Calculation 2 2 2 6 8" xfId="7365" xr:uid="{00000000-0005-0000-0000-000044100000}"/>
    <cellStyle name="Calculation 2 2 2 7" xfId="7368" xr:uid="{00000000-0005-0000-0000-000045100000}"/>
    <cellStyle name="Calculation 2 2 2 7 2" xfId="7369" xr:uid="{00000000-0005-0000-0000-000046100000}"/>
    <cellStyle name="Calculation 2 2 2 7 2 2" xfId="7372" xr:uid="{00000000-0005-0000-0000-000047100000}"/>
    <cellStyle name="Calculation 2 2 2 7 2 3" xfId="3750" xr:uid="{00000000-0005-0000-0000-000048100000}"/>
    <cellStyle name="Calculation 2 2 2 7 2 4" xfId="3753" xr:uid="{00000000-0005-0000-0000-000049100000}"/>
    <cellStyle name="Calculation 2 2 2 7 3" xfId="7373" xr:uid="{00000000-0005-0000-0000-00004A100000}"/>
    <cellStyle name="Calculation 2 2 2 7 3 2" xfId="7375" xr:uid="{00000000-0005-0000-0000-00004B100000}"/>
    <cellStyle name="Calculation 2 2 2 7 3 3" xfId="3761" xr:uid="{00000000-0005-0000-0000-00004C100000}"/>
    <cellStyle name="Calculation 2 2 2 7 3 4" xfId="3765" xr:uid="{00000000-0005-0000-0000-00004D100000}"/>
    <cellStyle name="Calculation 2 2 2 7 4" xfId="7378" xr:uid="{00000000-0005-0000-0000-00004E100000}"/>
    <cellStyle name="Calculation 2 2 2 7 4 2" xfId="7382" xr:uid="{00000000-0005-0000-0000-00004F100000}"/>
    <cellStyle name="Calculation 2 2 2 7 4 3" xfId="3779" xr:uid="{00000000-0005-0000-0000-000050100000}"/>
    <cellStyle name="Calculation 2 2 2 7 5" xfId="7384" xr:uid="{00000000-0005-0000-0000-000051100000}"/>
    <cellStyle name="Calculation 2 2 2 7 5 2" xfId="7388" xr:uid="{00000000-0005-0000-0000-000052100000}"/>
    <cellStyle name="Calculation 2 2 2 7 5 3" xfId="3797" xr:uid="{00000000-0005-0000-0000-000053100000}"/>
    <cellStyle name="Calculation 2 2 2 7 6" xfId="7390" xr:uid="{00000000-0005-0000-0000-000054100000}"/>
    <cellStyle name="Calculation 2 2 2 7 6 2" xfId="7393" xr:uid="{00000000-0005-0000-0000-000055100000}"/>
    <cellStyle name="Calculation 2 2 2 7 6 2 2" xfId="7397" xr:uid="{00000000-0005-0000-0000-000056100000}"/>
    <cellStyle name="Calculation 2 2 2 7 7" xfId="7399" xr:uid="{00000000-0005-0000-0000-000057100000}"/>
    <cellStyle name="Calculation 2 2 2 7 8" xfId="7402" xr:uid="{00000000-0005-0000-0000-000058100000}"/>
    <cellStyle name="Calculation 2 2 2 8" xfId="7405" xr:uid="{00000000-0005-0000-0000-000059100000}"/>
    <cellStyle name="Calculation 2 2 2 8 2" xfId="7407" xr:uid="{00000000-0005-0000-0000-00005A100000}"/>
    <cellStyle name="Calculation 2 2 2 8 2 2" xfId="7411" xr:uid="{00000000-0005-0000-0000-00005B100000}"/>
    <cellStyle name="Calculation 2 2 2 8 2 3" xfId="3814" xr:uid="{00000000-0005-0000-0000-00005C100000}"/>
    <cellStyle name="Calculation 2 2 2 8 2 4" xfId="3818" xr:uid="{00000000-0005-0000-0000-00005D100000}"/>
    <cellStyle name="Calculation 2 2 2 8 3" xfId="7415" xr:uid="{00000000-0005-0000-0000-00005E100000}"/>
    <cellStyle name="Calculation 2 2 2 8 3 2" xfId="7419" xr:uid="{00000000-0005-0000-0000-00005F100000}"/>
    <cellStyle name="Calculation 2 2 2 8 3 3" xfId="3830" xr:uid="{00000000-0005-0000-0000-000060100000}"/>
    <cellStyle name="Calculation 2 2 2 8 3 4" xfId="3837" xr:uid="{00000000-0005-0000-0000-000061100000}"/>
    <cellStyle name="Calculation 2 2 2 8 4" xfId="7426" xr:uid="{00000000-0005-0000-0000-000062100000}"/>
    <cellStyle name="Calculation 2 2 2 8 4 2" xfId="7432" xr:uid="{00000000-0005-0000-0000-000063100000}"/>
    <cellStyle name="Calculation 2 2 2 8 4 3" xfId="3855" xr:uid="{00000000-0005-0000-0000-000064100000}"/>
    <cellStyle name="Calculation 2 2 2 8 5" xfId="7437" xr:uid="{00000000-0005-0000-0000-000065100000}"/>
    <cellStyle name="Calculation 2 2 2 8 5 2" xfId="7443" xr:uid="{00000000-0005-0000-0000-000066100000}"/>
    <cellStyle name="Calculation 2 2 2 8 5 3" xfId="3877" xr:uid="{00000000-0005-0000-0000-000067100000}"/>
    <cellStyle name="Calculation 2 2 2 8 6" xfId="7448" xr:uid="{00000000-0005-0000-0000-000068100000}"/>
    <cellStyle name="Calculation 2 2 2 8 6 2" xfId="7451" xr:uid="{00000000-0005-0000-0000-000069100000}"/>
    <cellStyle name="Calculation 2 2 2 8 6 2 2" xfId="7455" xr:uid="{00000000-0005-0000-0000-00006A100000}"/>
    <cellStyle name="Calculation 2 2 2 8 7" xfId="7457" xr:uid="{00000000-0005-0000-0000-00006B100000}"/>
    <cellStyle name="Calculation 2 2 2 8 8" xfId="7462" xr:uid="{00000000-0005-0000-0000-00006C100000}"/>
    <cellStyle name="Calculation 2 2 2 9" xfId="7466" xr:uid="{00000000-0005-0000-0000-00006D100000}"/>
    <cellStyle name="Calculation 2 2 2 9 2" xfId="7469" xr:uid="{00000000-0005-0000-0000-00006E100000}"/>
    <cellStyle name="Calculation 2 2 2 9 2 2" xfId="7472" xr:uid="{00000000-0005-0000-0000-00006F100000}"/>
    <cellStyle name="Calculation 2 2 2 9 2 3" xfId="7475" xr:uid="{00000000-0005-0000-0000-000070100000}"/>
    <cellStyle name="Calculation 2 2 2 9 2 4" xfId="7479" xr:uid="{00000000-0005-0000-0000-000071100000}"/>
    <cellStyle name="Calculation 2 2 2 9 3" xfId="7482" xr:uid="{00000000-0005-0000-0000-000072100000}"/>
    <cellStyle name="Calculation 2 2 2 9 3 2" xfId="7486" xr:uid="{00000000-0005-0000-0000-000073100000}"/>
    <cellStyle name="Calculation 2 2 2 9 3 3" xfId="7490" xr:uid="{00000000-0005-0000-0000-000074100000}"/>
    <cellStyle name="Calculation 2 2 2 9 3 4" xfId="7495" xr:uid="{00000000-0005-0000-0000-000075100000}"/>
    <cellStyle name="Calculation 2 2 2 9 4" xfId="7499" xr:uid="{00000000-0005-0000-0000-000076100000}"/>
    <cellStyle name="Calculation 2 2 2 9 4 2" xfId="7504" xr:uid="{00000000-0005-0000-0000-000077100000}"/>
    <cellStyle name="Calculation 2 2 2 9 4 3" xfId="7508" xr:uid="{00000000-0005-0000-0000-000078100000}"/>
    <cellStyle name="Calculation 2 2 2 9 5" xfId="7513" xr:uid="{00000000-0005-0000-0000-000079100000}"/>
    <cellStyle name="Calculation 2 2 2 9 5 2" xfId="7518" xr:uid="{00000000-0005-0000-0000-00007A100000}"/>
    <cellStyle name="Calculation 2 2 2 9 5 3" xfId="7521" xr:uid="{00000000-0005-0000-0000-00007B100000}"/>
    <cellStyle name="Calculation 2 2 2 9 6" xfId="7525" xr:uid="{00000000-0005-0000-0000-00007C100000}"/>
    <cellStyle name="Calculation 2 2 2 9 6 2" xfId="7527" xr:uid="{00000000-0005-0000-0000-00007D100000}"/>
    <cellStyle name="Calculation 2 2 2 9 6 2 2" xfId="7530" xr:uid="{00000000-0005-0000-0000-00007E100000}"/>
    <cellStyle name="Calculation 2 2 2 9 7" xfId="7531" xr:uid="{00000000-0005-0000-0000-00007F100000}"/>
    <cellStyle name="Calculation 2 2 2 9 8" xfId="7534" xr:uid="{00000000-0005-0000-0000-000080100000}"/>
    <cellStyle name="Calculation 2 2 20" xfId="6000" xr:uid="{00000000-0005-0000-0000-000081100000}"/>
    <cellStyle name="Calculation 2 2 21" xfId="6005" xr:uid="{00000000-0005-0000-0000-000082100000}"/>
    <cellStyle name="Calculation 2 2 22" xfId="1047" xr:uid="{00000000-0005-0000-0000-000083100000}"/>
    <cellStyle name="Calculation 2 2 23" xfId="1061" xr:uid="{00000000-0005-0000-0000-000084100000}"/>
    <cellStyle name="Calculation 2 2 24" xfId="1593" xr:uid="{00000000-0005-0000-0000-000085100000}"/>
    <cellStyle name="Calculation 2 2 25" xfId="7536" xr:uid="{00000000-0005-0000-0000-000086100000}"/>
    <cellStyle name="Calculation 2 2 26" xfId="7538" xr:uid="{00000000-0005-0000-0000-000087100000}"/>
    <cellStyle name="Calculation 2 2 27" xfId="7540" xr:uid="{00000000-0005-0000-0000-000088100000}"/>
    <cellStyle name="Calculation 2 2 28" xfId="7542" xr:uid="{00000000-0005-0000-0000-000089100000}"/>
    <cellStyle name="Calculation 2 2 29" xfId="7543" xr:uid="{00000000-0005-0000-0000-00008A100000}"/>
    <cellStyle name="Calculation 2 2 3" xfId="7545" xr:uid="{00000000-0005-0000-0000-00008B100000}"/>
    <cellStyle name="Calculation 2 2 3 10" xfId="7546" xr:uid="{00000000-0005-0000-0000-00008C100000}"/>
    <cellStyle name="Calculation 2 2 3 10 2" xfId="7547" xr:uid="{00000000-0005-0000-0000-00008D100000}"/>
    <cellStyle name="Calculation 2 2 3 10 2 2" xfId="7549" xr:uid="{00000000-0005-0000-0000-00008E100000}"/>
    <cellStyle name="Calculation 2 2 3 10 2 3" xfId="7552" xr:uid="{00000000-0005-0000-0000-00008F100000}"/>
    <cellStyle name="Calculation 2 2 3 10 2 4" xfId="7555" xr:uid="{00000000-0005-0000-0000-000090100000}"/>
    <cellStyle name="Calculation 2 2 3 10 3" xfId="7558" xr:uid="{00000000-0005-0000-0000-000091100000}"/>
    <cellStyle name="Calculation 2 2 3 10 3 2" xfId="7561" xr:uid="{00000000-0005-0000-0000-000092100000}"/>
    <cellStyle name="Calculation 2 2 3 10 3 3" xfId="7565" xr:uid="{00000000-0005-0000-0000-000093100000}"/>
    <cellStyle name="Calculation 2 2 3 10 3 4" xfId="7569" xr:uid="{00000000-0005-0000-0000-000094100000}"/>
    <cellStyle name="Calculation 2 2 3 10 4" xfId="7571" xr:uid="{00000000-0005-0000-0000-000095100000}"/>
    <cellStyle name="Calculation 2 2 3 10 4 2" xfId="7574" xr:uid="{00000000-0005-0000-0000-000096100000}"/>
    <cellStyle name="Calculation 2 2 3 10 4 3" xfId="7577" xr:uid="{00000000-0005-0000-0000-000097100000}"/>
    <cellStyle name="Calculation 2 2 3 10 5" xfId="7562" xr:uid="{00000000-0005-0000-0000-000098100000}"/>
    <cellStyle name="Calculation 2 2 3 10 5 2" xfId="7580" xr:uid="{00000000-0005-0000-0000-000099100000}"/>
    <cellStyle name="Calculation 2 2 3 10 5 3" xfId="7582" xr:uid="{00000000-0005-0000-0000-00009A100000}"/>
    <cellStyle name="Calculation 2 2 3 10 6" xfId="7566" xr:uid="{00000000-0005-0000-0000-00009B100000}"/>
    <cellStyle name="Calculation 2 2 3 10 7" xfId="7570" xr:uid="{00000000-0005-0000-0000-00009C100000}"/>
    <cellStyle name="Calculation 2 2 3 11" xfId="7584" xr:uid="{00000000-0005-0000-0000-00009D100000}"/>
    <cellStyle name="Calculation 2 2 3 11 2" xfId="7467" xr:uid="{00000000-0005-0000-0000-00009E100000}"/>
    <cellStyle name="Calculation 2 2 3 11 3" xfId="7585" xr:uid="{00000000-0005-0000-0000-00009F100000}"/>
    <cellStyle name="Calculation 2 2 3 11 4" xfId="7587" xr:uid="{00000000-0005-0000-0000-0000A0100000}"/>
    <cellStyle name="Calculation 2 2 3 12" xfId="7589" xr:uid="{00000000-0005-0000-0000-0000A1100000}"/>
    <cellStyle name="Calculation 2 2 3 12 2" xfId="7591" xr:uid="{00000000-0005-0000-0000-0000A2100000}"/>
    <cellStyle name="Calculation 2 2 3 12 3" xfId="7594" xr:uid="{00000000-0005-0000-0000-0000A3100000}"/>
    <cellStyle name="Calculation 2 2 3 12 4" xfId="7596" xr:uid="{00000000-0005-0000-0000-0000A4100000}"/>
    <cellStyle name="Calculation 2 2 3 13" xfId="7598" xr:uid="{00000000-0005-0000-0000-0000A5100000}"/>
    <cellStyle name="Calculation 2 2 3 13 2" xfId="7600" xr:uid="{00000000-0005-0000-0000-0000A6100000}"/>
    <cellStyle name="Calculation 2 2 3 13 3" xfId="7604" xr:uid="{00000000-0005-0000-0000-0000A7100000}"/>
    <cellStyle name="Calculation 2 2 3 14" xfId="7607" xr:uid="{00000000-0005-0000-0000-0000A8100000}"/>
    <cellStyle name="Calculation 2 2 3 14 2" xfId="7608" xr:uid="{00000000-0005-0000-0000-0000A9100000}"/>
    <cellStyle name="Calculation 2 2 3 14 3" xfId="7611" xr:uid="{00000000-0005-0000-0000-0000AA100000}"/>
    <cellStyle name="Calculation 2 2 3 15" xfId="7614" xr:uid="{00000000-0005-0000-0000-0000AB100000}"/>
    <cellStyle name="Calculation 2 2 3 16" xfId="7615" xr:uid="{00000000-0005-0000-0000-0000AC100000}"/>
    <cellStyle name="Calculation 2 2 3 17" xfId="7616" xr:uid="{00000000-0005-0000-0000-0000AD100000}"/>
    <cellStyle name="Calculation 2 2 3 18" xfId="7617" xr:uid="{00000000-0005-0000-0000-0000AE100000}"/>
    <cellStyle name="Calculation 2 2 3 2" xfId="7619" xr:uid="{00000000-0005-0000-0000-0000AF100000}"/>
    <cellStyle name="Calculation 2 2 3 2 2" xfId="2851" xr:uid="{00000000-0005-0000-0000-0000B0100000}"/>
    <cellStyle name="Calculation 2 2 3 2 2 2" xfId="2855" xr:uid="{00000000-0005-0000-0000-0000B1100000}"/>
    <cellStyle name="Calculation 2 2 3 2 2 2 2" xfId="7622" xr:uid="{00000000-0005-0000-0000-0000B2100000}"/>
    <cellStyle name="Calculation 2 2 3 2 2 2 2 2" xfId="7624" xr:uid="{00000000-0005-0000-0000-0000B3100000}"/>
    <cellStyle name="Calculation 2 2 3 2 2 2 2 2 2" xfId="7626" xr:uid="{00000000-0005-0000-0000-0000B4100000}"/>
    <cellStyle name="Calculation 2 2 3 2 2 2 2 2 2 2" xfId="7627" xr:uid="{00000000-0005-0000-0000-0000B5100000}"/>
    <cellStyle name="Calculation 2 2 3 2 2 2 2 2 2 2 2" xfId="7628" xr:uid="{00000000-0005-0000-0000-0000B6100000}"/>
    <cellStyle name="Calculation 2 2 3 2 2 2 2 2 2 2 2 2" xfId="7629" xr:uid="{00000000-0005-0000-0000-0000B7100000}"/>
    <cellStyle name="Calculation 2 2 3 2 2 2 2 2 2 3" xfId="7630" xr:uid="{00000000-0005-0000-0000-0000B8100000}"/>
    <cellStyle name="Calculation 2 2 3 2 2 2 2 2 3" xfId="7633" xr:uid="{00000000-0005-0000-0000-0000B9100000}"/>
    <cellStyle name="Calculation 2 2 3 2 2 2 2 3" xfId="7634" xr:uid="{00000000-0005-0000-0000-0000BA100000}"/>
    <cellStyle name="Calculation 2 2 3 2 2 2 3" xfId="7636" xr:uid="{00000000-0005-0000-0000-0000BB100000}"/>
    <cellStyle name="Calculation 2 2 3 2 2 3" xfId="2860" xr:uid="{00000000-0005-0000-0000-0000BC100000}"/>
    <cellStyle name="Calculation 2 2 3 2 2 3 2" xfId="7638" xr:uid="{00000000-0005-0000-0000-0000BD100000}"/>
    <cellStyle name="Calculation 2 2 3 2 2 3 2 2" xfId="7641" xr:uid="{00000000-0005-0000-0000-0000BE100000}"/>
    <cellStyle name="Calculation 2 2 3 2 2 4" xfId="7643" xr:uid="{00000000-0005-0000-0000-0000BF100000}"/>
    <cellStyle name="Calculation 2 2 3 2 3" xfId="2867" xr:uid="{00000000-0005-0000-0000-0000C0100000}"/>
    <cellStyle name="Calculation 2 2 3 2 3 2" xfId="7644" xr:uid="{00000000-0005-0000-0000-0000C1100000}"/>
    <cellStyle name="Calculation 2 2 3 2 3 2 2" xfId="7645" xr:uid="{00000000-0005-0000-0000-0000C2100000}"/>
    <cellStyle name="Calculation 2 2 3 2 3 3" xfId="7647" xr:uid="{00000000-0005-0000-0000-0000C3100000}"/>
    <cellStyle name="Calculation 2 2 3 2 3 4" xfId="7648" xr:uid="{00000000-0005-0000-0000-0000C4100000}"/>
    <cellStyle name="Calculation 2 2 3 2 4" xfId="2877" xr:uid="{00000000-0005-0000-0000-0000C5100000}"/>
    <cellStyle name="Calculation 2 2 3 2 4 2" xfId="7650" xr:uid="{00000000-0005-0000-0000-0000C6100000}"/>
    <cellStyle name="Calculation 2 2 3 2 4 2 2" xfId="7651" xr:uid="{00000000-0005-0000-0000-0000C7100000}"/>
    <cellStyle name="Calculation 2 2 3 2 4 3" xfId="7653" xr:uid="{00000000-0005-0000-0000-0000C8100000}"/>
    <cellStyle name="Calculation 2 2 3 2 5" xfId="7654" xr:uid="{00000000-0005-0000-0000-0000C9100000}"/>
    <cellStyle name="Calculation 2 2 3 2 5 2" xfId="7655" xr:uid="{00000000-0005-0000-0000-0000CA100000}"/>
    <cellStyle name="Calculation 2 2 3 2 5 2 2" xfId="7657" xr:uid="{00000000-0005-0000-0000-0000CB100000}"/>
    <cellStyle name="Calculation 2 2 3 2 5 3" xfId="7659" xr:uid="{00000000-0005-0000-0000-0000CC100000}"/>
    <cellStyle name="Calculation 2 2 3 2 6" xfId="7660" xr:uid="{00000000-0005-0000-0000-0000CD100000}"/>
    <cellStyle name="Calculation 2 2 3 2 6 2" xfId="7661" xr:uid="{00000000-0005-0000-0000-0000CE100000}"/>
    <cellStyle name="Calculation 2 2 3 2 6 2 2" xfId="7664" xr:uid="{00000000-0005-0000-0000-0000CF100000}"/>
    <cellStyle name="Calculation 2 2 3 2 6 2 2 2" xfId="7666" xr:uid="{00000000-0005-0000-0000-0000D0100000}"/>
    <cellStyle name="Calculation 2 2 3 2 6 3" xfId="7668" xr:uid="{00000000-0005-0000-0000-0000D1100000}"/>
    <cellStyle name="Calculation 2 2 3 2 7" xfId="7669" xr:uid="{00000000-0005-0000-0000-0000D2100000}"/>
    <cellStyle name="Calculation 2 2 3 2 8" xfId="1738" xr:uid="{00000000-0005-0000-0000-0000D3100000}"/>
    <cellStyle name="Calculation 2 2 3 3" xfId="7670" xr:uid="{00000000-0005-0000-0000-0000D4100000}"/>
    <cellStyle name="Calculation 2 2 3 3 2" xfId="7674" xr:uid="{00000000-0005-0000-0000-0000D5100000}"/>
    <cellStyle name="Calculation 2 2 3 3 2 2" xfId="7677" xr:uid="{00000000-0005-0000-0000-0000D6100000}"/>
    <cellStyle name="Calculation 2 2 3 3 2 3" xfId="7679" xr:uid="{00000000-0005-0000-0000-0000D7100000}"/>
    <cellStyle name="Calculation 2 2 3 3 2 4" xfId="7681" xr:uid="{00000000-0005-0000-0000-0000D8100000}"/>
    <cellStyle name="Calculation 2 2 3 3 3" xfId="7682" xr:uid="{00000000-0005-0000-0000-0000D9100000}"/>
    <cellStyle name="Calculation 2 2 3 3 3 2" xfId="7685" xr:uid="{00000000-0005-0000-0000-0000DA100000}"/>
    <cellStyle name="Calculation 2 2 3 3 3 3" xfId="7686" xr:uid="{00000000-0005-0000-0000-0000DB100000}"/>
    <cellStyle name="Calculation 2 2 3 3 3 4" xfId="7687" xr:uid="{00000000-0005-0000-0000-0000DC100000}"/>
    <cellStyle name="Calculation 2 2 3 3 4" xfId="7689" xr:uid="{00000000-0005-0000-0000-0000DD100000}"/>
    <cellStyle name="Calculation 2 2 3 3 4 2" xfId="7691" xr:uid="{00000000-0005-0000-0000-0000DE100000}"/>
    <cellStyle name="Calculation 2 2 3 3 4 3" xfId="7692" xr:uid="{00000000-0005-0000-0000-0000DF100000}"/>
    <cellStyle name="Calculation 2 2 3 3 5" xfId="7693" xr:uid="{00000000-0005-0000-0000-0000E0100000}"/>
    <cellStyle name="Calculation 2 2 3 3 5 2" xfId="7695" xr:uid="{00000000-0005-0000-0000-0000E1100000}"/>
    <cellStyle name="Calculation 2 2 3 3 5 3" xfId="7697" xr:uid="{00000000-0005-0000-0000-0000E2100000}"/>
    <cellStyle name="Calculation 2 2 3 3 6" xfId="7699" xr:uid="{00000000-0005-0000-0000-0000E3100000}"/>
    <cellStyle name="Calculation 2 2 3 3 6 2" xfId="7700" xr:uid="{00000000-0005-0000-0000-0000E4100000}"/>
    <cellStyle name="Calculation 2 2 3 3 7" xfId="7702" xr:uid="{00000000-0005-0000-0000-0000E5100000}"/>
    <cellStyle name="Calculation 2 2 3 4" xfId="7703" xr:uid="{00000000-0005-0000-0000-0000E6100000}"/>
    <cellStyle name="Calculation 2 2 3 4 2" xfId="7706" xr:uid="{00000000-0005-0000-0000-0000E7100000}"/>
    <cellStyle name="Calculation 2 2 3 4 2 2" xfId="7709" xr:uid="{00000000-0005-0000-0000-0000E8100000}"/>
    <cellStyle name="Calculation 2 2 3 4 2 3" xfId="7711" xr:uid="{00000000-0005-0000-0000-0000E9100000}"/>
    <cellStyle name="Calculation 2 2 3 4 2 4" xfId="7713" xr:uid="{00000000-0005-0000-0000-0000EA100000}"/>
    <cellStyle name="Calculation 2 2 3 4 3" xfId="7714" xr:uid="{00000000-0005-0000-0000-0000EB100000}"/>
    <cellStyle name="Calculation 2 2 3 4 3 2" xfId="7717" xr:uid="{00000000-0005-0000-0000-0000EC100000}"/>
    <cellStyle name="Calculation 2 2 3 4 3 3" xfId="7720" xr:uid="{00000000-0005-0000-0000-0000ED100000}"/>
    <cellStyle name="Calculation 2 2 3 4 3 4" xfId="7723" xr:uid="{00000000-0005-0000-0000-0000EE100000}"/>
    <cellStyle name="Calculation 2 2 3 4 4" xfId="7726" xr:uid="{00000000-0005-0000-0000-0000EF100000}"/>
    <cellStyle name="Calculation 2 2 3 4 4 2" xfId="7729" xr:uid="{00000000-0005-0000-0000-0000F0100000}"/>
    <cellStyle name="Calculation 2 2 3 4 4 3" xfId="7730" xr:uid="{00000000-0005-0000-0000-0000F1100000}"/>
    <cellStyle name="Calculation 2 2 3 4 5" xfId="7731" xr:uid="{00000000-0005-0000-0000-0000F2100000}"/>
    <cellStyle name="Calculation 2 2 3 4 5 2" xfId="7734" xr:uid="{00000000-0005-0000-0000-0000F3100000}"/>
    <cellStyle name="Calculation 2 2 3 4 5 3" xfId="7735" xr:uid="{00000000-0005-0000-0000-0000F4100000}"/>
    <cellStyle name="Calculation 2 2 3 4 6" xfId="7736" xr:uid="{00000000-0005-0000-0000-0000F5100000}"/>
    <cellStyle name="Calculation 2 2 3 4 6 2" xfId="7738" xr:uid="{00000000-0005-0000-0000-0000F6100000}"/>
    <cellStyle name="Calculation 2 2 3 4 7" xfId="7739" xr:uid="{00000000-0005-0000-0000-0000F7100000}"/>
    <cellStyle name="Calculation 2 2 3 5" xfId="7740" xr:uid="{00000000-0005-0000-0000-0000F8100000}"/>
    <cellStyle name="Calculation 2 2 3 5 2" xfId="7742" xr:uid="{00000000-0005-0000-0000-0000F9100000}"/>
    <cellStyle name="Calculation 2 2 3 5 2 2" xfId="7744" xr:uid="{00000000-0005-0000-0000-0000FA100000}"/>
    <cellStyle name="Calculation 2 2 3 5 2 2 2" xfId="7746" xr:uid="{00000000-0005-0000-0000-0000FB100000}"/>
    <cellStyle name="Calculation 2 2 3 5 2 2 2 2" xfId="7747" xr:uid="{00000000-0005-0000-0000-0000FC100000}"/>
    <cellStyle name="Calculation 2 2 3 5 2 2 2 2 2" xfId="7749" xr:uid="{00000000-0005-0000-0000-0000FD100000}"/>
    <cellStyle name="Calculation 2 2 3 5 2 2 2 2 2 2" xfId="4753" xr:uid="{00000000-0005-0000-0000-0000FE100000}"/>
    <cellStyle name="Calculation 2 2 3 5 2 2 2 3" xfId="7751" xr:uid="{00000000-0005-0000-0000-0000FF100000}"/>
    <cellStyle name="Calculation 2 2 3 5 2 3" xfId="7753" xr:uid="{00000000-0005-0000-0000-000000110000}"/>
    <cellStyle name="Calculation 2 2 3 5 2 4" xfId="7756" xr:uid="{00000000-0005-0000-0000-000001110000}"/>
    <cellStyle name="Calculation 2 2 3 5 3" xfId="7758" xr:uid="{00000000-0005-0000-0000-000002110000}"/>
    <cellStyle name="Calculation 2 2 3 5 3 2" xfId="7761" xr:uid="{00000000-0005-0000-0000-000003110000}"/>
    <cellStyle name="Calculation 2 2 3 5 3 2 2" xfId="7763" xr:uid="{00000000-0005-0000-0000-000004110000}"/>
    <cellStyle name="Calculation 2 2 3 5 3 3" xfId="7764" xr:uid="{00000000-0005-0000-0000-000005110000}"/>
    <cellStyle name="Calculation 2 2 3 5 3 4" xfId="7766" xr:uid="{00000000-0005-0000-0000-000006110000}"/>
    <cellStyle name="Calculation 2 2 3 5 4" xfId="7769" xr:uid="{00000000-0005-0000-0000-000007110000}"/>
    <cellStyle name="Calculation 2 2 3 5 4 2" xfId="7774" xr:uid="{00000000-0005-0000-0000-000008110000}"/>
    <cellStyle name="Calculation 2 2 3 5 4 3" xfId="7775" xr:uid="{00000000-0005-0000-0000-000009110000}"/>
    <cellStyle name="Calculation 2 2 3 5 5" xfId="7777" xr:uid="{00000000-0005-0000-0000-00000A110000}"/>
    <cellStyle name="Calculation 2 2 3 5 5 2" xfId="7781" xr:uid="{00000000-0005-0000-0000-00000B110000}"/>
    <cellStyle name="Calculation 2 2 3 5 5 3" xfId="7784" xr:uid="{00000000-0005-0000-0000-00000C110000}"/>
    <cellStyle name="Calculation 2 2 3 5 6" xfId="7787" xr:uid="{00000000-0005-0000-0000-00000D110000}"/>
    <cellStyle name="Calculation 2 2 3 5 6 2" xfId="7790" xr:uid="{00000000-0005-0000-0000-00000E110000}"/>
    <cellStyle name="Calculation 2 2 3 5 6 2 2" xfId="7791" xr:uid="{00000000-0005-0000-0000-00000F110000}"/>
    <cellStyle name="Calculation 2 2 3 5 7" xfId="7793" xr:uid="{00000000-0005-0000-0000-000010110000}"/>
    <cellStyle name="Calculation 2 2 3 6" xfId="7794" xr:uid="{00000000-0005-0000-0000-000011110000}"/>
    <cellStyle name="Calculation 2 2 3 6 2" xfId="2990" xr:uid="{00000000-0005-0000-0000-000012110000}"/>
    <cellStyle name="Calculation 2 2 3 6 2 2" xfId="4085" xr:uid="{00000000-0005-0000-0000-000013110000}"/>
    <cellStyle name="Calculation 2 2 3 6 2 3" xfId="4099" xr:uid="{00000000-0005-0000-0000-000014110000}"/>
    <cellStyle name="Calculation 2 2 3 6 2 4" xfId="4115" xr:uid="{00000000-0005-0000-0000-000015110000}"/>
    <cellStyle name="Calculation 2 2 3 6 3" xfId="2995" xr:uid="{00000000-0005-0000-0000-000016110000}"/>
    <cellStyle name="Calculation 2 2 3 6 3 2" xfId="4142" xr:uid="{00000000-0005-0000-0000-000017110000}"/>
    <cellStyle name="Calculation 2 2 3 6 3 3" xfId="4146" xr:uid="{00000000-0005-0000-0000-000018110000}"/>
    <cellStyle name="Calculation 2 2 3 6 3 4" xfId="4151" xr:uid="{00000000-0005-0000-0000-000019110000}"/>
    <cellStyle name="Calculation 2 2 3 6 4" xfId="4160" xr:uid="{00000000-0005-0000-0000-00001A110000}"/>
    <cellStyle name="Calculation 2 2 3 6 4 2" xfId="4165" xr:uid="{00000000-0005-0000-0000-00001B110000}"/>
    <cellStyle name="Calculation 2 2 3 6 4 3" xfId="1438" xr:uid="{00000000-0005-0000-0000-00001C110000}"/>
    <cellStyle name="Calculation 2 2 3 6 5" xfId="4174" xr:uid="{00000000-0005-0000-0000-00001D110000}"/>
    <cellStyle name="Calculation 2 2 3 6 5 2" xfId="4179" xr:uid="{00000000-0005-0000-0000-00001E110000}"/>
    <cellStyle name="Calculation 2 2 3 6 5 3" xfId="4182" xr:uid="{00000000-0005-0000-0000-00001F110000}"/>
    <cellStyle name="Calculation 2 2 3 6 6" xfId="4185" xr:uid="{00000000-0005-0000-0000-000020110000}"/>
    <cellStyle name="Calculation 2 2 3 6 6 2" xfId="4189" xr:uid="{00000000-0005-0000-0000-000021110000}"/>
    <cellStyle name="Calculation 2 2 3 6 6 2 2" xfId="6805" xr:uid="{00000000-0005-0000-0000-000022110000}"/>
    <cellStyle name="Calculation 2 2 3 6 7" xfId="4195" xr:uid="{00000000-0005-0000-0000-000023110000}"/>
    <cellStyle name="Calculation 2 2 3 7" xfId="7796" xr:uid="{00000000-0005-0000-0000-000024110000}"/>
    <cellStyle name="Calculation 2 2 3 7 2" xfId="7797" xr:uid="{00000000-0005-0000-0000-000025110000}"/>
    <cellStyle name="Calculation 2 2 3 7 2 2" xfId="7802" xr:uid="{00000000-0005-0000-0000-000026110000}"/>
    <cellStyle name="Calculation 2 2 3 7 2 3" xfId="7803" xr:uid="{00000000-0005-0000-0000-000027110000}"/>
    <cellStyle name="Calculation 2 2 3 7 2 4" xfId="7804" xr:uid="{00000000-0005-0000-0000-000028110000}"/>
    <cellStyle name="Calculation 2 2 3 7 3" xfId="7805" xr:uid="{00000000-0005-0000-0000-000029110000}"/>
    <cellStyle name="Calculation 2 2 3 7 3 2" xfId="7807" xr:uid="{00000000-0005-0000-0000-00002A110000}"/>
    <cellStyle name="Calculation 2 2 3 7 3 3" xfId="7809" xr:uid="{00000000-0005-0000-0000-00002B110000}"/>
    <cellStyle name="Calculation 2 2 3 7 3 4" xfId="7811" xr:uid="{00000000-0005-0000-0000-00002C110000}"/>
    <cellStyle name="Calculation 2 2 3 7 4" xfId="7813" xr:uid="{00000000-0005-0000-0000-00002D110000}"/>
    <cellStyle name="Calculation 2 2 3 7 4 2" xfId="7817" xr:uid="{00000000-0005-0000-0000-00002E110000}"/>
    <cellStyle name="Calculation 2 2 3 7 4 3" xfId="7819" xr:uid="{00000000-0005-0000-0000-00002F110000}"/>
    <cellStyle name="Calculation 2 2 3 7 5" xfId="7821" xr:uid="{00000000-0005-0000-0000-000030110000}"/>
    <cellStyle name="Calculation 2 2 3 7 5 2" xfId="7825" xr:uid="{00000000-0005-0000-0000-000031110000}"/>
    <cellStyle name="Calculation 2 2 3 7 5 3" xfId="7827" xr:uid="{00000000-0005-0000-0000-000032110000}"/>
    <cellStyle name="Calculation 2 2 3 7 6" xfId="7829" xr:uid="{00000000-0005-0000-0000-000033110000}"/>
    <cellStyle name="Calculation 2 2 3 7 6 2" xfId="7831" xr:uid="{00000000-0005-0000-0000-000034110000}"/>
    <cellStyle name="Calculation 2 2 3 7 6 2 2" xfId="7834" xr:uid="{00000000-0005-0000-0000-000035110000}"/>
    <cellStyle name="Calculation 2 2 3 7 7" xfId="7835" xr:uid="{00000000-0005-0000-0000-000036110000}"/>
    <cellStyle name="Calculation 2 2 3 8" xfId="7837" xr:uid="{00000000-0005-0000-0000-000037110000}"/>
    <cellStyle name="Calculation 2 2 3 8 2" xfId="7839" xr:uid="{00000000-0005-0000-0000-000038110000}"/>
    <cellStyle name="Calculation 2 2 3 8 2 2" xfId="7843" xr:uid="{00000000-0005-0000-0000-000039110000}"/>
    <cellStyle name="Calculation 2 2 3 8 2 3" xfId="7845" xr:uid="{00000000-0005-0000-0000-00003A110000}"/>
    <cellStyle name="Calculation 2 2 3 8 2 4" xfId="7847" xr:uid="{00000000-0005-0000-0000-00003B110000}"/>
    <cellStyle name="Calculation 2 2 3 8 3" xfId="7849" xr:uid="{00000000-0005-0000-0000-00003C110000}"/>
    <cellStyle name="Calculation 2 2 3 8 3 2" xfId="7853" xr:uid="{00000000-0005-0000-0000-00003D110000}"/>
    <cellStyle name="Calculation 2 2 3 8 3 3" xfId="7856" xr:uid="{00000000-0005-0000-0000-00003E110000}"/>
    <cellStyle name="Calculation 2 2 3 8 3 4" xfId="7859" xr:uid="{00000000-0005-0000-0000-00003F110000}"/>
    <cellStyle name="Calculation 2 2 3 8 4" xfId="7862" xr:uid="{00000000-0005-0000-0000-000040110000}"/>
    <cellStyle name="Calculation 2 2 3 8 4 2" xfId="7867" xr:uid="{00000000-0005-0000-0000-000041110000}"/>
    <cellStyle name="Calculation 2 2 3 8 4 3" xfId="7870" xr:uid="{00000000-0005-0000-0000-000042110000}"/>
    <cellStyle name="Calculation 2 2 3 8 5" xfId="7873" xr:uid="{00000000-0005-0000-0000-000043110000}"/>
    <cellStyle name="Calculation 2 2 3 8 5 2" xfId="7878" xr:uid="{00000000-0005-0000-0000-000044110000}"/>
    <cellStyle name="Calculation 2 2 3 8 5 3" xfId="7883" xr:uid="{00000000-0005-0000-0000-000045110000}"/>
    <cellStyle name="Calculation 2 2 3 8 6" xfId="7887" xr:uid="{00000000-0005-0000-0000-000046110000}"/>
    <cellStyle name="Calculation 2 2 3 8 6 2" xfId="7889" xr:uid="{00000000-0005-0000-0000-000047110000}"/>
    <cellStyle name="Calculation 2 2 3 8 6 2 2" xfId="7893" xr:uid="{00000000-0005-0000-0000-000048110000}"/>
    <cellStyle name="Calculation 2 2 3 8 7" xfId="7894" xr:uid="{00000000-0005-0000-0000-000049110000}"/>
    <cellStyle name="Calculation 2 2 3 9" xfId="7592" xr:uid="{00000000-0005-0000-0000-00004A110000}"/>
    <cellStyle name="Calculation 2 2 3 9 2" xfId="7896" xr:uid="{00000000-0005-0000-0000-00004B110000}"/>
    <cellStyle name="Calculation 2 2 3 9 2 2" xfId="7899" xr:uid="{00000000-0005-0000-0000-00004C110000}"/>
    <cellStyle name="Calculation 2 2 3 9 2 3" xfId="7901" xr:uid="{00000000-0005-0000-0000-00004D110000}"/>
    <cellStyle name="Calculation 2 2 3 9 2 4" xfId="7903" xr:uid="{00000000-0005-0000-0000-00004E110000}"/>
    <cellStyle name="Calculation 2 2 3 9 3" xfId="7905" xr:uid="{00000000-0005-0000-0000-00004F110000}"/>
    <cellStyle name="Calculation 2 2 3 9 3 2" xfId="7909" xr:uid="{00000000-0005-0000-0000-000050110000}"/>
    <cellStyle name="Calculation 2 2 3 9 3 3" xfId="7912" xr:uid="{00000000-0005-0000-0000-000051110000}"/>
    <cellStyle name="Calculation 2 2 3 9 3 4" xfId="7915" xr:uid="{00000000-0005-0000-0000-000052110000}"/>
    <cellStyle name="Calculation 2 2 3 9 4" xfId="7918" xr:uid="{00000000-0005-0000-0000-000053110000}"/>
    <cellStyle name="Calculation 2 2 3 9 4 2" xfId="7922" xr:uid="{00000000-0005-0000-0000-000054110000}"/>
    <cellStyle name="Calculation 2 2 3 9 4 3" xfId="7926" xr:uid="{00000000-0005-0000-0000-000055110000}"/>
    <cellStyle name="Calculation 2 2 3 9 5" xfId="6510" xr:uid="{00000000-0005-0000-0000-000056110000}"/>
    <cellStyle name="Calculation 2 2 3 9 5 2" xfId="6514" xr:uid="{00000000-0005-0000-0000-000057110000}"/>
    <cellStyle name="Calculation 2 2 3 9 5 3" xfId="6518" xr:uid="{00000000-0005-0000-0000-000058110000}"/>
    <cellStyle name="Calculation 2 2 3 9 6" xfId="6524" xr:uid="{00000000-0005-0000-0000-000059110000}"/>
    <cellStyle name="Calculation 2 2 3 9 6 2" xfId="6527" xr:uid="{00000000-0005-0000-0000-00005A110000}"/>
    <cellStyle name="Calculation 2 2 3 9 6 2 2" xfId="7930" xr:uid="{00000000-0005-0000-0000-00005B110000}"/>
    <cellStyle name="Calculation 2 2 3 9 7" xfId="6534" xr:uid="{00000000-0005-0000-0000-00005C110000}"/>
    <cellStyle name="Calculation 2 2 30" xfId="7537" xr:uid="{00000000-0005-0000-0000-00005D110000}"/>
    <cellStyle name="Calculation 2 2 31" xfId="7539" xr:uid="{00000000-0005-0000-0000-00005E110000}"/>
    <cellStyle name="Calculation 2 2 32" xfId="7541" xr:uid="{00000000-0005-0000-0000-00005F110000}"/>
    <cellStyle name="Calculation 2 2 4" xfId="7931" xr:uid="{00000000-0005-0000-0000-000060110000}"/>
    <cellStyle name="Calculation 2 2 4 10" xfId="7932" xr:uid="{00000000-0005-0000-0000-000061110000}"/>
    <cellStyle name="Calculation 2 2 4 2" xfId="7933" xr:uid="{00000000-0005-0000-0000-000062110000}"/>
    <cellStyle name="Calculation 2 2 4 2 2" xfId="5665" xr:uid="{00000000-0005-0000-0000-000063110000}"/>
    <cellStyle name="Calculation 2 2 4 2 2 2" xfId="6255" xr:uid="{00000000-0005-0000-0000-000064110000}"/>
    <cellStyle name="Calculation 2 2 4 2 2 2 2" xfId="7936" xr:uid="{00000000-0005-0000-0000-000065110000}"/>
    <cellStyle name="Calculation 2 2 4 2 2 2 2 2" xfId="7937" xr:uid="{00000000-0005-0000-0000-000066110000}"/>
    <cellStyle name="Calculation 2 2 4 2 2 2 2 2 2" xfId="7938" xr:uid="{00000000-0005-0000-0000-000067110000}"/>
    <cellStyle name="Calculation 2 2 4 2 2 2 2 2 2 2" xfId="7939" xr:uid="{00000000-0005-0000-0000-000068110000}"/>
    <cellStyle name="Calculation 2 2 4 2 2 2 2 2 2 2 2" xfId="7941" xr:uid="{00000000-0005-0000-0000-000069110000}"/>
    <cellStyle name="Calculation 2 2 4 2 2 2 2 2 3" xfId="7943" xr:uid="{00000000-0005-0000-0000-00006A110000}"/>
    <cellStyle name="Calculation 2 2 4 2 2 2 2 3" xfId="7944" xr:uid="{00000000-0005-0000-0000-00006B110000}"/>
    <cellStyle name="Calculation 2 2 4 2 2 2 3" xfId="7945" xr:uid="{00000000-0005-0000-0000-00006C110000}"/>
    <cellStyle name="Calculation 2 2 4 2 2 3" xfId="6257" xr:uid="{00000000-0005-0000-0000-00006D110000}"/>
    <cellStyle name="Calculation 2 2 4 2 3" xfId="5670" xr:uid="{00000000-0005-0000-0000-00006E110000}"/>
    <cellStyle name="Calculation 2 2 4 2 3 2" xfId="7946" xr:uid="{00000000-0005-0000-0000-00006F110000}"/>
    <cellStyle name="Calculation 2 2 4 2 3 2 2" xfId="7949" xr:uid="{00000000-0005-0000-0000-000070110000}"/>
    <cellStyle name="Calculation 2 2 4 2 4" xfId="6259" xr:uid="{00000000-0005-0000-0000-000071110000}"/>
    <cellStyle name="Calculation 2 2 4 3" xfId="7952" xr:uid="{00000000-0005-0000-0000-000072110000}"/>
    <cellStyle name="Calculation 2 2 4 3 2" xfId="7956" xr:uid="{00000000-0005-0000-0000-000073110000}"/>
    <cellStyle name="Calculation 2 2 4 3 2 2" xfId="7958" xr:uid="{00000000-0005-0000-0000-000074110000}"/>
    <cellStyle name="Calculation 2 2 4 3 3" xfId="7959" xr:uid="{00000000-0005-0000-0000-000075110000}"/>
    <cellStyle name="Calculation 2 2 4 3 4" xfId="7961" xr:uid="{00000000-0005-0000-0000-000076110000}"/>
    <cellStyle name="Calculation 2 2 4 4" xfId="7962" xr:uid="{00000000-0005-0000-0000-000077110000}"/>
    <cellStyle name="Calculation 2 2 4 4 2" xfId="7965" xr:uid="{00000000-0005-0000-0000-000078110000}"/>
    <cellStyle name="Calculation 2 2 4 4 2 2" xfId="7967" xr:uid="{00000000-0005-0000-0000-000079110000}"/>
    <cellStyle name="Calculation 2 2 4 4 3" xfId="7968" xr:uid="{00000000-0005-0000-0000-00007A110000}"/>
    <cellStyle name="Calculation 2 2 4 5" xfId="7970" xr:uid="{00000000-0005-0000-0000-00007B110000}"/>
    <cellStyle name="Calculation 2 2 4 5 2" xfId="7974" xr:uid="{00000000-0005-0000-0000-00007C110000}"/>
    <cellStyle name="Calculation 2 2 4 5 3" xfId="7976" xr:uid="{00000000-0005-0000-0000-00007D110000}"/>
    <cellStyle name="Calculation 2 2 4 6" xfId="7978" xr:uid="{00000000-0005-0000-0000-00007E110000}"/>
    <cellStyle name="Calculation 2 2 4 6 2" xfId="915" xr:uid="{00000000-0005-0000-0000-00007F110000}"/>
    <cellStyle name="Calculation 2 2 4 6 2 2" xfId="922" xr:uid="{00000000-0005-0000-0000-000080110000}"/>
    <cellStyle name="Calculation 2 2 4 6 2 2 2" xfId="7981" xr:uid="{00000000-0005-0000-0000-000081110000}"/>
    <cellStyle name="Calculation 2 2 4 6 3" xfId="6979" xr:uid="{00000000-0005-0000-0000-000082110000}"/>
    <cellStyle name="Calculation 2 2 4 7" xfId="7982" xr:uid="{00000000-0005-0000-0000-000083110000}"/>
    <cellStyle name="Calculation 2 2 4 8" xfId="7984" xr:uid="{00000000-0005-0000-0000-000084110000}"/>
    <cellStyle name="Calculation 2 2 4 9" xfId="7601" xr:uid="{00000000-0005-0000-0000-000085110000}"/>
    <cellStyle name="Calculation 2 2 5" xfId="7987" xr:uid="{00000000-0005-0000-0000-000086110000}"/>
    <cellStyle name="Calculation 2 2 5 2" xfId="7990" xr:uid="{00000000-0005-0000-0000-000087110000}"/>
    <cellStyle name="Calculation 2 2 5 2 2" xfId="6332" xr:uid="{00000000-0005-0000-0000-000088110000}"/>
    <cellStyle name="Calculation 2 2 5 2 2 2" xfId="6791" xr:uid="{00000000-0005-0000-0000-000089110000}"/>
    <cellStyle name="Calculation 2 2 5 2 2 2 2" xfId="7993" xr:uid="{00000000-0005-0000-0000-00008A110000}"/>
    <cellStyle name="Calculation 2 2 5 2 2 2 2 2" xfId="7994" xr:uid="{00000000-0005-0000-0000-00008B110000}"/>
    <cellStyle name="Calculation 2 2 5 2 2 2 2 2 2" xfId="7995" xr:uid="{00000000-0005-0000-0000-00008C110000}"/>
    <cellStyle name="Calculation 2 2 5 2 2 2 3" xfId="7996" xr:uid="{00000000-0005-0000-0000-00008D110000}"/>
    <cellStyle name="Calculation 2 2 5 2 3" xfId="4855" xr:uid="{00000000-0005-0000-0000-00008E110000}"/>
    <cellStyle name="Calculation 2 2 5 2 4" xfId="4861" xr:uid="{00000000-0005-0000-0000-00008F110000}"/>
    <cellStyle name="Calculation 2 2 5 3" xfId="7997" xr:uid="{00000000-0005-0000-0000-000090110000}"/>
    <cellStyle name="Calculation 2 2 5 3 2" xfId="7999" xr:uid="{00000000-0005-0000-0000-000091110000}"/>
    <cellStyle name="Calculation 2 2 5 3 2 2" xfId="8001" xr:uid="{00000000-0005-0000-0000-000092110000}"/>
    <cellStyle name="Calculation 2 2 5 3 3" xfId="8002" xr:uid="{00000000-0005-0000-0000-000093110000}"/>
    <cellStyle name="Calculation 2 2 5 3 4" xfId="8005" xr:uid="{00000000-0005-0000-0000-000094110000}"/>
    <cellStyle name="Calculation 2 2 5 4" xfId="8007" xr:uid="{00000000-0005-0000-0000-000095110000}"/>
    <cellStyle name="Calculation 2 2 5 4 2" xfId="8009" xr:uid="{00000000-0005-0000-0000-000096110000}"/>
    <cellStyle name="Calculation 2 2 5 4 3" xfId="8011" xr:uid="{00000000-0005-0000-0000-000097110000}"/>
    <cellStyle name="Calculation 2 2 5 5" xfId="8015" xr:uid="{00000000-0005-0000-0000-000098110000}"/>
    <cellStyle name="Calculation 2 2 5 5 2" xfId="8018" xr:uid="{00000000-0005-0000-0000-000099110000}"/>
    <cellStyle name="Calculation 2 2 5 5 3" xfId="8020" xr:uid="{00000000-0005-0000-0000-00009A110000}"/>
    <cellStyle name="Calculation 2 2 5 6" xfId="8023" xr:uid="{00000000-0005-0000-0000-00009B110000}"/>
    <cellStyle name="Calculation 2 2 5 6 2" xfId="8026" xr:uid="{00000000-0005-0000-0000-00009C110000}"/>
    <cellStyle name="Calculation 2 2 5 6 2 2" xfId="8030" xr:uid="{00000000-0005-0000-0000-00009D110000}"/>
    <cellStyle name="Calculation 2 2 5 7" xfId="8033" xr:uid="{00000000-0005-0000-0000-00009E110000}"/>
    <cellStyle name="Calculation 2 2 5 8" xfId="8035" xr:uid="{00000000-0005-0000-0000-00009F110000}"/>
    <cellStyle name="Calculation 2 2 6" xfId="8038" xr:uid="{00000000-0005-0000-0000-0000A0110000}"/>
    <cellStyle name="Calculation 2 2 6 2" xfId="8041" xr:uid="{00000000-0005-0000-0000-0000A1110000}"/>
    <cellStyle name="Calculation 2 2 6 2 2" xfId="6949" xr:uid="{00000000-0005-0000-0000-0000A2110000}"/>
    <cellStyle name="Calculation 2 2 6 2 3" xfId="4905" xr:uid="{00000000-0005-0000-0000-0000A3110000}"/>
    <cellStyle name="Calculation 2 2 6 2 4" xfId="4910" xr:uid="{00000000-0005-0000-0000-0000A4110000}"/>
    <cellStyle name="Calculation 2 2 6 3" xfId="8044" xr:uid="{00000000-0005-0000-0000-0000A5110000}"/>
    <cellStyle name="Calculation 2 2 6 3 2" xfId="8046" xr:uid="{00000000-0005-0000-0000-0000A6110000}"/>
    <cellStyle name="Calculation 2 2 6 3 3" xfId="8048" xr:uid="{00000000-0005-0000-0000-0000A7110000}"/>
    <cellStyle name="Calculation 2 2 6 3 4" xfId="8050" xr:uid="{00000000-0005-0000-0000-0000A8110000}"/>
    <cellStyle name="Calculation 2 2 6 4" xfId="8052" xr:uid="{00000000-0005-0000-0000-0000A9110000}"/>
    <cellStyle name="Calculation 2 2 6 4 2" xfId="8054" xr:uid="{00000000-0005-0000-0000-0000AA110000}"/>
    <cellStyle name="Calculation 2 2 6 4 3" xfId="8056" xr:uid="{00000000-0005-0000-0000-0000AB110000}"/>
    <cellStyle name="Calculation 2 2 6 5" xfId="8059" xr:uid="{00000000-0005-0000-0000-0000AC110000}"/>
    <cellStyle name="Calculation 2 2 6 5 2" xfId="8062" xr:uid="{00000000-0005-0000-0000-0000AD110000}"/>
    <cellStyle name="Calculation 2 2 6 5 3" xfId="8064" xr:uid="{00000000-0005-0000-0000-0000AE110000}"/>
    <cellStyle name="Calculation 2 2 6 6" xfId="8067" xr:uid="{00000000-0005-0000-0000-0000AF110000}"/>
    <cellStyle name="Calculation 2 2 6 6 2" xfId="8070" xr:uid="{00000000-0005-0000-0000-0000B0110000}"/>
    <cellStyle name="Calculation 2 2 6 6 2 2" xfId="8074" xr:uid="{00000000-0005-0000-0000-0000B1110000}"/>
    <cellStyle name="Calculation 2 2 6 7" xfId="8078" xr:uid="{00000000-0005-0000-0000-0000B2110000}"/>
    <cellStyle name="Calculation 2 2 6 8" xfId="8080" xr:uid="{00000000-0005-0000-0000-0000B3110000}"/>
    <cellStyle name="Calculation 2 2 7" xfId="8083" xr:uid="{00000000-0005-0000-0000-0000B4110000}"/>
    <cellStyle name="Calculation 2 2 7 2" xfId="8085" xr:uid="{00000000-0005-0000-0000-0000B5110000}"/>
    <cellStyle name="Calculation 2 2 7 2 2" xfId="7163" xr:uid="{00000000-0005-0000-0000-0000B6110000}"/>
    <cellStyle name="Calculation 2 2 7 2 3" xfId="4970" xr:uid="{00000000-0005-0000-0000-0000B7110000}"/>
    <cellStyle name="Calculation 2 2 7 2 4" xfId="4974" xr:uid="{00000000-0005-0000-0000-0000B8110000}"/>
    <cellStyle name="Calculation 2 2 7 3" xfId="8087" xr:uid="{00000000-0005-0000-0000-0000B9110000}"/>
    <cellStyle name="Calculation 2 2 7 3 2" xfId="8089" xr:uid="{00000000-0005-0000-0000-0000BA110000}"/>
    <cellStyle name="Calculation 2 2 7 3 3" xfId="8091" xr:uid="{00000000-0005-0000-0000-0000BB110000}"/>
    <cellStyle name="Calculation 2 2 7 3 4" xfId="8093" xr:uid="{00000000-0005-0000-0000-0000BC110000}"/>
    <cellStyle name="Calculation 2 2 7 4" xfId="8095" xr:uid="{00000000-0005-0000-0000-0000BD110000}"/>
    <cellStyle name="Calculation 2 2 7 4 2" xfId="8097" xr:uid="{00000000-0005-0000-0000-0000BE110000}"/>
    <cellStyle name="Calculation 2 2 7 4 3" xfId="8099" xr:uid="{00000000-0005-0000-0000-0000BF110000}"/>
    <cellStyle name="Calculation 2 2 7 5" xfId="8102" xr:uid="{00000000-0005-0000-0000-0000C0110000}"/>
    <cellStyle name="Calculation 2 2 7 5 2" xfId="8105" xr:uid="{00000000-0005-0000-0000-0000C1110000}"/>
    <cellStyle name="Calculation 2 2 7 5 3" xfId="8107" xr:uid="{00000000-0005-0000-0000-0000C2110000}"/>
    <cellStyle name="Calculation 2 2 7 6" xfId="8110" xr:uid="{00000000-0005-0000-0000-0000C3110000}"/>
    <cellStyle name="Calculation 2 2 7 6 2" xfId="8114" xr:uid="{00000000-0005-0000-0000-0000C4110000}"/>
    <cellStyle name="Calculation 2 2 7 6 2 2" xfId="1403" xr:uid="{00000000-0005-0000-0000-0000C5110000}"/>
    <cellStyle name="Calculation 2 2 7 7" xfId="8116" xr:uid="{00000000-0005-0000-0000-0000C6110000}"/>
    <cellStyle name="Calculation 2 2 7 8" xfId="8118" xr:uid="{00000000-0005-0000-0000-0000C7110000}"/>
    <cellStyle name="Calculation 2 2 8" xfId="8120" xr:uid="{00000000-0005-0000-0000-0000C8110000}"/>
    <cellStyle name="Calculation 2 2 8 2" xfId="8121" xr:uid="{00000000-0005-0000-0000-0000C9110000}"/>
    <cellStyle name="Calculation 2 2 8 2 2" xfId="8122" xr:uid="{00000000-0005-0000-0000-0000CA110000}"/>
    <cellStyle name="Calculation 2 2 8 2 3" xfId="8123" xr:uid="{00000000-0005-0000-0000-0000CB110000}"/>
    <cellStyle name="Calculation 2 2 8 2 4" xfId="8125" xr:uid="{00000000-0005-0000-0000-0000CC110000}"/>
    <cellStyle name="Calculation 2 2 8 3" xfId="8128" xr:uid="{00000000-0005-0000-0000-0000CD110000}"/>
    <cellStyle name="Calculation 2 2 8 3 2" xfId="8129" xr:uid="{00000000-0005-0000-0000-0000CE110000}"/>
    <cellStyle name="Calculation 2 2 8 3 3" xfId="8131" xr:uid="{00000000-0005-0000-0000-0000CF110000}"/>
    <cellStyle name="Calculation 2 2 8 3 4" xfId="8133" xr:uid="{00000000-0005-0000-0000-0000D0110000}"/>
    <cellStyle name="Calculation 2 2 8 4" xfId="8136" xr:uid="{00000000-0005-0000-0000-0000D1110000}"/>
    <cellStyle name="Calculation 2 2 8 4 2" xfId="8137" xr:uid="{00000000-0005-0000-0000-0000D2110000}"/>
    <cellStyle name="Calculation 2 2 8 4 3" xfId="8139" xr:uid="{00000000-0005-0000-0000-0000D3110000}"/>
    <cellStyle name="Calculation 2 2 8 5" xfId="8142" xr:uid="{00000000-0005-0000-0000-0000D4110000}"/>
    <cellStyle name="Calculation 2 2 8 5 2" xfId="8144" xr:uid="{00000000-0005-0000-0000-0000D5110000}"/>
    <cellStyle name="Calculation 2 2 8 5 3" xfId="8147" xr:uid="{00000000-0005-0000-0000-0000D6110000}"/>
    <cellStyle name="Calculation 2 2 8 6" xfId="8151" xr:uid="{00000000-0005-0000-0000-0000D7110000}"/>
    <cellStyle name="Calculation 2 2 8 6 2" xfId="8153" xr:uid="{00000000-0005-0000-0000-0000D8110000}"/>
    <cellStyle name="Calculation 2 2 8 6 2 2" xfId="811" xr:uid="{00000000-0005-0000-0000-0000D9110000}"/>
    <cellStyle name="Calculation 2 2 8 7" xfId="8156" xr:uid="{00000000-0005-0000-0000-0000DA110000}"/>
    <cellStyle name="Calculation 2 2 8 8" xfId="8158" xr:uid="{00000000-0005-0000-0000-0000DB110000}"/>
    <cellStyle name="Calculation 2 2 9" xfId="8161" xr:uid="{00000000-0005-0000-0000-0000DC110000}"/>
    <cellStyle name="Calculation 2 2 9 2" xfId="8162" xr:uid="{00000000-0005-0000-0000-0000DD110000}"/>
    <cellStyle name="Calculation 2 2 9 2 2" xfId="8163" xr:uid="{00000000-0005-0000-0000-0000DE110000}"/>
    <cellStyle name="Calculation 2 2 9 2 3" xfId="8164" xr:uid="{00000000-0005-0000-0000-0000DF110000}"/>
    <cellStyle name="Calculation 2 2 9 2 4" xfId="8165" xr:uid="{00000000-0005-0000-0000-0000E0110000}"/>
    <cellStyle name="Calculation 2 2 9 3" xfId="8167" xr:uid="{00000000-0005-0000-0000-0000E1110000}"/>
    <cellStyle name="Calculation 2 2 9 3 2" xfId="8169" xr:uid="{00000000-0005-0000-0000-0000E2110000}"/>
    <cellStyle name="Calculation 2 2 9 3 3" xfId="8171" xr:uid="{00000000-0005-0000-0000-0000E3110000}"/>
    <cellStyle name="Calculation 2 2 9 3 4" xfId="8173" xr:uid="{00000000-0005-0000-0000-0000E4110000}"/>
    <cellStyle name="Calculation 2 2 9 4" xfId="8176" xr:uid="{00000000-0005-0000-0000-0000E5110000}"/>
    <cellStyle name="Calculation 2 2 9 4 2" xfId="8178" xr:uid="{00000000-0005-0000-0000-0000E6110000}"/>
    <cellStyle name="Calculation 2 2 9 4 3" xfId="8180" xr:uid="{00000000-0005-0000-0000-0000E7110000}"/>
    <cellStyle name="Calculation 2 2 9 5" xfId="8182" xr:uid="{00000000-0005-0000-0000-0000E8110000}"/>
    <cellStyle name="Calculation 2 2 9 5 2" xfId="8185" xr:uid="{00000000-0005-0000-0000-0000E9110000}"/>
    <cellStyle name="Calculation 2 2 9 5 3" xfId="8188" xr:uid="{00000000-0005-0000-0000-0000EA110000}"/>
    <cellStyle name="Calculation 2 2 9 6" xfId="8191" xr:uid="{00000000-0005-0000-0000-0000EB110000}"/>
    <cellStyle name="Calculation 2 2 9 6 2" xfId="8194" xr:uid="{00000000-0005-0000-0000-0000EC110000}"/>
    <cellStyle name="Calculation 2 2 9 6 2 2" xfId="8197" xr:uid="{00000000-0005-0000-0000-0000ED110000}"/>
    <cellStyle name="Calculation 2 2 9 7" xfId="8201" xr:uid="{00000000-0005-0000-0000-0000EE110000}"/>
    <cellStyle name="Calculation 2 2 9 8" xfId="8204" xr:uid="{00000000-0005-0000-0000-0000EF110000}"/>
    <cellStyle name="Calculation 2 20" xfId="235" xr:uid="{00000000-0005-0000-0000-0000F0110000}"/>
    <cellStyle name="Calculation 2 20 2" xfId="535" xr:uid="{00000000-0005-0000-0000-0000F1110000}"/>
    <cellStyle name="Calculation 2 20 2 2" xfId="1045" xr:uid="{00000000-0005-0000-0000-0000F2110000}"/>
    <cellStyle name="Calculation 2 20 2 3" xfId="1059" xr:uid="{00000000-0005-0000-0000-0000F3110000}"/>
    <cellStyle name="Calculation 2 20 2 4" xfId="1591" xr:uid="{00000000-0005-0000-0000-0000F4110000}"/>
    <cellStyle name="Calculation 2 20 3" xfId="547" xr:uid="{00000000-0005-0000-0000-0000F5110000}"/>
    <cellStyle name="Calculation 2 20 3 2" xfId="1092" xr:uid="{00000000-0005-0000-0000-0000F6110000}"/>
    <cellStyle name="Calculation 2 20 3 3" xfId="655" xr:uid="{00000000-0005-0000-0000-0000F7110000}"/>
    <cellStyle name="Calculation 2 20 3 4" xfId="1346" xr:uid="{00000000-0005-0000-0000-0000F8110000}"/>
    <cellStyle name="Calculation 2 20 4" xfId="553" xr:uid="{00000000-0005-0000-0000-0000F9110000}"/>
    <cellStyle name="Calculation 2 20 4 2" xfId="1612" xr:uid="{00000000-0005-0000-0000-0000FA110000}"/>
    <cellStyle name="Calculation 2 20 4 3" xfId="1624" xr:uid="{00000000-0005-0000-0000-0000FB110000}"/>
    <cellStyle name="Calculation 2 20 5" xfId="558" xr:uid="{00000000-0005-0000-0000-0000FC110000}"/>
    <cellStyle name="Calculation 2 20 5 2" xfId="6862" xr:uid="{00000000-0005-0000-0000-0000FD110000}"/>
    <cellStyle name="Calculation 2 20 5 3" xfId="6878" xr:uid="{00000000-0005-0000-0000-0000FE110000}"/>
    <cellStyle name="Calculation 2 20 6" xfId="1127" xr:uid="{00000000-0005-0000-0000-0000FF110000}"/>
    <cellStyle name="Calculation 2 20 7" xfId="1141" xr:uid="{00000000-0005-0000-0000-000000120000}"/>
    <cellStyle name="Calculation 2 20 8" xfId="1153" xr:uid="{00000000-0005-0000-0000-000001120000}"/>
    <cellStyle name="Calculation 2 21" xfId="1627" xr:uid="{00000000-0005-0000-0000-000002120000}"/>
    <cellStyle name="Calculation 2 21 2" xfId="6990" xr:uid="{00000000-0005-0000-0000-000003120000}"/>
    <cellStyle name="Calculation 2 21 2 2" xfId="6992" xr:uid="{00000000-0005-0000-0000-000004120000}"/>
    <cellStyle name="Calculation 2 21 2 3" xfId="6998" xr:uid="{00000000-0005-0000-0000-000005120000}"/>
    <cellStyle name="Calculation 2 21 2 4" xfId="7007" xr:uid="{00000000-0005-0000-0000-000006120000}"/>
    <cellStyle name="Calculation 2 21 3" xfId="7016" xr:uid="{00000000-0005-0000-0000-000007120000}"/>
    <cellStyle name="Calculation 2 21 3 2" xfId="7018" xr:uid="{00000000-0005-0000-0000-000008120000}"/>
    <cellStyle name="Calculation 2 21 3 3" xfId="7024" xr:uid="{00000000-0005-0000-0000-000009120000}"/>
    <cellStyle name="Calculation 2 21 3 4" xfId="7030" xr:uid="{00000000-0005-0000-0000-00000A120000}"/>
    <cellStyle name="Calculation 2 21 4" xfId="7041" xr:uid="{00000000-0005-0000-0000-00000B120000}"/>
    <cellStyle name="Calculation 2 21 4 2" xfId="7043" xr:uid="{00000000-0005-0000-0000-00000C120000}"/>
    <cellStyle name="Calculation 2 21 4 3" xfId="7048" xr:uid="{00000000-0005-0000-0000-00000D120000}"/>
    <cellStyle name="Calculation 2 21 5" xfId="7062" xr:uid="{00000000-0005-0000-0000-00000E120000}"/>
    <cellStyle name="Calculation 2 21 5 2" xfId="7064" xr:uid="{00000000-0005-0000-0000-00000F120000}"/>
    <cellStyle name="Calculation 2 21 5 3" xfId="7073" xr:uid="{00000000-0005-0000-0000-000010120000}"/>
    <cellStyle name="Calculation 2 21 6" xfId="7096" xr:uid="{00000000-0005-0000-0000-000011120000}"/>
    <cellStyle name="Calculation 2 21 7" xfId="5800" xr:uid="{00000000-0005-0000-0000-000012120000}"/>
    <cellStyle name="Calculation 2 21 8" xfId="5805" xr:uid="{00000000-0005-0000-0000-000013120000}"/>
    <cellStyle name="Calculation 2 22" xfId="1631" xr:uid="{00000000-0005-0000-0000-000014120000}"/>
    <cellStyle name="Calculation 2 22 2" xfId="7168" xr:uid="{00000000-0005-0000-0000-000015120000}"/>
    <cellStyle name="Calculation 2 22 2 2" xfId="7170" xr:uid="{00000000-0005-0000-0000-000016120000}"/>
    <cellStyle name="Calculation 2 22 2 3" xfId="6368" xr:uid="{00000000-0005-0000-0000-000017120000}"/>
    <cellStyle name="Calculation 2 22 2 4" xfId="6376" xr:uid="{00000000-0005-0000-0000-000018120000}"/>
    <cellStyle name="Calculation 2 22 3" xfId="2290" xr:uid="{00000000-0005-0000-0000-000019120000}"/>
    <cellStyle name="Calculation 2 22 3 2" xfId="2295" xr:uid="{00000000-0005-0000-0000-00001A120000}"/>
    <cellStyle name="Calculation 2 22 3 3" xfId="2300" xr:uid="{00000000-0005-0000-0000-00001B120000}"/>
    <cellStyle name="Calculation 2 22 3 4" xfId="1221" xr:uid="{00000000-0005-0000-0000-00001C120000}"/>
    <cellStyle name="Calculation 2 22 4" xfId="2305" xr:uid="{00000000-0005-0000-0000-00001D120000}"/>
    <cellStyle name="Calculation 2 22 4 2" xfId="7174" xr:uid="{00000000-0005-0000-0000-00001E120000}"/>
    <cellStyle name="Calculation 2 22 4 3" xfId="6415" xr:uid="{00000000-0005-0000-0000-00001F120000}"/>
    <cellStyle name="Calculation 2 22 5" xfId="2310" xr:uid="{00000000-0005-0000-0000-000020120000}"/>
    <cellStyle name="Calculation 2 22 5 2" xfId="7177" xr:uid="{00000000-0005-0000-0000-000021120000}"/>
    <cellStyle name="Calculation 2 22 5 3" xfId="6440" xr:uid="{00000000-0005-0000-0000-000022120000}"/>
    <cellStyle name="Calculation 2 22 6" xfId="3597" xr:uid="{00000000-0005-0000-0000-000023120000}"/>
    <cellStyle name="Calculation 2 22 7" xfId="5066" xr:uid="{00000000-0005-0000-0000-000024120000}"/>
    <cellStyle name="Calculation 2 22 8" xfId="5072" xr:uid="{00000000-0005-0000-0000-000025120000}"/>
    <cellStyle name="Calculation 2 23" xfId="1635" xr:uid="{00000000-0005-0000-0000-000026120000}"/>
    <cellStyle name="Calculation 2 23 2" xfId="7179" xr:uid="{00000000-0005-0000-0000-000027120000}"/>
    <cellStyle name="Calculation 2 23 2 2" xfId="870" xr:uid="{00000000-0005-0000-0000-000028120000}"/>
    <cellStyle name="Calculation 2 23 2 3" xfId="6574" xr:uid="{00000000-0005-0000-0000-000029120000}"/>
    <cellStyle name="Calculation 2 23 2 4" xfId="6584" xr:uid="{00000000-0005-0000-0000-00002A120000}"/>
    <cellStyle name="Calculation 2 23 3" xfId="7181" xr:uid="{00000000-0005-0000-0000-00002B120000}"/>
    <cellStyle name="Calculation 2 23 3 2" xfId="7183" xr:uid="{00000000-0005-0000-0000-00002C120000}"/>
    <cellStyle name="Calculation 2 23 3 3" xfId="6600" xr:uid="{00000000-0005-0000-0000-00002D120000}"/>
    <cellStyle name="Calculation 2 23 3 4" xfId="6609" xr:uid="{00000000-0005-0000-0000-00002E120000}"/>
    <cellStyle name="Calculation 2 23 4" xfId="3602" xr:uid="{00000000-0005-0000-0000-00002F120000}"/>
    <cellStyle name="Calculation 2 23 4 2" xfId="7186" xr:uid="{00000000-0005-0000-0000-000030120000}"/>
    <cellStyle name="Calculation 2 23 4 3" xfId="6642" xr:uid="{00000000-0005-0000-0000-000031120000}"/>
    <cellStyle name="Calculation 2 23 5" xfId="3606" xr:uid="{00000000-0005-0000-0000-000032120000}"/>
    <cellStyle name="Calculation 2 23 5 2" xfId="7190" xr:uid="{00000000-0005-0000-0000-000033120000}"/>
    <cellStyle name="Calculation 2 23 5 3" xfId="6668" xr:uid="{00000000-0005-0000-0000-000034120000}"/>
    <cellStyle name="Calculation 2 23 6" xfId="3613" xr:uid="{00000000-0005-0000-0000-000035120000}"/>
    <cellStyle name="Calculation 2 23 7" xfId="5081" xr:uid="{00000000-0005-0000-0000-000036120000}"/>
    <cellStyle name="Calculation 2 23 8" xfId="5088" xr:uid="{00000000-0005-0000-0000-000037120000}"/>
    <cellStyle name="Calculation 2 24" xfId="1639" xr:uid="{00000000-0005-0000-0000-000038120000}"/>
    <cellStyle name="Calculation 2 24 2" xfId="7193" xr:uid="{00000000-0005-0000-0000-000039120000}"/>
    <cellStyle name="Calculation 2 24 2 2" xfId="2998" xr:uid="{00000000-0005-0000-0000-00003A120000}"/>
    <cellStyle name="Calculation 2 24 2 3" xfId="4155" xr:uid="{00000000-0005-0000-0000-00003B120000}"/>
    <cellStyle name="Calculation 2 24 2 4" xfId="4169" xr:uid="{00000000-0005-0000-0000-00003C120000}"/>
    <cellStyle name="Calculation 2 24 3" xfId="7195" xr:uid="{00000000-0005-0000-0000-00003D120000}"/>
    <cellStyle name="Calculation 2 24 3 2" xfId="7197" xr:uid="{00000000-0005-0000-0000-00003E120000}"/>
    <cellStyle name="Calculation 2 24 3 3" xfId="6733" xr:uid="{00000000-0005-0000-0000-00003F120000}"/>
    <cellStyle name="Calculation 2 24 3 4" xfId="6736" xr:uid="{00000000-0005-0000-0000-000040120000}"/>
    <cellStyle name="Calculation 2 24 4" xfId="3618" xr:uid="{00000000-0005-0000-0000-000041120000}"/>
    <cellStyle name="Calculation 2 24 4 2" xfId="7200" xr:uid="{00000000-0005-0000-0000-000042120000}"/>
    <cellStyle name="Calculation 2 24 4 3" xfId="7203" xr:uid="{00000000-0005-0000-0000-000043120000}"/>
    <cellStyle name="Calculation 2 24 5" xfId="3621" xr:uid="{00000000-0005-0000-0000-000044120000}"/>
    <cellStyle name="Calculation 2 24 5 2" xfId="7205" xr:uid="{00000000-0005-0000-0000-000045120000}"/>
    <cellStyle name="Calculation 2 24 5 3" xfId="7207" xr:uid="{00000000-0005-0000-0000-000046120000}"/>
    <cellStyle name="Calculation 2 24 6" xfId="5098" xr:uid="{00000000-0005-0000-0000-000047120000}"/>
    <cellStyle name="Calculation 2 24 7" xfId="5103" xr:uid="{00000000-0005-0000-0000-000048120000}"/>
    <cellStyle name="Calculation 2 24 8" xfId="2787" xr:uid="{00000000-0005-0000-0000-000049120000}"/>
    <cellStyle name="Calculation 2 25" xfId="8207" xr:uid="{00000000-0005-0000-0000-00004A120000}"/>
    <cellStyle name="Calculation 2 25 2" xfId="8210" xr:uid="{00000000-0005-0000-0000-00004B120000}"/>
    <cellStyle name="Calculation 2 25 2 2" xfId="8212" xr:uid="{00000000-0005-0000-0000-00004C120000}"/>
    <cellStyle name="Calculation 2 25 2 3" xfId="8214" xr:uid="{00000000-0005-0000-0000-00004D120000}"/>
    <cellStyle name="Calculation 2 25 2 4" xfId="8217" xr:uid="{00000000-0005-0000-0000-00004E120000}"/>
    <cellStyle name="Calculation 2 25 3" xfId="8219" xr:uid="{00000000-0005-0000-0000-00004F120000}"/>
    <cellStyle name="Calculation 2 25 3 2" xfId="8221" xr:uid="{00000000-0005-0000-0000-000050120000}"/>
    <cellStyle name="Calculation 2 25 3 3" xfId="8223" xr:uid="{00000000-0005-0000-0000-000051120000}"/>
    <cellStyle name="Calculation 2 25 3 4" xfId="8224" xr:uid="{00000000-0005-0000-0000-000052120000}"/>
    <cellStyle name="Calculation 2 25 4" xfId="8225" xr:uid="{00000000-0005-0000-0000-000053120000}"/>
    <cellStyle name="Calculation 2 25 4 2" xfId="8226" xr:uid="{00000000-0005-0000-0000-000054120000}"/>
    <cellStyle name="Calculation 2 25 4 3" xfId="8228" xr:uid="{00000000-0005-0000-0000-000055120000}"/>
    <cellStyle name="Calculation 2 25 5" xfId="8229" xr:uid="{00000000-0005-0000-0000-000056120000}"/>
    <cellStyle name="Calculation 2 25 5 2" xfId="8230" xr:uid="{00000000-0005-0000-0000-000057120000}"/>
    <cellStyle name="Calculation 2 25 5 3" xfId="8231" xr:uid="{00000000-0005-0000-0000-000058120000}"/>
    <cellStyle name="Calculation 2 25 6" xfId="8232" xr:uid="{00000000-0005-0000-0000-000059120000}"/>
    <cellStyle name="Calculation 2 25 7" xfId="8233" xr:uid="{00000000-0005-0000-0000-00005A120000}"/>
    <cellStyle name="Calculation 2 25 8" xfId="8234" xr:uid="{00000000-0005-0000-0000-00005B120000}"/>
    <cellStyle name="Calculation 2 26" xfId="8235" xr:uid="{00000000-0005-0000-0000-00005C120000}"/>
    <cellStyle name="Calculation 2 26 2" xfId="8238" xr:uid="{00000000-0005-0000-0000-00005D120000}"/>
    <cellStyle name="Calculation 2 26 3" xfId="8241" xr:uid="{00000000-0005-0000-0000-00005E120000}"/>
    <cellStyle name="Calculation 2 26 4" xfId="8242" xr:uid="{00000000-0005-0000-0000-00005F120000}"/>
    <cellStyle name="Calculation 2 26 5" xfId="8243" xr:uid="{00000000-0005-0000-0000-000060120000}"/>
    <cellStyle name="Calculation 2 27" xfId="8244" xr:uid="{00000000-0005-0000-0000-000061120000}"/>
    <cellStyle name="Calculation 2 27 2" xfId="8248" xr:uid="{00000000-0005-0000-0000-000062120000}"/>
    <cellStyle name="Calculation 2 27 3" xfId="8251" xr:uid="{00000000-0005-0000-0000-000063120000}"/>
    <cellStyle name="Calculation 2 27 4" xfId="8252" xr:uid="{00000000-0005-0000-0000-000064120000}"/>
    <cellStyle name="Calculation 2 27 5" xfId="8253" xr:uid="{00000000-0005-0000-0000-000065120000}"/>
    <cellStyle name="Calculation 2 28" xfId="8254" xr:uid="{00000000-0005-0000-0000-000066120000}"/>
    <cellStyle name="Calculation 2 28 2" xfId="8257" xr:uid="{00000000-0005-0000-0000-000067120000}"/>
    <cellStyle name="Calculation 2 28 3" xfId="8259" xr:uid="{00000000-0005-0000-0000-000068120000}"/>
    <cellStyle name="Calculation 2 28 4" xfId="8260" xr:uid="{00000000-0005-0000-0000-000069120000}"/>
    <cellStyle name="Calculation 2 29" xfId="8261" xr:uid="{00000000-0005-0000-0000-00006A120000}"/>
    <cellStyle name="Calculation 2 29 2" xfId="8264" xr:uid="{00000000-0005-0000-0000-00006B120000}"/>
    <cellStyle name="Calculation 2 29 3" xfId="8265" xr:uid="{00000000-0005-0000-0000-00006C120000}"/>
    <cellStyle name="Calculation 2 29 4" xfId="8266" xr:uid="{00000000-0005-0000-0000-00006D120000}"/>
    <cellStyle name="Calculation 2 3" xfId="8267" xr:uid="{00000000-0005-0000-0000-00006E120000}"/>
    <cellStyle name="Calculation 2 3 10" xfId="8268" xr:uid="{00000000-0005-0000-0000-00006F120000}"/>
    <cellStyle name="Calculation 2 3 10 2" xfId="8270" xr:uid="{00000000-0005-0000-0000-000070120000}"/>
    <cellStyle name="Calculation 2 3 10 2 2" xfId="8271" xr:uid="{00000000-0005-0000-0000-000071120000}"/>
    <cellStyle name="Calculation 2 3 10 2 3" xfId="8273" xr:uid="{00000000-0005-0000-0000-000072120000}"/>
    <cellStyle name="Calculation 2 3 10 2 4" xfId="8276" xr:uid="{00000000-0005-0000-0000-000073120000}"/>
    <cellStyle name="Calculation 2 3 10 3" xfId="8279" xr:uid="{00000000-0005-0000-0000-000074120000}"/>
    <cellStyle name="Calculation 2 3 10 3 2" xfId="8280" xr:uid="{00000000-0005-0000-0000-000075120000}"/>
    <cellStyle name="Calculation 2 3 10 3 3" xfId="8281" xr:uid="{00000000-0005-0000-0000-000076120000}"/>
    <cellStyle name="Calculation 2 3 10 3 4" xfId="8282" xr:uid="{00000000-0005-0000-0000-000077120000}"/>
    <cellStyle name="Calculation 2 3 10 4" xfId="8283" xr:uid="{00000000-0005-0000-0000-000078120000}"/>
    <cellStyle name="Calculation 2 3 10 4 2" xfId="8284" xr:uid="{00000000-0005-0000-0000-000079120000}"/>
    <cellStyle name="Calculation 2 3 10 4 3" xfId="8286" xr:uid="{00000000-0005-0000-0000-00007A120000}"/>
    <cellStyle name="Calculation 2 3 10 5" xfId="8288" xr:uid="{00000000-0005-0000-0000-00007B120000}"/>
    <cellStyle name="Calculation 2 3 10 5 2" xfId="8289" xr:uid="{00000000-0005-0000-0000-00007C120000}"/>
    <cellStyle name="Calculation 2 3 10 5 3" xfId="8291" xr:uid="{00000000-0005-0000-0000-00007D120000}"/>
    <cellStyle name="Calculation 2 3 10 6" xfId="8293" xr:uid="{00000000-0005-0000-0000-00007E120000}"/>
    <cellStyle name="Calculation 2 3 10 7" xfId="8294" xr:uid="{00000000-0005-0000-0000-00007F120000}"/>
    <cellStyle name="Calculation 2 3 10 8" xfId="8295" xr:uid="{00000000-0005-0000-0000-000080120000}"/>
    <cellStyle name="Calculation 2 3 11" xfId="8297" xr:uid="{00000000-0005-0000-0000-000081120000}"/>
    <cellStyle name="Calculation 2 3 11 2" xfId="8299" xr:uid="{00000000-0005-0000-0000-000082120000}"/>
    <cellStyle name="Calculation 2 3 11 2 2" xfId="8300" xr:uid="{00000000-0005-0000-0000-000083120000}"/>
    <cellStyle name="Calculation 2 3 11 2 3" xfId="8302" xr:uid="{00000000-0005-0000-0000-000084120000}"/>
    <cellStyle name="Calculation 2 3 11 2 4" xfId="8305" xr:uid="{00000000-0005-0000-0000-000085120000}"/>
    <cellStyle name="Calculation 2 3 11 3" xfId="8307" xr:uid="{00000000-0005-0000-0000-000086120000}"/>
    <cellStyle name="Calculation 2 3 11 3 2" xfId="8308" xr:uid="{00000000-0005-0000-0000-000087120000}"/>
    <cellStyle name="Calculation 2 3 11 3 3" xfId="8309" xr:uid="{00000000-0005-0000-0000-000088120000}"/>
    <cellStyle name="Calculation 2 3 11 3 4" xfId="8310" xr:uid="{00000000-0005-0000-0000-000089120000}"/>
    <cellStyle name="Calculation 2 3 11 4" xfId="8311" xr:uid="{00000000-0005-0000-0000-00008A120000}"/>
    <cellStyle name="Calculation 2 3 11 4 2" xfId="8312" xr:uid="{00000000-0005-0000-0000-00008B120000}"/>
    <cellStyle name="Calculation 2 3 11 4 3" xfId="8313" xr:uid="{00000000-0005-0000-0000-00008C120000}"/>
    <cellStyle name="Calculation 2 3 11 5" xfId="8314" xr:uid="{00000000-0005-0000-0000-00008D120000}"/>
    <cellStyle name="Calculation 2 3 11 5 2" xfId="8315" xr:uid="{00000000-0005-0000-0000-00008E120000}"/>
    <cellStyle name="Calculation 2 3 11 5 3" xfId="8317" xr:uid="{00000000-0005-0000-0000-00008F120000}"/>
    <cellStyle name="Calculation 2 3 11 6" xfId="8319" xr:uid="{00000000-0005-0000-0000-000090120000}"/>
    <cellStyle name="Calculation 2 3 11 7" xfId="8320" xr:uid="{00000000-0005-0000-0000-000091120000}"/>
    <cellStyle name="Calculation 2 3 11 8" xfId="8321" xr:uid="{00000000-0005-0000-0000-000092120000}"/>
    <cellStyle name="Calculation 2 3 12" xfId="8323" xr:uid="{00000000-0005-0000-0000-000093120000}"/>
    <cellStyle name="Calculation 2 3 12 2" xfId="8325" xr:uid="{00000000-0005-0000-0000-000094120000}"/>
    <cellStyle name="Calculation 2 3 12 2 2" xfId="8326" xr:uid="{00000000-0005-0000-0000-000095120000}"/>
    <cellStyle name="Calculation 2 3 12 2 3" xfId="8327" xr:uid="{00000000-0005-0000-0000-000096120000}"/>
    <cellStyle name="Calculation 2 3 12 2 4" xfId="8328" xr:uid="{00000000-0005-0000-0000-000097120000}"/>
    <cellStyle name="Calculation 2 3 12 3" xfId="8329" xr:uid="{00000000-0005-0000-0000-000098120000}"/>
    <cellStyle name="Calculation 2 3 12 3 2" xfId="8330" xr:uid="{00000000-0005-0000-0000-000099120000}"/>
    <cellStyle name="Calculation 2 3 12 3 3" xfId="8331" xr:uid="{00000000-0005-0000-0000-00009A120000}"/>
    <cellStyle name="Calculation 2 3 12 3 4" xfId="8332" xr:uid="{00000000-0005-0000-0000-00009B120000}"/>
    <cellStyle name="Calculation 2 3 12 4" xfId="8333" xr:uid="{00000000-0005-0000-0000-00009C120000}"/>
    <cellStyle name="Calculation 2 3 12 4 2" xfId="8334" xr:uid="{00000000-0005-0000-0000-00009D120000}"/>
    <cellStyle name="Calculation 2 3 12 4 3" xfId="8335" xr:uid="{00000000-0005-0000-0000-00009E120000}"/>
    <cellStyle name="Calculation 2 3 12 5" xfId="8336" xr:uid="{00000000-0005-0000-0000-00009F120000}"/>
    <cellStyle name="Calculation 2 3 12 5 2" xfId="8337" xr:uid="{00000000-0005-0000-0000-0000A0120000}"/>
    <cellStyle name="Calculation 2 3 12 5 3" xfId="8339" xr:uid="{00000000-0005-0000-0000-0000A1120000}"/>
    <cellStyle name="Calculation 2 3 12 6" xfId="8341" xr:uid="{00000000-0005-0000-0000-0000A2120000}"/>
    <cellStyle name="Calculation 2 3 12 7" xfId="8342" xr:uid="{00000000-0005-0000-0000-0000A3120000}"/>
    <cellStyle name="Calculation 2 3 12 8" xfId="8343" xr:uid="{00000000-0005-0000-0000-0000A4120000}"/>
    <cellStyle name="Calculation 2 3 13" xfId="8344" xr:uid="{00000000-0005-0000-0000-0000A5120000}"/>
    <cellStyle name="Calculation 2 3 13 2" xfId="8345" xr:uid="{00000000-0005-0000-0000-0000A6120000}"/>
    <cellStyle name="Calculation 2 3 13 3" xfId="8346" xr:uid="{00000000-0005-0000-0000-0000A7120000}"/>
    <cellStyle name="Calculation 2 3 13 4" xfId="8347" xr:uid="{00000000-0005-0000-0000-0000A8120000}"/>
    <cellStyle name="Calculation 2 3 13 5" xfId="8348" xr:uid="{00000000-0005-0000-0000-0000A9120000}"/>
    <cellStyle name="Calculation 2 3 14" xfId="8351" xr:uid="{00000000-0005-0000-0000-0000AA120000}"/>
    <cellStyle name="Calculation 2 3 14 2" xfId="8352" xr:uid="{00000000-0005-0000-0000-0000AB120000}"/>
    <cellStyle name="Calculation 2 3 14 3" xfId="8353" xr:uid="{00000000-0005-0000-0000-0000AC120000}"/>
    <cellStyle name="Calculation 2 3 14 4" xfId="8354" xr:uid="{00000000-0005-0000-0000-0000AD120000}"/>
    <cellStyle name="Calculation 2 3 14 5" xfId="8355" xr:uid="{00000000-0005-0000-0000-0000AE120000}"/>
    <cellStyle name="Calculation 2 3 15" xfId="8358" xr:uid="{00000000-0005-0000-0000-0000AF120000}"/>
    <cellStyle name="Calculation 2 3 15 2" xfId="8360" xr:uid="{00000000-0005-0000-0000-0000B0120000}"/>
    <cellStyle name="Calculation 2 3 15 3" xfId="8362" xr:uid="{00000000-0005-0000-0000-0000B1120000}"/>
    <cellStyle name="Calculation 2 3 15 4" xfId="8365" xr:uid="{00000000-0005-0000-0000-0000B2120000}"/>
    <cellStyle name="Calculation 2 3 16" xfId="8368" xr:uid="{00000000-0005-0000-0000-0000B3120000}"/>
    <cellStyle name="Calculation 2 3 16 2" xfId="8370" xr:uid="{00000000-0005-0000-0000-0000B4120000}"/>
    <cellStyle name="Calculation 2 3 16 3" xfId="8372" xr:uid="{00000000-0005-0000-0000-0000B5120000}"/>
    <cellStyle name="Calculation 2 3 16 4" xfId="8375" xr:uid="{00000000-0005-0000-0000-0000B6120000}"/>
    <cellStyle name="Calculation 2 3 17" xfId="8378" xr:uid="{00000000-0005-0000-0000-0000B7120000}"/>
    <cellStyle name="Calculation 2 3 17 2" xfId="8380" xr:uid="{00000000-0005-0000-0000-0000B8120000}"/>
    <cellStyle name="Calculation 2 3 18" xfId="8382" xr:uid="{00000000-0005-0000-0000-0000B9120000}"/>
    <cellStyle name="Calculation 2 3 18 2" xfId="8384" xr:uid="{00000000-0005-0000-0000-0000BA120000}"/>
    <cellStyle name="Calculation 2 3 19" xfId="8387" xr:uid="{00000000-0005-0000-0000-0000BB120000}"/>
    <cellStyle name="Calculation 2 3 19 2" xfId="8389" xr:uid="{00000000-0005-0000-0000-0000BC120000}"/>
    <cellStyle name="Calculation 2 3 2" xfId="8391" xr:uid="{00000000-0005-0000-0000-0000BD120000}"/>
    <cellStyle name="Calculation 2 3 2 10" xfId="8393" xr:uid="{00000000-0005-0000-0000-0000BE120000}"/>
    <cellStyle name="Calculation 2 3 2 10 2" xfId="8394" xr:uid="{00000000-0005-0000-0000-0000BF120000}"/>
    <cellStyle name="Calculation 2 3 2 10 2 2" xfId="8395" xr:uid="{00000000-0005-0000-0000-0000C0120000}"/>
    <cellStyle name="Calculation 2 3 2 10 2 3" xfId="8396" xr:uid="{00000000-0005-0000-0000-0000C1120000}"/>
    <cellStyle name="Calculation 2 3 2 10 2 4" xfId="8398" xr:uid="{00000000-0005-0000-0000-0000C2120000}"/>
    <cellStyle name="Calculation 2 3 2 10 3" xfId="8400" xr:uid="{00000000-0005-0000-0000-0000C3120000}"/>
    <cellStyle name="Calculation 2 3 2 10 3 2" xfId="8401" xr:uid="{00000000-0005-0000-0000-0000C4120000}"/>
    <cellStyle name="Calculation 2 3 2 10 3 3" xfId="8402" xr:uid="{00000000-0005-0000-0000-0000C5120000}"/>
    <cellStyle name="Calculation 2 3 2 10 3 4" xfId="8404" xr:uid="{00000000-0005-0000-0000-0000C6120000}"/>
    <cellStyle name="Calculation 2 3 2 10 4" xfId="8406" xr:uid="{00000000-0005-0000-0000-0000C7120000}"/>
    <cellStyle name="Calculation 2 3 2 10 4 2" xfId="8408" xr:uid="{00000000-0005-0000-0000-0000C8120000}"/>
    <cellStyle name="Calculation 2 3 2 10 4 3" xfId="8409" xr:uid="{00000000-0005-0000-0000-0000C9120000}"/>
    <cellStyle name="Calculation 2 3 2 10 5" xfId="8411" xr:uid="{00000000-0005-0000-0000-0000CA120000}"/>
    <cellStyle name="Calculation 2 3 2 10 5 2" xfId="8413" xr:uid="{00000000-0005-0000-0000-0000CB120000}"/>
    <cellStyle name="Calculation 2 3 2 10 5 3" xfId="8414" xr:uid="{00000000-0005-0000-0000-0000CC120000}"/>
    <cellStyle name="Calculation 2 3 2 10 6" xfId="2530" xr:uid="{00000000-0005-0000-0000-0000CD120000}"/>
    <cellStyle name="Calculation 2 3 2 10 7" xfId="8415" xr:uid="{00000000-0005-0000-0000-0000CE120000}"/>
    <cellStyle name="Calculation 2 3 2 10 8" xfId="8416" xr:uid="{00000000-0005-0000-0000-0000CF120000}"/>
    <cellStyle name="Calculation 2 3 2 11" xfId="8417" xr:uid="{00000000-0005-0000-0000-0000D0120000}"/>
    <cellStyle name="Calculation 2 3 2 11 2" xfId="8418" xr:uid="{00000000-0005-0000-0000-0000D1120000}"/>
    <cellStyle name="Calculation 2 3 2 11 3" xfId="8419" xr:uid="{00000000-0005-0000-0000-0000D2120000}"/>
    <cellStyle name="Calculation 2 3 2 11 4" xfId="8420" xr:uid="{00000000-0005-0000-0000-0000D3120000}"/>
    <cellStyle name="Calculation 2 3 2 11 5" xfId="8422" xr:uid="{00000000-0005-0000-0000-0000D4120000}"/>
    <cellStyle name="Calculation 2 3 2 12" xfId="8424" xr:uid="{00000000-0005-0000-0000-0000D5120000}"/>
    <cellStyle name="Calculation 2 3 2 12 2" xfId="8425" xr:uid="{00000000-0005-0000-0000-0000D6120000}"/>
    <cellStyle name="Calculation 2 3 2 12 3" xfId="8426" xr:uid="{00000000-0005-0000-0000-0000D7120000}"/>
    <cellStyle name="Calculation 2 3 2 12 4" xfId="8428" xr:uid="{00000000-0005-0000-0000-0000D8120000}"/>
    <cellStyle name="Calculation 2 3 2 12 5" xfId="8430" xr:uid="{00000000-0005-0000-0000-0000D9120000}"/>
    <cellStyle name="Calculation 2 3 2 13" xfId="8433" xr:uid="{00000000-0005-0000-0000-0000DA120000}"/>
    <cellStyle name="Calculation 2 3 2 13 2" xfId="8434" xr:uid="{00000000-0005-0000-0000-0000DB120000}"/>
    <cellStyle name="Calculation 2 3 2 13 3" xfId="8435" xr:uid="{00000000-0005-0000-0000-0000DC120000}"/>
    <cellStyle name="Calculation 2 3 2 13 4" xfId="8437" xr:uid="{00000000-0005-0000-0000-0000DD120000}"/>
    <cellStyle name="Calculation 2 3 2 14" xfId="8439" xr:uid="{00000000-0005-0000-0000-0000DE120000}"/>
    <cellStyle name="Calculation 2 3 2 14 2" xfId="8440" xr:uid="{00000000-0005-0000-0000-0000DF120000}"/>
    <cellStyle name="Calculation 2 3 2 14 3" xfId="8441" xr:uid="{00000000-0005-0000-0000-0000E0120000}"/>
    <cellStyle name="Calculation 2 3 2 14 4" xfId="8443" xr:uid="{00000000-0005-0000-0000-0000E1120000}"/>
    <cellStyle name="Calculation 2 3 2 15" xfId="8445" xr:uid="{00000000-0005-0000-0000-0000E2120000}"/>
    <cellStyle name="Calculation 2 3 2 15 2" xfId="8447" xr:uid="{00000000-0005-0000-0000-0000E3120000}"/>
    <cellStyle name="Calculation 2 3 2 16" xfId="8448" xr:uid="{00000000-0005-0000-0000-0000E4120000}"/>
    <cellStyle name="Calculation 2 3 2 16 2" xfId="8450" xr:uid="{00000000-0005-0000-0000-0000E5120000}"/>
    <cellStyle name="Calculation 2 3 2 17" xfId="8451" xr:uid="{00000000-0005-0000-0000-0000E6120000}"/>
    <cellStyle name="Calculation 2 3 2 17 2" xfId="8454" xr:uid="{00000000-0005-0000-0000-0000E7120000}"/>
    <cellStyle name="Calculation 2 3 2 18" xfId="8455" xr:uid="{00000000-0005-0000-0000-0000E8120000}"/>
    <cellStyle name="Calculation 2 3 2 19" xfId="8459" xr:uid="{00000000-0005-0000-0000-0000E9120000}"/>
    <cellStyle name="Calculation 2 3 2 2" xfId="8463" xr:uid="{00000000-0005-0000-0000-0000EA120000}"/>
    <cellStyle name="Calculation 2 3 2 2 2" xfId="8466" xr:uid="{00000000-0005-0000-0000-0000EB120000}"/>
    <cellStyle name="Calculation 2 3 2 2 2 2" xfId="8469" xr:uid="{00000000-0005-0000-0000-0000EC120000}"/>
    <cellStyle name="Calculation 2 3 2 2 2 3" xfId="4585" xr:uid="{00000000-0005-0000-0000-0000ED120000}"/>
    <cellStyle name="Calculation 2 3 2 2 2 4" xfId="4589" xr:uid="{00000000-0005-0000-0000-0000EE120000}"/>
    <cellStyle name="Calculation 2 3 2 2 3" xfId="8472" xr:uid="{00000000-0005-0000-0000-0000EF120000}"/>
    <cellStyle name="Calculation 2 3 2 2 3 2" xfId="8473" xr:uid="{00000000-0005-0000-0000-0000F0120000}"/>
    <cellStyle name="Calculation 2 3 2 2 3 3" xfId="4597" xr:uid="{00000000-0005-0000-0000-0000F1120000}"/>
    <cellStyle name="Calculation 2 3 2 2 3 4" xfId="4599" xr:uid="{00000000-0005-0000-0000-0000F2120000}"/>
    <cellStyle name="Calculation 2 3 2 2 4" xfId="8475" xr:uid="{00000000-0005-0000-0000-0000F3120000}"/>
    <cellStyle name="Calculation 2 3 2 2 4 2" xfId="8476" xr:uid="{00000000-0005-0000-0000-0000F4120000}"/>
    <cellStyle name="Calculation 2 3 2 2 4 3" xfId="992" xr:uid="{00000000-0005-0000-0000-0000F5120000}"/>
    <cellStyle name="Calculation 2 3 2 2 5" xfId="8477" xr:uid="{00000000-0005-0000-0000-0000F6120000}"/>
    <cellStyle name="Calculation 2 3 2 2 5 2" xfId="8478" xr:uid="{00000000-0005-0000-0000-0000F7120000}"/>
    <cellStyle name="Calculation 2 3 2 2 5 3" xfId="4609" xr:uid="{00000000-0005-0000-0000-0000F8120000}"/>
    <cellStyle name="Calculation 2 3 2 2 6" xfId="8479" xr:uid="{00000000-0005-0000-0000-0000F9120000}"/>
    <cellStyle name="Calculation 2 3 2 2 7" xfId="8480" xr:uid="{00000000-0005-0000-0000-0000FA120000}"/>
    <cellStyle name="Calculation 2 3 2 2 8" xfId="8481" xr:uid="{00000000-0005-0000-0000-0000FB120000}"/>
    <cellStyle name="Calculation 2 3 2 20" xfId="8446" xr:uid="{00000000-0005-0000-0000-0000FC120000}"/>
    <cellStyle name="Calculation 2 3 2 21" xfId="8449" xr:uid="{00000000-0005-0000-0000-0000FD120000}"/>
    <cellStyle name="Calculation 2 3 2 22" xfId="8452" xr:uid="{00000000-0005-0000-0000-0000FE120000}"/>
    <cellStyle name="Calculation 2 3 2 23" xfId="8456" xr:uid="{00000000-0005-0000-0000-0000FF120000}"/>
    <cellStyle name="Calculation 2 3 2 24" xfId="8460" xr:uid="{00000000-0005-0000-0000-000000130000}"/>
    <cellStyle name="Calculation 2 3 2 25" xfId="8482" xr:uid="{00000000-0005-0000-0000-000001130000}"/>
    <cellStyle name="Calculation 2 3 2 26" xfId="8484" xr:uid="{00000000-0005-0000-0000-000002130000}"/>
    <cellStyle name="Calculation 2 3 2 27" xfId="8485" xr:uid="{00000000-0005-0000-0000-000003130000}"/>
    <cellStyle name="Calculation 2 3 2 28" xfId="8486" xr:uid="{00000000-0005-0000-0000-000004130000}"/>
    <cellStyle name="Calculation 2 3 2 29" xfId="8487" xr:uid="{00000000-0005-0000-0000-000005130000}"/>
    <cellStyle name="Calculation 2 3 2 3" xfId="8488" xr:uid="{00000000-0005-0000-0000-000006130000}"/>
    <cellStyle name="Calculation 2 3 2 3 2" xfId="8491" xr:uid="{00000000-0005-0000-0000-000007130000}"/>
    <cellStyle name="Calculation 2 3 2 3 2 2" xfId="8492" xr:uid="{00000000-0005-0000-0000-000008130000}"/>
    <cellStyle name="Calculation 2 3 2 3 2 3" xfId="2402" xr:uid="{00000000-0005-0000-0000-000009130000}"/>
    <cellStyle name="Calculation 2 3 2 3 2 4" xfId="2406" xr:uid="{00000000-0005-0000-0000-00000A130000}"/>
    <cellStyle name="Calculation 2 3 2 3 3" xfId="8495" xr:uid="{00000000-0005-0000-0000-00000B130000}"/>
    <cellStyle name="Calculation 2 3 2 3 3 2" xfId="8496" xr:uid="{00000000-0005-0000-0000-00000C130000}"/>
    <cellStyle name="Calculation 2 3 2 3 3 3" xfId="4623" xr:uid="{00000000-0005-0000-0000-00000D130000}"/>
    <cellStyle name="Calculation 2 3 2 3 3 4" xfId="4625" xr:uid="{00000000-0005-0000-0000-00000E130000}"/>
    <cellStyle name="Calculation 2 3 2 3 4" xfId="8498" xr:uid="{00000000-0005-0000-0000-00000F130000}"/>
    <cellStyle name="Calculation 2 3 2 3 4 2" xfId="8499" xr:uid="{00000000-0005-0000-0000-000010130000}"/>
    <cellStyle name="Calculation 2 3 2 3 4 3" xfId="4629" xr:uid="{00000000-0005-0000-0000-000011130000}"/>
    <cellStyle name="Calculation 2 3 2 3 5" xfId="8500" xr:uid="{00000000-0005-0000-0000-000012130000}"/>
    <cellStyle name="Calculation 2 3 2 3 5 2" xfId="8501" xr:uid="{00000000-0005-0000-0000-000013130000}"/>
    <cellStyle name="Calculation 2 3 2 3 5 3" xfId="4635" xr:uid="{00000000-0005-0000-0000-000014130000}"/>
    <cellStyle name="Calculation 2 3 2 3 6" xfId="8502" xr:uid="{00000000-0005-0000-0000-000015130000}"/>
    <cellStyle name="Calculation 2 3 2 3 7" xfId="8503" xr:uid="{00000000-0005-0000-0000-000016130000}"/>
    <cellStyle name="Calculation 2 3 2 3 8" xfId="8504" xr:uid="{00000000-0005-0000-0000-000017130000}"/>
    <cellStyle name="Calculation 2 3 2 30" xfId="8483" xr:uid="{00000000-0005-0000-0000-000018130000}"/>
    <cellStyle name="Calculation 2 3 2 4" xfId="8505" xr:uid="{00000000-0005-0000-0000-000019130000}"/>
    <cellStyle name="Calculation 2 3 2 4 2" xfId="8507" xr:uid="{00000000-0005-0000-0000-00001A130000}"/>
    <cellStyle name="Calculation 2 3 2 4 2 2" xfId="8508" xr:uid="{00000000-0005-0000-0000-00001B130000}"/>
    <cellStyle name="Calculation 2 3 2 4 2 3" xfId="1225" xr:uid="{00000000-0005-0000-0000-00001C130000}"/>
    <cellStyle name="Calculation 2 3 2 4 2 4" xfId="4651" xr:uid="{00000000-0005-0000-0000-00001D130000}"/>
    <cellStyle name="Calculation 2 3 2 4 3" xfId="8510" xr:uid="{00000000-0005-0000-0000-00001E130000}"/>
    <cellStyle name="Calculation 2 3 2 4 3 2" xfId="8511" xr:uid="{00000000-0005-0000-0000-00001F130000}"/>
    <cellStyle name="Calculation 2 3 2 4 3 3" xfId="4658" xr:uid="{00000000-0005-0000-0000-000020130000}"/>
    <cellStyle name="Calculation 2 3 2 4 3 4" xfId="4660" xr:uid="{00000000-0005-0000-0000-000021130000}"/>
    <cellStyle name="Calculation 2 3 2 4 4" xfId="8512" xr:uid="{00000000-0005-0000-0000-000022130000}"/>
    <cellStyle name="Calculation 2 3 2 4 4 2" xfId="8514" xr:uid="{00000000-0005-0000-0000-000023130000}"/>
    <cellStyle name="Calculation 2 3 2 4 4 3" xfId="4666" xr:uid="{00000000-0005-0000-0000-000024130000}"/>
    <cellStyle name="Calculation 2 3 2 4 5" xfId="8515" xr:uid="{00000000-0005-0000-0000-000025130000}"/>
    <cellStyle name="Calculation 2 3 2 4 5 2" xfId="8516" xr:uid="{00000000-0005-0000-0000-000026130000}"/>
    <cellStyle name="Calculation 2 3 2 4 5 3" xfId="4671" xr:uid="{00000000-0005-0000-0000-000027130000}"/>
    <cellStyle name="Calculation 2 3 2 4 6" xfId="8517" xr:uid="{00000000-0005-0000-0000-000028130000}"/>
    <cellStyle name="Calculation 2 3 2 4 7" xfId="8518" xr:uid="{00000000-0005-0000-0000-000029130000}"/>
    <cellStyle name="Calculation 2 3 2 4 8" xfId="8519" xr:uid="{00000000-0005-0000-0000-00002A130000}"/>
    <cellStyle name="Calculation 2 3 2 5" xfId="8520" xr:uid="{00000000-0005-0000-0000-00002B130000}"/>
    <cellStyle name="Calculation 2 3 2 5 2" xfId="8522" xr:uid="{00000000-0005-0000-0000-00002C130000}"/>
    <cellStyle name="Calculation 2 3 2 5 2 2" xfId="8523" xr:uid="{00000000-0005-0000-0000-00002D130000}"/>
    <cellStyle name="Calculation 2 3 2 5 2 3" xfId="2422" xr:uid="{00000000-0005-0000-0000-00002E130000}"/>
    <cellStyle name="Calculation 2 3 2 5 2 4" xfId="2426" xr:uid="{00000000-0005-0000-0000-00002F130000}"/>
    <cellStyle name="Calculation 2 3 2 5 3" xfId="8524" xr:uid="{00000000-0005-0000-0000-000030130000}"/>
    <cellStyle name="Calculation 2 3 2 5 3 2" xfId="8525" xr:uid="{00000000-0005-0000-0000-000031130000}"/>
    <cellStyle name="Calculation 2 3 2 5 3 3" xfId="4680" xr:uid="{00000000-0005-0000-0000-000032130000}"/>
    <cellStyle name="Calculation 2 3 2 5 3 4" xfId="4682" xr:uid="{00000000-0005-0000-0000-000033130000}"/>
    <cellStyle name="Calculation 2 3 2 5 4" xfId="8526" xr:uid="{00000000-0005-0000-0000-000034130000}"/>
    <cellStyle name="Calculation 2 3 2 5 4 2" xfId="8527" xr:uid="{00000000-0005-0000-0000-000035130000}"/>
    <cellStyle name="Calculation 2 3 2 5 4 3" xfId="4686" xr:uid="{00000000-0005-0000-0000-000036130000}"/>
    <cellStyle name="Calculation 2 3 2 5 5" xfId="8528" xr:uid="{00000000-0005-0000-0000-000037130000}"/>
    <cellStyle name="Calculation 2 3 2 5 5 2" xfId="8529" xr:uid="{00000000-0005-0000-0000-000038130000}"/>
    <cellStyle name="Calculation 2 3 2 5 5 3" xfId="4692" xr:uid="{00000000-0005-0000-0000-000039130000}"/>
    <cellStyle name="Calculation 2 3 2 5 6" xfId="8530" xr:uid="{00000000-0005-0000-0000-00003A130000}"/>
    <cellStyle name="Calculation 2 3 2 5 7" xfId="8531" xr:uid="{00000000-0005-0000-0000-00003B130000}"/>
    <cellStyle name="Calculation 2 3 2 5 8" xfId="8532" xr:uid="{00000000-0005-0000-0000-00003C130000}"/>
    <cellStyle name="Calculation 2 3 2 6" xfId="8533" xr:uid="{00000000-0005-0000-0000-00003D130000}"/>
    <cellStyle name="Calculation 2 3 2 6 2" xfId="8534" xr:uid="{00000000-0005-0000-0000-00003E130000}"/>
    <cellStyle name="Calculation 2 3 2 6 2 2" xfId="8535" xr:uid="{00000000-0005-0000-0000-00003F130000}"/>
    <cellStyle name="Calculation 2 3 2 6 2 3" xfId="4700" xr:uid="{00000000-0005-0000-0000-000040130000}"/>
    <cellStyle name="Calculation 2 3 2 6 2 4" xfId="4702" xr:uid="{00000000-0005-0000-0000-000041130000}"/>
    <cellStyle name="Calculation 2 3 2 6 3" xfId="8536" xr:uid="{00000000-0005-0000-0000-000042130000}"/>
    <cellStyle name="Calculation 2 3 2 6 3 2" xfId="8537" xr:uid="{00000000-0005-0000-0000-000043130000}"/>
    <cellStyle name="Calculation 2 3 2 6 3 3" xfId="4706" xr:uid="{00000000-0005-0000-0000-000044130000}"/>
    <cellStyle name="Calculation 2 3 2 6 3 4" xfId="4708" xr:uid="{00000000-0005-0000-0000-000045130000}"/>
    <cellStyle name="Calculation 2 3 2 6 4" xfId="8538" xr:uid="{00000000-0005-0000-0000-000046130000}"/>
    <cellStyle name="Calculation 2 3 2 6 4 2" xfId="8539" xr:uid="{00000000-0005-0000-0000-000047130000}"/>
    <cellStyle name="Calculation 2 3 2 6 4 3" xfId="4712" xr:uid="{00000000-0005-0000-0000-000048130000}"/>
    <cellStyle name="Calculation 2 3 2 6 5" xfId="8540" xr:uid="{00000000-0005-0000-0000-000049130000}"/>
    <cellStyle name="Calculation 2 3 2 6 5 2" xfId="8541" xr:uid="{00000000-0005-0000-0000-00004A130000}"/>
    <cellStyle name="Calculation 2 3 2 6 5 3" xfId="4717" xr:uid="{00000000-0005-0000-0000-00004B130000}"/>
    <cellStyle name="Calculation 2 3 2 6 6" xfId="8542" xr:uid="{00000000-0005-0000-0000-00004C130000}"/>
    <cellStyle name="Calculation 2 3 2 6 7" xfId="8543" xr:uid="{00000000-0005-0000-0000-00004D130000}"/>
    <cellStyle name="Calculation 2 3 2 6 8" xfId="8544" xr:uid="{00000000-0005-0000-0000-00004E130000}"/>
    <cellStyle name="Calculation 2 3 2 7" xfId="8545" xr:uid="{00000000-0005-0000-0000-00004F130000}"/>
    <cellStyle name="Calculation 2 3 2 7 2" xfId="8546" xr:uid="{00000000-0005-0000-0000-000050130000}"/>
    <cellStyle name="Calculation 2 3 2 7 2 2" xfId="8548" xr:uid="{00000000-0005-0000-0000-000051130000}"/>
    <cellStyle name="Calculation 2 3 2 7 2 3" xfId="3338" xr:uid="{00000000-0005-0000-0000-000052130000}"/>
    <cellStyle name="Calculation 2 3 2 7 2 4" xfId="4729" xr:uid="{00000000-0005-0000-0000-000053130000}"/>
    <cellStyle name="Calculation 2 3 2 7 3" xfId="8549" xr:uid="{00000000-0005-0000-0000-000054130000}"/>
    <cellStyle name="Calculation 2 3 2 7 3 2" xfId="8550" xr:uid="{00000000-0005-0000-0000-000055130000}"/>
    <cellStyle name="Calculation 2 3 2 7 3 3" xfId="3391" xr:uid="{00000000-0005-0000-0000-000056130000}"/>
    <cellStyle name="Calculation 2 3 2 7 3 4" xfId="4739" xr:uid="{00000000-0005-0000-0000-000057130000}"/>
    <cellStyle name="Calculation 2 3 2 7 4" xfId="8551" xr:uid="{00000000-0005-0000-0000-000058130000}"/>
    <cellStyle name="Calculation 2 3 2 7 4 2" xfId="8552" xr:uid="{00000000-0005-0000-0000-000059130000}"/>
    <cellStyle name="Calculation 2 3 2 7 4 3" xfId="3468" xr:uid="{00000000-0005-0000-0000-00005A130000}"/>
    <cellStyle name="Calculation 2 3 2 7 5" xfId="8553" xr:uid="{00000000-0005-0000-0000-00005B130000}"/>
    <cellStyle name="Calculation 2 3 2 7 5 2" xfId="8554" xr:uid="{00000000-0005-0000-0000-00005C130000}"/>
    <cellStyle name="Calculation 2 3 2 7 5 3" xfId="4748" xr:uid="{00000000-0005-0000-0000-00005D130000}"/>
    <cellStyle name="Calculation 2 3 2 7 6" xfId="8555" xr:uid="{00000000-0005-0000-0000-00005E130000}"/>
    <cellStyle name="Calculation 2 3 2 7 7" xfId="8556" xr:uid="{00000000-0005-0000-0000-00005F130000}"/>
    <cellStyle name="Calculation 2 3 2 7 8" xfId="8557" xr:uid="{00000000-0005-0000-0000-000060130000}"/>
    <cellStyle name="Calculation 2 3 2 8" xfId="8558" xr:uid="{00000000-0005-0000-0000-000061130000}"/>
    <cellStyle name="Calculation 2 3 2 8 2" xfId="8560" xr:uid="{00000000-0005-0000-0000-000062130000}"/>
    <cellStyle name="Calculation 2 3 2 8 2 2" xfId="8563" xr:uid="{00000000-0005-0000-0000-000063130000}"/>
    <cellStyle name="Calculation 2 3 2 8 2 3" xfId="3740" xr:uid="{00000000-0005-0000-0000-000064130000}"/>
    <cellStyle name="Calculation 2 3 2 8 2 4" xfId="4760" xr:uid="{00000000-0005-0000-0000-000065130000}"/>
    <cellStyle name="Calculation 2 3 2 8 3" xfId="8564" xr:uid="{00000000-0005-0000-0000-000066130000}"/>
    <cellStyle name="Calculation 2 3 2 8 3 2" xfId="8566" xr:uid="{00000000-0005-0000-0000-000067130000}"/>
    <cellStyle name="Calculation 2 3 2 8 3 3" xfId="3808" xr:uid="{00000000-0005-0000-0000-000068130000}"/>
    <cellStyle name="Calculation 2 3 2 8 3 4" xfId="4767" xr:uid="{00000000-0005-0000-0000-000069130000}"/>
    <cellStyle name="Calculation 2 3 2 8 4" xfId="8567" xr:uid="{00000000-0005-0000-0000-00006A130000}"/>
    <cellStyle name="Calculation 2 3 2 8 4 2" xfId="8569" xr:uid="{00000000-0005-0000-0000-00006B130000}"/>
    <cellStyle name="Calculation 2 3 2 8 4 3" xfId="1987" xr:uid="{00000000-0005-0000-0000-00006C130000}"/>
    <cellStyle name="Calculation 2 3 2 8 5" xfId="8570" xr:uid="{00000000-0005-0000-0000-00006D130000}"/>
    <cellStyle name="Calculation 2 3 2 8 5 2" xfId="8572" xr:uid="{00000000-0005-0000-0000-00006E130000}"/>
    <cellStyle name="Calculation 2 3 2 8 5 3" xfId="3117" xr:uid="{00000000-0005-0000-0000-00006F130000}"/>
    <cellStyle name="Calculation 2 3 2 8 6" xfId="8574" xr:uid="{00000000-0005-0000-0000-000070130000}"/>
    <cellStyle name="Calculation 2 3 2 8 7" xfId="8576" xr:uid="{00000000-0005-0000-0000-000071130000}"/>
    <cellStyle name="Calculation 2 3 2 8 8" xfId="8577" xr:uid="{00000000-0005-0000-0000-000072130000}"/>
    <cellStyle name="Calculation 2 3 2 9" xfId="8578" xr:uid="{00000000-0005-0000-0000-000073130000}"/>
    <cellStyle name="Calculation 2 3 2 9 2" xfId="2230" xr:uid="{00000000-0005-0000-0000-000074130000}"/>
    <cellStyle name="Calculation 2 3 2 9 2 2" xfId="8580" xr:uid="{00000000-0005-0000-0000-000075130000}"/>
    <cellStyle name="Calculation 2 3 2 9 2 3" xfId="8581" xr:uid="{00000000-0005-0000-0000-000076130000}"/>
    <cellStyle name="Calculation 2 3 2 9 2 4" xfId="8583" xr:uid="{00000000-0005-0000-0000-000077130000}"/>
    <cellStyle name="Calculation 2 3 2 9 3" xfId="2233" xr:uid="{00000000-0005-0000-0000-000078130000}"/>
    <cellStyle name="Calculation 2 3 2 9 3 2" xfId="2236" xr:uid="{00000000-0005-0000-0000-000079130000}"/>
    <cellStyle name="Calculation 2 3 2 9 3 3" xfId="2241" xr:uid="{00000000-0005-0000-0000-00007A130000}"/>
    <cellStyle name="Calculation 2 3 2 9 3 4" xfId="8585" xr:uid="{00000000-0005-0000-0000-00007B130000}"/>
    <cellStyle name="Calculation 2 3 2 9 4" xfId="2245" xr:uid="{00000000-0005-0000-0000-00007C130000}"/>
    <cellStyle name="Calculation 2 3 2 9 4 2" xfId="8586" xr:uid="{00000000-0005-0000-0000-00007D130000}"/>
    <cellStyle name="Calculation 2 3 2 9 4 3" xfId="8587" xr:uid="{00000000-0005-0000-0000-00007E130000}"/>
    <cellStyle name="Calculation 2 3 2 9 5" xfId="2248" xr:uid="{00000000-0005-0000-0000-00007F130000}"/>
    <cellStyle name="Calculation 2 3 2 9 5 2" xfId="8588" xr:uid="{00000000-0005-0000-0000-000080130000}"/>
    <cellStyle name="Calculation 2 3 2 9 5 3" xfId="8589" xr:uid="{00000000-0005-0000-0000-000081130000}"/>
    <cellStyle name="Calculation 2 3 2 9 6" xfId="2251" xr:uid="{00000000-0005-0000-0000-000082130000}"/>
    <cellStyle name="Calculation 2 3 2 9 7" xfId="2254" xr:uid="{00000000-0005-0000-0000-000083130000}"/>
    <cellStyle name="Calculation 2 3 2 9 8" xfId="8590" xr:uid="{00000000-0005-0000-0000-000084130000}"/>
    <cellStyle name="Calculation 2 3 20" xfId="8359" xr:uid="{00000000-0005-0000-0000-000085130000}"/>
    <cellStyle name="Calculation 2 3 21" xfId="8369" xr:uid="{00000000-0005-0000-0000-000086130000}"/>
    <cellStyle name="Calculation 2 3 22" xfId="8379" xr:uid="{00000000-0005-0000-0000-000087130000}"/>
    <cellStyle name="Calculation 2 3 23" xfId="8383" xr:uid="{00000000-0005-0000-0000-000088130000}"/>
    <cellStyle name="Calculation 2 3 24" xfId="8388" xr:uid="{00000000-0005-0000-0000-000089130000}"/>
    <cellStyle name="Calculation 2 3 25" xfId="8591" xr:uid="{00000000-0005-0000-0000-00008A130000}"/>
    <cellStyle name="Calculation 2 3 26" xfId="8593" xr:uid="{00000000-0005-0000-0000-00008B130000}"/>
    <cellStyle name="Calculation 2 3 27" xfId="8595" xr:uid="{00000000-0005-0000-0000-00008C130000}"/>
    <cellStyle name="Calculation 2 3 28" xfId="8597" xr:uid="{00000000-0005-0000-0000-00008D130000}"/>
    <cellStyle name="Calculation 2 3 29" xfId="8598" xr:uid="{00000000-0005-0000-0000-00008E130000}"/>
    <cellStyle name="Calculation 2 3 3" xfId="8599" xr:uid="{00000000-0005-0000-0000-00008F130000}"/>
    <cellStyle name="Calculation 2 3 3 10" xfId="8601" xr:uid="{00000000-0005-0000-0000-000090130000}"/>
    <cellStyle name="Calculation 2 3 3 10 2" xfId="8602" xr:uid="{00000000-0005-0000-0000-000091130000}"/>
    <cellStyle name="Calculation 2 3 3 10 2 2" xfId="8603" xr:uid="{00000000-0005-0000-0000-000092130000}"/>
    <cellStyle name="Calculation 2 3 3 10 2 3" xfId="8604" xr:uid="{00000000-0005-0000-0000-000093130000}"/>
    <cellStyle name="Calculation 2 3 3 10 2 4" xfId="8607" xr:uid="{00000000-0005-0000-0000-000094130000}"/>
    <cellStyle name="Calculation 2 3 3 10 3" xfId="8609" xr:uid="{00000000-0005-0000-0000-000095130000}"/>
    <cellStyle name="Calculation 2 3 3 10 3 2" xfId="8610" xr:uid="{00000000-0005-0000-0000-000096130000}"/>
    <cellStyle name="Calculation 2 3 3 10 3 3" xfId="8611" xr:uid="{00000000-0005-0000-0000-000097130000}"/>
    <cellStyle name="Calculation 2 3 3 10 3 4" xfId="8613" xr:uid="{00000000-0005-0000-0000-000098130000}"/>
    <cellStyle name="Calculation 2 3 3 10 4" xfId="8615" xr:uid="{00000000-0005-0000-0000-000099130000}"/>
    <cellStyle name="Calculation 2 3 3 10 4 2" xfId="8617" xr:uid="{00000000-0005-0000-0000-00009A130000}"/>
    <cellStyle name="Calculation 2 3 3 10 4 3" xfId="8618" xr:uid="{00000000-0005-0000-0000-00009B130000}"/>
    <cellStyle name="Calculation 2 3 3 10 5" xfId="8620" xr:uid="{00000000-0005-0000-0000-00009C130000}"/>
    <cellStyle name="Calculation 2 3 3 10 5 2" xfId="8622" xr:uid="{00000000-0005-0000-0000-00009D130000}"/>
    <cellStyle name="Calculation 2 3 3 10 5 3" xfId="8624" xr:uid="{00000000-0005-0000-0000-00009E130000}"/>
    <cellStyle name="Calculation 2 3 3 10 6" xfId="8626" xr:uid="{00000000-0005-0000-0000-00009F130000}"/>
    <cellStyle name="Calculation 2 3 3 10 7" xfId="8627" xr:uid="{00000000-0005-0000-0000-0000A0130000}"/>
    <cellStyle name="Calculation 2 3 3 11" xfId="8628" xr:uid="{00000000-0005-0000-0000-0000A1130000}"/>
    <cellStyle name="Calculation 2 3 3 11 2" xfId="8629" xr:uid="{00000000-0005-0000-0000-0000A2130000}"/>
    <cellStyle name="Calculation 2 3 3 11 3" xfId="8630" xr:uid="{00000000-0005-0000-0000-0000A3130000}"/>
    <cellStyle name="Calculation 2 3 3 11 4" xfId="8631" xr:uid="{00000000-0005-0000-0000-0000A4130000}"/>
    <cellStyle name="Calculation 2 3 3 12" xfId="8633" xr:uid="{00000000-0005-0000-0000-0000A5130000}"/>
    <cellStyle name="Calculation 2 3 3 12 2" xfId="8635" xr:uid="{00000000-0005-0000-0000-0000A6130000}"/>
    <cellStyle name="Calculation 2 3 3 12 3" xfId="8637" xr:uid="{00000000-0005-0000-0000-0000A7130000}"/>
    <cellStyle name="Calculation 2 3 3 12 4" xfId="8640" xr:uid="{00000000-0005-0000-0000-0000A8130000}"/>
    <cellStyle name="Calculation 2 3 3 13" xfId="8643" xr:uid="{00000000-0005-0000-0000-0000A9130000}"/>
    <cellStyle name="Calculation 2 3 3 13 2" xfId="8645" xr:uid="{00000000-0005-0000-0000-0000AA130000}"/>
    <cellStyle name="Calculation 2 3 3 13 3" xfId="8648" xr:uid="{00000000-0005-0000-0000-0000AB130000}"/>
    <cellStyle name="Calculation 2 3 3 14" xfId="8652" xr:uid="{00000000-0005-0000-0000-0000AC130000}"/>
    <cellStyle name="Calculation 2 3 3 14 2" xfId="8654" xr:uid="{00000000-0005-0000-0000-0000AD130000}"/>
    <cellStyle name="Calculation 2 3 3 14 3" xfId="8656" xr:uid="{00000000-0005-0000-0000-0000AE130000}"/>
    <cellStyle name="Calculation 2 3 3 15" xfId="8659" xr:uid="{00000000-0005-0000-0000-0000AF130000}"/>
    <cellStyle name="Calculation 2 3 3 16" xfId="8661" xr:uid="{00000000-0005-0000-0000-0000B0130000}"/>
    <cellStyle name="Calculation 2 3 3 17" xfId="8663" xr:uid="{00000000-0005-0000-0000-0000B1130000}"/>
    <cellStyle name="Calculation 2 3 3 18" xfId="8665" xr:uid="{00000000-0005-0000-0000-0000B2130000}"/>
    <cellStyle name="Calculation 2 3 3 2" xfId="8666" xr:uid="{00000000-0005-0000-0000-0000B3130000}"/>
    <cellStyle name="Calculation 2 3 3 2 2" xfId="8671" xr:uid="{00000000-0005-0000-0000-0000B4130000}"/>
    <cellStyle name="Calculation 2 3 3 2 2 2" xfId="4926" xr:uid="{00000000-0005-0000-0000-0000B5130000}"/>
    <cellStyle name="Calculation 2 3 3 2 2 3" xfId="8672" xr:uid="{00000000-0005-0000-0000-0000B6130000}"/>
    <cellStyle name="Calculation 2 3 3 2 2 4" xfId="8673" xr:uid="{00000000-0005-0000-0000-0000B7130000}"/>
    <cellStyle name="Calculation 2 3 3 2 3" xfId="8674" xr:uid="{00000000-0005-0000-0000-0000B8130000}"/>
    <cellStyle name="Calculation 2 3 3 2 3 2" xfId="4989" xr:uid="{00000000-0005-0000-0000-0000B9130000}"/>
    <cellStyle name="Calculation 2 3 3 2 3 3" xfId="8675" xr:uid="{00000000-0005-0000-0000-0000BA130000}"/>
    <cellStyle name="Calculation 2 3 3 2 3 4" xfId="8676" xr:uid="{00000000-0005-0000-0000-0000BB130000}"/>
    <cellStyle name="Calculation 2 3 3 2 4" xfId="8678" xr:uid="{00000000-0005-0000-0000-0000BC130000}"/>
    <cellStyle name="Calculation 2 3 3 2 4 2" xfId="8679" xr:uid="{00000000-0005-0000-0000-0000BD130000}"/>
    <cellStyle name="Calculation 2 3 3 2 4 3" xfId="8681" xr:uid="{00000000-0005-0000-0000-0000BE130000}"/>
    <cellStyle name="Calculation 2 3 3 2 5" xfId="8683" xr:uid="{00000000-0005-0000-0000-0000BF130000}"/>
    <cellStyle name="Calculation 2 3 3 2 5 2" xfId="8684" xr:uid="{00000000-0005-0000-0000-0000C0130000}"/>
    <cellStyle name="Calculation 2 3 3 2 5 3" xfId="8685" xr:uid="{00000000-0005-0000-0000-0000C1130000}"/>
    <cellStyle name="Calculation 2 3 3 2 6" xfId="8686" xr:uid="{00000000-0005-0000-0000-0000C2130000}"/>
    <cellStyle name="Calculation 2 3 3 2 7" xfId="8687" xr:uid="{00000000-0005-0000-0000-0000C3130000}"/>
    <cellStyle name="Calculation 2 3 3 3" xfId="8688" xr:uid="{00000000-0005-0000-0000-0000C4130000}"/>
    <cellStyle name="Calculation 2 3 3 3 2" xfId="8693" xr:uid="{00000000-0005-0000-0000-0000C5130000}"/>
    <cellStyle name="Calculation 2 3 3 3 2 2" xfId="4246" xr:uid="{00000000-0005-0000-0000-0000C6130000}"/>
    <cellStyle name="Calculation 2 3 3 3 2 3" xfId="8695" xr:uid="{00000000-0005-0000-0000-0000C7130000}"/>
    <cellStyle name="Calculation 2 3 3 3 2 4" xfId="8697" xr:uid="{00000000-0005-0000-0000-0000C8130000}"/>
    <cellStyle name="Calculation 2 3 3 3 3" xfId="8698" xr:uid="{00000000-0005-0000-0000-0000C9130000}"/>
    <cellStyle name="Calculation 2 3 3 3 3 2" xfId="5717" xr:uid="{00000000-0005-0000-0000-0000CA130000}"/>
    <cellStyle name="Calculation 2 3 3 3 3 3" xfId="8700" xr:uid="{00000000-0005-0000-0000-0000CB130000}"/>
    <cellStyle name="Calculation 2 3 3 3 3 4" xfId="8701" xr:uid="{00000000-0005-0000-0000-0000CC130000}"/>
    <cellStyle name="Calculation 2 3 3 3 4" xfId="8704" xr:uid="{00000000-0005-0000-0000-0000CD130000}"/>
    <cellStyle name="Calculation 2 3 3 3 4 2" xfId="8706" xr:uid="{00000000-0005-0000-0000-0000CE130000}"/>
    <cellStyle name="Calculation 2 3 3 3 4 3" xfId="8707" xr:uid="{00000000-0005-0000-0000-0000CF130000}"/>
    <cellStyle name="Calculation 2 3 3 3 5" xfId="8708" xr:uid="{00000000-0005-0000-0000-0000D0130000}"/>
    <cellStyle name="Calculation 2 3 3 3 5 2" xfId="8709" xr:uid="{00000000-0005-0000-0000-0000D1130000}"/>
    <cellStyle name="Calculation 2 3 3 3 5 3" xfId="8711" xr:uid="{00000000-0005-0000-0000-0000D2130000}"/>
    <cellStyle name="Calculation 2 3 3 3 6" xfId="8713" xr:uid="{00000000-0005-0000-0000-0000D3130000}"/>
    <cellStyle name="Calculation 2 3 3 3 7" xfId="8714" xr:uid="{00000000-0005-0000-0000-0000D4130000}"/>
    <cellStyle name="Calculation 2 3 3 4" xfId="8715" xr:uid="{00000000-0005-0000-0000-0000D5130000}"/>
    <cellStyle name="Calculation 2 3 3 4 2" xfId="8717" xr:uid="{00000000-0005-0000-0000-0000D6130000}"/>
    <cellStyle name="Calculation 2 3 3 4 2 2" xfId="8719" xr:uid="{00000000-0005-0000-0000-0000D7130000}"/>
    <cellStyle name="Calculation 2 3 3 4 2 3" xfId="8722" xr:uid="{00000000-0005-0000-0000-0000D8130000}"/>
    <cellStyle name="Calculation 2 3 3 4 2 4" xfId="8724" xr:uid="{00000000-0005-0000-0000-0000D9130000}"/>
    <cellStyle name="Calculation 2 3 3 4 3" xfId="8725" xr:uid="{00000000-0005-0000-0000-0000DA130000}"/>
    <cellStyle name="Calculation 2 3 3 4 3 2" xfId="8727" xr:uid="{00000000-0005-0000-0000-0000DB130000}"/>
    <cellStyle name="Calculation 2 3 3 4 3 3" xfId="8728" xr:uid="{00000000-0005-0000-0000-0000DC130000}"/>
    <cellStyle name="Calculation 2 3 3 4 3 4" xfId="8729" xr:uid="{00000000-0005-0000-0000-0000DD130000}"/>
    <cellStyle name="Calculation 2 3 3 4 4" xfId="8731" xr:uid="{00000000-0005-0000-0000-0000DE130000}"/>
    <cellStyle name="Calculation 2 3 3 4 4 2" xfId="8733" xr:uid="{00000000-0005-0000-0000-0000DF130000}"/>
    <cellStyle name="Calculation 2 3 3 4 4 3" xfId="8734" xr:uid="{00000000-0005-0000-0000-0000E0130000}"/>
    <cellStyle name="Calculation 2 3 3 4 5" xfId="8735" xr:uid="{00000000-0005-0000-0000-0000E1130000}"/>
    <cellStyle name="Calculation 2 3 3 4 5 2" xfId="8736" xr:uid="{00000000-0005-0000-0000-0000E2130000}"/>
    <cellStyle name="Calculation 2 3 3 4 5 3" xfId="8737" xr:uid="{00000000-0005-0000-0000-0000E3130000}"/>
    <cellStyle name="Calculation 2 3 3 4 6" xfId="8738" xr:uid="{00000000-0005-0000-0000-0000E4130000}"/>
    <cellStyle name="Calculation 2 3 3 4 7" xfId="8739" xr:uid="{00000000-0005-0000-0000-0000E5130000}"/>
    <cellStyle name="Calculation 2 3 3 5" xfId="8740" xr:uid="{00000000-0005-0000-0000-0000E6130000}"/>
    <cellStyle name="Calculation 2 3 3 5 2" xfId="8741" xr:uid="{00000000-0005-0000-0000-0000E7130000}"/>
    <cellStyle name="Calculation 2 3 3 5 2 2" xfId="8743" xr:uid="{00000000-0005-0000-0000-0000E8130000}"/>
    <cellStyle name="Calculation 2 3 3 5 2 3" xfId="8745" xr:uid="{00000000-0005-0000-0000-0000E9130000}"/>
    <cellStyle name="Calculation 2 3 3 5 2 4" xfId="8747" xr:uid="{00000000-0005-0000-0000-0000EA130000}"/>
    <cellStyle name="Calculation 2 3 3 5 3" xfId="8748" xr:uid="{00000000-0005-0000-0000-0000EB130000}"/>
    <cellStyle name="Calculation 2 3 3 5 3 2" xfId="8750" xr:uid="{00000000-0005-0000-0000-0000EC130000}"/>
    <cellStyle name="Calculation 2 3 3 5 3 3" xfId="8751" xr:uid="{00000000-0005-0000-0000-0000ED130000}"/>
    <cellStyle name="Calculation 2 3 3 5 3 4" xfId="8752" xr:uid="{00000000-0005-0000-0000-0000EE130000}"/>
    <cellStyle name="Calculation 2 3 3 5 4" xfId="8754" xr:uid="{00000000-0005-0000-0000-0000EF130000}"/>
    <cellStyle name="Calculation 2 3 3 5 4 2" xfId="8756" xr:uid="{00000000-0005-0000-0000-0000F0130000}"/>
    <cellStyle name="Calculation 2 3 3 5 4 3" xfId="8757" xr:uid="{00000000-0005-0000-0000-0000F1130000}"/>
    <cellStyle name="Calculation 2 3 3 5 5" xfId="8758" xr:uid="{00000000-0005-0000-0000-0000F2130000}"/>
    <cellStyle name="Calculation 2 3 3 5 5 2" xfId="8759" xr:uid="{00000000-0005-0000-0000-0000F3130000}"/>
    <cellStyle name="Calculation 2 3 3 5 5 3" xfId="8760" xr:uid="{00000000-0005-0000-0000-0000F4130000}"/>
    <cellStyle name="Calculation 2 3 3 5 6" xfId="8761" xr:uid="{00000000-0005-0000-0000-0000F5130000}"/>
    <cellStyle name="Calculation 2 3 3 5 7" xfId="8762" xr:uid="{00000000-0005-0000-0000-0000F6130000}"/>
    <cellStyle name="Calculation 2 3 3 6" xfId="8763" xr:uid="{00000000-0005-0000-0000-0000F7130000}"/>
    <cellStyle name="Calculation 2 3 3 6 2" xfId="8764" xr:uid="{00000000-0005-0000-0000-0000F8130000}"/>
    <cellStyle name="Calculation 2 3 3 6 2 2" xfId="8766" xr:uid="{00000000-0005-0000-0000-0000F9130000}"/>
    <cellStyle name="Calculation 2 3 3 6 2 3" xfId="8767" xr:uid="{00000000-0005-0000-0000-0000FA130000}"/>
    <cellStyle name="Calculation 2 3 3 6 2 4" xfId="8768" xr:uid="{00000000-0005-0000-0000-0000FB130000}"/>
    <cellStyle name="Calculation 2 3 3 6 3" xfId="2625" xr:uid="{00000000-0005-0000-0000-0000FC130000}"/>
    <cellStyle name="Calculation 2 3 3 6 3 2" xfId="8769" xr:uid="{00000000-0005-0000-0000-0000FD130000}"/>
    <cellStyle name="Calculation 2 3 3 6 3 3" xfId="8770" xr:uid="{00000000-0005-0000-0000-0000FE130000}"/>
    <cellStyle name="Calculation 2 3 3 6 3 4" xfId="8772" xr:uid="{00000000-0005-0000-0000-0000FF130000}"/>
    <cellStyle name="Calculation 2 3 3 6 4" xfId="2627" xr:uid="{00000000-0005-0000-0000-000000140000}"/>
    <cellStyle name="Calculation 2 3 3 6 4 2" xfId="8774" xr:uid="{00000000-0005-0000-0000-000001140000}"/>
    <cellStyle name="Calculation 2 3 3 6 4 3" xfId="8776" xr:uid="{00000000-0005-0000-0000-000002140000}"/>
    <cellStyle name="Calculation 2 3 3 6 5" xfId="8778" xr:uid="{00000000-0005-0000-0000-000003140000}"/>
    <cellStyle name="Calculation 2 3 3 6 5 2" xfId="8779" xr:uid="{00000000-0005-0000-0000-000004140000}"/>
    <cellStyle name="Calculation 2 3 3 6 5 3" xfId="8780" xr:uid="{00000000-0005-0000-0000-000005140000}"/>
    <cellStyle name="Calculation 2 3 3 6 6" xfId="8782" xr:uid="{00000000-0005-0000-0000-000006140000}"/>
    <cellStyle name="Calculation 2 3 3 6 7" xfId="8783" xr:uid="{00000000-0005-0000-0000-000007140000}"/>
    <cellStyle name="Calculation 2 3 3 7" xfId="8784" xr:uid="{00000000-0005-0000-0000-000008140000}"/>
    <cellStyle name="Calculation 2 3 3 7 2" xfId="8785" xr:uid="{00000000-0005-0000-0000-000009140000}"/>
    <cellStyle name="Calculation 2 3 3 7 2 2" xfId="8787" xr:uid="{00000000-0005-0000-0000-00000A140000}"/>
    <cellStyle name="Calculation 2 3 3 7 2 3" xfId="8788" xr:uid="{00000000-0005-0000-0000-00000B140000}"/>
    <cellStyle name="Calculation 2 3 3 7 2 4" xfId="8789" xr:uid="{00000000-0005-0000-0000-00000C140000}"/>
    <cellStyle name="Calculation 2 3 3 7 3" xfId="8790" xr:uid="{00000000-0005-0000-0000-00000D140000}"/>
    <cellStyle name="Calculation 2 3 3 7 3 2" xfId="8791" xr:uid="{00000000-0005-0000-0000-00000E140000}"/>
    <cellStyle name="Calculation 2 3 3 7 3 3" xfId="8792" xr:uid="{00000000-0005-0000-0000-00000F140000}"/>
    <cellStyle name="Calculation 2 3 3 7 3 4" xfId="8793" xr:uid="{00000000-0005-0000-0000-000010140000}"/>
    <cellStyle name="Calculation 2 3 3 7 4" xfId="8794" xr:uid="{00000000-0005-0000-0000-000011140000}"/>
    <cellStyle name="Calculation 2 3 3 7 4 2" xfId="8795" xr:uid="{00000000-0005-0000-0000-000012140000}"/>
    <cellStyle name="Calculation 2 3 3 7 4 3" xfId="8796" xr:uid="{00000000-0005-0000-0000-000013140000}"/>
    <cellStyle name="Calculation 2 3 3 7 5" xfId="8797" xr:uid="{00000000-0005-0000-0000-000014140000}"/>
    <cellStyle name="Calculation 2 3 3 7 5 2" xfId="8798" xr:uid="{00000000-0005-0000-0000-000015140000}"/>
    <cellStyle name="Calculation 2 3 3 7 5 3" xfId="8799" xr:uid="{00000000-0005-0000-0000-000016140000}"/>
    <cellStyle name="Calculation 2 3 3 7 6" xfId="8800" xr:uid="{00000000-0005-0000-0000-000017140000}"/>
    <cellStyle name="Calculation 2 3 3 7 7" xfId="8801" xr:uid="{00000000-0005-0000-0000-000018140000}"/>
    <cellStyle name="Calculation 2 3 3 8" xfId="8802" xr:uid="{00000000-0005-0000-0000-000019140000}"/>
    <cellStyle name="Calculation 2 3 3 8 2" xfId="8804" xr:uid="{00000000-0005-0000-0000-00001A140000}"/>
    <cellStyle name="Calculation 2 3 3 8 2 2" xfId="8807" xr:uid="{00000000-0005-0000-0000-00001B140000}"/>
    <cellStyle name="Calculation 2 3 3 8 2 3" xfId="8808" xr:uid="{00000000-0005-0000-0000-00001C140000}"/>
    <cellStyle name="Calculation 2 3 3 8 2 4" xfId="8809" xr:uid="{00000000-0005-0000-0000-00001D140000}"/>
    <cellStyle name="Calculation 2 3 3 8 3" xfId="8810" xr:uid="{00000000-0005-0000-0000-00001E140000}"/>
    <cellStyle name="Calculation 2 3 3 8 3 2" xfId="8812" xr:uid="{00000000-0005-0000-0000-00001F140000}"/>
    <cellStyle name="Calculation 2 3 3 8 3 3" xfId="8813" xr:uid="{00000000-0005-0000-0000-000020140000}"/>
    <cellStyle name="Calculation 2 3 3 8 3 4" xfId="8814" xr:uid="{00000000-0005-0000-0000-000021140000}"/>
    <cellStyle name="Calculation 2 3 3 8 4" xfId="8815" xr:uid="{00000000-0005-0000-0000-000022140000}"/>
    <cellStyle name="Calculation 2 3 3 8 4 2" xfId="2029" xr:uid="{00000000-0005-0000-0000-000023140000}"/>
    <cellStyle name="Calculation 2 3 3 8 4 3" xfId="1562" xr:uid="{00000000-0005-0000-0000-000024140000}"/>
    <cellStyle name="Calculation 2 3 3 8 5" xfId="8817" xr:uid="{00000000-0005-0000-0000-000025140000}"/>
    <cellStyle name="Calculation 2 3 3 8 5 2" xfId="4491" xr:uid="{00000000-0005-0000-0000-000026140000}"/>
    <cellStyle name="Calculation 2 3 3 8 5 3" xfId="4770" xr:uid="{00000000-0005-0000-0000-000027140000}"/>
    <cellStyle name="Calculation 2 3 3 8 6" xfId="8819" xr:uid="{00000000-0005-0000-0000-000028140000}"/>
    <cellStyle name="Calculation 2 3 3 8 7" xfId="6340" xr:uid="{00000000-0005-0000-0000-000029140000}"/>
    <cellStyle name="Calculation 2 3 3 9" xfId="8820" xr:uid="{00000000-0005-0000-0000-00002A140000}"/>
    <cellStyle name="Calculation 2 3 3 9 2" xfId="2348" xr:uid="{00000000-0005-0000-0000-00002B140000}"/>
    <cellStyle name="Calculation 2 3 3 9 2 2" xfId="8822" xr:uid="{00000000-0005-0000-0000-00002C140000}"/>
    <cellStyle name="Calculation 2 3 3 9 2 3" xfId="8823" xr:uid="{00000000-0005-0000-0000-00002D140000}"/>
    <cellStyle name="Calculation 2 3 3 9 2 4" xfId="8824" xr:uid="{00000000-0005-0000-0000-00002E140000}"/>
    <cellStyle name="Calculation 2 3 3 9 3" xfId="2351" xr:uid="{00000000-0005-0000-0000-00002F140000}"/>
    <cellStyle name="Calculation 2 3 3 9 3 2" xfId="8826" xr:uid="{00000000-0005-0000-0000-000030140000}"/>
    <cellStyle name="Calculation 2 3 3 9 3 3" xfId="8827" xr:uid="{00000000-0005-0000-0000-000031140000}"/>
    <cellStyle name="Calculation 2 3 3 9 3 4" xfId="8828" xr:uid="{00000000-0005-0000-0000-000032140000}"/>
    <cellStyle name="Calculation 2 3 3 9 4" xfId="2355" xr:uid="{00000000-0005-0000-0000-000033140000}"/>
    <cellStyle name="Calculation 2 3 3 9 4 2" xfId="8830" xr:uid="{00000000-0005-0000-0000-000034140000}"/>
    <cellStyle name="Calculation 2 3 3 9 4 3" xfId="8831" xr:uid="{00000000-0005-0000-0000-000035140000}"/>
    <cellStyle name="Calculation 2 3 3 9 5" xfId="2358" xr:uid="{00000000-0005-0000-0000-000036140000}"/>
    <cellStyle name="Calculation 2 3 3 9 5 2" xfId="2191" xr:uid="{00000000-0005-0000-0000-000037140000}"/>
    <cellStyle name="Calculation 2 3 3 9 5 3" xfId="2366" xr:uid="{00000000-0005-0000-0000-000038140000}"/>
    <cellStyle name="Calculation 2 3 3 9 6" xfId="2369" xr:uid="{00000000-0005-0000-0000-000039140000}"/>
    <cellStyle name="Calculation 2 3 3 9 7" xfId="2372" xr:uid="{00000000-0005-0000-0000-00003A140000}"/>
    <cellStyle name="Calculation 2 3 30" xfId="8592" xr:uid="{00000000-0005-0000-0000-00003B140000}"/>
    <cellStyle name="Calculation 2 3 31" xfId="8594" xr:uid="{00000000-0005-0000-0000-00003C140000}"/>
    <cellStyle name="Calculation 2 3 32" xfId="8596" xr:uid="{00000000-0005-0000-0000-00003D140000}"/>
    <cellStyle name="Calculation 2 3 4" xfId="8832" xr:uid="{00000000-0005-0000-0000-00003E140000}"/>
    <cellStyle name="Calculation 2 3 4 2" xfId="8834" xr:uid="{00000000-0005-0000-0000-00003F140000}"/>
    <cellStyle name="Calculation 2 3 4 2 2" xfId="8836" xr:uid="{00000000-0005-0000-0000-000040140000}"/>
    <cellStyle name="Calculation 2 3 4 2 2 2" xfId="8839" xr:uid="{00000000-0005-0000-0000-000041140000}"/>
    <cellStyle name="Calculation 2 3 4 2 2 2 2" xfId="8842" xr:uid="{00000000-0005-0000-0000-000042140000}"/>
    <cellStyle name="Calculation 2 3 4 2 2 2 2 2" xfId="8845" xr:uid="{00000000-0005-0000-0000-000043140000}"/>
    <cellStyle name="Calculation 2 3 4 2 2 2 2 2 2" xfId="3081" xr:uid="{00000000-0005-0000-0000-000044140000}"/>
    <cellStyle name="Calculation 2 3 4 2 2 2 2 2 2 2" xfId="8847" xr:uid="{00000000-0005-0000-0000-000045140000}"/>
    <cellStyle name="Calculation 2 3 4 2 2 2 2 3" xfId="8851" xr:uid="{00000000-0005-0000-0000-000046140000}"/>
    <cellStyle name="Calculation 2 3 4 2 2 2 3" xfId="8853" xr:uid="{00000000-0005-0000-0000-000047140000}"/>
    <cellStyle name="Calculation 2 3 4 2 3" xfId="8856" xr:uid="{00000000-0005-0000-0000-000048140000}"/>
    <cellStyle name="Calculation 2 3 4 2 3 2" xfId="8858" xr:uid="{00000000-0005-0000-0000-000049140000}"/>
    <cellStyle name="Calculation 2 3 4 2 3 2 2" xfId="8860" xr:uid="{00000000-0005-0000-0000-00004A140000}"/>
    <cellStyle name="Calculation 2 3 4 2 4" xfId="8863" xr:uid="{00000000-0005-0000-0000-00004B140000}"/>
    <cellStyle name="Calculation 2 3 4 3" xfId="8864" xr:uid="{00000000-0005-0000-0000-00004C140000}"/>
    <cellStyle name="Calculation 2 3 4 3 2" xfId="8867" xr:uid="{00000000-0005-0000-0000-00004D140000}"/>
    <cellStyle name="Calculation 2 3 4 3 2 2" xfId="8869" xr:uid="{00000000-0005-0000-0000-00004E140000}"/>
    <cellStyle name="Calculation 2 3 4 3 3" xfId="8871" xr:uid="{00000000-0005-0000-0000-00004F140000}"/>
    <cellStyle name="Calculation 2 3 4 3 4" xfId="8872" xr:uid="{00000000-0005-0000-0000-000050140000}"/>
    <cellStyle name="Calculation 2 3 4 4" xfId="8873" xr:uid="{00000000-0005-0000-0000-000051140000}"/>
    <cellStyle name="Calculation 2 3 4 4 2" xfId="8875" xr:uid="{00000000-0005-0000-0000-000052140000}"/>
    <cellStyle name="Calculation 2 3 4 4 3" xfId="8876" xr:uid="{00000000-0005-0000-0000-000053140000}"/>
    <cellStyle name="Calculation 2 3 4 5" xfId="8877" xr:uid="{00000000-0005-0000-0000-000054140000}"/>
    <cellStyle name="Calculation 2 3 4 5 2" xfId="8878" xr:uid="{00000000-0005-0000-0000-000055140000}"/>
    <cellStyle name="Calculation 2 3 4 5 3" xfId="8880" xr:uid="{00000000-0005-0000-0000-000056140000}"/>
    <cellStyle name="Calculation 2 3 4 6" xfId="8881" xr:uid="{00000000-0005-0000-0000-000057140000}"/>
    <cellStyle name="Calculation 2 3 4 6 2" xfId="8882" xr:uid="{00000000-0005-0000-0000-000058140000}"/>
    <cellStyle name="Calculation 2 3 4 6 2 2" xfId="8884" xr:uid="{00000000-0005-0000-0000-000059140000}"/>
    <cellStyle name="Calculation 2 3 4 7" xfId="8885" xr:uid="{00000000-0005-0000-0000-00005A140000}"/>
    <cellStyle name="Calculation 2 3 4 8" xfId="8886" xr:uid="{00000000-0005-0000-0000-00005B140000}"/>
    <cellStyle name="Calculation 2 3 5" xfId="8888" xr:uid="{00000000-0005-0000-0000-00005C140000}"/>
    <cellStyle name="Calculation 2 3 5 2" xfId="8891" xr:uid="{00000000-0005-0000-0000-00005D140000}"/>
    <cellStyle name="Calculation 2 3 5 2 2" xfId="8893" xr:uid="{00000000-0005-0000-0000-00005E140000}"/>
    <cellStyle name="Calculation 2 3 5 2 3" xfId="8895" xr:uid="{00000000-0005-0000-0000-00005F140000}"/>
    <cellStyle name="Calculation 2 3 5 2 4" xfId="8896" xr:uid="{00000000-0005-0000-0000-000060140000}"/>
    <cellStyle name="Calculation 2 3 5 3" xfId="8898" xr:uid="{00000000-0005-0000-0000-000061140000}"/>
    <cellStyle name="Calculation 2 3 5 3 2" xfId="8899" xr:uid="{00000000-0005-0000-0000-000062140000}"/>
    <cellStyle name="Calculation 2 3 5 3 3" xfId="8900" xr:uid="{00000000-0005-0000-0000-000063140000}"/>
    <cellStyle name="Calculation 2 3 5 3 4" xfId="8902" xr:uid="{00000000-0005-0000-0000-000064140000}"/>
    <cellStyle name="Calculation 2 3 5 4" xfId="8904" xr:uid="{00000000-0005-0000-0000-000065140000}"/>
    <cellStyle name="Calculation 2 3 5 4 2" xfId="8905" xr:uid="{00000000-0005-0000-0000-000066140000}"/>
    <cellStyle name="Calculation 2 3 5 4 3" xfId="8906" xr:uid="{00000000-0005-0000-0000-000067140000}"/>
    <cellStyle name="Calculation 2 3 5 5" xfId="8907" xr:uid="{00000000-0005-0000-0000-000068140000}"/>
    <cellStyle name="Calculation 2 3 5 5 2" xfId="8909" xr:uid="{00000000-0005-0000-0000-000069140000}"/>
    <cellStyle name="Calculation 2 3 5 5 3" xfId="8911" xr:uid="{00000000-0005-0000-0000-00006A140000}"/>
    <cellStyle name="Calculation 2 3 5 6" xfId="8913" xr:uid="{00000000-0005-0000-0000-00006B140000}"/>
    <cellStyle name="Calculation 2 3 5 6 2" xfId="8915" xr:uid="{00000000-0005-0000-0000-00006C140000}"/>
    <cellStyle name="Calculation 2 3 5 6 2 2" xfId="8918" xr:uid="{00000000-0005-0000-0000-00006D140000}"/>
    <cellStyle name="Calculation 2 3 5 7" xfId="8920" xr:uid="{00000000-0005-0000-0000-00006E140000}"/>
    <cellStyle name="Calculation 2 3 5 8" xfId="8922" xr:uid="{00000000-0005-0000-0000-00006F140000}"/>
    <cellStyle name="Calculation 2 3 6" xfId="8925" xr:uid="{00000000-0005-0000-0000-000070140000}"/>
    <cellStyle name="Calculation 2 3 6 2" xfId="8928" xr:uid="{00000000-0005-0000-0000-000071140000}"/>
    <cellStyle name="Calculation 2 3 6 2 2" xfId="8930" xr:uid="{00000000-0005-0000-0000-000072140000}"/>
    <cellStyle name="Calculation 2 3 6 2 3" xfId="8932" xr:uid="{00000000-0005-0000-0000-000073140000}"/>
    <cellStyle name="Calculation 2 3 6 2 4" xfId="8933" xr:uid="{00000000-0005-0000-0000-000074140000}"/>
    <cellStyle name="Calculation 2 3 6 3" xfId="215" xr:uid="{00000000-0005-0000-0000-000075140000}"/>
    <cellStyle name="Calculation 2 3 6 3 2" xfId="208" xr:uid="{00000000-0005-0000-0000-000076140000}"/>
    <cellStyle name="Calculation 2 3 6 3 3" xfId="210" xr:uid="{00000000-0005-0000-0000-000077140000}"/>
    <cellStyle name="Calculation 2 3 6 3 4" xfId="196" xr:uid="{00000000-0005-0000-0000-000078140000}"/>
    <cellStyle name="Calculation 2 3 6 4" xfId="255" xr:uid="{00000000-0005-0000-0000-000079140000}"/>
    <cellStyle name="Calculation 2 3 6 4 2" xfId="8935" xr:uid="{00000000-0005-0000-0000-00007A140000}"/>
    <cellStyle name="Calculation 2 3 6 4 3" xfId="8936" xr:uid="{00000000-0005-0000-0000-00007B140000}"/>
    <cellStyle name="Calculation 2 3 6 5" xfId="268" xr:uid="{00000000-0005-0000-0000-00007C140000}"/>
    <cellStyle name="Calculation 2 3 6 5 2" xfId="276" xr:uid="{00000000-0005-0000-0000-00007D140000}"/>
    <cellStyle name="Calculation 2 3 6 5 3" xfId="303" xr:uid="{00000000-0005-0000-0000-00007E140000}"/>
    <cellStyle name="Calculation 2 3 6 6" xfId="306" xr:uid="{00000000-0005-0000-0000-00007F140000}"/>
    <cellStyle name="Calculation 2 3 6 6 2" xfId="8937" xr:uid="{00000000-0005-0000-0000-000080140000}"/>
    <cellStyle name="Calculation 2 3 6 6 2 2" xfId="8941" xr:uid="{00000000-0005-0000-0000-000081140000}"/>
    <cellStyle name="Calculation 2 3 6 7" xfId="311" xr:uid="{00000000-0005-0000-0000-000082140000}"/>
    <cellStyle name="Calculation 2 3 6 8" xfId="316" xr:uid="{00000000-0005-0000-0000-000083140000}"/>
    <cellStyle name="Calculation 2 3 7" xfId="8943" xr:uid="{00000000-0005-0000-0000-000084140000}"/>
    <cellStyle name="Calculation 2 3 7 2" xfId="8946" xr:uid="{00000000-0005-0000-0000-000085140000}"/>
    <cellStyle name="Calculation 2 3 7 2 2" xfId="8948" xr:uid="{00000000-0005-0000-0000-000086140000}"/>
    <cellStyle name="Calculation 2 3 7 2 3" xfId="8950" xr:uid="{00000000-0005-0000-0000-000087140000}"/>
    <cellStyle name="Calculation 2 3 7 2 4" xfId="8951" xr:uid="{00000000-0005-0000-0000-000088140000}"/>
    <cellStyle name="Calculation 2 3 7 3" xfId="8953" xr:uid="{00000000-0005-0000-0000-000089140000}"/>
    <cellStyle name="Calculation 2 3 7 3 2" xfId="8955" xr:uid="{00000000-0005-0000-0000-00008A140000}"/>
    <cellStyle name="Calculation 2 3 7 3 3" xfId="8956" xr:uid="{00000000-0005-0000-0000-00008B140000}"/>
    <cellStyle name="Calculation 2 3 7 3 4" xfId="8957" xr:uid="{00000000-0005-0000-0000-00008C140000}"/>
    <cellStyle name="Calculation 2 3 7 4" xfId="8959" xr:uid="{00000000-0005-0000-0000-00008D140000}"/>
    <cellStyle name="Calculation 2 3 7 4 2" xfId="8961" xr:uid="{00000000-0005-0000-0000-00008E140000}"/>
    <cellStyle name="Calculation 2 3 7 4 3" xfId="8962" xr:uid="{00000000-0005-0000-0000-00008F140000}"/>
    <cellStyle name="Calculation 2 3 7 5" xfId="8963" xr:uid="{00000000-0005-0000-0000-000090140000}"/>
    <cellStyle name="Calculation 2 3 7 5 2" xfId="8965" xr:uid="{00000000-0005-0000-0000-000091140000}"/>
    <cellStyle name="Calculation 2 3 7 5 3" xfId="8968" xr:uid="{00000000-0005-0000-0000-000092140000}"/>
    <cellStyle name="Calculation 2 3 7 6" xfId="8972" xr:uid="{00000000-0005-0000-0000-000093140000}"/>
    <cellStyle name="Calculation 2 3 7 6 2" xfId="8975" xr:uid="{00000000-0005-0000-0000-000094140000}"/>
    <cellStyle name="Calculation 2 3 7 6 2 2" xfId="2569" xr:uid="{00000000-0005-0000-0000-000095140000}"/>
    <cellStyle name="Calculation 2 3 7 7" xfId="8978" xr:uid="{00000000-0005-0000-0000-000096140000}"/>
    <cellStyle name="Calculation 2 3 7 8" xfId="8980" xr:uid="{00000000-0005-0000-0000-000097140000}"/>
    <cellStyle name="Calculation 2 3 8" xfId="8983" xr:uid="{00000000-0005-0000-0000-000098140000}"/>
    <cellStyle name="Calculation 2 3 8 2" xfId="8985" xr:uid="{00000000-0005-0000-0000-000099140000}"/>
    <cellStyle name="Calculation 2 3 8 2 2" xfId="8987" xr:uid="{00000000-0005-0000-0000-00009A140000}"/>
    <cellStyle name="Calculation 2 3 8 2 3" xfId="8991" xr:uid="{00000000-0005-0000-0000-00009B140000}"/>
    <cellStyle name="Calculation 2 3 8 2 4" xfId="8994" xr:uid="{00000000-0005-0000-0000-00009C140000}"/>
    <cellStyle name="Calculation 2 3 8 3" xfId="8997" xr:uid="{00000000-0005-0000-0000-00009D140000}"/>
    <cellStyle name="Calculation 2 3 8 3 2" xfId="9000" xr:uid="{00000000-0005-0000-0000-00009E140000}"/>
    <cellStyle name="Calculation 2 3 8 3 3" xfId="9002" xr:uid="{00000000-0005-0000-0000-00009F140000}"/>
    <cellStyle name="Calculation 2 3 8 3 4" xfId="9004" xr:uid="{00000000-0005-0000-0000-0000A0140000}"/>
    <cellStyle name="Calculation 2 3 8 4" xfId="9007" xr:uid="{00000000-0005-0000-0000-0000A1140000}"/>
    <cellStyle name="Calculation 2 3 8 4 2" xfId="9010" xr:uid="{00000000-0005-0000-0000-0000A2140000}"/>
    <cellStyle name="Calculation 2 3 8 4 3" xfId="9012" xr:uid="{00000000-0005-0000-0000-0000A3140000}"/>
    <cellStyle name="Calculation 2 3 8 5" xfId="9014" xr:uid="{00000000-0005-0000-0000-0000A4140000}"/>
    <cellStyle name="Calculation 2 3 8 5 2" xfId="9016" xr:uid="{00000000-0005-0000-0000-0000A5140000}"/>
    <cellStyle name="Calculation 2 3 8 5 3" xfId="9019" xr:uid="{00000000-0005-0000-0000-0000A6140000}"/>
    <cellStyle name="Calculation 2 3 8 6" xfId="9022" xr:uid="{00000000-0005-0000-0000-0000A7140000}"/>
    <cellStyle name="Calculation 2 3 8 6 2" xfId="9024" xr:uid="{00000000-0005-0000-0000-0000A8140000}"/>
    <cellStyle name="Calculation 2 3 8 6 2 2" xfId="704" xr:uid="{00000000-0005-0000-0000-0000A9140000}"/>
    <cellStyle name="Calculation 2 3 8 7" xfId="9027" xr:uid="{00000000-0005-0000-0000-0000AA140000}"/>
    <cellStyle name="Calculation 2 3 8 8" xfId="9029" xr:uid="{00000000-0005-0000-0000-0000AB140000}"/>
    <cellStyle name="Calculation 2 3 9" xfId="9032" xr:uid="{00000000-0005-0000-0000-0000AC140000}"/>
    <cellStyle name="Calculation 2 3 9 2" xfId="9035" xr:uid="{00000000-0005-0000-0000-0000AD140000}"/>
    <cellStyle name="Calculation 2 3 9 2 2" xfId="9037" xr:uid="{00000000-0005-0000-0000-0000AE140000}"/>
    <cellStyle name="Calculation 2 3 9 2 3" xfId="9041" xr:uid="{00000000-0005-0000-0000-0000AF140000}"/>
    <cellStyle name="Calculation 2 3 9 2 4" xfId="9045" xr:uid="{00000000-0005-0000-0000-0000B0140000}"/>
    <cellStyle name="Calculation 2 3 9 3" xfId="9049" xr:uid="{00000000-0005-0000-0000-0000B1140000}"/>
    <cellStyle name="Calculation 2 3 9 3 2" xfId="9052" xr:uid="{00000000-0005-0000-0000-0000B2140000}"/>
    <cellStyle name="Calculation 2 3 9 3 3" xfId="9055" xr:uid="{00000000-0005-0000-0000-0000B3140000}"/>
    <cellStyle name="Calculation 2 3 9 3 4" xfId="9059" xr:uid="{00000000-0005-0000-0000-0000B4140000}"/>
    <cellStyle name="Calculation 2 3 9 4" xfId="9063" xr:uid="{00000000-0005-0000-0000-0000B5140000}"/>
    <cellStyle name="Calculation 2 3 9 4 2" xfId="9066" xr:uid="{00000000-0005-0000-0000-0000B6140000}"/>
    <cellStyle name="Calculation 2 3 9 4 3" xfId="9069" xr:uid="{00000000-0005-0000-0000-0000B7140000}"/>
    <cellStyle name="Calculation 2 3 9 5" xfId="9072" xr:uid="{00000000-0005-0000-0000-0000B8140000}"/>
    <cellStyle name="Calculation 2 3 9 5 2" xfId="9075" xr:uid="{00000000-0005-0000-0000-0000B9140000}"/>
    <cellStyle name="Calculation 2 3 9 5 3" xfId="9080" xr:uid="{00000000-0005-0000-0000-0000BA140000}"/>
    <cellStyle name="Calculation 2 3 9 6" xfId="9084" xr:uid="{00000000-0005-0000-0000-0000BB140000}"/>
    <cellStyle name="Calculation 2 3 9 6 2" xfId="9087" xr:uid="{00000000-0005-0000-0000-0000BC140000}"/>
    <cellStyle name="Calculation 2 3 9 6 2 2" xfId="9091" xr:uid="{00000000-0005-0000-0000-0000BD140000}"/>
    <cellStyle name="Calculation 2 3 9 7" xfId="9092" xr:uid="{00000000-0005-0000-0000-0000BE140000}"/>
    <cellStyle name="Calculation 2 3 9 8" xfId="9095" xr:uid="{00000000-0005-0000-0000-0000BF140000}"/>
    <cellStyle name="Calculation 2 30" xfId="8208" xr:uid="{00000000-0005-0000-0000-0000C0140000}"/>
    <cellStyle name="Calculation 2 30 2" xfId="8211" xr:uid="{00000000-0005-0000-0000-0000C1140000}"/>
    <cellStyle name="Calculation 2 30 3" xfId="8220" xr:uid="{00000000-0005-0000-0000-0000C2140000}"/>
    <cellStyle name="Calculation 2 31" xfId="8236" xr:uid="{00000000-0005-0000-0000-0000C3140000}"/>
    <cellStyle name="Calculation 2 31 2" xfId="8239" xr:uid="{00000000-0005-0000-0000-0000C4140000}"/>
    <cellStyle name="Calculation 2 32" xfId="8245" xr:uid="{00000000-0005-0000-0000-0000C5140000}"/>
    <cellStyle name="Calculation 2 32 2" xfId="8249" xr:uid="{00000000-0005-0000-0000-0000C6140000}"/>
    <cellStyle name="Calculation 2 33" xfId="8255" xr:uid="{00000000-0005-0000-0000-0000C7140000}"/>
    <cellStyle name="Calculation 2 34" xfId="8262" xr:uid="{00000000-0005-0000-0000-0000C8140000}"/>
    <cellStyle name="Calculation 2 4" xfId="9099" xr:uid="{00000000-0005-0000-0000-0000C9140000}"/>
    <cellStyle name="Calculation 2 4 10" xfId="9100" xr:uid="{00000000-0005-0000-0000-0000CA140000}"/>
    <cellStyle name="Calculation 2 4 10 2" xfId="9101" xr:uid="{00000000-0005-0000-0000-0000CB140000}"/>
    <cellStyle name="Calculation 2 4 10 2 2" xfId="9102" xr:uid="{00000000-0005-0000-0000-0000CC140000}"/>
    <cellStyle name="Calculation 2 4 10 2 3" xfId="9103" xr:uid="{00000000-0005-0000-0000-0000CD140000}"/>
    <cellStyle name="Calculation 2 4 10 2 4" xfId="9104" xr:uid="{00000000-0005-0000-0000-0000CE140000}"/>
    <cellStyle name="Calculation 2 4 10 3" xfId="9105" xr:uid="{00000000-0005-0000-0000-0000CF140000}"/>
    <cellStyle name="Calculation 2 4 10 3 2" xfId="9107" xr:uid="{00000000-0005-0000-0000-0000D0140000}"/>
    <cellStyle name="Calculation 2 4 10 3 3" xfId="9108" xr:uid="{00000000-0005-0000-0000-0000D1140000}"/>
    <cellStyle name="Calculation 2 4 10 3 4" xfId="9109" xr:uid="{00000000-0005-0000-0000-0000D2140000}"/>
    <cellStyle name="Calculation 2 4 10 4" xfId="9110" xr:uid="{00000000-0005-0000-0000-0000D3140000}"/>
    <cellStyle name="Calculation 2 4 10 4 2" xfId="9112" xr:uid="{00000000-0005-0000-0000-0000D4140000}"/>
    <cellStyle name="Calculation 2 4 10 4 3" xfId="9113" xr:uid="{00000000-0005-0000-0000-0000D5140000}"/>
    <cellStyle name="Calculation 2 4 10 5" xfId="7675" xr:uid="{00000000-0005-0000-0000-0000D6140000}"/>
    <cellStyle name="Calculation 2 4 10 5 2" xfId="7678" xr:uid="{00000000-0005-0000-0000-0000D7140000}"/>
    <cellStyle name="Calculation 2 4 10 5 3" xfId="7680" xr:uid="{00000000-0005-0000-0000-0000D8140000}"/>
    <cellStyle name="Calculation 2 4 10 6" xfId="7683" xr:uid="{00000000-0005-0000-0000-0000D9140000}"/>
    <cellStyle name="Calculation 2 4 10 7" xfId="7690" xr:uid="{00000000-0005-0000-0000-0000DA140000}"/>
    <cellStyle name="Calculation 2 4 10 8" xfId="7694" xr:uid="{00000000-0005-0000-0000-0000DB140000}"/>
    <cellStyle name="Calculation 2 4 11" xfId="9114" xr:uid="{00000000-0005-0000-0000-0000DC140000}"/>
    <cellStyle name="Calculation 2 4 11 2" xfId="9115" xr:uid="{00000000-0005-0000-0000-0000DD140000}"/>
    <cellStyle name="Calculation 2 4 11 2 2" xfId="9116" xr:uid="{00000000-0005-0000-0000-0000DE140000}"/>
    <cellStyle name="Calculation 2 4 11 2 3" xfId="9117" xr:uid="{00000000-0005-0000-0000-0000DF140000}"/>
    <cellStyle name="Calculation 2 4 11 2 4" xfId="9118" xr:uid="{00000000-0005-0000-0000-0000E0140000}"/>
    <cellStyle name="Calculation 2 4 11 3" xfId="9119" xr:uid="{00000000-0005-0000-0000-0000E1140000}"/>
    <cellStyle name="Calculation 2 4 11 3 2" xfId="9121" xr:uid="{00000000-0005-0000-0000-0000E2140000}"/>
    <cellStyle name="Calculation 2 4 11 3 3" xfId="9122" xr:uid="{00000000-0005-0000-0000-0000E3140000}"/>
    <cellStyle name="Calculation 2 4 11 3 4" xfId="9123" xr:uid="{00000000-0005-0000-0000-0000E4140000}"/>
    <cellStyle name="Calculation 2 4 11 4" xfId="9124" xr:uid="{00000000-0005-0000-0000-0000E5140000}"/>
    <cellStyle name="Calculation 2 4 11 4 2" xfId="7590" xr:uid="{00000000-0005-0000-0000-0000E6140000}"/>
    <cellStyle name="Calculation 2 4 11 4 3" xfId="7599" xr:uid="{00000000-0005-0000-0000-0000E7140000}"/>
    <cellStyle name="Calculation 2 4 11 5" xfId="7707" xr:uid="{00000000-0005-0000-0000-0000E8140000}"/>
    <cellStyle name="Calculation 2 4 11 5 2" xfId="7710" xr:uid="{00000000-0005-0000-0000-0000E9140000}"/>
    <cellStyle name="Calculation 2 4 11 5 3" xfId="7712" xr:uid="{00000000-0005-0000-0000-0000EA140000}"/>
    <cellStyle name="Calculation 2 4 11 6" xfId="7715" xr:uid="{00000000-0005-0000-0000-0000EB140000}"/>
    <cellStyle name="Calculation 2 4 11 7" xfId="7727" xr:uid="{00000000-0005-0000-0000-0000EC140000}"/>
    <cellStyle name="Calculation 2 4 11 8" xfId="7732" xr:uid="{00000000-0005-0000-0000-0000ED140000}"/>
    <cellStyle name="Calculation 2 4 12" xfId="9126" xr:uid="{00000000-0005-0000-0000-0000EE140000}"/>
    <cellStyle name="Calculation 2 4 12 2" xfId="9127" xr:uid="{00000000-0005-0000-0000-0000EF140000}"/>
    <cellStyle name="Calculation 2 4 12 2 2" xfId="9128" xr:uid="{00000000-0005-0000-0000-0000F0140000}"/>
    <cellStyle name="Calculation 2 4 12 2 3" xfId="9129" xr:uid="{00000000-0005-0000-0000-0000F1140000}"/>
    <cellStyle name="Calculation 2 4 12 2 4" xfId="9131" xr:uid="{00000000-0005-0000-0000-0000F2140000}"/>
    <cellStyle name="Calculation 2 4 12 3" xfId="9133" xr:uid="{00000000-0005-0000-0000-0000F3140000}"/>
    <cellStyle name="Calculation 2 4 12 3 2" xfId="9134" xr:uid="{00000000-0005-0000-0000-0000F4140000}"/>
    <cellStyle name="Calculation 2 4 12 3 3" xfId="9137" xr:uid="{00000000-0005-0000-0000-0000F5140000}"/>
    <cellStyle name="Calculation 2 4 12 3 4" xfId="9141" xr:uid="{00000000-0005-0000-0000-0000F6140000}"/>
    <cellStyle name="Calculation 2 4 12 4" xfId="9145" xr:uid="{00000000-0005-0000-0000-0000F7140000}"/>
    <cellStyle name="Calculation 2 4 12 4 2" xfId="9146" xr:uid="{00000000-0005-0000-0000-0000F8140000}"/>
    <cellStyle name="Calculation 2 4 12 4 3" xfId="9147" xr:uid="{00000000-0005-0000-0000-0000F9140000}"/>
    <cellStyle name="Calculation 2 4 12 5" xfId="7743" xr:uid="{00000000-0005-0000-0000-0000FA140000}"/>
    <cellStyle name="Calculation 2 4 12 5 2" xfId="7745" xr:uid="{00000000-0005-0000-0000-0000FB140000}"/>
    <cellStyle name="Calculation 2 4 12 5 3" xfId="7754" xr:uid="{00000000-0005-0000-0000-0000FC140000}"/>
    <cellStyle name="Calculation 2 4 12 6" xfId="7759" xr:uid="{00000000-0005-0000-0000-0000FD140000}"/>
    <cellStyle name="Calculation 2 4 12 7" xfId="7770" xr:uid="{00000000-0005-0000-0000-0000FE140000}"/>
    <cellStyle name="Calculation 2 4 12 8" xfId="7778" xr:uid="{00000000-0005-0000-0000-0000FF140000}"/>
    <cellStyle name="Calculation 2 4 13" xfId="9149" xr:uid="{00000000-0005-0000-0000-000000150000}"/>
    <cellStyle name="Calculation 2 4 13 2" xfId="9150" xr:uid="{00000000-0005-0000-0000-000001150000}"/>
    <cellStyle name="Calculation 2 4 13 3" xfId="4001" xr:uid="{00000000-0005-0000-0000-000002150000}"/>
    <cellStyle name="Calculation 2 4 13 4" xfId="2985" xr:uid="{00000000-0005-0000-0000-000003150000}"/>
    <cellStyle name="Calculation 2 4 13 5" xfId="2989" xr:uid="{00000000-0005-0000-0000-000004150000}"/>
    <cellStyle name="Calculation 2 4 14" xfId="9151" xr:uid="{00000000-0005-0000-0000-000005150000}"/>
    <cellStyle name="Calculation 2 4 14 2" xfId="9152" xr:uid="{00000000-0005-0000-0000-000006150000}"/>
    <cellStyle name="Calculation 2 4 14 3" xfId="9154" xr:uid="{00000000-0005-0000-0000-000007150000}"/>
    <cellStyle name="Calculation 2 4 14 4" xfId="9159" xr:uid="{00000000-0005-0000-0000-000008150000}"/>
    <cellStyle name="Calculation 2 4 14 5" xfId="7798" xr:uid="{00000000-0005-0000-0000-000009150000}"/>
    <cellStyle name="Calculation 2 4 15" xfId="9163" xr:uid="{00000000-0005-0000-0000-00000A150000}"/>
    <cellStyle name="Calculation 2 4 15 2" xfId="9166" xr:uid="{00000000-0005-0000-0000-00000B150000}"/>
    <cellStyle name="Calculation 2 4 15 3" xfId="9169" xr:uid="{00000000-0005-0000-0000-00000C150000}"/>
    <cellStyle name="Calculation 2 4 15 4" xfId="9175" xr:uid="{00000000-0005-0000-0000-00000D150000}"/>
    <cellStyle name="Calculation 2 4 16" xfId="9179" xr:uid="{00000000-0005-0000-0000-00000E150000}"/>
    <cellStyle name="Calculation 2 4 16 2" xfId="9182" xr:uid="{00000000-0005-0000-0000-00000F150000}"/>
    <cellStyle name="Calculation 2 4 16 3" xfId="9185" xr:uid="{00000000-0005-0000-0000-000010150000}"/>
    <cellStyle name="Calculation 2 4 16 4" xfId="9190" xr:uid="{00000000-0005-0000-0000-000011150000}"/>
    <cellStyle name="Calculation 2 4 17" xfId="9194" xr:uid="{00000000-0005-0000-0000-000012150000}"/>
    <cellStyle name="Calculation 2 4 17 2" xfId="9197" xr:uid="{00000000-0005-0000-0000-000013150000}"/>
    <cellStyle name="Calculation 2 4 18" xfId="9200" xr:uid="{00000000-0005-0000-0000-000014150000}"/>
    <cellStyle name="Calculation 2 4 18 2" xfId="9204" xr:uid="{00000000-0005-0000-0000-000015150000}"/>
    <cellStyle name="Calculation 2 4 19" xfId="7718" xr:uid="{00000000-0005-0000-0000-000016150000}"/>
    <cellStyle name="Calculation 2 4 19 2" xfId="9207" xr:uid="{00000000-0005-0000-0000-000017150000}"/>
    <cellStyle name="Calculation 2 4 2" xfId="9210" xr:uid="{00000000-0005-0000-0000-000018150000}"/>
    <cellStyle name="Calculation 2 4 2 10" xfId="9211" xr:uid="{00000000-0005-0000-0000-000019150000}"/>
    <cellStyle name="Calculation 2 4 2 10 2" xfId="9213" xr:uid="{00000000-0005-0000-0000-00001A150000}"/>
    <cellStyle name="Calculation 2 4 2 10 2 2" xfId="9215" xr:uid="{00000000-0005-0000-0000-00001B150000}"/>
    <cellStyle name="Calculation 2 4 2 10 2 3" xfId="9217" xr:uid="{00000000-0005-0000-0000-00001C150000}"/>
    <cellStyle name="Calculation 2 4 2 10 2 4" xfId="9218" xr:uid="{00000000-0005-0000-0000-00001D150000}"/>
    <cellStyle name="Calculation 2 4 2 10 3" xfId="9219" xr:uid="{00000000-0005-0000-0000-00001E150000}"/>
    <cellStyle name="Calculation 2 4 2 10 3 2" xfId="9221" xr:uid="{00000000-0005-0000-0000-00001F150000}"/>
    <cellStyle name="Calculation 2 4 2 10 3 3" xfId="9223" xr:uid="{00000000-0005-0000-0000-000020150000}"/>
    <cellStyle name="Calculation 2 4 2 10 3 4" xfId="9224" xr:uid="{00000000-0005-0000-0000-000021150000}"/>
    <cellStyle name="Calculation 2 4 2 10 4" xfId="9225" xr:uid="{00000000-0005-0000-0000-000022150000}"/>
    <cellStyle name="Calculation 2 4 2 10 4 2" xfId="9226" xr:uid="{00000000-0005-0000-0000-000023150000}"/>
    <cellStyle name="Calculation 2 4 2 10 4 3" xfId="9227" xr:uid="{00000000-0005-0000-0000-000024150000}"/>
    <cellStyle name="Calculation 2 4 2 10 5" xfId="9228" xr:uid="{00000000-0005-0000-0000-000025150000}"/>
    <cellStyle name="Calculation 2 4 2 10 5 2" xfId="9229" xr:uid="{00000000-0005-0000-0000-000026150000}"/>
    <cellStyle name="Calculation 2 4 2 10 5 3" xfId="9231" xr:uid="{00000000-0005-0000-0000-000027150000}"/>
    <cellStyle name="Calculation 2 4 2 10 6" xfId="9233" xr:uid="{00000000-0005-0000-0000-000028150000}"/>
    <cellStyle name="Calculation 2 4 2 10 7" xfId="9235" xr:uid="{00000000-0005-0000-0000-000029150000}"/>
    <cellStyle name="Calculation 2 4 2 11" xfId="9237" xr:uid="{00000000-0005-0000-0000-00002A150000}"/>
    <cellStyle name="Calculation 2 4 2 11 2" xfId="9240" xr:uid="{00000000-0005-0000-0000-00002B150000}"/>
    <cellStyle name="Calculation 2 4 2 11 3" xfId="9242" xr:uid="{00000000-0005-0000-0000-00002C150000}"/>
    <cellStyle name="Calculation 2 4 2 11 4" xfId="9244" xr:uid="{00000000-0005-0000-0000-00002D150000}"/>
    <cellStyle name="Calculation 2 4 2 12" xfId="9246" xr:uid="{00000000-0005-0000-0000-00002E150000}"/>
    <cellStyle name="Calculation 2 4 2 12 2" xfId="9250" xr:uid="{00000000-0005-0000-0000-00002F150000}"/>
    <cellStyle name="Calculation 2 4 2 12 3" xfId="9254" xr:uid="{00000000-0005-0000-0000-000030150000}"/>
    <cellStyle name="Calculation 2 4 2 12 4" xfId="9258" xr:uid="{00000000-0005-0000-0000-000031150000}"/>
    <cellStyle name="Calculation 2 4 2 13" xfId="9262" xr:uid="{00000000-0005-0000-0000-000032150000}"/>
    <cellStyle name="Calculation 2 4 2 13 2" xfId="9266" xr:uid="{00000000-0005-0000-0000-000033150000}"/>
    <cellStyle name="Calculation 2 4 2 13 3" xfId="9270" xr:uid="{00000000-0005-0000-0000-000034150000}"/>
    <cellStyle name="Calculation 2 4 2 14" xfId="9274" xr:uid="{00000000-0005-0000-0000-000035150000}"/>
    <cellStyle name="Calculation 2 4 2 14 2" xfId="9278" xr:uid="{00000000-0005-0000-0000-000036150000}"/>
    <cellStyle name="Calculation 2 4 2 14 3" xfId="9281" xr:uid="{00000000-0005-0000-0000-000037150000}"/>
    <cellStyle name="Calculation 2 4 2 15" xfId="9285" xr:uid="{00000000-0005-0000-0000-000038150000}"/>
    <cellStyle name="Calculation 2 4 2 16" xfId="9289" xr:uid="{00000000-0005-0000-0000-000039150000}"/>
    <cellStyle name="Calculation 2 4 2 17" xfId="9293" xr:uid="{00000000-0005-0000-0000-00003A150000}"/>
    <cellStyle name="Calculation 2 4 2 18" xfId="9297" xr:uid="{00000000-0005-0000-0000-00003B150000}"/>
    <cellStyle name="Calculation 2 4 2 2" xfId="9300" xr:uid="{00000000-0005-0000-0000-00003C150000}"/>
    <cellStyle name="Calculation 2 4 2 2 2" xfId="9304" xr:uid="{00000000-0005-0000-0000-00003D150000}"/>
    <cellStyle name="Calculation 2 4 2 2 2 2" xfId="9308" xr:uid="{00000000-0005-0000-0000-00003E150000}"/>
    <cellStyle name="Calculation 2 4 2 2 2 3" xfId="5169" xr:uid="{00000000-0005-0000-0000-00003F150000}"/>
    <cellStyle name="Calculation 2 4 2 2 2 4" xfId="5176" xr:uid="{00000000-0005-0000-0000-000040150000}"/>
    <cellStyle name="Calculation 2 4 2 2 3" xfId="9312" xr:uid="{00000000-0005-0000-0000-000041150000}"/>
    <cellStyle name="Calculation 2 4 2 2 3 2" xfId="9316" xr:uid="{00000000-0005-0000-0000-000042150000}"/>
    <cellStyle name="Calculation 2 4 2 2 3 3" xfId="5189" xr:uid="{00000000-0005-0000-0000-000043150000}"/>
    <cellStyle name="Calculation 2 4 2 2 3 4" xfId="5193" xr:uid="{00000000-0005-0000-0000-000044150000}"/>
    <cellStyle name="Calculation 2 4 2 2 4" xfId="9319" xr:uid="{00000000-0005-0000-0000-000045150000}"/>
    <cellStyle name="Calculation 2 4 2 2 4 2" xfId="9321" xr:uid="{00000000-0005-0000-0000-000046150000}"/>
    <cellStyle name="Calculation 2 4 2 2 4 3" xfId="2487" xr:uid="{00000000-0005-0000-0000-000047150000}"/>
    <cellStyle name="Calculation 2 4 2 2 5" xfId="9323" xr:uid="{00000000-0005-0000-0000-000048150000}"/>
    <cellStyle name="Calculation 2 4 2 2 5 2" xfId="9325" xr:uid="{00000000-0005-0000-0000-000049150000}"/>
    <cellStyle name="Calculation 2 4 2 2 5 3" xfId="5226" xr:uid="{00000000-0005-0000-0000-00004A150000}"/>
    <cellStyle name="Calculation 2 4 2 2 6" xfId="9327" xr:uid="{00000000-0005-0000-0000-00004B150000}"/>
    <cellStyle name="Calculation 2 4 2 2 7" xfId="9330" xr:uid="{00000000-0005-0000-0000-00004C150000}"/>
    <cellStyle name="Calculation 2 4 2 3" xfId="9333" xr:uid="{00000000-0005-0000-0000-00004D150000}"/>
    <cellStyle name="Calculation 2 4 2 3 2" xfId="9336" xr:uid="{00000000-0005-0000-0000-00004E150000}"/>
    <cellStyle name="Calculation 2 4 2 3 2 2" xfId="9338" xr:uid="{00000000-0005-0000-0000-00004F150000}"/>
    <cellStyle name="Calculation 2 4 2 3 2 3" xfId="2496" xr:uid="{00000000-0005-0000-0000-000050150000}"/>
    <cellStyle name="Calculation 2 4 2 3 2 4" xfId="2502" xr:uid="{00000000-0005-0000-0000-000051150000}"/>
    <cellStyle name="Calculation 2 4 2 3 3" xfId="9341" xr:uid="{00000000-0005-0000-0000-000052150000}"/>
    <cellStyle name="Calculation 2 4 2 3 3 2" xfId="9343" xr:uid="{00000000-0005-0000-0000-000053150000}"/>
    <cellStyle name="Calculation 2 4 2 3 3 3" xfId="5435" xr:uid="{00000000-0005-0000-0000-000054150000}"/>
    <cellStyle name="Calculation 2 4 2 3 3 4" xfId="5439" xr:uid="{00000000-0005-0000-0000-000055150000}"/>
    <cellStyle name="Calculation 2 4 2 3 4" xfId="9346" xr:uid="{00000000-0005-0000-0000-000056150000}"/>
    <cellStyle name="Calculation 2 4 2 3 4 2" xfId="9348" xr:uid="{00000000-0005-0000-0000-000057150000}"/>
    <cellStyle name="Calculation 2 4 2 3 4 3" xfId="5444" xr:uid="{00000000-0005-0000-0000-000058150000}"/>
    <cellStyle name="Calculation 2 4 2 3 5" xfId="9350" xr:uid="{00000000-0005-0000-0000-000059150000}"/>
    <cellStyle name="Calculation 2 4 2 3 5 2" xfId="9352" xr:uid="{00000000-0005-0000-0000-00005A150000}"/>
    <cellStyle name="Calculation 2 4 2 3 5 3" xfId="5450" xr:uid="{00000000-0005-0000-0000-00005B150000}"/>
    <cellStyle name="Calculation 2 4 2 3 6" xfId="9354" xr:uid="{00000000-0005-0000-0000-00005C150000}"/>
    <cellStyle name="Calculation 2 4 2 3 7" xfId="9357" xr:uid="{00000000-0005-0000-0000-00005D150000}"/>
    <cellStyle name="Calculation 2 4 2 4" xfId="9360" xr:uid="{00000000-0005-0000-0000-00005E150000}"/>
    <cellStyle name="Calculation 2 4 2 4 2" xfId="9363" xr:uid="{00000000-0005-0000-0000-00005F150000}"/>
    <cellStyle name="Calculation 2 4 2 4 2 2" xfId="9365" xr:uid="{00000000-0005-0000-0000-000060150000}"/>
    <cellStyle name="Calculation 2 4 2 4 2 3" xfId="5457" xr:uid="{00000000-0005-0000-0000-000061150000}"/>
    <cellStyle name="Calculation 2 4 2 4 2 4" xfId="5459" xr:uid="{00000000-0005-0000-0000-000062150000}"/>
    <cellStyle name="Calculation 2 4 2 4 3" xfId="9366" xr:uid="{00000000-0005-0000-0000-000063150000}"/>
    <cellStyle name="Calculation 2 4 2 4 3 2" xfId="9368" xr:uid="{00000000-0005-0000-0000-000064150000}"/>
    <cellStyle name="Calculation 2 4 2 4 3 3" xfId="5462" xr:uid="{00000000-0005-0000-0000-000065150000}"/>
    <cellStyle name="Calculation 2 4 2 4 3 4" xfId="5464" xr:uid="{00000000-0005-0000-0000-000066150000}"/>
    <cellStyle name="Calculation 2 4 2 4 4" xfId="9369" xr:uid="{00000000-0005-0000-0000-000067150000}"/>
    <cellStyle name="Calculation 2 4 2 4 4 2" xfId="9372" xr:uid="{00000000-0005-0000-0000-000068150000}"/>
    <cellStyle name="Calculation 2 4 2 4 4 3" xfId="5467" xr:uid="{00000000-0005-0000-0000-000069150000}"/>
    <cellStyle name="Calculation 2 4 2 4 5" xfId="9373" xr:uid="{00000000-0005-0000-0000-00006A150000}"/>
    <cellStyle name="Calculation 2 4 2 4 5 2" xfId="9375" xr:uid="{00000000-0005-0000-0000-00006B150000}"/>
    <cellStyle name="Calculation 2 4 2 4 5 3" xfId="5469" xr:uid="{00000000-0005-0000-0000-00006C150000}"/>
    <cellStyle name="Calculation 2 4 2 4 6" xfId="9377" xr:uid="{00000000-0005-0000-0000-00006D150000}"/>
    <cellStyle name="Calculation 2 4 2 4 7" xfId="9380" xr:uid="{00000000-0005-0000-0000-00006E150000}"/>
    <cellStyle name="Calculation 2 4 2 5" xfId="9384" xr:uid="{00000000-0005-0000-0000-00006F150000}"/>
    <cellStyle name="Calculation 2 4 2 5 2" xfId="9387" xr:uid="{00000000-0005-0000-0000-000070150000}"/>
    <cellStyle name="Calculation 2 4 2 5 2 2" xfId="9389" xr:uid="{00000000-0005-0000-0000-000071150000}"/>
    <cellStyle name="Calculation 2 4 2 5 2 3" xfId="5476" xr:uid="{00000000-0005-0000-0000-000072150000}"/>
    <cellStyle name="Calculation 2 4 2 5 2 4" xfId="5478" xr:uid="{00000000-0005-0000-0000-000073150000}"/>
    <cellStyle name="Calculation 2 4 2 5 3" xfId="9390" xr:uid="{00000000-0005-0000-0000-000074150000}"/>
    <cellStyle name="Calculation 2 4 2 5 3 2" xfId="9392" xr:uid="{00000000-0005-0000-0000-000075150000}"/>
    <cellStyle name="Calculation 2 4 2 5 3 3" xfId="5481" xr:uid="{00000000-0005-0000-0000-000076150000}"/>
    <cellStyle name="Calculation 2 4 2 5 3 4" xfId="5483" xr:uid="{00000000-0005-0000-0000-000077150000}"/>
    <cellStyle name="Calculation 2 4 2 5 4" xfId="9393" xr:uid="{00000000-0005-0000-0000-000078150000}"/>
    <cellStyle name="Calculation 2 4 2 5 4 2" xfId="9395" xr:uid="{00000000-0005-0000-0000-000079150000}"/>
    <cellStyle name="Calculation 2 4 2 5 4 3" xfId="688" xr:uid="{00000000-0005-0000-0000-00007A150000}"/>
    <cellStyle name="Calculation 2 4 2 5 5" xfId="9397" xr:uid="{00000000-0005-0000-0000-00007B150000}"/>
    <cellStyle name="Calculation 2 4 2 5 5 2" xfId="9398" xr:uid="{00000000-0005-0000-0000-00007C150000}"/>
    <cellStyle name="Calculation 2 4 2 5 5 3" xfId="5486" xr:uid="{00000000-0005-0000-0000-00007D150000}"/>
    <cellStyle name="Calculation 2 4 2 5 6" xfId="9400" xr:uid="{00000000-0005-0000-0000-00007E150000}"/>
    <cellStyle name="Calculation 2 4 2 5 7" xfId="9401" xr:uid="{00000000-0005-0000-0000-00007F150000}"/>
    <cellStyle name="Calculation 2 4 2 6" xfId="9403" xr:uid="{00000000-0005-0000-0000-000080150000}"/>
    <cellStyle name="Calculation 2 4 2 6 2" xfId="9406" xr:uid="{00000000-0005-0000-0000-000081150000}"/>
    <cellStyle name="Calculation 2 4 2 6 2 2" xfId="9410" xr:uid="{00000000-0005-0000-0000-000082150000}"/>
    <cellStyle name="Calculation 2 4 2 6 2 3" xfId="3998" xr:uid="{00000000-0005-0000-0000-000083150000}"/>
    <cellStyle name="Calculation 2 4 2 6 2 4" xfId="5497" xr:uid="{00000000-0005-0000-0000-000084150000}"/>
    <cellStyle name="Calculation 2 4 2 6 3" xfId="9412" xr:uid="{00000000-0005-0000-0000-000085150000}"/>
    <cellStyle name="Calculation 2 4 2 6 3 2" xfId="9416" xr:uid="{00000000-0005-0000-0000-000086150000}"/>
    <cellStyle name="Calculation 2 4 2 6 3 3" xfId="5505" xr:uid="{00000000-0005-0000-0000-000087150000}"/>
    <cellStyle name="Calculation 2 4 2 6 3 4" xfId="5507" xr:uid="{00000000-0005-0000-0000-000088150000}"/>
    <cellStyle name="Calculation 2 4 2 6 4" xfId="9418" xr:uid="{00000000-0005-0000-0000-000089150000}"/>
    <cellStyle name="Calculation 2 4 2 6 4 2" xfId="9421" xr:uid="{00000000-0005-0000-0000-00008A150000}"/>
    <cellStyle name="Calculation 2 4 2 6 4 3" xfId="5518" xr:uid="{00000000-0005-0000-0000-00008B150000}"/>
    <cellStyle name="Calculation 2 4 2 6 5" xfId="9423" xr:uid="{00000000-0005-0000-0000-00008C150000}"/>
    <cellStyle name="Calculation 2 4 2 6 5 2" xfId="9425" xr:uid="{00000000-0005-0000-0000-00008D150000}"/>
    <cellStyle name="Calculation 2 4 2 6 5 3" xfId="5528" xr:uid="{00000000-0005-0000-0000-00008E150000}"/>
    <cellStyle name="Calculation 2 4 2 6 6" xfId="9428" xr:uid="{00000000-0005-0000-0000-00008F150000}"/>
    <cellStyle name="Calculation 2 4 2 6 7" xfId="9430" xr:uid="{00000000-0005-0000-0000-000090150000}"/>
    <cellStyle name="Calculation 2 4 2 7" xfId="9433" xr:uid="{00000000-0005-0000-0000-000091150000}"/>
    <cellStyle name="Calculation 2 4 2 7 2" xfId="9436" xr:uid="{00000000-0005-0000-0000-000092150000}"/>
    <cellStyle name="Calculation 2 4 2 7 2 2" xfId="9440" xr:uid="{00000000-0005-0000-0000-000093150000}"/>
    <cellStyle name="Calculation 2 4 2 7 2 3" xfId="4848" xr:uid="{00000000-0005-0000-0000-000094150000}"/>
    <cellStyle name="Calculation 2 4 2 7 2 4" xfId="742" xr:uid="{00000000-0005-0000-0000-000095150000}"/>
    <cellStyle name="Calculation 2 4 2 7 3" xfId="9443" xr:uid="{00000000-0005-0000-0000-000096150000}"/>
    <cellStyle name="Calculation 2 4 2 7 3 2" xfId="9447" xr:uid="{00000000-0005-0000-0000-000097150000}"/>
    <cellStyle name="Calculation 2 4 2 7 3 3" xfId="5547" xr:uid="{00000000-0005-0000-0000-000098150000}"/>
    <cellStyle name="Calculation 2 4 2 7 3 4" xfId="836" xr:uid="{00000000-0005-0000-0000-000099150000}"/>
    <cellStyle name="Calculation 2 4 2 7 4" xfId="9449" xr:uid="{00000000-0005-0000-0000-00009A150000}"/>
    <cellStyle name="Calculation 2 4 2 7 4 2" xfId="9451" xr:uid="{00000000-0005-0000-0000-00009B150000}"/>
    <cellStyle name="Calculation 2 4 2 7 4 3" xfId="5555" xr:uid="{00000000-0005-0000-0000-00009C150000}"/>
    <cellStyle name="Calculation 2 4 2 7 5" xfId="9454" xr:uid="{00000000-0005-0000-0000-00009D150000}"/>
    <cellStyle name="Calculation 2 4 2 7 5 2" xfId="9456" xr:uid="{00000000-0005-0000-0000-00009E150000}"/>
    <cellStyle name="Calculation 2 4 2 7 5 3" xfId="5562" xr:uid="{00000000-0005-0000-0000-00009F150000}"/>
    <cellStyle name="Calculation 2 4 2 7 6" xfId="9459" xr:uid="{00000000-0005-0000-0000-0000A0150000}"/>
    <cellStyle name="Calculation 2 4 2 7 7" xfId="9461" xr:uid="{00000000-0005-0000-0000-0000A1150000}"/>
    <cellStyle name="Calculation 2 4 2 8" xfId="9464" xr:uid="{00000000-0005-0000-0000-0000A2150000}"/>
    <cellStyle name="Calculation 2 4 2 8 2" xfId="9468" xr:uid="{00000000-0005-0000-0000-0000A3150000}"/>
    <cellStyle name="Calculation 2 4 2 8 2 2" xfId="9474" xr:uid="{00000000-0005-0000-0000-0000A4150000}"/>
    <cellStyle name="Calculation 2 4 2 8 2 3" xfId="2874" xr:uid="{00000000-0005-0000-0000-0000A5150000}"/>
    <cellStyle name="Calculation 2 4 2 8 2 4" xfId="2884" xr:uid="{00000000-0005-0000-0000-0000A6150000}"/>
    <cellStyle name="Calculation 2 4 2 8 3" xfId="9476" xr:uid="{00000000-0005-0000-0000-0000A7150000}"/>
    <cellStyle name="Calculation 2 4 2 8 3 2" xfId="9479" xr:uid="{00000000-0005-0000-0000-0000A8150000}"/>
    <cellStyle name="Calculation 2 4 2 8 3 3" xfId="2919" xr:uid="{00000000-0005-0000-0000-0000A9150000}"/>
    <cellStyle name="Calculation 2 4 2 8 3 4" xfId="2925" xr:uid="{00000000-0005-0000-0000-0000AA150000}"/>
    <cellStyle name="Calculation 2 4 2 8 4" xfId="9480" xr:uid="{00000000-0005-0000-0000-0000AB150000}"/>
    <cellStyle name="Calculation 2 4 2 8 4 2" xfId="9483" xr:uid="{00000000-0005-0000-0000-0000AC150000}"/>
    <cellStyle name="Calculation 2 4 2 8 4 3" xfId="2170" xr:uid="{00000000-0005-0000-0000-0000AD150000}"/>
    <cellStyle name="Calculation 2 4 2 8 5" xfId="9485" xr:uid="{00000000-0005-0000-0000-0000AE150000}"/>
    <cellStyle name="Calculation 2 4 2 8 5 2" xfId="9486" xr:uid="{00000000-0005-0000-0000-0000AF150000}"/>
    <cellStyle name="Calculation 2 4 2 8 5 3" xfId="5585" xr:uid="{00000000-0005-0000-0000-0000B0150000}"/>
    <cellStyle name="Calculation 2 4 2 8 6" xfId="9488" xr:uid="{00000000-0005-0000-0000-0000B1150000}"/>
    <cellStyle name="Calculation 2 4 2 8 7" xfId="9489" xr:uid="{00000000-0005-0000-0000-0000B2150000}"/>
    <cellStyle name="Calculation 2 4 2 9" xfId="9202" xr:uid="{00000000-0005-0000-0000-0000B3150000}"/>
    <cellStyle name="Calculation 2 4 2 9 2" xfId="9491" xr:uid="{00000000-0005-0000-0000-0000B4150000}"/>
    <cellStyle name="Calculation 2 4 2 9 2 2" xfId="9496" xr:uid="{00000000-0005-0000-0000-0000B5150000}"/>
    <cellStyle name="Calculation 2 4 2 9 2 3" xfId="9498" xr:uid="{00000000-0005-0000-0000-0000B6150000}"/>
    <cellStyle name="Calculation 2 4 2 9 2 4" xfId="9500" xr:uid="{00000000-0005-0000-0000-0000B7150000}"/>
    <cellStyle name="Calculation 2 4 2 9 3" xfId="9501" xr:uid="{00000000-0005-0000-0000-0000B8150000}"/>
    <cellStyle name="Calculation 2 4 2 9 3 2" xfId="9505" xr:uid="{00000000-0005-0000-0000-0000B9150000}"/>
    <cellStyle name="Calculation 2 4 2 9 3 3" xfId="9507" xr:uid="{00000000-0005-0000-0000-0000BA150000}"/>
    <cellStyle name="Calculation 2 4 2 9 3 4" xfId="9509" xr:uid="{00000000-0005-0000-0000-0000BB150000}"/>
    <cellStyle name="Calculation 2 4 2 9 4" xfId="9510" xr:uid="{00000000-0005-0000-0000-0000BC150000}"/>
    <cellStyle name="Calculation 2 4 2 9 4 2" xfId="9513" xr:uid="{00000000-0005-0000-0000-0000BD150000}"/>
    <cellStyle name="Calculation 2 4 2 9 4 3" xfId="9516" xr:uid="{00000000-0005-0000-0000-0000BE150000}"/>
    <cellStyle name="Calculation 2 4 2 9 5" xfId="9517" xr:uid="{00000000-0005-0000-0000-0000BF150000}"/>
    <cellStyle name="Calculation 2 4 2 9 5 2" xfId="9519" xr:uid="{00000000-0005-0000-0000-0000C0150000}"/>
    <cellStyle name="Calculation 2 4 2 9 5 3" xfId="9523" xr:uid="{00000000-0005-0000-0000-0000C1150000}"/>
    <cellStyle name="Calculation 2 4 2 9 6" xfId="9525" xr:uid="{00000000-0005-0000-0000-0000C2150000}"/>
    <cellStyle name="Calculation 2 4 2 9 7" xfId="9527" xr:uid="{00000000-0005-0000-0000-0000C3150000}"/>
    <cellStyle name="Calculation 2 4 20" xfId="9164" xr:uid="{00000000-0005-0000-0000-0000C4150000}"/>
    <cellStyle name="Calculation 2 4 21" xfId="9180" xr:uid="{00000000-0005-0000-0000-0000C5150000}"/>
    <cellStyle name="Calculation 2 4 22" xfId="9195" xr:uid="{00000000-0005-0000-0000-0000C6150000}"/>
    <cellStyle name="Calculation 2 4 23" xfId="9201" xr:uid="{00000000-0005-0000-0000-0000C7150000}"/>
    <cellStyle name="Calculation 2 4 24" xfId="7719" xr:uid="{00000000-0005-0000-0000-0000C8150000}"/>
    <cellStyle name="Calculation 2 4 25" xfId="7721" xr:uid="{00000000-0005-0000-0000-0000C9150000}"/>
    <cellStyle name="Calculation 2 4 26" xfId="7724" xr:uid="{00000000-0005-0000-0000-0000CA150000}"/>
    <cellStyle name="Calculation 2 4 27" xfId="9529" xr:uid="{00000000-0005-0000-0000-0000CB150000}"/>
    <cellStyle name="Calculation 2 4 28" xfId="1259" xr:uid="{00000000-0005-0000-0000-0000CC150000}"/>
    <cellStyle name="Calculation 2 4 29" xfId="1279" xr:uid="{00000000-0005-0000-0000-0000CD150000}"/>
    <cellStyle name="Calculation 2 4 3" xfId="9531" xr:uid="{00000000-0005-0000-0000-0000CE150000}"/>
    <cellStyle name="Calculation 2 4 3 10" xfId="9532" xr:uid="{00000000-0005-0000-0000-0000CF150000}"/>
    <cellStyle name="Calculation 2 4 3 10 2" xfId="9534" xr:uid="{00000000-0005-0000-0000-0000D0150000}"/>
    <cellStyle name="Calculation 2 4 3 10 2 2" xfId="9536" xr:uid="{00000000-0005-0000-0000-0000D1150000}"/>
    <cellStyle name="Calculation 2 4 3 10 2 3" xfId="9539" xr:uid="{00000000-0005-0000-0000-0000D2150000}"/>
    <cellStyle name="Calculation 2 4 3 10 2 4" xfId="9542" xr:uid="{00000000-0005-0000-0000-0000D3150000}"/>
    <cellStyle name="Calculation 2 4 3 10 3" xfId="9543" xr:uid="{00000000-0005-0000-0000-0000D4150000}"/>
    <cellStyle name="Calculation 2 4 3 10 3 2" xfId="9545" xr:uid="{00000000-0005-0000-0000-0000D5150000}"/>
    <cellStyle name="Calculation 2 4 3 10 3 3" xfId="9548" xr:uid="{00000000-0005-0000-0000-0000D6150000}"/>
    <cellStyle name="Calculation 2 4 3 10 3 4" xfId="9550" xr:uid="{00000000-0005-0000-0000-0000D7150000}"/>
    <cellStyle name="Calculation 2 4 3 10 4" xfId="9551" xr:uid="{00000000-0005-0000-0000-0000D8150000}"/>
    <cellStyle name="Calculation 2 4 3 10 4 2" xfId="9552" xr:uid="{00000000-0005-0000-0000-0000D9150000}"/>
    <cellStyle name="Calculation 2 4 3 10 4 3" xfId="9555" xr:uid="{00000000-0005-0000-0000-0000DA150000}"/>
    <cellStyle name="Calculation 2 4 3 10 5" xfId="9556" xr:uid="{00000000-0005-0000-0000-0000DB150000}"/>
    <cellStyle name="Calculation 2 4 3 10 5 2" xfId="9557" xr:uid="{00000000-0005-0000-0000-0000DC150000}"/>
    <cellStyle name="Calculation 2 4 3 10 5 3" xfId="9559" xr:uid="{00000000-0005-0000-0000-0000DD150000}"/>
    <cellStyle name="Calculation 2 4 3 10 6" xfId="9560" xr:uid="{00000000-0005-0000-0000-0000DE150000}"/>
    <cellStyle name="Calculation 2 4 3 10 7" xfId="9561" xr:uid="{00000000-0005-0000-0000-0000DF150000}"/>
    <cellStyle name="Calculation 2 4 3 11" xfId="9562" xr:uid="{00000000-0005-0000-0000-0000E0150000}"/>
    <cellStyle name="Calculation 2 4 3 11 2" xfId="9565" xr:uid="{00000000-0005-0000-0000-0000E1150000}"/>
    <cellStyle name="Calculation 2 4 3 11 3" xfId="9567" xr:uid="{00000000-0005-0000-0000-0000E2150000}"/>
    <cellStyle name="Calculation 2 4 3 11 4" xfId="9569" xr:uid="{00000000-0005-0000-0000-0000E3150000}"/>
    <cellStyle name="Calculation 2 4 3 12" xfId="9571" xr:uid="{00000000-0005-0000-0000-0000E4150000}"/>
    <cellStyle name="Calculation 2 4 3 12 2" xfId="9576" xr:uid="{00000000-0005-0000-0000-0000E5150000}"/>
    <cellStyle name="Calculation 2 4 3 12 3" xfId="9580" xr:uid="{00000000-0005-0000-0000-0000E6150000}"/>
    <cellStyle name="Calculation 2 4 3 12 4" xfId="9583" xr:uid="{00000000-0005-0000-0000-0000E7150000}"/>
    <cellStyle name="Calculation 2 4 3 13" xfId="9586" xr:uid="{00000000-0005-0000-0000-0000E8150000}"/>
    <cellStyle name="Calculation 2 4 3 13 2" xfId="9590" xr:uid="{00000000-0005-0000-0000-0000E9150000}"/>
    <cellStyle name="Calculation 2 4 3 13 3" xfId="9595" xr:uid="{00000000-0005-0000-0000-0000EA150000}"/>
    <cellStyle name="Calculation 2 4 3 14" xfId="9599" xr:uid="{00000000-0005-0000-0000-0000EB150000}"/>
    <cellStyle name="Calculation 2 4 3 14 2" xfId="9602" xr:uid="{00000000-0005-0000-0000-0000EC150000}"/>
    <cellStyle name="Calculation 2 4 3 14 3" xfId="9605" xr:uid="{00000000-0005-0000-0000-0000ED150000}"/>
    <cellStyle name="Calculation 2 4 3 15" xfId="9608" xr:uid="{00000000-0005-0000-0000-0000EE150000}"/>
    <cellStyle name="Calculation 2 4 3 16" xfId="9611" xr:uid="{00000000-0005-0000-0000-0000EF150000}"/>
    <cellStyle name="Calculation 2 4 3 17" xfId="6589" xr:uid="{00000000-0005-0000-0000-0000F0150000}"/>
    <cellStyle name="Calculation 2 4 3 18" xfId="6595" xr:uid="{00000000-0005-0000-0000-0000F1150000}"/>
    <cellStyle name="Calculation 2 4 3 2" xfId="9615" xr:uid="{00000000-0005-0000-0000-0000F2150000}"/>
    <cellStyle name="Calculation 2 4 3 2 2" xfId="9619" xr:uid="{00000000-0005-0000-0000-0000F3150000}"/>
    <cellStyle name="Calculation 2 4 3 2 2 2" xfId="9621" xr:uid="{00000000-0005-0000-0000-0000F4150000}"/>
    <cellStyle name="Calculation 2 4 3 2 2 3" xfId="9622" xr:uid="{00000000-0005-0000-0000-0000F5150000}"/>
    <cellStyle name="Calculation 2 4 3 2 2 4" xfId="9623" xr:uid="{00000000-0005-0000-0000-0000F6150000}"/>
    <cellStyle name="Calculation 2 4 3 2 3" xfId="9627" xr:uid="{00000000-0005-0000-0000-0000F7150000}"/>
    <cellStyle name="Calculation 2 4 3 2 3 2" xfId="9629" xr:uid="{00000000-0005-0000-0000-0000F8150000}"/>
    <cellStyle name="Calculation 2 4 3 2 3 3" xfId="9630" xr:uid="{00000000-0005-0000-0000-0000F9150000}"/>
    <cellStyle name="Calculation 2 4 3 2 3 4" xfId="9631" xr:uid="{00000000-0005-0000-0000-0000FA150000}"/>
    <cellStyle name="Calculation 2 4 3 2 4" xfId="9635" xr:uid="{00000000-0005-0000-0000-0000FB150000}"/>
    <cellStyle name="Calculation 2 4 3 2 4 2" xfId="9636" xr:uid="{00000000-0005-0000-0000-0000FC150000}"/>
    <cellStyle name="Calculation 2 4 3 2 4 3" xfId="9637" xr:uid="{00000000-0005-0000-0000-0000FD150000}"/>
    <cellStyle name="Calculation 2 4 3 2 5" xfId="9638" xr:uid="{00000000-0005-0000-0000-0000FE150000}"/>
    <cellStyle name="Calculation 2 4 3 2 5 2" xfId="9639" xr:uid="{00000000-0005-0000-0000-0000FF150000}"/>
    <cellStyle name="Calculation 2 4 3 2 5 3" xfId="9640" xr:uid="{00000000-0005-0000-0000-000000160000}"/>
    <cellStyle name="Calculation 2 4 3 2 6" xfId="9641" xr:uid="{00000000-0005-0000-0000-000001160000}"/>
    <cellStyle name="Calculation 2 4 3 2 7" xfId="9643" xr:uid="{00000000-0005-0000-0000-000002160000}"/>
    <cellStyle name="Calculation 2 4 3 3" xfId="9645" xr:uid="{00000000-0005-0000-0000-000003160000}"/>
    <cellStyle name="Calculation 2 4 3 3 2" xfId="9648" xr:uid="{00000000-0005-0000-0000-000004160000}"/>
    <cellStyle name="Calculation 2 4 3 3 2 2" xfId="9649" xr:uid="{00000000-0005-0000-0000-000005160000}"/>
    <cellStyle name="Calculation 2 4 3 3 2 3" xfId="9650" xr:uid="{00000000-0005-0000-0000-000006160000}"/>
    <cellStyle name="Calculation 2 4 3 3 2 4" xfId="9651" xr:uid="{00000000-0005-0000-0000-000007160000}"/>
    <cellStyle name="Calculation 2 4 3 3 3" xfId="9653" xr:uid="{00000000-0005-0000-0000-000008160000}"/>
    <cellStyle name="Calculation 2 4 3 3 3 2" xfId="9654" xr:uid="{00000000-0005-0000-0000-000009160000}"/>
    <cellStyle name="Calculation 2 4 3 3 3 3" xfId="9655" xr:uid="{00000000-0005-0000-0000-00000A160000}"/>
    <cellStyle name="Calculation 2 4 3 3 3 4" xfId="9656" xr:uid="{00000000-0005-0000-0000-00000B160000}"/>
    <cellStyle name="Calculation 2 4 3 3 4" xfId="9660" xr:uid="{00000000-0005-0000-0000-00000C160000}"/>
    <cellStyle name="Calculation 2 4 3 3 4 2" xfId="9661" xr:uid="{00000000-0005-0000-0000-00000D160000}"/>
    <cellStyle name="Calculation 2 4 3 3 4 3" xfId="9663" xr:uid="{00000000-0005-0000-0000-00000E160000}"/>
    <cellStyle name="Calculation 2 4 3 3 5" xfId="9665" xr:uid="{00000000-0005-0000-0000-00000F160000}"/>
    <cellStyle name="Calculation 2 4 3 3 5 2" xfId="9666" xr:uid="{00000000-0005-0000-0000-000010160000}"/>
    <cellStyle name="Calculation 2 4 3 3 5 3" xfId="9667" xr:uid="{00000000-0005-0000-0000-000011160000}"/>
    <cellStyle name="Calculation 2 4 3 3 6" xfId="9668" xr:uid="{00000000-0005-0000-0000-000012160000}"/>
    <cellStyle name="Calculation 2 4 3 3 7" xfId="9670" xr:uid="{00000000-0005-0000-0000-000013160000}"/>
    <cellStyle name="Calculation 2 4 3 4" xfId="9672" xr:uid="{00000000-0005-0000-0000-000014160000}"/>
    <cellStyle name="Calculation 2 4 3 4 2" xfId="9674" xr:uid="{00000000-0005-0000-0000-000015160000}"/>
    <cellStyle name="Calculation 2 4 3 4 2 2" xfId="9675" xr:uid="{00000000-0005-0000-0000-000016160000}"/>
    <cellStyle name="Calculation 2 4 3 4 2 3" xfId="9676" xr:uid="{00000000-0005-0000-0000-000017160000}"/>
    <cellStyle name="Calculation 2 4 3 4 2 4" xfId="9677" xr:uid="{00000000-0005-0000-0000-000018160000}"/>
    <cellStyle name="Calculation 2 4 3 4 3" xfId="9679" xr:uid="{00000000-0005-0000-0000-000019160000}"/>
    <cellStyle name="Calculation 2 4 3 4 3 2" xfId="9680" xr:uid="{00000000-0005-0000-0000-00001A160000}"/>
    <cellStyle name="Calculation 2 4 3 4 3 3" xfId="9681" xr:uid="{00000000-0005-0000-0000-00001B160000}"/>
    <cellStyle name="Calculation 2 4 3 4 3 4" xfId="9682" xr:uid="{00000000-0005-0000-0000-00001C160000}"/>
    <cellStyle name="Calculation 2 4 3 4 4" xfId="9685" xr:uid="{00000000-0005-0000-0000-00001D160000}"/>
    <cellStyle name="Calculation 2 4 3 4 4 2" xfId="9686" xr:uid="{00000000-0005-0000-0000-00001E160000}"/>
    <cellStyle name="Calculation 2 4 3 4 4 3" xfId="9687" xr:uid="{00000000-0005-0000-0000-00001F160000}"/>
    <cellStyle name="Calculation 2 4 3 4 5" xfId="9688" xr:uid="{00000000-0005-0000-0000-000020160000}"/>
    <cellStyle name="Calculation 2 4 3 4 5 2" xfId="9689" xr:uid="{00000000-0005-0000-0000-000021160000}"/>
    <cellStyle name="Calculation 2 4 3 4 5 3" xfId="9690" xr:uid="{00000000-0005-0000-0000-000022160000}"/>
    <cellStyle name="Calculation 2 4 3 4 6" xfId="9691" xr:uid="{00000000-0005-0000-0000-000023160000}"/>
    <cellStyle name="Calculation 2 4 3 4 7" xfId="9693" xr:uid="{00000000-0005-0000-0000-000024160000}"/>
    <cellStyle name="Calculation 2 4 3 5" xfId="9695" xr:uid="{00000000-0005-0000-0000-000025160000}"/>
    <cellStyle name="Calculation 2 4 3 5 2" xfId="9697" xr:uid="{00000000-0005-0000-0000-000026160000}"/>
    <cellStyle name="Calculation 2 4 3 5 2 2" xfId="9698" xr:uid="{00000000-0005-0000-0000-000027160000}"/>
    <cellStyle name="Calculation 2 4 3 5 2 3" xfId="9700" xr:uid="{00000000-0005-0000-0000-000028160000}"/>
    <cellStyle name="Calculation 2 4 3 5 2 4" xfId="9702" xr:uid="{00000000-0005-0000-0000-000029160000}"/>
    <cellStyle name="Calculation 2 4 3 5 3" xfId="9704" xr:uid="{00000000-0005-0000-0000-00002A160000}"/>
    <cellStyle name="Calculation 2 4 3 5 3 2" xfId="9705" xr:uid="{00000000-0005-0000-0000-00002B160000}"/>
    <cellStyle name="Calculation 2 4 3 5 3 3" xfId="9707" xr:uid="{00000000-0005-0000-0000-00002C160000}"/>
    <cellStyle name="Calculation 2 4 3 5 3 4" xfId="9709" xr:uid="{00000000-0005-0000-0000-00002D160000}"/>
    <cellStyle name="Calculation 2 4 3 5 4" xfId="9712" xr:uid="{00000000-0005-0000-0000-00002E160000}"/>
    <cellStyle name="Calculation 2 4 3 5 4 2" xfId="9713" xr:uid="{00000000-0005-0000-0000-00002F160000}"/>
    <cellStyle name="Calculation 2 4 3 5 4 3" xfId="9715" xr:uid="{00000000-0005-0000-0000-000030160000}"/>
    <cellStyle name="Calculation 2 4 3 5 5" xfId="9716" xr:uid="{00000000-0005-0000-0000-000031160000}"/>
    <cellStyle name="Calculation 2 4 3 5 5 2" xfId="9717" xr:uid="{00000000-0005-0000-0000-000032160000}"/>
    <cellStyle name="Calculation 2 4 3 5 5 3" xfId="9719" xr:uid="{00000000-0005-0000-0000-000033160000}"/>
    <cellStyle name="Calculation 2 4 3 5 6" xfId="9720" xr:uid="{00000000-0005-0000-0000-000034160000}"/>
    <cellStyle name="Calculation 2 4 3 5 7" xfId="9721" xr:uid="{00000000-0005-0000-0000-000035160000}"/>
    <cellStyle name="Calculation 2 4 3 6" xfId="9723" xr:uid="{00000000-0005-0000-0000-000036160000}"/>
    <cellStyle name="Calculation 2 4 3 6 2" xfId="9724" xr:uid="{00000000-0005-0000-0000-000037160000}"/>
    <cellStyle name="Calculation 2 4 3 6 2 2" xfId="9725" xr:uid="{00000000-0005-0000-0000-000038160000}"/>
    <cellStyle name="Calculation 2 4 3 6 2 3" xfId="9727" xr:uid="{00000000-0005-0000-0000-000039160000}"/>
    <cellStyle name="Calculation 2 4 3 6 2 4" xfId="9730" xr:uid="{00000000-0005-0000-0000-00003A160000}"/>
    <cellStyle name="Calculation 2 4 3 6 3" xfId="9733" xr:uid="{00000000-0005-0000-0000-00003B160000}"/>
    <cellStyle name="Calculation 2 4 3 6 3 2" xfId="9734" xr:uid="{00000000-0005-0000-0000-00003C160000}"/>
    <cellStyle name="Calculation 2 4 3 6 3 3" xfId="9735" xr:uid="{00000000-0005-0000-0000-00003D160000}"/>
    <cellStyle name="Calculation 2 4 3 6 3 4" xfId="9736" xr:uid="{00000000-0005-0000-0000-00003E160000}"/>
    <cellStyle name="Calculation 2 4 3 6 4" xfId="9738" xr:uid="{00000000-0005-0000-0000-00003F160000}"/>
    <cellStyle name="Calculation 2 4 3 6 4 2" xfId="9739" xr:uid="{00000000-0005-0000-0000-000040160000}"/>
    <cellStyle name="Calculation 2 4 3 6 4 3" xfId="9741" xr:uid="{00000000-0005-0000-0000-000041160000}"/>
    <cellStyle name="Calculation 2 4 3 6 5" xfId="9742" xr:uid="{00000000-0005-0000-0000-000042160000}"/>
    <cellStyle name="Calculation 2 4 3 6 5 2" xfId="9743" xr:uid="{00000000-0005-0000-0000-000043160000}"/>
    <cellStyle name="Calculation 2 4 3 6 5 3" xfId="9745" xr:uid="{00000000-0005-0000-0000-000044160000}"/>
    <cellStyle name="Calculation 2 4 3 6 6" xfId="9746" xr:uid="{00000000-0005-0000-0000-000045160000}"/>
    <cellStyle name="Calculation 2 4 3 6 7" xfId="9747" xr:uid="{00000000-0005-0000-0000-000046160000}"/>
    <cellStyle name="Calculation 2 4 3 7" xfId="9748" xr:uid="{00000000-0005-0000-0000-000047160000}"/>
    <cellStyle name="Calculation 2 4 3 7 2" xfId="9749" xr:uid="{00000000-0005-0000-0000-000048160000}"/>
    <cellStyle name="Calculation 2 4 3 7 2 2" xfId="9751" xr:uid="{00000000-0005-0000-0000-000049160000}"/>
    <cellStyle name="Calculation 2 4 3 7 2 3" xfId="9752" xr:uid="{00000000-0005-0000-0000-00004A160000}"/>
    <cellStyle name="Calculation 2 4 3 7 2 4" xfId="9753" xr:uid="{00000000-0005-0000-0000-00004B160000}"/>
    <cellStyle name="Calculation 2 4 3 7 3" xfId="9757" xr:uid="{00000000-0005-0000-0000-00004C160000}"/>
    <cellStyle name="Calculation 2 4 3 7 3 2" xfId="9759" xr:uid="{00000000-0005-0000-0000-00004D160000}"/>
    <cellStyle name="Calculation 2 4 3 7 3 3" xfId="9760" xr:uid="{00000000-0005-0000-0000-00004E160000}"/>
    <cellStyle name="Calculation 2 4 3 7 3 4" xfId="9761" xr:uid="{00000000-0005-0000-0000-00004F160000}"/>
    <cellStyle name="Calculation 2 4 3 7 4" xfId="9764" xr:uid="{00000000-0005-0000-0000-000050160000}"/>
    <cellStyle name="Calculation 2 4 3 7 4 2" xfId="9765" xr:uid="{00000000-0005-0000-0000-000051160000}"/>
    <cellStyle name="Calculation 2 4 3 7 4 3" xfId="9767" xr:uid="{00000000-0005-0000-0000-000052160000}"/>
    <cellStyle name="Calculation 2 4 3 7 5" xfId="9768" xr:uid="{00000000-0005-0000-0000-000053160000}"/>
    <cellStyle name="Calculation 2 4 3 7 5 2" xfId="9769" xr:uid="{00000000-0005-0000-0000-000054160000}"/>
    <cellStyle name="Calculation 2 4 3 7 5 3" xfId="9771" xr:uid="{00000000-0005-0000-0000-000055160000}"/>
    <cellStyle name="Calculation 2 4 3 7 6" xfId="9772" xr:uid="{00000000-0005-0000-0000-000056160000}"/>
    <cellStyle name="Calculation 2 4 3 7 7" xfId="9773" xr:uid="{00000000-0005-0000-0000-000057160000}"/>
    <cellStyle name="Calculation 2 4 3 8" xfId="9774" xr:uid="{00000000-0005-0000-0000-000058160000}"/>
    <cellStyle name="Calculation 2 4 3 8 2" xfId="9776" xr:uid="{00000000-0005-0000-0000-000059160000}"/>
    <cellStyle name="Calculation 2 4 3 8 2 2" xfId="9779" xr:uid="{00000000-0005-0000-0000-00005A160000}"/>
    <cellStyle name="Calculation 2 4 3 8 2 3" xfId="9780" xr:uid="{00000000-0005-0000-0000-00005B160000}"/>
    <cellStyle name="Calculation 2 4 3 8 2 4" xfId="9781" xr:uid="{00000000-0005-0000-0000-00005C160000}"/>
    <cellStyle name="Calculation 2 4 3 8 3" xfId="9782" xr:uid="{00000000-0005-0000-0000-00005D160000}"/>
    <cellStyle name="Calculation 2 4 3 8 3 2" xfId="9784" xr:uid="{00000000-0005-0000-0000-00005E160000}"/>
    <cellStyle name="Calculation 2 4 3 8 3 3" xfId="9785" xr:uid="{00000000-0005-0000-0000-00005F160000}"/>
    <cellStyle name="Calculation 2 4 3 8 3 4" xfId="9786" xr:uid="{00000000-0005-0000-0000-000060160000}"/>
    <cellStyle name="Calculation 2 4 3 8 4" xfId="9787" xr:uid="{00000000-0005-0000-0000-000061160000}"/>
    <cellStyle name="Calculation 2 4 3 8 4 2" xfId="9789" xr:uid="{00000000-0005-0000-0000-000062160000}"/>
    <cellStyle name="Calculation 2 4 3 8 4 3" xfId="9791" xr:uid="{00000000-0005-0000-0000-000063160000}"/>
    <cellStyle name="Calculation 2 4 3 8 5" xfId="9792" xr:uid="{00000000-0005-0000-0000-000064160000}"/>
    <cellStyle name="Calculation 2 4 3 8 5 2" xfId="9793" xr:uid="{00000000-0005-0000-0000-000065160000}"/>
    <cellStyle name="Calculation 2 4 3 8 5 3" xfId="9795" xr:uid="{00000000-0005-0000-0000-000066160000}"/>
    <cellStyle name="Calculation 2 4 3 8 6" xfId="9796" xr:uid="{00000000-0005-0000-0000-000067160000}"/>
    <cellStyle name="Calculation 2 4 3 8 7" xfId="2632" xr:uid="{00000000-0005-0000-0000-000068160000}"/>
    <cellStyle name="Calculation 2 4 3 9" xfId="9208" xr:uid="{00000000-0005-0000-0000-000069160000}"/>
    <cellStyle name="Calculation 2 4 3 9 2" xfId="9797" xr:uid="{00000000-0005-0000-0000-00006A160000}"/>
    <cellStyle name="Calculation 2 4 3 9 2 2" xfId="9800" xr:uid="{00000000-0005-0000-0000-00006B160000}"/>
    <cellStyle name="Calculation 2 4 3 9 2 3" xfId="9802" xr:uid="{00000000-0005-0000-0000-00006C160000}"/>
    <cellStyle name="Calculation 2 4 3 9 2 4" xfId="9803" xr:uid="{00000000-0005-0000-0000-00006D160000}"/>
    <cellStyle name="Calculation 2 4 3 9 3" xfId="9804" xr:uid="{00000000-0005-0000-0000-00006E160000}"/>
    <cellStyle name="Calculation 2 4 3 9 3 2" xfId="9807" xr:uid="{00000000-0005-0000-0000-00006F160000}"/>
    <cellStyle name="Calculation 2 4 3 9 3 3" xfId="9809" xr:uid="{00000000-0005-0000-0000-000070160000}"/>
    <cellStyle name="Calculation 2 4 3 9 3 4" xfId="9810" xr:uid="{00000000-0005-0000-0000-000071160000}"/>
    <cellStyle name="Calculation 2 4 3 9 4" xfId="9811" xr:uid="{00000000-0005-0000-0000-000072160000}"/>
    <cellStyle name="Calculation 2 4 3 9 4 2" xfId="9813" xr:uid="{00000000-0005-0000-0000-000073160000}"/>
    <cellStyle name="Calculation 2 4 3 9 4 3" xfId="9815" xr:uid="{00000000-0005-0000-0000-000074160000}"/>
    <cellStyle name="Calculation 2 4 3 9 5" xfId="9816" xr:uid="{00000000-0005-0000-0000-000075160000}"/>
    <cellStyle name="Calculation 2 4 3 9 5 2" xfId="9817" xr:uid="{00000000-0005-0000-0000-000076160000}"/>
    <cellStyle name="Calculation 2 4 3 9 5 3" xfId="9819" xr:uid="{00000000-0005-0000-0000-000077160000}"/>
    <cellStyle name="Calculation 2 4 3 9 6" xfId="9820" xr:uid="{00000000-0005-0000-0000-000078160000}"/>
    <cellStyle name="Calculation 2 4 3 9 7" xfId="1110" xr:uid="{00000000-0005-0000-0000-000079160000}"/>
    <cellStyle name="Calculation 2 4 30" xfId="7722" xr:uid="{00000000-0005-0000-0000-00007A160000}"/>
    <cellStyle name="Calculation 2 4 4" xfId="9821" xr:uid="{00000000-0005-0000-0000-00007B160000}"/>
    <cellStyle name="Calculation 2 4 4 2" xfId="9822" xr:uid="{00000000-0005-0000-0000-00007C160000}"/>
    <cellStyle name="Calculation 2 4 4 2 2" xfId="9825" xr:uid="{00000000-0005-0000-0000-00007D160000}"/>
    <cellStyle name="Calculation 2 4 4 2 3" xfId="9828" xr:uid="{00000000-0005-0000-0000-00007E160000}"/>
    <cellStyle name="Calculation 2 4 4 2 4" xfId="9830" xr:uid="{00000000-0005-0000-0000-00007F160000}"/>
    <cellStyle name="Calculation 2 4 4 3" xfId="9831" xr:uid="{00000000-0005-0000-0000-000080160000}"/>
    <cellStyle name="Calculation 2 4 4 3 2" xfId="9834" xr:uid="{00000000-0005-0000-0000-000081160000}"/>
    <cellStyle name="Calculation 2 4 4 3 3" xfId="9835" xr:uid="{00000000-0005-0000-0000-000082160000}"/>
    <cellStyle name="Calculation 2 4 4 3 4" xfId="9836" xr:uid="{00000000-0005-0000-0000-000083160000}"/>
    <cellStyle name="Calculation 2 4 4 4" xfId="9837" xr:uid="{00000000-0005-0000-0000-000084160000}"/>
    <cellStyle name="Calculation 2 4 4 4 2" xfId="9839" xr:uid="{00000000-0005-0000-0000-000085160000}"/>
    <cellStyle name="Calculation 2 4 4 4 3" xfId="9840" xr:uid="{00000000-0005-0000-0000-000086160000}"/>
    <cellStyle name="Calculation 2 4 4 5" xfId="9841" xr:uid="{00000000-0005-0000-0000-000087160000}"/>
    <cellStyle name="Calculation 2 4 4 5 2" xfId="9843" xr:uid="{00000000-0005-0000-0000-000088160000}"/>
    <cellStyle name="Calculation 2 4 4 5 3" xfId="9844" xr:uid="{00000000-0005-0000-0000-000089160000}"/>
    <cellStyle name="Calculation 2 4 4 6" xfId="9845" xr:uid="{00000000-0005-0000-0000-00008A160000}"/>
    <cellStyle name="Calculation 2 4 4 7" xfId="9846" xr:uid="{00000000-0005-0000-0000-00008B160000}"/>
    <cellStyle name="Calculation 2 4 4 8" xfId="9847" xr:uid="{00000000-0005-0000-0000-00008C160000}"/>
    <cellStyle name="Calculation 2 4 5" xfId="9849" xr:uid="{00000000-0005-0000-0000-00008D160000}"/>
    <cellStyle name="Calculation 2 4 5 2" xfId="9851" xr:uid="{00000000-0005-0000-0000-00008E160000}"/>
    <cellStyle name="Calculation 2 4 5 2 2" xfId="9854" xr:uid="{00000000-0005-0000-0000-00008F160000}"/>
    <cellStyle name="Calculation 2 4 5 2 3" xfId="9858" xr:uid="{00000000-0005-0000-0000-000090160000}"/>
    <cellStyle name="Calculation 2 4 5 2 4" xfId="9860" xr:uid="{00000000-0005-0000-0000-000091160000}"/>
    <cellStyle name="Calculation 2 4 5 3" xfId="9861" xr:uid="{00000000-0005-0000-0000-000092160000}"/>
    <cellStyle name="Calculation 2 4 5 3 2" xfId="9864" xr:uid="{00000000-0005-0000-0000-000093160000}"/>
    <cellStyle name="Calculation 2 4 5 3 3" xfId="9866" xr:uid="{00000000-0005-0000-0000-000094160000}"/>
    <cellStyle name="Calculation 2 4 5 3 4" xfId="9868" xr:uid="{00000000-0005-0000-0000-000095160000}"/>
    <cellStyle name="Calculation 2 4 5 4" xfId="9869" xr:uid="{00000000-0005-0000-0000-000096160000}"/>
    <cellStyle name="Calculation 2 4 5 4 2" xfId="9872" xr:uid="{00000000-0005-0000-0000-000097160000}"/>
    <cellStyle name="Calculation 2 4 5 4 3" xfId="9874" xr:uid="{00000000-0005-0000-0000-000098160000}"/>
    <cellStyle name="Calculation 2 4 5 5" xfId="9876" xr:uid="{00000000-0005-0000-0000-000099160000}"/>
    <cellStyle name="Calculation 2 4 5 5 2" xfId="9880" xr:uid="{00000000-0005-0000-0000-00009A160000}"/>
    <cellStyle name="Calculation 2 4 5 5 3" xfId="9883" xr:uid="{00000000-0005-0000-0000-00009B160000}"/>
    <cellStyle name="Calculation 2 4 5 6" xfId="9885" xr:uid="{00000000-0005-0000-0000-00009C160000}"/>
    <cellStyle name="Calculation 2 4 5 7" xfId="9887" xr:uid="{00000000-0005-0000-0000-00009D160000}"/>
    <cellStyle name="Calculation 2 4 5 8" xfId="9889" xr:uid="{00000000-0005-0000-0000-00009E160000}"/>
    <cellStyle name="Calculation 2 4 6" xfId="9892" xr:uid="{00000000-0005-0000-0000-00009F160000}"/>
    <cellStyle name="Calculation 2 4 6 2" xfId="9895" xr:uid="{00000000-0005-0000-0000-0000A0160000}"/>
    <cellStyle name="Calculation 2 4 6 2 2" xfId="1581" xr:uid="{00000000-0005-0000-0000-0000A1160000}"/>
    <cellStyle name="Calculation 2 4 6 2 3" xfId="9898" xr:uid="{00000000-0005-0000-0000-0000A2160000}"/>
    <cellStyle name="Calculation 2 4 6 2 4" xfId="9900" xr:uid="{00000000-0005-0000-0000-0000A3160000}"/>
    <cellStyle name="Calculation 2 4 6 3" xfId="9902" xr:uid="{00000000-0005-0000-0000-0000A4160000}"/>
    <cellStyle name="Calculation 2 4 6 3 2" xfId="9904" xr:uid="{00000000-0005-0000-0000-0000A5160000}"/>
    <cellStyle name="Calculation 2 4 6 3 3" xfId="9905" xr:uid="{00000000-0005-0000-0000-0000A6160000}"/>
    <cellStyle name="Calculation 2 4 6 3 4" xfId="9906" xr:uid="{00000000-0005-0000-0000-0000A7160000}"/>
    <cellStyle name="Calculation 2 4 6 4" xfId="9908" xr:uid="{00000000-0005-0000-0000-0000A8160000}"/>
    <cellStyle name="Calculation 2 4 6 4 2" xfId="9910" xr:uid="{00000000-0005-0000-0000-0000A9160000}"/>
    <cellStyle name="Calculation 2 4 6 4 3" xfId="9912" xr:uid="{00000000-0005-0000-0000-0000AA160000}"/>
    <cellStyle name="Calculation 2 4 6 5" xfId="9914" xr:uid="{00000000-0005-0000-0000-0000AB160000}"/>
    <cellStyle name="Calculation 2 4 6 5 2" xfId="9918" xr:uid="{00000000-0005-0000-0000-0000AC160000}"/>
    <cellStyle name="Calculation 2 4 6 5 3" xfId="9922" xr:uid="{00000000-0005-0000-0000-0000AD160000}"/>
    <cellStyle name="Calculation 2 4 6 6" xfId="9925" xr:uid="{00000000-0005-0000-0000-0000AE160000}"/>
    <cellStyle name="Calculation 2 4 6 7" xfId="9928" xr:uid="{00000000-0005-0000-0000-0000AF160000}"/>
    <cellStyle name="Calculation 2 4 6 8" xfId="9930" xr:uid="{00000000-0005-0000-0000-0000B0160000}"/>
    <cellStyle name="Calculation 2 4 7" xfId="9933" xr:uid="{00000000-0005-0000-0000-0000B1160000}"/>
    <cellStyle name="Calculation 2 4 7 2" xfId="9934" xr:uid="{00000000-0005-0000-0000-0000B2160000}"/>
    <cellStyle name="Calculation 2 4 7 2 2" xfId="9937" xr:uid="{00000000-0005-0000-0000-0000B3160000}"/>
    <cellStyle name="Calculation 2 4 7 2 3" xfId="9941" xr:uid="{00000000-0005-0000-0000-0000B4160000}"/>
    <cellStyle name="Calculation 2 4 7 2 4" xfId="9944" xr:uid="{00000000-0005-0000-0000-0000B5160000}"/>
    <cellStyle name="Calculation 2 4 7 3" xfId="9946" xr:uid="{00000000-0005-0000-0000-0000B6160000}"/>
    <cellStyle name="Calculation 2 4 7 3 2" xfId="9949" xr:uid="{00000000-0005-0000-0000-0000B7160000}"/>
    <cellStyle name="Calculation 2 4 7 3 3" xfId="9951" xr:uid="{00000000-0005-0000-0000-0000B8160000}"/>
    <cellStyle name="Calculation 2 4 7 3 4" xfId="9953" xr:uid="{00000000-0005-0000-0000-0000B9160000}"/>
    <cellStyle name="Calculation 2 4 7 4" xfId="9955" xr:uid="{00000000-0005-0000-0000-0000BA160000}"/>
    <cellStyle name="Calculation 2 4 7 4 2" xfId="9958" xr:uid="{00000000-0005-0000-0000-0000BB160000}"/>
    <cellStyle name="Calculation 2 4 7 4 3" xfId="9961" xr:uid="{00000000-0005-0000-0000-0000BC160000}"/>
    <cellStyle name="Calculation 2 4 7 5" xfId="9964" xr:uid="{00000000-0005-0000-0000-0000BD160000}"/>
    <cellStyle name="Calculation 2 4 7 5 2" xfId="9969" xr:uid="{00000000-0005-0000-0000-0000BE160000}"/>
    <cellStyle name="Calculation 2 4 7 5 3" xfId="9973" xr:uid="{00000000-0005-0000-0000-0000BF160000}"/>
    <cellStyle name="Calculation 2 4 7 6" xfId="9977" xr:uid="{00000000-0005-0000-0000-0000C0160000}"/>
    <cellStyle name="Calculation 2 4 7 7" xfId="9983" xr:uid="{00000000-0005-0000-0000-0000C1160000}"/>
    <cellStyle name="Calculation 2 4 7 8" xfId="9988" xr:uid="{00000000-0005-0000-0000-0000C2160000}"/>
    <cellStyle name="Calculation 2 4 8" xfId="9991" xr:uid="{00000000-0005-0000-0000-0000C3160000}"/>
    <cellStyle name="Calculation 2 4 8 2" xfId="9992" xr:uid="{00000000-0005-0000-0000-0000C4160000}"/>
    <cellStyle name="Calculation 2 4 8 2 2" xfId="9994" xr:uid="{00000000-0005-0000-0000-0000C5160000}"/>
    <cellStyle name="Calculation 2 4 8 2 3" xfId="9997" xr:uid="{00000000-0005-0000-0000-0000C6160000}"/>
    <cellStyle name="Calculation 2 4 8 2 4" xfId="9999" xr:uid="{00000000-0005-0000-0000-0000C7160000}"/>
    <cellStyle name="Calculation 2 4 8 3" xfId="10000" xr:uid="{00000000-0005-0000-0000-0000C8160000}"/>
    <cellStyle name="Calculation 2 4 8 3 2" xfId="10002" xr:uid="{00000000-0005-0000-0000-0000C9160000}"/>
    <cellStyle name="Calculation 2 4 8 3 3" xfId="10003" xr:uid="{00000000-0005-0000-0000-0000CA160000}"/>
    <cellStyle name="Calculation 2 4 8 3 4" xfId="10004" xr:uid="{00000000-0005-0000-0000-0000CB160000}"/>
    <cellStyle name="Calculation 2 4 8 4" xfId="10005" xr:uid="{00000000-0005-0000-0000-0000CC160000}"/>
    <cellStyle name="Calculation 2 4 8 4 2" xfId="10007" xr:uid="{00000000-0005-0000-0000-0000CD160000}"/>
    <cellStyle name="Calculation 2 4 8 4 3" xfId="10009" xr:uid="{00000000-0005-0000-0000-0000CE160000}"/>
    <cellStyle name="Calculation 2 4 8 5" xfId="10011" xr:uid="{00000000-0005-0000-0000-0000CF160000}"/>
    <cellStyle name="Calculation 2 4 8 5 2" xfId="10015" xr:uid="{00000000-0005-0000-0000-0000D0160000}"/>
    <cellStyle name="Calculation 2 4 8 5 3" xfId="10018" xr:uid="{00000000-0005-0000-0000-0000D1160000}"/>
    <cellStyle name="Calculation 2 4 8 6" xfId="10021" xr:uid="{00000000-0005-0000-0000-0000D2160000}"/>
    <cellStyle name="Calculation 2 4 8 7" xfId="10024" xr:uid="{00000000-0005-0000-0000-0000D3160000}"/>
    <cellStyle name="Calculation 2 4 8 8" xfId="10027" xr:uid="{00000000-0005-0000-0000-0000D4160000}"/>
    <cellStyle name="Calculation 2 4 9" xfId="10029" xr:uid="{00000000-0005-0000-0000-0000D5160000}"/>
    <cellStyle name="Calculation 2 4 9 2" xfId="10031" xr:uid="{00000000-0005-0000-0000-0000D6160000}"/>
    <cellStyle name="Calculation 2 4 9 2 2" xfId="10033" xr:uid="{00000000-0005-0000-0000-0000D7160000}"/>
    <cellStyle name="Calculation 2 4 9 2 3" xfId="10036" xr:uid="{00000000-0005-0000-0000-0000D8160000}"/>
    <cellStyle name="Calculation 2 4 9 2 4" xfId="10038" xr:uid="{00000000-0005-0000-0000-0000D9160000}"/>
    <cellStyle name="Calculation 2 4 9 3" xfId="10039" xr:uid="{00000000-0005-0000-0000-0000DA160000}"/>
    <cellStyle name="Calculation 2 4 9 3 2" xfId="10042" xr:uid="{00000000-0005-0000-0000-0000DB160000}"/>
    <cellStyle name="Calculation 2 4 9 3 3" xfId="10043" xr:uid="{00000000-0005-0000-0000-0000DC160000}"/>
    <cellStyle name="Calculation 2 4 9 3 4" xfId="10044" xr:uid="{00000000-0005-0000-0000-0000DD160000}"/>
    <cellStyle name="Calculation 2 4 9 4" xfId="10045" xr:uid="{00000000-0005-0000-0000-0000DE160000}"/>
    <cellStyle name="Calculation 2 4 9 4 2" xfId="10048" xr:uid="{00000000-0005-0000-0000-0000DF160000}"/>
    <cellStyle name="Calculation 2 4 9 4 3" xfId="10050" xr:uid="{00000000-0005-0000-0000-0000E0160000}"/>
    <cellStyle name="Calculation 2 4 9 5" xfId="10052" xr:uid="{00000000-0005-0000-0000-0000E1160000}"/>
    <cellStyle name="Calculation 2 4 9 5 2" xfId="10057" xr:uid="{00000000-0005-0000-0000-0000E2160000}"/>
    <cellStyle name="Calculation 2 4 9 5 3" xfId="10060" xr:uid="{00000000-0005-0000-0000-0000E3160000}"/>
    <cellStyle name="Calculation 2 4 9 6" xfId="10063" xr:uid="{00000000-0005-0000-0000-0000E4160000}"/>
    <cellStyle name="Calculation 2 4 9 7" xfId="10066" xr:uid="{00000000-0005-0000-0000-0000E5160000}"/>
    <cellStyle name="Calculation 2 4 9 8" xfId="10068" xr:uid="{00000000-0005-0000-0000-0000E6160000}"/>
    <cellStyle name="Calculation 2 5" xfId="10070" xr:uid="{00000000-0005-0000-0000-0000E7160000}"/>
    <cellStyle name="Calculation 2 5 10" xfId="7219" xr:uid="{00000000-0005-0000-0000-0000E8160000}"/>
    <cellStyle name="Calculation 2 5 10 2" xfId="10071" xr:uid="{00000000-0005-0000-0000-0000E9160000}"/>
    <cellStyle name="Calculation 2 5 10 2 2" xfId="10072" xr:uid="{00000000-0005-0000-0000-0000EA160000}"/>
    <cellStyle name="Calculation 2 5 10 2 3" xfId="10073" xr:uid="{00000000-0005-0000-0000-0000EB160000}"/>
    <cellStyle name="Calculation 2 5 10 2 4" xfId="10075" xr:uid="{00000000-0005-0000-0000-0000EC160000}"/>
    <cellStyle name="Calculation 2 5 10 3" xfId="10077" xr:uid="{00000000-0005-0000-0000-0000ED160000}"/>
    <cellStyle name="Calculation 2 5 10 3 2" xfId="10078" xr:uid="{00000000-0005-0000-0000-0000EE160000}"/>
    <cellStyle name="Calculation 2 5 10 3 3" xfId="10079" xr:uid="{00000000-0005-0000-0000-0000EF160000}"/>
    <cellStyle name="Calculation 2 5 10 3 4" xfId="10081" xr:uid="{00000000-0005-0000-0000-0000F0160000}"/>
    <cellStyle name="Calculation 2 5 10 4" xfId="10083" xr:uid="{00000000-0005-0000-0000-0000F1160000}"/>
    <cellStyle name="Calculation 2 5 10 4 2" xfId="10084" xr:uid="{00000000-0005-0000-0000-0000F2160000}"/>
    <cellStyle name="Calculation 2 5 10 4 3" xfId="10085" xr:uid="{00000000-0005-0000-0000-0000F3160000}"/>
    <cellStyle name="Calculation 2 5 10 5" xfId="8130" xr:uid="{00000000-0005-0000-0000-0000F4160000}"/>
    <cellStyle name="Calculation 2 5 10 5 2" xfId="4061" xr:uid="{00000000-0005-0000-0000-0000F5160000}"/>
    <cellStyle name="Calculation 2 5 10 5 3" xfId="10087" xr:uid="{00000000-0005-0000-0000-0000F6160000}"/>
    <cellStyle name="Calculation 2 5 10 6" xfId="8132" xr:uid="{00000000-0005-0000-0000-0000F7160000}"/>
    <cellStyle name="Calculation 2 5 10 7" xfId="8134" xr:uid="{00000000-0005-0000-0000-0000F8160000}"/>
    <cellStyle name="Calculation 2 5 10 8" xfId="4078" xr:uid="{00000000-0005-0000-0000-0000F9160000}"/>
    <cellStyle name="Calculation 2 5 11" xfId="7221" xr:uid="{00000000-0005-0000-0000-0000FA160000}"/>
    <cellStyle name="Calculation 2 5 11 2" xfId="10088" xr:uid="{00000000-0005-0000-0000-0000FB160000}"/>
    <cellStyle name="Calculation 2 5 11 2 2" xfId="10089" xr:uid="{00000000-0005-0000-0000-0000FC160000}"/>
    <cellStyle name="Calculation 2 5 11 2 3" xfId="10090" xr:uid="{00000000-0005-0000-0000-0000FD160000}"/>
    <cellStyle name="Calculation 2 5 11 2 4" xfId="10091" xr:uid="{00000000-0005-0000-0000-0000FE160000}"/>
    <cellStyle name="Calculation 2 5 11 3" xfId="10092" xr:uid="{00000000-0005-0000-0000-0000FF160000}"/>
    <cellStyle name="Calculation 2 5 11 3 2" xfId="10093" xr:uid="{00000000-0005-0000-0000-000000170000}"/>
    <cellStyle name="Calculation 2 5 11 3 3" xfId="10094" xr:uid="{00000000-0005-0000-0000-000001170000}"/>
    <cellStyle name="Calculation 2 5 11 3 4" xfId="10096" xr:uid="{00000000-0005-0000-0000-000002170000}"/>
    <cellStyle name="Calculation 2 5 11 4" xfId="10098" xr:uid="{00000000-0005-0000-0000-000003170000}"/>
    <cellStyle name="Calculation 2 5 11 4 2" xfId="10099" xr:uid="{00000000-0005-0000-0000-000004170000}"/>
    <cellStyle name="Calculation 2 5 11 4 3" xfId="10100" xr:uid="{00000000-0005-0000-0000-000005170000}"/>
    <cellStyle name="Calculation 2 5 11 5" xfId="8138" xr:uid="{00000000-0005-0000-0000-000006170000}"/>
    <cellStyle name="Calculation 2 5 11 5 2" xfId="4103" xr:uid="{00000000-0005-0000-0000-000007170000}"/>
    <cellStyle name="Calculation 2 5 11 5 3" xfId="10102" xr:uid="{00000000-0005-0000-0000-000008170000}"/>
    <cellStyle name="Calculation 2 5 11 6" xfId="8140" xr:uid="{00000000-0005-0000-0000-000009170000}"/>
    <cellStyle name="Calculation 2 5 11 7" xfId="10105" xr:uid="{00000000-0005-0000-0000-00000A170000}"/>
    <cellStyle name="Calculation 2 5 11 8" xfId="4133" xr:uid="{00000000-0005-0000-0000-00000B170000}"/>
    <cellStyle name="Calculation 2 5 12" xfId="7223" xr:uid="{00000000-0005-0000-0000-00000C170000}"/>
    <cellStyle name="Calculation 2 5 12 2" xfId="10107" xr:uid="{00000000-0005-0000-0000-00000D170000}"/>
    <cellStyle name="Calculation 2 5 12 2 2" xfId="10108" xr:uid="{00000000-0005-0000-0000-00000E170000}"/>
    <cellStyle name="Calculation 2 5 12 2 3" xfId="10109" xr:uid="{00000000-0005-0000-0000-00000F170000}"/>
    <cellStyle name="Calculation 2 5 12 2 4" xfId="10110" xr:uid="{00000000-0005-0000-0000-000010170000}"/>
    <cellStyle name="Calculation 2 5 12 3" xfId="10111" xr:uid="{00000000-0005-0000-0000-000011170000}"/>
    <cellStyle name="Calculation 2 5 12 3 2" xfId="10112" xr:uid="{00000000-0005-0000-0000-000012170000}"/>
    <cellStyle name="Calculation 2 5 12 3 3" xfId="10113" xr:uid="{00000000-0005-0000-0000-000013170000}"/>
    <cellStyle name="Calculation 2 5 12 3 4" xfId="10114" xr:uid="{00000000-0005-0000-0000-000014170000}"/>
    <cellStyle name="Calculation 2 5 12 4" xfId="10115" xr:uid="{00000000-0005-0000-0000-000015170000}"/>
    <cellStyle name="Calculation 2 5 12 4 2" xfId="10116" xr:uid="{00000000-0005-0000-0000-000016170000}"/>
    <cellStyle name="Calculation 2 5 12 4 3" xfId="10117" xr:uid="{00000000-0005-0000-0000-000017170000}"/>
    <cellStyle name="Calculation 2 5 12 5" xfId="8145" xr:uid="{00000000-0005-0000-0000-000018170000}"/>
    <cellStyle name="Calculation 2 5 12 5 2" xfId="5500" xr:uid="{00000000-0005-0000-0000-000019170000}"/>
    <cellStyle name="Calculation 2 5 12 5 3" xfId="10118" xr:uid="{00000000-0005-0000-0000-00001A170000}"/>
    <cellStyle name="Calculation 2 5 12 6" xfId="8148" xr:uid="{00000000-0005-0000-0000-00001B170000}"/>
    <cellStyle name="Calculation 2 5 12 7" xfId="10120" xr:uid="{00000000-0005-0000-0000-00001C170000}"/>
    <cellStyle name="Calculation 2 5 12 8" xfId="10123" xr:uid="{00000000-0005-0000-0000-00001D170000}"/>
    <cellStyle name="Calculation 2 5 13" xfId="10125" xr:uid="{00000000-0005-0000-0000-00001E170000}"/>
    <cellStyle name="Calculation 2 5 13 2" xfId="10127" xr:uid="{00000000-0005-0000-0000-00001F170000}"/>
    <cellStyle name="Calculation 2 5 13 3" xfId="10128" xr:uid="{00000000-0005-0000-0000-000020170000}"/>
    <cellStyle name="Calculation 2 5 13 4" xfId="10129" xr:uid="{00000000-0005-0000-0000-000021170000}"/>
    <cellStyle name="Calculation 2 5 13 5" xfId="8154" xr:uid="{00000000-0005-0000-0000-000022170000}"/>
    <cellStyle name="Calculation 2 5 14" xfId="10130" xr:uid="{00000000-0005-0000-0000-000023170000}"/>
    <cellStyle name="Calculation 2 5 14 2" xfId="10132" xr:uid="{00000000-0005-0000-0000-000024170000}"/>
    <cellStyle name="Calculation 2 5 14 3" xfId="10134" xr:uid="{00000000-0005-0000-0000-000025170000}"/>
    <cellStyle name="Calculation 2 5 14 4" xfId="10136" xr:uid="{00000000-0005-0000-0000-000026170000}"/>
    <cellStyle name="Calculation 2 5 14 5" xfId="10137" xr:uid="{00000000-0005-0000-0000-000027170000}"/>
    <cellStyle name="Calculation 2 5 15" xfId="10139" xr:uid="{00000000-0005-0000-0000-000028170000}"/>
    <cellStyle name="Calculation 2 5 15 2" xfId="10141" xr:uid="{00000000-0005-0000-0000-000029170000}"/>
    <cellStyle name="Calculation 2 5 15 3" xfId="10143" xr:uid="{00000000-0005-0000-0000-00002A170000}"/>
    <cellStyle name="Calculation 2 5 15 4" xfId="10145" xr:uid="{00000000-0005-0000-0000-00002B170000}"/>
    <cellStyle name="Calculation 2 5 16" xfId="10146" xr:uid="{00000000-0005-0000-0000-00002C170000}"/>
    <cellStyle name="Calculation 2 5 16 2" xfId="10148" xr:uid="{00000000-0005-0000-0000-00002D170000}"/>
    <cellStyle name="Calculation 2 5 16 3" xfId="10150" xr:uid="{00000000-0005-0000-0000-00002E170000}"/>
    <cellStyle name="Calculation 2 5 16 4" xfId="10151" xr:uid="{00000000-0005-0000-0000-00002F170000}"/>
    <cellStyle name="Calculation 2 5 17" xfId="10152" xr:uid="{00000000-0005-0000-0000-000030170000}"/>
    <cellStyle name="Calculation 2 5 17 2" xfId="10154" xr:uid="{00000000-0005-0000-0000-000031170000}"/>
    <cellStyle name="Calculation 2 5 18" xfId="10156" xr:uid="{00000000-0005-0000-0000-000032170000}"/>
    <cellStyle name="Calculation 2 5 18 2" xfId="10160" xr:uid="{00000000-0005-0000-0000-000033170000}"/>
    <cellStyle name="Calculation 2 5 19" xfId="10162" xr:uid="{00000000-0005-0000-0000-000034170000}"/>
    <cellStyle name="Calculation 2 5 19 2" xfId="10164" xr:uid="{00000000-0005-0000-0000-000035170000}"/>
    <cellStyle name="Calculation 2 5 2" xfId="10167" xr:uid="{00000000-0005-0000-0000-000036170000}"/>
    <cellStyle name="Calculation 2 5 2 10" xfId="10168" xr:uid="{00000000-0005-0000-0000-000037170000}"/>
    <cellStyle name="Calculation 2 5 2 10 2" xfId="10170" xr:uid="{00000000-0005-0000-0000-000038170000}"/>
    <cellStyle name="Calculation 2 5 2 10 2 2" xfId="10172" xr:uid="{00000000-0005-0000-0000-000039170000}"/>
    <cellStyle name="Calculation 2 5 2 10 2 3" xfId="10174" xr:uid="{00000000-0005-0000-0000-00003A170000}"/>
    <cellStyle name="Calculation 2 5 2 10 2 4" xfId="10176" xr:uid="{00000000-0005-0000-0000-00003B170000}"/>
    <cellStyle name="Calculation 2 5 2 10 3" xfId="10178" xr:uid="{00000000-0005-0000-0000-00003C170000}"/>
    <cellStyle name="Calculation 2 5 2 10 3 2" xfId="10180" xr:uid="{00000000-0005-0000-0000-00003D170000}"/>
    <cellStyle name="Calculation 2 5 2 10 3 3" xfId="10181" xr:uid="{00000000-0005-0000-0000-00003E170000}"/>
    <cellStyle name="Calculation 2 5 2 10 3 4" xfId="10182" xr:uid="{00000000-0005-0000-0000-00003F170000}"/>
    <cellStyle name="Calculation 2 5 2 10 4" xfId="10183" xr:uid="{00000000-0005-0000-0000-000040170000}"/>
    <cellStyle name="Calculation 2 5 2 10 4 2" xfId="10185" xr:uid="{00000000-0005-0000-0000-000041170000}"/>
    <cellStyle name="Calculation 2 5 2 10 4 3" xfId="10186" xr:uid="{00000000-0005-0000-0000-000042170000}"/>
    <cellStyle name="Calculation 2 5 2 10 5" xfId="10187" xr:uid="{00000000-0005-0000-0000-000043170000}"/>
    <cellStyle name="Calculation 2 5 2 10 5 2" xfId="10189" xr:uid="{00000000-0005-0000-0000-000044170000}"/>
    <cellStyle name="Calculation 2 5 2 10 5 3" xfId="10190" xr:uid="{00000000-0005-0000-0000-000045170000}"/>
    <cellStyle name="Calculation 2 5 2 10 6" xfId="10191" xr:uid="{00000000-0005-0000-0000-000046170000}"/>
    <cellStyle name="Calculation 2 5 2 10 7" xfId="10193" xr:uid="{00000000-0005-0000-0000-000047170000}"/>
    <cellStyle name="Calculation 2 5 2 11" xfId="10195" xr:uid="{00000000-0005-0000-0000-000048170000}"/>
    <cellStyle name="Calculation 2 5 2 11 2" xfId="10198" xr:uid="{00000000-0005-0000-0000-000049170000}"/>
    <cellStyle name="Calculation 2 5 2 11 3" xfId="10202" xr:uid="{00000000-0005-0000-0000-00004A170000}"/>
    <cellStyle name="Calculation 2 5 2 11 4" xfId="10205" xr:uid="{00000000-0005-0000-0000-00004B170000}"/>
    <cellStyle name="Calculation 2 5 2 12" xfId="10207" xr:uid="{00000000-0005-0000-0000-00004C170000}"/>
    <cellStyle name="Calculation 2 5 2 12 2" xfId="10211" xr:uid="{00000000-0005-0000-0000-00004D170000}"/>
    <cellStyle name="Calculation 2 5 2 12 3" xfId="10214" xr:uid="{00000000-0005-0000-0000-00004E170000}"/>
    <cellStyle name="Calculation 2 5 2 12 4" xfId="10217" xr:uid="{00000000-0005-0000-0000-00004F170000}"/>
    <cellStyle name="Calculation 2 5 2 13" xfId="10219" xr:uid="{00000000-0005-0000-0000-000050170000}"/>
    <cellStyle name="Calculation 2 5 2 13 2" xfId="10222" xr:uid="{00000000-0005-0000-0000-000051170000}"/>
    <cellStyle name="Calculation 2 5 2 13 3" xfId="10226" xr:uid="{00000000-0005-0000-0000-000052170000}"/>
    <cellStyle name="Calculation 2 5 2 14" xfId="10228" xr:uid="{00000000-0005-0000-0000-000053170000}"/>
    <cellStyle name="Calculation 2 5 2 14 2" xfId="10231" xr:uid="{00000000-0005-0000-0000-000054170000}"/>
    <cellStyle name="Calculation 2 5 2 14 3" xfId="10235" xr:uid="{00000000-0005-0000-0000-000055170000}"/>
    <cellStyle name="Calculation 2 5 2 15" xfId="10238" xr:uid="{00000000-0005-0000-0000-000056170000}"/>
    <cellStyle name="Calculation 2 5 2 16" xfId="10240" xr:uid="{00000000-0005-0000-0000-000057170000}"/>
    <cellStyle name="Calculation 2 5 2 17" xfId="10243" xr:uid="{00000000-0005-0000-0000-000058170000}"/>
    <cellStyle name="Calculation 2 5 2 2" xfId="10246" xr:uid="{00000000-0005-0000-0000-000059170000}"/>
    <cellStyle name="Calculation 2 5 2 2 2" xfId="10251" xr:uid="{00000000-0005-0000-0000-00005A170000}"/>
    <cellStyle name="Calculation 2 5 2 2 2 2" xfId="6939" xr:uid="{00000000-0005-0000-0000-00005B170000}"/>
    <cellStyle name="Calculation 2 5 2 2 2 3" xfId="6053" xr:uid="{00000000-0005-0000-0000-00005C170000}"/>
    <cellStyle name="Calculation 2 5 2 2 2 4" xfId="4725" xr:uid="{00000000-0005-0000-0000-00005D170000}"/>
    <cellStyle name="Calculation 2 5 2 2 3" xfId="10255" xr:uid="{00000000-0005-0000-0000-00005E170000}"/>
    <cellStyle name="Calculation 2 5 2 2 3 2" xfId="4911" xr:uid="{00000000-0005-0000-0000-00005F170000}"/>
    <cellStyle name="Calculation 2 5 2 2 3 3" xfId="4919" xr:uid="{00000000-0005-0000-0000-000060170000}"/>
    <cellStyle name="Calculation 2 5 2 2 3 4" xfId="4757" xr:uid="{00000000-0005-0000-0000-000061170000}"/>
    <cellStyle name="Calculation 2 5 2 2 4" xfId="10259" xr:uid="{00000000-0005-0000-0000-000062170000}"/>
    <cellStyle name="Calculation 2 5 2 2 4 2" xfId="8051" xr:uid="{00000000-0005-0000-0000-000063170000}"/>
    <cellStyle name="Calculation 2 5 2 2 4 3" xfId="4938" xr:uid="{00000000-0005-0000-0000-000064170000}"/>
    <cellStyle name="Calculation 2 5 2 2 5" xfId="10261" xr:uid="{00000000-0005-0000-0000-000065170000}"/>
    <cellStyle name="Calculation 2 5 2 2 5 2" xfId="10263" xr:uid="{00000000-0005-0000-0000-000066170000}"/>
    <cellStyle name="Calculation 2 5 2 2 5 3" xfId="2460" xr:uid="{00000000-0005-0000-0000-000067170000}"/>
    <cellStyle name="Calculation 2 5 2 2 6" xfId="10264" xr:uid="{00000000-0005-0000-0000-000068170000}"/>
    <cellStyle name="Calculation 2 5 2 2 7" xfId="10268" xr:uid="{00000000-0005-0000-0000-000069170000}"/>
    <cellStyle name="Calculation 2 5 2 3" xfId="10271" xr:uid="{00000000-0005-0000-0000-00006A170000}"/>
    <cellStyle name="Calculation 2 5 2 3 2" xfId="10275" xr:uid="{00000000-0005-0000-0000-00006B170000}"/>
    <cellStyle name="Calculation 2 5 2 3 2 2" xfId="2595" xr:uid="{00000000-0005-0000-0000-00006C170000}"/>
    <cellStyle name="Calculation 2 5 2 3 2 3" xfId="1024" xr:uid="{00000000-0005-0000-0000-00006D170000}"/>
    <cellStyle name="Calculation 2 5 2 3 2 4" xfId="1076" xr:uid="{00000000-0005-0000-0000-00006E170000}"/>
    <cellStyle name="Calculation 2 5 2 3 3" xfId="10279" xr:uid="{00000000-0005-0000-0000-00006F170000}"/>
    <cellStyle name="Calculation 2 5 2 3 3 2" xfId="4975" xr:uid="{00000000-0005-0000-0000-000070170000}"/>
    <cellStyle name="Calculation 2 5 2 3 3 3" xfId="4981" xr:uid="{00000000-0005-0000-0000-000071170000}"/>
    <cellStyle name="Calculation 2 5 2 3 3 4" xfId="6074" xr:uid="{00000000-0005-0000-0000-000072170000}"/>
    <cellStyle name="Calculation 2 5 2 3 4" xfId="10283" xr:uid="{00000000-0005-0000-0000-000073170000}"/>
    <cellStyle name="Calculation 2 5 2 3 4 2" xfId="8094" xr:uid="{00000000-0005-0000-0000-000074170000}"/>
    <cellStyle name="Calculation 2 5 2 3 4 3" xfId="4997" xr:uid="{00000000-0005-0000-0000-000075170000}"/>
    <cellStyle name="Calculation 2 5 2 3 5" xfId="10286" xr:uid="{00000000-0005-0000-0000-000076170000}"/>
    <cellStyle name="Calculation 2 5 2 3 5 2" xfId="10289" xr:uid="{00000000-0005-0000-0000-000077170000}"/>
    <cellStyle name="Calculation 2 5 2 3 5 3" xfId="6093" xr:uid="{00000000-0005-0000-0000-000078170000}"/>
    <cellStyle name="Calculation 2 5 2 3 6" xfId="10290" xr:uid="{00000000-0005-0000-0000-000079170000}"/>
    <cellStyle name="Calculation 2 5 2 3 7" xfId="10294" xr:uid="{00000000-0005-0000-0000-00007A170000}"/>
    <cellStyle name="Calculation 2 5 2 4" xfId="10297" xr:uid="{00000000-0005-0000-0000-00007B170000}"/>
    <cellStyle name="Calculation 2 5 2 4 2" xfId="10300" xr:uid="{00000000-0005-0000-0000-00007C170000}"/>
    <cellStyle name="Calculation 2 5 2 4 2 2" xfId="10302" xr:uid="{00000000-0005-0000-0000-00007D170000}"/>
    <cellStyle name="Calculation 2 5 2 4 2 3" xfId="6105" xr:uid="{00000000-0005-0000-0000-00007E170000}"/>
    <cellStyle name="Calculation 2 5 2 4 2 4" xfId="4521" xr:uid="{00000000-0005-0000-0000-00007F170000}"/>
    <cellStyle name="Calculation 2 5 2 4 3" xfId="10303" xr:uid="{00000000-0005-0000-0000-000080170000}"/>
    <cellStyle name="Calculation 2 5 2 4 3 2" xfId="8126" xr:uid="{00000000-0005-0000-0000-000081170000}"/>
    <cellStyle name="Calculation 2 5 2 4 3 3" xfId="4040" xr:uid="{00000000-0005-0000-0000-000082170000}"/>
    <cellStyle name="Calculation 2 5 2 4 3 4" xfId="4044" xr:uid="{00000000-0005-0000-0000-000083170000}"/>
    <cellStyle name="Calculation 2 5 2 4 4" xfId="10305" xr:uid="{00000000-0005-0000-0000-000084170000}"/>
    <cellStyle name="Calculation 2 5 2 4 4 2" xfId="8135" xr:uid="{00000000-0005-0000-0000-000085170000}"/>
    <cellStyle name="Calculation 2 5 2 4 4 3" xfId="4079" xr:uid="{00000000-0005-0000-0000-000086170000}"/>
    <cellStyle name="Calculation 2 5 2 4 5" xfId="10307" xr:uid="{00000000-0005-0000-0000-000087170000}"/>
    <cellStyle name="Calculation 2 5 2 4 5 2" xfId="10104" xr:uid="{00000000-0005-0000-0000-000088170000}"/>
    <cellStyle name="Calculation 2 5 2 4 5 3" xfId="4132" xr:uid="{00000000-0005-0000-0000-000089170000}"/>
    <cellStyle name="Calculation 2 5 2 4 6" xfId="10309" xr:uid="{00000000-0005-0000-0000-00008A170000}"/>
    <cellStyle name="Calculation 2 5 2 4 7" xfId="10313" xr:uid="{00000000-0005-0000-0000-00008B170000}"/>
    <cellStyle name="Calculation 2 5 2 5" xfId="10317" xr:uid="{00000000-0005-0000-0000-00008C170000}"/>
    <cellStyle name="Calculation 2 5 2 5 2" xfId="10319" xr:uid="{00000000-0005-0000-0000-00008D170000}"/>
    <cellStyle name="Calculation 2 5 2 5 2 2" xfId="10321" xr:uid="{00000000-0005-0000-0000-00008E170000}"/>
    <cellStyle name="Calculation 2 5 2 5 2 3" xfId="2607" xr:uid="{00000000-0005-0000-0000-00008F170000}"/>
    <cellStyle name="Calculation 2 5 2 5 2 4" xfId="185" xr:uid="{00000000-0005-0000-0000-000090170000}"/>
    <cellStyle name="Calculation 2 5 2 5 3" xfId="10322" xr:uid="{00000000-0005-0000-0000-000091170000}"/>
    <cellStyle name="Calculation 2 5 2 5 3 2" xfId="8166" xr:uid="{00000000-0005-0000-0000-000092170000}"/>
    <cellStyle name="Calculation 2 5 2 5 3 3" xfId="6121" xr:uid="{00000000-0005-0000-0000-000093170000}"/>
    <cellStyle name="Calculation 2 5 2 5 3 4" xfId="393" xr:uid="{00000000-0005-0000-0000-000094170000}"/>
    <cellStyle name="Calculation 2 5 2 5 4" xfId="10324" xr:uid="{00000000-0005-0000-0000-000095170000}"/>
    <cellStyle name="Calculation 2 5 2 5 4 2" xfId="8174" xr:uid="{00000000-0005-0000-0000-000096170000}"/>
    <cellStyle name="Calculation 2 5 2 5 4 3" xfId="6127" xr:uid="{00000000-0005-0000-0000-000097170000}"/>
    <cellStyle name="Calculation 2 5 2 5 5" xfId="10325" xr:uid="{00000000-0005-0000-0000-000098170000}"/>
    <cellStyle name="Calculation 2 5 2 5 5 2" xfId="10326" xr:uid="{00000000-0005-0000-0000-000099170000}"/>
    <cellStyle name="Calculation 2 5 2 5 5 3" xfId="6132" xr:uid="{00000000-0005-0000-0000-00009A170000}"/>
    <cellStyle name="Calculation 2 5 2 5 6" xfId="10328" xr:uid="{00000000-0005-0000-0000-00009B170000}"/>
    <cellStyle name="Calculation 2 5 2 5 7" xfId="10329" xr:uid="{00000000-0005-0000-0000-00009C170000}"/>
    <cellStyle name="Calculation 2 5 2 6" xfId="10330" xr:uid="{00000000-0005-0000-0000-00009D170000}"/>
    <cellStyle name="Calculation 2 5 2 6 2" xfId="10332" xr:uid="{00000000-0005-0000-0000-00009E170000}"/>
    <cellStyle name="Calculation 2 5 2 6 2 2" xfId="10334" xr:uid="{00000000-0005-0000-0000-00009F170000}"/>
    <cellStyle name="Calculation 2 5 2 6 2 3" xfId="1105" xr:uid="{00000000-0005-0000-0000-0000A0170000}"/>
    <cellStyle name="Calculation 2 5 2 6 2 4" xfId="474" xr:uid="{00000000-0005-0000-0000-0000A1170000}"/>
    <cellStyle name="Calculation 2 5 2 6 3" xfId="10336" xr:uid="{00000000-0005-0000-0000-0000A2170000}"/>
    <cellStyle name="Calculation 2 5 2 6 3 2" xfId="10338" xr:uid="{00000000-0005-0000-0000-0000A3170000}"/>
    <cellStyle name="Calculation 2 5 2 6 3 3" xfId="587" xr:uid="{00000000-0005-0000-0000-0000A4170000}"/>
    <cellStyle name="Calculation 2 5 2 6 3 4" xfId="1307" xr:uid="{00000000-0005-0000-0000-0000A5170000}"/>
    <cellStyle name="Calculation 2 5 2 6 4" xfId="10340" xr:uid="{00000000-0005-0000-0000-0000A6170000}"/>
    <cellStyle name="Calculation 2 5 2 6 4 2" xfId="10342" xr:uid="{00000000-0005-0000-0000-0000A7170000}"/>
    <cellStyle name="Calculation 2 5 2 6 4 3" xfId="1408" xr:uid="{00000000-0005-0000-0000-0000A8170000}"/>
    <cellStyle name="Calculation 2 5 2 6 5" xfId="10345" xr:uid="{00000000-0005-0000-0000-0000A9170000}"/>
    <cellStyle name="Calculation 2 5 2 6 5 2" xfId="10347" xr:uid="{00000000-0005-0000-0000-0000AA170000}"/>
    <cellStyle name="Calculation 2 5 2 6 5 3" xfId="1450" xr:uid="{00000000-0005-0000-0000-0000AB170000}"/>
    <cellStyle name="Calculation 2 5 2 6 6" xfId="10350" xr:uid="{00000000-0005-0000-0000-0000AC170000}"/>
    <cellStyle name="Calculation 2 5 2 6 7" xfId="10352" xr:uid="{00000000-0005-0000-0000-0000AD170000}"/>
    <cellStyle name="Calculation 2 5 2 7" xfId="10355" xr:uid="{00000000-0005-0000-0000-0000AE170000}"/>
    <cellStyle name="Calculation 2 5 2 7 2" xfId="10357" xr:uid="{00000000-0005-0000-0000-0000AF170000}"/>
    <cellStyle name="Calculation 2 5 2 7 2 2" xfId="10359" xr:uid="{00000000-0005-0000-0000-0000B0170000}"/>
    <cellStyle name="Calculation 2 5 2 7 2 3" xfId="6156" xr:uid="{00000000-0005-0000-0000-0000B1170000}"/>
    <cellStyle name="Calculation 2 5 2 7 2 4" xfId="649" xr:uid="{00000000-0005-0000-0000-0000B2170000}"/>
    <cellStyle name="Calculation 2 5 2 7 3" xfId="10360" xr:uid="{00000000-0005-0000-0000-0000B3170000}"/>
    <cellStyle name="Calculation 2 5 2 7 3 2" xfId="10363" xr:uid="{00000000-0005-0000-0000-0000B4170000}"/>
    <cellStyle name="Calculation 2 5 2 7 3 3" xfId="6161" xr:uid="{00000000-0005-0000-0000-0000B5170000}"/>
    <cellStyle name="Calculation 2 5 2 7 3 4" xfId="6164" xr:uid="{00000000-0005-0000-0000-0000B6170000}"/>
    <cellStyle name="Calculation 2 5 2 7 4" xfId="10365" xr:uid="{00000000-0005-0000-0000-0000B7170000}"/>
    <cellStyle name="Calculation 2 5 2 7 4 2" xfId="10367" xr:uid="{00000000-0005-0000-0000-0000B8170000}"/>
    <cellStyle name="Calculation 2 5 2 7 4 3" xfId="6171" xr:uid="{00000000-0005-0000-0000-0000B9170000}"/>
    <cellStyle name="Calculation 2 5 2 7 5" xfId="10370" xr:uid="{00000000-0005-0000-0000-0000BA170000}"/>
    <cellStyle name="Calculation 2 5 2 7 5 2" xfId="10372" xr:uid="{00000000-0005-0000-0000-0000BB170000}"/>
    <cellStyle name="Calculation 2 5 2 7 5 3" xfId="6175" xr:uid="{00000000-0005-0000-0000-0000BC170000}"/>
    <cellStyle name="Calculation 2 5 2 7 6" xfId="10374" xr:uid="{00000000-0005-0000-0000-0000BD170000}"/>
    <cellStyle name="Calculation 2 5 2 7 7" xfId="10376" xr:uid="{00000000-0005-0000-0000-0000BE170000}"/>
    <cellStyle name="Calculation 2 5 2 8" xfId="10199" xr:uid="{00000000-0005-0000-0000-0000BF170000}"/>
    <cellStyle name="Calculation 2 5 2 8 2" xfId="10378" xr:uid="{00000000-0005-0000-0000-0000C0170000}"/>
    <cellStyle name="Calculation 2 5 2 8 2 2" xfId="10382" xr:uid="{00000000-0005-0000-0000-0000C1170000}"/>
    <cellStyle name="Calculation 2 5 2 8 2 3" xfId="6184" xr:uid="{00000000-0005-0000-0000-0000C2170000}"/>
    <cellStyle name="Calculation 2 5 2 8 2 4" xfId="748" xr:uid="{00000000-0005-0000-0000-0000C3170000}"/>
    <cellStyle name="Calculation 2 5 2 8 3" xfId="10384" xr:uid="{00000000-0005-0000-0000-0000C4170000}"/>
    <cellStyle name="Calculation 2 5 2 8 3 2" xfId="10389" xr:uid="{00000000-0005-0000-0000-0000C5170000}"/>
    <cellStyle name="Calculation 2 5 2 8 3 3" xfId="6190" xr:uid="{00000000-0005-0000-0000-0000C6170000}"/>
    <cellStyle name="Calculation 2 5 2 8 3 4" xfId="887" xr:uid="{00000000-0005-0000-0000-0000C7170000}"/>
    <cellStyle name="Calculation 2 5 2 8 4" xfId="10391" xr:uid="{00000000-0005-0000-0000-0000C8170000}"/>
    <cellStyle name="Calculation 2 5 2 8 4 2" xfId="10396" xr:uid="{00000000-0005-0000-0000-0000C9170000}"/>
    <cellStyle name="Calculation 2 5 2 8 4 3" xfId="6194" xr:uid="{00000000-0005-0000-0000-0000CA170000}"/>
    <cellStyle name="Calculation 2 5 2 8 5" xfId="10398" xr:uid="{00000000-0005-0000-0000-0000CB170000}"/>
    <cellStyle name="Calculation 2 5 2 8 5 2" xfId="10399" xr:uid="{00000000-0005-0000-0000-0000CC170000}"/>
    <cellStyle name="Calculation 2 5 2 8 5 3" xfId="6197" xr:uid="{00000000-0005-0000-0000-0000CD170000}"/>
    <cellStyle name="Calculation 2 5 2 8 6" xfId="10401" xr:uid="{00000000-0005-0000-0000-0000CE170000}"/>
    <cellStyle name="Calculation 2 5 2 8 7" xfId="10402" xr:uid="{00000000-0005-0000-0000-0000CF170000}"/>
    <cellStyle name="Calculation 2 5 2 9" xfId="10203" xr:uid="{00000000-0005-0000-0000-0000D0170000}"/>
    <cellStyle name="Calculation 2 5 2 9 2" xfId="10403" xr:uid="{00000000-0005-0000-0000-0000D1170000}"/>
    <cellStyle name="Calculation 2 5 2 9 2 2" xfId="10405" xr:uid="{00000000-0005-0000-0000-0000D2170000}"/>
    <cellStyle name="Calculation 2 5 2 9 2 3" xfId="10406" xr:uid="{00000000-0005-0000-0000-0000D3170000}"/>
    <cellStyle name="Calculation 2 5 2 9 2 4" xfId="10407" xr:uid="{00000000-0005-0000-0000-0000D4170000}"/>
    <cellStyle name="Calculation 2 5 2 9 3" xfId="10408" xr:uid="{00000000-0005-0000-0000-0000D5170000}"/>
    <cellStyle name="Calculation 2 5 2 9 3 2" xfId="10410" xr:uid="{00000000-0005-0000-0000-0000D6170000}"/>
    <cellStyle name="Calculation 2 5 2 9 3 3" xfId="2700" xr:uid="{00000000-0005-0000-0000-0000D7170000}"/>
    <cellStyle name="Calculation 2 5 2 9 3 4" xfId="10411" xr:uid="{00000000-0005-0000-0000-0000D8170000}"/>
    <cellStyle name="Calculation 2 5 2 9 4" xfId="10412" xr:uid="{00000000-0005-0000-0000-0000D9170000}"/>
    <cellStyle name="Calculation 2 5 2 9 4 2" xfId="10414" xr:uid="{00000000-0005-0000-0000-0000DA170000}"/>
    <cellStyle name="Calculation 2 5 2 9 4 3" xfId="10417" xr:uid="{00000000-0005-0000-0000-0000DB170000}"/>
    <cellStyle name="Calculation 2 5 2 9 5" xfId="10418" xr:uid="{00000000-0005-0000-0000-0000DC170000}"/>
    <cellStyle name="Calculation 2 5 2 9 5 2" xfId="10420" xr:uid="{00000000-0005-0000-0000-0000DD170000}"/>
    <cellStyle name="Calculation 2 5 2 9 5 3" xfId="10424" xr:uid="{00000000-0005-0000-0000-0000DE170000}"/>
    <cellStyle name="Calculation 2 5 2 9 6" xfId="10426" xr:uid="{00000000-0005-0000-0000-0000DF170000}"/>
    <cellStyle name="Calculation 2 5 2 9 7" xfId="10428" xr:uid="{00000000-0005-0000-0000-0000E0170000}"/>
    <cellStyle name="Calculation 2 5 20" xfId="10140" xr:uid="{00000000-0005-0000-0000-0000E1170000}"/>
    <cellStyle name="Calculation 2 5 21" xfId="10147" xr:uid="{00000000-0005-0000-0000-0000E2170000}"/>
    <cellStyle name="Calculation 2 5 22" xfId="10153" xr:uid="{00000000-0005-0000-0000-0000E3170000}"/>
    <cellStyle name="Calculation 2 5 23" xfId="10157" xr:uid="{00000000-0005-0000-0000-0000E4170000}"/>
    <cellStyle name="Calculation 2 5 24" xfId="10163" xr:uid="{00000000-0005-0000-0000-0000E5170000}"/>
    <cellStyle name="Calculation 2 5 25" xfId="10430" xr:uid="{00000000-0005-0000-0000-0000E6170000}"/>
    <cellStyle name="Calculation 2 5 26" xfId="10432" xr:uid="{00000000-0005-0000-0000-0000E7170000}"/>
    <cellStyle name="Calculation 2 5 27" xfId="10433" xr:uid="{00000000-0005-0000-0000-0000E8170000}"/>
    <cellStyle name="Calculation 2 5 28" xfId="10434" xr:uid="{00000000-0005-0000-0000-0000E9170000}"/>
    <cellStyle name="Calculation 2 5 29" xfId="10435" xr:uid="{00000000-0005-0000-0000-0000EA170000}"/>
    <cellStyle name="Calculation 2 5 3" xfId="10436" xr:uid="{00000000-0005-0000-0000-0000EB170000}"/>
    <cellStyle name="Calculation 2 5 3 10" xfId="4514" xr:uid="{00000000-0005-0000-0000-0000EC170000}"/>
    <cellStyle name="Calculation 2 5 3 10 2" xfId="10437" xr:uid="{00000000-0005-0000-0000-0000ED170000}"/>
    <cellStyle name="Calculation 2 5 3 10 2 2" xfId="10440" xr:uid="{00000000-0005-0000-0000-0000EE170000}"/>
    <cellStyle name="Calculation 2 5 3 10 2 3" xfId="10441" xr:uid="{00000000-0005-0000-0000-0000EF170000}"/>
    <cellStyle name="Calculation 2 5 3 10 2 4" xfId="10442" xr:uid="{00000000-0005-0000-0000-0000F0170000}"/>
    <cellStyle name="Calculation 2 5 3 10 3" xfId="10443" xr:uid="{00000000-0005-0000-0000-0000F1170000}"/>
    <cellStyle name="Calculation 2 5 3 10 3 2" xfId="10445" xr:uid="{00000000-0005-0000-0000-0000F2170000}"/>
    <cellStyle name="Calculation 2 5 3 10 3 3" xfId="10446" xr:uid="{00000000-0005-0000-0000-0000F3170000}"/>
    <cellStyle name="Calculation 2 5 3 10 3 4" xfId="10447" xr:uid="{00000000-0005-0000-0000-0000F4170000}"/>
    <cellStyle name="Calculation 2 5 3 10 4" xfId="10448" xr:uid="{00000000-0005-0000-0000-0000F5170000}"/>
    <cellStyle name="Calculation 2 5 3 10 4 2" xfId="10449" xr:uid="{00000000-0005-0000-0000-0000F6170000}"/>
    <cellStyle name="Calculation 2 5 3 10 4 3" xfId="10450" xr:uid="{00000000-0005-0000-0000-0000F7170000}"/>
    <cellStyle name="Calculation 2 5 3 10 5" xfId="10451" xr:uid="{00000000-0005-0000-0000-0000F8170000}"/>
    <cellStyle name="Calculation 2 5 3 10 5 2" xfId="10452" xr:uid="{00000000-0005-0000-0000-0000F9170000}"/>
    <cellStyle name="Calculation 2 5 3 10 5 3" xfId="10453" xr:uid="{00000000-0005-0000-0000-0000FA170000}"/>
    <cellStyle name="Calculation 2 5 3 10 6" xfId="10454" xr:uid="{00000000-0005-0000-0000-0000FB170000}"/>
    <cellStyle name="Calculation 2 5 3 10 7" xfId="10455" xr:uid="{00000000-0005-0000-0000-0000FC170000}"/>
    <cellStyle name="Calculation 2 5 3 11" xfId="15" xr:uid="{00000000-0005-0000-0000-0000FD170000}"/>
    <cellStyle name="Calculation 2 5 3 11 2" xfId="10456" xr:uid="{00000000-0005-0000-0000-0000FE170000}"/>
    <cellStyle name="Calculation 2 5 3 11 3" xfId="10458" xr:uid="{00000000-0005-0000-0000-0000FF170000}"/>
    <cellStyle name="Calculation 2 5 3 11 4" xfId="10460" xr:uid="{00000000-0005-0000-0000-000000180000}"/>
    <cellStyle name="Calculation 2 5 3 12" xfId="10462" xr:uid="{00000000-0005-0000-0000-000001180000}"/>
    <cellStyle name="Calculation 2 5 3 12 2" xfId="10465" xr:uid="{00000000-0005-0000-0000-000002180000}"/>
    <cellStyle name="Calculation 2 5 3 12 3" xfId="10467" xr:uid="{00000000-0005-0000-0000-000003180000}"/>
    <cellStyle name="Calculation 2 5 3 12 4" xfId="10469" xr:uid="{00000000-0005-0000-0000-000004180000}"/>
    <cellStyle name="Calculation 2 5 3 13" xfId="10471" xr:uid="{00000000-0005-0000-0000-000005180000}"/>
    <cellStyle name="Calculation 2 5 3 13 2" xfId="10473" xr:uid="{00000000-0005-0000-0000-000006180000}"/>
    <cellStyle name="Calculation 2 5 3 13 3" xfId="10477" xr:uid="{00000000-0005-0000-0000-000007180000}"/>
    <cellStyle name="Calculation 2 5 3 14" xfId="10480" xr:uid="{00000000-0005-0000-0000-000008180000}"/>
    <cellStyle name="Calculation 2 5 3 14 2" xfId="10483" xr:uid="{00000000-0005-0000-0000-000009180000}"/>
    <cellStyle name="Calculation 2 5 3 14 3" xfId="10485" xr:uid="{00000000-0005-0000-0000-00000A180000}"/>
    <cellStyle name="Calculation 2 5 3 15" xfId="10487" xr:uid="{00000000-0005-0000-0000-00000B180000}"/>
    <cellStyle name="Calculation 2 5 3 16" xfId="10490" xr:uid="{00000000-0005-0000-0000-00000C180000}"/>
    <cellStyle name="Calculation 2 5 3 17" xfId="6724" xr:uid="{00000000-0005-0000-0000-00000D180000}"/>
    <cellStyle name="Calculation 2 5 3 2" xfId="10494" xr:uid="{00000000-0005-0000-0000-00000E180000}"/>
    <cellStyle name="Calculation 2 5 3 2 2" xfId="10499" xr:uid="{00000000-0005-0000-0000-00000F180000}"/>
    <cellStyle name="Calculation 2 5 3 2 2 2" xfId="10501" xr:uid="{00000000-0005-0000-0000-000010180000}"/>
    <cellStyle name="Calculation 2 5 3 2 2 3" xfId="10502" xr:uid="{00000000-0005-0000-0000-000011180000}"/>
    <cellStyle name="Calculation 2 5 3 2 2 4" xfId="10503" xr:uid="{00000000-0005-0000-0000-000012180000}"/>
    <cellStyle name="Calculation 2 5 3 2 3" xfId="10504" xr:uid="{00000000-0005-0000-0000-000013180000}"/>
    <cellStyle name="Calculation 2 5 3 2 3 2" xfId="8934" xr:uid="{00000000-0005-0000-0000-000014180000}"/>
    <cellStyle name="Calculation 2 5 3 2 3 3" xfId="10506" xr:uid="{00000000-0005-0000-0000-000015180000}"/>
    <cellStyle name="Calculation 2 5 3 2 3 4" xfId="10507" xr:uid="{00000000-0005-0000-0000-000016180000}"/>
    <cellStyle name="Calculation 2 5 3 2 4" xfId="10508" xr:uid="{00000000-0005-0000-0000-000017180000}"/>
    <cellStyle name="Calculation 2 5 3 2 4 2" xfId="197" xr:uid="{00000000-0005-0000-0000-000018180000}"/>
    <cellStyle name="Calculation 2 5 3 2 4 3" xfId="33" xr:uid="{00000000-0005-0000-0000-000019180000}"/>
    <cellStyle name="Calculation 2 5 3 2 5" xfId="10509" xr:uid="{00000000-0005-0000-0000-00001A180000}"/>
    <cellStyle name="Calculation 2 5 3 2 5 2" xfId="10510" xr:uid="{00000000-0005-0000-0000-00001B180000}"/>
    <cellStyle name="Calculation 2 5 3 2 5 3" xfId="10511" xr:uid="{00000000-0005-0000-0000-00001C180000}"/>
    <cellStyle name="Calculation 2 5 3 2 6" xfId="10512" xr:uid="{00000000-0005-0000-0000-00001D180000}"/>
    <cellStyle name="Calculation 2 5 3 2 7" xfId="10514" xr:uid="{00000000-0005-0000-0000-00001E180000}"/>
    <cellStyle name="Calculation 2 5 3 3" xfId="10516" xr:uid="{00000000-0005-0000-0000-00001F180000}"/>
    <cellStyle name="Calculation 2 5 3 3 2" xfId="10520" xr:uid="{00000000-0005-0000-0000-000020180000}"/>
    <cellStyle name="Calculation 2 5 3 3 2 2" xfId="10521" xr:uid="{00000000-0005-0000-0000-000021180000}"/>
    <cellStyle name="Calculation 2 5 3 3 2 3" xfId="10522" xr:uid="{00000000-0005-0000-0000-000022180000}"/>
    <cellStyle name="Calculation 2 5 3 3 2 4" xfId="10523" xr:uid="{00000000-0005-0000-0000-000023180000}"/>
    <cellStyle name="Calculation 2 5 3 3 3" xfId="10524" xr:uid="{00000000-0005-0000-0000-000024180000}"/>
    <cellStyle name="Calculation 2 5 3 3 3 2" xfId="8952" xr:uid="{00000000-0005-0000-0000-000025180000}"/>
    <cellStyle name="Calculation 2 5 3 3 3 3" xfId="10525" xr:uid="{00000000-0005-0000-0000-000026180000}"/>
    <cellStyle name="Calculation 2 5 3 3 3 4" xfId="10526" xr:uid="{00000000-0005-0000-0000-000027180000}"/>
    <cellStyle name="Calculation 2 5 3 3 4" xfId="10527" xr:uid="{00000000-0005-0000-0000-000028180000}"/>
    <cellStyle name="Calculation 2 5 3 3 4 2" xfId="8958" xr:uid="{00000000-0005-0000-0000-000029180000}"/>
    <cellStyle name="Calculation 2 5 3 3 4 3" xfId="10528" xr:uid="{00000000-0005-0000-0000-00002A180000}"/>
    <cellStyle name="Calculation 2 5 3 3 5" xfId="10529" xr:uid="{00000000-0005-0000-0000-00002B180000}"/>
    <cellStyle name="Calculation 2 5 3 3 5 2" xfId="10530" xr:uid="{00000000-0005-0000-0000-00002C180000}"/>
    <cellStyle name="Calculation 2 5 3 3 5 3" xfId="10531" xr:uid="{00000000-0005-0000-0000-00002D180000}"/>
    <cellStyle name="Calculation 2 5 3 3 6" xfId="10532" xr:uid="{00000000-0005-0000-0000-00002E180000}"/>
    <cellStyle name="Calculation 2 5 3 3 7" xfId="10534" xr:uid="{00000000-0005-0000-0000-00002F180000}"/>
    <cellStyle name="Calculation 2 5 3 4" xfId="10536" xr:uid="{00000000-0005-0000-0000-000030180000}"/>
    <cellStyle name="Calculation 2 5 3 4 2" xfId="10538" xr:uid="{00000000-0005-0000-0000-000031180000}"/>
    <cellStyle name="Calculation 2 5 3 4 2 2" xfId="10539" xr:uid="{00000000-0005-0000-0000-000032180000}"/>
    <cellStyle name="Calculation 2 5 3 4 2 3" xfId="10541" xr:uid="{00000000-0005-0000-0000-000033180000}"/>
    <cellStyle name="Calculation 2 5 3 4 2 4" xfId="10542" xr:uid="{00000000-0005-0000-0000-000034180000}"/>
    <cellStyle name="Calculation 2 5 3 4 3" xfId="10543" xr:uid="{00000000-0005-0000-0000-000035180000}"/>
    <cellStyle name="Calculation 2 5 3 4 3 2" xfId="8995" xr:uid="{00000000-0005-0000-0000-000036180000}"/>
    <cellStyle name="Calculation 2 5 3 4 3 3" xfId="10544" xr:uid="{00000000-0005-0000-0000-000037180000}"/>
    <cellStyle name="Calculation 2 5 3 4 3 4" xfId="10545" xr:uid="{00000000-0005-0000-0000-000038180000}"/>
    <cellStyle name="Calculation 2 5 3 4 4" xfId="10546" xr:uid="{00000000-0005-0000-0000-000039180000}"/>
    <cellStyle name="Calculation 2 5 3 4 4 2" xfId="9005" xr:uid="{00000000-0005-0000-0000-00003A180000}"/>
    <cellStyle name="Calculation 2 5 3 4 4 3" xfId="10547" xr:uid="{00000000-0005-0000-0000-00003B180000}"/>
    <cellStyle name="Calculation 2 5 3 4 5" xfId="10548" xr:uid="{00000000-0005-0000-0000-00003C180000}"/>
    <cellStyle name="Calculation 2 5 3 4 5 2" xfId="10549" xr:uid="{00000000-0005-0000-0000-00003D180000}"/>
    <cellStyle name="Calculation 2 5 3 4 5 3" xfId="10551" xr:uid="{00000000-0005-0000-0000-00003E180000}"/>
    <cellStyle name="Calculation 2 5 3 4 6" xfId="10552" xr:uid="{00000000-0005-0000-0000-00003F180000}"/>
    <cellStyle name="Calculation 2 5 3 4 7" xfId="10554" xr:uid="{00000000-0005-0000-0000-000040180000}"/>
    <cellStyle name="Calculation 2 5 3 5" xfId="10556" xr:uid="{00000000-0005-0000-0000-000041180000}"/>
    <cellStyle name="Calculation 2 5 3 5 2" xfId="10557" xr:uid="{00000000-0005-0000-0000-000042180000}"/>
    <cellStyle name="Calculation 2 5 3 5 2 2" xfId="10558" xr:uid="{00000000-0005-0000-0000-000043180000}"/>
    <cellStyle name="Calculation 2 5 3 5 2 3" xfId="10562" xr:uid="{00000000-0005-0000-0000-000044180000}"/>
    <cellStyle name="Calculation 2 5 3 5 2 4" xfId="10564" xr:uid="{00000000-0005-0000-0000-000045180000}"/>
    <cellStyle name="Calculation 2 5 3 5 3" xfId="10566" xr:uid="{00000000-0005-0000-0000-000046180000}"/>
    <cellStyle name="Calculation 2 5 3 5 3 2" xfId="9046" xr:uid="{00000000-0005-0000-0000-000047180000}"/>
    <cellStyle name="Calculation 2 5 3 5 3 3" xfId="10567" xr:uid="{00000000-0005-0000-0000-000048180000}"/>
    <cellStyle name="Calculation 2 5 3 5 3 4" xfId="10569" xr:uid="{00000000-0005-0000-0000-000049180000}"/>
    <cellStyle name="Calculation 2 5 3 5 4" xfId="10571" xr:uid="{00000000-0005-0000-0000-00004A180000}"/>
    <cellStyle name="Calculation 2 5 3 5 4 2" xfId="9060" xr:uid="{00000000-0005-0000-0000-00004B180000}"/>
    <cellStyle name="Calculation 2 5 3 5 4 3" xfId="10572" xr:uid="{00000000-0005-0000-0000-00004C180000}"/>
    <cellStyle name="Calculation 2 5 3 5 5" xfId="10574" xr:uid="{00000000-0005-0000-0000-00004D180000}"/>
    <cellStyle name="Calculation 2 5 3 5 5 2" xfId="10575" xr:uid="{00000000-0005-0000-0000-00004E180000}"/>
    <cellStyle name="Calculation 2 5 3 5 5 3" xfId="10577" xr:uid="{00000000-0005-0000-0000-00004F180000}"/>
    <cellStyle name="Calculation 2 5 3 5 6" xfId="10578" xr:uid="{00000000-0005-0000-0000-000050180000}"/>
    <cellStyle name="Calculation 2 5 3 5 7" xfId="10579" xr:uid="{00000000-0005-0000-0000-000051180000}"/>
    <cellStyle name="Calculation 2 5 3 6" xfId="10580" xr:uid="{00000000-0005-0000-0000-000052180000}"/>
    <cellStyle name="Calculation 2 5 3 6 2" xfId="10581" xr:uid="{00000000-0005-0000-0000-000053180000}"/>
    <cellStyle name="Calculation 2 5 3 6 2 2" xfId="10582" xr:uid="{00000000-0005-0000-0000-000054180000}"/>
    <cellStyle name="Calculation 2 5 3 6 2 3" xfId="10584" xr:uid="{00000000-0005-0000-0000-000055180000}"/>
    <cellStyle name="Calculation 2 5 3 6 2 4" xfId="10586" xr:uid="{00000000-0005-0000-0000-000056180000}"/>
    <cellStyle name="Calculation 2 5 3 6 3" xfId="10588" xr:uid="{00000000-0005-0000-0000-000057180000}"/>
    <cellStyle name="Calculation 2 5 3 6 3 2" xfId="10589" xr:uid="{00000000-0005-0000-0000-000058180000}"/>
    <cellStyle name="Calculation 2 5 3 6 3 3" xfId="10592" xr:uid="{00000000-0005-0000-0000-000059180000}"/>
    <cellStyle name="Calculation 2 5 3 6 3 4" xfId="10593" xr:uid="{00000000-0005-0000-0000-00005A180000}"/>
    <cellStyle name="Calculation 2 5 3 6 4" xfId="10594" xr:uid="{00000000-0005-0000-0000-00005B180000}"/>
    <cellStyle name="Calculation 2 5 3 6 4 2" xfId="10595" xr:uid="{00000000-0005-0000-0000-00005C180000}"/>
    <cellStyle name="Calculation 2 5 3 6 4 3" xfId="10597" xr:uid="{00000000-0005-0000-0000-00005D180000}"/>
    <cellStyle name="Calculation 2 5 3 6 5" xfId="10598" xr:uid="{00000000-0005-0000-0000-00005E180000}"/>
    <cellStyle name="Calculation 2 5 3 6 5 2" xfId="10599" xr:uid="{00000000-0005-0000-0000-00005F180000}"/>
    <cellStyle name="Calculation 2 5 3 6 5 3" xfId="10601" xr:uid="{00000000-0005-0000-0000-000060180000}"/>
    <cellStyle name="Calculation 2 5 3 6 6" xfId="10602" xr:uid="{00000000-0005-0000-0000-000061180000}"/>
    <cellStyle name="Calculation 2 5 3 6 7" xfId="2095" xr:uid="{00000000-0005-0000-0000-000062180000}"/>
    <cellStyle name="Calculation 2 5 3 7" xfId="10604" xr:uid="{00000000-0005-0000-0000-000063180000}"/>
    <cellStyle name="Calculation 2 5 3 7 2" xfId="10605" xr:uid="{00000000-0005-0000-0000-000064180000}"/>
    <cellStyle name="Calculation 2 5 3 7 2 2" xfId="10607" xr:uid="{00000000-0005-0000-0000-000065180000}"/>
    <cellStyle name="Calculation 2 5 3 7 2 3" xfId="10609" xr:uid="{00000000-0005-0000-0000-000066180000}"/>
    <cellStyle name="Calculation 2 5 3 7 2 4" xfId="10610" xr:uid="{00000000-0005-0000-0000-000067180000}"/>
    <cellStyle name="Calculation 2 5 3 7 3" xfId="10611" xr:uid="{00000000-0005-0000-0000-000068180000}"/>
    <cellStyle name="Calculation 2 5 3 7 3 2" xfId="10614" xr:uid="{00000000-0005-0000-0000-000069180000}"/>
    <cellStyle name="Calculation 2 5 3 7 3 3" xfId="10618" xr:uid="{00000000-0005-0000-0000-00006A180000}"/>
    <cellStyle name="Calculation 2 5 3 7 3 4" xfId="10620" xr:uid="{00000000-0005-0000-0000-00006B180000}"/>
    <cellStyle name="Calculation 2 5 3 7 4" xfId="10622" xr:uid="{00000000-0005-0000-0000-00006C180000}"/>
    <cellStyle name="Calculation 2 5 3 7 4 2" xfId="10624" xr:uid="{00000000-0005-0000-0000-00006D180000}"/>
    <cellStyle name="Calculation 2 5 3 7 4 3" xfId="10626" xr:uid="{00000000-0005-0000-0000-00006E180000}"/>
    <cellStyle name="Calculation 2 5 3 7 5" xfId="10627" xr:uid="{00000000-0005-0000-0000-00006F180000}"/>
    <cellStyle name="Calculation 2 5 3 7 5 2" xfId="10629" xr:uid="{00000000-0005-0000-0000-000070180000}"/>
    <cellStyle name="Calculation 2 5 3 7 5 3" xfId="10631" xr:uid="{00000000-0005-0000-0000-000071180000}"/>
    <cellStyle name="Calculation 2 5 3 7 6" xfId="10632" xr:uid="{00000000-0005-0000-0000-000072180000}"/>
    <cellStyle name="Calculation 2 5 3 7 7" xfId="10634" xr:uid="{00000000-0005-0000-0000-000073180000}"/>
    <cellStyle name="Calculation 2 5 3 8" xfId="10212" xr:uid="{00000000-0005-0000-0000-000074180000}"/>
    <cellStyle name="Calculation 2 5 3 8 2" xfId="10636" xr:uid="{00000000-0005-0000-0000-000075180000}"/>
    <cellStyle name="Calculation 2 5 3 8 2 2" xfId="10639" xr:uid="{00000000-0005-0000-0000-000076180000}"/>
    <cellStyle name="Calculation 2 5 3 8 2 3" xfId="10641" xr:uid="{00000000-0005-0000-0000-000077180000}"/>
    <cellStyle name="Calculation 2 5 3 8 2 4" xfId="10642" xr:uid="{00000000-0005-0000-0000-000078180000}"/>
    <cellStyle name="Calculation 2 5 3 8 3" xfId="10643" xr:uid="{00000000-0005-0000-0000-000079180000}"/>
    <cellStyle name="Calculation 2 5 3 8 3 2" xfId="10646" xr:uid="{00000000-0005-0000-0000-00007A180000}"/>
    <cellStyle name="Calculation 2 5 3 8 3 3" xfId="10650" xr:uid="{00000000-0005-0000-0000-00007B180000}"/>
    <cellStyle name="Calculation 2 5 3 8 3 4" xfId="10651" xr:uid="{00000000-0005-0000-0000-00007C180000}"/>
    <cellStyle name="Calculation 2 5 3 8 4" xfId="10652" xr:uid="{00000000-0005-0000-0000-00007D180000}"/>
    <cellStyle name="Calculation 2 5 3 8 4 2" xfId="10655" xr:uid="{00000000-0005-0000-0000-00007E180000}"/>
    <cellStyle name="Calculation 2 5 3 8 4 3" xfId="10657" xr:uid="{00000000-0005-0000-0000-00007F180000}"/>
    <cellStyle name="Calculation 2 5 3 8 5" xfId="10658" xr:uid="{00000000-0005-0000-0000-000080180000}"/>
    <cellStyle name="Calculation 2 5 3 8 5 2" xfId="10659" xr:uid="{00000000-0005-0000-0000-000081180000}"/>
    <cellStyle name="Calculation 2 5 3 8 5 3" xfId="10661" xr:uid="{00000000-0005-0000-0000-000082180000}"/>
    <cellStyle name="Calculation 2 5 3 8 6" xfId="10662" xr:uid="{00000000-0005-0000-0000-000083180000}"/>
    <cellStyle name="Calculation 2 5 3 8 7" xfId="10664" xr:uid="{00000000-0005-0000-0000-000084180000}"/>
    <cellStyle name="Calculation 2 5 3 9" xfId="10215" xr:uid="{00000000-0005-0000-0000-000085180000}"/>
    <cellStyle name="Calculation 2 5 3 9 2" xfId="10665" xr:uid="{00000000-0005-0000-0000-000086180000}"/>
    <cellStyle name="Calculation 2 5 3 9 2 2" xfId="10667" xr:uid="{00000000-0005-0000-0000-000087180000}"/>
    <cellStyle name="Calculation 2 5 3 9 2 3" xfId="10669" xr:uid="{00000000-0005-0000-0000-000088180000}"/>
    <cellStyle name="Calculation 2 5 3 9 2 4" xfId="10670" xr:uid="{00000000-0005-0000-0000-000089180000}"/>
    <cellStyle name="Calculation 2 5 3 9 3" xfId="10671" xr:uid="{00000000-0005-0000-0000-00008A180000}"/>
    <cellStyle name="Calculation 2 5 3 9 3 2" xfId="10673" xr:uid="{00000000-0005-0000-0000-00008B180000}"/>
    <cellStyle name="Calculation 2 5 3 9 3 3" xfId="10676" xr:uid="{00000000-0005-0000-0000-00008C180000}"/>
    <cellStyle name="Calculation 2 5 3 9 3 4" xfId="10677" xr:uid="{00000000-0005-0000-0000-00008D180000}"/>
    <cellStyle name="Calculation 2 5 3 9 4" xfId="10678" xr:uid="{00000000-0005-0000-0000-00008E180000}"/>
    <cellStyle name="Calculation 2 5 3 9 4 2" xfId="10680" xr:uid="{00000000-0005-0000-0000-00008F180000}"/>
    <cellStyle name="Calculation 2 5 3 9 4 3" xfId="10682" xr:uid="{00000000-0005-0000-0000-000090180000}"/>
    <cellStyle name="Calculation 2 5 3 9 5" xfId="10683" xr:uid="{00000000-0005-0000-0000-000091180000}"/>
    <cellStyle name="Calculation 2 5 3 9 5 2" xfId="10684" xr:uid="{00000000-0005-0000-0000-000092180000}"/>
    <cellStyle name="Calculation 2 5 3 9 5 3" xfId="10686" xr:uid="{00000000-0005-0000-0000-000093180000}"/>
    <cellStyle name="Calculation 2 5 3 9 6" xfId="10687" xr:uid="{00000000-0005-0000-0000-000094180000}"/>
    <cellStyle name="Calculation 2 5 3 9 7" xfId="10688" xr:uid="{00000000-0005-0000-0000-000095180000}"/>
    <cellStyle name="Calculation 2 5 30" xfId="10431" xr:uid="{00000000-0005-0000-0000-000096180000}"/>
    <cellStyle name="Calculation 2 5 4" xfId="10689" xr:uid="{00000000-0005-0000-0000-000097180000}"/>
    <cellStyle name="Calculation 2 5 4 2" xfId="10690" xr:uid="{00000000-0005-0000-0000-000098180000}"/>
    <cellStyle name="Calculation 2 5 4 2 2" xfId="10694" xr:uid="{00000000-0005-0000-0000-000099180000}"/>
    <cellStyle name="Calculation 2 5 4 2 3" xfId="10697" xr:uid="{00000000-0005-0000-0000-00009A180000}"/>
    <cellStyle name="Calculation 2 5 4 2 4" xfId="10700" xr:uid="{00000000-0005-0000-0000-00009B180000}"/>
    <cellStyle name="Calculation 2 5 4 3" xfId="10702" xr:uid="{00000000-0005-0000-0000-00009C180000}"/>
    <cellStyle name="Calculation 2 5 4 3 2" xfId="10706" xr:uid="{00000000-0005-0000-0000-00009D180000}"/>
    <cellStyle name="Calculation 2 5 4 3 3" xfId="10708" xr:uid="{00000000-0005-0000-0000-00009E180000}"/>
    <cellStyle name="Calculation 2 5 4 3 4" xfId="10710" xr:uid="{00000000-0005-0000-0000-00009F180000}"/>
    <cellStyle name="Calculation 2 5 4 4" xfId="10712" xr:uid="{00000000-0005-0000-0000-0000A0180000}"/>
    <cellStyle name="Calculation 2 5 4 4 2" xfId="10715" xr:uid="{00000000-0005-0000-0000-0000A1180000}"/>
    <cellStyle name="Calculation 2 5 4 4 3" xfId="10717" xr:uid="{00000000-0005-0000-0000-0000A2180000}"/>
    <cellStyle name="Calculation 2 5 4 5" xfId="10719" xr:uid="{00000000-0005-0000-0000-0000A3180000}"/>
    <cellStyle name="Calculation 2 5 4 5 2" xfId="10721" xr:uid="{00000000-0005-0000-0000-0000A4180000}"/>
    <cellStyle name="Calculation 2 5 4 5 3" xfId="10723" xr:uid="{00000000-0005-0000-0000-0000A5180000}"/>
    <cellStyle name="Calculation 2 5 4 6" xfId="10725" xr:uid="{00000000-0005-0000-0000-0000A6180000}"/>
    <cellStyle name="Calculation 2 5 4 7" xfId="10727" xr:uid="{00000000-0005-0000-0000-0000A7180000}"/>
    <cellStyle name="Calculation 2 5 4 8" xfId="10224" xr:uid="{00000000-0005-0000-0000-0000A8180000}"/>
    <cellStyle name="Calculation 2 5 5" xfId="10729" xr:uid="{00000000-0005-0000-0000-0000A9180000}"/>
    <cellStyle name="Calculation 2 5 5 2" xfId="10731" xr:uid="{00000000-0005-0000-0000-0000AA180000}"/>
    <cellStyle name="Calculation 2 5 5 2 2" xfId="10734" xr:uid="{00000000-0005-0000-0000-0000AB180000}"/>
    <cellStyle name="Calculation 2 5 5 2 3" xfId="903" xr:uid="{00000000-0005-0000-0000-0000AC180000}"/>
    <cellStyle name="Calculation 2 5 5 2 4" xfId="3482" xr:uid="{00000000-0005-0000-0000-0000AD180000}"/>
    <cellStyle name="Calculation 2 5 5 3" xfId="10736" xr:uid="{00000000-0005-0000-0000-0000AE180000}"/>
    <cellStyle name="Calculation 2 5 5 3 2" xfId="10738" xr:uid="{00000000-0005-0000-0000-0000AF180000}"/>
    <cellStyle name="Calculation 2 5 5 3 3" xfId="3516" xr:uid="{00000000-0005-0000-0000-0000B0180000}"/>
    <cellStyle name="Calculation 2 5 5 3 4" xfId="3518" xr:uid="{00000000-0005-0000-0000-0000B1180000}"/>
    <cellStyle name="Calculation 2 5 5 4" xfId="10739" xr:uid="{00000000-0005-0000-0000-0000B2180000}"/>
    <cellStyle name="Calculation 2 5 5 4 2" xfId="10741" xr:uid="{00000000-0005-0000-0000-0000B3180000}"/>
    <cellStyle name="Calculation 2 5 5 4 3" xfId="3523" xr:uid="{00000000-0005-0000-0000-0000B4180000}"/>
    <cellStyle name="Calculation 2 5 5 5" xfId="10742" xr:uid="{00000000-0005-0000-0000-0000B5180000}"/>
    <cellStyle name="Calculation 2 5 5 5 2" xfId="10744" xr:uid="{00000000-0005-0000-0000-0000B6180000}"/>
    <cellStyle name="Calculation 2 5 5 5 3" xfId="3529" xr:uid="{00000000-0005-0000-0000-0000B7180000}"/>
    <cellStyle name="Calculation 2 5 5 6" xfId="10746" xr:uid="{00000000-0005-0000-0000-0000B8180000}"/>
    <cellStyle name="Calculation 2 5 5 7" xfId="10748" xr:uid="{00000000-0005-0000-0000-0000B9180000}"/>
    <cellStyle name="Calculation 2 5 5 8" xfId="10232" xr:uid="{00000000-0005-0000-0000-0000BA180000}"/>
    <cellStyle name="Calculation 2 5 6" xfId="10750" xr:uid="{00000000-0005-0000-0000-0000BB180000}"/>
    <cellStyle name="Calculation 2 5 6 2" xfId="979" xr:uid="{00000000-0005-0000-0000-0000BC180000}"/>
    <cellStyle name="Calculation 2 5 6 2 2" xfId="10752" xr:uid="{00000000-0005-0000-0000-0000BD180000}"/>
    <cellStyle name="Calculation 2 5 6 2 3" xfId="10754" xr:uid="{00000000-0005-0000-0000-0000BE180000}"/>
    <cellStyle name="Calculation 2 5 6 2 4" xfId="3472" xr:uid="{00000000-0005-0000-0000-0000BF180000}"/>
    <cellStyle name="Calculation 2 5 6 3" xfId="986" xr:uid="{00000000-0005-0000-0000-0000C0180000}"/>
    <cellStyle name="Calculation 2 5 6 3 2" xfId="10756" xr:uid="{00000000-0005-0000-0000-0000C1180000}"/>
    <cellStyle name="Calculation 2 5 6 3 3" xfId="10757" xr:uid="{00000000-0005-0000-0000-0000C2180000}"/>
    <cellStyle name="Calculation 2 5 6 3 4" xfId="3484" xr:uid="{00000000-0005-0000-0000-0000C3180000}"/>
    <cellStyle name="Calculation 2 5 6 4" xfId="1016" xr:uid="{00000000-0005-0000-0000-0000C4180000}"/>
    <cellStyle name="Calculation 2 5 6 4 2" xfId="10758" xr:uid="{00000000-0005-0000-0000-0000C5180000}"/>
    <cellStyle name="Calculation 2 5 6 4 3" xfId="10759" xr:uid="{00000000-0005-0000-0000-0000C6180000}"/>
    <cellStyle name="Calculation 2 5 6 5" xfId="1068" xr:uid="{00000000-0005-0000-0000-0000C7180000}"/>
    <cellStyle name="Calculation 2 5 6 5 2" xfId="10760" xr:uid="{00000000-0005-0000-0000-0000C8180000}"/>
    <cellStyle name="Calculation 2 5 6 5 3" xfId="10763" xr:uid="{00000000-0005-0000-0000-0000C9180000}"/>
    <cellStyle name="Calculation 2 5 6 6" xfId="1657" xr:uid="{00000000-0005-0000-0000-0000CA180000}"/>
    <cellStyle name="Calculation 2 5 6 7" xfId="10767" xr:uid="{00000000-0005-0000-0000-0000CB180000}"/>
    <cellStyle name="Calculation 2 5 6 8" xfId="10769" xr:uid="{00000000-0005-0000-0000-0000CC180000}"/>
    <cellStyle name="Calculation 2 5 7" xfId="10772" xr:uid="{00000000-0005-0000-0000-0000CD180000}"/>
    <cellStyle name="Calculation 2 5 7 2" xfId="10773" xr:uid="{00000000-0005-0000-0000-0000CE180000}"/>
    <cellStyle name="Calculation 2 5 7 2 2" xfId="10776" xr:uid="{00000000-0005-0000-0000-0000CF180000}"/>
    <cellStyle name="Calculation 2 5 7 2 3" xfId="10781" xr:uid="{00000000-0005-0000-0000-0000D0180000}"/>
    <cellStyle name="Calculation 2 5 7 2 4" xfId="10786" xr:uid="{00000000-0005-0000-0000-0000D1180000}"/>
    <cellStyle name="Calculation 2 5 7 3" xfId="10788" xr:uid="{00000000-0005-0000-0000-0000D2180000}"/>
    <cellStyle name="Calculation 2 5 7 3 2" xfId="10792" xr:uid="{00000000-0005-0000-0000-0000D3180000}"/>
    <cellStyle name="Calculation 2 5 7 3 3" xfId="10797" xr:uid="{00000000-0005-0000-0000-0000D4180000}"/>
    <cellStyle name="Calculation 2 5 7 3 4" xfId="10801" xr:uid="{00000000-0005-0000-0000-0000D5180000}"/>
    <cellStyle name="Calculation 2 5 7 4" xfId="10804" xr:uid="{00000000-0005-0000-0000-0000D6180000}"/>
    <cellStyle name="Calculation 2 5 7 4 2" xfId="10808" xr:uid="{00000000-0005-0000-0000-0000D7180000}"/>
    <cellStyle name="Calculation 2 5 7 4 3" xfId="10811" xr:uid="{00000000-0005-0000-0000-0000D8180000}"/>
    <cellStyle name="Calculation 2 5 7 5" xfId="10813" xr:uid="{00000000-0005-0000-0000-0000D9180000}"/>
    <cellStyle name="Calculation 2 5 7 5 2" xfId="10817" xr:uid="{00000000-0005-0000-0000-0000DA180000}"/>
    <cellStyle name="Calculation 2 5 7 5 3" xfId="10820" xr:uid="{00000000-0005-0000-0000-0000DB180000}"/>
    <cellStyle name="Calculation 2 5 7 6" xfId="10823" xr:uid="{00000000-0005-0000-0000-0000DC180000}"/>
    <cellStyle name="Calculation 2 5 7 7" xfId="10826" xr:uid="{00000000-0005-0000-0000-0000DD180000}"/>
    <cellStyle name="Calculation 2 5 7 8" xfId="10829" xr:uid="{00000000-0005-0000-0000-0000DE180000}"/>
    <cellStyle name="Calculation 2 5 8" xfId="10833" xr:uid="{00000000-0005-0000-0000-0000DF180000}"/>
    <cellStyle name="Calculation 2 5 8 2" xfId="5749" xr:uid="{00000000-0005-0000-0000-0000E0180000}"/>
    <cellStyle name="Calculation 2 5 8 2 2" xfId="5752" xr:uid="{00000000-0005-0000-0000-0000E1180000}"/>
    <cellStyle name="Calculation 2 5 8 2 3" xfId="5757" xr:uid="{00000000-0005-0000-0000-0000E2180000}"/>
    <cellStyle name="Calculation 2 5 8 2 4" xfId="5762" xr:uid="{00000000-0005-0000-0000-0000E3180000}"/>
    <cellStyle name="Calculation 2 5 8 3" xfId="5767" xr:uid="{00000000-0005-0000-0000-0000E4180000}"/>
    <cellStyle name="Calculation 2 5 8 3 2" xfId="5770" xr:uid="{00000000-0005-0000-0000-0000E5180000}"/>
    <cellStyle name="Calculation 2 5 8 3 3" xfId="5772" xr:uid="{00000000-0005-0000-0000-0000E6180000}"/>
    <cellStyle name="Calculation 2 5 8 3 4" xfId="5774" xr:uid="{00000000-0005-0000-0000-0000E7180000}"/>
    <cellStyle name="Calculation 2 5 8 4" xfId="5776" xr:uid="{00000000-0005-0000-0000-0000E8180000}"/>
    <cellStyle name="Calculation 2 5 8 4 2" xfId="5779" xr:uid="{00000000-0005-0000-0000-0000E9180000}"/>
    <cellStyle name="Calculation 2 5 8 4 3" xfId="5781" xr:uid="{00000000-0005-0000-0000-0000EA180000}"/>
    <cellStyle name="Calculation 2 5 8 5" xfId="5785" xr:uid="{00000000-0005-0000-0000-0000EB180000}"/>
    <cellStyle name="Calculation 2 5 8 5 2" xfId="5788" xr:uid="{00000000-0005-0000-0000-0000EC180000}"/>
    <cellStyle name="Calculation 2 5 8 5 3" xfId="1804" xr:uid="{00000000-0005-0000-0000-0000ED180000}"/>
    <cellStyle name="Calculation 2 5 8 6" xfId="5792" xr:uid="{00000000-0005-0000-0000-0000EE180000}"/>
    <cellStyle name="Calculation 2 5 8 7" xfId="5425" xr:uid="{00000000-0005-0000-0000-0000EF180000}"/>
    <cellStyle name="Calculation 2 5 8 8" xfId="5429" xr:uid="{00000000-0005-0000-0000-0000F0180000}"/>
    <cellStyle name="Calculation 2 5 9" xfId="10834" xr:uid="{00000000-0005-0000-0000-0000F1180000}"/>
    <cellStyle name="Calculation 2 5 9 2" xfId="10835" xr:uid="{00000000-0005-0000-0000-0000F2180000}"/>
    <cellStyle name="Calculation 2 5 9 2 2" xfId="10840" xr:uid="{00000000-0005-0000-0000-0000F3180000}"/>
    <cellStyle name="Calculation 2 5 9 2 3" xfId="10844" xr:uid="{00000000-0005-0000-0000-0000F4180000}"/>
    <cellStyle name="Calculation 2 5 9 2 4" xfId="10848" xr:uid="{00000000-0005-0000-0000-0000F5180000}"/>
    <cellStyle name="Calculation 2 5 9 3" xfId="10850" xr:uid="{00000000-0005-0000-0000-0000F6180000}"/>
    <cellStyle name="Calculation 2 5 9 3 2" xfId="10855" xr:uid="{00000000-0005-0000-0000-0000F7180000}"/>
    <cellStyle name="Calculation 2 5 9 3 3" xfId="10858" xr:uid="{00000000-0005-0000-0000-0000F8180000}"/>
    <cellStyle name="Calculation 2 5 9 3 4" xfId="10861" xr:uid="{00000000-0005-0000-0000-0000F9180000}"/>
    <cellStyle name="Calculation 2 5 9 4" xfId="10863" xr:uid="{00000000-0005-0000-0000-0000FA180000}"/>
    <cellStyle name="Calculation 2 5 9 4 2" xfId="10868" xr:uid="{00000000-0005-0000-0000-0000FB180000}"/>
    <cellStyle name="Calculation 2 5 9 4 3" xfId="10871" xr:uid="{00000000-0005-0000-0000-0000FC180000}"/>
    <cellStyle name="Calculation 2 5 9 5" xfId="10874" xr:uid="{00000000-0005-0000-0000-0000FD180000}"/>
    <cellStyle name="Calculation 2 5 9 5 2" xfId="10877" xr:uid="{00000000-0005-0000-0000-0000FE180000}"/>
    <cellStyle name="Calculation 2 5 9 5 3" xfId="10880" xr:uid="{00000000-0005-0000-0000-0000FF180000}"/>
    <cellStyle name="Calculation 2 5 9 6" xfId="10884" xr:uid="{00000000-0005-0000-0000-000000190000}"/>
    <cellStyle name="Calculation 2 5 9 7" xfId="10886" xr:uid="{00000000-0005-0000-0000-000001190000}"/>
    <cellStyle name="Calculation 2 5 9 8" xfId="10888" xr:uid="{00000000-0005-0000-0000-000002190000}"/>
    <cellStyle name="Calculation 2 6" xfId="10891" xr:uid="{00000000-0005-0000-0000-000003190000}"/>
    <cellStyle name="Calculation 2 6 10" xfId="10892" xr:uid="{00000000-0005-0000-0000-000004190000}"/>
    <cellStyle name="Calculation 2 6 10 2" xfId="10095" xr:uid="{00000000-0005-0000-0000-000005190000}"/>
    <cellStyle name="Calculation 2 6 10 2 2" xfId="10895" xr:uid="{00000000-0005-0000-0000-000006190000}"/>
    <cellStyle name="Calculation 2 6 10 2 3" xfId="10902" xr:uid="{00000000-0005-0000-0000-000007190000}"/>
    <cellStyle name="Calculation 2 6 10 2 4" xfId="10906" xr:uid="{00000000-0005-0000-0000-000008190000}"/>
    <cellStyle name="Calculation 2 6 10 3" xfId="10097" xr:uid="{00000000-0005-0000-0000-000009190000}"/>
    <cellStyle name="Calculation 2 6 10 3 2" xfId="10908" xr:uid="{00000000-0005-0000-0000-00000A190000}"/>
    <cellStyle name="Calculation 2 6 10 3 3" xfId="10913" xr:uid="{00000000-0005-0000-0000-00000B190000}"/>
    <cellStyle name="Calculation 2 6 10 3 4" xfId="10917" xr:uid="{00000000-0005-0000-0000-00000C190000}"/>
    <cellStyle name="Calculation 2 6 10 4" xfId="10919" xr:uid="{00000000-0005-0000-0000-00000D190000}"/>
    <cellStyle name="Calculation 2 6 10 4 2" xfId="10920" xr:uid="{00000000-0005-0000-0000-00000E190000}"/>
    <cellStyle name="Calculation 2 6 10 4 3" xfId="10924" xr:uid="{00000000-0005-0000-0000-00000F190000}"/>
    <cellStyle name="Calculation 2 6 10 5" xfId="10926" xr:uid="{00000000-0005-0000-0000-000010190000}"/>
    <cellStyle name="Calculation 2 6 10 5 2" xfId="2944" xr:uid="{00000000-0005-0000-0000-000011190000}"/>
    <cellStyle name="Calculation 2 6 10 5 3" xfId="10928" xr:uid="{00000000-0005-0000-0000-000012190000}"/>
    <cellStyle name="Calculation 2 6 10 6" xfId="10930" xr:uid="{00000000-0005-0000-0000-000013190000}"/>
    <cellStyle name="Calculation 2 6 10 7" xfId="10415" xr:uid="{00000000-0005-0000-0000-000014190000}"/>
    <cellStyle name="Calculation 2 6 11" xfId="10932" xr:uid="{00000000-0005-0000-0000-000015190000}"/>
    <cellStyle name="Calculation 2 6 11 2" xfId="10101" xr:uid="{00000000-0005-0000-0000-000016190000}"/>
    <cellStyle name="Calculation 2 6 11 2 2" xfId="10934" xr:uid="{00000000-0005-0000-0000-000017190000}"/>
    <cellStyle name="Calculation 2 6 11 2 3" xfId="10940" xr:uid="{00000000-0005-0000-0000-000018190000}"/>
    <cellStyle name="Calculation 2 6 11 2 4" xfId="10943" xr:uid="{00000000-0005-0000-0000-000019190000}"/>
    <cellStyle name="Calculation 2 6 11 3" xfId="10945" xr:uid="{00000000-0005-0000-0000-00001A190000}"/>
    <cellStyle name="Calculation 2 6 11 3 2" xfId="10946" xr:uid="{00000000-0005-0000-0000-00001B190000}"/>
    <cellStyle name="Calculation 2 6 11 3 3" xfId="10950" xr:uid="{00000000-0005-0000-0000-00001C190000}"/>
    <cellStyle name="Calculation 2 6 11 3 4" xfId="10953" xr:uid="{00000000-0005-0000-0000-00001D190000}"/>
    <cellStyle name="Calculation 2 6 11 4" xfId="10955" xr:uid="{00000000-0005-0000-0000-00001E190000}"/>
    <cellStyle name="Calculation 2 6 11 4 2" xfId="10956" xr:uid="{00000000-0005-0000-0000-00001F190000}"/>
    <cellStyle name="Calculation 2 6 11 4 3" xfId="10959" xr:uid="{00000000-0005-0000-0000-000020190000}"/>
    <cellStyle name="Calculation 2 6 11 5" xfId="10961" xr:uid="{00000000-0005-0000-0000-000021190000}"/>
    <cellStyle name="Calculation 2 6 11 5 2" xfId="10963" xr:uid="{00000000-0005-0000-0000-000022190000}"/>
    <cellStyle name="Calculation 2 6 11 5 3" xfId="10965" xr:uid="{00000000-0005-0000-0000-000023190000}"/>
    <cellStyle name="Calculation 2 6 11 6" xfId="10967" xr:uid="{00000000-0005-0000-0000-000024190000}"/>
    <cellStyle name="Calculation 2 6 11 7" xfId="10421" xr:uid="{00000000-0005-0000-0000-000025190000}"/>
    <cellStyle name="Calculation 2 6 12" xfId="3991" xr:uid="{00000000-0005-0000-0000-000026190000}"/>
    <cellStyle name="Calculation 2 6 12 2" xfId="10103" xr:uid="{00000000-0005-0000-0000-000027190000}"/>
    <cellStyle name="Calculation 2 6 12 2 2" xfId="6502" xr:uid="{00000000-0005-0000-0000-000028190000}"/>
    <cellStyle name="Calculation 2 6 12 2 3" xfId="6507" xr:uid="{00000000-0005-0000-0000-000029190000}"/>
    <cellStyle name="Calculation 2 6 12 2 4" xfId="581" xr:uid="{00000000-0005-0000-0000-00002A190000}"/>
    <cellStyle name="Calculation 2 6 12 3" xfId="10969" xr:uid="{00000000-0005-0000-0000-00002B190000}"/>
    <cellStyle name="Calculation 2 6 12 3 2" xfId="10970" xr:uid="{00000000-0005-0000-0000-00002C190000}"/>
    <cellStyle name="Calculation 2 6 12 3 3" xfId="10972" xr:uid="{00000000-0005-0000-0000-00002D190000}"/>
    <cellStyle name="Calculation 2 6 12 3 4" xfId="10974" xr:uid="{00000000-0005-0000-0000-00002E190000}"/>
    <cellStyle name="Calculation 2 6 12 4" xfId="10976" xr:uid="{00000000-0005-0000-0000-00002F190000}"/>
    <cellStyle name="Calculation 2 6 12 4 2" xfId="10977" xr:uid="{00000000-0005-0000-0000-000030190000}"/>
    <cellStyle name="Calculation 2 6 12 4 3" xfId="10980" xr:uid="{00000000-0005-0000-0000-000031190000}"/>
    <cellStyle name="Calculation 2 6 12 5" xfId="10983" xr:uid="{00000000-0005-0000-0000-000032190000}"/>
    <cellStyle name="Calculation 2 6 12 5 2" xfId="10986" xr:uid="{00000000-0005-0000-0000-000033190000}"/>
    <cellStyle name="Calculation 2 6 12 5 3" xfId="10989" xr:uid="{00000000-0005-0000-0000-000034190000}"/>
    <cellStyle name="Calculation 2 6 12 6" xfId="10992" xr:uid="{00000000-0005-0000-0000-000035190000}"/>
    <cellStyle name="Calculation 2 6 12 7" xfId="10994" xr:uid="{00000000-0005-0000-0000-000036190000}"/>
    <cellStyle name="Calculation 2 6 13" xfId="3143" xr:uid="{00000000-0005-0000-0000-000037190000}"/>
    <cellStyle name="Calculation 2 6 13 2" xfId="10997" xr:uid="{00000000-0005-0000-0000-000038190000}"/>
    <cellStyle name="Calculation 2 6 13 3" xfId="10998" xr:uid="{00000000-0005-0000-0000-000039190000}"/>
    <cellStyle name="Calculation 2 6 13 4" xfId="10999" xr:uid="{00000000-0005-0000-0000-00003A190000}"/>
    <cellStyle name="Calculation 2 6 14" xfId="3146" xr:uid="{00000000-0005-0000-0000-00003B190000}"/>
    <cellStyle name="Calculation 2 6 14 2" xfId="11000" xr:uid="{00000000-0005-0000-0000-00003C190000}"/>
    <cellStyle name="Calculation 2 6 14 3" xfId="11002" xr:uid="{00000000-0005-0000-0000-00003D190000}"/>
    <cellStyle name="Calculation 2 6 14 4" xfId="11005" xr:uid="{00000000-0005-0000-0000-00003E190000}"/>
    <cellStyle name="Calculation 2 6 15" xfId="3149" xr:uid="{00000000-0005-0000-0000-00003F190000}"/>
    <cellStyle name="Calculation 2 6 15 2" xfId="11007" xr:uid="{00000000-0005-0000-0000-000040190000}"/>
    <cellStyle name="Calculation 2 6 15 3" xfId="11009" xr:uid="{00000000-0005-0000-0000-000041190000}"/>
    <cellStyle name="Calculation 2 6 16" xfId="11012" xr:uid="{00000000-0005-0000-0000-000042190000}"/>
    <cellStyle name="Calculation 2 6 16 2" xfId="11013" xr:uid="{00000000-0005-0000-0000-000043190000}"/>
    <cellStyle name="Calculation 2 6 16 3" xfId="11015" xr:uid="{00000000-0005-0000-0000-000044190000}"/>
    <cellStyle name="Calculation 2 6 17" xfId="11017" xr:uid="{00000000-0005-0000-0000-000045190000}"/>
    <cellStyle name="Calculation 2 6 17 2" xfId="11019" xr:uid="{00000000-0005-0000-0000-000046190000}"/>
    <cellStyle name="Calculation 2 6 17 2 2" xfId="11021" xr:uid="{00000000-0005-0000-0000-000047190000}"/>
    <cellStyle name="Calculation 2 6 18" xfId="11022" xr:uid="{00000000-0005-0000-0000-000048190000}"/>
    <cellStyle name="Calculation 2 6 19" xfId="11024" xr:uid="{00000000-0005-0000-0000-000049190000}"/>
    <cellStyle name="Calculation 2 6 2" xfId="11025" xr:uid="{00000000-0005-0000-0000-00004A190000}"/>
    <cellStyle name="Calculation 2 6 2 10" xfId="11026" xr:uid="{00000000-0005-0000-0000-00004B190000}"/>
    <cellStyle name="Calculation 2 6 2 10 2" xfId="11029" xr:uid="{00000000-0005-0000-0000-00004C190000}"/>
    <cellStyle name="Calculation 2 6 2 10 2 2" xfId="7728" xr:uid="{00000000-0005-0000-0000-00004D190000}"/>
    <cellStyle name="Calculation 2 6 2 10 2 3" xfId="7733" xr:uid="{00000000-0005-0000-0000-00004E190000}"/>
    <cellStyle name="Calculation 2 6 2 10 2 4" xfId="7737" xr:uid="{00000000-0005-0000-0000-00004F190000}"/>
    <cellStyle name="Calculation 2 6 2 10 3" xfId="11030" xr:uid="{00000000-0005-0000-0000-000050190000}"/>
    <cellStyle name="Calculation 2 6 2 10 3 2" xfId="7771" xr:uid="{00000000-0005-0000-0000-000051190000}"/>
    <cellStyle name="Calculation 2 6 2 10 3 3" xfId="7779" xr:uid="{00000000-0005-0000-0000-000052190000}"/>
    <cellStyle name="Calculation 2 6 2 10 3 4" xfId="7788" xr:uid="{00000000-0005-0000-0000-000053190000}"/>
    <cellStyle name="Calculation 2 6 2 10 4" xfId="11032" xr:uid="{00000000-0005-0000-0000-000054190000}"/>
    <cellStyle name="Calculation 2 6 2 10 4 2" xfId="4161" xr:uid="{00000000-0005-0000-0000-000055190000}"/>
    <cellStyle name="Calculation 2 6 2 10 4 3" xfId="4175" xr:uid="{00000000-0005-0000-0000-000056190000}"/>
    <cellStyle name="Calculation 2 6 2 10 5" xfId="11034" xr:uid="{00000000-0005-0000-0000-000057190000}"/>
    <cellStyle name="Calculation 2 6 2 10 5 2" xfId="7814" xr:uid="{00000000-0005-0000-0000-000058190000}"/>
    <cellStyle name="Calculation 2 6 2 10 5 3" xfId="7822" xr:uid="{00000000-0005-0000-0000-000059190000}"/>
    <cellStyle name="Calculation 2 6 2 10 6" xfId="11036" xr:uid="{00000000-0005-0000-0000-00005A190000}"/>
    <cellStyle name="Calculation 2 6 2 10 7" xfId="11038" xr:uid="{00000000-0005-0000-0000-00005B190000}"/>
    <cellStyle name="Calculation 2 6 2 11" xfId="11040" xr:uid="{00000000-0005-0000-0000-00005C190000}"/>
    <cellStyle name="Calculation 2 6 2 11 2" xfId="11042" xr:uid="{00000000-0005-0000-0000-00005D190000}"/>
    <cellStyle name="Calculation 2 6 2 11 3" xfId="11043" xr:uid="{00000000-0005-0000-0000-00005E190000}"/>
    <cellStyle name="Calculation 2 6 2 11 4" xfId="11045" xr:uid="{00000000-0005-0000-0000-00005F190000}"/>
    <cellStyle name="Calculation 2 6 2 12" xfId="11047" xr:uid="{00000000-0005-0000-0000-000060190000}"/>
    <cellStyle name="Calculation 2 6 2 12 2" xfId="11050" xr:uid="{00000000-0005-0000-0000-000061190000}"/>
    <cellStyle name="Calculation 2 6 2 12 3" xfId="11054" xr:uid="{00000000-0005-0000-0000-000062190000}"/>
    <cellStyle name="Calculation 2 6 2 12 4" xfId="11059" xr:uid="{00000000-0005-0000-0000-000063190000}"/>
    <cellStyle name="Calculation 2 6 2 13" xfId="11064" xr:uid="{00000000-0005-0000-0000-000064190000}"/>
    <cellStyle name="Calculation 2 6 2 13 2" xfId="10262" xr:uid="{00000000-0005-0000-0000-000065190000}"/>
    <cellStyle name="Calculation 2 6 2 13 3" xfId="10265" xr:uid="{00000000-0005-0000-0000-000066190000}"/>
    <cellStyle name="Calculation 2 6 2 14" xfId="11067" xr:uid="{00000000-0005-0000-0000-000067190000}"/>
    <cellStyle name="Calculation 2 6 2 14 2" xfId="10287" xr:uid="{00000000-0005-0000-0000-000068190000}"/>
    <cellStyle name="Calculation 2 6 2 14 3" xfId="10291" xr:uid="{00000000-0005-0000-0000-000069190000}"/>
    <cellStyle name="Calculation 2 6 2 15" xfId="11069" xr:uid="{00000000-0005-0000-0000-00006A190000}"/>
    <cellStyle name="Calculation 2 6 2 16" xfId="11070" xr:uid="{00000000-0005-0000-0000-00006B190000}"/>
    <cellStyle name="Calculation 2 6 2 2" xfId="11071" xr:uid="{00000000-0005-0000-0000-00006C190000}"/>
    <cellStyle name="Calculation 2 6 2 2 2" xfId="11074" xr:uid="{00000000-0005-0000-0000-00006D190000}"/>
    <cellStyle name="Calculation 2 6 2 2 2 2" xfId="11075" xr:uid="{00000000-0005-0000-0000-00006E190000}"/>
    <cellStyle name="Calculation 2 6 2 2 2 2 2" xfId="11077" xr:uid="{00000000-0005-0000-0000-00006F190000}"/>
    <cellStyle name="Calculation 2 6 2 2 2 2 2 2" xfId="11078" xr:uid="{00000000-0005-0000-0000-000070190000}"/>
    <cellStyle name="Calculation 2 6 2 2 2 2 2 2 2" xfId="11079" xr:uid="{00000000-0005-0000-0000-000071190000}"/>
    <cellStyle name="Calculation 2 6 2 2 2 3" xfId="6558" xr:uid="{00000000-0005-0000-0000-000072190000}"/>
    <cellStyle name="Calculation 2 6 2 2 2 4" xfId="3676" xr:uid="{00000000-0005-0000-0000-000073190000}"/>
    <cellStyle name="Calculation 2 6 2 2 3" xfId="11080" xr:uid="{00000000-0005-0000-0000-000074190000}"/>
    <cellStyle name="Calculation 2 6 2 2 3 2" xfId="11081" xr:uid="{00000000-0005-0000-0000-000075190000}"/>
    <cellStyle name="Calculation 2 6 2 2 3 3" xfId="1900" xr:uid="{00000000-0005-0000-0000-000076190000}"/>
    <cellStyle name="Calculation 2 6 2 2 3 4" xfId="3685" xr:uid="{00000000-0005-0000-0000-000077190000}"/>
    <cellStyle name="Calculation 2 6 2 2 4" xfId="11083" xr:uid="{00000000-0005-0000-0000-000078190000}"/>
    <cellStyle name="Calculation 2 6 2 2 4 2" xfId="8854" xr:uid="{00000000-0005-0000-0000-000079190000}"/>
    <cellStyle name="Calculation 2 6 2 2 4 3" xfId="1940" xr:uid="{00000000-0005-0000-0000-00007A190000}"/>
    <cellStyle name="Calculation 2 6 2 2 5" xfId="11084" xr:uid="{00000000-0005-0000-0000-00007B190000}"/>
    <cellStyle name="Calculation 2 6 2 2 5 2" xfId="11085" xr:uid="{00000000-0005-0000-0000-00007C190000}"/>
    <cellStyle name="Calculation 2 6 2 2 5 3" xfId="6566" xr:uid="{00000000-0005-0000-0000-00007D190000}"/>
    <cellStyle name="Calculation 2 6 2 2 6" xfId="11087" xr:uid="{00000000-0005-0000-0000-00007E190000}"/>
    <cellStyle name="Calculation 2 6 2 2 6 2" xfId="11089" xr:uid="{00000000-0005-0000-0000-00007F190000}"/>
    <cellStyle name="Calculation 2 6 2 2 6 2 2" xfId="11091" xr:uid="{00000000-0005-0000-0000-000080190000}"/>
    <cellStyle name="Calculation 2 6 2 2 7" xfId="11092" xr:uid="{00000000-0005-0000-0000-000081190000}"/>
    <cellStyle name="Calculation 2 6 2 3" xfId="11095" xr:uid="{00000000-0005-0000-0000-000082190000}"/>
    <cellStyle name="Calculation 2 6 2 3 2" xfId="11097" xr:uid="{00000000-0005-0000-0000-000083190000}"/>
    <cellStyle name="Calculation 2 6 2 3 2 2" xfId="11099" xr:uid="{00000000-0005-0000-0000-000084190000}"/>
    <cellStyle name="Calculation 2 6 2 3 2 3" xfId="6578" xr:uid="{00000000-0005-0000-0000-000085190000}"/>
    <cellStyle name="Calculation 2 6 2 3 2 4" xfId="3717" xr:uid="{00000000-0005-0000-0000-000086190000}"/>
    <cellStyle name="Calculation 2 6 2 3 3" xfId="11103" xr:uid="{00000000-0005-0000-0000-000087190000}"/>
    <cellStyle name="Calculation 2 6 2 3 3 2" xfId="11105" xr:uid="{00000000-0005-0000-0000-000088190000}"/>
    <cellStyle name="Calculation 2 6 2 3 3 3" xfId="35" xr:uid="{00000000-0005-0000-0000-000089190000}"/>
    <cellStyle name="Calculation 2 6 2 3 3 4" xfId="3731" xr:uid="{00000000-0005-0000-0000-00008A190000}"/>
    <cellStyle name="Calculation 2 6 2 3 4" xfId="11108" xr:uid="{00000000-0005-0000-0000-00008B190000}"/>
    <cellStyle name="Calculation 2 6 2 3 4 2" xfId="11110" xr:uid="{00000000-0005-0000-0000-00008C190000}"/>
    <cellStyle name="Calculation 2 6 2 3 4 3" xfId="3547" xr:uid="{00000000-0005-0000-0000-00008D190000}"/>
    <cellStyle name="Calculation 2 6 2 3 5" xfId="11113" xr:uid="{00000000-0005-0000-0000-00008E190000}"/>
    <cellStyle name="Calculation 2 6 2 3 5 2" xfId="9612" xr:uid="{00000000-0005-0000-0000-00008F190000}"/>
    <cellStyle name="Calculation 2 6 2 3 5 3" xfId="6590" xr:uid="{00000000-0005-0000-0000-000090190000}"/>
    <cellStyle name="Calculation 2 6 2 3 6" xfId="11115" xr:uid="{00000000-0005-0000-0000-000091190000}"/>
    <cellStyle name="Calculation 2 6 2 3 6 2" xfId="11116" xr:uid="{00000000-0005-0000-0000-000092190000}"/>
    <cellStyle name="Calculation 2 6 2 3 6 2 2" xfId="11119" xr:uid="{00000000-0005-0000-0000-000093190000}"/>
    <cellStyle name="Calculation 2 6 2 3 7" xfId="11120" xr:uid="{00000000-0005-0000-0000-000094190000}"/>
    <cellStyle name="Calculation 2 6 2 4" xfId="11122" xr:uid="{00000000-0005-0000-0000-000095190000}"/>
    <cellStyle name="Calculation 2 6 2 4 2" xfId="11123" xr:uid="{00000000-0005-0000-0000-000096190000}"/>
    <cellStyle name="Calculation 2 6 2 4 2 2" xfId="11124" xr:uid="{00000000-0005-0000-0000-000097190000}"/>
    <cellStyle name="Calculation 2 6 2 4 2 3" xfId="6603" xr:uid="{00000000-0005-0000-0000-000098190000}"/>
    <cellStyle name="Calculation 2 6 2 4 2 4" xfId="3781" xr:uid="{00000000-0005-0000-0000-000099190000}"/>
    <cellStyle name="Calculation 2 6 2 4 3" xfId="11127" xr:uid="{00000000-0005-0000-0000-00009A190000}"/>
    <cellStyle name="Calculation 2 6 2 4 3 2" xfId="11128" xr:uid="{00000000-0005-0000-0000-00009B190000}"/>
    <cellStyle name="Calculation 2 6 2 4 3 3" xfId="6613" xr:uid="{00000000-0005-0000-0000-00009C190000}"/>
    <cellStyle name="Calculation 2 6 2 4 3 4" xfId="3800" xr:uid="{00000000-0005-0000-0000-00009D190000}"/>
    <cellStyle name="Calculation 2 6 2 4 4" xfId="11131" xr:uid="{00000000-0005-0000-0000-00009E190000}"/>
    <cellStyle name="Calculation 2 6 2 4 4 2" xfId="11133" xr:uid="{00000000-0005-0000-0000-00009F190000}"/>
    <cellStyle name="Calculation 2 6 2 4 4 3" xfId="6622" xr:uid="{00000000-0005-0000-0000-0000A0190000}"/>
    <cellStyle name="Calculation 2 6 2 4 5" xfId="11136" xr:uid="{00000000-0005-0000-0000-0000A1190000}"/>
    <cellStyle name="Calculation 2 6 2 4 5 2" xfId="11137" xr:uid="{00000000-0005-0000-0000-0000A2190000}"/>
    <cellStyle name="Calculation 2 6 2 4 5 3" xfId="6635" xr:uid="{00000000-0005-0000-0000-0000A3190000}"/>
    <cellStyle name="Calculation 2 6 2 4 6" xfId="11140" xr:uid="{00000000-0005-0000-0000-0000A4190000}"/>
    <cellStyle name="Calculation 2 6 2 4 7" xfId="11141" xr:uid="{00000000-0005-0000-0000-0000A5190000}"/>
    <cellStyle name="Calculation 2 6 2 5" xfId="11143" xr:uid="{00000000-0005-0000-0000-0000A6190000}"/>
    <cellStyle name="Calculation 2 6 2 5 2" xfId="11144" xr:uid="{00000000-0005-0000-0000-0000A7190000}"/>
    <cellStyle name="Calculation 2 6 2 5 2 2" xfId="11145" xr:uid="{00000000-0005-0000-0000-0000A8190000}"/>
    <cellStyle name="Calculation 2 6 2 5 2 3" xfId="6645" xr:uid="{00000000-0005-0000-0000-0000A9190000}"/>
    <cellStyle name="Calculation 2 6 2 5 2 4" xfId="3857" xr:uid="{00000000-0005-0000-0000-0000AA190000}"/>
    <cellStyle name="Calculation 2 6 2 5 3" xfId="11147" xr:uid="{00000000-0005-0000-0000-0000AB190000}"/>
    <cellStyle name="Calculation 2 6 2 5 3 2" xfId="11148" xr:uid="{00000000-0005-0000-0000-0000AC190000}"/>
    <cellStyle name="Calculation 2 6 2 5 3 3" xfId="6649" xr:uid="{00000000-0005-0000-0000-0000AD190000}"/>
    <cellStyle name="Calculation 2 6 2 5 3 4" xfId="3880" xr:uid="{00000000-0005-0000-0000-0000AE190000}"/>
    <cellStyle name="Calculation 2 6 2 5 4" xfId="11151" xr:uid="{00000000-0005-0000-0000-0000AF190000}"/>
    <cellStyle name="Calculation 2 6 2 5 4 2" xfId="5691" xr:uid="{00000000-0005-0000-0000-0000B0190000}"/>
    <cellStyle name="Calculation 2 6 2 5 4 3" xfId="5695" xr:uid="{00000000-0005-0000-0000-0000B1190000}"/>
    <cellStyle name="Calculation 2 6 2 5 5" xfId="11152" xr:uid="{00000000-0005-0000-0000-0000B2190000}"/>
    <cellStyle name="Calculation 2 6 2 5 5 2" xfId="5704" xr:uid="{00000000-0005-0000-0000-0000B3190000}"/>
    <cellStyle name="Calculation 2 6 2 5 5 3" xfId="5708" xr:uid="{00000000-0005-0000-0000-0000B4190000}"/>
    <cellStyle name="Calculation 2 6 2 5 6" xfId="11153" xr:uid="{00000000-0005-0000-0000-0000B5190000}"/>
    <cellStyle name="Calculation 2 6 2 5 7" xfId="11154" xr:uid="{00000000-0005-0000-0000-0000B6190000}"/>
    <cellStyle name="Calculation 2 6 2 6" xfId="11155" xr:uid="{00000000-0005-0000-0000-0000B7190000}"/>
    <cellStyle name="Calculation 2 6 2 6 2" xfId="11156" xr:uid="{00000000-0005-0000-0000-0000B8190000}"/>
    <cellStyle name="Calculation 2 6 2 6 2 2" xfId="11157" xr:uid="{00000000-0005-0000-0000-0000B9190000}"/>
    <cellStyle name="Calculation 2 6 2 6 2 3" xfId="6673" xr:uid="{00000000-0005-0000-0000-0000BA190000}"/>
    <cellStyle name="Calculation 2 6 2 6 2 4" xfId="6676" xr:uid="{00000000-0005-0000-0000-0000BB190000}"/>
    <cellStyle name="Calculation 2 6 2 6 3" xfId="11160" xr:uid="{00000000-0005-0000-0000-0000BC190000}"/>
    <cellStyle name="Calculation 2 6 2 6 3 2" xfId="11161" xr:uid="{00000000-0005-0000-0000-0000BD190000}"/>
    <cellStyle name="Calculation 2 6 2 6 3 3" xfId="6682" xr:uid="{00000000-0005-0000-0000-0000BE190000}"/>
    <cellStyle name="Calculation 2 6 2 6 3 4" xfId="6685" xr:uid="{00000000-0005-0000-0000-0000BF190000}"/>
    <cellStyle name="Calculation 2 6 2 6 4" xfId="11164" xr:uid="{00000000-0005-0000-0000-0000C0190000}"/>
    <cellStyle name="Calculation 2 6 2 6 4 2" xfId="11166" xr:uid="{00000000-0005-0000-0000-0000C1190000}"/>
    <cellStyle name="Calculation 2 6 2 6 4 3" xfId="6693" xr:uid="{00000000-0005-0000-0000-0000C2190000}"/>
    <cellStyle name="Calculation 2 6 2 6 5" xfId="11171" xr:uid="{00000000-0005-0000-0000-0000C3190000}"/>
    <cellStyle name="Calculation 2 6 2 6 5 2" xfId="11173" xr:uid="{00000000-0005-0000-0000-0000C4190000}"/>
    <cellStyle name="Calculation 2 6 2 6 5 3" xfId="6700" xr:uid="{00000000-0005-0000-0000-0000C5190000}"/>
    <cellStyle name="Calculation 2 6 2 6 6" xfId="11178" xr:uid="{00000000-0005-0000-0000-0000C6190000}"/>
    <cellStyle name="Calculation 2 6 2 6 7" xfId="11180" xr:uid="{00000000-0005-0000-0000-0000C7190000}"/>
    <cellStyle name="Calculation 2 6 2 7" xfId="11182" xr:uid="{00000000-0005-0000-0000-0000C8190000}"/>
    <cellStyle name="Calculation 2 6 2 7 2" xfId="11183" xr:uid="{00000000-0005-0000-0000-0000C9190000}"/>
    <cellStyle name="Calculation 2 6 2 7 2 2" xfId="11184" xr:uid="{00000000-0005-0000-0000-0000CA190000}"/>
    <cellStyle name="Calculation 2 6 2 7 2 3" xfId="5342" xr:uid="{00000000-0005-0000-0000-0000CB190000}"/>
    <cellStyle name="Calculation 2 6 2 7 2 4" xfId="5346" xr:uid="{00000000-0005-0000-0000-0000CC190000}"/>
    <cellStyle name="Calculation 2 6 2 7 3" xfId="11187" xr:uid="{00000000-0005-0000-0000-0000CD190000}"/>
    <cellStyle name="Calculation 2 6 2 7 3 2" xfId="11189" xr:uid="{00000000-0005-0000-0000-0000CE190000}"/>
    <cellStyle name="Calculation 2 6 2 7 3 3" xfId="2342" xr:uid="{00000000-0005-0000-0000-0000CF190000}"/>
    <cellStyle name="Calculation 2 6 2 7 3 4" xfId="5352" xr:uid="{00000000-0005-0000-0000-0000D0190000}"/>
    <cellStyle name="Calculation 2 6 2 7 4" xfId="11192" xr:uid="{00000000-0005-0000-0000-0000D1190000}"/>
    <cellStyle name="Calculation 2 6 2 7 4 2" xfId="11194" xr:uid="{00000000-0005-0000-0000-0000D2190000}"/>
    <cellStyle name="Calculation 2 6 2 7 4 3" xfId="5361" xr:uid="{00000000-0005-0000-0000-0000D3190000}"/>
    <cellStyle name="Calculation 2 6 2 7 5" xfId="11199" xr:uid="{00000000-0005-0000-0000-0000D4190000}"/>
    <cellStyle name="Calculation 2 6 2 7 5 2" xfId="203" xr:uid="{00000000-0005-0000-0000-0000D5190000}"/>
    <cellStyle name="Calculation 2 6 2 7 5 3" xfId="1216" xr:uid="{00000000-0005-0000-0000-0000D6190000}"/>
    <cellStyle name="Calculation 2 6 2 7 6" xfId="11202" xr:uid="{00000000-0005-0000-0000-0000D7190000}"/>
    <cellStyle name="Calculation 2 6 2 7 7" xfId="11204" xr:uid="{00000000-0005-0000-0000-0000D8190000}"/>
    <cellStyle name="Calculation 2 6 2 8" xfId="11206" xr:uid="{00000000-0005-0000-0000-0000D9190000}"/>
    <cellStyle name="Calculation 2 6 2 8 2" xfId="11208" xr:uid="{00000000-0005-0000-0000-0000DA190000}"/>
    <cellStyle name="Calculation 2 6 2 8 2 2" xfId="11211" xr:uid="{00000000-0005-0000-0000-0000DB190000}"/>
    <cellStyle name="Calculation 2 6 2 8 2 3" xfId="6708" xr:uid="{00000000-0005-0000-0000-0000DC190000}"/>
    <cellStyle name="Calculation 2 6 2 8 2 4" xfId="6712" xr:uid="{00000000-0005-0000-0000-0000DD190000}"/>
    <cellStyle name="Calculation 2 6 2 8 3" xfId="11214" xr:uid="{00000000-0005-0000-0000-0000DE190000}"/>
    <cellStyle name="Calculation 2 6 2 8 3 2" xfId="11218" xr:uid="{00000000-0005-0000-0000-0000DF190000}"/>
    <cellStyle name="Calculation 2 6 2 8 3 3" xfId="6715" xr:uid="{00000000-0005-0000-0000-0000E0190000}"/>
    <cellStyle name="Calculation 2 6 2 8 3 4" xfId="6717" xr:uid="{00000000-0005-0000-0000-0000E1190000}"/>
    <cellStyle name="Calculation 2 6 2 8 4" xfId="11220" xr:uid="{00000000-0005-0000-0000-0000E2190000}"/>
    <cellStyle name="Calculation 2 6 2 8 4 2" xfId="11225" xr:uid="{00000000-0005-0000-0000-0000E3190000}"/>
    <cellStyle name="Calculation 2 6 2 8 4 3" xfId="4547" xr:uid="{00000000-0005-0000-0000-0000E4190000}"/>
    <cellStyle name="Calculation 2 6 2 8 5" xfId="11229" xr:uid="{00000000-0005-0000-0000-0000E5190000}"/>
    <cellStyle name="Calculation 2 6 2 8 5 2" xfId="10491" xr:uid="{00000000-0005-0000-0000-0000E6190000}"/>
    <cellStyle name="Calculation 2 6 2 8 5 3" xfId="6725" xr:uid="{00000000-0005-0000-0000-0000E7190000}"/>
    <cellStyle name="Calculation 2 6 2 8 6" xfId="11231" xr:uid="{00000000-0005-0000-0000-0000E8190000}"/>
    <cellStyle name="Calculation 2 6 2 8 7" xfId="11233" xr:uid="{00000000-0005-0000-0000-0000E9190000}"/>
    <cellStyle name="Calculation 2 6 2 9" xfId="11234" xr:uid="{00000000-0005-0000-0000-0000EA190000}"/>
    <cellStyle name="Calculation 2 6 2 9 2" xfId="11236" xr:uid="{00000000-0005-0000-0000-0000EB190000}"/>
    <cellStyle name="Calculation 2 6 2 9 2 2" xfId="11238" xr:uid="{00000000-0005-0000-0000-0000EC190000}"/>
    <cellStyle name="Calculation 2 6 2 9 2 3" xfId="11240" xr:uid="{00000000-0005-0000-0000-0000ED190000}"/>
    <cellStyle name="Calculation 2 6 2 9 2 4" xfId="11242" xr:uid="{00000000-0005-0000-0000-0000EE190000}"/>
    <cellStyle name="Calculation 2 6 2 9 3" xfId="11244" xr:uid="{00000000-0005-0000-0000-0000EF190000}"/>
    <cellStyle name="Calculation 2 6 2 9 3 2" xfId="5812" xr:uid="{00000000-0005-0000-0000-0000F0190000}"/>
    <cellStyle name="Calculation 2 6 2 9 3 3" xfId="5815" xr:uid="{00000000-0005-0000-0000-0000F1190000}"/>
    <cellStyle name="Calculation 2 6 2 9 3 4" xfId="11246" xr:uid="{00000000-0005-0000-0000-0000F2190000}"/>
    <cellStyle name="Calculation 2 6 2 9 4" xfId="11248" xr:uid="{00000000-0005-0000-0000-0000F3190000}"/>
    <cellStyle name="Calculation 2 6 2 9 4 2" xfId="5829" xr:uid="{00000000-0005-0000-0000-0000F4190000}"/>
    <cellStyle name="Calculation 2 6 2 9 4 3" xfId="5834" xr:uid="{00000000-0005-0000-0000-0000F5190000}"/>
    <cellStyle name="Calculation 2 6 2 9 5" xfId="11252" xr:uid="{00000000-0005-0000-0000-0000F6190000}"/>
    <cellStyle name="Calculation 2 6 2 9 5 2" xfId="5868" xr:uid="{00000000-0005-0000-0000-0000F7190000}"/>
    <cellStyle name="Calculation 2 6 2 9 5 3" xfId="5873" xr:uid="{00000000-0005-0000-0000-0000F8190000}"/>
    <cellStyle name="Calculation 2 6 2 9 6" xfId="11254" xr:uid="{00000000-0005-0000-0000-0000F9190000}"/>
    <cellStyle name="Calculation 2 6 2 9 7" xfId="11256" xr:uid="{00000000-0005-0000-0000-0000FA190000}"/>
    <cellStyle name="Calculation 2 6 20" xfId="3148" xr:uid="{00000000-0005-0000-0000-0000FB190000}"/>
    <cellStyle name="Calculation 2 6 3" xfId="11257" xr:uid="{00000000-0005-0000-0000-0000FC190000}"/>
    <cellStyle name="Calculation 2 6 3 10" xfId="11258" xr:uid="{00000000-0005-0000-0000-0000FD190000}"/>
    <cellStyle name="Calculation 2 6 3 10 2" xfId="11261" xr:uid="{00000000-0005-0000-0000-0000FE190000}"/>
    <cellStyle name="Calculation 2 6 3 10 2 2" xfId="11262" xr:uid="{00000000-0005-0000-0000-0000FF190000}"/>
    <cellStyle name="Calculation 2 6 3 10 2 3" xfId="11264" xr:uid="{00000000-0005-0000-0000-0000001A0000}"/>
    <cellStyle name="Calculation 2 6 3 10 2 4" xfId="11266" xr:uid="{00000000-0005-0000-0000-0000011A0000}"/>
    <cellStyle name="Calculation 2 6 3 10 3" xfId="11268" xr:uid="{00000000-0005-0000-0000-0000021A0000}"/>
    <cellStyle name="Calculation 2 6 3 10 3 2" xfId="11271" xr:uid="{00000000-0005-0000-0000-0000031A0000}"/>
    <cellStyle name="Calculation 2 6 3 10 3 3" xfId="11274" xr:uid="{00000000-0005-0000-0000-0000041A0000}"/>
    <cellStyle name="Calculation 2 6 3 10 3 4" xfId="11277" xr:uid="{00000000-0005-0000-0000-0000051A0000}"/>
    <cellStyle name="Calculation 2 6 3 10 4" xfId="11280" xr:uid="{00000000-0005-0000-0000-0000061A0000}"/>
    <cellStyle name="Calculation 2 6 3 10 4 2" xfId="11285" xr:uid="{00000000-0005-0000-0000-0000071A0000}"/>
    <cellStyle name="Calculation 2 6 3 10 4 3" xfId="11290" xr:uid="{00000000-0005-0000-0000-0000081A0000}"/>
    <cellStyle name="Calculation 2 6 3 10 5" xfId="11293" xr:uid="{00000000-0005-0000-0000-0000091A0000}"/>
    <cellStyle name="Calculation 2 6 3 10 5 2" xfId="11298" xr:uid="{00000000-0005-0000-0000-00000A1A0000}"/>
    <cellStyle name="Calculation 2 6 3 10 5 3" xfId="11304" xr:uid="{00000000-0005-0000-0000-00000B1A0000}"/>
    <cellStyle name="Calculation 2 6 3 10 6" xfId="11308" xr:uid="{00000000-0005-0000-0000-00000C1A0000}"/>
    <cellStyle name="Calculation 2 6 3 10 7" xfId="11311" xr:uid="{00000000-0005-0000-0000-00000D1A0000}"/>
    <cellStyle name="Calculation 2 6 3 11" xfId="11313" xr:uid="{00000000-0005-0000-0000-00000E1A0000}"/>
    <cellStyle name="Calculation 2 6 3 11 2" xfId="11314" xr:uid="{00000000-0005-0000-0000-00000F1A0000}"/>
    <cellStyle name="Calculation 2 6 3 11 3" xfId="11315" xr:uid="{00000000-0005-0000-0000-0000101A0000}"/>
    <cellStyle name="Calculation 2 6 3 11 4" xfId="11318" xr:uid="{00000000-0005-0000-0000-0000111A0000}"/>
    <cellStyle name="Calculation 2 6 3 12" xfId="5100" xr:uid="{00000000-0005-0000-0000-0000121A0000}"/>
    <cellStyle name="Calculation 2 6 3 12 2" xfId="11320" xr:uid="{00000000-0005-0000-0000-0000131A0000}"/>
    <cellStyle name="Calculation 2 6 3 12 3" xfId="11323" xr:uid="{00000000-0005-0000-0000-0000141A0000}"/>
    <cellStyle name="Calculation 2 6 3 12 4" xfId="11327" xr:uid="{00000000-0005-0000-0000-0000151A0000}"/>
    <cellStyle name="Calculation 2 6 3 13" xfId="5105" xr:uid="{00000000-0005-0000-0000-0000161A0000}"/>
    <cellStyle name="Calculation 2 6 3 13 2" xfId="11329" xr:uid="{00000000-0005-0000-0000-0000171A0000}"/>
    <cellStyle name="Calculation 2 6 3 13 3" xfId="11332" xr:uid="{00000000-0005-0000-0000-0000181A0000}"/>
    <cellStyle name="Calculation 2 6 3 14" xfId="11334" xr:uid="{00000000-0005-0000-0000-0000191A0000}"/>
    <cellStyle name="Calculation 2 6 3 14 2" xfId="11336" xr:uid="{00000000-0005-0000-0000-00001A1A0000}"/>
    <cellStyle name="Calculation 2 6 3 14 3" xfId="11338" xr:uid="{00000000-0005-0000-0000-00001B1A0000}"/>
    <cellStyle name="Calculation 2 6 3 15" xfId="11340" xr:uid="{00000000-0005-0000-0000-00001C1A0000}"/>
    <cellStyle name="Calculation 2 6 3 16" xfId="11343" xr:uid="{00000000-0005-0000-0000-00001D1A0000}"/>
    <cellStyle name="Calculation 2 6 3 2" xfId="11345" xr:uid="{00000000-0005-0000-0000-00001E1A0000}"/>
    <cellStyle name="Calculation 2 6 3 2 2" xfId="11349" xr:uid="{00000000-0005-0000-0000-00001F1A0000}"/>
    <cellStyle name="Calculation 2 6 3 2 2 2" xfId="11350" xr:uid="{00000000-0005-0000-0000-0000201A0000}"/>
    <cellStyle name="Calculation 2 6 3 2 2 3" xfId="11351" xr:uid="{00000000-0005-0000-0000-0000211A0000}"/>
    <cellStyle name="Calculation 2 6 3 2 2 4" xfId="11352" xr:uid="{00000000-0005-0000-0000-0000221A0000}"/>
    <cellStyle name="Calculation 2 6 3 2 3" xfId="11353" xr:uid="{00000000-0005-0000-0000-0000231A0000}"/>
    <cellStyle name="Calculation 2 6 3 2 3 2" xfId="11354" xr:uid="{00000000-0005-0000-0000-0000241A0000}"/>
    <cellStyle name="Calculation 2 6 3 2 3 3" xfId="11355" xr:uid="{00000000-0005-0000-0000-0000251A0000}"/>
    <cellStyle name="Calculation 2 6 3 2 3 4" xfId="11356" xr:uid="{00000000-0005-0000-0000-0000261A0000}"/>
    <cellStyle name="Calculation 2 6 3 2 4" xfId="11357" xr:uid="{00000000-0005-0000-0000-0000271A0000}"/>
    <cellStyle name="Calculation 2 6 3 2 4 2" xfId="11358" xr:uid="{00000000-0005-0000-0000-0000281A0000}"/>
    <cellStyle name="Calculation 2 6 3 2 4 3" xfId="11359" xr:uid="{00000000-0005-0000-0000-0000291A0000}"/>
    <cellStyle name="Calculation 2 6 3 2 5" xfId="11360" xr:uid="{00000000-0005-0000-0000-00002A1A0000}"/>
    <cellStyle name="Calculation 2 6 3 2 5 2" xfId="11361" xr:uid="{00000000-0005-0000-0000-00002B1A0000}"/>
    <cellStyle name="Calculation 2 6 3 2 5 3" xfId="11362" xr:uid="{00000000-0005-0000-0000-00002C1A0000}"/>
    <cellStyle name="Calculation 2 6 3 2 6" xfId="11363" xr:uid="{00000000-0005-0000-0000-00002D1A0000}"/>
    <cellStyle name="Calculation 2 6 3 2 7" xfId="11364" xr:uid="{00000000-0005-0000-0000-00002E1A0000}"/>
    <cellStyle name="Calculation 2 6 3 3" xfId="11366" xr:uid="{00000000-0005-0000-0000-00002F1A0000}"/>
    <cellStyle name="Calculation 2 6 3 3 2" xfId="11368" xr:uid="{00000000-0005-0000-0000-0000301A0000}"/>
    <cellStyle name="Calculation 2 6 3 3 2 2" xfId="11369" xr:uid="{00000000-0005-0000-0000-0000311A0000}"/>
    <cellStyle name="Calculation 2 6 3 3 2 3" xfId="11371" xr:uid="{00000000-0005-0000-0000-0000321A0000}"/>
    <cellStyle name="Calculation 2 6 3 3 2 4" xfId="11373" xr:uid="{00000000-0005-0000-0000-0000331A0000}"/>
    <cellStyle name="Calculation 2 6 3 3 3" xfId="11374" xr:uid="{00000000-0005-0000-0000-0000341A0000}"/>
    <cellStyle name="Calculation 2 6 3 3 3 2" xfId="11375" xr:uid="{00000000-0005-0000-0000-0000351A0000}"/>
    <cellStyle name="Calculation 2 6 3 3 3 3" xfId="11377" xr:uid="{00000000-0005-0000-0000-0000361A0000}"/>
    <cellStyle name="Calculation 2 6 3 3 3 4" xfId="11379" xr:uid="{00000000-0005-0000-0000-0000371A0000}"/>
    <cellStyle name="Calculation 2 6 3 3 4" xfId="11380" xr:uid="{00000000-0005-0000-0000-0000381A0000}"/>
    <cellStyle name="Calculation 2 6 3 3 4 2" xfId="11381" xr:uid="{00000000-0005-0000-0000-0000391A0000}"/>
    <cellStyle name="Calculation 2 6 3 3 4 3" xfId="11383" xr:uid="{00000000-0005-0000-0000-00003A1A0000}"/>
    <cellStyle name="Calculation 2 6 3 3 5" xfId="11385" xr:uid="{00000000-0005-0000-0000-00003B1A0000}"/>
    <cellStyle name="Calculation 2 6 3 3 5 2" xfId="11386" xr:uid="{00000000-0005-0000-0000-00003C1A0000}"/>
    <cellStyle name="Calculation 2 6 3 3 5 3" xfId="11389" xr:uid="{00000000-0005-0000-0000-00003D1A0000}"/>
    <cellStyle name="Calculation 2 6 3 3 6" xfId="11391" xr:uid="{00000000-0005-0000-0000-00003E1A0000}"/>
    <cellStyle name="Calculation 2 6 3 3 7" xfId="11392" xr:uid="{00000000-0005-0000-0000-00003F1A0000}"/>
    <cellStyle name="Calculation 2 6 3 4" xfId="11394" xr:uid="{00000000-0005-0000-0000-0000401A0000}"/>
    <cellStyle name="Calculation 2 6 3 4 2" xfId="11395" xr:uid="{00000000-0005-0000-0000-0000411A0000}"/>
    <cellStyle name="Calculation 2 6 3 4 2 2" xfId="11396" xr:uid="{00000000-0005-0000-0000-0000421A0000}"/>
    <cellStyle name="Calculation 2 6 3 4 2 3" xfId="11398" xr:uid="{00000000-0005-0000-0000-0000431A0000}"/>
    <cellStyle name="Calculation 2 6 3 4 2 4" xfId="11400" xr:uid="{00000000-0005-0000-0000-0000441A0000}"/>
    <cellStyle name="Calculation 2 6 3 4 3" xfId="11401" xr:uid="{00000000-0005-0000-0000-0000451A0000}"/>
    <cellStyle name="Calculation 2 6 3 4 3 2" xfId="11402" xr:uid="{00000000-0005-0000-0000-0000461A0000}"/>
    <cellStyle name="Calculation 2 6 3 4 3 3" xfId="11404" xr:uid="{00000000-0005-0000-0000-0000471A0000}"/>
    <cellStyle name="Calculation 2 6 3 4 3 4" xfId="11406" xr:uid="{00000000-0005-0000-0000-0000481A0000}"/>
    <cellStyle name="Calculation 2 6 3 4 4" xfId="11407" xr:uid="{00000000-0005-0000-0000-0000491A0000}"/>
    <cellStyle name="Calculation 2 6 3 4 4 2" xfId="11408" xr:uid="{00000000-0005-0000-0000-00004A1A0000}"/>
    <cellStyle name="Calculation 2 6 3 4 4 3" xfId="11410" xr:uid="{00000000-0005-0000-0000-00004B1A0000}"/>
    <cellStyle name="Calculation 2 6 3 4 5" xfId="11412" xr:uid="{00000000-0005-0000-0000-00004C1A0000}"/>
    <cellStyle name="Calculation 2 6 3 4 5 2" xfId="11413" xr:uid="{00000000-0005-0000-0000-00004D1A0000}"/>
    <cellStyle name="Calculation 2 6 3 4 5 3" xfId="11415" xr:uid="{00000000-0005-0000-0000-00004E1A0000}"/>
    <cellStyle name="Calculation 2 6 3 4 6" xfId="11417" xr:uid="{00000000-0005-0000-0000-00004F1A0000}"/>
    <cellStyle name="Calculation 2 6 3 4 7" xfId="11418" xr:uid="{00000000-0005-0000-0000-0000501A0000}"/>
    <cellStyle name="Calculation 2 6 3 5" xfId="11420" xr:uid="{00000000-0005-0000-0000-0000511A0000}"/>
    <cellStyle name="Calculation 2 6 3 5 2" xfId="11421" xr:uid="{00000000-0005-0000-0000-0000521A0000}"/>
    <cellStyle name="Calculation 2 6 3 5 2 2" xfId="11422" xr:uid="{00000000-0005-0000-0000-0000531A0000}"/>
    <cellStyle name="Calculation 2 6 3 5 2 3" xfId="11423" xr:uid="{00000000-0005-0000-0000-0000541A0000}"/>
    <cellStyle name="Calculation 2 6 3 5 2 4" xfId="11424" xr:uid="{00000000-0005-0000-0000-0000551A0000}"/>
    <cellStyle name="Calculation 2 6 3 5 3" xfId="11425" xr:uid="{00000000-0005-0000-0000-0000561A0000}"/>
    <cellStyle name="Calculation 2 6 3 5 3 2" xfId="11426" xr:uid="{00000000-0005-0000-0000-0000571A0000}"/>
    <cellStyle name="Calculation 2 6 3 5 3 3" xfId="11428" xr:uid="{00000000-0005-0000-0000-0000581A0000}"/>
    <cellStyle name="Calculation 2 6 3 5 3 4" xfId="11430" xr:uid="{00000000-0005-0000-0000-0000591A0000}"/>
    <cellStyle name="Calculation 2 6 3 5 4" xfId="11432" xr:uid="{00000000-0005-0000-0000-00005A1A0000}"/>
    <cellStyle name="Calculation 2 6 3 5 4 2" xfId="11433" xr:uid="{00000000-0005-0000-0000-00005B1A0000}"/>
    <cellStyle name="Calculation 2 6 3 5 4 3" xfId="11435" xr:uid="{00000000-0005-0000-0000-00005C1A0000}"/>
    <cellStyle name="Calculation 2 6 3 5 5" xfId="11436" xr:uid="{00000000-0005-0000-0000-00005D1A0000}"/>
    <cellStyle name="Calculation 2 6 3 5 5 2" xfId="11437" xr:uid="{00000000-0005-0000-0000-00005E1A0000}"/>
    <cellStyle name="Calculation 2 6 3 5 5 3" xfId="11439" xr:uid="{00000000-0005-0000-0000-00005F1A0000}"/>
    <cellStyle name="Calculation 2 6 3 5 6" xfId="11440" xr:uid="{00000000-0005-0000-0000-0000601A0000}"/>
    <cellStyle name="Calculation 2 6 3 5 7" xfId="11441" xr:uid="{00000000-0005-0000-0000-0000611A0000}"/>
    <cellStyle name="Calculation 2 6 3 6" xfId="11442" xr:uid="{00000000-0005-0000-0000-0000621A0000}"/>
    <cellStyle name="Calculation 2 6 3 6 2" xfId="11444" xr:uid="{00000000-0005-0000-0000-0000631A0000}"/>
    <cellStyle name="Calculation 2 6 3 6 2 2" xfId="11445" xr:uid="{00000000-0005-0000-0000-0000641A0000}"/>
    <cellStyle name="Calculation 2 6 3 6 2 3" xfId="11447" xr:uid="{00000000-0005-0000-0000-0000651A0000}"/>
    <cellStyle name="Calculation 2 6 3 6 2 4" xfId="11448" xr:uid="{00000000-0005-0000-0000-0000661A0000}"/>
    <cellStyle name="Calculation 2 6 3 6 3" xfId="11449" xr:uid="{00000000-0005-0000-0000-0000671A0000}"/>
    <cellStyle name="Calculation 2 6 3 6 3 2" xfId="11450" xr:uid="{00000000-0005-0000-0000-0000681A0000}"/>
    <cellStyle name="Calculation 2 6 3 6 3 3" xfId="11452" xr:uid="{00000000-0005-0000-0000-0000691A0000}"/>
    <cellStyle name="Calculation 2 6 3 6 3 4" xfId="11453" xr:uid="{00000000-0005-0000-0000-00006A1A0000}"/>
    <cellStyle name="Calculation 2 6 3 6 4" xfId="11454" xr:uid="{00000000-0005-0000-0000-00006B1A0000}"/>
    <cellStyle name="Calculation 2 6 3 6 4 2" xfId="11456" xr:uid="{00000000-0005-0000-0000-00006C1A0000}"/>
    <cellStyle name="Calculation 2 6 3 6 4 3" xfId="11459" xr:uid="{00000000-0005-0000-0000-00006D1A0000}"/>
    <cellStyle name="Calculation 2 6 3 6 5" xfId="11460" xr:uid="{00000000-0005-0000-0000-00006E1A0000}"/>
    <cellStyle name="Calculation 2 6 3 6 5 2" xfId="11462" xr:uid="{00000000-0005-0000-0000-00006F1A0000}"/>
    <cellStyle name="Calculation 2 6 3 6 5 3" xfId="11465" xr:uid="{00000000-0005-0000-0000-0000701A0000}"/>
    <cellStyle name="Calculation 2 6 3 6 6" xfId="11467" xr:uid="{00000000-0005-0000-0000-0000711A0000}"/>
    <cellStyle name="Calculation 2 6 3 6 7" xfId="11469" xr:uid="{00000000-0005-0000-0000-0000721A0000}"/>
    <cellStyle name="Calculation 2 6 3 7" xfId="11470" xr:uid="{00000000-0005-0000-0000-0000731A0000}"/>
    <cellStyle name="Calculation 2 6 3 7 2" xfId="11471" xr:uid="{00000000-0005-0000-0000-0000741A0000}"/>
    <cellStyle name="Calculation 2 6 3 7 2 2" xfId="11472" xr:uid="{00000000-0005-0000-0000-0000751A0000}"/>
    <cellStyle name="Calculation 2 6 3 7 2 3" xfId="11473" xr:uid="{00000000-0005-0000-0000-0000761A0000}"/>
    <cellStyle name="Calculation 2 6 3 7 2 4" xfId="11474" xr:uid="{00000000-0005-0000-0000-0000771A0000}"/>
    <cellStyle name="Calculation 2 6 3 7 3" xfId="11475" xr:uid="{00000000-0005-0000-0000-0000781A0000}"/>
    <cellStyle name="Calculation 2 6 3 7 3 2" xfId="11477" xr:uid="{00000000-0005-0000-0000-0000791A0000}"/>
    <cellStyle name="Calculation 2 6 3 7 3 3" xfId="11478" xr:uid="{00000000-0005-0000-0000-00007A1A0000}"/>
    <cellStyle name="Calculation 2 6 3 7 3 4" xfId="11479" xr:uid="{00000000-0005-0000-0000-00007B1A0000}"/>
    <cellStyle name="Calculation 2 6 3 7 4" xfId="11480" xr:uid="{00000000-0005-0000-0000-00007C1A0000}"/>
    <cellStyle name="Calculation 2 6 3 7 4 2" xfId="11482" xr:uid="{00000000-0005-0000-0000-00007D1A0000}"/>
    <cellStyle name="Calculation 2 6 3 7 4 3" xfId="11484" xr:uid="{00000000-0005-0000-0000-00007E1A0000}"/>
    <cellStyle name="Calculation 2 6 3 7 5" xfId="11485" xr:uid="{00000000-0005-0000-0000-00007F1A0000}"/>
    <cellStyle name="Calculation 2 6 3 7 5 2" xfId="1604" xr:uid="{00000000-0005-0000-0000-0000801A0000}"/>
    <cellStyle name="Calculation 2 6 3 7 5 3" xfId="279" xr:uid="{00000000-0005-0000-0000-0000811A0000}"/>
    <cellStyle name="Calculation 2 6 3 7 6" xfId="11487" xr:uid="{00000000-0005-0000-0000-0000821A0000}"/>
    <cellStyle name="Calculation 2 6 3 7 7" xfId="11489" xr:uid="{00000000-0005-0000-0000-0000831A0000}"/>
    <cellStyle name="Calculation 2 6 3 8" xfId="11490" xr:uid="{00000000-0005-0000-0000-0000841A0000}"/>
    <cellStyle name="Calculation 2 6 3 8 2" xfId="11492" xr:uid="{00000000-0005-0000-0000-0000851A0000}"/>
    <cellStyle name="Calculation 2 6 3 8 2 2" xfId="11494" xr:uid="{00000000-0005-0000-0000-0000861A0000}"/>
    <cellStyle name="Calculation 2 6 3 8 2 3" xfId="11495" xr:uid="{00000000-0005-0000-0000-0000871A0000}"/>
    <cellStyle name="Calculation 2 6 3 8 2 4" xfId="11496" xr:uid="{00000000-0005-0000-0000-0000881A0000}"/>
    <cellStyle name="Calculation 2 6 3 8 3" xfId="11497" xr:uid="{00000000-0005-0000-0000-0000891A0000}"/>
    <cellStyle name="Calculation 2 6 3 8 3 2" xfId="11499" xr:uid="{00000000-0005-0000-0000-00008A1A0000}"/>
    <cellStyle name="Calculation 2 6 3 8 3 3" xfId="11500" xr:uid="{00000000-0005-0000-0000-00008B1A0000}"/>
    <cellStyle name="Calculation 2 6 3 8 3 4" xfId="11501" xr:uid="{00000000-0005-0000-0000-00008C1A0000}"/>
    <cellStyle name="Calculation 2 6 3 8 4" xfId="11502" xr:uid="{00000000-0005-0000-0000-00008D1A0000}"/>
    <cellStyle name="Calculation 2 6 3 8 4 2" xfId="11505" xr:uid="{00000000-0005-0000-0000-00008E1A0000}"/>
    <cellStyle name="Calculation 2 6 3 8 4 3" xfId="11507" xr:uid="{00000000-0005-0000-0000-00008F1A0000}"/>
    <cellStyle name="Calculation 2 6 3 8 5" xfId="1990" xr:uid="{00000000-0005-0000-0000-0000901A0000}"/>
    <cellStyle name="Calculation 2 6 3 8 5 2" xfId="1994" xr:uid="{00000000-0005-0000-0000-0000911A0000}"/>
    <cellStyle name="Calculation 2 6 3 8 5 3" xfId="2005" xr:uid="{00000000-0005-0000-0000-0000921A0000}"/>
    <cellStyle name="Calculation 2 6 3 8 6" xfId="2007" xr:uid="{00000000-0005-0000-0000-0000931A0000}"/>
    <cellStyle name="Calculation 2 6 3 8 7" xfId="11508" xr:uid="{00000000-0005-0000-0000-0000941A0000}"/>
    <cellStyle name="Calculation 2 6 3 9" xfId="11509" xr:uid="{00000000-0005-0000-0000-0000951A0000}"/>
    <cellStyle name="Calculation 2 6 3 9 2" xfId="11511" xr:uid="{00000000-0005-0000-0000-0000961A0000}"/>
    <cellStyle name="Calculation 2 6 3 9 2 2" xfId="11513" xr:uid="{00000000-0005-0000-0000-0000971A0000}"/>
    <cellStyle name="Calculation 2 6 3 9 2 3" xfId="11514" xr:uid="{00000000-0005-0000-0000-0000981A0000}"/>
    <cellStyle name="Calculation 2 6 3 9 2 4" xfId="11515" xr:uid="{00000000-0005-0000-0000-0000991A0000}"/>
    <cellStyle name="Calculation 2 6 3 9 3" xfId="11516" xr:uid="{00000000-0005-0000-0000-00009A1A0000}"/>
    <cellStyle name="Calculation 2 6 3 9 3 2" xfId="6352" xr:uid="{00000000-0005-0000-0000-00009B1A0000}"/>
    <cellStyle name="Calculation 2 6 3 9 3 3" xfId="6354" xr:uid="{00000000-0005-0000-0000-00009C1A0000}"/>
    <cellStyle name="Calculation 2 6 3 9 3 4" xfId="11518" xr:uid="{00000000-0005-0000-0000-00009D1A0000}"/>
    <cellStyle name="Calculation 2 6 3 9 4" xfId="11519" xr:uid="{00000000-0005-0000-0000-00009E1A0000}"/>
    <cellStyle name="Calculation 2 6 3 9 4 2" xfId="6362" xr:uid="{00000000-0005-0000-0000-00009F1A0000}"/>
    <cellStyle name="Calculation 2 6 3 9 4 3" xfId="6366" xr:uid="{00000000-0005-0000-0000-0000A01A0000}"/>
    <cellStyle name="Calculation 2 6 3 9 5" xfId="11522" xr:uid="{00000000-0005-0000-0000-0000A11A0000}"/>
    <cellStyle name="Calculation 2 6 3 9 5 2" xfId="6390" xr:uid="{00000000-0005-0000-0000-0000A21A0000}"/>
    <cellStyle name="Calculation 2 6 3 9 5 3" xfId="6394" xr:uid="{00000000-0005-0000-0000-0000A31A0000}"/>
    <cellStyle name="Calculation 2 6 3 9 6" xfId="11524" xr:uid="{00000000-0005-0000-0000-0000A41A0000}"/>
    <cellStyle name="Calculation 2 6 3 9 7" xfId="11525" xr:uid="{00000000-0005-0000-0000-0000A51A0000}"/>
    <cellStyle name="Calculation 2 6 4" xfId="11526" xr:uid="{00000000-0005-0000-0000-0000A61A0000}"/>
    <cellStyle name="Calculation 2 6 4 2" xfId="11527" xr:uid="{00000000-0005-0000-0000-0000A71A0000}"/>
    <cellStyle name="Calculation 2 6 4 2 2" xfId="11528" xr:uid="{00000000-0005-0000-0000-0000A81A0000}"/>
    <cellStyle name="Calculation 2 6 4 2 3" xfId="11529" xr:uid="{00000000-0005-0000-0000-0000A91A0000}"/>
    <cellStyle name="Calculation 2 6 4 2 4" xfId="11530" xr:uid="{00000000-0005-0000-0000-0000AA1A0000}"/>
    <cellStyle name="Calculation 2 6 4 3" xfId="11531" xr:uid="{00000000-0005-0000-0000-0000AB1A0000}"/>
    <cellStyle name="Calculation 2 6 4 3 2" xfId="11532" xr:uid="{00000000-0005-0000-0000-0000AC1A0000}"/>
    <cellStyle name="Calculation 2 6 4 3 3" xfId="11533" xr:uid="{00000000-0005-0000-0000-0000AD1A0000}"/>
    <cellStyle name="Calculation 2 6 4 3 4" xfId="11534" xr:uid="{00000000-0005-0000-0000-0000AE1A0000}"/>
    <cellStyle name="Calculation 2 6 4 4" xfId="11535" xr:uid="{00000000-0005-0000-0000-0000AF1A0000}"/>
    <cellStyle name="Calculation 2 6 4 4 2" xfId="11536" xr:uid="{00000000-0005-0000-0000-0000B01A0000}"/>
    <cellStyle name="Calculation 2 6 4 4 3" xfId="11537" xr:uid="{00000000-0005-0000-0000-0000B11A0000}"/>
    <cellStyle name="Calculation 2 6 4 5" xfId="11539" xr:uid="{00000000-0005-0000-0000-0000B21A0000}"/>
    <cellStyle name="Calculation 2 6 4 5 2" xfId="11540" xr:uid="{00000000-0005-0000-0000-0000B31A0000}"/>
    <cellStyle name="Calculation 2 6 4 5 3" xfId="11541" xr:uid="{00000000-0005-0000-0000-0000B41A0000}"/>
    <cellStyle name="Calculation 2 6 4 6" xfId="11542" xr:uid="{00000000-0005-0000-0000-0000B51A0000}"/>
    <cellStyle name="Calculation 2 6 4 7" xfId="11543" xr:uid="{00000000-0005-0000-0000-0000B61A0000}"/>
    <cellStyle name="Calculation 2 6 5" xfId="11544" xr:uid="{00000000-0005-0000-0000-0000B71A0000}"/>
    <cellStyle name="Calculation 2 6 5 2" xfId="11545" xr:uid="{00000000-0005-0000-0000-0000B81A0000}"/>
    <cellStyle name="Calculation 2 6 5 2 2" xfId="11546" xr:uid="{00000000-0005-0000-0000-0000B91A0000}"/>
    <cellStyle name="Calculation 2 6 5 2 3" xfId="11547" xr:uid="{00000000-0005-0000-0000-0000BA1A0000}"/>
    <cellStyle name="Calculation 2 6 5 2 4" xfId="11548" xr:uid="{00000000-0005-0000-0000-0000BB1A0000}"/>
    <cellStyle name="Calculation 2 6 5 3" xfId="11549" xr:uid="{00000000-0005-0000-0000-0000BC1A0000}"/>
    <cellStyle name="Calculation 2 6 5 3 2" xfId="11550" xr:uid="{00000000-0005-0000-0000-0000BD1A0000}"/>
    <cellStyle name="Calculation 2 6 5 3 3" xfId="11551" xr:uid="{00000000-0005-0000-0000-0000BE1A0000}"/>
    <cellStyle name="Calculation 2 6 5 3 4" xfId="11552" xr:uid="{00000000-0005-0000-0000-0000BF1A0000}"/>
    <cellStyle name="Calculation 2 6 5 4" xfId="11553" xr:uid="{00000000-0005-0000-0000-0000C01A0000}"/>
    <cellStyle name="Calculation 2 6 5 4 2" xfId="11554" xr:uid="{00000000-0005-0000-0000-0000C11A0000}"/>
    <cellStyle name="Calculation 2 6 5 4 3" xfId="11555" xr:uid="{00000000-0005-0000-0000-0000C21A0000}"/>
    <cellStyle name="Calculation 2 6 5 5" xfId="11556" xr:uid="{00000000-0005-0000-0000-0000C31A0000}"/>
    <cellStyle name="Calculation 2 6 5 5 2" xfId="11558" xr:uid="{00000000-0005-0000-0000-0000C41A0000}"/>
    <cellStyle name="Calculation 2 6 5 5 3" xfId="11560" xr:uid="{00000000-0005-0000-0000-0000C51A0000}"/>
    <cellStyle name="Calculation 2 6 5 6" xfId="11562" xr:uid="{00000000-0005-0000-0000-0000C61A0000}"/>
    <cellStyle name="Calculation 2 6 5 7" xfId="11564" xr:uid="{00000000-0005-0000-0000-0000C71A0000}"/>
    <cellStyle name="Calculation 2 6 6" xfId="11566" xr:uid="{00000000-0005-0000-0000-0000C81A0000}"/>
    <cellStyle name="Calculation 2 6 6 2" xfId="11567" xr:uid="{00000000-0005-0000-0000-0000C91A0000}"/>
    <cellStyle name="Calculation 2 6 6 2 2" xfId="11568" xr:uid="{00000000-0005-0000-0000-0000CA1A0000}"/>
    <cellStyle name="Calculation 2 6 6 2 3" xfId="11569" xr:uid="{00000000-0005-0000-0000-0000CB1A0000}"/>
    <cellStyle name="Calculation 2 6 6 2 4" xfId="11570" xr:uid="{00000000-0005-0000-0000-0000CC1A0000}"/>
    <cellStyle name="Calculation 2 6 6 3" xfId="11571" xr:uid="{00000000-0005-0000-0000-0000CD1A0000}"/>
    <cellStyle name="Calculation 2 6 6 3 2" xfId="11572" xr:uid="{00000000-0005-0000-0000-0000CE1A0000}"/>
    <cellStyle name="Calculation 2 6 6 3 3" xfId="11573" xr:uid="{00000000-0005-0000-0000-0000CF1A0000}"/>
    <cellStyle name="Calculation 2 6 6 3 4" xfId="11574" xr:uid="{00000000-0005-0000-0000-0000D01A0000}"/>
    <cellStyle name="Calculation 2 6 6 4" xfId="11575" xr:uid="{00000000-0005-0000-0000-0000D11A0000}"/>
    <cellStyle name="Calculation 2 6 6 4 2" xfId="11576" xr:uid="{00000000-0005-0000-0000-0000D21A0000}"/>
    <cellStyle name="Calculation 2 6 6 4 3" xfId="11577" xr:uid="{00000000-0005-0000-0000-0000D31A0000}"/>
    <cellStyle name="Calculation 2 6 6 5" xfId="11578" xr:uid="{00000000-0005-0000-0000-0000D41A0000}"/>
    <cellStyle name="Calculation 2 6 6 5 2" xfId="11580" xr:uid="{00000000-0005-0000-0000-0000D51A0000}"/>
    <cellStyle name="Calculation 2 6 6 5 3" xfId="11582" xr:uid="{00000000-0005-0000-0000-0000D61A0000}"/>
    <cellStyle name="Calculation 2 6 6 6" xfId="11584" xr:uid="{00000000-0005-0000-0000-0000D71A0000}"/>
    <cellStyle name="Calculation 2 6 6 7" xfId="11586" xr:uid="{00000000-0005-0000-0000-0000D81A0000}"/>
    <cellStyle name="Calculation 2 6 7" xfId="11588" xr:uid="{00000000-0005-0000-0000-0000D91A0000}"/>
    <cellStyle name="Calculation 2 6 7 2" xfId="11589" xr:uid="{00000000-0005-0000-0000-0000DA1A0000}"/>
    <cellStyle name="Calculation 2 6 7 2 2" xfId="11590" xr:uid="{00000000-0005-0000-0000-0000DB1A0000}"/>
    <cellStyle name="Calculation 2 6 7 2 3" xfId="11591" xr:uid="{00000000-0005-0000-0000-0000DC1A0000}"/>
    <cellStyle name="Calculation 2 6 7 2 4" xfId="11592" xr:uid="{00000000-0005-0000-0000-0000DD1A0000}"/>
    <cellStyle name="Calculation 2 6 7 3" xfId="11593" xr:uid="{00000000-0005-0000-0000-0000DE1A0000}"/>
    <cellStyle name="Calculation 2 6 7 3 2" xfId="11594" xr:uid="{00000000-0005-0000-0000-0000DF1A0000}"/>
    <cellStyle name="Calculation 2 6 7 3 3" xfId="11596" xr:uid="{00000000-0005-0000-0000-0000E01A0000}"/>
    <cellStyle name="Calculation 2 6 7 3 4" xfId="11598" xr:uid="{00000000-0005-0000-0000-0000E11A0000}"/>
    <cellStyle name="Calculation 2 6 7 4" xfId="11600" xr:uid="{00000000-0005-0000-0000-0000E21A0000}"/>
    <cellStyle name="Calculation 2 6 7 4 2" xfId="11601" xr:uid="{00000000-0005-0000-0000-0000E31A0000}"/>
    <cellStyle name="Calculation 2 6 7 4 3" xfId="11603" xr:uid="{00000000-0005-0000-0000-0000E41A0000}"/>
    <cellStyle name="Calculation 2 6 7 5" xfId="11606" xr:uid="{00000000-0005-0000-0000-0000E51A0000}"/>
    <cellStyle name="Calculation 2 6 7 5 2" xfId="11609" xr:uid="{00000000-0005-0000-0000-0000E61A0000}"/>
    <cellStyle name="Calculation 2 6 7 5 3" xfId="11612" xr:uid="{00000000-0005-0000-0000-0000E71A0000}"/>
    <cellStyle name="Calculation 2 6 7 6" xfId="11615" xr:uid="{00000000-0005-0000-0000-0000E81A0000}"/>
    <cellStyle name="Calculation 2 6 7 7" xfId="11617" xr:uid="{00000000-0005-0000-0000-0000E91A0000}"/>
    <cellStyle name="Calculation 2 6 8" xfId="11619" xr:uid="{00000000-0005-0000-0000-0000EA1A0000}"/>
    <cellStyle name="Calculation 2 6 8 2" xfId="11620" xr:uid="{00000000-0005-0000-0000-0000EB1A0000}"/>
    <cellStyle name="Calculation 2 6 8 2 2" xfId="11621" xr:uid="{00000000-0005-0000-0000-0000EC1A0000}"/>
    <cellStyle name="Calculation 2 6 8 2 3" xfId="11623" xr:uid="{00000000-0005-0000-0000-0000ED1A0000}"/>
    <cellStyle name="Calculation 2 6 8 2 4" xfId="11625" xr:uid="{00000000-0005-0000-0000-0000EE1A0000}"/>
    <cellStyle name="Calculation 2 6 8 3" xfId="11626" xr:uid="{00000000-0005-0000-0000-0000EF1A0000}"/>
    <cellStyle name="Calculation 2 6 8 3 2" xfId="11627" xr:uid="{00000000-0005-0000-0000-0000F01A0000}"/>
    <cellStyle name="Calculation 2 6 8 3 3" xfId="11629" xr:uid="{00000000-0005-0000-0000-0000F11A0000}"/>
    <cellStyle name="Calculation 2 6 8 3 4" xfId="11630" xr:uid="{00000000-0005-0000-0000-0000F21A0000}"/>
    <cellStyle name="Calculation 2 6 8 4" xfId="11631" xr:uid="{00000000-0005-0000-0000-0000F31A0000}"/>
    <cellStyle name="Calculation 2 6 8 4 2" xfId="11632" xr:uid="{00000000-0005-0000-0000-0000F41A0000}"/>
    <cellStyle name="Calculation 2 6 8 4 3" xfId="11633" xr:uid="{00000000-0005-0000-0000-0000F51A0000}"/>
    <cellStyle name="Calculation 2 6 8 5" xfId="11634" xr:uid="{00000000-0005-0000-0000-0000F61A0000}"/>
    <cellStyle name="Calculation 2 6 8 5 2" xfId="11636" xr:uid="{00000000-0005-0000-0000-0000F71A0000}"/>
    <cellStyle name="Calculation 2 6 8 5 3" xfId="11638" xr:uid="{00000000-0005-0000-0000-0000F81A0000}"/>
    <cellStyle name="Calculation 2 6 8 6" xfId="11640" xr:uid="{00000000-0005-0000-0000-0000F91A0000}"/>
    <cellStyle name="Calculation 2 6 8 7" xfId="11642" xr:uid="{00000000-0005-0000-0000-0000FA1A0000}"/>
    <cellStyle name="Calculation 2 6 9" xfId="11644" xr:uid="{00000000-0005-0000-0000-0000FB1A0000}"/>
    <cellStyle name="Calculation 2 6 9 2" xfId="11645" xr:uid="{00000000-0005-0000-0000-0000FC1A0000}"/>
    <cellStyle name="Calculation 2 6 9 2 2" xfId="11649" xr:uid="{00000000-0005-0000-0000-0000FD1A0000}"/>
    <cellStyle name="Calculation 2 6 9 2 3" xfId="11653" xr:uid="{00000000-0005-0000-0000-0000FE1A0000}"/>
    <cellStyle name="Calculation 2 6 9 2 4" xfId="11658" xr:uid="{00000000-0005-0000-0000-0000FF1A0000}"/>
    <cellStyle name="Calculation 2 6 9 3" xfId="11660" xr:uid="{00000000-0005-0000-0000-0000001B0000}"/>
    <cellStyle name="Calculation 2 6 9 3 2" xfId="11665" xr:uid="{00000000-0005-0000-0000-0000011B0000}"/>
    <cellStyle name="Calculation 2 6 9 3 3" xfId="11669" xr:uid="{00000000-0005-0000-0000-0000021B0000}"/>
    <cellStyle name="Calculation 2 6 9 3 4" xfId="11672" xr:uid="{00000000-0005-0000-0000-0000031B0000}"/>
    <cellStyle name="Calculation 2 6 9 4" xfId="11674" xr:uid="{00000000-0005-0000-0000-0000041B0000}"/>
    <cellStyle name="Calculation 2 6 9 4 2" xfId="11679" xr:uid="{00000000-0005-0000-0000-0000051B0000}"/>
    <cellStyle name="Calculation 2 6 9 4 3" xfId="11683" xr:uid="{00000000-0005-0000-0000-0000061B0000}"/>
    <cellStyle name="Calculation 2 6 9 5" xfId="11686" xr:uid="{00000000-0005-0000-0000-0000071B0000}"/>
    <cellStyle name="Calculation 2 6 9 5 2" xfId="11689" xr:uid="{00000000-0005-0000-0000-0000081B0000}"/>
    <cellStyle name="Calculation 2 6 9 5 3" xfId="11692" xr:uid="{00000000-0005-0000-0000-0000091B0000}"/>
    <cellStyle name="Calculation 2 6 9 6" xfId="11696" xr:uid="{00000000-0005-0000-0000-00000A1B0000}"/>
    <cellStyle name="Calculation 2 6 9 7" xfId="11698" xr:uid="{00000000-0005-0000-0000-00000B1B0000}"/>
    <cellStyle name="Calculation 2 7" xfId="11700" xr:uid="{00000000-0005-0000-0000-00000C1B0000}"/>
    <cellStyle name="Calculation 2 7 10" xfId="11701" xr:uid="{00000000-0005-0000-0000-00000D1B0000}"/>
    <cellStyle name="Calculation 2 7 10 2" xfId="11702" xr:uid="{00000000-0005-0000-0000-00000E1B0000}"/>
    <cellStyle name="Calculation 2 7 10 2 2" xfId="11703" xr:uid="{00000000-0005-0000-0000-00000F1B0000}"/>
    <cellStyle name="Calculation 2 7 10 2 3" xfId="9494" xr:uid="{00000000-0005-0000-0000-0000101B0000}"/>
    <cellStyle name="Calculation 2 7 10 2 4" xfId="9503" xr:uid="{00000000-0005-0000-0000-0000111B0000}"/>
    <cellStyle name="Calculation 2 7 10 3" xfId="11705" xr:uid="{00000000-0005-0000-0000-0000121B0000}"/>
    <cellStyle name="Calculation 2 7 10 3 2" xfId="11706" xr:uid="{00000000-0005-0000-0000-0000131B0000}"/>
    <cellStyle name="Calculation 2 7 10 3 3" xfId="2539" xr:uid="{00000000-0005-0000-0000-0000141B0000}"/>
    <cellStyle name="Calculation 2 7 10 3 4" xfId="4878" xr:uid="{00000000-0005-0000-0000-0000151B0000}"/>
    <cellStyle name="Calculation 2 7 10 4" xfId="11708" xr:uid="{00000000-0005-0000-0000-0000161B0000}"/>
    <cellStyle name="Calculation 2 7 10 4 2" xfId="11709" xr:uid="{00000000-0005-0000-0000-0000171B0000}"/>
    <cellStyle name="Calculation 2 7 10 4 3" xfId="4441" xr:uid="{00000000-0005-0000-0000-0000181B0000}"/>
    <cellStyle name="Calculation 2 7 10 5" xfId="11711" xr:uid="{00000000-0005-0000-0000-0000191B0000}"/>
    <cellStyle name="Calculation 2 7 10 5 2" xfId="4096" xr:uid="{00000000-0005-0000-0000-00001A1B0000}"/>
    <cellStyle name="Calculation 2 7 10 5 3" xfId="4967" xr:uid="{00000000-0005-0000-0000-00001B1B0000}"/>
    <cellStyle name="Calculation 2 7 10 6" xfId="11712" xr:uid="{00000000-0005-0000-0000-00001C1B0000}"/>
    <cellStyle name="Calculation 2 7 10 7" xfId="11713" xr:uid="{00000000-0005-0000-0000-00001D1B0000}"/>
    <cellStyle name="Calculation 2 7 11" xfId="11714" xr:uid="{00000000-0005-0000-0000-00001E1B0000}"/>
    <cellStyle name="Calculation 2 7 11 2" xfId="11715" xr:uid="{00000000-0005-0000-0000-00001F1B0000}"/>
    <cellStyle name="Calculation 2 7 11 2 2" xfId="11716" xr:uid="{00000000-0005-0000-0000-0000201B0000}"/>
    <cellStyle name="Calculation 2 7 11 2 3" xfId="9798" xr:uid="{00000000-0005-0000-0000-0000211B0000}"/>
    <cellStyle name="Calculation 2 7 11 2 4" xfId="9805" xr:uid="{00000000-0005-0000-0000-0000221B0000}"/>
    <cellStyle name="Calculation 2 7 11 3" xfId="11718" xr:uid="{00000000-0005-0000-0000-0000231B0000}"/>
    <cellStyle name="Calculation 2 7 11 3 2" xfId="11719" xr:uid="{00000000-0005-0000-0000-0000241B0000}"/>
    <cellStyle name="Calculation 2 7 11 3 3" xfId="11721" xr:uid="{00000000-0005-0000-0000-0000251B0000}"/>
    <cellStyle name="Calculation 2 7 11 3 4" xfId="11723" xr:uid="{00000000-0005-0000-0000-0000261B0000}"/>
    <cellStyle name="Calculation 2 7 11 4" xfId="11725" xr:uid="{00000000-0005-0000-0000-0000271B0000}"/>
    <cellStyle name="Calculation 2 7 11 4 2" xfId="11726" xr:uid="{00000000-0005-0000-0000-0000281B0000}"/>
    <cellStyle name="Calculation 2 7 11 4 3" xfId="11727" xr:uid="{00000000-0005-0000-0000-0000291B0000}"/>
    <cellStyle name="Calculation 2 7 11 5" xfId="11729" xr:uid="{00000000-0005-0000-0000-00002A1B0000}"/>
    <cellStyle name="Calculation 2 7 11 5 2" xfId="11730" xr:uid="{00000000-0005-0000-0000-00002B1B0000}"/>
    <cellStyle name="Calculation 2 7 11 5 3" xfId="11731" xr:uid="{00000000-0005-0000-0000-00002C1B0000}"/>
    <cellStyle name="Calculation 2 7 11 6" xfId="11732" xr:uid="{00000000-0005-0000-0000-00002D1B0000}"/>
    <cellStyle name="Calculation 2 7 11 7" xfId="11733" xr:uid="{00000000-0005-0000-0000-00002E1B0000}"/>
    <cellStyle name="Calculation 2 7 12" xfId="11734" xr:uid="{00000000-0005-0000-0000-00002F1B0000}"/>
    <cellStyle name="Calculation 2 7 12 2" xfId="11735" xr:uid="{00000000-0005-0000-0000-0000301B0000}"/>
    <cellStyle name="Calculation 2 7 12 2 2" xfId="11737" xr:uid="{00000000-0005-0000-0000-0000311B0000}"/>
    <cellStyle name="Calculation 2 7 12 2 3" xfId="11741" xr:uid="{00000000-0005-0000-0000-0000321B0000}"/>
    <cellStyle name="Calculation 2 7 12 2 4" xfId="11745" xr:uid="{00000000-0005-0000-0000-0000331B0000}"/>
    <cellStyle name="Calculation 2 7 12 3" xfId="11747" xr:uid="{00000000-0005-0000-0000-0000341B0000}"/>
    <cellStyle name="Calculation 2 7 12 3 2" xfId="11749" xr:uid="{00000000-0005-0000-0000-0000351B0000}"/>
    <cellStyle name="Calculation 2 7 12 3 3" xfId="11753" xr:uid="{00000000-0005-0000-0000-0000361B0000}"/>
    <cellStyle name="Calculation 2 7 12 3 4" xfId="11756" xr:uid="{00000000-0005-0000-0000-0000371B0000}"/>
    <cellStyle name="Calculation 2 7 12 4" xfId="11758" xr:uid="{00000000-0005-0000-0000-0000381B0000}"/>
    <cellStyle name="Calculation 2 7 12 4 2" xfId="11760" xr:uid="{00000000-0005-0000-0000-0000391B0000}"/>
    <cellStyle name="Calculation 2 7 12 4 3" xfId="11763" xr:uid="{00000000-0005-0000-0000-00003A1B0000}"/>
    <cellStyle name="Calculation 2 7 12 5" xfId="11765" xr:uid="{00000000-0005-0000-0000-00003B1B0000}"/>
    <cellStyle name="Calculation 2 7 12 5 2" xfId="11767" xr:uid="{00000000-0005-0000-0000-00003C1B0000}"/>
    <cellStyle name="Calculation 2 7 12 5 3" xfId="11769" xr:uid="{00000000-0005-0000-0000-00003D1B0000}"/>
    <cellStyle name="Calculation 2 7 12 6" xfId="1369" xr:uid="{00000000-0005-0000-0000-00003E1B0000}"/>
    <cellStyle name="Calculation 2 7 12 7" xfId="1720" xr:uid="{00000000-0005-0000-0000-00003F1B0000}"/>
    <cellStyle name="Calculation 2 7 13" xfId="11771" xr:uid="{00000000-0005-0000-0000-0000401B0000}"/>
    <cellStyle name="Calculation 2 7 13 2" xfId="11772" xr:uid="{00000000-0005-0000-0000-0000411B0000}"/>
    <cellStyle name="Calculation 2 7 13 3" xfId="11774" xr:uid="{00000000-0005-0000-0000-0000421B0000}"/>
    <cellStyle name="Calculation 2 7 13 4" xfId="11776" xr:uid="{00000000-0005-0000-0000-0000431B0000}"/>
    <cellStyle name="Calculation 2 7 14" xfId="11778" xr:uid="{00000000-0005-0000-0000-0000441B0000}"/>
    <cellStyle name="Calculation 2 7 14 2" xfId="11779" xr:uid="{00000000-0005-0000-0000-0000451B0000}"/>
    <cellStyle name="Calculation 2 7 14 3" xfId="11781" xr:uid="{00000000-0005-0000-0000-0000461B0000}"/>
    <cellStyle name="Calculation 2 7 14 4" xfId="11783" xr:uid="{00000000-0005-0000-0000-0000471B0000}"/>
    <cellStyle name="Calculation 2 7 15" xfId="11785" xr:uid="{00000000-0005-0000-0000-0000481B0000}"/>
    <cellStyle name="Calculation 2 7 15 2" xfId="11787" xr:uid="{00000000-0005-0000-0000-0000491B0000}"/>
    <cellStyle name="Calculation 2 7 15 3" xfId="11789" xr:uid="{00000000-0005-0000-0000-00004A1B0000}"/>
    <cellStyle name="Calculation 2 7 16" xfId="11791" xr:uid="{00000000-0005-0000-0000-00004B1B0000}"/>
    <cellStyle name="Calculation 2 7 16 2" xfId="11793" xr:uid="{00000000-0005-0000-0000-00004C1B0000}"/>
    <cellStyle name="Calculation 2 7 16 3" xfId="11795" xr:uid="{00000000-0005-0000-0000-00004D1B0000}"/>
    <cellStyle name="Calculation 2 7 17" xfId="11797" xr:uid="{00000000-0005-0000-0000-00004E1B0000}"/>
    <cellStyle name="Calculation 2 7 17 2" xfId="11799" xr:uid="{00000000-0005-0000-0000-00004F1B0000}"/>
    <cellStyle name="Calculation 2 7 17 2 2" xfId="11801" xr:uid="{00000000-0005-0000-0000-0000501B0000}"/>
    <cellStyle name="Calculation 2 7 18" xfId="11805" xr:uid="{00000000-0005-0000-0000-0000511B0000}"/>
    <cellStyle name="Calculation 2 7 19" xfId="11806" xr:uid="{00000000-0005-0000-0000-0000521B0000}"/>
    <cellStyle name="Calculation 2 7 2" xfId="11807" xr:uid="{00000000-0005-0000-0000-0000531B0000}"/>
    <cellStyle name="Calculation 2 7 2 10" xfId="11808" xr:uid="{00000000-0005-0000-0000-0000541B0000}"/>
    <cellStyle name="Calculation 2 7 2 10 2" xfId="11809" xr:uid="{00000000-0005-0000-0000-0000551B0000}"/>
    <cellStyle name="Calculation 2 7 2 10 2 2" xfId="11812" xr:uid="{00000000-0005-0000-0000-0000561B0000}"/>
    <cellStyle name="Calculation 2 7 2 10 2 3" xfId="11815" xr:uid="{00000000-0005-0000-0000-0000571B0000}"/>
    <cellStyle name="Calculation 2 7 2 10 2 4" xfId="11818" xr:uid="{00000000-0005-0000-0000-0000581B0000}"/>
    <cellStyle name="Calculation 2 7 2 10 3" xfId="11819" xr:uid="{00000000-0005-0000-0000-0000591B0000}"/>
    <cellStyle name="Calculation 2 7 2 10 3 2" xfId="11821" xr:uid="{00000000-0005-0000-0000-00005A1B0000}"/>
    <cellStyle name="Calculation 2 7 2 10 3 3" xfId="11824" xr:uid="{00000000-0005-0000-0000-00005B1B0000}"/>
    <cellStyle name="Calculation 2 7 2 10 3 4" xfId="11826" xr:uid="{00000000-0005-0000-0000-00005C1B0000}"/>
    <cellStyle name="Calculation 2 7 2 10 4" xfId="11827" xr:uid="{00000000-0005-0000-0000-00005D1B0000}"/>
    <cellStyle name="Calculation 2 7 2 10 4 2" xfId="11828" xr:uid="{00000000-0005-0000-0000-00005E1B0000}"/>
    <cellStyle name="Calculation 2 7 2 10 4 3" xfId="11831" xr:uid="{00000000-0005-0000-0000-00005F1B0000}"/>
    <cellStyle name="Calculation 2 7 2 10 5" xfId="11832" xr:uid="{00000000-0005-0000-0000-0000601B0000}"/>
    <cellStyle name="Calculation 2 7 2 10 5 2" xfId="11833" xr:uid="{00000000-0005-0000-0000-0000611B0000}"/>
    <cellStyle name="Calculation 2 7 2 10 5 3" xfId="11835" xr:uid="{00000000-0005-0000-0000-0000621B0000}"/>
    <cellStyle name="Calculation 2 7 2 10 6" xfId="11836" xr:uid="{00000000-0005-0000-0000-0000631B0000}"/>
    <cellStyle name="Calculation 2 7 2 10 7" xfId="11839" xr:uid="{00000000-0005-0000-0000-0000641B0000}"/>
    <cellStyle name="Calculation 2 7 2 11" xfId="11842" xr:uid="{00000000-0005-0000-0000-0000651B0000}"/>
    <cellStyle name="Calculation 2 7 2 11 2" xfId="11843" xr:uid="{00000000-0005-0000-0000-0000661B0000}"/>
    <cellStyle name="Calculation 2 7 2 11 3" xfId="11846" xr:uid="{00000000-0005-0000-0000-0000671B0000}"/>
    <cellStyle name="Calculation 2 7 2 11 4" xfId="11847" xr:uid="{00000000-0005-0000-0000-0000681B0000}"/>
    <cellStyle name="Calculation 2 7 2 12" xfId="11848" xr:uid="{00000000-0005-0000-0000-0000691B0000}"/>
    <cellStyle name="Calculation 2 7 2 12 2" xfId="11849" xr:uid="{00000000-0005-0000-0000-00006A1B0000}"/>
    <cellStyle name="Calculation 2 7 2 12 3" xfId="11852" xr:uid="{00000000-0005-0000-0000-00006B1B0000}"/>
    <cellStyle name="Calculation 2 7 2 12 4" xfId="11853" xr:uid="{00000000-0005-0000-0000-00006C1B0000}"/>
    <cellStyle name="Calculation 2 7 2 13" xfId="11855" xr:uid="{00000000-0005-0000-0000-00006D1B0000}"/>
    <cellStyle name="Calculation 2 7 2 13 2" xfId="11856" xr:uid="{00000000-0005-0000-0000-00006E1B0000}"/>
    <cellStyle name="Calculation 2 7 2 13 3" xfId="11857" xr:uid="{00000000-0005-0000-0000-00006F1B0000}"/>
    <cellStyle name="Calculation 2 7 2 14" xfId="11858" xr:uid="{00000000-0005-0000-0000-0000701B0000}"/>
    <cellStyle name="Calculation 2 7 2 14 2" xfId="11859" xr:uid="{00000000-0005-0000-0000-0000711B0000}"/>
    <cellStyle name="Calculation 2 7 2 14 3" xfId="11860" xr:uid="{00000000-0005-0000-0000-0000721B0000}"/>
    <cellStyle name="Calculation 2 7 2 15" xfId="11861" xr:uid="{00000000-0005-0000-0000-0000731B0000}"/>
    <cellStyle name="Calculation 2 7 2 16" xfId="11862" xr:uid="{00000000-0005-0000-0000-0000741B0000}"/>
    <cellStyle name="Calculation 2 7 2 2" xfId="11863" xr:uid="{00000000-0005-0000-0000-0000751B0000}"/>
    <cellStyle name="Calculation 2 7 2 2 2" xfId="11865" xr:uid="{00000000-0005-0000-0000-0000761B0000}"/>
    <cellStyle name="Calculation 2 7 2 2 2 2" xfId="11866" xr:uid="{00000000-0005-0000-0000-0000771B0000}"/>
    <cellStyle name="Calculation 2 7 2 2 2 3" xfId="11867" xr:uid="{00000000-0005-0000-0000-0000781B0000}"/>
    <cellStyle name="Calculation 2 7 2 2 2 4" xfId="11868" xr:uid="{00000000-0005-0000-0000-0000791B0000}"/>
    <cellStyle name="Calculation 2 7 2 2 3" xfId="11869" xr:uid="{00000000-0005-0000-0000-00007A1B0000}"/>
    <cellStyle name="Calculation 2 7 2 2 3 2" xfId="11871" xr:uid="{00000000-0005-0000-0000-00007B1B0000}"/>
    <cellStyle name="Calculation 2 7 2 2 3 3" xfId="11872" xr:uid="{00000000-0005-0000-0000-00007C1B0000}"/>
    <cellStyle name="Calculation 2 7 2 2 3 4" xfId="11874" xr:uid="{00000000-0005-0000-0000-00007D1B0000}"/>
    <cellStyle name="Calculation 2 7 2 2 4" xfId="11877" xr:uid="{00000000-0005-0000-0000-00007E1B0000}"/>
    <cellStyle name="Calculation 2 7 2 2 4 2" xfId="11879" xr:uid="{00000000-0005-0000-0000-00007F1B0000}"/>
    <cellStyle name="Calculation 2 7 2 2 4 3" xfId="11880" xr:uid="{00000000-0005-0000-0000-0000801B0000}"/>
    <cellStyle name="Calculation 2 7 2 2 5" xfId="11882" xr:uid="{00000000-0005-0000-0000-0000811B0000}"/>
    <cellStyle name="Calculation 2 7 2 2 5 2" xfId="11884" xr:uid="{00000000-0005-0000-0000-0000821B0000}"/>
    <cellStyle name="Calculation 2 7 2 2 5 3" xfId="11885" xr:uid="{00000000-0005-0000-0000-0000831B0000}"/>
    <cellStyle name="Calculation 2 7 2 2 6" xfId="11887" xr:uid="{00000000-0005-0000-0000-0000841B0000}"/>
    <cellStyle name="Calculation 2 7 2 2 7" xfId="11888" xr:uid="{00000000-0005-0000-0000-0000851B0000}"/>
    <cellStyle name="Calculation 2 7 2 3" xfId="11890" xr:uid="{00000000-0005-0000-0000-0000861B0000}"/>
    <cellStyle name="Calculation 2 7 2 3 2" xfId="11891" xr:uid="{00000000-0005-0000-0000-0000871B0000}"/>
    <cellStyle name="Calculation 2 7 2 3 2 2" xfId="11892" xr:uid="{00000000-0005-0000-0000-0000881B0000}"/>
    <cellStyle name="Calculation 2 7 2 3 2 3" xfId="11893" xr:uid="{00000000-0005-0000-0000-0000891B0000}"/>
    <cellStyle name="Calculation 2 7 2 3 2 4" xfId="11894" xr:uid="{00000000-0005-0000-0000-00008A1B0000}"/>
    <cellStyle name="Calculation 2 7 2 3 3" xfId="11895" xr:uid="{00000000-0005-0000-0000-00008B1B0000}"/>
    <cellStyle name="Calculation 2 7 2 3 3 2" xfId="11897" xr:uid="{00000000-0005-0000-0000-00008C1B0000}"/>
    <cellStyle name="Calculation 2 7 2 3 3 3" xfId="11898" xr:uid="{00000000-0005-0000-0000-00008D1B0000}"/>
    <cellStyle name="Calculation 2 7 2 3 3 4" xfId="11900" xr:uid="{00000000-0005-0000-0000-00008E1B0000}"/>
    <cellStyle name="Calculation 2 7 2 3 4" xfId="11903" xr:uid="{00000000-0005-0000-0000-00008F1B0000}"/>
    <cellStyle name="Calculation 2 7 2 3 4 2" xfId="11905" xr:uid="{00000000-0005-0000-0000-0000901B0000}"/>
    <cellStyle name="Calculation 2 7 2 3 4 3" xfId="11906" xr:uid="{00000000-0005-0000-0000-0000911B0000}"/>
    <cellStyle name="Calculation 2 7 2 3 5" xfId="11908" xr:uid="{00000000-0005-0000-0000-0000921B0000}"/>
    <cellStyle name="Calculation 2 7 2 3 5 2" xfId="11910" xr:uid="{00000000-0005-0000-0000-0000931B0000}"/>
    <cellStyle name="Calculation 2 7 2 3 5 3" xfId="11912" xr:uid="{00000000-0005-0000-0000-0000941B0000}"/>
    <cellStyle name="Calculation 2 7 2 3 6" xfId="11915" xr:uid="{00000000-0005-0000-0000-0000951B0000}"/>
    <cellStyle name="Calculation 2 7 2 3 7" xfId="11916" xr:uid="{00000000-0005-0000-0000-0000961B0000}"/>
    <cellStyle name="Calculation 2 7 2 4" xfId="11918" xr:uid="{00000000-0005-0000-0000-0000971B0000}"/>
    <cellStyle name="Calculation 2 7 2 4 2" xfId="11919" xr:uid="{00000000-0005-0000-0000-0000981B0000}"/>
    <cellStyle name="Calculation 2 7 2 4 2 2" xfId="11920" xr:uid="{00000000-0005-0000-0000-0000991B0000}"/>
    <cellStyle name="Calculation 2 7 2 4 2 3" xfId="11923" xr:uid="{00000000-0005-0000-0000-00009A1B0000}"/>
    <cellStyle name="Calculation 2 7 2 4 2 4" xfId="11925" xr:uid="{00000000-0005-0000-0000-00009B1B0000}"/>
    <cellStyle name="Calculation 2 7 2 4 3" xfId="11927" xr:uid="{00000000-0005-0000-0000-00009C1B0000}"/>
    <cellStyle name="Calculation 2 7 2 4 3 2" xfId="11928" xr:uid="{00000000-0005-0000-0000-00009D1B0000}"/>
    <cellStyle name="Calculation 2 7 2 4 3 3" xfId="11929" xr:uid="{00000000-0005-0000-0000-00009E1B0000}"/>
    <cellStyle name="Calculation 2 7 2 4 3 4" xfId="11931" xr:uid="{00000000-0005-0000-0000-00009F1B0000}"/>
    <cellStyle name="Calculation 2 7 2 4 4" xfId="11933" xr:uid="{00000000-0005-0000-0000-0000A01B0000}"/>
    <cellStyle name="Calculation 2 7 2 4 4 2" xfId="11935" xr:uid="{00000000-0005-0000-0000-0000A11B0000}"/>
    <cellStyle name="Calculation 2 7 2 4 4 3" xfId="11936" xr:uid="{00000000-0005-0000-0000-0000A21B0000}"/>
    <cellStyle name="Calculation 2 7 2 4 5" xfId="11938" xr:uid="{00000000-0005-0000-0000-0000A31B0000}"/>
    <cellStyle name="Calculation 2 7 2 4 5 2" xfId="5386" xr:uid="{00000000-0005-0000-0000-0000A41B0000}"/>
    <cellStyle name="Calculation 2 7 2 4 5 3" xfId="5388" xr:uid="{00000000-0005-0000-0000-0000A51B0000}"/>
    <cellStyle name="Calculation 2 7 2 4 6" xfId="11939" xr:uid="{00000000-0005-0000-0000-0000A61B0000}"/>
    <cellStyle name="Calculation 2 7 2 4 7" xfId="11940" xr:uid="{00000000-0005-0000-0000-0000A71B0000}"/>
    <cellStyle name="Calculation 2 7 2 5" xfId="11942" xr:uid="{00000000-0005-0000-0000-0000A81B0000}"/>
    <cellStyle name="Calculation 2 7 2 5 2" xfId="11943" xr:uid="{00000000-0005-0000-0000-0000A91B0000}"/>
    <cellStyle name="Calculation 2 7 2 5 2 2" xfId="11944" xr:uid="{00000000-0005-0000-0000-0000AA1B0000}"/>
    <cellStyle name="Calculation 2 7 2 5 2 3" xfId="11945" xr:uid="{00000000-0005-0000-0000-0000AB1B0000}"/>
    <cellStyle name="Calculation 2 7 2 5 2 4" xfId="11946" xr:uid="{00000000-0005-0000-0000-0000AC1B0000}"/>
    <cellStyle name="Calculation 2 7 2 5 3" xfId="11947" xr:uid="{00000000-0005-0000-0000-0000AD1B0000}"/>
    <cellStyle name="Calculation 2 7 2 5 3 2" xfId="11948" xr:uid="{00000000-0005-0000-0000-0000AE1B0000}"/>
    <cellStyle name="Calculation 2 7 2 5 3 3" xfId="11949" xr:uid="{00000000-0005-0000-0000-0000AF1B0000}"/>
    <cellStyle name="Calculation 2 7 2 5 3 4" xfId="3114" xr:uid="{00000000-0005-0000-0000-0000B01B0000}"/>
    <cellStyle name="Calculation 2 7 2 5 4" xfId="11951" xr:uid="{00000000-0005-0000-0000-0000B11B0000}"/>
    <cellStyle name="Calculation 2 7 2 5 4 2" xfId="11953" xr:uid="{00000000-0005-0000-0000-0000B21B0000}"/>
    <cellStyle name="Calculation 2 7 2 5 4 3" xfId="11955" xr:uid="{00000000-0005-0000-0000-0000B31B0000}"/>
    <cellStyle name="Calculation 2 7 2 5 5" xfId="11957" xr:uid="{00000000-0005-0000-0000-0000B41B0000}"/>
    <cellStyle name="Calculation 2 7 2 5 5 2" xfId="11959" xr:uid="{00000000-0005-0000-0000-0000B51B0000}"/>
    <cellStyle name="Calculation 2 7 2 5 5 3" xfId="11961" xr:uid="{00000000-0005-0000-0000-0000B61B0000}"/>
    <cellStyle name="Calculation 2 7 2 5 6" xfId="11963" xr:uid="{00000000-0005-0000-0000-0000B71B0000}"/>
    <cellStyle name="Calculation 2 7 2 5 7" xfId="11965" xr:uid="{00000000-0005-0000-0000-0000B81B0000}"/>
    <cellStyle name="Calculation 2 7 2 6" xfId="11966" xr:uid="{00000000-0005-0000-0000-0000B91B0000}"/>
    <cellStyle name="Calculation 2 7 2 6 2" xfId="11967" xr:uid="{00000000-0005-0000-0000-0000BA1B0000}"/>
    <cellStyle name="Calculation 2 7 2 6 2 2" xfId="11968" xr:uid="{00000000-0005-0000-0000-0000BB1B0000}"/>
    <cellStyle name="Calculation 2 7 2 6 2 3" xfId="11972" xr:uid="{00000000-0005-0000-0000-0000BC1B0000}"/>
    <cellStyle name="Calculation 2 7 2 6 2 4" xfId="11976" xr:uid="{00000000-0005-0000-0000-0000BD1B0000}"/>
    <cellStyle name="Calculation 2 7 2 6 3" xfId="11980" xr:uid="{00000000-0005-0000-0000-0000BE1B0000}"/>
    <cellStyle name="Calculation 2 7 2 6 3 2" xfId="11981" xr:uid="{00000000-0005-0000-0000-0000BF1B0000}"/>
    <cellStyle name="Calculation 2 7 2 6 3 3" xfId="11985" xr:uid="{00000000-0005-0000-0000-0000C01B0000}"/>
    <cellStyle name="Calculation 2 7 2 6 3 4" xfId="4275" xr:uid="{00000000-0005-0000-0000-0000C11B0000}"/>
    <cellStyle name="Calculation 2 7 2 6 4" xfId="11990" xr:uid="{00000000-0005-0000-0000-0000C21B0000}"/>
    <cellStyle name="Calculation 2 7 2 6 4 2" xfId="11994" xr:uid="{00000000-0005-0000-0000-0000C31B0000}"/>
    <cellStyle name="Calculation 2 7 2 6 4 3" xfId="11999" xr:uid="{00000000-0005-0000-0000-0000C41B0000}"/>
    <cellStyle name="Calculation 2 7 2 6 5" xfId="12004" xr:uid="{00000000-0005-0000-0000-0000C51B0000}"/>
    <cellStyle name="Calculation 2 7 2 6 5 2" xfId="12008" xr:uid="{00000000-0005-0000-0000-0000C61B0000}"/>
    <cellStyle name="Calculation 2 7 2 6 5 3" xfId="12012" xr:uid="{00000000-0005-0000-0000-0000C71B0000}"/>
    <cellStyle name="Calculation 2 7 2 6 6" xfId="12016" xr:uid="{00000000-0005-0000-0000-0000C81B0000}"/>
    <cellStyle name="Calculation 2 7 2 6 7" xfId="12019" xr:uid="{00000000-0005-0000-0000-0000C91B0000}"/>
    <cellStyle name="Calculation 2 7 2 7" xfId="12020" xr:uid="{00000000-0005-0000-0000-0000CA1B0000}"/>
    <cellStyle name="Calculation 2 7 2 7 2" xfId="12021" xr:uid="{00000000-0005-0000-0000-0000CB1B0000}"/>
    <cellStyle name="Calculation 2 7 2 7 2 2" xfId="12022" xr:uid="{00000000-0005-0000-0000-0000CC1B0000}"/>
    <cellStyle name="Calculation 2 7 2 7 2 3" xfId="12026" xr:uid="{00000000-0005-0000-0000-0000CD1B0000}"/>
    <cellStyle name="Calculation 2 7 2 7 2 4" xfId="12031" xr:uid="{00000000-0005-0000-0000-0000CE1B0000}"/>
    <cellStyle name="Calculation 2 7 2 7 3" xfId="12035" xr:uid="{00000000-0005-0000-0000-0000CF1B0000}"/>
    <cellStyle name="Calculation 2 7 2 7 3 2" xfId="12036" xr:uid="{00000000-0005-0000-0000-0000D01B0000}"/>
    <cellStyle name="Calculation 2 7 2 7 3 3" xfId="12040" xr:uid="{00000000-0005-0000-0000-0000D11B0000}"/>
    <cellStyle name="Calculation 2 7 2 7 3 4" xfId="5137" xr:uid="{00000000-0005-0000-0000-0000D21B0000}"/>
    <cellStyle name="Calculation 2 7 2 7 4" xfId="12044" xr:uid="{00000000-0005-0000-0000-0000D31B0000}"/>
    <cellStyle name="Calculation 2 7 2 7 4 2" xfId="12048" xr:uid="{00000000-0005-0000-0000-0000D41B0000}"/>
    <cellStyle name="Calculation 2 7 2 7 4 3" xfId="12053" xr:uid="{00000000-0005-0000-0000-0000D51B0000}"/>
    <cellStyle name="Calculation 2 7 2 7 5" xfId="12057" xr:uid="{00000000-0005-0000-0000-0000D61B0000}"/>
    <cellStyle name="Calculation 2 7 2 7 5 2" xfId="12061" xr:uid="{00000000-0005-0000-0000-0000D71B0000}"/>
    <cellStyle name="Calculation 2 7 2 7 5 3" xfId="12065" xr:uid="{00000000-0005-0000-0000-0000D81B0000}"/>
    <cellStyle name="Calculation 2 7 2 7 6" xfId="12068" xr:uid="{00000000-0005-0000-0000-0000D91B0000}"/>
    <cellStyle name="Calculation 2 7 2 7 7" xfId="12070" xr:uid="{00000000-0005-0000-0000-0000DA1B0000}"/>
    <cellStyle name="Calculation 2 7 2 8" xfId="12071" xr:uid="{00000000-0005-0000-0000-0000DB1B0000}"/>
    <cellStyle name="Calculation 2 7 2 8 2" xfId="12073" xr:uid="{00000000-0005-0000-0000-0000DC1B0000}"/>
    <cellStyle name="Calculation 2 7 2 8 2 2" xfId="12074" xr:uid="{00000000-0005-0000-0000-0000DD1B0000}"/>
    <cellStyle name="Calculation 2 7 2 8 2 3" xfId="12078" xr:uid="{00000000-0005-0000-0000-0000DE1B0000}"/>
    <cellStyle name="Calculation 2 7 2 8 2 4" xfId="12080" xr:uid="{00000000-0005-0000-0000-0000DF1B0000}"/>
    <cellStyle name="Calculation 2 7 2 8 3" xfId="12082" xr:uid="{00000000-0005-0000-0000-0000E01B0000}"/>
    <cellStyle name="Calculation 2 7 2 8 3 2" xfId="12083" xr:uid="{00000000-0005-0000-0000-0000E11B0000}"/>
    <cellStyle name="Calculation 2 7 2 8 3 3" xfId="12086" xr:uid="{00000000-0005-0000-0000-0000E21B0000}"/>
    <cellStyle name="Calculation 2 7 2 8 3 4" xfId="5245" xr:uid="{00000000-0005-0000-0000-0000E31B0000}"/>
    <cellStyle name="Calculation 2 7 2 8 4" xfId="12088" xr:uid="{00000000-0005-0000-0000-0000E41B0000}"/>
    <cellStyle name="Calculation 2 7 2 8 4 2" xfId="12092" xr:uid="{00000000-0005-0000-0000-0000E51B0000}"/>
    <cellStyle name="Calculation 2 7 2 8 4 3" xfId="12096" xr:uid="{00000000-0005-0000-0000-0000E61B0000}"/>
    <cellStyle name="Calculation 2 7 2 8 5" xfId="12099" xr:uid="{00000000-0005-0000-0000-0000E71B0000}"/>
    <cellStyle name="Calculation 2 7 2 8 5 2" xfId="12102" xr:uid="{00000000-0005-0000-0000-0000E81B0000}"/>
    <cellStyle name="Calculation 2 7 2 8 5 3" xfId="12105" xr:uid="{00000000-0005-0000-0000-0000E91B0000}"/>
    <cellStyle name="Calculation 2 7 2 8 6" xfId="12107" xr:uid="{00000000-0005-0000-0000-0000EA1B0000}"/>
    <cellStyle name="Calculation 2 7 2 8 7" xfId="12108" xr:uid="{00000000-0005-0000-0000-0000EB1B0000}"/>
    <cellStyle name="Calculation 2 7 2 9" xfId="12109" xr:uid="{00000000-0005-0000-0000-0000EC1B0000}"/>
    <cellStyle name="Calculation 2 7 2 9 2" xfId="12111" xr:uid="{00000000-0005-0000-0000-0000ED1B0000}"/>
    <cellStyle name="Calculation 2 7 2 9 2 2" xfId="12112" xr:uid="{00000000-0005-0000-0000-0000EE1B0000}"/>
    <cellStyle name="Calculation 2 7 2 9 2 3" xfId="12115" xr:uid="{00000000-0005-0000-0000-0000EF1B0000}"/>
    <cellStyle name="Calculation 2 7 2 9 2 4" xfId="12118" xr:uid="{00000000-0005-0000-0000-0000F01B0000}"/>
    <cellStyle name="Calculation 2 7 2 9 3" xfId="12121" xr:uid="{00000000-0005-0000-0000-0000F11B0000}"/>
    <cellStyle name="Calculation 2 7 2 9 3 2" xfId="12122" xr:uid="{00000000-0005-0000-0000-0000F21B0000}"/>
    <cellStyle name="Calculation 2 7 2 9 3 3" xfId="12125" xr:uid="{00000000-0005-0000-0000-0000F31B0000}"/>
    <cellStyle name="Calculation 2 7 2 9 3 4" xfId="5512" xr:uid="{00000000-0005-0000-0000-0000F41B0000}"/>
    <cellStyle name="Calculation 2 7 2 9 4" xfId="12128" xr:uid="{00000000-0005-0000-0000-0000F51B0000}"/>
    <cellStyle name="Calculation 2 7 2 9 4 2" xfId="12130" xr:uid="{00000000-0005-0000-0000-0000F61B0000}"/>
    <cellStyle name="Calculation 2 7 2 9 4 3" xfId="12133" xr:uid="{00000000-0005-0000-0000-0000F71B0000}"/>
    <cellStyle name="Calculation 2 7 2 9 5" xfId="12136" xr:uid="{00000000-0005-0000-0000-0000F81B0000}"/>
    <cellStyle name="Calculation 2 7 2 9 5 2" xfId="5573" xr:uid="{00000000-0005-0000-0000-0000F91B0000}"/>
    <cellStyle name="Calculation 2 7 2 9 5 3" xfId="5578" xr:uid="{00000000-0005-0000-0000-0000FA1B0000}"/>
    <cellStyle name="Calculation 2 7 2 9 6" xfId="12138" xr:uid="{00000000-0005-0000-0000-0000FB1B0000}"/>
    <cellStyle name="Calculation 2 7 2 9 7" xfId="12139" xr:uid="{00000000-0005-0000-0000-0000FC1B0000}"/>
    <cellStyle name="Calculation 2 7 20" xfId="11786" xr:uid="{00000000-0005-0000-0000-0000FD1B0000}"/>
    <cellStyle name="Calculation 2 7 3" xfId="12140" xr:uid="{00000000-0005-0000-0000-0000FE1B0000}"/>
    <cellStyle name="Calculation 2 7 3 10" xfId="12141" xr:uid="{00000000-0005-0000-0000-0000FF1B0000}"/>
    <cellStyle name="Calculation 2 7 3 10 2" xfId="12143" xr:uid="{00000000-0005-0000-0000-0000001C0000}"/>
    <cellStyle name="Calculation 2 7 3 10 2 2" xfId="12145" xr:uid="{00000000-0005-0000-0000-0000011C0000}"/>
    <cellStyle name="Calculation 2 7 3 10 2 3" xfId="12146" xr:uid="{00000000-0005-0000-0000-0000021C0000}"/>
    <cellStyle name="Calculation 2 7 3 10 2 4" xfId="12147" xr:uid="{00000000-0005-0000-0000-0000031C0000}"/>
    <cellStyle name="Calculation 2 7 3 10 3" xfId="12148" xr:uid="{00000000-0005-0000-0000-0000041C0000}"/>
    <cellStyle name="Calculation 2 7 3 10 3 2" xfId="12150" xr:uid="{00000000-0005-0000-0000-0000051C0000}"/>
    <cellStyle name="Calculation 2 7 3 10 3 3" xfId="12151" xr:uid="{00000000-0005-0000-0000-0000061C0000}"/>
    <cellStyle name="Calculation 2 7 3 10 3 4" xfId="12152" xr:uid="{00000000-0005-0000-0000-0000071C0000}"/>
    <cellStyle name="Calculation 2 7 3 10 4" xfId="12153" xr:uid="{00000000-0005-0000-0000-0000081C0000}"/>
    <cellStyle name="Calculation 2 7 3 10 4 2" xfId="12154" xr:uid="{00000000-0005-0000-0000-0000091C0000}"/>
    <cellStyle name="Calculation 2 7 3 10 4 3" xfId="12155" xr:uid="{00000000-0005-0000-0000-00000A1C0000}"/>
    <cellStyle name="Calculation 2 7 3 10 5" xfId="12156" xr:uid="{00000000-0005-0000-0000-00000B1C0000}"/>
    <cellStyle name="Calculation 2 7 3 10 5 2" xfId="12157" xr:uid="{00000000-0005-0000-0000-00000C1C0000}"/>
    <cellStyle name="Calculation 2 7 3 10 5 3" xfId="12158" xr:uid="{00000000-0005-0000-0000-00000D1C0000}"/>
    <cellStyle name="Calculation 2 7 3 10 6" xfId="12159" xr:uid="{00000000-0005-0000-0000-00000E1C0000}"/>
    <cellStyle name="Calculation 2 7 3 10 7" xfId="1873" xr:uid="{00000000-0005-0000-0000-00000F1C0000}"/>
    <cellStyle name="Calculation 2 7 3 11" xfId="12162" xr:uid="{00000000-0005-0000-0000-0000101C0000}"/>
    <cellStyle name="Calculation 2 7 3 11 2" xfId="12163" xr:uid="{00000000-0005-0000-0000-0000111C0000}"/>
    <cellStyle name="Calculation 2 7 3 11 3" xfId="12165" xr:uid="{00000000-0005-0000-0000-0000121C0000}"/>
    <cellStyle name="Calculation 2 7 3 11 4" xfId="12166" xr:uid="{00000000-0005-0000-0000-0000131C0000}"/>
    <cellStyle name="Calculation 2 7 3 12" xfId="12167" xr:uid="{00000000-0005-0000-0000-0000141C0000}"/>
    <cellStyle name="Calculation 2 7 3 12 2" xfId="12168" xr:uid="{00000000-0005-0000-0000-0000151C0000}"/>
    <cellStyle name="Calculation 2 7 3 12 3" xfId="12170" xr:uid="{00000000-0005-0000-0000-0000161C0000}"/>
    <cellStyle name="Calculation 2 7 3 12 4" xfId="12171" xr:uid="{00000000-0005-0000-0000-0000171C0000}"/>
    <cellStyle name="Calculation 2 7 3 13" xfId="12172" xr:uid="{00000000-0005-0000-0000-0000181C0000}"/>
    <cellStyle name="Calculation 2 7 3 13 2" xfId="12173" xr:uid="{00000000-0005-0000-0000-0000191C0000}"/>
    <cellStyle name="Calculation 2 7 3 13 3" xfId="12174" xr:uid="{00000000-0005-0000-0000-00001A1C0000}"/>
    <cellStyle name="Calculation 2 7 3 14" xfId="12175" xr:uid="{00000000-0005-0000-0000-00001B1C0000}"/>
    <cellStyle name="Calculation 2 7 3 14 2" xfId="12176" xr:uid="{00000000-0005-0000-0000-00001C1C0000}"/>
    <cellStyle name="Calculation 2 7 3 14 3" xfId="12177" xr:uid="{00000000-0005-0000-0000-00001D1C0000}"/>
    <cellStyle name="Calculation 2 7 3 15" xfId="12178" xr:uid="{00000000-0005-0000-0000-00001E1C0000}"/>
    <cellStyle name="Calculation 2 7 3 16" xfId="31" xr:uid="{00000000-0005-0000-0000-00001F1C0000}"/>
    <cellStyle name="Calculation 2 7 3 2" xfId="12179" xr:uid="{00000000-0005-0000-0000-0000201C0000}"/>
    <cellStyle name="Calculation 2 7 3 2 2" xfId="12181" xr:uid="{00000000-0005-0000-0000-0000211C0000}"/>
    <cellStyle name="Calculation 2 7 3 2 2 2" xfId="12182" xr:uid="{00000000-0005-0000-0000-0000221C0000}"/>
    <cellStyle name="Calculation 2 7 3 2 2 3" xfId="12183" xr:uid="{00000000-0005-0000-0000-0000231C0000}"/>
    <cellStyle name="Calculation 2 7 3 2 2 4" xfId="12184" xr:uid="{00000000-0005-0000-0000-0000241C0000}"/>
    <cellStyle name="Calculation 2 7 3 2 3" xfId="12185" xr:uid="{00000000-0005-0000-0000-0000251C0000}"/>
    <cellStyle name="Calculation 2 7 3 2 3 2" xfId="12186" xr:uid="{00000000-0005-0000-0000-0000261C0000}"/>
    <cellStyle name="Calculation 2 7 3 2 3 3" xfId="12187" xr:uid="{00000000-0005-0000-0000-0000271C0000}"/>
    <cellStyle name="Calculation 2 7 3 2 3 4" xfId="12189" xr:uid="{00000000-0005-0000-0000-0000281C0000}"/>
    <cellStyle name="Calculation 2 7 3 2 4" xfId="12191" xr:uid="{00000000-0005-0000-0000-0000291C0000}"/>
    <cellStyle name="Calculation 2 7 3 2 4 2" xfId="12192" xr:uid="{00000000-0005-0000-0000-00002A1C0000}"/>
    <cellStyle name="Calculation 2 7 3 2 4 3" xfId="12193" xr:uid="{00000000-0005-0000-0000-00002B1C0000}"/>
    <cellStyle name="Calculation 2 7 3 2 5" xfId="12195" xr:uid="{00000000-0005-0000-0000-00002C1C0000}"/>
    <cellStyle name="Calculation 2 7 3 2 5 2" xfId="12196" xr:uid="{00000000-0005-0000-0000-00002D1C0000}"/>
    <cellStyle name="Calculation 2 7 3 2 5 3" xfId="12197" xr:uid="{00000000-0005-0000-0000-00002E1C0000}"/>
    <cellStyle name="Calculation 2 7 3 2 6" xfId="12199" xr:uid="{00000000-0005-0000-0000-00002F1C0000}"/>
    <cellStyle name="Calculation 2 7 3 2 7" xfId="12200" xr:uid="{00000000-0005-0000-0000-0000301C0000}"/>
    <cellStyle name="Calculation 2 7 3 3" xfId="12202" xr:uid="{00000000-0005-0000-0000-0000311C0000}"/>
    <cellStyle name="Calculation 2 7 3 3 2" xfId="12203" xr:uid="{00000000-0005-0000-0000-0000321C0000}"/>
    <cellStyle name="Calculation 2 7 3 3 2 2" xfId="12204" xr:uid="{00000000-0005-0000-0000-0000331C0000}"/>
    <cellStyle name="Calculation 2 7 3 3 2 3" xfId="12205" xr:uid="{00000000-0005-0000-0000-0000341C0000}"/>
    <cellStyle name="Calculation 2 7 3 3 2 4" xfId="12207" xr:uid="{00000000-0005-0000-0000-0000351C0000}"/>
    <cellStyle name="Calculation 2 7 3 3 3" xfId="12209" xr:uid="{00000000-0005-0000-0000-0000361C0000}"/>
    <cellStyle name="Calculation 2 7 3 3 3 2" xfId="12210" xr:uid="{00000000-0005-0000-0000-0000371C0000}"/>
    <cellStyle name="Calculation 2 7 3 3 3 3" xfId="12211" xr:uid="{00000000-0005-0000-0000-0000381C0000}"/>
    <cellStyle name="Calculation 2 7 3 3 3 4" xfId="12214" xr:uid="{00000000-0005-0000-0000-0000391C0000}"/>
    <cellStyle name="Calculation 2 7 3 3 4" xfId="12217" xr:uid="{00000000-0005-0000-0000-00003A1C0000}"/>
    <cellStyle name="Calculation 2 7 3 3 4 2" xfId="12218" xr:uid="{00000000-0005-0000-0000-00003B1C0000}"/>
    <cellStyle name="Calculation 2 7 3 3 4 3" xfId="12219" xr:uid="{00000000-0005-0000-0000-00003C1C0000}"/>
    <cellStyle name="Calculation 2 7 3 3 5" xfId="12222" xr:uid="{00000000-0005-0000-0000-00003D1C0000}"/>
    <cellStyle name="Calculation 2 7 3 3 5 2" xfId="12223" xr:uid="{00000000-0005-0000-0000-00003E1C0000}"/>
    <cellStyle name="Calculation 2 7 3 3 5 3" xfId="12225" xr:uid="{00000000-0005-0000-0000-00003F1C0000}"/>
    <cellStyle name="Calculation 2 7 3 3 6" xfId="12229" xr:uid="{00000000-0005-0000-0000-0000401C0000}"/>
    <cellStyle name="Calculation 2 7 3 3 7" xfId="12230" xr:uid="{00000000-0005-0000-0000-0000411C0000}"/>
    <cellStyle name="Calculation 2 7 3 4" xfId="12232" xr:uid="{00000000-0005-0000-0000-0000421C0000}"/>
    <cellStyle name="Calculation 2 7 3 4 2" xfId="12233" xr:uid="{00000000-0005-0000-0000-0000431C0000}"/>
    <cellStyle name="Calculation 2 7 3 4 2 2" xfId="12234" xr:uid="{00000000-0005-0000-0000-0000441C0000}"/>
    <cellStyle name="Calculation 2 7 3 4 2 3" xfId="12235" xr:uid="{00000000-0005-0000-0000-0000451C0000}"/>
    <cellStyle name="Calculation 2 7 3 4 2 4" xfId="12236" xr:uid="{00000000-0005-0000-0000-0000461C0000}"/>
    <cellStyle name="Calculation 2 7 3 4 3" xfId="12237" xr:uid="{00000000-0005-0000-0000-0000471C0000}"/>
    <cellStyle name="Calculation 2 7 3 4 3 2" xfId="12238" xr:uid="{00000000-0005-0000-0000-0000481C0000}"/>
    <cellStyle name="Calculation 2 7 3 4 3 3" xfId="12239" xr:uid="{00000000-0005-0000-0000-0000491C0000}"/>
    <cellStyle name="Calculation 2 7 3 4 3 4" xfId="12241" xr:uid="{00000000-0005-0000-0000-00004A1C0000}"/>
    <cellStyle name="Calculation 2 7 3 4 4" xfId="11263" xr:uid="{00000000-0005-0000-0000-00004B1C0000}"/>
    <cellStyle name="Calculation 2 7 3 4 4 2" xfId="12243" xr:uid="{00000000-0005-0000-0000-00004C1C0000}"/>
    <cellStyle name="Calculation 2 7 3 4 4 3" xfId="12245" xr:uid="{00000000-0005-0000-0000-00004D1C0000}"/>
    <cellStyle name="Calculation 2 7 3 4 5" xfId="11265" xr:uid="{00000000-0005-0000-0000-00004E1C0000}"/>
    <cellStyle name="Calculation 2 7 3 4 5 2" xfId="12248" xr:uid="{00000000-0005-0000-0000-00004F1C0000}"/>
    <cellStyle name="Calculation 2 7 3 4 5 3" xfId="12249" xr:uid="{00000000-0005-0000-0000-0000501C0000}"/>
    <cellStyle name="Calculation 2 7 3 4 6" xfId="11267" xr:uid="{00000000-0005-0000-0000-0000511C0000}"/>
    <cellStyle name="Calculation 2 7 3 4 7" xfId="12251" xr:uid="{00000000-0005-0000-0000-0000521C0000}"/>
    <cellStyle name="Calculation 2 7 3 5" xfId="12253" xr:uid="{00000000-0005-0000-0000-0000531C0000}"/>
    <cellStyle name="Calculation 2 7 3 5 2" xfId="12254" xr:uid="{00000000-0005-0000-0000-0000541C0000}"/>
    <cellStyle name="Calculation 2 7 3 5 2 2" xfId="12255" xr:uid="{00000000-0005-0000-0000-0000551C0000}"/>
    <cellStyle name="Calculation 2 7 3 5 2 3" xfId="12256" xr:uid="{00000000-0005-0000-0000-0000561C0000}"/>
    <cellStyle name="Calculation 2 7 3 5 2 4" xfId="12257" xr:uid="{00000000-0005-0000-0000-0000571C0000}"/>
    <cellStyle name="Calculation 2 7 3 5 3" xfId="12258" xr:uid="{00000000-0005-0000-0000-0000581C0000}"/>
    <cellStyle name="Calculation 2 7 3 5 3 2" xfId="12260" xr:uid="{00000000-0005-0000-0000-0000591C0000}"/>
    <cellStyle name="Calculation 2 7 3 5 3 3" xfId="12261" xr:uid="{00000000-0005-0000-0000-00005A1C0000}"/>
    <cellStyle name="Calculation 2 7 3 5 3 4" xfId="12263" xr:uid="{00000000-0005-0000-0000-00005B1C0000}"/>
    <cellStyle name="Calculation 2 7 3 5 4" xfId="11270" xr:uid="{00000000-0005-0000-0000-00005C1C0000}"/>
    <cellStyle name="Calculation 2 7 3 5 4 2" xfId="12266" xr:uid="{00000000-0005-0000-0000-00005D1C0000}"/>
    <cellStyle name="Calculation 2 7 3 5 4 3" xfId="12268" xr:uid="{00000000-0005-0000-0000-00005E1C0000}"/>
    <cellStyle name="Calculation 2 7 3 5 5" xfId="11273" xr:uid="{00000000-0005-0000-0000-00005F1C0000}"/>
    <cellStyle name="Calculation 2 7 3 5 5 2" xfId="12270" xr:uid="{00000000-0005-0000-0000-0000601C0000}"/>
    <cellStyle name="Calculation 2 7 3 5 5 3" xfId="12272" xr:uid="{00000000-0005-0000-0000-0000611C0000}"/>
    <cellStyle name="Calculation 2 7 3 5 6" xfId="11276" xr:uid="{00000000-0005-0000-0000-0000621C0000}"/>
    <cellStyle name="Calculation 2 7 3 5 7" xfId="12274" xr:uid="{00000000-0005-0000-0000-0000631C0000}"/>
    <cellStyle name="Calculation 2 7 3 6" xfId="12275" xr:uid="{00000000-0005-0000-0000-0000641C0000}"/>
    <cellStyle name="Calculation 2 7 3 6 2" xfId="12276" xr:uid="{00000000-0005-0000-0000-0000651C0000}"/>
    <cellStyle name="Calculation 2 7 3 6 2 2" xfId="12277" xr:uid="{00000000-0005-0000-0000-0000661C0000}"/>
    <cellStyle name="Calculation 2 7 3 6 2 3" xfId="12280" xr:uid="{00000000-0005-0000-0000-0000671C0000}"/>
    <cellStyle name="Calculation 2 7 3 6 2 4" xfId="12283" xr:uid="{00000000-0005-0000-0000-0000681C0000}"/>
    <cellStyle name="Calculation 2 7 3 6 3" xfId="12285" xr:uid="{00000000-0005-0000-0000-0000691C0000}"/>
    <cellStyle name="Calculation 2 7 3 6 3 2" xfId="12286" xr:uid="{00000000-0005-0000-0000-00006A1C0000}"/>
    <cellStyle name="Calculation 2 7 3 6 3 3" xfId="12289" xr:uid="{00000000-0005-0000-0000-00006B1C0000}"/>
    <cellStyle name="Calculation 2 7 3 6 3 4" xfId="12293" xr:uid="{00000000-0005-0000-0000-00006C1C0000}"/>
    <cellStyle name="Calculation 2 7 3 6 4" xfId="11282" xr:uid="{00000000-0005-0000-0000-00006D1C0000}"/>
    <cellStyle name="Calculation 2 7 3 6 4 2" xfId="12296" xr:uid="{00000000-0005-0000-0000-00006E1C0000}"/>
    <cellStyle name="Calculation 2 7 3 6 4 3" xfId="12300" xr:uid="{00000000-0005-0000-0000-00006F1C0000}"/>
    <cellStyle name="Calculation 2 7 3 6 5" xfId="11287" xr:uid="{00000000-0005-0000-0000-0000701C0000}"/>
    <cellStyle name="Calculation 2 7 3 6 5 2" xfId="12304" xr:uid="{00000000-0005-0000-0000-0000711C0000}"/>
    <cellStyle name="Calculation 2 7 3 6 5 3" xfId="12308" xr:uid="{00000000-0005-0000-0000-0000721C0000}"/>
    <cellStyle name="Calculation 2 7 3 6 6" xfId="12312" xr:uid="{00000000-0005-0000-0000-0000731C0000}"/>
    <cellStyle name="Calculation 2 7 3 6 7" xfId="12315" xr:uid="{00000000-0005-0000-0000-0000741C0000}"/>
    <cellStyle name="Calculation 2 7 3 7" xfId="12316" xr:uid="{00000000-0005-0000-0000-0000751C0000}"/>
    <cellStyle name="Calculation 2 7 3 7 2" xfId="12317" xr:uid="{00000000-0005-0000-0000-0000761C0000}"/>
    <cellStyle name="Calculation 2 7 3 7 2 2" xfId="12319" xr:uid="{00000000-0005-0000-0000-0000771C0000}"/>
    <cellStyle name="Calculation 2 7 3 7 2 3" xfId="12323" xr:uid="{00000000-0005-0000-0000-0000781C0000}"/>
    <cellStyle name="Calculation 2 7 3 7 2 4" xfId="12328" xr:uid="{00000000-0005-0000-0000-0000791C0000}"/>
    <cellStyle name="Calculation 2 7 3 7 3" xfId="12332" xr:uid="{00000000-0005-0000-0000-00007A1C0000}"/>
    <cellStyle name="Calculation 2 7 3 7 3 2" xfId="12335" xr:uid="{00000000-0005-0000-0000-00007B1C0000}"/>
    <cellStyle name="Calculation 2 7 3 7 3 3" xfId="12339" xr:uid="{00000000-0005-0000-0000-00007C1C0000}"/>
    <cellStyle name="Calculation 2 7 3 7 3 4" xfId="12344" xr:uid="{00000000-0005-0000-0000-00007D1C0000}"/>
    <cellStyle name="Calculation 2 7 3 7 4" xfId="11295" xr:uid="{00000000-0005-0000-0000-00007E1C0000}"/>
    <cellStyle name="Calculation 2 7 3 7 4 2" xfId="12348" xr:uid="{00000000-0005-0000-0000-00007F1C0000}"/>
    <cellStyle name="Calculation 2 7 3 7 4 3" xfId="12353" xr:uid="{00000000-0005-0000-0000-0000801C0000}"/>
    <cellStyle name="Calculation 2 7 3 7 5" xfId="11301" xr:uid="{00000000-0005-0000-0000-0000811C0000}"/>
    <cellStyle name="Calculation 2 7 3 7 5 2" xfId="12357" xr:uid="{00000000-0005-0000-0000-0000821C0000}"/>
    <cellStyle name="Calculation 2 7 3 7 5 3" xfId="12362" xr:uid="{00000000-0005-0000-0000-0000831C0000}"/>
    <cellStyle name="Calculation 2 7 3 7 6" xfId="12366" xr:uid="{00000000-0005-0000-0000-0000841C0000}"/>
    <cellStyle name="Calculation 2 7 3 7 7" xfId="12369" xr:uid="{00000000-0005-0000-0000-0000851C0000}"/>
    <cellStyle name="Calculation 2 7 3 8" xfId="12371" xr:uid="{00000000-0005-0000-0000-0000861C0000}"/>
    <cellStyle name="Calculation 2 7 3 8 2" xfId="12373" xr:uid="{00000000-0005-0000-0000-0000871C0000}"/>
    <cellStyle name="Calculation 2 7 3 8 2 2" xfId="12375" xr:uid="{00000000-0005-0000-0000-0000881C0000}"/>
    <cellStyle name="Calculation 2 7 3 8 2 3" xfId="12378" xr:uid="{00000000-0005-0000-0000-0000891C0000}"/>
    <cellStyle name="Calculation 2 7 3 8 2 4" xfId="12381" xr:uid="{00000000-0005-0000-0000-00008A1C0000}"/>
    <cellStyle name="Calculation 2 7 3 8 3" xfId="12384" xr:uid="{00000000-0005-0000-0000-00008B1C0000}"/>
    <cellStyle name="Calculation 2 7 3 8 3 2" xfId="12387" xr:uid="{00000000-0005-0000-0000-00008C1C0000}"/>
    <cellStyle name="Calculation 2 7 3 8 3 3" xfId="12390" xr:uid="{00000000-0005-0000-0000-00008D1C0000}"/>
    <cellStyle name="Calculation 2 7 3 8 3 4" xfId="12393" xr:uid="{00000000-0005-0000-0000-00008E1C0000}"/>
    <cellStyle name="Calculation 2 7 3 8 4" xfId="12396" xr:uid="{00000000-0005-0000-0000-00008F1C0000}"/>
    <cellStyle name="Calculation 2 7 3 8 4 2" xfId="12402" xr:uid="{00000000-0005-0000-0000-0000901C0000}"/>
    <cellStyle name="Calculation 2 7 3 8 4 3" xfId="12405" xr:uid="{00000000-0005-0000-0000-0000911C0000}"/>
    <cellStyle name="Calculation 2 7 3 8 5" xfId="12407" xr:uid="{00000000-0005-0000-0000-0000921C0000}"/>
    <cellStyle name="Calculation 2 7 3 8 5 2" xfId="12411" xr:uid="{00000000-0005-0000-0000-0000931C0000}"/>
    <cellStyle name="Calculation 2 7 3 8 5 3" xfId="12415" xr:uid="{00000000-0005-0000-0000-0000941C0000}"/>
    <cellStyle name="Calculation 2 7 3 8 6" xfId="12418" xr:uid="{00000000-0005-0000-0000-0000951C0000}"/>
    <cellStyle name="Calculation 2 7 3 8 7" xfId="12420" xr:uid="{00000000-0005-0000-0000-0000961C0000}"/>
    <cellStyle name="Calculation 2 7 3 9" xfId="12422" xr:uid="{00000000-0005-0000-0000-0000971C0000}"/>
    <cellStyle name="Calculation 2 7 3 9 2" xfId="12424" xr:uid="{00000000-0005-0000-0000-0000981C0000}"/>
    <cellStyle name="Calculation 2 7 3 9 2 2" xfId="12428" xr:uid="{00000000-0005-0000-0000-0000991C0000}"/>
    <cellStyle name="Calculation 2 7 3 9 2 3" xfId="12433" xr:uid="{00000000-0005-0000-0000-00009A1C0000}"/>
    <cellStyle name="Calculation 2 7 3 9 2 4" xfId="12438" xr:uid="{00000000-0005-0000-0000-00009B1C0000}"/>
    <cellStyle name="Calculation 2 7 3 9 3" xfId="12440" xr:uid="{00000000-0005-0000-0000-00009C1C0000}"/>
    <cellStyle name="Calculation 2 7 3 9 3 2" xfId="12445" xr:uid="{00000000-0005-0000-0000-00009D1C0000}"/>
    <cellStyle name="Calculation 2 7 3 9 3 3" xfId="12450" xr:uid="{00000000-0005-0000-0000-00009E1C0000}"/>
    <cellStyle name="Calculation 2 7 3 9 3 4" xfId="12454" xr:uid="{00000000-0005-0000-0000-00009F1C0000}"/>
    <cellStyle name="Calculation 2 7 3 9 4" xfId="12456" xr:uid="{00000000-0005-0000-0000-0000A01C0000}"/>
    <cellStyle name="Calculation 2 7 3 9 4 2" xfId="12462" xr:uid="{00000000-0005-0000-0000-0000A11C0000}"/>
    <cellStyle name="Calculation 2 7 3 9 4 3" xfId="12466" xr:uid="{00000000-0005-0000-0000-0000A21C0000}"/>
    <cellStyle name="Calculation 2 7 3 9 5" xfId="12468" xr:uid="{00000000-0005-0000-0000-0000A31C0000}"/>
    <cellStyle name="Calculation 2 7 3 9 5 2" xfId="12473" xr:uid="{00000000-0005-0000-0000-0000A41C0000}"/>
    <cellStyle name="Calculation 2 7 3 9 5 3" xfId="12476" xr:uid="{00000000-0005-0000-0000-0000A51C0000}"/>
    <cellStyle name="Calculation 2 7 3 9 6" xfId="12478" xr:uid="{00000000-0005-0000-0000-0000A61C0000}"/>
    <cellStyle name="Calculation 2 7 3 9 7" xfId="12480" xr:uid="{00000000-0005-0000-0000-0000A71C0000}"/>
    <cellStyle name="Calculation 2 7 4" xfId="12482" xr:uid="{00000000-0005-0000-0000-0000A81C0000}"/>
    <cellStyle name="Calculation 2 7 4 2" xfId="972" xr:uid="{00000000-0005-0000-0000-0000A91C0000}"/>
    <cellStyle name="Calculation 2 7 4 2 2" xfId="12483" xr:uid="{00000000-0005-0000-0000-0000AA1C0000}"/>
    <cellStyle name="Calculation 2 7 4 2 3" xfId="12486" xr:uid="{00000000-0005-0000-0000-0000AB1C0000}"/>
    <cellStyle name="Calculation 2 7 4 2 4" xfId="12489" xr:uid="{00000000-0005-0000-0000-0000AC1C0000}"/>
    <cellStyle name="Calculation 2 7 4 3" xfId="6808" xr:uid="{00000000-0005-0000-0000-0000AD1C0000}"/>
    <cellStyle name="Calculation 2 7 4 3 2" xfId="12492" xr:uid="{00000000-0005-0000-0000-0000AE1C0000}"/>
    <cellStyle name="Calculation 2 7 4 3 3" xfId="12493" xr:uid="{00000000-0005-0000-0000-0000AF1C0000}"/>
    <cellStyle name="Calculation 2 7 4 3 4" xfId="12494" xr:uid="{00000000-0005-0000-0000-0000B01C0000}"/>
    <cellStyle name="Calculation 2 7 4 4" xfId="12495" xr:uid="{00000000-0005-0000-0000-0000B11C0000}"/>
    <cellStyle name="Calculation 2 7 4 4 2" xfId="12496" xr:uid="{00000000-0005-0000-0000-0000B21C0000}"/>
    <cellStyle name="Calculation 2 7 4 4 3" xfId="12498" xr:uid="{00000000-0005-0000-0000-0000B31C0000}"/>
    <cellStyle name="Calculation 2 7 4 5" xfId="12500" xr:uid="{00000000-0005-0000-0000-0000B41C0000}"/>
    <cellStyle name="Calculation 2 7 4 5 2" xfId="12503" xr:uid="{00000000-0005-0000-0000-0000B51C0000}"/>
    <cellStyle name="Calculation 2 7 4 5 3" xfId="12505" xr:uid="{00000000-0005-0000-0000-0000B61C0000}"/>
    <cellStyle name="Calculation 2 7 4 6" xfId="12507" xr:uid="{00000000-0005-0000-0000-0000B71C0000}"/>
    <cellStyle name="Calculation 2 7 4 7" xfId="12509" xr:uid="{00000000-0005-0000-0000-0000B81C0000}"/>
    <cellStyle name="Calculation 2 7 5" xfId="12511" xr:uid="{00000000-0005-0000-0000-0000B91C0000}"/>
    <cellStyle name="Calculation 2 7 5 2" xfId="6813" xr:uid="{00000000-0005-0000-0000-0000BA1C0000}"/>
    <cellStyle name="Calculation 2 7 5 2 2" xfId="12512" xr:uid="{00000000-0005-0000-0000-0000BB1C0000}"/>
    <cellStyle name="Calculation 2 7 5 2 3" xfId="12514" xr:uid="{00000000-0005-0000-0000-0000BC1C0000}"/>
    <cellStyle name="Calculation 2 7 5 2 4" xfId="12516" xr:uid="{00000000-0005-0000-0000-0000BD1C0000}"/>
    <cellStyle name="Calculation 2 7 5 3" xfId="6815" xr:uid="{00000000-0005-0000-0000-0000BE1C0000}"/>
    <cellStyle name="Calculation 2 7 5 3 2" xfId="12519" xr:uid="{00000000-0005-0000-0000-0000BF1C0000}"/>
    <cellStyle name="Calculation 2 7 5 3 3" xfId="12520" xr:uid="{00000000-0005-0000-0000-0000C01C0000}"/>
    <cellStyle name="Calculation 2 7 5 3 4" xfId="12521" xr:uid="{00000000-0005-0000-0000-0000C11C0000}"/>
    <cellStyle name="Calculation 2 7 5 4" xfId="12523" xr:uid="{00000000-0005-0000-0000-0000C21C0000}"/>
    <cellStyle name="Calculation 2 7 5 4 2" xfId="12524" xr:uid="{00000000-0005-0000-0000-0000C31C0000}"/>
    <cellStyle name="Calculation 2 7 5 4 3" xfId="1116" xr:uid="{00000000-0005-0000-0000-0000C41C0000}"/>
    <cellStyle name="Calculation 2 7 5 5" xfId="12527" xr:uid="{00000000-0005-0000-0000-0000C51C0000}"/>
    <cellStyle name="Calculation 2 7 5 5 2" xfId="12530" xr:uid="{00000000-0005-0000-0000-0000C61C0000}"/>
    <cellStyle name="Calculation 2 7 5 5 3" xfId="12532" xr:uid="{00000000-0005-0000-0000-0000C71C0000}"/>
    <cellStyle name="Calculation 2 7 5 6" xfId="12535" xr:uid="{00000000-0005-0000-0000-0000C81C0000}"/>
    <cellStyle name="Calculation 2 7 5 7" xfId="12539" xr:uid="{00000000-0005-0000-0000-0000C91C0000}"/>
    <cellStyle name="Calculation 2 7 6" xfId="12542" xr:uid="{00000000-0005-0000-0000-0000CA1C0000}"/>
    <cellStyle name="Calculation 2 7 6 2" xfId="6820" xr:uid="{00000000-0005-0000-0000-0000CB1C0000}"/>
    <cellStyle name="Calculation 2 7 6 2 2" xfId="12543" xr:uid="{00000000-0005-0000-0000-0000CC1C0000}"/>
    <cellStyle name="Calculation 2 7 6 2 3" xfId="12544" xr:uid="{00000000-0005-0000-0000-0000CD1C0000}"/>
    <cellStyle name="Calculation 2 7 6 2 4" xfId="12545" xr:uid="{00000000-0005-0000-0000-0000CE1C0000}"/>
    <cellStyle name="Calculation 2 7 6 3" xfId="12547" xr:uid="{00000000-0005-0000-0000-0000CF1C0000}"/>
    <cellStyle name="Calculation 2 7 6 3 2" xfId="12548" xr:uid="{00000000-0005-0000-0000-0000D01C0000}"/>
    <cellStyle name="Calculation 2 7 6 3 3" xfId="12549" xr:uid="{00000000-0005-0000-0000-0000D11C0000}"/>
    <cellStyle name="Calculation 2 7 6 3 4" xfId="12550" xr:uid="{00000000-0005-0000-0000-0000D21C0000}"/>
    <cellStyle name="Calculation 2 7 6 4" xfId="12552" xr:uid="{00000000-0005-0000-0000-0000D31C0000}"/>
    <cellStyle name="Calculation 2 7 6 4 2" xfId="12553" xr:uid="{00000000-0005-0000-0000-0000D41C0000}"/>
    <cellStyle name="Calculation 2 7 6 4 3" xfId="12554" xr:uid="{00000000-0005-0000-0000-0000D51C0000}"/>
    <cellStyle name="Calculation 2 7 6 5" xfId="12556" xr:uid="{00000000-0005-0000-0000-0000D61C0000}"/>
    <cellStyle name="Calculation 2 7 6 5 2" xfId="12559" xr:uid="{00000000-0005-0000-0000-0000D71C0000}"/>
    <cellStyle name="Calculation 2 7 6 5 3" xfId="12561" xr:uid="{00000000-0005-0000-0000-0000D81C0000}"/>
    <cellStyle name="Calculation 2 7 6 6" xfId="12564" xr:uid="{00000000-0005-0000-0000-0000D91C0000}"/>
    <cellStyle name="Calculation 2 7 6 7" xfId="12568" xr:uid="{00000000-0005-0000-0000-0000DA1C0000}"/>
    <cellStyle name="Calculation 2 7 7" xfId="12571" xr:uid="{00000000-0005-0000-0000-0000DB1C0000}"/>
    <cellStyle name="Calculation 2 7 7 2" xfId="2414" xr:uid="{00000000-0005-0000-0000-0000DC1C0000}"/>
    <cellStyle name="Calculation 2 7 7 2 2" xfId="12572" xr:uid="{00000000-0005-0000-0000-0000DD1C0000}"/>
    <cellStyle name="Calculation 2 7 7 2 3" xfId="12573" xr:uid="{00000000-0005-0000-0000-0000DE1C0000}"/>
    <cellStyle name="Calculation 2 7 7 2 4" xfId="12574" xr:uid="{00000000-0005-0000-0000-0000DF1C0000}"/>
    <cellStyle name="Calculation 2 7 7 3" xfId="12575" xr:uid="{00000000-0005-0000-0000-0000E01C0000}"/>
    <cellStyle name="Calculation 2 7 7 3 2" xfId="12577" xr:uid="{00000000-0005-0000-0000-0000E11C0000}"/>
    <cellStyle name="Calculation 2 7 7 3 3" xfId="12578" xr:uid="{00000000-0005-0000-0000-0000E21C0000}"/>
    <cellStyle name="Calculation 2 7 7 3 4" xfId="12579" xr:uid="{00000000-0005-0000-0000-0000E31C0000}"/>
    <cellStyle name="Calculation 2 7 7 4" xfId="12580" xr:uid="{00000000-0005-0000-0000-0000E41C0000}"/>
    <cellStyle name="Calculation 2 7 7 4 2" xfId="12582" xr:uid="{00000000-0005-0000-0000-0000E51C0000}"/>
    <cellStyle name="Calculation 2 7 7 4 3" xfId="12583" xr:uid="{00000000-0005-0000-0000-0000E61C0000}"/>
    <cellStyle name="Calculation 2 7 7 5" xfId="12585" xr:uid="{00000000-0005-0000-0000-0000E71C0000}"/>
    <cellStyle name="Calculation 2 7 7 5 2" xfId="12590" xr:uid="{00000000-0005-0000-0000-0000E81C0000}"/>
    <cellStyle name="Calculation 2 7 7 5 3" xfId="12592" xr:uid="{00000000-0005-0000-0000-0000E91C0000}"/>
    <cellStyle name="Calculation 2 7 7 6" xfId="12595" xr:uid="{00000000-0005-0000-0000-0000EA1C0000}"/>
    <cellStyle name="Calculation 2 7 7 7" xfId="12598" xr:uid="{00000000-0005-0000-0000-0000EB1C0000}"/>
    <cellStyle name="Calculation 2 7 8" xfId="12600" xr:uid="{00000000-0005-0000-0000-0000EC1C0000}"/>
    <cellStyle name="Calculation 2 7 8 2" xfId="12602" xr:uid="{00000000-0005-0000-0000-0000ED1C0000}"/>
    <cellStyle name="Calculation 2 7 8 2 2" xfId="12604" xr:uid="{00000000-0005-0000-0000-0000EE1C0000}"/>
    <cellStyle name="Calculation 2 7 8 2 3" xfId="12606" xr:uid="{00000000-0005-0000-0000-0000EF1C0000}"/>
    <cellStyle name="Calculation 2 7 8 2 4" xfId="12607" xr:uid="{00000000-0005-0000-0000-0000F01C0000}"/>
    <cellStyle name="Calculation 2 7 8 3" xfId="12608" xr:uid="{00000000-0005-0000-0000-0000F11C0000}"/>
    <cellStyle name="Calculation 2 7 8 3 2" xfId="12610" xr:uid="{00000000-0005-0000-0000-0000F21C0000}"/>
    <cellStyle name="Calculation 2 7 8 3 3" xfId="12611" xr:uid="{00000000-0005-0000-0000-0000F31C0000}"/>
    <cellStyle name="Calculation 2 7 8 3 4" xfId="12612" xr:uid="{00000000-0005-0000-0000-0000F41C0000}"/>
    <cellStyle name="Calculation 2 7 8 4" xfId="12613" xr:uid="{00000000-0005-0000-0000-0000F51C0000}"/>
    <cellStyle name="Calculation 2 7 8 4 2" xfId="12615" xr:uid="{00000000-0005-0000-0000-0000F61C0000}"/>
    <cellStyle name="Calculation 2 7 8 4 3" xfId="12616" xr:uid="{00000000-0005-0000-0000-0000F71C0000}"/>
    <cellStyle name="Calculation 2 7 8 5" xfId="12617" xr:uid="{00000000-0005-0000-0000-0000F81C0000}"/>
    <cellStyle name="Calculation 2 7 8 5 2" xfId="12622" xr:uid="{00000000-0005-0000-0000-0000F91C0000}"/>
    <cellStyle name="Calculation 2 7 8 5 3" xfId="12624" xr:uid="{00000000-0005-0000-0000-0000FA1C0000}"/>
    <cellStyle name="Calculation 2 7 8 6" xfId="12627" xr:uid="{00000000-0005-0000-0000-0000FB1C0000}"/>
    <cellStyle name="Calculation 2 7 8 7" xfId="12630" xr:uid="{00000000-0005-0000-0000-0000FC1C0000}"/>
    <cellStyle name="Calculation 2 7 9" xfId="12632" xr:uid="{00000000-0005-0000-0000-0000FD1C0000}"/>
    <cellStyle name="Calculation 2 7 9 2" xfId="12634" xr:uid="{00000000-0005-0000-0000-0000FE1C0000}"/>
    <cellStyle name="Calculation 2 7 9 2 2" xfId="12637" xr:uid="{00000000-0005-0000-0000-0000FF1C0000}"/>
    <cellStyle name="Calculation 2 7 9 2 3" xfId="12639" xr:uid="{00000000-0005-0000-0000-0000001D0000}"/>
    <cellStyle name="Calculation 2 7 9 2 4" xfId="12641" xr:uid="{00000000-0005-0000-0000-0000011D0000}"/>
    <cellStyle name="Calculation 2 7 9 3" xfId="12643" xr:uid="{00000000-0005-0000-0000-0000021D0000}"/>
    <cellStyle name="Calculation 2 7 9 3 2" xfId="12648" xr:uid="{00000000-0005-0000-0000-0000031D0000}"/>
    <cellStyle name="Calculation 2 7 9 3 3" xfId="12650" xr:uid="{00000000-0005-0000-0000-0000041D0000}"/>
    <cellStyle name="Calculation 2 7 9 3 4" xfId="12652" xr:uid="{00000000-0005-0000-0000-0000051D0000}"/>
    <cellStyle name="Calculation 2 7 9 4" xfId="12654" xr:uid="{00000000-0005-0000-0000-0000061D0000}"/>
    <cellStyle name="Calculation 2 7 9 4 2" xfId="12658" xr:uid="{00000000-0005-0000-0000-0000071D0000}"/>
    <cellStyle name="Calculation 2 7 9 4 3" xfId="12660" xr:uid="{00000000-0005-0000-0000-0000081D0000}"/>
    <cellStyle name="Calculation 2 7 9 5" xfId="12662" xr:uid="{00000000-0005-0000-0000-0000091D0000}"/>
    <cellStyle name="Calculation 2 7 9 5 2" xfId="12666" xr:uid="{00000000-0005-0000-0000-00000A1D0000}"/>
    <cellStyle name="Calculation 2 7 9 5 3" xfId="12669" xr:uid="{00000000-0005-0000-0000-00000B1D0000}"/>
    <cellStyle name="Calculation 2 7 9 6" xfId="12672" xr:uid="{00000000-0005-0000-0000-00000C1D0000}"/>
    <cellStyle name="Calculation 2 7 9 7" xfId="12674" xr:uid="{00000000-0005-0000-0000-00000D1D0000}"/>
    <cellStyle name="Calculation 2 8" xfId="12676" xr:uid="{00000000-0005-0000-0000-00000E1D0000}"/>
    <cellStyle name="Calculation 2 8 10" xfId="12677" xr:uid="{00000000-0005-0000-0000-00000F1D0000}"/>
    <cellStyle name="Calculation 2 8 10 2" xfId="12680" xr:uid="{00000000-0005-0000-0000-0000101D0000}"/>
    <cellStyle name="Calculation 2 8 10 2 2" xfId="12682" xr:uid="{00000000-0005-0000-0000-0000111D0000}"/>
    <cellStyle name="Calculation 2 8 10 2 3" xfId="12684" xr:uid="{00000000-0005-0000-0000-0000121D0000}"/>
    <cellStyle name="Calculation 2 8 10 2 4" xfId="12688" xr:uid="{00000000-0005-0000-0000-0000131D0000}"/>
    <cellStyle name="Calculation 2 8 10 3" xfId="12692" xr:uid="{00000000-0005-0000-0000-0000141D0000}"/>
    <cellStyle name="Calculation 2 8 10 3 2" xfId="12694" xr:uid="{00000000-0005-0000-0000-0000151D0000}"/>
    <cellStyle name="Calculation 2 8 10 3 3" xfId="12696" xr:uid="{00000000-0005-0000-0000-0000161D0000}"/>
    <cellStyle name="Calculation 2 8 10 3 4" xfId="12699" xr:uid="{00000000-0005-0000-0000-0000171D0000}"/>
    <cellStyle name="Calculation 2 8 10 4" xfId="12702" xr:uid="{00000000-0005-0000-0000-0000181D0000}"/>
    <cellStyle name="Calculation 2 8 10 4 2" xfId="12704" xr:uid="{00000000-0005-0000-0000-0000191D0000}"/>
    <cellStyle name="Calculation 2 8 10 4 3" xfId="12706" xr:uid="{00000000-0005-0000-0000-00001A1D0000}"/>
    <cellStyle name="Calculation 2 8 10 5" xfId="12709" xr:uid="{00000000-0005-0000-0000-00001B1D0000}"/>
    <cellStyle name="Calculation 2 8 10 5 2" xfId="4983" xr:uid="{00000000-0005-0000-0000-00001C1D0000}"/>
    <cellStyle name="Calculation 2 8 10 5 3" xfId="12711" xr:uid="{00000000-0005-0000-0000-00001D1D0000}"/>
    <cellStyle name="Calculation 2 8 10 6" xfId="12714" xr:uid="{00000000-0005-0000-0000-00001E1D0000}"/>
    <cellStyle name="Calculation 2 8 10 7" xfId="12716" xr:uid="{00000000-0005-0000-0000-00001F1D0000}"/>
    <cellStyle name="Calculation 2 8 11" xfId="12718" xr:uid="{00000000-0005-0000-0000-0000201D0000}"/>
    <cellStyle name="Calculation 2 8 11 2" xfId="12721" xr:uid="{00000000-0005-0000-0000-0000211D0000}"/>
    <cellStyle name="Calculation 2 8 11 2 2" xfId="12722" xr:uid="{00000000-0005-0000-0000-0000221D0000}"/>
    <cellStyle name="Calculation 2 8 11 2 3" xfId="12723" xr:uid="{00000000-0005-0000-0000-0000231D0000}"/>
    <cellStyle name="Calculation 2 8 11 2 4" xfId="12725" xr:uid="{00000000-0005-0000-0000-0000241D0000}"/>
    <cellStyle name="Calculation 2 8 11 3" xfId="12727" xr:uid="{00000000-0005-0000-0000-0000251D0000}"/>
    <cellStyle name="Calculation 2 8 11 3 2" xfId="12728" xr:uid="{00000000-0005-0000-0000-0000261D0000}"/>
    <cellStyle name="Calculation 2 8 11 3 3" xfId="12729" xr:uid="{00000000-0005-0000-0000-0000271D0000}"/>
    <cellStyle name="Calculation 2 8 11 3 4" xfId="12730" xr:uid="{00000000-0005-0000-0000-0000281D0000}"/>
    <cellStyle name="Calculation 2 8 11 4" xfId="12731" xr:uid="{00000000-0005-0000-0000-0000291D0000}"/>
    <cellStyle name="Calculation 2 8 11 4 2" xfId="12732" xr:uid="{00000000-0005-0000-0000-00002A1D0000}"/>
    <cellStyle name="Calculation 2 8 11 4 3" xfId="12733" xr:uid="{00000000-0005-0000-0000-00002B1D0000}"/>
    <cellStyle name="Calculation 2 8 11 5" xfId="12734" xr:uid="{00000000-0005-0000-0000-00002C1D0000}"/>
    <cellStyle name="Calculation 2 8 11 5 2" xfId="12735" xr:uid="{00000000-0005-0000-0000-00002D1D0000}"/>
    <cellStyle name="Calculation 2 8 11 5 3" xfId="12737" xr:uid="{00000000-0005-0000-0000-00002E1D0000}"/>
    <cellStyle name="Calculation 2 8 11 6" xfId="12739" xr:uid="{00000000-0005-0000-0000-00002F1D0000}"/>
    <cellStyle name="Calculation 2 8 11 7" xfId="12740" xr:uid="{00000000-0005-0000-0000-0000301D0000}"/>
    <cellStyle name="Calculation 2 8 12" xfId="12742" xr:uid="{00000000-0005-0000-0000-0000311D0000}"/>
    <cellStyle name="Calculation 2 8 12 2" xfId="12744" xr:uid="{00000000-0005-0000-0000-0000321D0000}"/>
    <cellStyle name="Calculation 2 8 12 2 2" xfId="12745" xr:uid="{00000000-0005-0000-0000-0000331D0000}"/>
    <cellStyle name="Calculation 2 8 12 2 3" xfId="12747" xr:uid="{00000000-0005-0000-0000-0000341D0000}"/>
    <cellStyle name="Calculation 2 8 12 2 4" xfId="12748" xr:uid="{00000000-0005-0000-0000-0000351D0000}"/>
    <cellStyle name="Calculation 2 8 12 3" xfId="12749" xr:uid="{00000000-0005-0000-0000-0000361D0000}"/>
    <cellStyle name="Calculation 2 8 12 3 2" xfId="12750" xr:uid="{00000000-0005-0000-0000-0000371D0000}"/>
    <cellStyle name="Calculation 2 8 12 3 3" xfId="12752" xr:uid="{00000000-0005-0000-0000-0000381D0000}"/>
    <cellStyle name="Calculation 2 8 12 3 4" xfId="12753" xr:uid="{00000000-0005-0000-0000-0000391D0000}"/>
    <cellStyle name="Calculation 2 8 12 4" xfId="12754" xr:uid="{00000000-0005-0000-0000-00003A1D0000}"/>
    <cellStyle name="Calculation 2 8 12 4 2" xfId="12755" xr:uid="{00000000-0005-0000-0000-00003B1D0000}"/>
    <cellStyle name="Calculation 2 8 12 4 3" xfId="188" xr:uid="{00000000-0005-0000-0000-00003C1D0000}"/>
    <cellStyle name="Calculation 2 8 12 5" xfId="12756" xr:uid="{00000000-0005-0000-0000-00003D1D0000}"/>
    <cellStyle name="Calculation 2 8 12 5 2" xfId="12757" xr:uid="{00000000-0005-0000-0000-00003E1D0000}"/>
    <cellStyle name="Calculation 2 8 12 5 3" xfId="12759" xr:uid="{00000000-0005-0000-0000-00003F1D0000}"/>
    <cellStyle name="Calculation 2 8 12 6" xfId="12761" xr:uid="{00000000-0005-0000-0000-0000401D0000}"/>
    <cellStyle name="Calculation 2 8 12 7" xfId="12762" xr:uid="{00000000-0005-0000-0000-0000411D0000}"/>
    <cellStyle name="Calculation 2 8 13" xfId="12763" xr:uid="{00000000-0005-0000-0000-0000421D0000}"/>
    <cellStyle name="Calculation 2 8 13 2" xfId="12764" xr:uid="{00000000-0005-0000-0000-0000431D0000}"/>
    <cellStyle name="Calculation 2 8 13 3" xfId="12766" xr:uid="{00000000-0005-0000-0000-0000441D0000}"/>
    <cellStyle name="Calculation 2 8 13 4" xfId="12768" xr:uid="{00000000-0005-0000-0000-0000451D0000}"/>
    <cellStyle name="Calculation 2 8 14" xfId="12770" xr:uid="{00000000-0005-0000-0000-0000461D0000}"/>
    <cellStyle name="Calculation 2 8 14 2" xfId="12771" xr:uid="{00000000-0005-0000-0000-0000471D0000}"/>
    <cellStyle name="Calculation 2 8 14 3" xfId="12773" xr:uid="{00000000-0005-0000-0000-0000481D0000}"/>
    <cellStyle name="Calculation 2 8 14 4" xfId="12775" xr:uid="{00000000-0005-0000-0000-0000491D0000}"/>
    <cellStyle name="Calculation 2 8 15" xfId="12776" xr:uid="{00000000-0005-0000-0000-00004A1D0000}"/>
    <cellStyle name="Calculation 2 8 15 2" xfId="12778" xr:uid="{00000000-0005-0000-0000-00004B1D0000}"/>
    <cellStyle name="Calculation 2 8 15 3" xfId="12781" xr:uid="{00000000-0005-0000-0000-00004C1D0000}"/>
    <cellStyle name="Calculation 2 8 16" xfId="12784" xr:uid="{00000000-0005-0000-0000-00004D1D0000}"/>
    <cellStyle name="Calculation 2 8 16 2" xfId="12785" xr:uid="{00000000-0005-0000-0000-00004E1D0000}"/>
    <cellStyle name="Calculation 2 8 16 3" xfId="12787" xr:uid="{00000000-0005-0000-0000-00004F1D0000}"/>
    <cellStyle name="Calculation 2 8 17" xfId="12788" xr:uid="{00000000-0005-0000-0000-0000501D0000}"/>
    <cellStyle name="Calculation 2 8 17 2" xfId="12789" xr:uid="{00000000-0005-0000-0000-0000511D0000}"/>
    <cellStyle name="Calculation 2 8 17 2 2" xfId="12791" xr:uid="{00000000-0005-0000-0000-0000521D0000}"/>
    <cellStyle name="Calculation 2 8 18" xfId="12793" xr:uid="{00000000-0005-0000-0000-0000531D0000}"/>
    <cellStyle name="Calculation 2 8 19" xfId="12794" xr:uid="{00000000-0005-0000-0000-0000541D0000}"/>
    <cellStyle name="Calculation 2 8 2" xfId="12795" xr:uid="{00000000-0005-0000-0000-0000551D0000}"/>
    <cellStyle name="Calculation 2 8 2 10" xfId="12796" xr:uid="{00000000-0005-0000-0000-0000561D0000}"/>
    <cellStyle name="Calculation 2 8 2 10 2" xfId="12797" xr:uid="{00000000-0005-0000-0000-0000571D0000}"/>
    <cellStyle name="Calculation 2 8 2 10 2 2" xfId="12800" xr:uid="{00000000-0005-0000-0000-0000581D0000}"/>
    <cellStyle name="Calculation 2 8 2 10 2 3" xfId="12802" xr:uid="{00000000-0005-0000-0000-0000591D0000}"/>
    <cellStyle name="Calculation 2 8 2 10 2 4" xfId="12804" xr:uid="{00000000-0005-0000-0000-00005A1D0000}"/>
    <cellStyle name="Calculation 2 8 2 10 3" xfId="12805" xr:uid="{00000000-0005-0000-0000-00005B1D0000}"/>
    <cellStyle name="Calculation 2 8 2 10 3 2" xfId="12807" xr:uid="{00000000-0005-0000-0000-00005C1D0000}"/>
    <cellStyle name="Calculation 2 8 2 10 3 3" xfId="12809" xr:uid="{00000000-0005-0000-0000-00005D1D0000}"/>
    <cellStyle name="Calculation 2 8 2 10 3 4" xfId="12810" xr:uid="{00000000-0005-0000-0000-00005E1D0000}"/>
    <cellStyle name="Calculation 2 8 2 10 4" xfId="12811" xr:uid="{00000000-0005-0000-0000-00005F1D0000}"/>
    <cellStyle name="Calculation 2 8 2 10 4 2" xfId="12812" xr:uid="{00000000-0005-0000-0000-0000601D0000}"/>
    <cellStyle name="Calculation 2 8 2 10 4 3" xfId="12814" xr:uid="{00000000-0005-0000-0000-0000611D0000}"/>
    <cellStyle name="Calculation 2 8 2 10 5" xfId="12815" xr:uid="{00000000-0005-0000-0000-0000621D0000}"/>
    <cellStyle name="Calculation 2 8 2 10 5 2" xfId="12816" xr:uid="{00000000-0005-0000-0000-0000631D0000}"/>
    <cellStyle name="Calculation 2 8 2 10 5 3" xfId="12817" xr:uid="{00000000-0005-0000-0000-0000641D0000}"/>
    <cellStyle name="Calculation 2 8 2 10 6" xfId="12818" xr:uid="{00000000-0005-0000-0000-0000651D0000}"/>
    <cellStyle name="Calculation 2 8 2 10 7" xfId="4583" xr:uid="{00000000-0005-0000-0000-0000661D0000}"/>
    <cellStyle name="Calculation 2 8 2 11" xfId="12819" xr:uid="{00000000-0005-0000-0000-0000671D0000}"/>
    <cellStyle name="Calculation 2 8 2 11 2" xfId="12820" xr:uid="{00000000-0005-0000-0000-0000681D0000}"/>
    <cellStyle name="Calculation 2 8 2 11 3" xfId="12823" xr:uid="{00000000-0005-0000-0000-0000691D0000}"/>
    <cellStyle name="Calculation 2 8 2 11 4" xfId="12824" xr:uid="{00000000-0005-0000-0000-00006A1D0000}"/>
    <cellStyle name="Calculation 2 8 2 12" xfId="12825" xr:uid="{00000000-0005-0000-0000-00006B1D0000}"/>
    <cellStyle name="Calculation 2 8 2 12 2" xfId="12826" xr:uid="{00000000-0005-0000-0000-00006C1D0000}"/>
    <cellStyle name="Calculation 2 8 2 12 3" xfId="12828" xr:uid="{00000000-0005-0000-0000-00006D1D0000}"/>
    <cellStyle name="Calculation 2 8 2 12 4" xfId="12830" xr:uid="{00000000-0005-0000-0000-00006E1D0000}"/>
    <cellStyle name="Calculation 2 8 2 13" xfId="1763" xr:uid="{00000000-0005-0000-0000-00006F1D0000}"/>
    <cellStyle name="Calculation 2 8 2 13 2" xfId="12832" xr:uid="{00000000-0005-0000-0000-0000701D0000}"/>
    <cellStyle name="Calculation 2 8 2 13 3" xfId="12833" xr:uid="{00000000-0005-0000-0000-0000711D0000}"/>
    <cellStyle name="Calculation 2 8 2 14" xfId="2449" xr:uid="{00000000-0005-0000-0000-0000721D0000}"/>
    <cellStyle name="Calculation 2 8 2 14 2" xfId="12835" xr:uid="{00000000-0005-0000-0000-0000731D0000}"/>
    <cellStyle name="Calculation 2 8 2 14 3" xfId="12836" xr:uid="{00000000-0005-0000-0000-0000741D0000}"/>
    <cellStyle name="Calculation 2 8 2 15" xfId="12838" xr:uid="{00000000-0005-0000-0000-0000751D0000}"/>
    <cellStyle name="Calculation 2 8 2 16" xfId="12839" xr:uid="{00000000-0005-0000-0000-0000761D0000}"/>
    <cellStyle name="Calculation 2 8 2 2" xfId="12840" xr:uid="{00000000-0005-0000-0000-0000771D0000}"/>
    <cellStyle name="Calculation 2 8 2 2 2" xfId="12842" xr:uid="{00000000-0005-0000-0000-0000781D0000}"/>
    <cellStyle name="Calculation 2 8 2 2 2 2" xfId="12843" xr:uid="{00000000-0005-0000-0000-0000791D0000}"/>
    <cellStyle name="Calculation 2 8 2 2 2 3" xfId="12844" xr:uid="{00000000-0005-0000-0000-00007A1D0000}"/>
    <cellStyle name="Calculation 2 8 2 2 2 4" xfId="12845" xr:uid="{00000000-0005-0000-0000-00007B1D0000}"/>
    <cellStyle name="Calculation 2 8 2 2 3" xfId="12846" xr:uid="{00000000-0005-0000-0000-00007C1D0000}"/>
    <cellStyle name="Calculation 2 8 2 2 3 2" xfId="12847" xr:uid="{00000000-0005-0000-0000-00007D1D0000}"/>
    <cellStyle name="Calculation 2 8 2 2 3 3" xfId="12848" xr:uid="{00000000-0005-0000-0000-00007E1D0000}"/>
    <cellStyle name="Calculation 2 8 2 2 3 4" xfId="12849" xr:uid="{00000000-0005-0000-0000-00007F1D0000}"/>
    <cellStyle name="Calculation 2 8 2 2 4" xfId="12850" xr:uid="{00000000-0005-0000-0000-0000801D0000}"/>
    <cellStyle name="Calculation 2 8 2 2 4 2" xfId="11792" xr:uid="{00000000-0005-0000-0000-0000811D0000}"/>
    <cellStyle name="Calculation 2 8 2 2 4 3" xfId="11798" xr:uid="{00000000-0005-0000-0000-0000821D0000}"/>
    <cellStyle name="Calculation 2 8 2 2 5" xfId="12851" xr:uid="{00000000-0005-0000-0000-0000831D0000}"/>
    <cellStyle name="Calculation 2 8 2 2 5 2" xfId="12852" xr:uid="{00000000-0005-0000-0000-0000841D0000}"/>
    <cellStyle name="Calculation 2 8 2 2 5 3" xfId="12853" xr:uid="{00000000-0005-0000-0000-0000851D0000}"/>
    <cellStyle name="Calculation 2 8 2 2 6" xfId="12854" xr:uid="{00000000-0005-0000-0000-0000861D0000}"/>
    <cellStyle name="Calculation 2 8 2 2 7" xfId="12855" xr:uid="{00000000-0005-0000-0000-0000871D0000}"/>
    <cellStyle name="Calculation 2 8 2 3" xfId="12856" xr:uid="{00000000-0005-0000-0000-0000881D0000}"/>
    <cellStyle name="Calculation 2 8 2 3 2" xfId="12857" xr:uid="{00000000-0005-0000-0000-0000891D0000}"/>
    <cellStyle name="Calculation 2 8 2 3 2 2" xfId="12858" xr:uid="{00000000-0005-0000-0000-00008A1D0000}"/>
    <cellStyle name="Calculation 2 8 2 3 2 3" xfId="12860" xr:uid="{00000000-0005-0000-0000-00008B1D0000}"/>
    <cellStyle name="Calculation 2 8 2 3 2 4" xfId="12861" xr:uid="{00000000-0005-0000-0000-00008C1D0000}"/>
    <cellStyle name="Calculation 2 8 2 3 3" xfId="12862" xr:uid="{00000000-0005-0000-0000-00008D1D0000}"/>
    <cellStyle name="Calculation 2 8 2 3 3 2" xfId="12863" xr:uid="{00000000-0005-0000-0000-00008E1D0000}"/>
    <cellStyle name="Calculation 2 8 2 3 3 3" xfId="12864" xr:uid="{00000000-0005-0000-0000-00008F1D0000}"/>
    <cellStyle name="Calculation 2 8 2 3 3 4" xfId="12865" xr:uid="{00000000-0005-0000-0000-0000901D0000}"/>
    <cellStyle name="Calculation 2 8 2 3 4" xfId="12866" xr:uid="{00000000-0005-0000-0000-0000911D0000}"/>
    <cellStyle name="Calculation 2 8 2 3 4 2" xfId="12867" xr:uid="{00000000-0005-0000-0000-0000921D0000}"/>
    <cellStyle name="Calculation 2 8 2 3 4 3" xfId="12868" xr:uid="{00000000-0005-0000-0000-0000931D0000}"/>
    <cellStyle name="Calculation 2 8 2 3 5" xfId="12869" xr:uid="{00000000-0005-0000-0000-0000941D0000}"/>
    <cellStyle name="Calculation 2 8 2 3 5 2" xfId="12870" xr:uid="{00000000-0005-0000-0000-0000951D0000}"/>
    <cellStyle name="Calculation 2 8 2 3 5 3" xfId="12871" xr:uid="{00000000-0005-0000-0000-0000961D0000}"/>
    <cellStyle name="Calculation 2 8 2 3 6" xfId="12872" xr:uid="{00000000-0005-0000-0000-0000971D0000}"/>
    <cellStyle name="Calculation 2 8 2 3 7" xfId="12873" xr:uid="{00000000-0005-0000-0000-0000981D0000}"/>
    <cellStyle name="Calculation 2 8 2 4" xfId="12874" xr:uid="{00000000-0005-0000-0000-0000991D0000}"/>
    <cellStyle name="Calculation 2 8 2 4 2" xfId="4551" xr:uid="{00000000-0005-0000-0000-00009A1D0000}"/>
    <cellStyle name="Calculation 2 8 2 4 2 2" xfId="12875" xr:uid="{00000000-0005-0000-0000-00009B1D0000}"/>
    <cellStyle name="Calculation 2 8 2 4 2 3" xfId="12876" xr:uid="{00000000-0005-0000-0000-00009C1D0000}"/>
    <cellStyle name="Calculation 2 8 2 4 2 4" xfId="12877" xr:uid="{00000000-0005-0000-0000-00009D1D0000}"/>
    <cellStyle name="Calculation 2 8 2 4 3" xfId="12878" xr:uid="{00000000-0005-0000-0000-00009E1D0000}"/>
    <cellStyle name="Calculation 2 8 2 4 3 2" xfId="12879" xr:uid="{00000000-0005-0000-0000-00009F1D0000}"/>
    <cellStyle name="Calculation 2 8 2 4 3 3" xfId="12880" xr:uid="{00000000-0005-0000-0000-0000A01D0000}"/>
    <cellStyle name="Calculation 2 8 2 4 3 4" xfId="12881" xr:uid="{00000000-0005-0000-0000-0000A11D0000}"/>
    <cellStyle name="Calculation 2 8 2 4 4" xfId="12882" xr:uid="{00000000-0005-0000-0000-0000A21D0000}"/>
    <cellStyle name="Calculation 2 8 2 4 4 2" xfId="12883" xr:uid="{00000000-0005-0000-0000-0000A31D0000}"/>
    <cellStyle name="Calculation 2 8 2 4 4 3" xfId="12884" xr:uid="{00000000-0005-0000-0000-0000A41D0000}"/>
    <cellStyle name="Calculation 2 8 2 4 5" xfId="12885" xr:uid="{00000000-0005-0000-0000-0000A51D0000}"/>
    <cellStyle name="Calculation 2 8 2 4 5 2" xfId="12886" xr:uid="{00000000-0005-0000-0000-0000A61D0000}"/>
    <cellStyle name="Calculation 2 8 2 4 5 3" xfId="12887" xr:uid="{00000000-0005-0000-0000-0000A71D0000}"/>
    <cellStyle name="Calculation 2 8 2 4 6" xfId="12888" xr:uid="{00000000-0005-0000-0000-0000A81D0000}"/>
    <cellStyle name="Calculation 2 8 2 4 7" xfId="12889" xr:uid="{00000000-0005-0000-0000-0000A91D0000}"/>
    <cellStyle name="Calculation 2 8 2 5" xfId="12890" xr:uid="{00000000-0005-0000-0000-0000AA1D0000}"/>
    <cellStyle name="Calculation 2 8 2 5 2" xfId="12891" xr:uid="{00000000-0005-0000-0000-0000AB1D0000}"/>
    <cellStyle name="Calculation 2 8 2 5 2 2" xfId="12892" xr:uid="{00000000-0005-0000-0000-0000AC1D0000}"/>
    <cellStyle name="Calculation 2 8 2 5 2 3" xfId="12893" xr:uid="{00000000-0005-0000-0000-0000AD1D0000}"/>
    <cellStyle name="Calculation 2 8 2 5 2 4" xfId="12894" xr:uid="{00000000-0005-0000-0000-0000AE1D0000}"/>
    <cellStyle name="Calculation 2 8 2 5 3" xfId="12895" xr:uid="{00000000-0005-0000-0000-0000AF1D0000}"/>
    <cellStyle name="Calculation 2 8 2 5 3 2" xfId="12896" xr:uid="{00000000-0005-0000-0000-0000B01D0000}"/>
    <cellStyle name="Calculation 2 8 2 5 3 3" xfId="12897" xr:uid="{00000000-0005-0000-0000-0000B11D0000}"/>
    <cellStyle name="Calculation 2 8 2 5 3 4" xfId="12898" xr:uid="{00000000-0005-0000-0000-0000B21D0000}"/>
    <cellStyle name="Calculation 2 8 2 5 4" xfId="12899" xr:uid="{00000000-0005-0000-0000-0000B31D0000}"/>
    <cellStyle name="Calculation 2 8 2 5 4 2" xfId="12900" xr:uid="{00000000-0005-0000-0000-0000B41D0000}"/>
    <cellStyle name="Calculation 2 8 2 5 4 3" xfId="12902" xr:uid="{00000000-0005-0000-0000-0000B51D0000}"/>
    <cellStyle name="Calculation 2 8 2 5 5" xfId="12903" xr:uid="{00000000-0005-0000-0000-0000B61D0000}"/>
    <cellStyle name="Calculation 2 8 2 5 5 2" xfId="12904" xr:uid="{00000000-0005-0000-0000-0000B71D0000}"/>
    <cellStyle name="Calculation 2 8 2 5 5 3" xfId="12906" xr:uid="{00000000-0005-0000-0000-0000B81D0000}"/>
    <cellStyle name="Calculation 2 8 2 5 6" xfId="12907" xr:uid="{00000000-0005-0000-0000-0000B91D0000}"/>
    <cellStyle name="Calculation 2 8 2 5 7" xfId="12908" xr:uid="{00000000-0005-0000-0000-0000BA1D0000}"/>
    <cellStyle name="Calculation 2 8 2 6" xfId="12909" xr:uid="{00000000-0005-0000-0000-0000BB1D0000}"/>
    <cellStyle name="Calculation 2 8 2 6 2" xfId="12910" xr:uid="{00000000-0005-0000-0000-0000BC1D0000}"/>
    <cellStyle name="Calculation 2 8 2 6 2 2" xfId="12911" xr:uid="{00000000-0005-0000-0000-0000BD1D0000}"/>
    <cellStyle name="Calculation 2 8 2 6 2 3" xfId="12913" xr:uid="{00000000-0005-0000-0000-0000BE1D0000}"/>
    <cellStyle name="Calculation 2 8 2 6 2 4" xfId="12915" xr:uid="{00000000-0005-0000-0000-0000BF1D0000}"/>
    <cellStyle name="Calculation 2 8 2 6 3" xfId="12917" xr:uid="{00000000-0005-0000-0000-0000C01D0000}"/>
    <cellStyle name="Calculation 2 8 2 6 3 2" xfId="12918" xr:uid="{00000000-0005-0000-0000-0000C11D0000}"/>
    <cellStyle name="Calculation 2 8 2 6 3 3" xfId="12920" xr:uid="{00000000-0005-0000-0000-0000C21D0000}"/>
    <cellStyle name="Calculation 2 8 2 6 3 4" xfId="12922" xr:uid="{00000000-0005-0000-0000-0000C31D0000}"/>
    <cellStyle name="Calculation 2 8 2 6 4" xfId="12924" xr:uid="{00000000-0005-0000-0000-0000C41D0000}"/>
    <cellStyle name="Calculation 2 8 2 6 4 2" xfId="12925" xr:uid="{00000000-0005-0000-0000-0000C51D0000}"/>
    <cellStyle name="Calculation 2 8 2 6 4 3" xfId="12928" xr:uid="{00000000-0005-0000-0000-0000C61D0000}"/>
    <cellStyle name="Calculation 2 8 2 6 5" xfId="12929" xr:uid="{00000000-0005-0000-0000-0000C71D0000}"/>
    <cellStyle name="Calculation 2 8 2 6 5 2" xfId="12931" xr:uid="{00000000-0005-0000-0000-0000C81D0000}"/>
    <cellStyle name="Calculation 2 8 2 6 5 3" xfId="843" xr:uid="{00000000-0005-0000-0000-0000C91D0000}"/>
    <cellStyle name="Calculation 2 8 2 6 6" xfId="12935" xr:uid="{00000000-0005-0000-0000-0000CA1D0000}"/>
    <cellStyle name="Calculation 2 8 2 6 7" xfId="12936" xr:uid="{00000000-0005-0000-0000-0000CB1D0000}"/>
    <cellStyle name="Calculation 2 8 2 7" xfId="12937" xr:uid="{00000000-0005-0000-0000-0000CC1D0000}"/>
    <cellStyle name="Calculation 2 8 2 7 2" xfId="12938" xr:uid="{00000000-0005-0000-0000-0000CD1D0000}"/>
    <cellStyle name="Calculation 2 8 2 7 2 2" xfId="12940" xr:uid="{00000000-0005-0000-0000-0000CE1D0000}"/>
    <cellStyle name="Calculation 2 8 2 7 2 3" xfId="12942" xr:uid="{00000000-0005-0000-0000-0000CF1D0000}"/>
    <cellStyle name="Calculation 2 8 2 7 2 4" xfId="12944" xr:uid="{00000000-0005-0000-0000-0000D01D0000}"/>
    <cellStyle name="Calculation 2 8 2 7 3" xfId="12946" xr:uid="{00000000-0005-0000-0000-0000D11D0000}"/>
    <cellStyle name="Calculation 2 8 2 7 3 2" xfId="12948" xr:uid="{00000000-0005-0000-0000-0000D21D0000}"/>
    <cellStyle name="Calculation 2 8 2 7 3 3" xfId="12950" xr:uid="{00000000-0005-0000-0000-0000D31D0000}"/>
    <cellStyle name="Calculation 2 8 2 7 3 4" xfId="12952" xr:uid="{00000000-0005-0000-0000-0000D41D0000}"/>
    <cellStyle name="Calculation 2 8 2 7 4" xfId="12954" xr:uid="{00000000-0005-0000-0000-0000D51D0000}"/>
    <cellStyle name="Calculation 2 8 2 7 4 2" xfId="12956" xr:uid="{00000000-0005-0000-0000-0000D61D0000}"/>
    <cellStyle name="Calculation 2 8 2 7 4 3" xfId="12959" xr:uid="{00000000-0005-0000-0000-0000D71D0000}"/>
    <cellStyle name="Calculation 2 8 2 7 5" xfId="12961" xr:uid="{00000000-0005-0000-0000-0000D81D0000}"/>
    <cellStyle name="Calculation 2 8 2 7 5 2" xfId="12962" xr:uid="{00000000-0005-0000-0000-0000D91D0000}"/>
    <cellStyle name="Calculation 2 8 2 7 5 3" xfId="12966" xr:uid="{00000000-0005-0000-0000-0000DA1D0000}"/>
    <cellStyle name="Calculation 2 8 2 7 6" xfId="12969" xr:uid="{00000000-0005-0000-0000-0000DB1D0000}"/>
    <cellStyle name="Calculation 2 8 2 7 7" xfId="12970" xr:uid="{00000000-0005-0000-0000-0000DC1D0000}"/>
    <cellStyle name="Calculation 2 8 2 8" xfId="12971" xr:uid="{00000000-0005-0000-0000-0000DD1D0000}"/>
    <cellStyle name="Calculation 2 8 2 8 2" xfId="12973" xr:uid="{00000000-0005-0000-0000-0000DE1D0000}"/>
    <cellStyle name="Calculation 2 8 2 8 2 2" xfId="12974" xr:uid="{00000000-0005-0000-0000-0000DF1D0000}"/>
    <cellStyle name="Calculation 2 8 2 8 2 3" xfId="12980" xr:uid="{00000000-0005-0000-0000-0000E01D0000}"/>
    <cellStyle name="Calculation 2 8 2 8 2 4" xfId="12985" xr:uid="{00000000-0005-0000-0000-0000E11D0000}"/>
    <cellStyle name="Calculation 2 8 2 8 3" xfId="12989" xr:uid="{00000000-0005-0000-0000-0000E21D0000}"/>
    <cellStyle name="Calculation 2 8 2 8 3 2" xfId="12990" xr:uid="{00000000-0005-0000-0000-0000E31D0000}"/>
    <cellStyle name="Calculation 2 8 2 8 3 3" xfId="12993" xr:uid="{00000000-0005-0000-0000-0000E41D0000}"/>
    <cellStyle name="Calculation 2 8 2 8 3 4" xfId="12996" xr:uid="{00000000-0005-0000-0000-0000E51D0000}"/>
    <cellStyle name="Calculation 2 8 2 8 4" xfId="12999" xr:uid="{00000000-0005-0000-0000-0000E61D0000}"/>
    <cellStyle name="Calculation 2 8 2 8 4 2" xfId="13000" xr:uid="{00000000-0005-0000-0000-0000E71D0000}"/>
    <cellStyle name="Calculation 2 8 2 8 4 3" xfId="13003" xr:uid="{00000000-0005-0000-0000-0000E81D0000}"/>
    <cellStyle name="Calculation 2 8 2 8 5" xfId="13005" xr:uid="{00000000-0005-0000-0000-0000E91D0000}"/>
    <cellStyle name="Calculation 2 8 2 8 5 2" xfId="13006" xr:uid="{00000000-0005-0000-0000-0000EA1D0000}"/>
    <cellStyle name="Calculation 2 8 2 8 5 3" xfId="13009" xr:uid="{00000000-0005-0000-0000-0000EB1D0000}"/>
    <cellStyle name="Calculation 2 8 2 8 6" xfId="13011" xr:uid="{00000000-0005-0000-0000-0000EC1D0000}"/>
    <cellStyle name="Calculation 2 8 2 8 7" xfId="13012" xr:uid="{00000000-0005-0000-0000-0000ED1D0000}"/>
    <cellStyle name="Calculation 2 8 2 9" xfId="13013" xr:uid="{00000000-0005-0000-0000-0000EE1D0000}"/>
    <cellStyle name="Calculation 2 8 2 9 2" xfId="13015" xr:uid="{00000000-0005-0000-0000-0000EF1D0000}"/>
    <cellStyle name="Calculation 2 8 2 9 2 2" xfId="13016" xr:uid="{00000000-0005-0000-0000-0000F01D0000}"/>
    <cellStyle name="Calculation 2 8 2 9 2 3" xfId="13018" xr:uid="{00000000-0005-0000-0000-0000F11D0000}"/>
    <cellStyle name="Calculation 2 8 2 9 2 4" xfId="13020" xr:uid="{00000000-0005-0000-0000-0000F21D0000}"/>
    <cellStyle name="Calculation 2 8 2 9 3" xfId="13021" xr:uid="{00000000-0005-0000-0000-0000F31D0000}"/>
    <cellStyle name="Calculation 2 8 2 9 3 2" xfId="13022" xr:uid="{00000000-0005-0000-0000-0000F41D0000}"/>
    <cellStyle name="Calculation 2 8 2 9 3 3" xfId="13023" xr:uid="{00000000-0005-0000-0000-0000F51D0000}"/>
    <cellStyle name="Calculation 2 8 2 9 3 4" xfId="13024" xr:uid="{00000000-0005-0000-0000-0000F61D0000}"/>
    <cellStyle name="Calculation 2 8 2 9 4" xfId="13025" xr:uid="{00000000-0005-0000-0000-0000F71D0000}"/>
    <cellStyle name="Calculation 2 8 2 9 4 2" xfId="13026" xr:uid="{00000000-0005-0000-0000-0000F81D0000}"/>
    <cellStyle name="Calculation 2 8 2 9 4 3" xfId="13028" xr:uid="{00000000-0005-0000-0000-0000F91D0000}"/>
    <cellStyle name="Calculation 2 8 2 9 5" xfId="13029" xr:uid="{00000000-0005-0000-0000-0000FA1D0000}"/>
    <cellStyle name="Calculation 2 8 2 9 5 2" xfId="13030" xr:uid="{00000000-0005-0000-0000-0000FB1D0000}"/>
    <cellStyle name="Calculation 2 8 2 9 5 3" xfId="13032" xr:uid="{00000000-0005-0000-0000-0000FC1D0000}"/>
    <cellStyle name="Calculation 2 8 2 9 6" xfId="13033" xr:uid="{00000000-0005-0000-0000-0000FD1D0000}"/>
    <cellStyle name="Calculation 2 8 2 9 7" xfId="13034" xr:uid="{00000000-0005-0000-0000-0000FE1D0000}"/>
    <cellStyle name="Calculation 2 8 20" xfId="12777" xr:uid="{00000000-0005-0000-0000-0000FF1D0000}"/>
    <cellStyle name="Calculation 2 8 3" xfId="13035" xr:uid="{00000000-0005-0000-0000-0000001E0000}"/>
    <cellStyle name="Calculation 2 8 3 10" xfId="13036" xr:uid="{00000000-0005-0000-0000-0000011E0000}"/>
    <cellStyle name="Calculation 2 8 3 10 2" xfId="13037" xr:uid="{00000000-0005-0000-0000-0000021E0000}"/>
    <cellStyle name="Calculation 2 8 3 10 2 2" xfId="13039" xr:uid="{00000000-0005-0000-0000-0000031E0000}"/>
    <cellStyle name="Calculation 2 8 3 10 2 3" xfId="13042" xr:uid="{00000000-0005-0000-0000-0000041E0000}"/>
    <cellStyle name="Calculation 2 8 3 10 2 4" xfId="13045" xr:uid="{00000000-0005-0000-0000-0000051E0000}"/>
    <cellStyle name="Calculation 2 8 3 10 3" xfId="13047" xr:uid="{00000000-0005-0000-0000-0000061E0000}"/>
    <cellStyle name="Calculation 2 8 3 10 3 2" xfId="13049" xr:uid="{00000000-0005-0000-0000-0000071E0000}"/>
    <cellStyle name="Calculation 2 8 3 10 3 3" xfId="13052" xr:uid="{00000000-0005-0000-0000-0000081E0000}"/>
    <cellStyle name="Calculation 2 8 3 10 3 4" xfId="13055" xr:uid="{00000000-0005-0000-0000-0000091E0000}"/>
    <cellStyle name="Calculation 2 8 3 10 4" xfId="13057" xr:uid="{00000000-0005-0000-0000-00000A1E0000}"/>
    <cellStyle name="Calculation 2 8 3 10 4 2" xfId="13058" xr:uid="{00000000-0005-0000-0000-00000B1E0000}"/>
    <cellStyle name="Calculation 2 8 3 10 4 3" xfId="13059" xr:uid="{00000000-0005-0000-0000-00000C1E0000}"/>
    <cellStyle name="Calculation 2 8 3 10 5" xfId="13060" xr:uid="{00000000-0005-0000-0000-00000D1E0000}"/>
    <cellStyle name="Calculation 2 8 3 10 5 2" xfId="13061" xr:uid="{00000000-0005-0000-0000-00000E1E0000}"/>
    <cellStyle name="Calculation 2 8 3 10 5 3" xfId="13063" xr:uid="{00000000-0005-0000-0000-00000F1E0000}"/>
    <cellStyle name="Calculation 2 8 3 10 6" xfId="445" xr:uid="{00000000-0005-0000-0000-0000101E0000}"/>
    <cellStyle name="Calculation 2 8 3 10 7" xfId="452" xr:uid="{00000000-0005-0000-0000-0000111E0000}"/>
    <cellStyle name="Calculation 2 8 3 11" xfId="13065" xr:uid="{00000000-0005-0000-0000-0000121E0000}"/>
    <cellStyle name="Calculation 2 8 3 11 2" xfId="13066" xr:uid="{00000000-0005-0000-0000-0000131E0000}"/>
    <cellStyle name="Calculation 2 8 3 11 3" xfId="13067" xr:uid="{00000000-0005-0000-0000-0000141E0000}"/>
    <cellStyle name="Calculation 2 8 3 11 4" xfId="13069" xr:uid="{00000000-0005-0000-0000-0000151E0000}"/>
    <cellStyle name="Calculation 2 8 3 12" xfId="13070" xr:uid="{00000000-0005-0000-0000-0000161E0000}"/>
    <cellStyle name="Calculation 2 8 3 12 2" xfId="13071" xr:uid="{00000000-0005-0000-0000-0000171E0000}"/>
    <cellStyle name="Calculation 2 8 3 12 3" xfId="13072" xr:uid="{00000000-0005-0000-0000-0000181E0000}"/>
    <cellStyle name="Calculation 2 8 3 12 4" xfId="13074" xr:uid="{00000000-0005-0000-0000-0000191E0000}"/>
    <cellStyle name="Calculation 2 8 3 13" xfId="13076" xr:uid="{00000000-0005-0000-0000-00001A1E0000}"/>
    <cellStyle name="Calculation 2 8 3 13 2" xfId="13077" xr:uid="{00000000-0005-0000-0000-00001B1E0000}"/>
    <cellStyle name="Calculation 2 8 3 13 3" xfId="13078" xr:uid="{00000000-0005-0000-0000-00001C1E0000}"/>
    <cellStyle name="Calculation 2 8 3 14" xfId="13080" xr:uid="{00000000-0005-0000-0000-00001D1E0000}"/>
    <cellStyle name="Calculation 2 8 3 14 2" xfId="13081" xr:uid="{00000000-0005-0000-0000-00001E1E0000}"/>
    <cellStyle name="Calculation 2 8 3 14 3" xfId="13082" xr:uid="{00000000-0005-0000-0000-00001F1E0000}"/>
    <cellStyle name="Calculation 2 8 3 15" xfId="13084" xr:uid="{00000000-0005-0000-0000-0000201E0000}"/>
    <cellStyle name="Calculation 2 8 3 16" xfId="13085" xr:uid="{00000000-0005-0000-0000-0000211E0000}"/>
    <cellStyle name="Calculation 2 8 3 2" xfId="13086" xr:uid="{00000000-0005-0000-0000-0000221E0000}"/>
    <cellStyle name="Calculation 2 8 3 2 2" xfId="13088" xr:uid="{00000000-0005-0000-0000-0000231E0000}"/>
    <cellStyle name="Calculation 2 8 3 2 2 2" xfId="13089" xr:uid="{00000000-0005-0000-0000-0000241E0000}"/>
    <cellStyle name="Calculation 2 8 3 2 2 3" xfId="13090" xr:uid="{00000000-0005-0000-0000-0000251E0000}"/>
    <cellStyle name="Calculation 2 8 3 2 2 4" xfId="13091" xr:uid="{00000000-0005-0000-0000-0000261E0000}"/>
    <cellStyle name="Calculation 2 8 3 2 3" xfId="13092" xr:uid="{00000000-0005-0000-0000-0000271E0000}"/>
    <cellStyle name="Calculation 2 8 3 2 3 2" xfId="13093" xr:uid="{00000000-0005-0000-0000-0000281E0000}"/>
    <cellStyle name="Calculation 2 8 3 2 3 3" xfId="13094" xr:uid="{00000000-0005-0000-0000-0000291E0000}"/>
    <cellStyle name="Calculation 2 8 3 2 3 4" xfId="13095" xr:uid="{00000000-0005-0000-0000-00002A1E0000}"/>
    <cellStyle name="Calculation 2 8 3 2 4" xfId="13096" xr:uid="{00000000-0005-0000-0000-00002B1E0000}"/>
    <cellStyle name="Calculation 2 8 3 2 4 2" xfId="239" xr:uid="{00000000-0005-0000-0000-00002C1E0000}"/>
    <cellStyle name="Calculation 2 8 3 2 4 3" xfId="13097" xr:uid="{00000000-0005-0000-0000-00002D1E0000}"/>
    <cellStyle name="Calculation 2 8 3 2 5" xfId="13098" xr:uid="{00000000-0005-0000-0000-00002E1E0000}"/>
    <cellStyle name="Calculation 2 8 3 2 5 2" xfId="102" xr:uid="{00000000-0005-0000-0000-00002F1E0000}"/>
    <cellStyle name="Calculation 2 8 3 2 5 3" xfId="1694" xr:uid="{00000000-0005-0000-0000-0000301E0000}"/>
    <cellStyle name="Calculation 2 8 3 2 6" xfId="13099" xr:uid="{00000000-0005-0000-0000-0000311E0000}"/>
    <cellStyle name="Calculation 2 8 3 2 7" xfId="13100" xr:uid="{00000000-0005-0000-0000-0000321E0000}"/>
    <cellStyle name="Calculation 2 8 3 3" xfId="13101" xr:uid="{00000000-0005-0000-0000-0000331E0000}"/>
    <cellStyle name="Calculation 2 8 3 3 2" xfId="13102" xr:uid="{00000000-0005-0000-0000-0000341E0000}"/>
    <cellStyle name="Calculation 2 8 3 3 2 2" xfId="941" xr:uid="{00000000-0005-0000-0000-0000351E0000}"/>
    <cellStyle name="Calculation 2 8 3 3 2 3" xfId="13103" xr:uid="{00000000-0005-0000-0000-0000361E0000}"/>
    <cellStyle name="Calculation 2 8 3 3 2 4" xfId="13105" xr:uid="{00000000-0005-0000-0000-0000371E0000}"/>
    <cellStyle name="Calculation 2 8 3 3 3" xfId="13107" xr:uid="{00000000-0005-0000-0000-0000381E0000}"/>
    <cellStyle name="Calculation 2 8 3 3 3 2" xfId="13108" xr:uid="{00000000-0005-0000-0000-0000391E0000}"/>
    <cellStyle name="Calculation 2 8 3 3 3 3" xfId="13110" xr:uid="{00000000-0005-0000-0000-00003A1E0000}"/>
    <cellStyle name="Calculation 2 8 3 3 3 4" xfId="13112" xr:uid="{00000000-0005-0000-0000-00003B1E0000}"/>
    <cellStyle name="Calculation 2 8 3 3 4" xfId="13114" xr:uid="{00000000-0005-0000-0000-00003C1E0000}"/>
    <cellStyle name="Calculation 2 8 3 3 4 2" xfId="13115" xr:uid="{00000000-0005-0000-0000-00003D1E0000}"/>
    <cellStyle name="Calculation 2 8 3 3 4 3" xfId="13118" xr:uid="{00000000-0005-0000-0000-00003E1E0000}"/>
    <cellStyle name="Calculation 2 8 3 3 5" xfId="13121" xr:uid="{00000000-0005-0000-0000-00003F1E0000}"/>
    <cellStyle name="Calculation 2 8 3 3 5 2" xfId="13122" xr:uid="{00000000-0005-0000-0000-0000401E0000}"/>
    <cellStyle name="Calculation 2 8 3 3 5 3" xfId="13124" xr:uid="{00000000-0005-0000-0000-0000411E0000}"/>
    <cellStyle name="Calculation 2 8 3 3 6" xfId="13126" xr:uid="{00000000-0005-0000-0000-0000421E0000}"/>
    <cellStyle name="Calculation 2 8 3 3 7" xfId="13127" xr:uid="{00000000-0005-0000-0000-0000431E0000}"/>
    <cellStyle name="Calculation 2 8 3 4" xfId="13128" xr:uid="{00000000-0005-0000-0000-0000441E0000}"/>
    <cellStyle name="Calculation 2 8 3 4 2" xfId="13129" xr:uid="{00000000-0005-0000-0000-0000451E0000}"/>
    <cellStyle name="Calculation 2 8 3 4 2 2" xfId="13130" xr:uid="{00000000-0005-0000-0000-0000461E0000}"/>
    <cellStyle name="Calculation 2 8 3 4 2 3" xfId="13131" xr:uid="{00000000-0005-0000-0000-0000471E0000}"/>
    <cellStyle name="Calculation 2 8 3 4 2 4" xfId="13132" xr:uid="{00000000-0005-0000-0000-0000481E0000}"/>
    <cellStyle name="Calculation 2 8 3 4 3" xfId="13133" xr:uid="{00000000-0005-0000-0000-0000491E0000}"/>
    <cellStyle name="Calculation 2 8 3 4 3 2" xfId="13134" xr:uid="{00000000-0005-0000-0000-00004A1E0000}"/>
    <cellStyle name="Calculation 2 8 3 4 3 3" xfId="13135" xr:uid="{00000000-0005-0000-0000-00004B1E0000}"/>
    <cellStyle name="Calculation 2 8 3 4 3 4" xfId="13136" xr:uid="{00000000-0005-0000-0000-00004C1E0000}"/>
    <cellStyle name="Calculation 2 8 3 4 4" xfId="13137" xr:uid="{00000000-0005-0000-0000-00004D1E0000}"/>
    <cellStyle name="Calculation 2 8 3 4 4 2" xfId="13138" xr:uid="{00000000-0005-0000-0000-00004E1E0000}"/>
    <cellStyle name="Calculation 2 8 3 4 4 3" xfId="13139" xr:uid="{00000000-0005-0000-0000-00004F1E0000}"/>
    <cellStyle name="Calculation 2 8 3 4 5" xfId="13140" xr:uid="{00000000-0005-0000-0000-0000501E0000}"/>
    <cellStyle name="Calculation 2 8 3 4 5 2" xfId="13141" xr:uid="{00000000-0005-0000-0000-0000511E0000}"/>
    <cellStyle name="Calculation 2 8 3 4 5 3" xfId="13142" xr:uid="{00000000-0005-0000-0000-0000521E0000}"/>
    <cellStyle name="Calculation 2 8 3 4 6" xfId="13143" xr:uid="{00000000-0005-0000-0000-0000531E0000}"/>
    <cellStyle name="Calculation 2 8 3 4 7" xfId="13144" xr:uid="{00000000-0005-0000-0000-0000541E0000}"/>
    <cellStyle name="Calculation 2 8 3 5" xfId="13145" xr:uid="{00000000-0005-0000-0000-0000551E0000}"/>
    <cellStyle name="Calculation 2 8 3 5 2" xfId="13146" xr:uid="{00000000-0005-0000-0000-0000561E0000}"/>
    <cellStyle name="Calculation 2 8 3 5 2 2" xfId="13147" xr:uid="{00000000-0005-0000-0000-0000571E0000}"/>
    <cellStyle name="Calculation 2 8 3 5 2 3" xfId="13148" xr:uid="{00000000-0005-0000-0000-0000581E0000}"/>
    <cellStyle name="Calculation 2 8 3 5 2 4" xfId="13149" xr:uid="{00000000-0005-0000-0000-0000591E0000}"/>
    <cellStyle name="Calculation 2 8 3 5 3" xfId="13150" xr:uid="{00000000-0005-0000-0000-00005A1E0000}"/>
    <cellStyle name="Calculation 2 8 3 5 3 2" xfId="13151" xr:uid="{00000000-0005-0000-0000-00005B1E0000}"/>
    <cellStyle name="Calculation 2 8 3 5 3 3" xfId="13152" xr:uid="{00000000-0005-0000-0000-00005C1E0000}"/>
    <cellStyle name="Calculation 2 8 3 5 3 4" xfId="13153" xr:uid="{00000000-0005-0000-0000-00005D1E0000}"/>
    <cellStyle name="Calculation 2 8 3 5 4" xfId="13154" xr:uid="{00000000-0005-0000-0000-00005E1E0000}"/>
    <cellStyle name="Calculation 2 8 3 5 4 2" xfId="13155" xr:uid="{00000000-0005-0000-0000-00005F1E0000}"/>
    <cellStyle name="Calculation 2 8 3 5 4 3" xfId="13157" xr:uid="{00000000-0005-0000-0000-0000601E0000}"/>
    <cellStyle name="Calculation 2 8 3 5 5" xfId="13158" xr:uid="{00000000-0005-0000-0000-0000611E0000}"/>
    <cellStyle name="Calculation 2 8 3 5 5 2" xfId="13159" xr:uid="{00000000-0005-0000-0000-0000621E0000}"/>
    <cellStyle name="Calculation 2 8 3 5 5 3" xfId="13161" xr:uid="{00000000-0005-0000-0000-0000631E0000}"/>
    <cellStyle name="Calculation 2 8 3 5 6" xfId="13162" xr:uid="{00000000-0005-0000-0000-0000641E0000}"/>
    <cellStyle name="Calculation 2 8 3 5 7" xfId="13163" xr:uid="{00000000-0005-0000-0000-0000651E0000}"/>
    <cellStyle name="Calculation 2 8 3 6" xfId="13164" xr:uid="{00000000-0005-0000-0000-0000661E0000}"/>
    <cellStyle name="Calculation 2 8 3 6 2" xfId="13165" xr:uid="{00000000-0005-0000-0000-0000671E0000}"/>
    <cellStyle name="Calculation 2 8 3 6 2 2" xfId="13167" xr:uid="{00000000-0005-0000-0000-0000681E0000}"/>
    <cellStyle name="Calculation 2 8 3 6 2 3" xfId="13168" xr:uid="{00000000-0005-0000-0000-0000691E0000}"/>
    <cellStyle name="Calculation 2 8 3 6 2 4" xfId="13169" xr:uid="{00000000-0005-0000-0000-00006A1E0000}"/>
    <cellStyle name="Calculation 2 8 3 6 3" xfId="13170" xr:uid="{00000000-0005-0000-0000-00006B1E0000}"/>
    <cellStyle name="Calculation 2 8 3 6 3 2" xfId="13172" xr:uid="{00000000-0005-0000-0000-00006C1E0000}"/>
    <cellStyle name="Calculation 2 8 3 6 3 3" xfId="13173" xr:uid="{00000000-0005-0000-0000-00006D1E0000}"/>
    <cellStyle name="Calculation 2 8 3 6 3 4" xfId="13174" xr:uid="{00000000-0005-0000-0000-00006E1E0000}"/>
    <cellStyle name="Calculation 2 8 3 6 4" xfId="13175" xr:uid="{00000000-0005-0000-0000-00006F1E0000}"/>
    <cellStyle name="Calculation 2 8 3 6 4 2" xfId="13176" xr:uid="{00000000-0005-0000-0000-0000701E0000}"/>
    <cellStyle name="Calculation 2 8 3 6 4 3" xfId="13178" xr:uid="{00000000-0005-0000-0000-0000711E0000}"/>
    <cellStyle name="Calculation 2 8 3 6 5" xfId="13179" xr:uid="{00000000-0005-0000-0000-0000721E0000}"/>
    <cellStyle name="Calculation 2 8 3 6 5 2" xfId="13180" xr:uid="{00000000-0005-0000-0000-0000731E0000}"/>
    <cellStyle name="Calculation 2 8 3 6 5 3" xfId="183" xr:uid="{00000000-0005-0000-0000-0000741E0000}"/>
    <cellStyle name="Calculation 2 8 3 6 6" xfId="13182" xr:uid="{00000000-0005-0000-0000-0000751E0000}"/>
    <cellStyle name="Calculation 2 8 3 6 7" xfId="13183" xr:uid="{00000000-0005-0000-0000-0000761E0000}"/>
    <cellStyle name="Calculation 2 8 3 7" xfId="13184" xr:uid="{00000000-0005-0000-0000-0000771E0000}"/>
    <cellStyle name="Calculation 2 8 3 7 2" xfId="13185" xr:uid="{00000000-0005-0000-0000-0000781E0000}"/>
    <cellStyle name="Calculation 2 8 3 7 2 2" xfId="13186" xr:uid="{00000000-0005-0000-0000-0000791E0000}"/>
    <cellStyle name="Calculation 2 8 3 7 2 3" xfId="13188" xr:uid="{00000000-0005-0000-0000-00007A1E0000}"/>
    <cellStyle name="Calculation 2 8 3 7 2 4" xfId="13190" xr:uid="{00000000-0005-0000-0000-00007B1E0000}"/>
    <cellStyle name="Calculation 2 8 3 7 3" xfId="13192" xr:uid="{00000000-0005-0000-0000-00007C1E0000}"/>
    <cellStyle name="Calculation 2 8 3 7 3 2" xfId="13193" xr:uid="{00000000-0005-0000-0000-00007D1E0000}"/>
    <cellStyle name="Calculation 2 8 3 7 3 3" xfId="13195" xr:uid="{00000000-0005-0000-0000-00007E1E0000}"/>
    <cellStyle name="Calculation 2 8 3 7 3 4" xfId="13197" xr:uid="{00000000-0005-0000-0000-00007F1E0000}"/>
    <cellStyle name="Calculation 2 8 3 7 4" xfId="13199" xr:uid="{00000000-0005-0000-0000-0000801E0000}"/>
    <cellStyle name="Calculation 2 8 3 7 4 2" xfId="13200" xr:uid="{00000000-0005-0000-0000-0000811E0000}"/>
    <cellStyle name="Calculation 2 8 3 7 4 3" xfId="13203" xr:uid="{00000000-0005-0000-0000-0000821E0000}"/>
    <cellStyle name="Calculation 2 8 3 7 5" xfId="13205" xr:uid="{00000000-0005-0000-0000-0000831E0000}"/>
    <cellStyle name="Calculation 2 8 3 7 5 2" xfId="13206" xr:uid="{00000000-0005-0000-0000-0000841E0000}"/>
    <cellStyle name="Calculation 2 8 3 7 5 3" xfId="13210" xr:uid="{00000000-0005-0000-0000-0000851E0000}"/>
    <cellStyle name="Calculation 2 8 3 7 6" xfId="13212" xr:uid="{00000000-0005-0000-0000-0000861E0000}"/>
    <cellStyle name="Calculation 2 8 3 7 7" xfId="13213" xr:uid="{00000000-0005-0000-0000-0000871E0000}"/>
    <cellStyle name="Calculation 2 8 3 8" xfId="13214" xr:uid="{00000000-0005-0000-0000-0000881E0000}"/>
    <cellStyle name="Calculation 2 8 3 8 2" xfId="13216" xr:uid="{00000000-0005-0000-0000-0000891E0000}"/>
    <cellStyle name="Calculation 2 8 3 8 2 2" xfId="13217" xr:uid="{00000000-0005-0000-0000-00008A1E0000}"/>
    <cellStyle name="Calculation 2 8 3 8 2 3" xfId="13222" xr:uid="{00000000-0005-0000-0000-00008B1E0000}"/>
    <cellStyle name="Calculation 2 8 3 8 2 4" xfId="13227" xr:uid="{00000000-0005-0000-0000-00008C1E0000}"/>
    <cellStyle name="Calculation 2 8 3 8 3" xfId="13231" xr:uid="{00000000-0005-0000-0000-00008D1E0000}"/>
    <cellStyle name="Calculation 2 8 3 8 3 2" xfId="13232" xr:uid="{00000000-0005-0000-0000-00008E1E0000}"/>
    <cellStyle name="Calculation 2 8 3 8 3 3" xfId="13236" xr:uid="{00000000-0005-0000-0000-00008F1E0000}"/>
    <cellStyle name="Calculation 2 8 3 8 3 4" xfId="13240" xr:uid="{00000000-0005-0000-0000-0000901E0000}"/>
    <cellStyle name="Calculation 2 8 3 8 4" xfId="13244" xr:uid="{00000000-0005-0000-0000-0000911E0000}"/>
    <cellStyle name="Calculation 2 8 3 8 4 2" xfId="13245" xr:uid="{00000000-0005-0000-0000-0000921E0000}"/>
    <cellStyle name="Calculation 2 8 3 8 4 3" xfId="13251" xr:uid="{00000000-0005-0000-0000-0000931E0000}"/>
    <cellStyle name="Calculation 2 8 3 8 5" xfId="13256" xr:uid="{00000000-0005-0000-0000-0000941E0000}"/>
    <cellStyle name="Calculation 2 8 3 8 5 2" xfId="13257" xr:uid="{00000000-0005-0000-0000-0000951E0000}"/>
    <cellStyle name="Calculation 2 8 3 8 5 3" xfId="13263" xr:uid="{00000000-0005-0000-0000-0000961E0000}"/>
    <cellStyle name="Calculation 2 8 3 8 6" xfId="13268" xr:uid="{00000000-0005-0000-0000-0000971E0000}"/>
    <cellStyle name="Calculation 2 8 3 8 7" xfId="13269" xr:uid="{00000000-0005-0000-0000-0000981E0000}"/>
    <cellStyle name="Calculation 2 8 3 9" xfId="13270" xr:uid="{00000000-0005-0000-0000-0000991E0000}"/>
    <cellStyle name="Calculation 2 8 3 9 2" xfId="13272" xr:uid="{00000000-0005-0000-0000-00009A1E0000}"/>
    <cellStyle name="Calculation 2 8 3 9 2 2" xfId="13273" xr:uid="{00000000-0005-0000-0000-00009B1E0000}"/>
    <cellStyle name="Calculation 2 8 3 9 2 3" xfId="13275" xr:uid="{00000000-0005-0000-0000-00009C1E0000}"/>
    <cellStyle name="Calculation 2 8 3 9 2 4" xfId="13277" xr:uid="{00000000-0005-0000-0000-00009D1E0000}"/>
    <cellStyle name="Calculation 2 8 3 9 3" xfId="13278" xr:uid="{00000000-0005-0000-0000-00009E1E0000}"/>
    <cellStyle name="Calculation 2 8 3 9 3 2" xfId="13279" xr:uid="{00000000-0005-0000-0000-00009F1E0000}"/>
    <cellStyle name="Calculation 2 8 3 9 3 3" xfId="13280" xr:uid="{00000000-0005-0000-0000-0000A01E0000}"/>
    <cellStyle name="Calculation 2 8 3 9 3 4" xfId="13281" xr:uid="{00000000-0005-0000-0000-0000A11E0000}"/>
    <cellStyle name="Calculation 2 8 3 9 4" xfId="13282" xr:uid="{00000000-0005-0000-0000-0000A21E0000}"/>
    <cellStyle name="Calculation 2 8 3 9 4 2" xfId="13283" xr:uid="{00000000-0005-0000-0000-0000A31E0000}"/>
    <cellStyle name="Calculation 2 8 3 9 4 3" xfId="13285" xr:uid="{00000000-0005-0000-0000-0000A41E0000}"/>
    <cellStyle name="Calculation 2 8 3 9 5" xfId="13286" xr:uid="{00000000-0005-0000-0000-0000A51E0000}"/>
    <cellStyle name="Calculation 2 8 3 9 5 2" xfId="13287" xr:uid="{00000000-0005-0000-0000-0000A61E0000}"/>
    <cellStyle name="Calculation 2 8 3 9 5 3" xfId="13289" xr:uid="{00000000-0005-0000-0000-0000A71E0000}"/>
    <cellStyle name="Calculation 2 8 3 9 6" xfId="13290" xr:uid="{00000000-0005-0000-0000-0000A81E0000}"/>
    <cellStyle name="Calculation 2 8 3 9 7" xfId="2465" xr:uid="{00000000-0005-0000-0000-0000A91E0000}"/>
    <cellStyle name="Calculation 2 8 4" xfId="13291" xr:uid="{00000000-0005-0000-0000-0000AA1E0000}"/>
    <cellStyle name="Calculation 2 8 4 2" xfId="271" xr:uid="{00000000-0005-0000-0000-0000AB1E0000}"/>
    <cellStyle name="Calculation 2 8 4 2 2" xfId="13292" xr:uid="{00000000-0005-0000-0000-0000AC1E0000}"/>
    <cellStyle name="Calculation 2 8 4 2 3" xfId="13293" xr:uid="{00000000-0005-0000-0000-0000AD1E0000}"/>
    <cellStyle name="Calculation 2 8 4 2 4" xfId="13294" xr:uid="{00000000-0005-0000-0000-0000AE1E0000}"/>
    <cellStyle name="Calculation 2 8 4 3" xfId="6823" xr:uid="{00000000-0005-0000-0000-0000AF1E0000}"/>
    <cellStyle name="Calculation 2 8 4 3 2" xfId="13295" xr:uid="{00000000-0005-0000-0000-0000B01E0000}"/>
    <cellStyle name="Calculation 2 8 4 3 3" xfId="13296" xr:uid="{00000000-0005-0000-0000-0000B11E0000}"/>
    <cellStyle name="Calculation 2 8 4 3 4" xfId="13297" xr:uid="{00000000-0005-0000-0000-0000B21E0000}"/>
    <cellStyle name="Calculation 2 8 4 4" xfId="13298" xr:uid="{00000000-0005-0000-0000-0000B31E0000}"/>
    <cellStyle name="Calculation 2 8 4 4 2" xfId="13299" xr:uid="{00000000-0005-0000-0000-0000B41E0000}"/>
    <cellStyle name="Calculation 2 8 4 4 3" xfId="13300" xr:uid="{00000000-0005-0000-0000-0000B51E0000}"/>
    <cellStyle name="Calculation 2 8 4 5" xfId="13301" xr:uid="{00000000-0005-0000-0000-0000B61E0000}"/>
    <cellStyle name="Calculation 2 8 4 5 2" xfId="13302" xr:uid="{00000000-0005-0000-0000-0000B71E0000}"/>
    <cellStyle name="Calculation 2 8 4 5 3" xfId="13303" xr:uid="{00000000-0005-0000-0000-0000B81E0000}"/>
    <cellStyle name="Calculation 2 8 4 6" xfId="13304" xr:uid="{00000000-0005-0000-0000-0000B91E0000}"/>
    <cellStyle name="Calculation 2 8 4 7" xfId="13305" xr:uid="{00000000-0005-0000-0000-0000BA1E0000}"/>
    <cellStyle name="Calculation 2 8 5" xfId="13306" xr:uid="{00000000-0005-0000-0000-0000BB1E0000}"/>
    <cellStyle name="Calculation 2 8 5 2" xfId="6826" xr:uid="{00000000-0005-0000-0000-0000BC1E0000}"/>
    <cellStyle name="Calculation 2 8 5 2 2" xfId="11873" xr:uid="{00000000-0005-0000-0000-0000BD1E0000}"/>
    <cellStyle name="Calculation 2 8 5 2 3" xfId="11875" xr:uid="{00000000-0005-0000-0000-0000BE1E0000}"/>
    <cellStyle name="Calculation 2 8 5 2 4" xfId="13307" xr:uid="{00000000-0005-0000-0000-0000BF1E0000}"/>
    <cellStyle name="Calculation 2 8 5 3" xfId="6828" xr:uid="{00000000-0005-0000-0000-0000C01E0000}"/>
    <cellStyle name="Calculation 2 8 5 3 2" xfId="11881" xr:uid="{00000000-0005-0000-0000-0000C11E0000}"/>
    <cellStyle name="Calculation 2 8 5 3 3" xfId="13308" xr:uid="{00000000-0005-0000-0000-0000C21E0000}"/>
    <cellStyle name="Calculation 2 8 5 3 4" xfId="13309" xr:uid="{00000000-0005-0000-0000-0000C31E0000}"/>
    <cellStyle name="Calculation 2 8 5 4" xfId="13310" xr:uid="{00000000-0005-0000-0000-0000C41E0000}"/>
    <cellStyle name="Calculation 2 8 5 4 2" xfId="11886" xr:uid="{00000000-0005-0000-0000-0000C51E0000}"/>
    <cellStyle name="Calculation 2 8 5 4 3" xfId="13311" xr:uid="{00000000-0005-0000-0000-0000C61E0000}"/>
    <cellStyle name="Calculation 2 8 5 5" xfId="13312" xr:uid="{00000000-0005-0000-0000-0000C71E0000}"/>
    <cellStyle name="Calculation 2 8 5 5 2" xfId="13315" xr:uid="{00000000-0005-0000-0000-0000C81E0000}"/>
    <cellStyle name="Calculation 2 8 5 5 3" xfId="13317" xr:uid="{00000000-0005-0000-0000-0000C91E0000}"/>
    <cellStyle name="Calculation 2 8 5 6" xfId="13319" xr:uid="{00000000-0005-0000-0000-0000CA1E0000}"/>
    <cellStyle name="Calculation 2 8 5 7" xfId="13322" xr:uid="{00000000-0005-0000-0000-0000CB1E0000}"/>
    <cellStyle name="Calculation 2 8 6" xfId="13325" xr:uid="{00000000-0005-0000-0000-0000CC1E0000}"/>
    <cellStyle name="Calculation 2 8 6 2" xfId="6830" xr:uid="{00000000-0005-0000-0000-0000CD1E0000}"/>
    <cellStyle name="Calculation 2 8 6 2 2" xfId="11899" xr:uid="{00000000-0005-0000-0000-0000CE1E0000}"/>
    <cellStyle name="Calculation 2 8 6 2 3" xfId="11901" xr:uid="{00000000-0005-0000-0000-0000CF1E0000}"/>
    <cellStyle name="Calculation 2 8 6 2 4" xfId="4719" xr:uid="{00000000-0005-0000-0000-0000D01E0000}"/>
    <cellStyle name="Calculation 2 8 6 3" xfId="13326" xr:uid="{00000000-0005-0000-0000-0000D11E0000}"/>
    <cellStyle name="Calculation 2 8 6 3 2" xfId="11907" xr:uid="{00000000-0005-0000-0000-0000D21E0000}"/>
    <cellStyle name="Calculation 2 8 6 3 3" xfId="13327" xr:uid="{00000000-0005-0000-0000-0000D31E0000}"/>
    <cellStyle name="Calculation 2 8 6 3 4" xfId="5764" xr:uid="{00000000-0005-0000-0000-0000D41E0000}"/>
    <cellStyle name="Calculation 2 8 6 4" xfId="13328" xr:uid="{00000000-0005-0000-0000-0000D51E0000}"/>
    <cellStyle name="Calculation 2 8 6 4 2" xfId="11913" xr:uid="{00000000-0005-0000-0000-0000D61E0000}"/>
    <cellStyle name="Calculation 2 8 6 4 3" xfId="13329" xr:uid="{00000000-0005-0000-0000-0000D71E0000}"/>
    <cellStyle name="Calculation 2 8 6 5" xfId="13331" xr:uid="{00000000-0005-0000-0000-0000D81E0000}"/>
    <cellStyle name="Calculation 2 8 6 5 2" xfId="13334" xr:uid="{00000000-0005-0000-0000-0000D91E0000}"/>
    <cellStyle name="Calculation 2 8 6 5 3" xfId="13337" xr:uid="{00000000-0005-0000-0000-0000DA1E0000}"/>
    <cellStyle name="Calculation 2 8 6 6" xfId="13340" xr:uid="{00000000-0005-0000-0000-0000DB1E0000}"/>
    <cellStyle name="Calculation 2 8 6 7" xfId="13343" xr:uid="{00000000-0005-0000-0000-0000DC1E0000}"/>
    <cellStyle name="Calculation 2 8 7" xfId="13346" xr:uid="{00000000-0005-0000-0000-0000DD1E0000}"/>
    <cellStyle name="Calculation 2 8 7 2" xfId="6833" xr:uid="{00000000-0005-0000-0000-0000DE1E0000}"/>
    <cellStyle name="Calculation 2 8 7 2 2" xfId="11930" xr:uid="{00000000-0005-0000-0000-0000DF1E0000}"/>
    <cellStyle name="Calculation 2 8 7 2 3" xfId="11932" xr:uid="{00000000-0005-0000-0000-0000E01E0000}"/>
    <cellStyle name="Calculation 2 8 7 2 4" xfId="13347" xr:uid="{00000000-0005-0000-0000-0000E11E0000}"/>
    <cellStyle name="Calculation 2 8 7 3" xfId="13348" xr:uid="{00000000-0005-0000-0000-0000E21E0000}"/>
    <cellStyle name="Calculation 2 8 7 3 2" xfId="11937" xr:uid="{00000000-0005-0000-0000-0000E31E0000}"/>
    <cellStyle name="Calculation 2 8 7 3 3" xfId="13350" xr:uid="{00000000-0005-0000-0000-0000E41E0000}"/>
    <cellStyle name="Calculation 2 8 7 3 4" xfId="13351" xr:uid="{00000000-0005-0000-0000-0000E51E0000}"/>
    <cellStyle name="Calculation 2 8 7 4" xfId="13352" xr:uid="{00000000-0005-0000-0000-0000E61E0000}"/>
    <cellStyle name="Calculation 2 8 7 4 2" xfId="5389" xr:uid="{00000000-0005-0000-0000-0000E71E0000}"/>
    <cellStyle name="Calculation 2 8 7 4 3" xfId="13354" xr:uid="{00000000-0005-0000-0000-0000E81E0000}"/>
    <cellStyle name="Calculation 2 8 7 5" xfId="13355" xr:uid="{00000000-0005-0000-0000-0000E91E0000}"/>
    <cellStyle name="Calculation 2 8 7 5 2" xfId="13359" xr:uid="{00000000-0005-0000-0000-0000EA1E0000}"/>
    <cellStyle name="Calculation 2 8 7 5 3" xfId="13361" xr:uid="{00000000-0005-0000-0000-0000EB1E0000}"/>
    <cellStyle name="Calculation 2 8 7 6" xfId="13363" xr:uid="{00000000-0005-0000-0000-0000EC1E0000}"/>
    <cellStyle name="Calculation 2 8 7 7" xfId="13366" xr:uid="{00000000-0005-0000-0000-0000ED1E0000}"/>
    <cellStyle name="Calculation 2 8 8" xfId="13368" xr:uid="{00000000-0005-0000-0000-0000EE1E0000}"/>
    <cellStyle name="Calculation 2 8 8 2" xfId="13369" xr:uid="{00000000-0005-0000-0000-0000EF1E0000}"/>
    <cellStyle name="Calculation 2 8 8 2 2" xfId="11950" xr:uid="{00000000-0005-0000-0000-0000F01E0000}"/>
    <cellStyle name="Calculation 2 8 8 2 3" xfId="3113" xr:uid="{00000000-0005-0000-0000-0000F11E0000}"/>
    <cellStyle name="Calculation 2 8 8 2 4" xfId="3138" xr:uid="{00000000-0005-0000-0000-0000F21E0000}"/>
    <cellStyle name="Calculation 2 8 8 3" xfId="13370" xr:uid="{00000000-0005-0000-0000-0000F31E0000}"/>
    <cellStyle name="Calculation 2 8 8 3 2" xfId="11956" xr:uid="{00000000-0005-0000-0000-0000F41E0000}"/>
    <cellStyle name="Calculation 2 8 8 3 3" xfId="2037" xr:uid="{00000000-0005-0000-0000-0000F51E0000}"/>
    <cellStyle name="Calculation 2 8 8 3 4" xfId="2054" xr:uid="{00000000-0005-0000-0000-0000F61E0000}"/>
    <cellStyle name="Calculation 2 8 8 4" xfId="13372" xr:uid="{00000000-0005-0000-0000-0000F71E0000}"/>
    <cellStyle name="Calculation 2 8 8 4 2" xfId="11962" xr:uid="{00000000-0005-0000-0000-0000F81E0000}"/>
    <cellStyle name="Calculation 2 8 8 4 3" xfId="1415" xr:uid="{00000000-0005-0000-0000-0000F91E0000}"/>
    <cellStyle name="Calculation 2 8 8 5" xfId="13374" xr:uid="{00000000-0005-0000-0000-0000FA1E0000}"/>
    <cellStyle name="Calculation 2 8 8 5 2" xfId="13378" xr:uid="{00000000-0005-0000-0000-0000FB1E0000}"/>
    <cellStyle name="Calculation 2 8 8 5 3" xfId="3901" xr:uid="{00000000-0005-0000-0000-0000FC1E0000}"/>
    <cellStyle name="Calculation 2 8 8 6" xfId="13380" xr:uid="{00000000-0005-0000-0000-0000FD1E0000}"/>
    <cellStyle name="Calculation 2 8 8 7" xfId="13383" xr:uid="{00000000-0005-0000-0000-0000FE1E0000}"/>
    <cellStyle name="Calculation 2 8 9" xfId="13385" xr:uid="{00000000-0005-0000-0000-0000FF1E0000}"/>
    <cellStyle name="Calculation 2 8 9 2" xfId="13386" xr:uid="{00000000-0005-0000-0000-0000001F0000}"/>
    <cellStyle name="Calculation 2 8 9 2 2" xfId="11987" xr:uid="{00000000-0005-0000-0000-0000011F0000}"/>
    <cellStyle name="Calculation 2 8 9 2 3" xfId="4277" xr:uid="{00000000-0005-0000-0000-0000021F0000}"/>
    <cellStyle name="Calculation 2 8 9 2 4" xfId="1811" xr:uid="{00000000-0005-0000-0000-0000031F0000}"/>
    <cellStyle name="Calculation 2 8 9 3" xfId="13388" xr:uid="{00000000-0005-0000-0000-0000041F0000}"/>
    <cellStyle name="Calculation 2 8 9 3 2" xfId="12001" xr:uid="{00000000-0005-0000-0000-0000051F0000}"/>
    <cellStyle name="Calculation 2 8 9 3 3" xfId="4554" xr:uid="{00000000-0005-0000-0000-0000061F0000}"/>
    <cellStyle name="Calculation 2 8 9 3 4" xfId="4579" xr:uid="{00000000-0005-0000-0000-0000071F0000}"/>
    <cellStyle name="Calculation 2 8 9 4" xfId="13392" xr:uid="{00000000-0005-0000-0000-0000081F0000}"/>
    <cellStyle name="Calculation 2 8 9 4 2" xfId="12014" xr:uid="{00000000-0005-0000-0000-0000091F0000}"/>
    <cellStyle name="Calculation 2 8 9 4 3" xfId="4773" xr:uid="{00000000-0005-0000-0000-00000A1F0000}"/>
    <cellStyle name="Calculation 2 8 9 5" xfId="13395" xr:uid="{00000000-0005-0000-0000-00000B1F0000}"/>
    <cellStyle name="Calculation 2 8 9 5 2" xfId="13399" xr:uid="{00000000-0005-0000-0000-00000C1F0000}"/>
    <cellStyle name="Calculation 2 8 9 5 3" xfId="4798" xr:uid="{00000000-0005-0000-0000-00000D1F0000}"/>
    <cellStyle name="Calculation 2 8 9 6" xfId="13402" xr:uid="{00000000-0005-0000-0000-00000E1F0000}"/>
    <cellStyle name="Calculation 2 8 9 7" xfId="13404" xr:uid="{00000000-0005-0000-0000-00000F1F0000}"/>
    <cellStyle name="Calculation 2 9" xfId="13406" xr:uid="{00000000-0005-0000-0000-0000101F0000}"/>
    <cellStyle name="Calculation 2 9 10" xfId="13407" xr:uid="{00000000-0005-0000-0000-0000111F0000}"/>
    <cellStyle name="Calculation 2 9 10 2" xfId="13408" xr:uid="{00000000-0005-0000-0000-0000121F0000}"/>
    <cellStyle name="Calculation 2 9 10 2 2" xfId="4213" xr:uid="{00000000-0005-0000-0000-0000131F0000}"/>
    <cellStyle name="Calculation 2 9 10 2 3" xfId="4214" xr:uid="{00000000-0005-0000-0000-0000141F0000}"/>
    <cellStyle name="Calculation 2 9 10 2 4" xfId="13409" xr:uid="{00000000-0005-0000-0000-0000151F0000}"/>
    <cellStyle name="Calculation 2 9 10 3" xfId="13411" xr:uid="{00000000-0005-0000-0000-0000161F0000}"/>
    <cellStyle name="Calculation 2 9 10 3 2" xfId="4224" xr:uid="{00000000-0005-0000-0000-0000171F0000}"/>
    <cellStyle name="Calculation 2 9 10 3 3" xfId="4225" xr:uid="{00000000-0005-0000-0000-0000181F0000}"/>
    <cellStyle name="Calculation 2 9 10 3 4" xfId="13412" xr:uid="{00000000-0005-0000-0000-0000191F0000}"/>
    <cellStyle name="Calculation 2 9 10 4" xfId="13414" xr:uid="{00000000-0005-0000-0000-00001A1F0000}"/>
    <cellStyle name="Calculation 2 9 10 4 2" xfId="4234" xr:uid="{00000000-0005-0000-0000-00001B1F0000}"/>
    <cellStyle name="Calculation 2 9 10 4 3" xfId="13415" xr:uid="{00000000-0005-0000-0000-00001C1F0000}"/>
    <cellStyle name="Calculation 2 9 10 5" xfId="8694" xr:uid="{00000000-0005-0000-0000-00001D1F0000}"/>
    <cellStyle name="Calculation 2 9 10 5 2" xfId="4247" xr:uid="{00000000-0005-0000-0000-00001E1F0000}"/>
    <cellStyle name="Calculation 2 9 10 5 3" xfId="8696" xr:uid="{00000000-0005-0000-0000-00001F1F0000}"/>
    <cellStyle name="Calculation 2 9 10 6" xfId="8699" xr:uid="{00000000-0005-0000-0000-0000201F0000}"/>
    <cellStyle name="Calculation 2 9 10 7" xfId="8705" xr:uid="{00000000-0005-0000-0000-0000211F0000}"/>
    <cellStyle name="Calculation 2 9 11" xfId="13417" xr:uid="{00000000-0005-0000-0000-0000221F0000}"/>
    <cellStyle name="Calculation 2 9 11 2" xfId="13418" xr:uid="{00000000-0005-0000-0000-0000231F0000}"/>
    <cellStyle name="Calculation 2 9 11 2 2" xfId="13419" xr:uid="{00000000-0005-0000-0000-0000241F0000}"/>
    <cellStyle name="Calculation 2 9 11 2 3" xfId="13420" xr:uid="{00000000-0005-0000-0000-0000251F0000}"/>
    <cellStyle name="Calculation 2 9 11 2 4" xfId="13421" xr:uid="{00000000-0005-0000-0000-0000261F0000}"/>
    <cellStyle name="Calculation 2 9 11 3" xfId="13422" xr:uid="{00000000-0005-0000-0000-0000271F0000}"/>
    <cellStyle name="Calculation 2 9 11 3 2" xfId="13423" xr:uid="{00000000-0005-0000-0000-0000281F0000}"/>
    <cellStyle name="Calculation 2 9 11 3 3" xfId="13424" xr:uid="{00000000-0005-0000-0000-0000291F0000}"/>
    <cellStyle name="Calculation 2 9 11 3 4" xfId="13425" xr:uid="{00000000-0005-0000-0000-00002A1F0000}"/>
    <cellStyle name="Calculation 2 9 11 4" xfId="13426" xr:uid="{00000000-0005-0000-0000-00002B1F0000}"/>
    <cellStyle name="Calculation 2 9 11 4 2" xfId="1929" xr:uid="{00000000-0005-0000-0000-00002C1F0000}"/>
    <cellStyle name="Calculation 2 9 11 4 3" xfId="1931" xr:uid="{00000000-0005-0000-0000-00002D1F0000}"/>
    <cellStyle name="Calculation 2 9 11 5" xfId="8718" xr:uid="{00000000-0005-0000-0000-00002E1F0000}"/>
    <cellStyle name="Calculation 2 9 11 5 2" xfId="8720" xr:uid="{00000000-0005-0000-0000-00002F1F0000}"/>
    <cellStyle name="Calculation 2 9 11 5 3" xfId="8723" xr:uid="{00000000-0005-0000-0000-0000301F0000}"/>
    <cellStyle name="Calculation 2 9 11 6" xfId="8726" xr:uid="{00000000-0005-0000-0000-0000311F0000}"/>
    <cellStyle name="Calculation 2 9 11 7" xfId="8732" xr:uid="{00000000-0005-0000-0000-0000321F0000}"/>
    <cellStyle name="Calculation 2 9 12" xfId="13427" xr:uid="{00000000-0005-0000-0000-0000331F0000}"/>
    <cellStyle name="Calculation 2 9 12 2" xfId="13428" xr:uid="{00000000-0005-0000-0000-0000341F0000}"/>
    <cellStyle name="Calculation 2 9 12 2 2" xfId="13429" xr:uid="{00000000-0005-0000-0000-0000351F0000}"/>
    <cellStyle name="Calculation 2 9 12 2 3" xfId="13430" xr:uid="{00000000-0005-0000-0000-0000361F0000}"/>
    <cellStyle name="Calculation 2 9 12 2 4" xfId="13431" xr:uid="{00000000-0005-0000-0000-0000371F0000}"/>
    <cellStyle name="Calculation 2 9 12 3" xfId="13432" xr:uid="{00000000-0005-0000-0000-0000381F0000}"/>
    <cellStyle name="Calculation 2 9 12 3 2" xfId="13433" xr:uid="{00000000-0005-0000-0000-0000391F0000}"/>
    <cellStyle name="Calculation 2 9 12 3 3" xfId="13434" xr:uid="{00000000-0005-0000-0000-00003A1F0000}"/>
    <cellStyle name="Calculation 2 9 12 3 4" xfId="13435" xr:uid="{00000000-0005-0000-0000-00003B1F0000}"/>
    <cellStyle name="Calculation 2 9 12 4" xfId="13436" xr:uid="{00000000-0005-0000-0000-00003C1F0000}"/>
    <cellStyle name="Calculation 2 9 12 4 2" xfId="3514" xr:uid="{00000000-0005-0000-0000-00003D1F0000}"/>
    <cellStyle name="Calculation 2 9 12 4 3" xfId="3521" xr:uid="{00000000-0005-0000-0000-00003E1F0000}"/>
    <cellStyle name="Calculation 2 9 12 5" xfId="8742" xr:uid="{00000000-0005-0000-0000-00003F1F0000}"/>
    <cellStyle name="Calculation 2 9 12 5 2" xfId="8744" xr:uid="{00000000-0005-0000-0000-0000401F0000}"/>
    <cellStyle name="Calculation 2 9 12 5 3" xfId="8746" xr:uid="{00000000-0005-0000-0000-0000411F0000}"/>
    <cellStyle name="Calculation 2 9 12 6" xfId="8749" xr:uid="{00000000-0005-0000-0000-0000421F0000}"/>
    <cellStyle name="Calculation 2 9 12 7" xfId="8755" xr:uid="{00000000-0005-0000-0000-0000431F0000}"/>
    <cellStyle name="Calculation 2 9 13" xfId="13437" xr:uid="{00000000-0005-0000-0000-0000441F0000}"/>
    <cellStyle name="Calculation 2 9 13 2" xfId="13438" xr:uid="{00000000-0005-0000-0000-0000451F0000}"/>
    <cellStyle name="Calculation 2 9 13 3" xfId="13440" xr:uid="{00000000-0005-0000-0000-0000461F0000}"/>
    <cellStyle name="Calculation 2 9 13 4" xfId="13442" xr:uid="{00000000-0005-0000-0000-0000471F0000}"/>
    <cellStyle name="Calculation 2 9 14" xfId="13444" xr:uid="{00000000-0005-0000-0000-0000481F0000}"/>
    <cellStyle name="Calculation 2 9 14 2" xfId="13445" xr:uid="{00000000-0005-0000-0000-0000491F0000}"/>
    <cellStyle name="Calculation 2 9 14 3" xfId="13448" xr:uid="{00000000-0005-0000-0000-00004A1F0000}"/>
    <cellStyle name="Calculation 2 9 14 4" xfId="13452" xr:uid="{00000000-0005-0000-0000-00004B1F0000}"/>
    <cellStyle name="Calculation 2 9 15" xfId="13454" xr:uid="{00000000-0005-0000-0000-00004C1F0000}"/>
    <cellStyle name="Calculation 2 9 15 2" xfId="13457" xr:uid="{00000000-0005-0000-0000-00004D1F0000}"/>
    <cellStyle name="Calculation 2 9 15 3" xfId="13460" xr:uid="{00000000-0005-0000-0000-00004E1F0000}"/>
    <cellStyle name="Calculation 2 9 16" xfId="13464" xr:uid="{00000000-0005-0000-0000-00004F1F0000}"/>
    <cellStyle name="Calculation 2 9 16 2" xfId="13466" xr:uid="{00000000-0005-0000-0000-0000501F0000}"/>
    <cellStyle name="Calculation 2 9 16 3" xfId="2327" xr:uid="{00000000-0005-0000-0000-0000511F0000}"/>
    <cellStyle name="Calculation 2 9 17" xfId="13469" xr:uid="{00000000-0005-0000-0000-0000521F0000}"/>
    <cellStyle name="Calculation 2 9 17 2" xfId="13471" xr:uid="{00000000-0005-0000-0000-0000531F0000}"/>
    <cellStyle name="Calculation 2 9 17 2 2" xfId="13475" xr:uid="{00000000-0005-0000-0000-0000541F0000}"/>
    <cellStyle name="Calculation 2 9 18" xfId="13476" xr:uid="{00000000-0005-0000-0000-0000551F0000}"/>
    <cellStyle name="Calculation 2 9 19" xfId="7762" xr:uid="{00000000-0005-0000-0000-0000561F0000}"/>
    <cellStyle name="Calculation 2 9 2" xfId="760" xr:uid="{00000000-0005-0000-0000-0000571F0000}"/>
    <cellStyle name="Calculation 2 9 2 10" xfId="13477" xr:uid="{00000000-0005-0000-0000-0000581F0000}"/>
    <cellStyle name="Calculation 2 9 2 10 2" xfId="13478" xr:uid="{00000000-0005-0000-0000-0000591F0000}"/>
    <cellStyle name="Calculation 2 9 2 10 2 2" xfId="13480" xr:uid="{00000000-0005-0000-0000-00005A1F0000}"/>
    <cellStyle name="Calculation 2 9 2 10 2 3" xfId="13482" xr:uid="{00000000-0005-0000-0000-00005B1F0000}"/>
    <cellStyle name="Calculation 2 9 2 10 2 4" xfId="13483" xr:uid="{00000000-0005-0000-0000-00005C1F0000}"/>
    <cellStyle name="Calculation 2 9 2 10 3" xfId="13485" xr:uid="{00000000-0005-0000-0000-00005D1F0000}"/>
    <cellStyle name="Calculation 2 9 2 10 3 2" xfId="13486" xr:uid="{00000000-0005-0000-0000-00005E1F0000}"/>
    <cellStyle name="Calculation 2 9 2 10 3 3" xfId="13487" xr:uid="{00000000-0005-0000-0000-00005F1F0000}"/>
    <cellStyle name="Calculation 2 9 2 10 3 4" xfId="13488" xr:uid="{00000000-0005-0000-0000-0000601F0000}"/>
    <cellStyle name="Calculation 2 9 2 10 4" xfId="13489" xr:uid="{00000000-0005-0000-0000-0000611F0000}"/>
    <cellStyle name="Calculation 2 9 2 10 4 2" xfId="11018" xr:uid="{00000000-0005-0000-0000-0000621F0000}"/>
    <cellStyle name="Calculation 2 9 2 10 4 3" xfId="11023" xr:uid="{00000000-0005-0000-0000-0000631F0000}"/>
    <cellStyle name="Calculation 2 9 2 10 5" xfId="13490" xr:uid="{00000000-0005-0000-0000-0000641F0000}"/>
    <cellStyle name="Calculation 2 9 2 10 5 2" xfId="13492" xr:uid="{00000000-0005-0000-0000-0000651F0000}"/>
    <cellStyle name="Calculation 2 9 2 10 5 3" xfId="13493" xr:uid="{00000000-0005-0000-0000-0000661F0000}"/>
    <cellStyle name="Calculation 2 9 2 10 6" xfId="13494" xr:uid="{00000000-0005-0000-0000-0000671F0000}"/>
    <cellStyle name="Calculation 2 9 2 10 7" xfId="7027" xr:uid="{00000000-0005-0000-0000-0000681F0000}"/>
    <cellStyle name="Calculation 2 9 2 11" xfId="13496" xr:uid="{00000000-0005-0000-0000-0000691F0000}"/>
    <cellStyle name="Calculation 2 9 2 11 2" xfId="13498" xr:uid="{00000000-0005-0000-0000-00006A1F0000}"/>
    <cellStyle name="Calculation 2 9 2 11 3" xfId="13499" xr:uid="{00000000-0005-0000-0000-00006B1F0000}"/>
    <cellStyle name="Calculation 2 9 2 11 4" xfId="13500" xr:uid="{00000000-0005-0000-0000-00006C1F0000}"/>
    <cellStyle name="Calculation 2 9 2 12" xfId="13501" xr:uid="{00000000-0005-0000-0000-00006D1F0000}"/>
    <cellStyle name="Calculation 2 9 2 12 2" xfId="13505" xr:uid="{00000000-0005-0000-0000-00006E1F0000}"/>
    <cellStyle name="Calculation 2 9 2 12 3" xfId="13508" xr:uid="{00000000-0005-0000-0000-00006F1F0000}"/>
    <cellStyle name="Calculation 2 9 2 12 4" xfId="13510" xr:uid="{00000000-0005-0000-0000-0000701F0000}"/>
    <cellStyle name="Calculation 2 9 2 13" xfId="3536" xr:uid="{00000000-0005-0000-0000-0000711F0000}"/>
    <cellStyle name="Calculation 2 9 2 13 2" xfId="13514" xr:uid="{00000000-0005-0000-0000-0000721F0000}"/>
    <cellStyle name="Calculation 2 9 2 13 3" xfId="13516" xr:uid="{00000000-0005-0000-0000-0000731F0000}"/>
    <cellStyle name="Calculation 2 9 2 14" xfId="3539" xr:uid="{00000000-0005-0000-0000-0000741F0000}"/>
    <cellStyle name="Calculation 2 9 2 14 2" xfId="13519" xr:uid="{00000000-0005-0000-0000-0000751F0000}"/>
    <cellStyle name="Calculation 2 9 2 14 3" xfId="13521" xr:uid="{00000000-0005-0000-0000-0000761F0000}"/>
    <cellStyle name="Calculation 2 9 2 15" xfId="13523" xr:uid="{00000000-0005-0000-0000-0000771F0000}"/>
    <cellStyle name="Calculation 2 9 2 16" xfId="13525" xr:uid="{00000000-0005-0000-0000-0000781F0000}"/>
    <cellStyle name="Calculation 2 9 2 2" xfId="13527" xr:uid="{00000000-0005-0000-0000-0000791F0000}"/>
    <cellStyle name="Calculation 2 9 2 2 2" xfId="13528" xr:uid="{00000000-0005-0000-0000-00007A1F0000}"/>
    <cellStyle name="Calculation 2 9 2 2 2 2" xfId="13529" xr:uid="{00000000-0005-0000-0000-00007B1F0000}"/>
    <cellStyle name="Calculation 2 9 2 2 2 3" xfId="13530" xr:uid="{00000000-0005-0000-0000-00007C1F0000}"/>
    <cellStyle name="Calculation 2 9 2 2 2 4" xfId="13531" xr:uid="{00000000-0005-0000-0000-00007D1F0000}"/>
    <cellStyle name="Calculation 2 9 2 2 3" xfId="13532" xr:uid="{00000000-0005-0000-0000-00007E1F0000}"/>
    <cellStyle name="Calculation 2 9 2 2 3 2" xfId="13534" xr:uid="{00000000-0005-0000-0000-00007F1F0000}"/>
    <cellStyle name="Calculation 2 9 2 2 3 3" xfId="13535" xr:uid="{00000000-0005-0000-0000-0000801F0000}"/>
    <cellStyle name="Calculation 2 9 2 2 3 4" xfId="13536" xr:uid="{00000000-0005-0000-0000-0000811F0000}"/>
    <cellStyle name="Calculation 2 9 2 2 4" xfId="13537" xr:uid="{00000000-0005-0000-0000-0000821F0000}"/>
    <cellStyle name="Calculation 2 9 2 2 4 2" xfId="13539" xr:uid="{00000000-0005-0000-0000-0000831F0000}"/>
    <cellStyle name="Calculation 2 9 2 2 4 3" xfId="13540" xr:uid="{00000000-0005-0000-0000-0000841F0000}"/>
    <cellStyle name="Calculation 2 9 2 2 5" xfId="13541" xr:uid="{00000000-0005-0000-0000-0000851F0000}"/>
    <cellStyle name="Calculation 2 9 2 2 5 2" xfId="13542" xr:uid="{00000000-0005-0000-0000-0000861F0000}"/>
    <cellStyle name="Calculation 2 9 2 2 5 3" xfId="13543" xr:uid="{00000000-0005-0000-0000-0000871F0000}"/>
    <cellStyle name="Calculation 2 9 2 2 6" xfId="13544" xr:uid="{00000000-0005-0000-0000-0000881F0000}"/>
    <cellStyle name="Calculation 2 9 2 2 7" xfId="13545" xr:uid="{00000000-0005-0000-0000-0000891F0000}"/>
    <cellStyle name="Calculation 2 9 2 3" xfId="13546" xr:uid="{00000000-0005-0000-0000-00008A1F0000}"/>
    <cellStyle name="Calculation 2 9 2 3 2" xfId="13547" xr:uid="{00000000-0005-0000-0000-00008B1F0000}"/>
    <cellStyle name="Calculation 2 9 2 3 2 2" xfId="13548" xr:uid="{00000000-0005-0000-0000-00008C1F0000}"/>
    <cellStyle name="Calculation 2 9 2 3 2 3" xfId="13549" xr:uid="{00000000-0005-0000-0000-00008D1F0000}"/>
    <cellStyle name="Calculation 2 9 2 3 2 4" xfId="13550" xr:uid="{00000000-0005-0000-0000-00008E1F0000}"/>
    <cellStyle name="Calculation 2 9 2 3 3" xfId="13551" xr:uid="{00000000-0005-0000-0000-00008F1F0000}"/>
    <cellStyle name="Calculation 2 9 2 3 3 2" xfId="13552" xr:uid="{00000000-0005-0000-0000-0000901F0000}"/>
    <cellStyle name="Calculation 2 9 2 3 3 3" xfId="13553" xr:uid="{00000000-0005-0000-0000-0000911F0000}"/>
    <cellStyle name="Calculation 2 9 2 3 3 4" xfId="13554" xr:uid="{00000000-0005-0000-0000-0000921F0000}"/>
    <cellStyle name="Calculation 2 9 2 3 4" xfId="13555" xr:uid="{00000000-0005-0000-0000-0000931F0000}"/>
    <cellStyle name="Calculation 2 9 2 3 4 2" xfId="13556" xr:uid="{00000000-0005-0000-0000-0000941F0000}"/>
    <cellStyle name="Calculation 2 9 2 3 4 3" xfId="13557" xr:uid="{00000000-0005-0000-0000-0000951F0000}"/>
    <cellStyle name="Calculation 2 9 2 3 5" xfId="13558" xr:uid="{00000000-0005-0000-0000-0000961F0000}"/>
    <cellStyle name="Calculation 2 9 2 3 5 2" xfId="6263" xr:uid="{00000000-0005-0000-0000-0000971F0000}"/>
    <cellStyle name="Calculation 2 9 2 3 5 3" xfId="236" xr:uid="{00000000-0005-0000-0000-0000981F0000}"/>
    <cellStyle name="Calculation 2 9 2 3 6" xfId="13559" xr:uid="{00000000-0005-0000-0000-0000991F0000}"/>
    <cellStyle name="Calculation 2 9 2 3 7" xfId="13560" xr:uid="{00000000-0005-0000-0000-00009A1F0000}"/>
    <cellStyle name="Calculation 2 9 2 4" xfId="13561" xr:uid="{00000000-0005-0000-0000-00009B1F0000}"/>
    <cellStyle name="Calculation 2 9 2 4 2" xfId="13562" xr:uid="{00000000-0005-0000-0000-00009C1F0000}"/>
    <cellStyle name="Calculation 2 9 2 4 2 2" xfId="13563" xr:uid="{00000000-0005-0000-0000-00009D1F0000}"/>
    <cellStyle name="Calculation 2 9 2 4 2 3" xfId="13564" xr:uid="{00000000-0005-0000-0000-00009E1F0000}"/>
    <cellStyle name="Calculation 2 9 2 4 2 4" xfId="13565" xr:uid="{00000000-0005-0000-0000-00009F1F0000}"/>
    <cellStyle name="Calculation 2 9 2 4 3" xfId="13567" xr:uid="{00000000-0005-0000-0000-0000A01F0000}"/>
    <cellStyle name="Calculation 2 9 2 4 3 2" xfId="13568" xr:uid="{00000000-0005-0000-0000-0000A11F0000}"/>
    <cellStyle name="Calculation 2 9 2 4 3 3" xfId="13569" xr:uid="{00000000-0005-0000-0000-0000A21F0000}"/>
    <cellStyle name="Calculation 2 9 2 4 3 4" xfId="13570" xr:uid="{00000000-0005-0000-0000-0000A31F0000}"/>
    <cellStyle name="Calculation 2 9 2 4 4" xfId="13572" xr:uid="{00000000-0005-0000-0000-0000A41F0000}"/>
    <cellStyle name="Calculation 2 9 2 4 4 2" xfId="13573" xr:uid="{00000000-0005-0000-0000-0000A51F0000}"/>
    <cellStyle name="Calculation 2 9 2 4 4 3" xfId="13574" xr:uid="{00000000-0005-0000-0000-0000A61F0000}"/>
    <cellStyle name="Calculation 2 9 2 4 5" xfId="13575" xr:uid="{00000000-0005-0000-0000-0000A71F0000}"/>
    <cellStyle name="Calculation 2 9 2 4 5 2" xfId="13576" xr:uid="{00000000-0005-0000-0000-0000A81F0000}"/>
    <cellStyle name="Calculation 2 9 2 4 5 3" xfId="13577" xr:uid="{00000000-0005-0000-0000-0000A91F0000}"/>
    <cellStyle name="Calculation 2 9 2 4 6" xfId="13578" xr:uid="{00000000-0005-0000-0000-0000AA1F0000}"/>
    <cellStyle name="Calculation 2 9 2 4 7" xfId="13579" xr:uid="{00000000-0005-0000-0000-0000AB1F0000}"/>
    <cellStyle name="Calculation 2 9 2 5" xfId="13581" xr:uid="{00000000-0005-0000-0000-0000AC1F0000}"/>
    <cellStyle name="Calculation 2 9 2 5 2" xfId="13582" xr:uid="{00000000-0005-0000-0000-0000AD1F0000}"/>
    <cellStyle name="Calculation 2 9 2 5 2 2" xfId="13583" xr:uid="{00000000-0005-0000-0000-0000AE1F0000}"/>
    <cellStyle name="Calculation 2 9 2 5 2 3" xfId="13585" xr:uid="{00000000-0005-0000-0000-0000AF1F0000}"/>
    <cellStyle name="Calculation 2 9 2 5 2 4" xfId="13587" xr:uid="{00000000-0005-0000-0000-0000B01F0000}"/>
    <cellStyle name="Calculation 2 9 2 5 3" xfId="13590" xr:uid="{00000000-0005-0000-0000-0000B11F0000}"/>
    <cellStyle name="Calculation 2 9 2 5 3 2" xfId="13591" xr:uid="{00000000-0005-0000-0000-0000B21F0000}"/>
    <cellStyle name="Calculation 2 9 2 5 3 3" xfId="13592" xr:uid="{00000000-0005-0000-0000-0000B31F0000}"/>
    <cellStyle name="Calculation 2 9 2 5 3 4" xfId="13593" xr:uid="{00000000-0005-0000-0000-0000B41F0000}"/>
    <cellStyle name="Calculation 2 9 2 5 4" xfId="13595" xr:uid="{00000000-0005-0000-0000-0000B51F0000}"/>
    <cellStyle name="Calculation 2 9 2 5 4 2" xfId="13596" xr:uid="{00000000-0005-0000-0000-0000B61F0000}"/>
    <cellStyle name="Calculation 2 9 2 5 4 3" xfId="13597" xr:uid="{00000000-0005-0000-0000-0000B71F0000}"/>
    <cellStyle name="Calculation 2 9 2 5 5" xfId="13598" xr:uid="{00000000-0005-0000-0000-0000B81F0000}"/>
    <cellStyle name="Calculation 2 9 2 5 5 2" xfId="13599" xr:uid="{00000000-0005-0000-0000-0000B91F0000}"/>
    <cellStyle name="Calculation 2 9 2 5 5 3" xfId="13600" xr:uid="{00000000-0005-0000-0000-0000BA1F0000}"/>
    <cellStyle name="Calculation 2 9 2 5 6" xfId="13601" xr:uid="{00000000-0005-0000-0000-0000BB1F0000}"/>
    <cellStyle name="Calculation 2 9 2 5 7" xfId="13602" xr:uid="{00000000-0005-0000-0000-0000BC1F0000}"/>
    <cellStyle name="Calculation 2 9 2 6" xfId="13604" xr:uid="{00000000-0005-0000-0000-0000BD1F0000}"/>
    <cellStyle name="Calculation 2 9 2 6 2" xfId="13605" xr:uid="{00000000-0005-0000-0000-0000BE1F0000}"/>
    <cellStyle name="Calculation 2 9 2 6 2 2" xfId="13606" xr:uid="{00000000-0005-0000-0000-0000BF1F0000}"/>
    <cellStyle name="Calculation 2 9 2 6 2 3" xfId="13607" xr:uid="{00000000-0005-0000-0000-0000C01F0000}"/>
    <cellStyle name="Calculation 2 9 2 6 2 4" xfId="8250" xr:uid="{00000000-0005-0000-0000-0000C11F0000}"/>
    <cellStyle name="Calculation 2 9 2 6 3" xfId="13608" xr:uid="{00000000-0005-0000-0000-0000C21F0000}"/>
    <cellStyle name="Calculation 2 9 2 6 3 2" xfId="13609" xr:uid="{00000000-0005-0000-0000-0000C31F0000}"/>
    <cellStyle name="Calculation 2 9 2 6 3 3" xfId="13610" xr:uid="{00000000-0005-0000-0000-0000C41F0000}"/>
    <cellStyle name="Calculation 2 9 2 6 3 4" xfId="8258" xr:uid="{00000000-0005-0000-0000-0000C51F0000}"/>
    <cellStyle name="Calculation 2 9 2 6 4" xfId="13611" xr:uid="{00000000-0005-0000-0000-0000C61F0000}"/>
    <cellStyle name="Calculation 2 9 2 6 4 2" xfId="13612" xr:uid="{00000000-0005-0000-0000-0000C71F0000}"/>
    <cellStyle name="Calculation 2 9 2 6 4 3" xfId="13613" xr:uid="{00000000-0005-0000-0000-0000C81F0000}"/>
    <cellStyle name="Calculation 2 9 2 6 5" xfId="13614" xr:uid="{00000000-0005-0000-0000-0000C91F0000}"/>
    <cellStyle name="Calculation 2 9 2 6 5 2" xfId="13615" xr:uid="{00000000-0005-0000-0000-0000CA1F0000}"/>
    <cellStyle name="Calculation 2 9 2 6 5 3" xfId="13618" xr:uid="{00000000-0005-0000-0000-0000CB1F0000}"/>
    <cellStyle name="Calculation 2 9 2 6 6" xfId="13620" xr:uid="{00000000-0005-0000-0000-0000CC1F0000}"/>
    <cellStyle name="Calculation 2 9 2 6 7" xfId="13621" xr:uid="{00000000-0005-0000-0000-0000CD1F0000}"/>
    <cellStyle name="Calculation 2 9 2 7" xfId="13623" xr:uid="{00000000-0005-0000-0000-0000CE1F0000}"/>
    <cellStyle name="Calculation 2 9 2 7 2" xfId="13626" xr:uid="{00000000-0005-0000-0000-0000CF1F0000}"/>
    <cellStyle name="Calculation 2 9 2 7 2 2" xfId="13629" xr:uid="{00000000-0005-0000-0000-0000D01F0000}"/>
    <cellStyle name="Calculation 2 9 2 7 2 3" xfId="13632" xr:uid="{00000000-0005-0000-0000-0000D11F0000}"/>
    <cellStyle name="Calculation 2 9 2 7 2 4" xfId="13635" xr:uid="{00000000-0005-0000-0000-0000D21F0000}"/>
    <cellStyle name="Calculation 2 9 2 7 3" xfId="13638" xr:uid="{00000000-0005-0000-0000-0000D31F0000}"/>
    <cellStyle name="Calculation 2 9 2 7 3 2" xfId="13641" xr:uid="{00000000-0005-0000-0000-0000D41F0000}"/>
    <cellStyle name="Calculation 2 9 2 7 3 3" xfId="13644" xr:uid="{00000000-0005-0000-0000-0000D51F0000}"/>
    <cellStyle name="Calculation 2 9 2 7 3 4" xfId="13646" xr:uid="{00000000-0005-0000-0000-0000D61F0000}"/>
    <cellStyle name="Calculation 2 9 2 7 4" xfId="13649" xr:uid="{00000000-0005-0000-0000-0000D71F0000}"/>
    <cellStyle name="Calculation 2 9 2 7 4 2" xfId="13652" xr:uid="{00000000-0005-0000-0000-0000D81F0000}"/>
    <cellStyle name="Calculation 2 9 2 7 4 3" xfId="13655" xr:uid="{00000000-0005-0000-0000-0000D91F0000}"/>
    <cellStyle name="Calculation 2 9 2 7 5" xfId="13658" xr:uid="{00000000-0005-0000-0000-0000DA1F0000}"/>
    <cellStyle name="Calculation 2 9 2 7 5 2" xfId="13660" xr:uid="{00000000-0005-0000-0000-0000DB1F0000}"/>
    <cellStyle name="Calculation 2 9 2 7 5 3" xfId="13662" xr:uid="{00000000-0005-0000-0000-0000DC1F0000}"/>
    <cellStyle name="Calculation 2 9 2 7 6" xfId="13665" xr:uid="{00000000-0005-0000-0000-0000DD1F0000}"/>
    <cellStyle name="Calculation 2 9 2 7 7" xfId="13667" xr:uid="{00000000-0005-0000-0000-0000DE1F0000}"/>
    <cellStyle name="Calculation 2 9 2 8" xfId="13670" xr:uid="{00000000-0005-0000-0000-0000DF1F0000}"/>
    <cellStyle name="Calculation 2 9 2 8 2" xfId="13674" xr:uid="{00000000-0005-0000-0000-0000E01F0000}"/>
    <cellStyle name="Calculation 2 9 2 8 2 2" xfId="13676" xr:uid="{00000000-0005-0000-0000-0000E11F0000}"/>
    <cellStyle name="Calculation 2 9 2 8 2 3" xfId="13678" xr:uid="{00000000-0005-0000-0000-0000E21F0000}"/>
    <cellStyle name="Calculation 2 9 2 8 2 4" xfId="13680" xr:uid="{00000000-0005-0000-0000-0000E31F0000}"/>
    <cellStyle name="Calculation 2 9 2 8 3" xfId="13683" xr:uid="{00000000-0005-0000-0000-0000E41F0000}"/>
    <cellStyle name="Calculation 2 9 2 8 3 2" xfId="13685" xr:uid="{00000000-0005-0000-0000-0000E51F0000}"/>
    <cellStyle name="Calculation 2 9 2 8 3 3" xfId="13687" xr:uid="{00000000-0005-0000-0000-0000E61F0000}"/>
    <cellStyle name="Calculation 2 9 2 8 3 4" xfId="13689" xr:uid="{00000000-0005-0000-0000-0000E71F0000}"/>
    <cellStyle name="Calculation 2 9 2 8 4" xfId="13691" xr:uid="{00000000-0005-0000-0000-0000E81F0000}"/>
    <cellStyle name="Calculation 2 9 2 8 4 2" xfId="13693" xr:uid="{00000000-0005-0000-0000-0000E91F0000}"/>
    <cellStyle name="Calculation 2 9 2 8 4 3" xfId="13695" xr:uid="{00000000-0005-0000-0000-0000EA1F0000}"/>
    <cellStyle name="Calculation 2 9 2 8 5" xfId="13697" xr:uid="{00000000-0005-0000-0000-0000EB1F0000}"/>
    <cellStyle name="Calculation 2 9 2 8 5 2" xfId="13699" xr:uid="{00000000-0005-0000-0000-0000EC1F0000}"/>
    <cellStyle name="Calculation 2 9 2 8 5 3" xfId="13700" xr:uid="{00000000-0005-0000-0000-0000ED1F0000}"/>
    <cellStyle name="Calculation 2 9 2 8 6" xfId="13701" xr:uid="{00000000-0005-0000-0000-0000EE1F0000}"/>
    <cellStyle name="Calculation 2 9 2 8 7" xfId="13703" xr:uid="{00000000-0005-0000-0000-0000EF1F0000}"/>
    <cellStyle name="Calculation 2 9 2 9" xfId="10158" xr:uid="{00000000-0005-0000-0000-0000F01F0000}"/>
    <cellStyle name="Calculation 2 9 2 9 2" xfId="12686" xr:uid="{00000000-0005-0000-0000-0000F11F0000}"/>
    <cellStyle name="Calculation 2 9 2 9 2 2" xfId="13705" xr:uid="{00000000-0005-0000-0000-0000F21F0000}"/>
    <cellStyle name="Calculation 2 9 2 9 2 3" xfId="13706" xr:uid="{00000000-0005-0000-0000-0000F31F0000}"/>
    <cellStyle name="Calculation 2 9 2 9 2 4" xfId="13707" xr:uid="{00000000-0005-0000-0000-0000F41F0000}"/>
    <cellStyle name="Calculation 2 9 2 9 3" xfId="12690" xr:uid="{00000000-0005-0000-0000-0000F51F0000}"/>
    <cellStyle name="Calculation 2 9 2 9 3 2" xfId="13708" xr:uid="{00000000-0005-0000-0000-0000F61F0000}"/>
    <cellStyle name="Calculation 2 9 2 9 3 3" xfId="13709" xr:uid="{00000000-0005-0000-0000-0000F71F0000}"/>
    <cellStyle name="Calculation 2 9 2 9 3 4" xfId="13710" xr:uid="{00000000-0005-0000-0000-0000F81F0000}"/>
    <cellStyle name="Calculation 2 9 2 9 4" xfId="13711" xr:uid="{00000000-0005-0000-0000-0000F91F0000}"/>
    <cellStyle name="Calculation 2 9 2 9 4 2" xfId="13713" xr:uid="{00000000-0005-0000-0000-0000FA1F0000}"/>
    <cellStyle name="Calculation 2 9 2 9 4 3" xfId="13714" xr:uid="{00000000-0005-0000-0000-0000FB1F0000}"/>
    <cellStyle name="Calculation 2 9 2 9 5" xfId="13715" xr:uid="{00000000-0005-0000-0000-0000FC1F0000}"/>
    <cellStyle name="Calculation 2 9 2 9 5 2" xfId="13716" xr:uid="{00000000-0005-0000-0000-0000FD1F0000}"/>
    <cellStyle name="Calculation 2 9 2 9 5 3" xfId="13717" xr:uid="{00000000-0005-0000-0000-0000FE1F0000}"/>
    <cellStyle name="Calculation 2 9 2 9 6" xfId="13718" xr:uid="{00000000-0005-0000-0000-0000FF1F0000}"/>
    <cellStyle name="Calculation 2 9 2 9 7" xfId="13719" xr:uid="{00000000-0005-0000-0000-000000200000}"/>
    <cellStyle name="Calculation 2 9 20" xfId="13455" xr:uid="{00000000-0005-0000-0000-000001200000}"/>
    <cellStyle name="Calculation 2 9 3" xfId="770" xr:uid="{00000000-0005-0000-0000-000002200000}"/>
    <cellStyle name="Calculation 2 9 3 10" xfId="13720" xr:uid="{00000000-0005-0000-0000-000003200000}"/>
    <cellStyle name="Calculation 2 9 3 10 2" xfId="13721" xr:uid="{00000000-0005-0000-0000-000004200000}"/>
    <cellStyle name="Calculation 2 9 3 10 2 2" xfId="13723" xr:uid="{00000000-0005-0000-0000-000005200000}"/>
    <cellStyle name="Calculation 2 9 3 10 2 3" xfId="13724" xr:uid="{00000000-0005-0000-0000-000006200000}"/>
    <cellStyle name="Calculation 2 9 3 10 2 4" xfId="13725" xr:uid="{00000000-0005-0000-0000-000007200000}"/>
    <cellStyle name="Calculation 2 9 3 10 3" xfId="13727" xr:uid="{00000000-0005-0000-0000-000008200000}"/>
    <cellStyle name="Calculation 2 9 3 10 3 2" xfId="13728" xr:uid="{00000000-0005-0000-0000-000009200000}"/>
    <cellStyle name="Calculation 2 9 3 10 3 3" xfId="13729" xr:uid="{00000000-0005-0000-0000-00000A200000}"/>
    <cellStyle name="Calculation 2 9 3 10 3 4" xfId="13730" xr:uid="{00000000-0005-0000-0000-00000B200000}"/>
    <cellStyle name="Calculation 2 9 3 10 4" xfId="13732" xr:uid="{00000000-0005-0000-0000-00000C200000}"/>
    <cellStyle name="Calculation 2 9 3 10 4 2" xfId="13733" xr:uid="{00000000-0005-0000-0000-00000D200000}"/>
    <cellStyle name="Calculation 2 9 3 10 4 3" xfId="13734" xr:uid="{00000000-0005-0000-0000-00000E200000}"/>
    <cellStyle name="Calculation 2 9 3 10 5" xfId="13736" xr:uid="{00000000-0005-0000-0000-00000F200000}"/>
    <cellStyle name="Calculation 2 9 3 10 5 2" xfId="13737" xr:uid="{00000000-0005-0000-0000-000010200000}"/>
    <cellStyle name="Calculation 2 9 3 10 5 3" xfId="13738" xr:uid="{00000000-0005-0000-0000-000011200000}"/>
    <cellStyle name="Calculation 2 9 3 10 6" xfId="13739" xr:uid="{00000000-0005-0000-0000-000012200000}"/>
    <cellStyle name="Calculation 2 9 3 10 7" xfId="7138" xr:uid="{00000000-0005-0000-0000-000013200000}"/>
    <cellStyle name="Calculation 2 9 3 11" xfId="13740" xr:uid="{00000000-0005-0000-0000-000014200000}"/>
    <cellStyle name="Calculation 2 9 3 11 2" xfId="13741" xr:uid="{00000000-0005-0000-0000-000015200000}"/>
    <cellStyle name="Calculation 2 9 3 11 3" xfId="13742" xr:uid="{00000000-0005-0000-0000-000016200000}"/>
    <cellStyle name="Calculation 2 9 3 11 4" xfId="13743" xr:uid="{00000000-0005-0000-0000-000017200000}"/>
    <cellStyle name="Calculation 2 9 3 12" xfId="13744" xr:uid="{00000000-0005-0000-0000-000018200000}"/>
    <cellStyle name="Calculation 2 9 3 12 2" xfId="13747" xr:uid="{00000000-0005-0000-0000-000019200000}"/>
    <cellStyle name="Calculation 2 9 3 12 3" xfId="13750" xr:uid="{00000000-0005-0000-0000-00001A200000}"/>
    <cellStyle name="Calculation 2 9 3 12 4" xfId="13752" xr:uid="{00000000-0005-0000-0000-00001B200000}"/>
    <cellStyle name="Calculation 2 9 3 13" xfId="13754" xr:uid="{00000000-0005-0000-0000-00001C200000}"/>
    <cellStyle name="Calculation 2 9 3 13 2" xfId="13757" xr:uid="{00000000-0005-0000-0000-00001D200000}"/>
    <cellStyle name="Calculation 2 9 3 13 3" xfId="13760" xr:uid="{00000000-0005-0000-0000-00001E200000}"/>
    <cellStyle name="Calculation 2 9 3 14" xfId="13762" xr:uid="{00000000-0005-0000-0000-00001F200000}"/>
    <cellStyle name="Calculation 2 9 3 14 2" xfId="13764" xr:uid="{00000000-0005-0000-0000-000020200000}"/>
    <cellStyle name="Calculation 2 9 3 14 3" xfId="13766" xr:uid="{00000000-0005-0000-0000-000021200000}"/>
    <cellStyle name="Calculation 2 9 3 15" xfId="13768" xr:uid="{00000000-0005-0000-0000-000022200000}"/>
    <cellStyle name="Calculation 2 9 3 16" xfId="11387" xr:uid="{00000000-0005-0000-0000-000023200000}"/>
    <cellStyle name="Calculation 2 9 3 2" xfId="13770" xr:uid="{00000000-0005-0000-0000-000024200000}"/>
    <cellStyle name="Calculation 2 9 3 2 2" xfId="13771" xr:uid="{00000000-0005-0000-0000-000025200000}"/>
    <cellStyle name="Calculation 2 9 3 2 2 2" xfId="13772" xr:uid="{00000000-0005-0000-0000-000026200000}"/>
    <cellStyle name="Calculation 2 9 3 2 2 3" xfId="13773" xr:uid="{00000000-0005-0000-0000-000027200000}"/>
    <cellStyle name="Calculation 2 9 3 2 2 4" xfId="13774" xr:uid="{00000000-0005-0000-0000-000028200000}"/>
    <cellStyle name="Calculation 2 9 3 2 3" xfId="13775" xr:uid="{00000000-0005-0000-0000-000029200000}"/>
    <cellStyle name="Calculation 2 9 3 2 3 2" xfId="13777" xr:uid="{00000000-0005-0000-0000-00002A200000}"/>
    <cellStyle name="Calculation 2 9 3 2 3 3" xfId="13778" xr:uid="{00000000-0005-0000-0000-00002B200000}"/>
    <cellStyle name="Calculation 2 9 3 2 3 4" xfId="13779" xr:uid="{00000000-0005-0000-0000-00002C200000}"/>
    <cellStyle name="Calculation 2 9 3 2 4" xfId="13781" xr:uid="{00000000-0005-0000-0000-00002D200000}"/>
    <cellStyle name="Calculation 2 9 3 2 4 2" xfId="881" xr:uid="{00000000-0005-0000-0000-00002E200000}"/>
    <cellStyle name="Calculation 2 9 3 2 4 3" xfId="885" xr:uid="{00000000-0005-0000-0000-00002F200000}"/>
    <cellStyle name="Calculation 2 9 3 2 5" xfId="13783" xr:uid="{00000000-0005-0000-0000-000030200000}"/>
    <cellStyle name="Calculation 2 9 3 2 5 2" xfId="13784" xr:uid="{00000000-0005-0000-0000-000031200000}"/>
    <cellStyle name="Calculation 2 9 3 2 5 3" xfId="13785" xr:uid="{00000000-0005-0000-0000-000032200000}"/>
    <cellStyle name="Calculation 2 9 3 2 6" xfId="13786" xr:uid="{00000000-0005-0000-0000-000033200000}"/>
    <cellStyle name="Calculation 2 9 3 2 7" xfId="13787" xr:uid="{00000000-0005-0000-0000-000034200000}"/>
    <cellStyle name="Calculation 2 9 3 3" xfId="13788" xr:uid="{00000000-0005-0000-0000-000035200000}"/>
    <cellStyle name="Calculation 2 9 3 3 2" xfId="13789" xr:uid="{00000000-0005-0000-0000-000036200000}"/>
    <cellStyle name="Calculation 2 9 3 3 2 2" xfId="13790" xr:uid="{00000000-0005-0000-0000-000037200000}"/>
    <cellStyle name="Calculation 2 9 3 3 2 3" xfId="13791" xr:uid="{00000000-0005-0000-0000-000038200000}"/>
    <cellStyle name="Calculation 2 9 3 3 2 4" xfId="13792" xr:uid="{00000000-0005-0000-0000-000039200000}"/>
    <cellStyle name="Calculation 2 9 3 3 3" xfId="13793" xr:uid="{00000000-0005-0000-0000-00003A200000}"/>
    <cellStyle name="Calculation 2 9 3 3 3 2" xfId="13794" xr:uid="{00000000-0005-0000-0000-00003B200000}"/>
    <cellStyle name="Calculation 2 9 3 3 3 3" xfId="13795" xr:uid="{00000000-0005-0000-0000-00003C200000}"/>
    <cellStyle name="Calculation 2 9 3 3 3 4" xfId="13796" xr:uid="{00000000-0005-0000-0000-00003D200000}"/>
    <cellStyle name="Calculation 2 9 3 3 4" xfId="13797" xr:uid="{00000000-0005-0000-0000-00003E200000}"/>
    <cellStyle name="Calculation 2 9 3 3 4 2" xfId="13798" xr:uid="{00000000-0005-0000-0000-00003F200000}"/>
    <cellStyle name="Calculation 2 9 3 3 4 3" xfId="13799" xr:uid="{00000000-0005-0000-0000-000040200000}"/>
    <cellStyle name="Calculation 2 9 3 3 5" xfId="13800" xr:uid="{00000000-0005-0000-0000-000041200000}"/>
    <cellStyle name="Calculation 2 9 3 3 5 2" xfId="13801" xr:uid="{00000000-0005-0000-0000-000042200000}"/>
    <cellStyle name="Calculation 2 9 3 3 5 3" xfId="13802" xr:uid="{00000000-0005-0000-0000-000043200000}"/>
    <cellStyle name="Calculation 2 9 3 3 6" xfId="13803" xr:uid="{00000000-0005-0000-0000-000044200000}"/>
    <cellStyle name="Calculation 2 9 3 3 7" xfId="13804" xr:uid="{00000000-0005-0000-0000-000045200000}"/>
    <cellStyle name="Calculation 2 9 3 4" xfId="13805" xr:uid="{00000000-0005-0000-0000-000046200000}"/>
    <cellStyle name="Calculation 2 9 3 4 2" xfId="13806" xr:uid="{00000000-0005-0000-0000-000047200000}"/>
    <cellStyle name="Calculation 2 9 3 4 2 2" xfId="13807" xr:uid="{00000000-0005-0000-0000-000048200000}"/>
    <cellStyle name="Calculation 2 9 3 4 2 3" xfId="13808" xr:uid="{00000000-0005-0000-0000-000049200000}"/>
    <cellStyle name="Calculation 2 9 3 4 2 4" xfId="13809" xr:uid="{00000000-0005-0000-0000-00004A200000}"/>
    <cellStyle name="Calculation 2 9 3 4 3" xfId="13810" xr:uid="{00000000-0005-0000-0000-00004B200000}"/>
    <cellStyle name="Calculation 2 9 3 4 3 2" xfId="13811" xr:uid="{00000000-0005-0000-0000-00004C200000}"/>
    <cellStyle name="Calculation 2 9 3 4 3 3" xfId="13812" xr:uid="{00000000-0005-0000-0000-00004D200000}"/>
    <cellStyle name="Calculation 2 9 3 4 3 4" xfId="13813" xr:uid="{00000000-0005-0000-0000-00004E200000}"/>
    <cellStyle name="Calculation 2 9 3 4 4" xfId="13814" xr:uid="{00000000-0005-0000-0000-00004F200000}"/>
    <cellStyle name="Calculation 2 9 3 4 4 2" xfId="8407" xr:uid="{00000000-0005-0000-0000-000050200000}"/>
    <cellStyle name="Calculation 2 9 3 4 4 3" xfId="8412" xr:uid="{00000000-0005-0000-0000-000051200000}"/>
    <cellStyle name="Calculation 2 9 3 4 5" xfId="13815" xr:uid="{00000000-0005-0000-0000-000052200000}"/>
    <cellStyle name="Calculation 2 9 3 4 5 2" xfId="8421" xr:uid="{00000000-0005-0000-0000-000053200000}"/>
    <cellStyle name="Calculation 2 9 3 4 5 3" xfId="8423" xr:uid="{00000000-0005-0000-0000-000054200000}"/>
    <cellStyle name="Calculation 2 9 3 4 6" xfId="13816" xr:uid="{00000000-0005-0000-0000-000055200000}"/>
    <cellStyle name="Calculation 2 9 3 4 7" xfId="13817" xr:uid="{00000000-0005-0000-0000-000056200000}"/>
    <cellStyle name="Calculation 2 9 3 5" xfId="13818" xr:uid="{00000000-0005-0000-0000-000057200000}"/>
    <cellStyle name="Calculation 2 9 3 5 2" xfId="13819" xr:uid="{00000000-0005-0000-0000-000058200000}"/>
    <cellStyle name="Calculation 2 9 3 5 2 2" xfId="13820" xr:uid="{00000000-0005-0000-0000-000059200000}"/>
    <cellStyle name="Calculation 2 9 3 5 2 3" xfId="13821" xr:uid="{00000000-0005-0000-0000-00005A200000}"/>
    <cellStyle name="Calculation 2 9 3 5 2 4" xfId="13822" xr:uid="{00000000-0005-0000-0000-00005B200000}"/>
    <cellStyle name="Calculation 2 9 3 5 3" xfId="13823" xr:uid="{00000000-0005-0000-0000-00005C200000}"/>
    <cellStyle name="Calculation 2 9 3 5 3 2" xfId="13824" xr:uid="{00000000-0005-0000-0000-00005D200000}"/>
    <cellStyle name="Calculation 2 9 3 5 3 3" xfId="13825" xr:uid="{00000000-0005-0000-0000-00005E200000}"/>
    <cellStyle name="Calculation 2 9 3 5 3 4" xfId="13826" xr:uid="{00000000-0005-0000-0000-00005F200000}"/>
    <cellStyle name="Calculation 2 9 3 5 4" xfId="13827" xr:uid="{00000000-0005-0000-0000-000060200000}"/>
    <cellStyle name="Calculation 2 9 3 5 4 2" xfId="13828" xr:uid="{00000000-0005-0000-0000-000061200000}"/>
    <cellStyle name="Calculation 2 9 3 5 4 3" xfId="13829" xr:uid="{00000000-0005-0000-0000-000062200000}"/>
    <cellStyle name="Calculation 2 9 3 5 5" xfId="13830" xr:uid="{00000000-0005-0000-0000-000063200000}"/>
    <cellStyle name="Calculation 2 9 3 5 5 2" xfId="13831" xr:uid="{00000000-0005-0000-0000-000064200000}"/>
    <cellStyle name="Calculation 2 9 3 5 5 3" xfId="13832" xr:uid="{00000000-0005-0000-0000-000065200000}"/>
    <cellStyle name="Calculation 2 9 3 5 6" xfId="13833" xr:uid="{00000000-0005-0000-0000-000066200000}"/>
    <cellStyle name="Calculation 2 9 3 5 7" xfId="13834" xr:uid="{00000000-0005-0000-0000-000067200000}"/>
    <cellStyle name="Calculation 2 9 3 6" xfId="13835" xr:uid="{00000000-0005-0000-0000-000068200000}"/>
    <cellStyle name="Calculation 2 9 3 6 2" xfId="13836" xr:uid="{00000000-0005-0000-0000-000069200000}"/>
    <cellStyle name="Calculation 2 9 3 6 2 2" xfId="13837" xr:uid="{00000000-0005-0000-0000-00006A200000}"/>
    <cellStyle name="Calculation 2 9 3 6 2 3" xfId="13838" xr:uid="{00000000-0005-0000-0000-00006B200000}"/>
    <cellStyle name="Calculation 2 9 3 6 2 4" xfId="13839" xr:uid="{00000000-0005-0000-0000-00006C200000}"/>
    <cellStyle name="Calculation 2 9 3 6 3" xfId="13840" xr:uid="{00000000-0005-0000-0000-00006D200000}"/>
    <cellStyle name="Calculation 2 9 3 6 3 2" xfId="13841" xr:uid="{00000000-0005-0000-0000-00006E200000}"/>
    <cellStyle name="Calculation 2 9 3 6 3 3" xfId="13842" xr:uid="{00000000-0005-0000-0000-00006F200000}"/>
    <cellStyle name="Calculation 2 9 3 6 3 4" xfId="13843" xr:uid="{00000000-0005-0000-0000-000070200000}"/>
    <cellStyle name="Calculation 2 9 3 6 4" xfId="13844" xr:uid="{00000000-0005-0000-0000-000071200000}"/>
    <cellStyle name="Calculation 2 9 3 6 4 2" xfId="13845" xr:uid="{00000000-0005-0000-0000-000072200000}"/>
    <cellStyle name="Calculation 2 9 3 6 4 3" xfId="13846" xr:uid="{00000000-0005-0000-0000-000073200000}"/>
    <cellStyle name="Calculation 2 9 3 6 5" xfId="13847" xr:uid="{00000000-0005-0000-0000-000074200000}"/>
    <cellStyle name="Calculation 2 9 3 6 5 2" xfId="13848" xr:uid="{00000000-0005-0000-0000-000075200000}"/>
    <cellStyle name="Calculation 2 9 3 6 5 3" xfId="13849" xr:uid="{00000000-0005-0000-0000-000076200000}"/>
    <cellStyle name="Calculation 2 9 3 6 6" xfId="13850" xr:uid="{00000000-0005-0000-0000-000077200000}"/>
    <cellStyle name="Calculation 2 9 3 6 7" xfId="13851" xr:uid="{00000000-0005-0000-0000-000078200000}"/>
    <cellStyle name="Calculation 2 9 3 7" xfId="13852" xr:uid="{00000000-0005-0000-0000-000079200000}"/>
    <cellStyle name="Calculation 2 9 3 7 2" xfId="13853" xr:uid="{00000000-0005-0000-0000-00007A200000}"/>
    <cellStyle name="Calculation 2 9 3 7 2 2" xfId="13854" xr:uid="{00000000-0005-0000-0000-00007B200000}"/>
    <cellStyle name="Calculation 2 9 3 7 2 3" xfId="13855" xr:uid="{00000000-0005-0000-0000-00007C200000}"/>
    <cellStyle name="Calculation 2 9 3 7 2 4" xfId="13856" xr:uid="{00000000-0005-0000-0000-00007D200000}"/>
    <cellStyle name="Calculation 2 9 3 7 3" xfId="13857" xr:uid="{00000000-0005-0000-0000-00007E200000}"/>
    <cellStyle name="Calculation 2 9 3 7 3 2" xfId="13858" xr:uid="{00000000-0005-0000-0000-00007F200000}"/>
    <cellStyle name="Calculation 2 9 3 7 3 3" xfId="13861" xr:uid="{00000000-0005-0000-0000-000080200000}"/>
    <cellStyle name="Calculation 2 9 3 7 3 4" xfId="13864" xr:uid="{00000000-0005-0000-0000-000081200000}"/>
    <cellStyle name="Calculation 2 9 3 7 4" xfId="13868" xr:uid="{00000000-0005-0000-0000-000082200000}"/>
    <cellStyle name="Calculation 2 9 3 7 4 2" xfId="13869" xr:uid="{00000000-0005-0000-0000-000083200000}"/>
    <cellStyle name="Calculation 2 9 3 7 4 3" xfId="13871" xr:uid="{00000000-0005-0000-0000-000084200000}"/>
    <cellStyle name="Calculation 2 9 3 7 5" xfId="13873" xr:uid="{00000000-0005-0000-0000-000085200000}"/>
    <cellStyle name="Calculation 2 9 3 7 5 2" xfId="13874" xr:uid="{00000000-0005-0000-0000-000086200000}"/>
    <cellStyle name="Calculation 2 9 3 7 5 3" xfId="13876" xr:uid="{00000000-0005-0000-0000-000087200000}"/>
    <cellStyle name="Calculation 2 9 3 7 6" xfId="13878" xr:uid="{00000000-0005-0000-0000-000088200000}"/>
    <cellStyle name="Calculation 2 9 3 7 7" xfId="13879" xr:uid="{00000000-0005-0000-0000-000089200000}"/>
    <cellStyle name="Calculation 2 9 3 8" xfId="13880" xr:uid="{00000000-0005-0000-0000-00008A200000}"/>
    <cellStyle name="Calculation 2 9 3 8 2" xfId="13882" xr:uid="{00000000-0005-0000-0000-00008B200000}"/>
    <cellStyle name="Calculation 2 9 3 8 2 2" xfId="13883" xr:uid="{00000000-0005-0000-0000-00008C200000}"/>
    <cellStyle name="Calculation 2 9 3 8 2 3" xfId="13884" xr:uid="{00000000-0005-0000-0000-00008D200000}"/>
    <cellStyle name="Calculation 2 9 3 8 2 4" xfId="13885" xr:uid="{00000000-0005-0000-0000-00008E200000}"/>
    <cellStyle name="Calculation 2 9 3 8 3" xfId="13886" xr:uid="{00000000-0005-0000-0000-00008F200000}"/>
    <cellStyle name="Calculation 2 9 3 8 3 2" xfId="13887" xr:uid="{00000000-0005-0000-0000-000090200000}"/>
    <cellStyle name="Calculation 2 9 3 8 3 3" xfId="13888" xr:uid="{00000000-0005-0000-0000-000091200000}"/>
    <cellStyle name="Calculation 2 9 3 8 3 4" xfId="13889" xr:uid="{00000000-0005-0000-0000-000092200000}"/>
    <cellStyle name="Calculation 2 9 3 8 4" xfId="13890" xr:uid="{00000000-0005-0000-0000-000093200000}"/>
    <cellStyle name="Calculation 2 9 3 8 4 2" xfId="13891" xr:uid="{00000000-0005-0000-0000-000094200000}"/>
    <cellStyle name="Calculation 2 9 3 8 4 3" xfId="13892" xr:uid="{00000000-0005-0000-0000-000095200000}"/>
    <cellStyle name="Calculation 2 9 3 8 5" xfId="13893" xr:uid="{00000000-0005-0000-0000-000096200000}"/>
    <cellStyle name="Calculation 2 9 3 8 5 2" xfId="13894" xr:uid="{00000000-0005-0000-0000-000097200000}"/>
    <cellStyle name="Calculation 2 9 3 8 5 3" xfId="13895" xr:uid="{00000000-0005-0000-0000-000098200000}"/>
    <cellStyle name="Calculation 2 9 3 8 6" xfId="13896" xr:uid="{00000000-0005-0000-0000-000099200000}"/>
    <cellStyle name="Calculation 2 9 3 8 7" xfId="13897" xr:uid="{00000000-0005-0000-0000-00009A200000}"/>
    <cellStyle name="Calculation 2 9 3 9" xfId="10165" xr:uid="{00000000-0005-0000-0000-00009B200000}"/>
    <cellStyle name="Calculation 2 9 3 9 2" xfId="12724" xr:uid="{00000000-0005-0000-0000-00009C200000}"/>
    <cellStyle name="Calculation 2 9 3 9 2 2" xfId="13898" xr:uid="{00000000-0005-0000-0000-00009D200000}"/>
    <cellStyle name="Calculation 2 9 3 9 2 3" xfId="13900" xr:uid="{00000000-0005-0000-0000-00009E200000}"/>
    <cellStyle name="Calculation 2 9 3 9 2 4" xfId="13902" xr:uid="{00000000-0005-0000-0000-00009F200000}"/>
    <cellStyle name="Calculation 2 9 3 9 3" xfId="12726" xr:uid="{00000000-0005-0000-0000-0000A0200000}"/>
    <cellStyle name="Calculation 2 9 3 9 3 2" xfId="13904" xr:uid="{00000000-0005-0000-0000-0000A1200000}"/>
    <cellStyle name="Calculation 2 9 3 9 3 3" xfId="13905" xr:uid="{00000000-0005-0000-0000-0000A2200000}"/>
    <cellStyle name="Calculation 2 9 3 9 3 4" xfId="13906" xr:uid="{00000000-0005-0000-0000-0000A3200000}"/>
    <cellStyle name="Calculation 2 9 3 9 4" xfId="13907" xr:uid="{00000000-0005-0000-0000-0000A4200000}"/>
    <cellStyle name="Calculation 2 9 3 9 4 2" xfId="8616" xr:uid="{00000000-0005-0000-0000-0000A5200000}"/>
    <cellStyle name="Calculation 2 9 3 9 4 3" xfId="8621" xr:uid="{00000000-0005-0000-0000-0000A6200000}"/>
    <cellStyle name="Calculation 2 9 3 9 5" xfId="13908" xr:uid="{00000000-0005-0000-0000-0000A7200000}"/>
    <cellStyle name="Calculation 2 9 3 9 5 2" xfId="8632" xr:uid="{00000000-0005-0000-0000-0000A8200000}"/>
    <cellStyle name="Calculation 2 9 3 9 5 3" xfId="13909" xr:uid="{00000000-0005-0000-0000-0000A9200000}"/>
    <cellStyle name="Calculation 2 9 3 9 6" xfId="13910" xr:uid="{00000000-0005-0000-0000-0000AA200000}"/>
    <cellStyle name="Calculation 2 9 3 9 7" xfId="13911" xr:uid="{00000000-0005-0000-0000-0000AB200000}"/>
    <cellStyle name="Calculation 2 9 4" xfId="13912" xr:uid="{00000000-0005-0000-0000-0000AC200000}"/>
    <cellStyle name="Calculation 2 9 4 2" xfId="6839" xr:uid="{00000000-0005-0000-0000-0000AD200000}"/>
    <cellStyle name="Calculation 2 9 4 2 2" xfId="13913" xr:uid="{00000000-0005-0000-0000-0000AE200000}"/>
    <cellStyle name="Calculation 2 9 4 2 3" xfId="13914" xr:uid="{00000000-0005-0000-0000-0000AF200000}"/>
    <cellStyle name="Calculation 2 9 4 2 4" xfId="13916" xr:uid="{00000000-0005-0000-0000-0000B0200000}"/>
    <cellStyle name="Calculation 2 9 4 3" xfId="6841" xr:uid="{00000000-0005-0000-0000-0000B1200000}"/>
    <cellStyle name="Calculation 2 9 4 3 2" xfId="13918" xr:uid="{00000000-0005-0000-0000-0000B2200000}"/>
    <cellStyle name="Calculation 2 9 4 3 3" xfId="13919" xr:uid="{00000000-0005-0000-0000-0000B3200000}"/>
    <cellStyle name="Calculation 2 9 4 3 4" xfId="13920" xr:uid="{00000000-0005-0000-0000-0000B4200000}"/>
    <cellStyle name="Calculation 2 9 4 4" xfId="13921" xr:uid="{00000000-0005-0000-0000-0000B5200000}"/>
    <cellStyle name="Calculation 2 9 4 4 2" xfId="13922" xr:uid="{00000000-0005-0000-0000-0000B6200000}"/>
    <cellStyle name="Calculation 2 9 4 4 3" xfId="13923" xr:uid="{00000000-0005-0000-0000-0000B7200000}"/>
    <cellStyle name="Calculation 2 9 4 5" xfId="13924" xr:uid="{00000000-0005-0000-0000-0000B8200000}"/>
    <cellStyle name="Calculation 2 9 4 5 2" xfId="13925" xr:uid="{00000000-0005-0000-0000-0000B9200000}"/>
    <cellStyle name="Calculation 2 9 4 5 3" xfId="13926" xr:uid="{00000000-0005-0000-0000-0000BA200000}"/>
    <cellStyle name="Calculation 2 9 4 6" xfId="13927" xr:uid="{00000000-0005-0000-0000-0000BB200000}"/>
    <cellStyle name="Calculation 2 9 4 7" xfId="3023" xr:uid="{00000000-0005-0000-0000-0000BC200000}"/>
    <cellStyle name="Calculation 2 9 5" xfId="13928" xr:uid="{00000000-0005-0000-0000-0000BD200000}"/>
    <cellStyle name="Calculation 2 9 5 2" xfId="6844" xr:uid="{00000000-0005-0000-0000-0000BE200000}"/>
    <cellStyle name="Calculation 2 9 5 2 2" xfId="12188" xr:uid="{00000000-0005-0000-0000-0000BF200000}"/>
    <cellStyle name="Calculation 2 9 5 2 3" xfId="12190" xr:uid="{00000000-0005-0000-0000-0000C0200000}"/>
    <cellStyle name="Calculation 2 9 5 2 4" xfId="13929" xr:uid="{00000000-0005-0000-0000-0000C1200000}"/>
    <cellStyle name="Calculation 2 9 5 3" xfId="6846" xr:uid="{00000000-0005-0000-0000-0000C2200000}"/>
    <cellStyle name="Calculation 2 9 5 3 2" xfId="12194" xr:uid="{00000000-0005-0000-0000-0000C3200000}"/>
    <cellStyle name="Calculation 2 9 5 3 3" xfId="13931" xr:uid="{00000000-0005-0000-0000-0000C4200000}"/>
    <cellStyle name="Calculation 2 9 5 3 4" xfId="13932" xr:uid="{00000000-0005-0000-0000-0000C5200000}"/>
    <cellStyle name="Calculation 2 9 5 4" xfId="13933" xr:uid="{00000000-0005-0000-0000-0000C6200000}"/>
    <cellStyle name="Calculation 2 9 5 4 2" xfId="12198" xr:uid="{00000000-0005-0000-0000-0000C7200000}"/>
    <cellStyle name="Calculation 2 9 5 4 3" xfId="13934" xr:uid="{00000000-0005-0000-0000-0000C8200000}"/>
    <cellStyle name="Calculation 2 9 5 5" xfId="13935" xr:uid="{00000000-0005-0000-0000-0000C9200000}"/>
    <cellStyle name="Calculation 2 9 5 5 2" xfId="13938" xr:uid="{00000000-0005-0000-0000-0000CA200000}"/>
    <cellStyle name="Calculation 2 9 5 5 3" xfId="104" xr:uid="{00000000-0005-0000-0000-0000CB200000}"/>
    <cellStyle name="Calculation 2 9 5 6" xfId="13939" xr:uid="{00000000-0005-0000-0000-0000CC200000}"/>
    <cellStyle name="Calculation 2 9 5 7" xfId="3039" xr:uid="{00000000-0005-0000-0000-0000CD200000}"/>
    <cellStyle name="Calculation 2 9 6" xfId="13942" xr:uid="{00000000-0005-0000-0000-0000CE200000}"/>
    <cellStyle name="Calculation 2 9 6 2" xfId="6849" xr:uid="{00000000-0005-0000-0000-0000CF200000}"/>
    <cellStyle name="Calculation 2 9 6 2 2" xfId="12212" xr:uid="{00000000-0005-0000-0000-0000D0200000}"/>
    <cellStyle name="Calculation 2 9 6 2 3" xfId="12215" xr:uid="{00000000-0005-0000-0000-0000D1200000}"/>
    <cellStyle name="Calculation 2 9 6 2 4" xfId="13943" xr:uid="{00000000-0005-0000-0000-0000D2200000}"/>
    <cellStyle name="Calculation 2 9 6 3" xfId="13946" xr:uid="{00000000-0005-0000-0000-0000D3200000}"/>
    <cellStyle name="Calculation 2 9 6 3 2" xfId="12220" xr:uid="{00000000-0005-0000-0000-0000D4200000}"/>
    <cellStyle name="Calculation 2 9 6 3 3" xfId="13948" xr:uid="{00000000-0005-0000-0000-0000D5200000}"/>
    <cellStyle name="Calculation 2 9 6 3 4" xfId="13950" xr:uid="{00000000-0005-0000-0000-0000D6200000}"/>
    <cellStyle name="Calculation 2 9 6 4" xfId="13952" xr:uid="{00000000-0005-0000-0000-0000D7200000}"/>
    <cellStyle name="Calculation 2 9 6 4 2" xfId="12226" xr:uid="{00000000-0005-0000-0000-0000D8200000}"/>
    <cellStyle name="Calculation 2 9 6 4 3" xfId="13954" xr:uid="{00000000-0005-0000-0000-0000D9200000}"/>
    <cellStyle name="Calculation 2 9 6 5" xfId="13957" xr:uid="{00000000-0005-0000-0000-0000DA200000}"/>
    <cellStyle name="Calculation 2 9 6 5 2" xfId="13961" xr:uid="{00000000-0005-0000-0000-0000DB200000}"/>
    <cellStyle name="Calculation 2 9 6 5 3" xfId="13965" xr:uid="{00000000-0005-0000-0000-0000DC200000}"/>
    <cellStyle name="Calculation 2 9 6 6" xfId="13970" xr:uid="{00000000-0005-0000-0000-0000DD200000}"/>
    <cellStyle name="Calculation 2 9 6 7" xfId="3058" xr:uid="{00000000-0005-0000-0000-0000DE200000}"/>
    <cellStyle name="Calculation 2 9 7" xfId="13973" xr:uid="{00000000-0005-0000-0000-0000DF200000}"/>
    <cellStyle name="Calculation 2 9 7 2" xfId="6854" xr:uid="{00000000-0005-0000-0000-0000E0200000}"/>
    <cellStyle name="Calculation 2 9 7 2 2" xfId="12240" xr:uid="{00000000-0005-0000-0000-0000E1200000}"/>
    <cellStyle name="Calculation 2 9 7 2 3" xfId="12242" xr:uid="{00000000-0005-0000-0000-0000E2200000}"/>
    <cellStyle name="Calculation 2 9 7 2 4" xfId="13974" xr:uid="{00000000-0005-0000-0000-0000E3200000}"/>
    <cellStyle name="Calculation 2 9 7 3" xfId="13976" xr:uid="{00000000-0005-0000-0000-0000E4200000}"/>
    <cellStyle name="Calculation 2 9 7 3 2" xfId="12246" xr:uid="{00000000-0005-0000-0000-0000E5200000}"/>
    <cellStyle name="Calculation 2 9 7 3 3" xfId="13978" xr:uid="{00000000-0005-0000-0000-0000E6200000}"/>
    <cellStyle name="Calculation 2 9 7 3 4" xfId="13979" xr:uid="{00000000-0005-0000-0000-0000E7200000}"/>
    <cellStyle name="Calculation 2 9 7 4" xfId="13980" xr:uid="{00000000-0005-0000-0000-0000E8200000}"/>
    <cellStyle name="Calculation 2 9 7 4 2" xfId="12250" xr:uid="{00000000-0005-0000-0000-0000E9200000}"/>
    <cellStyle name="Calculation 2 9 7 4 3" xfId="13982" xr:uid="{00000000-0005-0000-0000-0000EA200000}"/>
    <cellStyle name="Calculation 2 9 7 5" xfId="13983" xr:uid="{00000000-0005-0000-0000-0000EB200000}"/>
    <cellStyle name="Calculation 2 9 7 5 2" xfId="13987" xr:uid="{00000000-0005-0000-0000-0000EC200000}"/>
    <cellStyle name="Calculation 2 9 7 5 3" xfId="13988" xr:uid="{00000000-0005-0000-0000-0000ED200000}"/>
    <cellStyle name="Calculation 2 9 7 6" xfId="13990" xr:uid="{00000000-0005-0000-0000-0000EE200000}"/>
    <cellStyle name="Calculation 2 9 7 7" xfId="2666" xr:uid="{00000000-0005-0000-0000-0000EF200000}"/>
    <cellStyle name="Calculation 2 9 8" xfId="13993" xr:uid="{00000000-0005-0000-0000-0000F0200000}"/>
    <cellStyle name="Calculation 2 9 8 2" xfId="13994" xr:uid="{00000000-0005-0000-0000-0000F1200000}"/>
    <cellStyle name="Calculation 2 9 8 2 2" xfId="12262" xr:uid="{00000000-0005-0000-0000-0000F2200000}"/>
    <cellStyle name="Calculation 2 9 8 2 3" xfId="12264" xr:uid="{00000000-0005-0000-0000-0000F3200000}"/>
    <cellStyle name="Calculation 2 9 8 2 4" xfId="13995" xr:uid="{00000000-0005-0000-0000-0000F4200000}"/>
    <cellStyle name="Calculation 2 9 8 3" xfId="13997" xr:uid="{00000000-0005-0000-0000-0000F5200000}"/>
    <cellStyle name="Calculation 2 9 8 3 2" xfId="12269" xr:uid="{00000000-0005-0000-0000-0000F6200000}"/>
    <cellStyle name="Calculation 2 9 8 3 3" xfId="13999" xr:uid="{00000000-0005-0000-0000-0000F7200000}"/>
    <cellStyle name="Calculation 2 9 8 3 4" xfId="14000" xr:uid="{00000000-0005-0000-0000-0000F8200000}"/>
    <cellStyle name="Calculation 2 9 8 4" xfId="14001" xr:uid="{00000000-0005-0000-0000-0000F9200000}"/>
    <cellStyle name="Calculation 2 9 8 4 2" xfId="12273" xr:uid="{00000000-0005-0000-0000-0000FA200000}"/>
    <cellStyle name="Calculation 2 9 8 4 3" xfId="14003" xr:uid="{00000000-0005-0000-0000-0000FB200000}"/>
    <cellStyle name="Calculation 2 9 8 5" xfId="14004" xr:uid="{00000000-0005-0000-0000-0000FC200000}"/>
    <cellStyle name="Calculation 2 9 8 5 2" xfId="14008" xr:uid="{00000000-0005-0000-0000-0000FD200000}"/>
    <cellStyle name="Calculation 2 9 8 5 3" xfId="14009" xr:uid="{00000000-0005-0000-0000-0000FE200000}"/>
    <cellStyle name="Calculation 2 9 8 6" xfId="14010" xr:uid="{00000000-0005-0000-0000-0000FF200000}"/>
    <cellStyle name="Calculation 2 9 8 7" xfId="14013" xr:uid="{00000000-0005-0000-0000-000000210000}"/>
    <cellStyle name="Calculation 2 9 9" xfId="14014" xr:uid="{00000000-0005-0000-0000-000001210000}"/>
    <cellStyle name="Calculation 2 9 9 2" xfId="14015" xr:uid="{00000000-0005-0000-0000-000002210000}"/>
    <cellStyle name="Calculation 2 9 9 2 2" xfId="12291" xr:uid="{00000000-0005-0000-0000-000003210000}"/>
    <cellStyle name="Calculation 2 9 9 2 3" xfId="12294" xr:uid="{00000000-0005-0000-0000-000004210000}"/>
    <cellStyle name="Calculation 2 9 9 2 4" xfId="14018" xr:uid="{00000000-0005-0000-0000-000005210000}"/>
    <cellStyle name="Calculation 2 9 9 3" xfId="14020" xr:uid="{00000000-0005-0000-0000-000006210000}"/>
    <cellStyle name="Calculation 2 9 9 3 2" xfId="12302" xr:uid="{00000000-0005-0000-0000-000007210000}"/>
    <cellStyle name="Calculation 2 9 9 3 3" xfId="2362" xr:uid="{00000000-0005-0000-0000-000008210000}"/>
    <cellStyle name="Calculation 2 9 9 3 4" xfId="14024" xr:uid="{00000000-0005-0000-0000-000009210000}"/>
    <cellStyle name="Calculation 2 9 9 4" xfId="14026" xr:uid="{00000000-0005-0000-0000-00000A210000}"/>
    <cellStyle name="Calculation 2 9 9 4 2" xfId="12310" xr:uid="{00000000-0005-0000-0000-00000B210000}"/>
    <cellStyle name="Calculation 2 9 9 4 3" xfId="14029" xr:uid="{00000000-0005-0000-0000-00000C210000}"/>
    <cellStyle name="Calculation 2 9 9 5" xfId="14031" xr:uid="{00000000-0005-0000-0000-00000D210000}"/>
    <cellStyle name="Calculation 2 9 9 5 2" xfId="14034" xr:uid="{00000000-0005-0000-0000-00000E210000}"/>
    <cellStyle name="Calculation 2 9 9 5 3" xfId="14036" xr:uid="{00000000-0005-0000-0000-00000F210000}"/>
    <cellStyle name="Calculation 2 9 9 6" xfId="14038" xr:uid="{00000000-0005-0000-0000-000010210000}"/>
    <cellStyle name="Calculation 2 9 9 7" xfId="14039" xr:uid="{00000000-0005-0000-0000-000011210000}"/>
    <cellStyle name="Calculation 3" xfId="14040" xr:uid="{00000000-0005-0000-0000-000012210000}"/>
    <cellStyle name="Calculation 3 2" xfId="14042" xr:uid="{00000000-0005-0000-0000-000013210000}"/>
    <cellStyle name="Calculation 3 3" xfId="14044" xr:uid="{00000000-0005-0000-0000-000014210000}"/>
    <cellStyle name="Calculation 3 4" xfId="14046" xr:uid="{00000000-0005-0000-0000-000015210000}"/>
    <cellStyle name="Calculation 4" xfId="14048" xr:uid="{00000000-0005-0000-0000-000016210000}"/>
    <cellStyle name="Calculation 4 2" xfId="14050" xr:uid="{00000000-0005-0000-0000-000017210000}"/>
    <cellStyle name="Calculation 5" xfId="4119" xr:uid="{00000000-0005-0000-0000-000018210000}"/>
    <cellStyle name="Calculation 5 2" xfId="14052" xr:uid="{00000000-0005-0000-0000-000019210000}"/>
    <cellStyle name="Calculation 5 3" xfId="14054" xr:uid="{00000000-0005-0000-0000-00001A210000}"/>
    <cellStyle name="Calculation 5 4" xfId="12746" xr:uid="{00000000-0005-0000-0000-00001B210000}"/>
    <cellStyle name="Calculation 6" xfId="4122" xr:uid="{00000000-0005-0000-0000-00001C210000}"/>
    <cellStyle name="Calculation 6 2" xfId="14056" xr:uid="{00000000-0005-0000-0000-00001D210000}"/>
    <cellStyle name="Calculation 6 3" xfId="14058" xr:uid="{00000000-0005-0000-0000-00001E210000}"/>
    <cellStyle name="Calculation 6 4" xfId="12751" xr:uid="{00000000-0005-0000-0000-00001F210000}"/>
    <cellStyle name="Calculation 7" xfId="14060" xr:uid="{00000000-0005-0000-0000-000020210000}"/>
    <cellStyle name="Check Cell 2" xfId="14062" xr:uid="{00000000-0005-0000-0000-000021210000}"/>
    <cellStyle name="Check Cell 2 2" xfId="14063" xr:uid="{00000000-0005-0000-0000-000022210000}"/>
    <cellStyle name="Check Cell 2 2 2" xfId="14066" xr:uid="{00000000-0005-0000-0000-000023210000}"/>
    <cellStyle name="Check Cell 2 2 3" xfId="14067" xr:uid="{00000000-0005-0000-0000-000024210000}"/>
    <cellStyle name="Check Cell 2 3" xfId="14068" xr:uid="{00000000-0005-0000-0000-000025210000}"/>
    <cellStyle name="Check Cell 3" xfId="14072" xr:uid="{00000000-0005-0000-0000-000026210000}"/>
    <cellStyle name="Check Cell 4" xfId="14076" xr:uid="{00000000-0005-0000-0000-000027210000}"/>
    <cellStyle name="Check Cell 5" xfId="14078" xr:uid="{00000000-0005-0000-0000-000028210000}"/>
    <cellStyle name="Check Cell 6" xfId="14080" xr:uid="{00000000-0005-0000-0000-000029210000}"/>
    <cellStyle name="Check Cell 7" xfId="14081" xr:uid="{00000000-0005-0000-0000-00002A210000}"/>
    <cellStyle name="ColStyle1" xfId="14082" xr:uid="{00000000-0005-0000-0000-00002B210000}"/>
    <cellStyle name="ColStyle1 2" xfId="14083" xr:uid="{00000000-0005-0000-0000-00002C210000}"/>
    <cellStyle name="ColStyle1 3" xfId="14084" xr:uid="{00000000-0005-0000-0000-00002D210000}"/>
    <cellStyle name="ColStyle2" xfId="13481" xr:uid="{00000000-0005-0000-0000-00002E210000}"/>
    <cellStyle name="ColStyle4" xfId="13484" xr:uid="{00000000-0005-0000-0000-00002F210000}"/>
    <cellStyle name="ColStyle6" xfId="14085" xr:uid="{00000000-0005-0000-0000-000030210000}"/>
    <cellStyle name="ColStyle6 2" xfId="14086" xr:uid="{00000000-0005-0000-0000-000031210000}"/>
    <cellStyle name="ColStyle6 3" xfId="14089" xr:uid="{00000000-0005-0000-0000-000032210000}"/>
    <cellStyle name="Comma 8" xfId="39114" xr:uid="{00000000-0005-0000-0000-000033210000}"/>
    <cellStyle name="Currency 2 2" xfId="14090" xr:uid="{00000000-0005-0000-0000-000034210000}"/>
    <cellStyle name="Currency 2 3" xfId="14091" xr:uid="{00000000-0005-0000-0000-000035210000}"/>
    <cellStyle name="DataPilot Category" xfId="11341" xr:uid="{00000000-0005-0000-0000-000036210000}"/>
    <cellStyle name="DataPilot Category 2" xfId="14093" xr:uid="{00000000-0005-0000-0000-000037210000}"/>
    <cellStyle name="DataPilot Corner" xfId="14095" xr:uid="{00000000-0005-0000-0000-000038210000}"/>
    <cellStyle name="DataPilot Field" xfId="14096" xr:uid="{00000000-0005-0000-0000-000039210000}"/>
    <cellStyle name="DataPilot Result" xfId="14099" xr:uid="{00000000-0005-0000-0000-00003A210000}"/>
    <cellStyle name="DataPilot Title" xfId="14100" xr:uid="{00000000-0005-0000-0000-00003B210000}"/>
    <cellStyle name="DataPilot Value" xfId="14101" xr:uid="{00000000-0005-0000-0000-00003C210000}"/>
    <cellStyle name="Dezimal [0]_Mappe1" xfId="14102" xr:uid="{00000000-0005-0000-0000-00003D210000}"/>
    <cellStyle name="Dezimal_Mappe1" xfId="14104" xr:uid="{00000000-0005-0000-0000-00003E210000}"/>
    <cellStyle name="Emphasis 1" xfId="8944" xr:uid="{00000000-0005-0000-0000-00003F210000}"/>
    <cellStyle name="Emphasis 1 2" xfId="8947" xr:uid="{00000000-0005-0000-0000-000040210000}"/>
    <cellStyle name="Emphasis 1 3" xfId="8954" xr:uid="{00000000-0005-0000-0000-000041210000}"/>
    <cellStyle name="Emphasis 1 4" xfId="8960" xr:uid="{00000000-0005-0000-0000-000042210000}"/>
    <cellStyle name="Emphasis 2" xfId="8984" xr:uid="{00000000-0005-0000-0000-000043210000}"/>
    <cellStyle name="Emphasis 2 2" xfId="8986" xr:uid="{00000000-0005-0000-0000-000044210000}"/>
    <cellStyle name="Emphasis 2 2 2" xfId="8988" xr:uid="{00000000-0005-0000-0000-000045210000}"/>
    <cellStyle name="Emphasis 2 2 3" xfId="8992" xr:uid="{00000000-0005-0000-0000-000046210000}"/>
    <cellStyle name="Emphasis 2 3" xfId="8998" xr:uid="{00000000-0005-0000-0000-000047210000}"/>
    <cellStyle name="Emphasis 2 4" xfId="9008" xr:uid="{00000000-0005-0000-0000-000048210000}"/>
    <cellStyle name="Emphasis 3" xfId="9033" xr:uid="{00000000-0005-0000-0000-000049210000}"/>
    <cellStyle name="Emphasis 3 2" xfId="9036" xr:uid="{00000000-0005-0000-0000-00004A210000}"/>
    <cellStyle name="Emphasis 3 2 2" xfId="9038" xr:uid="{00000000-0005-0000-0000-00004B210000}"/>
    <cellStyle name="Emphasis 3 2 3" xfId="9042" xr:uid="{00000000-0005-0000-0000-00004C210000}"/>
    <cellStyle name="Emphasis 3 3" xfId="9050" xr:uid="{00000000-0005-0000-0000-00004D210000}"/>
    <cellStyle name="Emphasis 3 4" xfId="9064" xr:uid="{00000000-0005-0000-0000-00004E210000}"/>
    <cellStyle name="Excel_BuiltIn_Bad" xfId="842" xr:uid="{00000000-0005-0000-0000-00004F210000}"/>
    <cellStyle name="Explanatory Text 2" xfId="14105" xr:uid="{00000000-0005-0000-0000-000050210000}"/>
    <cellStyle name="Explanatory Text 2 2" xfId="14107" xr:uid="{00000000-0005-0000-0000-000051210000}"/>
    <cellStyle name="Explanatory Text 2 2 2" xfId="6323" xr:uid="{00000000-0005-0000-0000-000052210000}"/>
    <cellStyle name="Explanatory Text 2 2 2 2" xfId="14108" xr:uid="{00000000-0005-0000-0000-000053210000}"/>
    <cellStyle name="Explanatory Text 2 2 2 2 2" xfId="14109" xr:uid="{00000000-0005-0000-0000-000054210000}"/>
    <cellStyle name="Explanatory Text 2 2 2 2 2 2" xfId="14110" xr:uid="{00000000-0005-0000-0000-000055210000}"/>
    <cellStyle name="Explanatory Text 2 2 2 2 2 2 2" xfId="5659" xr:uid="{00000000-0005-0000-0000-000056210000}"/>
    <cellStyle name="Explanatory Text 2 2 2 2 3" xfId="14111" xr:uid="{00000000-0005-0000-0000-000057210000}"/>
    <cellStyle name="Explanatory Text 2 2 2 3" xfId="14112" xr:uid="{00000000-0005-0000-0000-000058210000}"/>
    <cellStyle name="Explanatory Text 2 2 3" xfId="6326" xr:uid="{00000000-0005-0000-0000-000059210000}"/>
    <cellStyle name="Explanatory Text 2 2 4" xfId="14114" xr:uid="{00000000-0005-0000-0000-00005A210000}"/>
    <cellStyle name="Explanatory Text 2 2 5" xfId="14115" xr:uid="{00000000-0005-0000-0000-00005B210000}"/>
    <cellStyle name="Explanatory Text 2 2 6" xfId="14116" xr:uid="{00000000-0005-0000-0000-00005C210000}"/>
    <cellStyle name="Explanatory Text 2 2 7" xfId="14117" xr:uid="{00000000-0005-0000-0000-00005D210000}"/>
    <cellStyle name="Explanatory Text 2 2 8" xfId="14118" xr:uid="{00000000-0005-0000-0000-00005E210000}"/>
    <cellStyle name="Explanatory Text 2 3" xfId="14120" xr:uid="{00000000-0005-0000-0000-00005F210000}"/>
    <cellStyle name="Explanatory Text 2 4" xfId="14121" xr:uid="{00000000-0005-0000-0000-000060210000}"/>
    <cellStyle name="Explanatory Text 2 4 2" xfId="6336" xr:uid="{00000000-0005-0000-0000-000061210000}"/>
    <cellStyle name="Explanatory Text 2 4 2 2" xfId="14122" xr:uid="{00000000-0005-0000-0000-000062210000}"/>
    <cellStyle name="Explanatory Text 2 4 2 2 2" xfId="2967" xr:uid="{00000000-0005-0000-0000-000063210000}"/>
    <cellStyle name="Explanatory Text 2 4 3" xfId="14126" xr:uid="{00000000-0005-0000-0000-000064210000}"/>
    <cellStyle name="Explanatory Text 2 5" xfId="14128" xr:uid="{00000000-0005-0000-0000-000065210000}"/>
    <cellStyle name="Explanatory Text 2 6" xfId="12939" xr:uid="{00000000-0005-0000-0000-000066210000}"/>
    <cellStyle name="Explanatory Text 2 7" xfId="12947" xr:uid="{00000000-0005-0000-0000-000067210000}"/>
    <cellStyle name="Explanatory Text 2 8" xfId="12955" xr:uid="{00000000-0005-0000-0000-000068210000}"/>
    <cellStyle name="Explanatory Text 3" xfId="14129" xr:uid="{00000000-0005-0000-0000-000069210000}"/>
    <cellStyle name="Explanatory Text 4" xfId="14130" xr:uid="{00000000-0005-0000-0000-00006A210000}"/>
    <cellStyle name="Explanatory Text 5" xfId="14131" xr:uid="{00000000-0005-0000-0000-00006B210000}"/>
    <cellStyle name="Explanatory Text 6" xfId="14132" xr:uid="{00000000-0005-0000-0000-00006C210000}"/>
    <cellStyle name="Good 2" xfId="14133" xr:uid="{00000000-0005-0000-0000-00006D210000}"/>
    <cellStyle name="Good 2 2" xfId="14135" xr:uid="{00000000-0005-0000-0000-00006E210000}"/>
    <cellStyle name="Good 2 2 2" xfId="1638" xr:uid="{00000000-0005-0000-0000-00006F210000}"/>
    <cellStyle name="Good 2 2 3" xfId="8209" xr:uid="{00000000-0005-0000-0000-000070210000}"/>
    <cellStyle name="Good 2 3" xfId="14136" xr:uid="{00000000-0005-0000-0000-000071210000}"/>
    <cellStyle name="Good 3" xfId="14138" xr:uid="{00000000-0005-0000-0000-000072210000}"/>
    <cellStyle name="Good 4" xfId="14140" xr:uid="{00000000-0005-0000-0000-000073210000}"/>
    <cellStyle name="Good 5" xfId="14142" xr:uid="{00000000-0005-0000-0000-000074210000}"/>
    <cellStyle name="Good 6" xfId="14143" xr:uid="{00000000-0005-0000-0000-000075210000}"/>
    <cellStyle name="Good 7" xfId="14144" xr:uid="{00000000-0005-0000-0000-000076210000}"/>
    <cellStyle name="Grey" xfId="14145" xr:uid="{00000000-0005-0000-0000-000077210000}"/>
    <cellStyle name="Grey 2" xfId="14146" xr:uid="{00000000-0005-0000-0000-000078210000}"/>
    <cellStyle name="Grey 2 2" xfId="14147" xr:uid="{00000000-0005-0000-0000-000079210000}"/>
    <cellStyle name="Grey 2 3" xfId="3967" xr:uid="{00000000-0005-0000-0000-00007A210000}"/>
    <cellStyle name="Grey 3" xfId="14148" xr:uid="{00000000-0005-0000-0000-00007B210000}"/>
    <cellStyle name="Grey 4" xfId="14150" xr:uid="{00000000-0005-0000-0000-00007C210000}"/>
    <cellStyle name="Header1" xfId="14152" xr:uid="{00000000-0005-0000-0000-00007D210000}"/>
    <cellStyle name="Header1 2" xfId="14154" xr:uid="{00000000-0005-0000-0000-00007E210000}"/>
    <cellStyle name="Header2" xfId="14156" xr:uid="{00000000-0005-0000-0000-00007F210000}"/>
    <cellStyle name="Header2 2" xfId="14157" xr:uid="{00000000-0005-0000-0000-000080210000}"/>
    <cellStyle name="Heading 1 2" xfId="14159" xr:uid="{00000000-0005-0000-0000-000081210000}"/>
    <cellStyle name="Heading 1 2 2" xfId="14160" xr:uid="{00000000-0005-0000-0000-000082210000}"/>
    <cellStyle name="Heading 1 2 2 2" xfId="14162" xr:uid="{00000000-0005-0000-0000-000083210000}"/>
    <cellStyle name="Heading 1 2 2 2 2" xfId="14163" xr:uid="{00000000-0005-0000-0000-000084210000}"/>
    <cellStyle name="Heading 1 2 2 2 2 2" xfId="14164" xr:uid="{00000000-0005-0000-0000-000085210000}"/>
    <cellStyle name="Heading 1 2 2 2 2 2 2" xfId="7532" xr:uid="{00000000-0005-0000-0000-000086210000}"/>
    <cellStyle name="Heading 1 2 2 2 2 2 2 2" xfId="14168" xr:uid="{00000000-0005-0000-0000-000087210000}"/>
    <cellStyle name="Heading 1 2 2 2 2 3" xfId="14170" xr:uid="{00000000-0005-0000-0000-000088210000}"/>
    <cellStyle name="Heading 1 2 2 2 3" xfId="14173" xr:uid="{00000000-0005-0000-0000-000089210000}"/>
    <cellStyle name="Heading 1 2 2 3" xfId="14174" xr:uid="{00000000-0005-0000-0000-00008A210000}"/>
    <cellStyle name="Heading 1 2 2 4" xfId="14175" xr:uid="{00000000-0005-0000-0000-00008B210000}"/>
    <cellStyle name="Heading 1 2 2 5" xfId="8113" xr:uid="{00000000-0005-0000-0000-00008C210000}"/>
    <cellStyle name="Heading 1 2 2 6" xfId="14176" xr:uid="{00000000-0005-0000-0000-00008D210000}"/>
    <cellStyle name="Heading 1 2 2 7" xfId="14178" xr:uid="{00000000-0005-0000-0000-00008E210000}"/>
    <cellStyle name="Heading 1 2 2 8" xfId="14180" xr:uid="{00000000-0005-0000-0000-00008F210000}"/>
    <cellStyle name="Heading 1 2 3" xfId="14181" xr:uid="{00000000-0005-0000-0000-000090210000}"/>
    <cellStyle name="Heading 1 2 4" xfId="14183" xr:uid="{00000000-0005-0000-0000-000091210000}"/>
    <cellStyle name="Heading 1 2 5" xfId="14184" xr:uid="{00000000-0005-0000-0000-000092210000}"/>
    <cellStyle name="Heading 1 2 5 2" xfId="14185" xr:uid="{00000000-0005-0000-0000-000093210000}"/>
    <cellStyle name="Heading 1 2 5 2 2" xfId="3231" xr:uid="{00000000-0005-0000-0000-000094210000}"/>
    <cellStyle name="Heading 1 2 5 2 2 2" xfId="3091" xr:uid="{00000000-0005-0000-0000-000095210000}"/>
    <cellStyle name="Heading 1 2 5 3" xfId="14187" xr:uid="{00000000-0005-0000-0000-000096210000}"/>
    <cellStyle name="Heading 1 2 6" xfId="14188" xr:uid="{00000000-0005-0000-0000-000097210000}"/>
    <cellStyle name="Heading 1 2 7" xfId="14189" xr:uid="{00000000-0005-0000-0000-000098210000}"/>
    <cellStyle name="Heading 1 2 8" xfId="14190" xr:uid="{00000000-0005-0000-0000-000099210000}"/>
    <cellStyle name="Heading 1 2 9" xfId="14191" xr:uid="{00000000-0005-0000-0000-00009A210000}"/>
    <cellStyle name="Heading 1 3" xfId="14192" xr:uid="{00000000-0005-0000-0000-00009B210000}"/>
    <cellStyle name="Heading 1 4" xfId="14193" xr:uid="{00000000-0005-0000-0000-00009C210000}"/>
    <cellStyle name="Heading 1 4 2" xfId="14195" xr:uid="{00000000-0005-0000-0000-00009D210000}"/>
    <cellStyle name="Heading 1 5" xfId="14197" xr:uid="{00000000-0005-0000-0000-00009E210000}"/>
    <cellStyle name="Heading 1 6" xfId="14199" xr:uid="{00000000-0005-0000-0000-00009F210000}"/>
    <cellStyle name="Heading 1 7" xfId="14201" xr:uid="{00000000-0005-0000-0000-0000A0210000}"/>
    <cellStyle name="Heading 2 2" xfId="14202" xr:uid="{00000000-0005-0000-0000-0000A1210000}"/>
    <cellStyle name="Heading 2 2 2" xfId="14203" xr:uid="{00000000-0005-0000-0000-0000A2210000}"/>
    <cellStyle name="Heading 2 2 2 2" xfId="14205" xr:uid="{00000000-0005-0000-0000-0000A3210000}"/>
    <cellStyle name="Heading 2 2 2 2 2" xfId="14207" xr:uid="{00000000-0005-0000-0000-0000A4210000}"/>
    <cellStyle name="Heading 2 2 2 2 2 2" xfId="14208" xr:uid="{00000000-0005-0000-0000-0000A5210000}"/>
    <cellStyle name="Heading 2 2 2 2 2 2 2" xfId="14209" xr:uid="{00000000-0005-0000-0000-0000A6210000}"/>
    <cellStyle name="Heading 2 2 2 2 2 2 2 2" xfId="14211" xr:uid="{00000000-0005-0000-0000-0000A7210000}"/>
    <cellStyle name="Heading 2 2 2 2 2 3" xfId="14214" xr:uid="{00000000-0005-0000-0000-0000A8210000}"/>
    <cellStyle name="Heading 2 2 2 2 3" xfId="14216" xr:uid="{00000000-0005-0000-0000-0000A9210000}"/>
    <cellStyle name="Heading 2 2 2 3" xfId="14217" xr:uid="{00000000-0005-0000-0000-0000AA210000}"/>
    <cellStyle name="Heading 2 2 2 4" xfId="14218" xr:uid="{00000000-0005-0000-0000-0000AB210000}"/>
    <cellStyle name="Heading 2 2 2 5" xfId="8974" xr:uid="{00000000-0005-0000-0000-0000AC210000}"/>
    <cellStyle name="Heading 2 2 2 6" xfId="14220" xr:uid="{00000000-0005-0000-0000-0000AD210000}"/>
    <cellStyle name="Heading 2 2 2 7" xfId="14224" xr:uid="{00000000-0005-0000-0000-0000AE210000}"/>
    <cellStyle name="Heading 2 2 2 8" xfId="14227" xr:uid="{00000000-0005-0000-0000-0000AF210000}"/>
    <cellStyle name="Heading 2 2 3" xfId="14229" xr:uid="{00000000-0005-0000-0000-0000B0210000}"/>
    <cellStyle name="Heading 2 2 4" xfId="14231" xr:uid="{00000000-0005-0000-0000-0000B1210000}"/>
    <cellStyle name="Heading 2 2 5" xfId="14232" xr:uid="{00000000-0005-0000-0000-0000B2210000}"/>
    <cellStyle name="Heading 2 2 5 2" xfId="14233" xr:uid="{00000000-0005-0000-0000-0000B3210000}"/>
    <cellStyle name="Heading 2 2 5 2 2" xfId="14235" xr:uid="{00000000-0005-0000-0000-0000B4210000}"/>
    <cellStyle name="Heading 2 2 5 2 2 2" xfId="14236" xr:uid="{00000000-0005-0000-0000-0000B5210000}"/>
    <cellStyle name="Heading 2 2 5 3" xfId="2648" xr:uid="{00000000-0005-0000-0000-0000B6210000}"/>
    <cellStyle name="Heading 2 2 6" xfId="14237" xr:uid="{00000000-0005-0000-0000-0000B7210000}"/>
    <cellStyle name="Heading 2 2 7" xfId="14238" xr:uid="{00000000-0005-0000-0000-0000B8210000}"/>
    <cellStyle name="Heading 2 2 8" xfId="14239" xr:uid="{00000000-0005-0000-0000-0000B9210000}"/>
    <cellStyle name="Heading 2 2 9" xfId="14240" xr:uid="{00000000-0005-0000-0000-0000BA210000}"/>
    <cellStyle name="Heading 2 3" xfId="14241" xr:uid="{00000000-0005-0000-0000-0000BB210000}"/>
    <cellStyle name="Heading 2 4" xfId="1559" xr:uid="{00000000-0005-0000-0000-0000BC210000}"/>
    <cellStyle name="Heading 2 4 2" xfId="1413" xr:uid="{00000000-0005-0000-0000-0000BD210000}"/>
    <cellStyle name="Heading 2 5" xfId="2063" xr:uid="{00000000-0005-0000-0000-0000BE210000}"/>
    <cellStyle name="Heading 2 6" xfId="2072" xr:uid="{00000000-0005-0000-0000-0000BF210000}"/>
    <cellStyle name="Heading 2 7" xfId="2076" xr:uid="{00000000-0005-0000-0000-0000C0210000}"/>
    <cellStyle name="Heading 3 2" xfId="14242" xr:uid="{00000000-0005-0000-0000-0000C1210000}"/>
    <cellStyle name="Heading 3 2 10" xfId="14243" xr:uid="{00000000-0005-0000-0000-0000C2210000}"/>
    <cellStyle name="Heading 3 2 11" xfId="14244" xr:uid="{00000000-0005-0000-0000-0000C3210000}"/>
    <cellStyle name="Heading 3 2 12" xfId="14245" xr:uid="{00000000-0005-0000-0000-0000C4210000}"/>
    <cellStyle name="Heading 3 2 13" xfId="14247" xr:uid="{00000000-0005-0000-0000-0000C5210000}"/>
    <cellStyle name="Heading 3 2 14" xfId="14249" xr:uid="{00000000-0005-0000-0000-0000C6210000}"/>
    <cellStyle name="Heading 3 2 15" xfId="14253" xr:uid="{00000000-0005-0000-0000-0000C7210000}"/>
    <cellStyle name="Heading 3 2 16" xfId="8467" xr:uid="{00000000-0005-0000-0000-0000C8210000}"/>
    <cellStyle name="Heading 3 2 17" xfId="4586" xr:uid="{00000000-0005-0000-0000-0000C9210000}"/>
    <cellStyle name="Heading 3 2 18" xfId="4590" xr:uid="{00000000-0005-0000-0000-0000CA210000}"/>
    <cellStyle name="Heading 3 2 19" xfId="4593" xr:uid="{00000000-0005-0000-0000-0000CB210000}"/>
    <cellStyle name="Heading 3 2 2" xfId="14257" xr:uid="{00000000-0005-0000-0000-0000CC210000}"/>
    <cellStyle name="Heading 3 2 20" xfId="14254" xr:uid="{00000000-0005-0000-0000-0000CD210000}"/>
    <cellStyle name="Heading 3 2 21" xfId="8468" xr:uid="{00000000-0005-0000-0000-0000CE210000}"/>
    <cellStyle name="Heading 3 2 22" xfId="4587" xr:uid="{00000000-0005-0000-0000-0000CF210000}"/>
    <cellStyle name="Heading 3 2 23" xfId="4591" xr:uid="{00000000-0005-0000-0000-0000D0210000}"/>
    <cellStyle name="Heading 3 2 24" xfId="4594" xr:uid="{00000000-0005-0000-0000-0000D1210000}"/>
    <cellStyle name="Heading 3 2 25" xfId="14259" xr:uid="{00000000-0005-0000-0000-0000D2210000}"/>
    <cellStyle name="Heading 3 2 26" xfId="14261" xr:uid="{00000000-0005-0000-0000-0000D3210000}"/>
    <cellStyle name="Heading 3 2 27" xfId="14262" xr:uid="{00000000-0005-0000-0000-0000D4210000}"/>
    <cellStyle name="Heading 3 2 28" xfId="14263" xr:uid="{00000000-0005-0000-0000-0000D5210000}"/>
    <cellStyle name="Heading 3 2 29" xfId="14266" xr:uid="{00000000-0005-0000-0000-0000D6210000}"/>
    <cellStyle name="Heading 3 2 3" xfId="14269" xr:uid="{00000000-0005-0000-0000-0000D7210000}"/>
    <cellStyle name="Heading 3 2 3 2" xfId="1822" xr:uid="{00000000-0005-0000-0000-0000D8210000}"/>
    <cellStyle name="Heading 3 2 3 2 2" xfId="3481" xr:uid="{00000000-0005-0000-0000-0000D9210000}"/>
    <cellStyle name="Heading 3 2 3 2 2 2" xfId="6709" xr:uid="{00000000-0005-0000-0000-0000DA210000}"/>
    <cellStyle name="Heading 3 2 3 2 2 2 2" xfId="14272" xr:uid="{00000000-0005-0000-0000-0000DB210000}"/>
    <cellStyle name="Heading 3 2 3 2 2 2 2 2" xfId="14274" xr:uid="{00000000-0005-0000-0000-0000DC210000}"/>
    <cellStyle name="Heading 3 2 3 2 2 3" xfId="6713" xr:uid="{00000000-0005-0000-0000-0000DD210000}"/>
    <cellStyle name="Heading 3 2 3 2 3" xfId="4300" xr:uid="{00000000-0005-0000-0000-0000DE210000}"/>
    <cellStyle name="Heading 3 2 3 3" xfId="14277" xr:uid="{00000000-0005-0000-0000-0000DF210000}"/>
    <cellStyle name="Heading 3 2 3 4" xfId="14279" xr:uid="{00000000-0005-0000-0000-0000E0210000}"/>
    <cellStyle name="Heading 3 2 3 5" xfId="14282" xr:uid="{00000000-0005-0000-0000-0000E1210000}"/>
    <cellStyle name="Heading 3 2 3 6" xfId="14288" xr:uid="{00000000-0005-0000-0000-0000E2210000}"/>
    <cellStyle name="Heading 3 2 3 7" xfId="14294" xr:uid="{00000000-0005-0000-0000-0000E3210000}"/>
    <cellStyle name="Heading 3 2 3 8" xfId="14299" xr:uid="{00000000-0005-0000-0000-0000E4210000}"/>
    <cellStyle name="Heading 3 2 3 9" xfId="14304" xr:uid="{00000000-0005-0000-0000-0000E5210000}"/>
    <cellStyle name="Heading 3 2 30" xfId="14260" xr:uid="{00000000-0005-0000-0000-0000E6210000}"/>
    <cellStyle name="Heading 3 2 4" xfId="14307" xr:uid="{00000000-0005-0000-0000-0000E7210000}"/>
    <cellStyle name="Heading 3 2 5" xfId="14309" xr:uid="{00000000-0005-0000-0000-0000E8210000}"/>
    <cellStyle name="Heading 3 2 5 2" xfId="14311" xr:uid="{00000000-0005-0000-0000-0000E9210000}"/>
    <cellStyle name="Heading 3 2 5 2 2" xfId="14314" xr:uid="{00000000-0005-0000-0000-0000EA210000}"/>
    <cellStyle name="Heading 3 2 5 2 2 2" xfId="11443" xr:uid="{00000000-0005-0000-0000-0000EB210000}"/>
    <cellStyle name="Heading 3 2 5 3" xfId="14317" xr:uid="{00000000-0005-0000-0000-0000EC210000}"/>
    <cellStyle name="Heading 3 2 5 4" xfId="14319" xr:uid="{00000000-0005-0000-0000-0000ED210000}"/>
    <cellStyle name="Heading 3 2 6" xfId="14322" xr:uid="{00000000-0005-0000-0000-0000EE210000}"/>
    <cellStyle name="Heading 3 2 6 2" xfId="14324" xr:uid="{00000000-0005-0000-0000-0000EF210000}"/>
    <cellStyle name="Heading 3 2 7" xfId="14326" xr:uid="{00000000-0005-0000-0000-0000F0210000}"/>
    <cellStyle name="Heading 3 2 7 2" xfId="14328" xr:uid="{00000000-0005-0000-0000-0000F1210000}"/>
    <cellStyle name="Heading 3 2 8" xfId="4201" xr:uid="{00000000-0005-0000-0000-0000F2210000}"/>
    <cellStyle name="Heading 3 2 8 2" xfId="2587" xr:uid="{00000000-0005-0000-0000-0000F3210000}"/>
    <cellStyle name="Heading 3 2 9" xfId="14330" xr:uid="{00000000-0005-0000-0000-0000F4210000}"/>
    <cellStyle name="Heading 3 2 9 2" xfId="4478" xr:uid="{00000000-0005-0000-0000-0000F5210000}"/>
    <cellStyle name="Heading 3 3" xfId="14331" xr:uid="{00000000-0005-0000-0000-0000F6210000}"/>
    <cellStyle name="Heading 3 4" xfId="14332" xr:uid="{00000000-0005-0000-0000-0000F7210000}"/>
    <cellStyle name="Heading 3 4 2" xfId="14335" xr:uid="{00000000-0005-0000-0000-0000F8210000}"/>
    <cellStyle name="Heading 3 5" xfId="14337" xr:uid="{00000000-0005-0000-0000-0000F9210000}"/>
    <cellStyle name="Heading 3 6" xfId="14340" xr:uid="{00000000-0005-0000-0000-0000FA210000}"/>
    <cellStyle name="Heading 3 7" xfId="14342" xr:uid="{00000000-0005-0000-0000-0000FB210000}"/>
    <cellStyle name="Heading 4 2" xfId="14343" xr:uid="{00000000-0005-0000-0000-0000FC210000}"/>
    <cellStyle name="Heading 4 2 2" xfId="14344" xr:uid="{00000000-0005-0000-0000-0000FD210000}"/>
    <cellStyle name="Heading 4 2 2 2" xfId="14346" xr:uid="{00000000-0005-0000-0000-0000FE210000}"/>
    <cellStyle name="Heading 4 2 2 2 2" xfId="14348" xr:uid="{00000000-0005-0000-0000-0000FF210000}"/>
    <cellStyle name="Heading 4 2 2 2 2 2" xfId="7118" xr:uid="{00000000-0005-0000-0000-000000220000}"/>
    <cellStyle name="Heading 4 2 2 2 2 2 2" xfId="14349" xr:uid="{00000000-0005-0000-0000-000001220000}"/>
    <cellStyle name="Heading 4 2 2 2 2 2 2 2" xfId="14350" xr:uid="{00000000-0005-0000-0000-000002220000}"/>
    <cellStyle name="Heading 4 2 2 2 2 3" xfId="14353" xr:uid="{00000000-0005-0000-0000-000003220000}"/>
    <cellStyle name="Heading 4 2 2 2 3" xfId="14354" xr:uid="{00000000-0005-0000-0000-000004220000}"/>
    <cellStyle name="Heading 4 2 2 3" xfId="14356" xr:uid="{00000000-0005-0000-0000-000005220000}"/>
    <cellStyle name="Heading 4 2 2 4" xfId="14357" xr:uid="{00000000-0005-0000-0000-000006220000}"/>
    <cellStyle name="Heading 4 2 2 5" xfId="14359" xr:uid="{00000000-0005-0000-0000-000007220000}"/>
    <cellStyle name="Heading 4 2 2 6" xfId="14362" xr:uid="{00000000-0005-0000-0000-000008220000}"/>
    <cellStyle name="Heading 4 2 2 7" xfId="14364" xr:uid="{00000000-0005-0000-0000-000009220000}"/>
    <cellStyle name="Heading 4 2 2 8" xfId="14366" xr:uid="{00000000-0005-0000-0000-00000A220000}"/>
    <cellStyle name="Heading 4 2 3" xfId="14367" xr:uid="{00000000-0005-0000-0000-00000B220000}"/>
    <cellStyle name="Heading 4 2 4" xfId="14369" xr:uid="{00000000-0005-0000-0000-00000C220000}"/>
    <cellStyle name="Heading 4 2 5" xfId="14370" xr:uid="{00000000-0005-0000-0000-00000D220000}"/>
    <cellStyle name="Heading 4 2 5 2" xfId="14371" xr:uid="{00000000-0005-0000-0000-00000E220000}"/>
    <cellStyle name="Heading 4 2 5 2 2" xfId="14372" xr:uid="{00000000-0005-0000-0000-00000F220000}"/>
    <cellStyle name="Heading 4 2 5 2 2 2" xfId="14374" xr:uid="{00000000-0005-0000-0000-000010220000}"/>
    <cellStyle name="Heading 4 2 5 3" xfId="14376" xr:uid="{00000000-0005-0000-0000-000011220000}"/>
    <cellStyle name="Heading 4 2 6" xfId="14377" xr:uid="{00000000-0005-0000-0000-000012220000}"/>
    <cellStyle name="Heading 4 2 7" xfId="14379" xr:uid="{00000000-0005-0000-0000-000013220000}"/>
    <cellStyle name="Heading 4 2 8" xfId="14381" xr:uid="{00000000-0005-0000-0000-000014220000}"/>
    <cellStyle name="Heading 4 2 9" xfId="14383" xr:uid="{00000000-0005-0000-0000-000015220000}"/>
    <cellStyle name="Heading 4 3" xfId="14384" xr:uid="{00000000-0005-0000-0000-000016220000}"/>
    <cellStyle name="Heading 4 4" xfId="14385" xr:uid="{00000000-0005-0000-0000-000017220000}"/>
    <cellStyle name="Heading 4 5" xfId="14388" xr:uid="{00000000-0005-0000-0000-000018220000}"/>
    <cellStyle name="Heading 4 6" xfId="14391" xr:uid="{00000000-0005-0000-0000-000019220000}"/>
    <cellStyle name="Heading 4 6 2" xfId="2324" xr:uid="{00000000-0005-0000-0000-00001A220000}"/>
    <cellStyle name="Hyperlink 2" xfId="14392" xr:uid="{00000000-0005-0000-0000-00001B220000}"/>
    <cellStyle name="Input [yellow]" xfId="5224" xr:uid="{00000000-0005-0000-0000-00001C220000}"/>
    <cellStyle name="Input [yellow] 2" xfId="550" xr:uid="{00000000-0005-0000-0000-00001D220000}"/>
    <cellStyle name="Input 2" xfId="14395" xr:uid="{00000000-0005-0000-0000-00001E220000}"/>
    <cellStyle name="Input 2 10" xfId="14398" xr:uid="{00000000-0005-0000-0000-00001F220000}"/>
    <cellStyle name="Input 2 10 10" xfId="14401" xr:uid="{00000000-0005-0000-0000-000020220000}"/>
    <cellStyle name="Input 2 10 10 2" xfId="14405" xr:uid="{00000000-0005-0000-0000-000021220000}"/>
    <cellStyle name="Input 2 10 10 2 2" xfId="14409" xr:uid="{00000000-0005-0000-0000-000022220000}"/>
    <cellStyle name="Input 2 10 10 2 3" xfId="2473" xr:uid="{00000000-0005-0000-0000-000023220000}"/>
    <cellStyle name="Input 2 10 10 2 4" xfId="2477" xr:uid="{00000000-0005-0000-0000-000024220000}"/>
    <cellStyle name="Input 2 10 10 3" xfId="14412" xr:uid="{00000000-0005-0000-0000-000025220000}"/>
    <cellStyle name="Input 2 10 10 3 2" xfId="14416" xr:uid="{00000000-0005-0000-0000-000026220000}"/>
    <cellStyle name="Input 2 10 10 3 3" xfId="5397" xr:uid="{00000000-0005-0000-0000-000027220000}"/>
    <cellStyle name="Input 2 10 10 3 4" xfId="5399" xr:uid="{00000000-0005-0000-0000-000028220000}"/>
    <cellStyle name="Input 2 10 10 4" xfId="14419" xr:uid="{00000000-0005-0000-0000-000029220000}"/>
    <cellStyle name="Input 2 10 10 4 2" xfId="14422" xr:uid="{00000000-0005-0000-0000-00002A220000}"/>
    <cellStyle name="Input 2 10 10 4 3" xfId="5405" xr:uid="{00000000-0005-0000-0000-00002B220000}"/>
    <cellStyle name="Input 2 10 10 5" xfId="14423" xr:uid="{00000000-0005-0000-0000-00002C220000}"/>
    <cellStyle name="Input 2 10 10 5 2" xfId="14425" xr:uid="{00000000-0005-0000-0000-00002D220000}"/>
    <cellStyle name="Input 2 10 10 5 3" xfId="5411" xr:uid="{00000000-0005-0000-0000-00002E220000}"/>
    <cellStyle name="Input 2 10 10 6" xfId="14427" xr:uid="{00000000-0005-0000-0000-00002F220000}"/>
    <cellStyle name="Input 2 10 10 7" xfId="14430" xr:uid="{00000000-0005-0000-0000-000030220000}"/>
    <cellStyle name="Input 2 10 11" xfId="9301" xr:uid="{00000000-0005-0000-0000-000031220000}"/>
    <cellStyle name="Input 2 10 11 2" xfId="9305" xr:uid="{00000000-0005-0000-0000-000032220000}"/>
    <cellStyle name="Input 2 10 11 2 2" xfId="9309" xr:uid="{00000000-0005-0000-0000-000033220000}"/>
    <cellStyle name="Input 2 10 11 2 3" xfId="5170" xr:uid="{00000000-0005-0000-0000-000034220000}"/>
    <cellStyle name="Input 2 10 11 2 4" xfId="5177" xr:uid="{00000000-0005-0000-0000-000035220000}"/>
    <cellStyle name="Input 2 10 11 3" xfId="9313" xr:uid="{00000000-0005-0000-0000-000036220000}"/>
    <cellStyle name="Input 2 10 11 3 2" xfId="9317" xr:uid="{00000000-0005-0000-0000-000037220000}"/>
    <cellStyle name="Input 2 10 11 3 3" xfId="5190" xr:uid="{00000000-0005-0000-0000-000038220000}"/>
    <cellStyle name="Input 2 10 11 3 4" xfId="5194" xr:uid="{00000000-0005-0000-0000-000039220000}"/>
    <cellStyle name="Input 2 10 11 4" xfId="9320" xr:uid="{00000000-0005-0000-0000-00003A220000}"/>
    <cellStyle name="Input 2 10 11 4 2" xfId="9322" xr:uid="{00000000-0005-0000-0000-00003B220000}"/>
    <cellStyle name="Input 2 10 11 4 3" xfId="2486" xr:uid="{00000000-0005-0000-0000-00003C220000}"/>
    <cellStyle name="Input 2 10 11 5" xfId="9324" xr:uid="{00000000-0005-0000-0000-00003D220000}"/>
    <cellStyle name="Input 2 10 11 5 2" xfId="9326" xr:uid="{00000000-0005-0000-0000-00003E220000}"/>
    <cellStyle name="Input 2 10 11 5 3" xfId="5227" xr:uid="{00000000-0005-0000-0000-00003F220000}"/>
    <cellStyle name="Input 2 10 11 6" xfId="9328" xr:uid="{00000000-0005-0000-0000-000040220000}"/>
    <cellStyle name="Input 2 10 11 7" xfId="9331" xr:uid="{00000000-0005-0000-0000-000041220000}"/>
    <cellStyle name="Input 2 10 12" xfId="9334" xr:uid="{00000000-0005-0000-0000-000042220000}"/>
    <cellStyle name="Input 2 10 12 2" xfId="9337" xr:uid="{00000000-0005-0000-0000-000043220000}"/>
    <cellStyle name="Input 2 10 12 2 2" xfId="9339" xr:uid="{00000000-0005-0000-0000-000044220000}"/>
    <cellStyle name="Input 2 10 12 2 3" xfId="2495" xr:uid="{00000000-0005-0000-0000-000045220000}"/>
    <cellStyle name="Input 2 10 12 2 4" xfId="2501" xr:uid="{00000000-0005-0000-0000-000046220000}"/>
    <cellStyle name="Input 2 10 12 3" xfId="9342" xr:uid="{00000000-0005-0000-0000-000047220000}"/>
    <cellStyle name="Input 2 10 12 3 2" xfId="9344" xr:uid="{00000000-0005-0000-0000-000048220000}"/>
    <cellStyle name="Input 2 10 12 3 3" xfId="5436" xr:uid="{00000000-0005-0000-0000-000049220000}"/>
    <cellStyle name="Input 2 10 12 3 4" xfId="5440" xr:uid="{00000000-0005-0000-0000-00004A220000}"/>
    <cellStyle name="Input 2 10 12 4" xfId="9347" xr:uid="{00000000-0005-0000-0000-00004B220000}"/>
    <cellStyle name="Input 2 10 12 4 2" xfId="9349" xr:uid="{00000000-0005-0000-0000-00004C220000}"/>
    <cellStyle name="Input 2 10 12 4 3" xfId="5445" xr:uid="{00000000-0005-0000-0000-00004D220000}"/>
    <cellStyle name="Input 2 10 12 5" xfId="9351" xr:uid="{00000000-0005-0000-0000-00004E220000}"/>
    <cellStyle name="Input 2 10 12 5 2" xfId="9353" xr:uid="{00000000-0005-0000-0000-00004F220000}"/>
    <cellStyle name="Input 2 10 12 5 3" xfId="5451" xr:uid="{00000000-0005-0000-0000-000050220000}"/>
    <cellStyle name="Input 2 10 12 6" xfId="9355" xr:uid="{00000000-0005-0000-0000-000051220000}"/>
    <cellStyle name="Input 2 10 12 7" xfId="9358" xr:uid="{00000000-0005-0000-0000-000052220000}"/>
    <cellStyle name="Input 2 10 13" xfId="9361" xr:uid="{00000000-0005-0000-0000-000053220000}"/>
    <cellStyle name="Input 2 10 13 2" xfId="9364" xr:uid="{00000000-0005-0000-0000-000054220000}"/>
    <cellStyle name="Input 2 10 13 3" xfId="9367" xr:uid="{00000000-0005-0000-0000-000055220000}"/>
    <cellStyle name="Input 2 10 13 4" xfId="9370" xr:uid="{00000000-0005-0000-0000-000056220000}"/>
    <cellStyle name="Input 2 10 14" xfId="9385" xr:uid="{00000000-0005-0000-0000-000057220000}"/>
    <cellStyle name="Input 2 10 14 2" xfId="9388" xr:uid="{00000000-0005-0000-0000-000058220000}"/>
    <cellStyle name="Input 2 10 14 3" xfId="9391" xr:uid="{00000000-0005-0000-0000-000059220000}"/>
    <cellStyle name="Input 2 10 14 4" xfId="9394" xr:uid="{00000000-0005-0000-0000-00005A220000}"/>
    <cellStyle name="Input 2 10 15" xfId="9404" xr:uid="{00000000-0005-0000-0000-00005B220000}"/>
    <cellStyle name="Input 2 10 15 2" xfId="9407" xr:uid="{00000000-0005-0000-0000-00005C220000}"/>
    <cellStyle name="Input 2 10 15 3" xfId="9413" xr:uid="{00000000-0005-0000-0000-00005D220000}"/>
    <cellStyle name="Input 2 10 16" xfId="9434" xr:uid="{00000000-0005-0000-0000-00005E220000}"/>
    <cellStyle name="Input 2 10 16 2" xfId="9437" xr:uid="{00000000-0005-0000-0000-00005F220000}"/>
    <cellStyle name="Input 2 10 16 3" xfId="9444" xr:uid="{00000000-0005-0000-0000-000060220000}"/>
    <cellStyle name="Input 2 10 17" xfId="9465" xr:uid="{00000000-0005-0000-0000-000061220000}"/>
    <cellStyle name="Input 2 10 17 2" xfId="9469" xr:uid="{00000000-0005-0000-0000-000062220000}"/>
    <cellStyle name="Input 2 10 17 2 2" xfId="9475" xr:uid="{00000000-0005-0000-0000-000063220000}"/>
    <cellStyle name="Input 2 10 18" xfId="9203" xr:uid="{00000000-0005-0000-0000-000064220000}"/>
    <cellStyle name="Input 2 10 19" xfId="2534" xr:uid="{00000000-0005-0000-0000-000065220000}"/>
    <cellStyle name="Input 2 10 2" xfId="14433" xr:uid="{00000000-0005-0000-0000-000066220000}"/>
    <cellStyle name="Input 2 10 2 10" xfId="11538" xr:uid="{00000000-0005-0000-0000-000067220000}"/>
    <cellStyle name="Input 2 10 2 10 2" xfId="7972" xr:uid="{00000000-0005-0000-0000-000068220000}"/>
    <cellStyle name="Input 2 10 2 10 2 2" xfId="7975" xr:uid="{00000000-0005-0000-0000-000069220000}"/>
    <cellStyle name="Input 2 10 2 10 2 3" xfId="7977" xr:uid="{00000000-0005-0000-0000-00006A220000}"/>
    <cellStyle name="Input 2 10 2 10 2 4" xfId="14436" xr:uid="{00000000-0005-0000-0000-00006B220000}"/>
    <cellStyle name="Input 2 10 2 10 3" xfId="7979" xr:uid="{00000000-0005-0000-0000-00006C220000}"/>
    <cellStyle name="Input 2 10 2 10 3 2" xfId="914" xr:uid="{00000000-0005-0000-0000-00006D220000}"/>
    <cellStyle name="Input 2 10 2 10 3 3" xfId="6981" xr:uid="{00000000-0005-0000-0000-00006E220000}"/>
    <cellStyle name="Input 2 10 2 10 3 4" xfId="6281" xr:uid="{00000000-0005-0000-0000-00006F220000}"/>
    <cellStyle name="Input 2 10 2 10 4" xfId="7983" xr:uid="{00000000-0005-0000-0000-000070220000}"/>
    <cellStyle name="Input 2 10 2 10 4 2" xfId="14438" xr:uid="{00000000-0005-0000-0000-000071220000}"/>
    <cellStyle name="Input 2 10 2 10 4 3" xfId="14442" xr:uid="{00000000-0005-0000-0000-000072220000}"/>
    <cellStyle name="Input 2 10 2 10 5" xfId="7985" xr:uid="{00000000-0005-0000-0000-000073220000}"/>
    <cellStyle name="Input 2 10 2 10 5 2" xfId="14443" xr:uid="{00000000-0005-0000-0000-000074220000}"/>
    <cellStyle name="Input 2 10 2 10 5 3" xfId="14447" xr:uid="{00000000-0005-0000-0000-000075220000}"/>
    <cellStyle name="Input 2 10 2 10 6" xfId="7602" xr:uid="{00000000-0005-0000-0000-000076220000}"/>
    <cellStyle name="Input 2 10 2 10 7" xfId="7605" xr:uid="{00000000-0005-0000-0000-000077220000}"/>
    <cellStyle name="Input 2 10 2 11" xfId="14449" xr:uid="{00000000-0005-0000-0000-000078220000}"/>
    <cellStyle name="Input 2 10 2 11 2" xfId="8014" xr:uid="{00000000-0005-0000-0000-000079220000}"/>
    <cellStyle name="Input 2 10 2 11 3" xfId="8022" xr:uid="{00000000-0005-0000-0000-00007A220000}"/>
    <cellStyle name="Input 2 10 2 11 4" xfId="8032" xr:uid="{00000000-0005-0000-0000-00007B220000}"/>
    <cellStyle name="Input 2 10 2 12" xfId="14451" xr:uid="{00000000-0005-0000-0000-00007C220000}"/>
    <cellStyle name="Input 2 10 2 12 2" xfId="8058" xr:uid="{00000000-0005-0000-0000-00007D220000}"/>
    <cellStyle name="Input 2 10 2 12 3" xfId="8066" xr:uid="{00000000-0005-0000-0000-00007E220000}"/>
    <cellStyle name="Input 2 10 2 12 4" xfId="8076" xr:uid="{00000000-0005-0000-0000-00007F220000}"/>
    <cellStyle name="Input 2 10 2 13" xfId="14453" xr:uid="{00000000-0005-0000-0000-000080220000}"/>
    <cellStyle name="Input 2 10 2 13 2" xfId="8101" xr:uid="{00000000-0005-0000-0000-000081220000}"/>
    <cellStyle name="Input 2 10 2 13 3" xfId="8109" xr:uid="{00000000-0005-0000-0000-000082220000}"/>
    <cellStyle name="Input 2 10 2 14" xfId="14455" xr:uid="{00000000-0005-0000-0000-000083220000}"/>
    <cellStyle name="Input 2 10 2 14 2" xfId="8141" xr:uid="{00000000-0005-0000-0000-000084220000}"/>
    <cellStyle name="Input 2 10 2 14 3" xfId="8150" xr:uid="{00000000-0005-0000-0000-000085220000}"/>
    <cellStyle name="Input 2 10 2 15" xfId="14458" xr:uid="{00000000-0005-0000-0000-000086220000}"/>
    <cellStyle name="Input 2 10 2 16" xfId="14461" xr:uid="{00000000-0005-0000-0000-000087220000}"/>
    <cellStyle name="Input 2 10 2 2" xfId="14464" xr:uid="{00000000-0005-0000-0000-000088220000}"/>
    <cellStyle name="Input 2 10 2 2 2" xfId="14467" xr:uid="{00000000-0005-0000-0000-000089220000}"/>
    <cellStyle name="Input 2 10 2 2 2 2" xfId="14468" xr:uid="{00000000-0005-0000-0000-00008A220000}"/>
    <cellStyle name="Input 2 10 2 2 2 3" xfId="14469" xr:uid="{00000000-0005-0000-0000-00008B220000}"/>
    <cellStyle name="Input 2 10 2 2 2 4" xfId="14470" xr:uid="{00000000-0005-0000-0000-00008C220000}"/>
    <cellStyle name="Input 2 10 2 2 3" xfId="14472" xr:uid="{00000000-0005-0000-0000-00008D220000}"/>
    <cellStyle name="Input 2 10 2 2 3 2" xfId="14473" xr:uid="{00000000-0005-0000-0000-00008E220000}"/>
    <cellStyle name="Input 2 10 2 2 3 3" xfId="14474" xr:uid="{00000000-0005-0000-0000-00008F220000}"/>
    <cellStyle name="Input 2 10 2 2 3 4" xfId="14476" xr:uid="{00000000-0005-0000-0000-000090220000}"/>
    <cellStyle name="Input 2 10 2 2 4" xfId="14479" xr:uid="{00000000-0005-0000-0000-000091220000}"/>
    <cellStyle name="Input 2 10 2 2 4 2" xfId="14480" xr:uid="{00000000-0005-0000-0000-000092220000}"/>
    <cellStyle name="Input 2 10 2 2 4 3" xfId="14481" xr:uid="{00000000-0005-0000-0000-000093220000}"/>
    <cellStyle name="Input 2 10 2 2 5" xfId="14483" xr:uid="{00000000-0005-0000-0000-000094220000}"/>
    <cellStyle name="Input 2 10 2 2 5 2" xfId="14484" xr:uid="{00000000-0005-0000-0000-000095220000}"/>
    <cellStyle name="Input 2 10 2 2 5 3" xfId="14485" xr:uid="{00000000-0005-0000-0000-000096220000}"/>
    <cellStyle name="Input 2 10 2 2 6" xfId="14488" xr:uid="{00000000-0005-0000-0000-000097220000}"/>
    <cellStyle name="Input 2 10 2 2 7" xfId="14489" xr:uid="{00000000-0005-0000-0000-000098220000}"/>
    <cellStyle name="Input 2 10 2 3" xfId="14490" xr:uid="{00000000-0005-0000-0000-000099220000}"/>
    <cellStyle name="Input 2 10 2 3 2" xfId="14493" xr:uid="{00000000-0005-0000-0000-00009A220000}"/>
    <cellStyle name="Input 2 10 2 3 2 2" xfId="14494" xr:uid="{00000000-0005-0000-0000-00009B220000}"/>
    <cellStyle name="Input 2 10 2 3 2 3" xfId="14495" xr:uid="{00000000-0005-0000-0000-00009C220000}"/>
    <cellStyle name="Input 2 10 2 3 2 4" xfId="8029" xr:uid="{00000000-0005-0000-0000-00009D220000}"/>
    <cellStyle name="Input 2 10 2 3 3" xfId="14496" xr:uid="{00000000-0005-0000-0000-00009E220000}"/>
    <cellStyle name="Input 2 10 2 3 3 2" xfId="14497" xr:uid="{00000000-0005-0000-0000-00009F220000}"/>
    <cellStyle name="Input 2 10 2 3 3 3" xfId="14498" xr:uid="{00000000-0005-0000-0000-0000A0220000}"/>
    <cellStyle name="Input 2 10 2 3 3 4" xfId="14499" xr:uid="{00000000-0005-0000-0000-0000A1220000}"/>
    <cellStyle name="Input 2 10 2 3 4" xfId="14501" xr:uid="{00000000-0005-0000-0000-0000A2220000}"/>
    <cellStyle name="Input 2 10 2 3 4 2" xfId="7544" xr:uid="{00000000-0005-0000-0000-0000A3220000}"/>
    <cellStyle name="Input 2 10 2 3 4 3" xfId="14502" xr:uid="{00000000-0005-0000-0000-0000A4220000}"/>
    <cellStyle name="Input 2 10 2 3 5" xfId="14503" xr:uid="{00000000-0005-0000-0000-0000A5220000}"/>
    <cellStyle name="Input 2 10 2 3 5 2" xfId="14504" xr:uid="{00000000-0005-0000-0000-0000A6220000}"/>
    <cellStyle name="Input 2 10 2 3 5 3" xfId="14505" xr:uid="{00000000-0005-0000-0000-0000A7220000}"/>
    <cellStyle name="Input 2 10 2 3 6" xfId="14506" xr:uid="{00000000-0005-0000-0000-0000A8220000}"/>
    <cellStyle name="Input 2 10 2 3 7" xfId="14508" xr:uid="{00000000-0005-0000-0000-0000A9220000}"/>
    <cellStyle name="Input 2 10 2 4" xfId="14510" xr:uid="{00000000-0005-0000-0000-0000AA220000}"/>
    <cellStyle name="Input 2 10 2 4 2" xfId="14513" xr:uid="{00000000-0005-0000-0000-0000AB220000}"/>
    <cellStyle name="Input 2 10 2 4 2 2" xfId="14514" xr:uid="{00000000-0005-0000-0000-0000AC220000}"/>
    <cellStyle name="Input 2 10 2 4 2 3" xfId="14516" xr:uid="{00000000-0005-0000-0000-0000AD220000}"/>
    <cellStyle name="Input 2 10 2 4 2 4" xfId="14518" xr:uid="{00000000-0005-0000-0000-0000AE220000}"/>
    <cellStyle name="Input 2 10 2 4 3" xfId="14520" xr:uid="{00000000-0005-0000-0000-0000AF220000}"/>
    <cellStyle name="Input 2 10 2 4 3 2" xfId="14521" xr:uid="{00000000-0005-0000-0000-0000B0220000}"/>
    <cellStyle name="Input 2 10 2 4 3 3" xfId="14523" xr:uid="{00000000-0005-0000-0000-0000B1220000}"/>
    <cellStyle name="Input 2 10 2 4 3 4" xfId="14525" xr:uid="{00000000-0005-0000-0000-0000B2220000}"/>
    <cellStyle name="Input 2 10 2 4 4" xfId="14527" xr:uid="{00000000-0005-0000-0000-0000B3220000}"/>
    <cellStyle name="Input 2 10 2 4 4 2" xfId="14528" xr:uid="{00000000-0005-0000-0000-0000B4220000}"/>
    <cellStyle name="Input 2 10 2 4 4 3" xfId="14530" xr:uid="{00000000-0005-0000-0000-0000B5220000}"/>
    <cellStyle name="Input 2 10 2 4 5" xfId="14531" xr:uid="{00000000-0005-0000-0000-0000B6220000}"/>
    <cellStyle name="Input 2 10 2 4 5 2" xfId="14534" xr:uid="{00000000-0005-0000-0000-0000B7220000}"/>
    <cellStyle name="Input 2 10 2 4 5 3" xfId="14538" xr:uid="{00000000-0005-0000-0000-0000B8220000}"/>
    <cellStyle name="Input 2 10 2 4 6" xfId="14541" xr:uid="{00000000-0005-0000-0000-0000B9220000}"/>
    <cellStyle name="Input 2 10 2 4 7" xfId="14545" xr:uid="{00000000-0005-0000-0000-0000BA220000}"/>
    <cellStyle name="Input 2 10 2 5" xfId="14549" xr:uid="{00000000-0005-0000-0000-0000BB220000}"/>
    <cellStyle name="Input 2 10 2 5 2" xfId="14551" xr:uid="{00000000-0005-0000-0000-0000BC220000}"/>
    <cellStyle name="Input 2 10 2 5 2 2" xfId="14553" xr:uid="{00000000-0005-0000-0000-0000BD220000}"/>
    <cellStyle name="Input 2 10 2 5 2 3" xfId="14555" xr:uid="{00000000-0005-0000-0000-0000BE220000}"/>
    <cellStyle name="Input 2 10 2 5 2 4" xfId="14557" xr:uid="{00000000-0005-0000-0000-0000BF220000}"/>
    <cellStyle name="Input 2 10 2 5 3" xfId="14559" xr:uid="{00000000-0005-0000-0000-0000C0220000}"/>
    <cellStyle name="Input 2 10 2 5 3 2" xfId="14560" xr:uid="{00000000-0005-0000-0000-0000C1220000}"/>
    <cellStyle name="Input 2 10 2 5 3 3" xfId="14562" xr:uid="{00000000-0005-0000-0000-0000C2220000}"/>
    <cellStyle name="Input 2 10 2 5 3 4" xfId="14564" xr:uid="{00000000-0005-0000-0000-0000C3220000}"/>
    <cellStyle name="Input 2 10 2 5 4" xfId="14566" xr:uid="{00000000-0005-0000-0000-0000C4220000}"/>
    <cellStyle name="Input 2 10 2 5 4 2" xfId="14568" xr:uid="{00000000-0005-0000-0000-0000C5220000}"/>
    <cellStyle name="Input 2 10 2 5 4 3" xfId="14570" xr:uid="{00000000-0005-0000-0000-0000C6220000}"/>
    <cellStyle name="Input 2 10 2 5 5" xfId="14571" xr:uid="{00000000-0005-0000-0000-0000C7220000}"/>
    <cellStyle name="Input 2 10 2 5 5 2" xfId="14574" xr:uid="{00000000-0005-0000-0000-0000C8220000}"/>
    <cellStyle name="Input 2 10 2 5 5 3" xfId="14579" xr:uid="{00000000-0005-0000-0000-0000C9220000}"/>
    <cellStyle name="Input 2 10 2 5 6" xfId="14583" xr:uid="{00000000-0005-0000-0000-0000CA220000}"/>
    <cellStyle name="Input 2 10 2 5 7" xfId="14587" xr:uid="{00000000-0005-0000-0000-0000CB220000}"/>
    <cellStyle name="Input 2 10 2 6" xfId="14591" xr:uid="{00000000-0005-0000-0000-0000CC220000}"/>
    <cellStyle name="Input 2 10 2 6 2" xfId="14593" xr:uid="{00000000-0005-0000-0000-0000CD220000}"/>
    <cellStyle name="Input 2 10 2 6 2 2" xfId="14595" xr:uid="{00000000-0005-0000-0000-0000CE220000}"/>
    <cellStyle name="Input 2 10 2 6 2 3" xfId="14597" xr:uid="{00000000-0005-0000-0000-0000CF220000}"/>
    <cellStyle name="Input 2 10 2 6 2 4" xfId="14599" xr:uid="{00000000-0005-0000-0000-0000D0220000}"/>
    <cellStyle name="Input 2 10 2 6 3" xfId="14601" xr:uid="{00000000-0005-0000-0000-0000D1220000}"/>
    <cellStyle name="Input 2 10 2 6 3 2" xfId="14602" xr:uid="{00000000-0005-0000-0000-0000D2220000}"/>
    <cellStyle name="Input 2 10 2 6 3 3" xfId="14604" xr:uid="{00000000-0005-0000-0000-0000D3220000}"/>
    <cellStyle name="Input 2 10 2 6 3 4" xfId="14606" xr:uid="{00000000-0005-0000-0000-0000D4220000}"/>
    <cellStyle name="Input 2 10 2 6 4" xfId="14608" xr:uid="{00000000-0005-0000-0000-0000D5220000}"/>
    <cellStyle name="Input 2 10 2 6 4 2" xfId="14609" xr:uid="{00000000-0005-0000-0000-0000D6220000}"/>
    <cellStyle name="Input 2 10 2 6 4 3" xfId="14611" xr:uid="{00000000-0005-0000-0000-0000D7220000}"/>
    <cellStyle name="Input 2 10 2 6 5" xfId="14613" xr:uid="{00000000-0005-0000-0000-0000D8220000}"/>
    <cellStyle name="Input 2 10 2 6 5 2" xfId="14614" xr:uid="{00000000-0005-0000-0000-0000D9220000}"/>
    <cellStyle name="Input 2 10 2 6 5 3" xfId="14616" xr:uid="{00000000-0005-0000-0000-0000DA220000}"/>
    <cellStyle name="Input 2 10 2 6 6" xfId="14618" xr:uid="{00000000-0005-0000-0000-0000DB220000}"/>
    <cellStyle name="Input 2 10 2 6 7" xfId="14620" xr:uid="{00000000-0005-0000-0000-0000DC220000}"/>
    <cellStyle name="Input 2 10 2 7" xfId="9873" xr:uid="{00000000-0005-0000-0000-0000DD220000}"/>
    <cellStyle name="Input 2 10 2 7 2" xfId="14622" xr:uid="{00000000-0005-0000-0000-0000DE220000}"/>
    <cellStyle name="Input 2 10 2 7 2 2" xfId="14623" xr:uid="{00000000-0005-0000-0000-0000DF220000}"/>
    <cellStyle name="Input 2 10 2 7 2 3" xfId="14625" xr:uid="{00000000-0005-0000-0000-0000E0220000}"/>
    <cellStyle name="Input 2 10 2 7 2 4" xfId="14627" xr:uid="{00000000-0005-0000-0000-0000E1220000}"/>
    <cellStyle name="Input 2 10 2 7 3" xfId="14629" xr:uid="{00000000-0005-0000-0000-0000E2220000}"/>
    <cellStyle name="Input 2 10 2 7 3 2" xfId="14630" xr:uid="{00000000-0005-0000-0000-0000E3220000}"/>
    <cellStyle name="Input 2 10 2 7 3 3" xfId="14632" xr:uid="{00000000-0005-0000-0000-0000E4220000}"/>
    <cellStyle name="Input 2 10 2 7 3 4" xfId="14634" xr:uid="{00000000-0005-0000-0000-0000E5220000}"/>
    <cellStyle name="Input 2 10 2 7 4" xfId="14636" xr:uid="{00000000-0005-0000-0000-0000E6220000}"/>
    <cellStyle name="Input 2 10 2 7 4 2" xfId="14637" xr:uid="{00000000-0005-0000-0000-0000E7220000}"/>
    <cellStyle name="Input 2 10 2 7 4 3" xfId="14639" xr:uid="{00000000-0005-0000-0000-0000E8220000}"/>
    <cellStyle name="Input 2 10 2 7 5" xfId="14641" xr:uid="{00000000-0005-0000-0000-0000E9220000}"/>
    <cellStyle name="Input 2 10 2 7 5 2" xfId="14642" xr:uid="{00000000-0005-0000-0000-0000EA220000}"/>
    <cellStyle name="Input 2 10 2 7 5 3" xfId="14644" xr:uid="{00000000-0005-0000-0000-0000EB220000}"/>
    <cellStyle name="Input 2 10 2 7 6" xfId="14646" xr:uid="{00000000-0005-0000-0000-0000EC220000}"/>
    <cellStyle name="Input 2 10 2 7 7" xfId="14648" xr:uid="{00000000-0005-0000-0000-0000ED220000}"/>
    <cellStyle name="Input 2 10 2 8" xfId="9875" xr:uid="{00000000-0005-0000-0000-0000EE220000}"/>
    <cellStyle name="Input 2 10 2 8 2" xfId="14649" xr:uid="{00000000-0005-0000-0000-0000EF220000}"/>
    <cellStyle name="Input 2 10 2 8 2 2" xfId="14650" xr:uid="{00000000-0005-0000-0000-0000F0220000}"/>
    <cellStyle name="Input 2 10 2 8 2 3" xfId="14652" xr:uid="{00000000-0005-0000-0000-0000F1220000}"/>
    <cellStyle name="Input 2 10 2 8 2 4" xfId="14654" xr:uid="{00000000-0005-0000-0000-0000F2220000}"/>
    <cellStyle name="Input 2 10 2 8 3" xfId="14656" xr:uid="{00000000-0005-0000-0000-0000F3220000}"/>
    <cellStyle name="Input 2 10 2 8 3 2" xfId="14657" xr:uid="{00000000-0005-0000-0000-0000F4220000}"/>
    <cellStyle name="Input 2 10 2 8 3 3" xfId="14659" xr:uid="{00000000-0005-0000-0000-0000F5220000}"/>
    <cellStyle name="Input 2 10 2 8 3 4" xfId="14661" xr:uid="{00000000-0005-0000-0000-0000F6220000}"/>
    <cellStyle name="Input 2 10 2 8 4" xfId="14663" xr:uid="{00000000-0005-0000-0000-0000F7220000}"/>
    <cellStyle name="Input 2 10 2 8 4 2" xfId="14664" xr:uid="{00000000-0005-0000-0000-0000F8220000}"/>
    <cellStyle name="Input 2 10 2 8 4 3" xfId="14666" xr:uid="{00000000-0005-0000-0000-0000F9220000}"/>
    <cellStyle name="Input 2 10 2 8 5" xfId="14668" xr:uid="{00000000-0005-0000-0000-0000FA220000}"/>
    <cellStyle name="Input 2 10 2 8 5 2" xfId="454" xr:uid="{00000000-0005-0000-0000-0000FB220000}"/>
    <cellStyle name="Input 2 10 2 8 5 3" xfId="14669" xr:uid="{00000000-0005-0000-0000-0000FC220000}"/>
    <cellStyle name="Input 2 10 2 8 6" xfId="14671" xr:uid="{00000000-0005-0000-0000-0000FD220000}"/>
    <cellStyle name="Input 2 10 2 8 7" xfId="14672" xr:uid="{00000000-0005-0000-0000-0000FE220000}"/>
    <cellStyle name="Input 2 10 2 9" xfId="14674" xr:uid="{00000000-0005-0000-0000-0000FF220000}"/>
    <cellStyle name="Input 2 10 2 9 2" xfId="14675" xr:uid="{00000000-0005-0000-0000-000000230000}"/>
    <cellStyle name="Input 2 10 2 9 2 2" xfId="14676" xr:uid="{00000000-0005-0000-0000-000001230000}"/>
    <cellStyle name="Input 2 10 2 9 2 3" xfId="14678" xr:uid="{00000000-0005-0000-0000-000002230000}"/>
    <cellStyle name="Input 2 10 2 9 2 4" xfId="14680" xr:uid="{00000000-0005-0000-0000-000003230000}"/>
    <cellStyle name="Input 2 10 2 9 3" xfId="14682" xr:uid="{00000000-0005-0000-0000-000004230000}"/>
    <cellStyle name="Input 2 10 2 9 3 2" xfId="14683" xr:uid="{00000000-0005-0000-0000-000005230000}"/>
    <cellStyle name="Input 2 10 2 9 3 3" xfId="14685" xr:uid="{00000000-0005-0000-0000-000006230000}"/>
    <cellStyle name="Input 2 10 2 9 3 4" xfId="14687" xr:uid="{00000000-0005-0000-0000-000007230000}"/>
    <cellStyle name="Input 2 10 2 9 4" xfId="14689" xr:uid="{00000000-0005-0000-0000-000008230000}"/>
    <cellStyle name="Input 2 10 2 9 4 2" xfId="14690" xr:uid="{00000000-0005-0000-0000-000009230000}"/>
    <cellStyle name="Input 2 10 2 9 4 3" xfId="14692" xr:uid="{00000000-0005-0000-0000-00000A230000}"/>
    <cellStyle name="Input 2 10 2 9 5" xfId="14693" xr:uid="{00000000-0005-0000-0000-00000B230000}"/>
    <cellStyle name="Input 2 10 2 9 5 2" xfId="14696" xr:uid="{00000000-0005-0000-0000-00000C230000}"/>
    <cellStyle name="Input 2 10 2 9 5 3" xfId="14700" xr:uid="{00000000-0005-0000-0000-00000D230000}"/>
    <cellStyle name="Input 2 10 2 9 6" xfId="14703" xr:uid="{00000000-0005-0000-0000-00000E230000}"/>
    <cellStyle name="Input 2 10 2 9 7" xfId="14706" xr:uid="{00000000-0005-0000-0000-00000F230000}"/>
    <cellStyle name="Input 2 10 20" xfId="9405" xr:uid="{00000000-0005-0000-0000-000010230000}"/>
    <cellStyle name="Input 2 10 3" xfId="7420" xr:uid="{00000000-0005-0000-0000-000011230000}"/>
    <cellStyle name="Input 2 10 3 10" xfId="14710" xr:uid="{00000000-0005-0000-0000-000012230000}"/>
    <cellStyle name="Input 2 10 3 10 2" xfId="12502" xr:uid="{00000000-0005-0000-0000-000013230000}"/>
    <cellStyle name="Input 2 10 3 10 2 2" xfId="12504" xr:uid="{00000000-0005-0000-0000-000014230000}"/>
    <cellStyle name="Input 2 10 3 10 2 3" xfId="12506" xr:uid="{00000000-0005-0000-0000-000015230000}"/>
    <cellStyle name="Input 2 10 3 10 2 4" xfId="14712" xr:uid="{00000000-0005-0000-0000-000016230000}"/>
    <cellStyle name="Input 2 10 3 10 3" xfId="12508" xr:uid="{00000000-0005-0000-0000-000017230000}"/>
    <cellStyle name="Input 2 10 3 10 3 2" xfId="14714" xr:uid="{00000000-0005-0000-0000-000018230000}"/>
    <cellStyle name="Input 2 10 3 10 3 3" xfId="14716" xr:uid="{00000000-0005-0000-0000-000019230000}"/>
    <cellStyle name="Input 2 10 3 10 3 4" xfId="14719" xr:uid="{00000000-0005-0000-0000-00001A230000}"/>
    <cellStyle name="Input 2 10 3 10 4" xfId="12510" xr:uid="{00000000-0005-0000-0000-00001B230000}"/>
    <cellStyle name="Input 2 10 3 10 4 2" xfId="14721" xr:uid="{00000000-0005-0000-0000-00001C230000}"/>
    <cellStyle name="Input 2 10 3 10 4 3" xfId="14725" xr:uid="{00000000-0005-0000-0000-00001D230000}"/>
    <cellStyle name="Input 2 10 3 10 5" xfId="14728" xr:uid="{00000000-0005-0000-0000-00001E230000}"/>
    <cellStyle name="Input 2 10 3 10 5 2" xfId="14730" xr:uid="{00000000-0005-0000-0000-00001F230000}"/>
    <cellStyle name="Input 2 10 3 10 5 3" xfId="14732" xr:uid="{00000000-0005-0000-0000-000020230000}"/>
    <cellStyle name="Input 2 10 3 10 6" xfId="14733" xr:uid="{00000000-0005-0000-0000-000021230000}"/>
    <cellStyle name="Input 2 10 3 10 7" xfId="14735" xr:uid="{00000000-0005-0000-0000-000022230000}"/>
    <cellStyle name="Input 2 10 3 11" xfId="14736" xr:uid="{00000000-0005-0000-0000-000023230000}"/>
    <cellStyle name="Input 2 10 3 11 2" xfId="12526" xr:uid="{00000000-0005-0000-0000-000024230000}"/>
    <cellStyle name="Input 2 10 3 11 3" xfId="12534" xr:uid="{00000000-0005-0000-0000-000025230000}"/>
    <cellStyle name="Input 2 10 3 11 4" xfId="12538" xr:uid="{00000000-0005-0000-0000-000026230000}"/>
    <cellStyle name="Input 2 10 3 12" xfId="14741" xr:uid="{00000000-0005-0000-0000-000027230000}"/>
    <cellStyle name="Input 2 10 3 12 2" xfId="12555" xr:uid="{00000000-0005-0000-0000-000028230000}"/>
    <cellStyle name="Input 2 10 3 12 3" xfId="12563" xr:uid="{00000000-0005-0000-0000-000029230000}"/>
    <cellStyle name="Input 2 10 3 12 4" xfId="12567" xr:uid="{00000000-0005-0000-0000-00002A230000}"/>
    <cellStyle name="Input 2 10 3 13" xfId="14745" xr:uid="{00000000-0005-0000-0000-00002B230000}"/>
    <cellStyle name="Input 2 10 3 13 2" xfId="12588" xr:uid="{00000000-0005-0000-0000-00002C230000}"/>
    <cellStyle name="Input 2 10 3 13 3" xfId="12594" xr:uid="{00000000-0005-0000-0000-00002D230000}"/>
    <cellStyle name="Input 2 10 3 14" xfId="14748" xr:uid="{00000000-0005-0000-0000-00002E230000}"/>
    <cellStyle name="Input 2 10 3 14 2" xfId="12620" xr:uid="{00000000-0005-0000-0000-00002F230000}"/>
    <cellStyle name="Input 2 10 3 14 3" xfId="12626" xr:uid="{00000000-0005-0000-0000-000030230000}"/>
    <cellStyle name="Input 2 10 3 15" xfId="14751" xr:uid="{00000000-0005-0000-0000-000031230000}"/>
    <cellStyle name="Input 2 10 3 16" xfId="14754" xr:uid="{00000000-0005-0000-0000-000032230000}"/>
    <cellStyle name="Input 2 10 3 2" xfId="14758" xr:uid="{00000000-0005-0000-0000-000033230000}"/>
    <cellStyle name="Input 2 10 3 2 2" xfId="14763" xr:uid="{00000000-0005-0000-0000-000034230000}"/>
    <cellStyle name="Input 2 10 3 2 2 2" xfId="8427" xr:uid="{00000000-0005-0000-0000-000035230000}"/>
    <cellStyle name="Input 2 10 3 2 2 3" xfId="8429" xr:uid="{00000000-0005-0000-0000-000036230000}"/>
    <cellStyle name="Input 2 10 3 2 2 4" xfId="8431" xr:uid="{00000000-0005-0000-0000-000037230000}"/>
    <cellStyle name="Input 2 10 3 2 3" xfId="14764" xr:uid="{00000000-0005-0000-0000-000038230000}"/>
    <cellStyle name="Input 2 10 3 2 3 2" xfId="8436" xr:uid="{00000000-0005-0000-0000-000039230000}"/>
    <cellStyle name="Input 2 10 3 2 3 3" xfId="8438" xr:uid="{00000000-0005-0000-0000-00003A230000}"/>
    <cellStyle name="Input 2 10 3 2 3 4" xfId="14765" xr:uid="{00000000-0005-0000-0000-00003B230000}"/>
    <cellStyle name="Input 2 10 3 2 4" xfId="14767" xr:uid="{00000000-0005-0000-0000-00003C230000}"/>
    <cellStyle name="Input 2 10 3 2 4 2" xfId="8442" xr:uid="{00000000-0005-0000-0000-00003D230000}"/>
    <cellStyle name="Input 2 10 3 2 4 3" xfId="8444" xr:uid="{00000000-0005-0000-0000-00003E230000}"/>
    <cellStyle name="Input 2 10 3 2 5" xfId="14768" xr:uid="{00000000-0005-0000-0000-00003F230000}"/>
    <cellStyle name="Input 2 10 3 2 5 2" xfId="14769" xr:uid="{00000000-0005-0000-0000-000040230000}"/>
    <cellStyle name="Input 2 10 3 2 5 3" xfId="14770" xr:uid="{00000000-0005-0000-0000-000041230000}"/>
    <cellStyle name="Input 2 10 3 2 6" xfId="14771" xr:uid="{00000000-0005-0000-0000-000042230000}"/>
    <cellStyle name="Input 2 10 3 2 7" xfId="14772" xr:uid="{00000000-0005-0000-0000-000043230000}"/>
    <cellStyle name="Input 2 10 3 3" xfId="14773" xr:uid="{00000000-0005-0000-0000-000044230000}"/>
    <cellStyle name="Input 2 10 3 3 2" xfId="14778" xr:uid="{00000000-0005-0000-0000-000045230000}"/>
    <cellStyle name="Input 2 10 3 3 2 2" xfId="14779" xr:uid="{00000000-0005-0000-0000-000046230000}"/>
    <cellStyle name="Input 2 10 3 3 2 3" xfId="14780" xr:uid="{00000000-0005-0000-0000-000047230000}"/>
    <cellStyle name="Input 2 10 3 3 2 4" xfId="8073" xr:uid="{00000000-0005-0000-0000-000048230000}"/>
    <cellStyle name="Input 2 10 3 3 3" xfId="14781" xr:uid="{00000000-0005-0000-0000-000049230000}"/>
    <cellStyle name="Input 2 10 3 3 3 2" xfId="14782" xr:uid="{00000000-0005-0000-0000-00004A230000}"/>
    <cellStyle name="Input 2 10 3 3 3 3" xfId="14783" xr:uid="{00000000-0005-0000-0000-00004B230000}"/>
    <cellStyle name="Input 2 10 3 3 3 4" xfId="14784" xr:uid="{00000000-0005-0000-0000-00004C230000}"/>
    <cellStyle name="Input 2 10 3 3 4" xfId="14786" xr:uid="{00000000-0005-0000-0000-00004D230000}"/>
    <cellStyle name="Input 2 10 3 3 4 2" xfId="14787" xr:uid="{00000000-0005-0000-0000-00004E230000}"/>
    <cellStyle name="Input 2 10 3 3 4 3" xfId="14788" xr:uid="{00000000-0005-0000-0000-00004F230000}"/>
    <cellStyle name="Input 2 10 3 3 5" xfId="14789" xr:uid="{00000000-0005-0000-0000-000050230000}"/>
    <cellStyle name="Input 2 10 3 3 5 2" xfId="14790" xr:uid="{00000000-0005-0000-0000-000051230000}"/>
    <cellStyle name="Input 2 10 3 3 5 3" xfId="14791" xr:uid="{00000000-0005-0000-0000-000052230000}"/>
    <cellStyle name="Input 2 10 3 3 6" xfId="14792" xr:uid="{00000000-0005-0000-0000-000053230000}"/>
    <cellStyle name="Input 2 10 3 3 7" xfId="14794" xr:uid="{00000000-0005-0000-0000-000054230000}"/>
    <cellStyle name="Input 2 10 3 4" xfId="14796" xr:uid="{00000000-0005-0000-0000-000055230000}"/>
    <cellStyle name="Input 2 10 3 4 2" xfId="14799" xr:uid="{00000000-0005-0000-0000-000056230000}"/>
    <cellStyle name="Input 2 10 3 4 2 2" xfId="14800" xr:uid="{00000000-0005-0000-0000-000057230000}"/>
    <cellStyle name="Input 2 10 3 4 2 3" xfId="14802" xr:uid="{00000000-0005-0000-0000-000058230000}"/>
    <cellStyle name="Input 2 10 3 4 2 4" xfId="14804" xr:uid="{00000000-0005-0000-0000-000059230000}"/>
    <cellStyle name="Input 2 10 3 4 3" xfId="14806" xr:uid="{00000000-0005-0000-0000-00005A230000}"/>
    <cellStyle name="Input 2 10 3 4 3 2" xfId="14807" xr:uid="{00000000-0005-0000-0000-00005B230000}"/>
    <cellStyle name="Input 2 10 3 4 3 3" xfId="14809" xr:uid="{00000000-0005-0000-0000-00005C230000}"/>
    <cellStyle name="Input 2 10 3 4 3 4" xfId="14811" xr:uid="{00000000-0005-0000-0000-00005D230000}"/>
    <cellStyle name="Input 2 10 3 4 4" xfId="14813" xr:uid="{00000000-0005-0000-0000-00005E230000}"/>
    <cellStyle name="Input 2 10 3 4 4 2" xfId="14814" xr:uid="{00000000-0005-0000-0000-00005F230000}"/>
    <cellStyle name="Input 2 10 3 4 4 3" xfId="14816" xr:uid="{00000000-0005-0000-0000-000060230000}"/>
    <cellStyle name="Input 2 10 3 4 5" xfId="14817" xr:uid="{00000000-0005-0000-0000-000061230000}"/>
    <cellStyle name="Input 2 10 3 4 5 2" xfId="14819" xr:uid="{00000000-0005-0000-0000-000062230000}"/>
    <cellStyle name="Input 2 10 3 4 5 3" xfId="14822" xr:uid="{00000000-0005-0000-0000-000063230000}"/>
    <cellStyle name="Input 2 10 3 4 6" xfId="14824" xr:uid="{00000000-0005-0000-0000-000064230000}"/>
    <cellStyle name="Input 2 10 3 4 7" xfId="14827" xr:uid="{00000000-0005-0000-0000-000065230000}"/>
    <cellStyle name="Input 2 10 3 5" xfId="14830" xr:uid="{00000000-0005-0000-0000-000066230000}"/>
    <cellStyle name="Input 2 10 3 5 2" xfId="14831" xr:uid="{00000000-0005-0000-0000-000067230000}"/>
    <cellStyle name="Input 2 10 3 5 2 2" xfId="14834" xr:uid="{00000000-0005-0000-0000-000068230000}"/>
    <cellStyle name="Input 2 10 3 5 2 3" xfId="14837" xr:uid="{00000000-0005-0000-0000-000069230000}"/>
    <cellStyle name="Input 2 10 3 5 2 4" xfId="14840" xr:uid="{00000000-0005-0000-0000-00006A230000}"/>
    <cellStyle name="Input 2 10 3 5 3" xfId="14842" xr:uid="{00000000-0005-0000-0000-00006B230000}"/>
    <cellStyle name="Input 2 10 3 5 3 2" xfId="14844" xr:uid="{00000000-0005-0000-0000-00006C230000}"/>
    <cellStyle name="Input 2 10 3 5 3 3" xfId="14847" xr:uid="{00000000-0005-0000-0000-00006D230000}"/>
    <cellStyle name="Input 2 10 3 5 3 4" xfId="14850" xr:uid="{00000000-0005-0000-0000-00006E230000}"/>
    <cellStyle name="Input 2 10 3 5 4" xfId="14852" xr:uid="{00000000-0005-0000-0000-00006F230000}"/>
    <cellStyle name="Input 2 10 3 5 4 2" xfId="14854" xr:uid="{00000000-0005-0000-0000-000070230000}"/>
    <cellStyle name="Input 2 10 3 5 4 3" xfId="14857" xr:uid="{00000000-0005-0000-0000-000071230000}"/>
    <cellStyle name="Input 2 10 3 5 5" xfId="14858" xr:uid="{00000000-0005-0000-0000-000072230000}"/>
    <cellStyle name="Input 2 10 3 5 5 2" xfId="14859" xr:uid="{00000000-0005-0000-0000-000073230000}"/>
    <cellStyle name="Input 2 10 3 5 5 3" xfId="14863" xr:uid="{00000000-0005-0000-0000-000074230000}"/>
    <cellStyle name="Input 2 10 3 5 6" xfId="14865" xr:uid="{00000000-0005-0000-0000-000075230000}"/>
    <cellStyle name="Input 2 10 3 5 7" xfId="14867" xr:uid="{00000000-0005-0000-0000-000076230000}"/>
    <cellStyle name="Input 2 10 3 6" xfId="14869" xr:uid="{00000000-0005-0000-0000-000077230000}"/>
    <cellStyle name="Input 2 10 3 6 2" xfId="14870" xr:uid="{00000000-0005-0000-0000-000078230000}"/>
    <cellStyle name="Input 2 10 3 6 2 2" xfId="14872" xr:uid="{00000000-0005-0000-0000-000079230000}"/>
    <cellStyle name="Input 2 10 3 6 2 3" xfId="14874" xr:uid="{00000000-0005-0000-0000-00007A230000}"/>
    <cellStyle name="Input 2 10 3 6 2 4" xfId="14876" xr:uid="{00000000-0005-0000-0000-00007B230000}"/>
    <cellStyle name="Input 2 10 3 6 3" xfId="14878" xr:uid="{00000000-0005-0000-0000-00007C230000}"/>
    <cellStyle name="Input 2 10 3 6 3 2" xfId="14879" xr:uid="{00000000-0005-0000-0000-00007D230000}"/>
    <cellStyle name="Input 2 10 3 6 3 3" xfId="14881" xr:uid="{00000000-0005-0000-0000-00007E230000}"/>
    <cellStyle name="Input 2 10 3 6 3 4" xfId="14883" xr:uid="{00000000-0005-0000-0000-00007F230000}"/>
    <cellStyle name="Input 2 10 3 6 4" xfId="14885" xr:uid="{00000000-0005-0000-0000-000080230000}"/>
    <cellStyle name="Input 2 10 3 6 4 2" xfId="14886" xr:uid="{00000000-0005-0000-0000-000081230000}"/>
    <cellStyle name="Input 2 10 3 6 4 3" xfId="14888" xr:uid="{00000000-0005-0000-0000-000082230000}"/>
    <cellStyle name="Input 2 10 3 6 5" xfId="14889" xr:uid="{00000000-0005-0000-0000-000083230000}"/>
    <cellStyle name="Input 2 10 3 6 5 2" xfId="14890" xr:uid="{00000000-0005-0000-0000-000084230000}"/>
    <cellStyle name="Input 2 10 3 6 5 3" xfId="14892" xr:uid="{00000000-0005-0000-0000-000085230000}"/>
    <cellStyle name="Input 2 10 3 6 6" xfId="8848" xr:uid="{00000000-0005-0000-0000-000086230000}"/>
    <cellStyle name="Input 2 10 3 6 7" xfId="14893" xr:uid="{00000000-0005-0000-0000-000087230000}"/>
    <cellStyle name="Input 2 10 3 7" xfId="9879" xr:uid="{00000000-0005-0000-0000-000088230000}"/>
    <cellStyle name="Input 2 10 3 7 2" xfId="14895" xr:uid="{00000000-0005-0000-0000-000089230000}"/>
    <cellStyle name="Input 2 10 3 7 2 2" xfId="8638" xr:uid="{00000000-0005-0000-0000-00008A230000}"/>
    <cellStyle name="Input 2 10 3 7 2 3" xfId="8641" xr:uid="{00000000-0005-0000-0000-00008B230000}"/>
    <cellStyle name="Input 2 10 3 7 2 4" xfId="14898" xr:uid="{00000000-0005-0000-0000-00008C230000}"/>
    <cellStyle name="Input 2 10 3 7 3" xfId="14900" xr:uid="{00000000-0005-0000-0000-00008D230000}"/>
    <cellStyle name="Input 2 10 3 7 3 2" xfId="8649" xr:uid="{00000000-0005-0000-0000-00008E230000}"/>
    <cellStyle name="Input 2 10 3 7 3 3" xfId="14902" xr:uid="{00000000-0005-0000-0000-00008F230000}"/>
    <cellStyle name="Input 2 10 3 7 3 4" xfId="14904" xr:uid="{00000000-0005-0000-0000-000090230000}"/>
    <cellStyle name="Input 2 10 3 7 4" xfId="14906" xr:uid="{00000000-0005-0000-0000-000091230000}"/>
    <cellStyle name="Input 2 10 3 7 4 2" xfId="8657" xr:uid="{00000000-0005-0000-0000-000092230000}"/>
    <cellStyle name="Input 2 10 3 7 4 3" xfId="14908" xr:uid="{00000000-0005-0000-0000-000093230000}"/>
    <cellStyle name="Input 2 10 3 7 5" xfId="14909" xr:uid="{00000000-0005-0000-0000-000094230000}"/>
    <cellStyle name="Input 2 10 3 7 5 2" xfId="14910" xr:uid="{00000000-0005-0000-0000-000095230000}"/>
    <cellStyle name="Input 2 10 3 7 5 3" xfId="14912" xr:uid="{00000000-0005-0000-0000-000096230000}"/>
    <cellStyle name="Input 2 10 3 7 6" xfId="14913" xr:uid="{00000000-0005-0000-0000-000097230000}"/>
    <cellStyle name="Input 2 10 3 7 7" xfId="14915" xr:uid="{00000000-0005-0000-0000-000098230000}"/>
    <cellStyle name="Input 2 10 3 8" xfId="9882" xr:uid="{00000000-0005-0000-0000-000099230000}"/>
    <cellStyle name="Input 2 10 3 8 2" xfId="14916" xr:uid="{00000000-0005-0000-0000-00009A230000}"/>
    <cellStyle name="Input 2 10 3 8 2 2" xfId="14919" xr:uid="{00000000-0005-0000-0000-00009B230000}"/>
    <cellStyle name="Input 2 10 3 8 2 3" xfId="14921" xr:uid="{00000000-0005-0000-0000-00009C230000}"/>
    <cellStyle name="Input 2 10 3 8 2 4" xfId="14923" xr:uid="{00000000-0005-0000-0000-00009D230000}"/>
    <cellStyle name="Input 2 10 3 8 3" xfId="14925" xr:uid="{00000000-0005-0000-0000-00009E230000}"/>
    <cellStyle name="Input 2 10 3 8 3 2" xfId="3071" xr:uid="{00000000-0005-0000-0000-00009F230000}"/>
    <cellStyle name="Input 2 10 3 8 3 3" xfId="3075" xr:uid="{00000000-0005-0000-0000-0000A0230000}"/>
    <cellStyle name="Input 2 10 3 8 3 4" xfId="14927" xr:uid="{00000000-0005-0000-0000-0000A1230000}"/>
    <cellStyle name="Input 2 10 3 8 4" xfId="14929" xr:uid="{00000000-0005-0000-0000-0000A2230000}"/>
    <cellStyle name="Input 2 10 3 8 4 2" xfId="14931" xr:uid="{00000000-0005-0000-0000-0000A3230000}"/>
    <cellStyle name="Input 2 10 3 8 4 3" xfId="14933" xr:uid="{00000000-0005-0000-0000-0000A4230000}"/>
    <cellStyle name="Input 2 10 3 8 5" xfId="14934" xr:uid="{00000000-0005-0000-0000-0000A5230000}"/>
    <cellStyle name="Input 2 10 3 8 5 2" xfId="1184" xr:uid="{00000000-0005-0000-0000-0000A6230000}"/>
    <cellStyle name="Input 2 10 3 8 5 3" xfId="14935" xr:uid="{00000000-0005-0000-0000-0000A7230000}"/>
    <cellStyle name="Input 2 10 3 8 6" xfId="14936" xr:uid="{00000000-0005-0000-0000-0000A8230000}"/>
    <cellStyle name="Input 2 10 3 8 7" xfId="14937" xr:uid="{00000000-0005-0000-0000-0000A9230000}"/>
    <cellStyle name="Input 2 10 3 9" xfId="14938" xr:uid="{00000000-0005-0000-0000-0000AA230000}"/>
    <cellStyle name="Input 2 10 3 9 2" xfId="14940" xr:uid="{00000000-0005-0000-0000-0000AB230000}"/>
    <cellStyle name="Input 2 10 3 9 2 2" xfId="14944" xr:uid="{00000000-0005-0000-0000-0000AC230000}"/>
    <cellStyle name="Input 2 10 3 9 2 3" xfId="14948" xr:uid="{00000000-0005-0000-0000-0000AD230000}"/>
    <cellStyle name="Input 2 10 3 9 2 4" xfId="14952" xr:uid="{00000000-0005-0000-0000-0000AE230000}"/>
    <cellStyle name="Input 2 10 3 9 3" xfId="14956" xr:uid="{00000000-0005-0000-0000-0000AF230000}"/>
    <cellStyle name="Input 2 10 3 9 3 2" xfId="14960" xr:uid="{00000000-0005-0000-0000-0000B0230000}"/>
    <cellStyle name="Input 2 10 3 9 3 3" xfId="14964" xr:uid="{00000000-0005-0000-0000-0000B1230000}"/>
    <cellStyle name="Input 2 10 3 9 3 4" xfId="14968" xr:uid="{00000000-0005-0000-0000-0000B2230000}"/>
    <cellStyle name="Input 2 10 3 9 4" xfId="14972" xr:uid="{00000000-0005-0000-0000-0000B3230000}"/>
    <cellStyle name="Input 2 10 3 9 4 2" xfId="14975" xr:uid="{00000000-0005-0000-0000-0000B4230000}"/>
    <cellStyle name="Input 2 10 3 9 4 3" xfId="14979" xr:uid="{00000000-0005-0000-0000-0000B5230000}"/>
    <cellStyle name="Input 2 10 3 9 5" xfId="14982" xr:uid="{00000000-0005-0000-0000-0000B6230000}"/>
    <cellStyle name="Input 2 10 3 9 5 2" xfId="14986" xr:uid="{00000000-0005-0000-0000-0000B7230000}"/>
    <cellStyle name="Input 2 10 3 9 5 3" xfId="14991" xr:uid="{00000000-0005-0000-0000-0000B8230000}"/>
    <cellStyle name="Input 2 10 3 9 6" xfId="14995" xr:uid="{00000000-0005-0000-0000-0000B9230000}"/>
    <cellStyle name="Input 2 10 3 9 7" xfId="14999" xr:uid="{00000000-0005-0000-0000-0000BA230000}"/>
    <cellStyle name="Input 2 10 4" xfId="3829" xr:uid="{00000000-0005-0000-0000-0000BB230000}"/>
    <cellStyle name="Input 2 10 4 2" xfId="5233" xr:uid="{00000000-0005-0000-0000-0000BC230000}"/>
    <cellStyle name="Input 2 10 4 2 2" xfId="5238" xr:uid="{00000000-0005-0000-0000-0000BD230000}"/>
    <cellStyle name="Input 2 10 4 2 3" xfId="5240" xr:uid="{00000000-0005-0000-0000-0000BE230000}"/>
    <cellStyle name="Input 2 10 4 2 4" xfId="5248" xr:uid="{00000000-0005-0000-0000-0000BF230000}"/>
    <cellStyle name="Input 2 10 4 3" xfId="5275" xr:uid="{00000000-0005-0000-0000-0000C0230000}"/>
    <cellStyle name="Input 2 10 4 3 2" xfId="5280" xr:uid="{00000000-0005-0000-0000-0000C1230000}"/>
    <cellStyle name="Input 2 10 4 3 3" xfId="5282" xr:uid="{00000000-0005-0000-0000-0000C2230000}"/>
    <cellStyle name="Input 2 10 4 3 4" xfId="5290" xr:uid="{00000000-0005-0000-0000-0000C3230000}"/>
    <cellStyle name="Input 2 10 4 4" xfId="5307" xr:uid="{00000000-0005-0000-0000-0000C4230000}"/>
    <cellStyle name="Input 2 10 4 4 2" xfId="5310" xr:uid="{00000000-0005-0000-0000-0000C5230000}"/>
    <cellStyle name="Input 2 10 4 4 3" xfId="5312" xr:uid="{00000000-0005-0000-0000-0000C6230000}"/>
    <cellStyle name="Input 2 10 4 5" xfId="9212" xr:uid="{00000000-0005-0000-0000-0000C7230000}"/>
    <cellStyle name="Input 2 10 4 5 2" xfId="9214" xr:uid="{00000000-0005-0000-0000-0000C8230000}"/>
    <cellStyle name="Input 2 10 4 5 3" xfId="9220" xr:uid="{00000000-0005-0000-0000-0000C9230000}"/>
    <cellStyle name="Input 2 10 4 6" xfId="9238" xr:uid="{00000000-0005-0000-0000-0000CA230000}"/>
    <cellStyle name="Input 2 10 4 7" xfId="9247" xr:uid="{00000000-0005-0000-0000-0000CB230000}"/>
    <cellStyle name="Input 2 10 5" xfId="3836" xr:uid="{00000000-0005-0000-0000-0000CC230000}"/>
    <cellStyle name="Input 2 10 5 2" xfId="5490" xr:uid="{00000000-0005-0000-0000-0000CD230000}"/>
    <cellStyle name="Input 2 10 5 2 2" xfId="5494" xr:uid="{00000000-0005-0000-0000-0000CE230000}"/>
    <cellStyle name="Input 2 10 5 2 3" xfId="5503" xr:uid="{00000000-0005-0000-0000-0000CF230000}"/>
    <cellStyle name="Input 2 10 5 2 4" xfId="5515" xr:uid="{00000000-0005-0000-0000-0000D0230000}"/>
    <cellStyle name="Input 2 10 5 3" xfId="5540" xr:uid="{00000000-0005-0000-0000-0000D1230000}"/>
    <cellStyle name="Input 2 10 5 3 2" xfId="5543" xr:uid="{00000000-0005-0000-0000-0000D2230000}"/>
    <cellStyle name="Input 2 10 5 3 3" xfId="5545" xr:uid="{00000000-0005-0000-0000-0000D3230000}"/>
    <cellStyle name="Input 2 10 5 3 4" xfId="5552" xr:uid="{00000000-0005-0000-0000-0000D4230000}"/>
    <cellStyle name="Input 2 10 5 4" xfId="5571" xr:uid="{00000000-0005-0000-0000-0000D5230000}"/>
    <cellStyle name="Input 2 10 5 4 2" xfId="5576" xr:uid="{00000000-0005-0000-0000-0000D6230000}"/>
    <cellStyle name="Input 2 10 5 4 3" xfId="5580" xr:uid="{00000000-0005-0000-0000-0000D7230000}"/>
    <cellStyle name="Input 2 10 5 5" xfId="15004" xr:uid="{00000000-0005-0000-0000-0000D8230000}"/>
    <cellStyle name="Input 2 10 5 5 2" xfId="15006" xr:uid="{00000000-0005-0000-0000-0000D9230000}"/>
    <cellStyle name="Input 2 10 5 5 3" xfId="15007" xr:uid="{00000000-0005-0000-0000-0000DA230000}"/>
    <cellStyle name="Input 2 10 5 6" xfId="14394" xr:uid="{00000000-0005-0000-0000-0000DB230000}"/>
    <cellStyle name="Input 2 10 5 7" xfId="15008" xr:uid="{00000000-0005-0000-0000-0000DC230000}"/>
    <cellStyle name="Input 2 10 6" xfId="3842" xr:uid="{00000000-0005-0000-0000-0000DD230000}"/>
    <cellStyle name="Input 2 10 6 2" xfId="5610" xr:uid="{00000000-0005-0000-0000-0000DE230000}"/>
    <cellStyle name="Input 2 10 6 2 2" xfId="15013" xr:uid="{00000000-0005-0000-0000-0000DF230000}"/>
    <cellStyle name="Input 2 10 6 2 3" xfId="15014" xr:uid="{00000000-0005-0000-0000-0000E0230000}"/>
    <cellStyle name="Input 2 10 6 2 4" xfId="15015" xr:uid="{00000000-0005-0000-0000-0000E1230000}"/>
    <cellStyle name="Input 2 10 6 3" xfId="15016" xr:uid="{00000000-0005-0000-0000-0000E2230000}"/>
    <cellStyle name="Input 2 10 6 3 2" xfId="15018" xr:uid="{00000000-0005-0000-0000-0000E3230000}"/>
    <cellStyle name="Input 2 10 6 3 3" xfId="15019" xr:uid="{00000000-0005-0000-0000-0000E4230000}"/>
    <cellStyle name="Input 2 10 6 3 4" xfId="15020" xr:uid="{00000000-0005-0000-0000-0000E5230000}"/>
    <cellStyle name="Input 2 10 6 4" xfId="15021" xr:uid="{00000000-0005-0000-0000-0000E6230000}"/>
    <cellStyle name="Input 2 10 6 4 2" xfId="15022" xr:uid="{00000000-0005-0000-0000-0000E7230000}"/>
    <cellStyle name="Input 2 10 6 4 3" xfId="15023" xr:uid="{00000000-0005-0000-0000-0000E8230000}"/>
    <cellStyle name="Input 2 10 6 5" xfId="15024" xr:uid="{00000000-0005-0000-0000-0000E9230000}"/>
    <cellStyle name="Input 2 10 6 5 2" xfId="15026" xr:uid="{00000000-0005-0000-0000-0000EA230000}"/>
    <cellStyle name="Input 2 10 6 5 3" xfId="15027" xr:uid="{00000000-0005-0000-0000-0000EB230000}"/>
    <cellStyle name="Input 2 10 6 6" xfId="15028" xr:uid="{00000000-0005-0000-0000-0000EC230000}"/>
    <cellStyle name="Input 2 10 6 7" xfId="15031" xr:uid="{00000000-0005-0000-0000-0000ED230000}"/>
    <cellStyle name="Input 2 10 7" xfId="15036" xr:uid="{00000000-0005-0000-0000-0000EE230000}"/>
    <cellStyle name="Input 2 10 7 2" xfId="5629" xr:uid="{00000000-0005-0000-0000-0000EF230000}"/>
    <cellStyle name="Input 2 10 7 2 2" xfId="15039" xr:uid="{00000000-0005-0000-0000-0000F0230000}"/>
    <cellStyle name="Input 2 10 7 2 3" xfId="15040" xr:uid="{00000000-0005-0000-0000-0000F1230000}"/>
    <cellStyle name="Input 2 10 7 2 4" xfId="15041" xr:uid="{00000000-0005-0000-0000-0000F2230000}"/>
    <cellStyle name="Input 2 10 7 3" xfId="15043" xr:uid="{00000000-0005-0000-0000-0000F3230000}"/>
    <cellStyle name="Input 2 10 7 3 2" xfId="15044" xr:uid="{00000000-0005-0000-0000-0000F4230000}"/>
    <cellStyle name="Input 2 10 7 3 3" xfId="15045" xr:uid="{00000000-0005-0000-0000-0000F5230000}"/>
    <cellStyle name="Input 2 10 7 3 4" xfId="15046" xr:uid="{00000000-0005-0000-0000-0000F6230000}"/>
    <cellStyle name="Input 2 10 7 4" xfId="15048" xr:uid="{00000000-0005-0000-0000-0000F7230000}"/>
    <cellStyle name="Input 2 10 7 4 2" xfId="15049" xr:uid="{00000000-0005-0000-0000-0000F8230000}"/>
    <cellStyle name="Input 2 10 7 4 3" xfId="15050" xr:uid="{00000000-0005-0000-0000-0000F9230000}"/>
    <cellStyle name="Input 2 10 7 5" xfId="15051" xr:uid="{00000000-0005-0000-0000-0000FA230000}"/>
    <cellStyle name="Input 2 10 7 5 2" xfId="15053" xr:uid="{00000000-0005-0000-0000-0000FB230000}"/>
    <cellStyle name="Input 2 10 7 5 3" xfId="15054" xr:uid="{00000000-0005-0000-0000-0000FC230000}"/>
    <cellStyle name="Input 2 10 7 6" xfId="15055" xr:uid="{00000000-0005-0000-0000-0000FD230000}"/>
    <cellStyle name="Input 2 10 7 7" xfId="15058" xr:uid="{00000000-0005-0000-0000-0000FE230000}"/>
    <cellStyle name="Input 2 10 8" xfId="15062" xr:uid="{00000000-0005-0000-0000-0000FF230000}"/>
    <cellStyle name="Input 2 10 8 2" xfId="5646" xr:uid="{00000000-0005-0000-0000-000000240000}"/>
    <cellStyle name="Input 2 10 8 2 2" xfId="15064" xr:uid="{00000000-0005-0000-0000-000001240000}"/>
    <cellStyle name="Input 2 10 8 2 3" xfId="15065" xr:uid="{00000000-0005-0000-0000-000002240000}"/>
    <cellStyle name="Input 2 10 8 2 4" xfId="15066" xr:uid="{00000000-0005-0000-0000-000003240000}"/>
    <cellStyle name="Input 2 10 8 3" xfId="15069" xr:uid="{00000000-0005-0000-0000-000004240000}"/>
    <cellStyle name="Input 2 10 8 3 2" xfId="15071" xr:uid="{00000000-0005-0000-0000-000005240000}"/>
    <cellStyle name="Input 2 10 8 3 3" xfId="15073" xr:uid="{00000000-0005-0000-0000-000006240000}"/>
    <cellStyle name="Input 2 10 8 3 4" xfId="15075" xr:uid="{00000000-0005-0000-0000-000007240000}"/>
    <cellStyle name="Input 2 10 8 4" xfId="15078" xr:uid="{00000000-0005-0000-0000-000008240000}"/>
    <cellStyle name="Input 2 10 8 4 2" xfId="15080" xr:uid="{00000000-0005-0000-0000-000009240000}"/>
    <cellStyle name="Input 2 10 8 4 3" xfId="15081" xr:uid="{00000000-0005-0000-0000-00000A240000}"/>
    <cellStyle name="Input 2 10 8 5" xfId="15082" xr:uid="{00000000-0005-0000-0000-00000B240000}"/>
    <cellStyle name="Input 2 10 8 5 2" xfId="15084" xr:uid="{00000000-0005-0000-0000-00000C240000}"/>
    <cellStyle name="Input 2 10 8 5 3" xfId="15085" xr:uid="{00000000-0005-0000-0000-00000D240000}"/>
    <cellStyle name="Input 2 10 8 6" xfId="15086" xr:uid="{00000000-0005-0000-0000-00000E240000}"/>
    <cellStyle name="Input 2 10 8 7" xfId="15089" xr:uid="{00000000-0005-0000-0000-00000F240000}"/>
    <cellStyle name="Input 2 10 9" xfId="15093" xr:uid="{00000000-0005-0000-0000-000010240000}"/>
    <cellStyle name="Input 2 10 9 2" xfId="5653" xr:uid="{00000000-0005-0000-0000-000011240000}"/>
    <cellStyle name="Input 2 10 9 2 2" xfId="15094" xr:uid="{00000000-0005-0000-0000-000012240000}"/>
    <cellStyle name="Input 2 10 9 2 3" xfId="15095" xr:uid="{00000000-0005-0000-0000-000013240000}"/>
    <cellStyle name="Input 2 10 9 2 4" xfId="15096" xr:uid="{00000000-0005-0000-0000-000014240000}"/>
    <cellStyle name="Input 2 10 9 3" xfId="15098" xr:uid="{00000000-0005-0000-0000-000015240000}"/>
    <cellStyle name="Input 2 10 9 3 2" xfId="15100" xr:uid="{00000000-0005-0000-0000-000016240000}"/>
    <cellStyle name="Input 2 10 9 3 3" xfId="15101" xr:uid="{00000000-0005-0000-0000-000017240000}"/>
    <cellStyle name="Input 2 10 9 3 4" xfId="15102" xr:uid="{00000000-0005-0000-0000-000018240000}"/>
    <cellStyle name="Input 2 10 9 4" xfId="15104" xr:uid="{00000000-0005-0000-0000-000019240000}"/>
    <cellStyle name="Input 2 10 9 4 2" xfId="15105" xr:uid="{00000000-0005-0000-0000-00001A240000}"/>
    <cellStyle name="Input 2 10 9 4 3" xfId="15106" xr:uid="{00000000-0005-0000-0000-00001B240000}"/>
    <cellStyle name="Input 2 10 9 5" xfId="9533" xr:uid="{00000000-0005-0000-0000-00001C240000}"/>
    <cellStyle name="Input 2 10 9 5 2" xfId="9535" xr:uid="{00000000-0005-0000-0000-00001D240000}"/>
    <cellStyle name="Input 2 10 9 5 3" xfId="9544" xr:uid="{00000000-0005-0000-0000-00001E240000}"/>
    <cellStyle name="Input 2 10 9 6" xfId="9563" xr:uid="{00000000-0005-0000-0000-00001F240000}"/>
    <cellStyle name="Input 2 10 9 7" xfId="9572" xr:uid="{00000000-0005-0000-0000-000020240000}"/>
    <cellStyle name="Input 2 11" xfId="15107" xr:uid="{00000000-0005-0000-0000-000021240000}"/>
    <cellStyle name="Input 2 11 10" xfId="15109" xr:uid="{00000000-0005-0000-0000-000022240000}"/>
    <cellStyle name="Input 2 11 10 2" xfId="15111" xr:uid="{00000000-0005-0000-0000-000023240000}"/>
    <cellStyle name="Input 2 11 10 2 2" xfId="3246" xr:uid="{00000000-0005-0000-0000-000024240000}"/>
    <cellStyle name="Input 2 11 10 2 3" xfId="15114" xr:uid="{00000000-0005-0000-0000-000025240000}"/>
    <cellStyle name="Input 2 11 10 2 4" xfId="15115" xr:uid="{00000000-0005-0000-0000-000026240000}"/>
    <cellStyle name="Input 2 11 10 3" xfId="1952" xr:uid="{00000000-0005-0000-0000-000027240000}"/>
    <cellStyle name="Input 2 11 10 3 2" xfId="1956" xr:uid="{00000000-0005-0000-0000-000028240000}"/>
    <cellStyle name="Input 2 11 10 3 3" xfId="15117" xr:uid="{00000000-0005-0000-0000-000029240000}"/>
    <cellStyle name="Input 2 11 10 3 4" xfId="15118" xr:uid="{00000000-0005-0000-0000-00002A240000}"/>
    <cellStyle name="Input 2 11 10 4" xfId="15120" xr:uid="{00000000-0005-0000-0000-00002B240000}"/>
    <cellStyle name="Input 2 11 10 4 2" xfId="15121" xr:uid="{00000000-0005-0000-0000-00002C240000}"/>
    <cellStyle name="Input 2 11 10 4 3" xfId="15122" xr:uid="{00000000-0005-0000-0000-00002D240000}"/>
    <cellStyle name="Input 2 11 10 5" xfId="15123" xr:uid="{00000000-0005-0000-0000-00002E240000}"/>
    <cellStyle name="Input 2 11 10 5 2" xfId="15124" xr:uid="{00000000-0005-0000-0000-00002F240000}"/>
    <cellStyle name="Input 2 11 10 5 3" xfId="15125" xr:uid="{00000000-0005-0000-0000-000030240000}"/>
    <cellStyle name="Input 2 11 10 6" xfId="15126" xr:uid="{00000000-0005-0000-0000-000031240000}"/>
    <cellStyle name="Input 2 11 10 7" xfId="15127" xr:uid="{00000000-0005-0000-0000-000032240000}"/>
    <cellStyle name="Input 2 11 11" xfId="9935" xr:uid="{00000000-0005-0000-0000-000033240000}"/>
    <cellStyle name="Input 2 11 11 2" xfId="9938" xr:uid="{00000000-0005-0000-0000-000034240000}"/>
    <cellStyle name="Input 2 11 11 2 2" xfId="3318" xr:uid="{00000000-0005-0000-0000-000035240000}"/>
    <cellStyle name="Input 2 11 11 2 3" xfId="2836" xr:uid="{00000000-0005-0000-0000-000036240000}"/>
    <cellStyle name="Input 2 11 11 2 4" xfId="2842" xr:uid="{00000000-0005-0000-0000-000037240000}"/>
    <cellStyle name="Input 2 11 11 3" xfId="9942" xr:uid="{00000000-0005-0000-0000-000038240000}"/>
    <cellStyle name="Input 2 11 11 3 2" xfId="3328" xr:uid="{00000000-0005-0000-0000-000039240000}"/>
    <cellStyle name="Input 2 11 11 3 3" xfId="2853" xr:uid="{00000000-0005-0000-0000-00003A240000}"/>
    <cellStyle name="Input 2 11 11 3 4" xfId="2858" xr:uid="{00000000-0005-0000-0000-00003B240000}"/>
    <cellStyle name="Input 2 11 11 4" xfId="9945" xr:uid="{00000000-0005-0000-0000-00003C240000}"/>
    <cellStyle name="Input 2 11 11 4 2" xfId="15129" xr:uid="{00000000-0005-0000-0000-00003D240000}"/>
    <cellStyle name="Input 2 11 11 4 3" xfId="2869" xr:uid="{00000000-0005-0000-0000-00003E240000}"/>
    <cellStyle name="Input 2 11 11 5" xfId="15130" xr:uid="{00000000-0005-0000-0000-00003F240000}"/>
    <cellStyle name="Input 2 11 11 5 2" xfId="15131" xr:uid="{00000000-0005-0000-0000-000040240000}"/>
    <cellStyle name="Input 2 11 11 5 3" xfId="2879" xr:uid="{00000000-0005-0000-0000-000041240000}"/>
    <cellStyle name="Input 2 11 11 6" xfId="15132" xr:uid="{00000000-0005-0000-0000-000042240000}"/>
    <cellStyle name="Input 2 11 11 7" xfId="15133" xr:uid="{00000000-0005-0000-0000-000043240000}"/>
    <cellStyle name="Input 2 11 12" xfId="9947" xr:uid="{00000000-0005-0000-0000-000044240000}"/>
    <cellStyle name="Input 2 11 12 2" xfId="9950" xr:uid="{00000000-0005-0000-0000-000045240000}"/>
    <cellStyle name="Input 2 11 12 2 2" xfId="3382" xr:uid="{00000000-0005-0000-0000-000046240000}"/>
    <cellStyle name="Input 2 11 12 2 3" xfId="2898" xr:uid="{00000000-0005-0000-0000-000047240000}"/>
    <cellStyle name="Input 2 11 12 2 4" xfId="2902" xr:uid="{00000000-0005-0000-0000-000048240000}"/>
    <cellStyle name="Input 2 11 12 3" xfId="9952" xr:uid="{00000000-0005-0000-0000-000049240000}"/>
    <cellStyle name="Input 2 11 12 3 2" xfId="159" xr:uid="{00000000-0005-0000-0000-00004A240000}"/>
    <cellStyle name="Input 2 11 12 3 3" xfId="168" xr:uid="{00000000-0005-0000-0000-00004B240000}"/>
    <cellStyle name="Input 2 11 12 3 4" xfId="177" xr:uid="{00000000-0005-0000-0000-00004C240000}"/>
    <cellStyle name="Input 2 11 12 4" xfId="9954" xr:uid="{00000000-0005-0000-0000-00004D240000}"/>
    <cellStyle name="Input 2 11 12 4 2" xfId="15135" xr:uid="{00000000-0005-0000-0000-00004E240000}"/>
    <cellStyle name="Input 2 11 12 4 3" xfId="2915" xr:uid="{00000000-0005-0000-0000-00004F240000}"/>
    <cellStyle name="Input 2 11 12 5" xfId="15136" xr:uid="{00000000-0005-0000-0000-000050240000}"/>
    <cellStyle name="Input 2 11 12 5 2" xfId="15137" xr:uid="{00000000-0005-0000-0000-000051240000}"/>
    <cellStyle name="Input 2 11 12 5 3" xfId="2921" xr:uid="{00000000-0005-0000-0000-000052240000}"/>
    <cellStyle name="Input 2 11 12 6" xfId="15138" xr:uid="{00000000-0005-0000-0000-000053240000}"/>
    <cellStyle name="Input 2 11 12 7" xfId="15139" xr:uid="{00000000-0005-0000-0000-000054240000}"/>
    <cellStyle name="Input 2 11 13" xfId="9956" xr:uid="{00000000-0005-0000-0000-000055240000}"/>
    <cellStyle name="Input 2 11 13 2" xfId="9959" xr:uid="{00000000-0005-0000-0000-000056240000}"/>
    <cellStyle name="Input 2 11 13 3" xfId="9962" xr:uid="{00000000-0005-0000-0000-000057240000}"/>
    <cellStyle name="Input 2 11 13 4" xfId="15141" xr:uid="{00000000-0005-0000-0000-000058240000}"/>
    <cellStyle name="Input 2 11 14" xfId="9965" xr:uid="{00000000-0005-0000-0000-000059240000}"/>
    <cellStyle name="Input 2 11 14 2" xfId="9970" xr:uid="{00000000-0005-0000-0000-00005A240000}"/>
    <cellStyle name="Input 2 11 14 3" xfId="9974" xr:uid="{00000000-0005-0000-0000-00005B240000}"/>
    <cellStyle name="Input 2 11 14 4" xfId="15144" xr:uid="{00000000-0005-0000-0000-00005C240000}"/>
    <cellStyle name="Input 2 11 15" xfId="9978" xr:uid="{00000000-0005-0000-0000-00005D240000}"/>
    <cellStyle name="Input 2 11 15 2" xfId="15148" xr:uid="{00000000-0005-0000-0000-00005E240000}"/>
    <cellStyle name="Input 2 11 15 3" xfId="15152" xr:uid="{00000000-0005-0000-0000-00005F240000}"/>
    <cellStyle name="Input 2 11 16" xfId="9984" xr:uid="{00000000-0005-0000-0000-000060240000}"/>
    <cellStyle name="Input 2 11 16 2" xfId="14286" xr:uid="{00000000-0005-0000-0000-000061240000}"/>
    <cellStyle name="Input 2 11 16 3" xfId="14292" xr:uid="{00000000-0005-0000-0000-000062240000}"/>
    <cellStyle name="Input 2 11 17" xfId="9989" xr:uid="{00000000-0005-0000-0000-000063240000}"/>
    <cellStyle name="Input 2 11 17 2" xfId="15158" xr:uid="{00000000-0005-0000-0000-000064240000}"/>
    <cellStyle name="Input 2 11 17 2 2" xfId="15160" xr:uid="{00000000-0005-0000-0000-000065240000}"/>
    <cellStyle name="Input 2 11 18" xfId="1263" xr:uid="{00000000-0005-0000-0000-000066240000}"/>
    <cellStyle name="Input 2 11 19" xfId="5166" xr:uid="{00000000-0005-0000-0000-000067240000}"/>
    <cellStyle name="Input 2 11 2" xfId="15162" xr:uid="{00000000-0005-0000-0000-000068240000}"/>
    <cellStyle name="Input 2 11 2 10" xfId="11681" xr:uid="{00000000-0005-0000-0000-000069240000}"/>
    <cellStyle name="Input 2 11 2 10 2" xfId="15164" xr:uid="{00000000-0005-0000-0000-00006A240000}"/>
    <cellStyle name="Input 2 11 2 10 2 2" xfId="15165" xr:uid="{00000000-0005-0000-0000-00006B240000}"/>
    <cellStyle name="Input 2 11 2 10 2 3" xfId="15166" xr:uid="{00000000-0005-0000-0000-00006C240000}"/>
    <cellStyle name="Input 2 11 2 10 2 4" xfId="15169" xr:uid="{00000000-0005-0000-0000-00006D240000}"/>
    <cellStyle name="Input 2 11 2 10 3" xfId="15172" xr:uid="{00000000-0005-0000-0000-00006E240000}"/>
    <cellStyle name="Input 2 11 2 10 3 2" xfId="15173" xr:uid="{00000000-0005-0000-0000-00006F240000}"/>
    <cellStyle name="Input 2 11 2 10 3 3" xfId="15174" xr:uid="{00000000-0005-0000-0000-000070240000}"/>
    <cellStyle name="Input 2 11 2 10 3 4" xfId="15177" xr:uid="{00000000-0005-0000-0000-000071240000}"/>
    <cellStyle name="Input 2 11 2 10 4" xfId="15180" xr:uid="{00000000-0005-0000-0000-000072240000}"/>
    <cellStyle name="Input 2 11 2 10 4 2" xfId="15181" xr:uid="{00000000-0005-0000-0000-000073240000}"/>
    <cellStyle name="Input 2 11 2 10 4 3" xfId="15182" xr:uid="{00000000-0005-0000-0000-000074240000}"/>
    <cellStyle name="Input 2 11 2 10 5" xfId="15185" xr:uid="{00000000-0005-0000-0000-000075240000}"/>
    <cellStyle name="Input 2 11 2 10 5 2" xfId="15186" xr:uid="{00000000-0005-0000-0000-000076240000}"/>
    <cellStyle name="Input 2 11 2 10 5 3" xfId="15187" xr:uid="{00000000-0005-0000-0000-000077240000}"/>
    <cellStyle name="Input 2 11 2 10 6" xfId="8646" xr:uid="{00000000-0005-0000-0000-000078240000}"/>
    <cellStyle name="Input 2 11 2 10 7" xfId="8650" xr:uid="{00000000-0005-0000-0000-000079240000}"/>
    <cellStyle name="Input 2 11 2 11" xfId="15188" xr:uid="{00000000-0005-0000-0000-00007A240000}"/>
    <cellStyle name="Input 2 11 2 11 2" xfId="15191" xr:uid="{00000000-0005-0000-0000-00007B240000}"/>
    <cellStyle name="Input 2 11 2 11 3" xfId="15192" xr:uid="{00000000-0005-0000-0000-00007C240000}"/>
    <cellStyle name="Input 2 11 2 11 4" xfId="15193" xr:uid="{00000000-0005-0000-0000-00007D240000}"/>
    <cellStyle name="Input 2 11 2 12" xfId="15194" xr:uid="{00000000-0005-0000-0000-00007E240000}"/>
    <cellStyle name="Input 2 11 2 12 2" xfId="15196" xr:uid="{00000000-0005-0000-0000-00007F240000}"/>
    <cellStyle name="Input 2 11 2 12 3" xfId="15197" xr:uid="{00000000-0005-0000-0000-000080240000}"/>
    <cellStyle name="Input 2 11 2 12 4" xfId="15198" xr:uid="{00000000-0005-0000-0000-000081240000}"/>
    <cellStyle name="Input 2 11 2 13" xfId="15199" xr:uid="{00000000-0005-0000-0000-000082240000}"/>
    <cellStyle name="Input 2 11 2 13 2" xfId="15200" xr:uid="{00000000-0005-0000-0000-000083240000}"/>
    <cellStyle name="Input 2 11 2 13 3" xfId="15201" xr:uid="{00000000-0005-0000-0000-000084240000}"/>
    <cellStyle name="Input 2 11 2 14" xfId="15202" xr:uid="{00000000-0005-0000-0000-000085240000}"/>
    <cellStyle name="Input 2 11 2 14 2" xfId="15203" xr:uid="{00000000-0005-0000-0000-000086240000}"/>
    <cellStyle name="Input 2 11 2 14 3" xfId="15204" xr:uid="{00000000-0005-0000-0000-000087240000}"/>
    <cellStyle name="Input 2 11 2 15" xfId="15205" xr:uid="{00000000-0005-0000-0000-000088240000}"/>
    <cellStyle name="Input 2 11 2 16" xfId="15206" xr:uid="{00000000-0005-0000-0000-000089240000}"/>
    <cellStyle name="Input 2 11 2 2" xfId="15208" xr:uid="{00000000-0005-0000-0000-00008A240000}"/>
    <cellStyle name="Input 2 11 2 2 2" xfId="2186" xr:uid="{00000000-0005-0000-0000-00008B240000}"/>
    <cellStyle name="Input 2 11 2 2 2 2" xfId="15210" xr:uid="{00000000-0005-0000-0000-00008C240000}"/>
    <cellStyle name="Input 2 11 2 2 2 3" xfId="15212" xr:uid="{00000000-0005-0000-0000-00008D240000}"/>
    <cellStyle name="Input 2 11 2 2 2 4" xfId="15214" xr:uid="{00000000-0005-0000-0000-00008E240000}"/>
    <cellStyle name="Input 2 11 2 2 3" xfId="2189" xr:uid="{00000000-0005-0000-0000-00008F240000}"/>
    <cellStyle name="Input 2 11 2 2 3 2" xfId="15216" xr:uid="{00000000-0005-0000-0000-000090240000}"/>
    <cellStyle name="Input 2 11 2 2 3 3" xfId="15218" xr:uid="{00000000-0005-0000-0000-000091240000}"/>
    <cellStyle name="Input 2 11 2 2 3 4" xfId="15220" xr:uid="{00000000-0005-0000-0000-000092240000}"/>
    <cellStyle name="Input 2 11 2 2 4" xfId="15222" xr:uid="{00000000-0005-0000-0000-000093240000}"/>
    <cellStyle name="Input 2 11 2 2 4 2" xfId="15225" xr:uid="{00000000-0005-0000-0000-000094240000}"/>
    <cellStyle name="Input 2 11 2 2 4 3" xfId="15227" xr:uid="{00000000-0005-0000-0000-000095240000}"/>
    <cellStyle name="Input 2 11 2 2 5" xfId="15228" xr:uid="{00000000-0005-0000-0000-000096240000}"/>
    <cellStyle name="Input 2 11 2 2 5 2" xfId="15232" xr:uid="{00000000-0005-0000-0000-000097240000}"/>
    <cellStyle name="Input 2 11 2 2 5 3" xfId="15233" xr:uid="{00000000-0005-0000-0000-000098240000}"/>
    <cellStyle name="Input 2 11 2 2 6" xfId="15235" xr:uid="{00000000-0005-0000-0000-000099240000}"/>
    <cellStyle name="Input 2 11 2 2 7" xfId="15237" xr:uid="{00000000-0005-0000-0000-00009A240000}"/>
    <cellStyle name="Input 2 11 2 3" xfId="15238" xr:uid="{00000000-0005-0000-0000-00009B240000}"/>
    <cellStyle name="Input 2 11 2 3 2" xfId="2195" xr:uid="{00000000-0005-0000-0000-00009C240000}"/>
    <cellStyle name="Input 2 11 2 3 2 2" xfId="15240" xr:uid="{00000000-0005-0000-0000-00009D240000}"/>
    <cellStyle name="Input 2 11 2 3 2 3" xfId="15241" xr:uid="{00000000-0005-0000-0000-00009E240000}"/>
    <cellStyle name="Input 2 11 2 3 2 4" xfId="8917" xr:uid="{00000000-0005-0000-0000-00009F240000}"/>
    <cellStyle name="Input 2 11 2 3 3" xfId="2197" xr:uid="{00000000-0005-0000-0000-0000A0240000}"/>
    <cellStyle name="Input 2 11 2 3 3 2" xfId="15242" xr:uid="{00000000-0005-0000-0000-0000A1240000}"/>
    <cellStyle name="Input 2 11 2 3 3 3" xfId="15244" xr:uid="{00000000-0005-0000-0000-0000A2240000}"/>
    <cellStyle name="Input 2 11 2 3 3 4" xfId="15246" xr:uid="{00000000-0005-0000-0000-0000A3240000}"/>
    <cellStyle name="Input 2 11 2 3 4" xfId="15249" xr:uid="{00000000-0005-0000-0000-0000A4240000}"/>
    <cellStyle name="Input 2 11 2 3 4 2" xfId="15251" xr:uid="{00000000-0005-0000-0000-0000A5240000}"/>
    <cellStyle name="Input 2 11 2 3 4 3" xfId="15253" xr:uid="{00000000-0005-0000-0000-0000A6240000}"/>
    <cellStyle name="Input 2 11 2 3 5" xfId="15255" xr:uid="{00000000-0005-0000-0000-0000A7240000}"/>
    <cellStyle name="Input 2 11 2 3 5 2" xfId="15257" xr:uid="{00000000-0005-0000-0000-0000A8240000}"/>
    <cellStyle name="Input 2 11 2 3 5 3" xfId="15259" xr:uid="{00000000-0005-0000-0000-0000A9240000}"/>
    <cellStyle name="Input 2 11 2 3 6" xfId="15260" xr:uid="{00000000-0005-0000-0000-0000AA240000}"/>
    <cellStyle name="Input 2 11 2 3 7" xfId="15262" xr:uid="{00000000-0005-0000-0000-0000AB240000}"/>
    <cellStyle name="Input 2 11 2 4" xfId="15264" xr:uid="{00000000-0005-0000-0000-0000AC240000}"/>
    <cellStyle name="Input 2 11 2 4 2" xfId="2200" xr:uid="{00000000-0005-0000-0000-0000AD240000}"/>
    <cellStyle name="Input 2 11 2 4 2 2" xfId="15266" xr:uid="{00000000-0005-0000-0000-0000AE240000}"/>
    <cellStyle name="Input 2 11 2 4 2 3" xfId="15267" xr:uid="{00000000-0005-0000-0000-0000AF240000}"/>
    <cellStyle name="Input 2 11 2 4 2 4" xfId="15268" xr:uid="{00000000-0005-0000-0000-0000B0240000}"/>
    <cellStyle name="Input 2 11 2 4 3" xfId="2202" xr:uid="{00000000-0005-0000-0000-0000B1240000}"/>
    <cellStyle name="Input 2 11 2 4 3 2" xfId="15270" xr:uid="{00000000-0005-0000-0000-0000B2240000}"/>
    <cellStyle name="Input 2 11 2 4 3 3" xfId="15272" xr:uid="{00000000-0005-0000-0000-0000B3240000}"/>
    <cellStyle name="Input 2 11 2 4 3 4" xfId="15274" xr:uid="{00000000-0005-0000-0000-0000B4240000}"/>
    <cellStyle name="Input 2 11 2 4 4" xfId="15277" xr:uid="{00000000-0005-0000-0000-0000B5240000}"/>
    <cellStyle name="Input 2 11 2 4 4 2" xfId="15278" xr:uid="{00000000-0005-0000-0000-0000B6240000}"/>
    <cellStyle name="Input 2 11 2 4 4 3" xfId="15280" xr:uid="{00000000-0005-0000-0000-0000B7240000}"/>
    <cellStyle name="Input 2 11 2 4 5" xfId="15282" xr:uid="{00000000-0005-0000-0000-0000B8240000}"/>
    <cellStyle name="Input 2 11 2 4 5 2" xfId="15283" xr:uid="{00000000-0005-0000-0000-0000B9240000}"/>
    <cellStyle name="Input 2 11 2 4 5 3" xfId="15285" xr:uid="{00000000-0005-0000-0000-0000BA240000}"/>
    <cellStyle name="Input 2 11 2 4 6" xfId="15286" xr:uid="{00000000-0005-0000-0000-0000BB240000}"/>
    <cellStyle name="Input 2 11 2 4 7" xfId="15288" xr:uid="{00000000-0005-0000-0000-0000BC240000}"/>
    <cellStyle name="Input 2 11 2 5" xfId="15290" xr:uid="{00000000-0005-0000-0000-0000BD240000}"/>
    <cellStyle name="Input 2 11 2 5 2" xfId="2205" xr:uid="{00000000-0005-0000-0000-0000BE240000}"/>
    <cellStyle name="Input 2 11 2 5 2 2" xfId="15292" xr:uid="{00000000-0005-0000-0000-0000BF240000}"/>
    <cellStyle name="Input 2 11 2 5 2 3" xfId="15293" xr:uid="{00000000-0005-0000-0000-0000C0240000}"/>
    <cellStyle name="Input 2 11 2 5 2 4" xfId="15294" xr:uid="{00000000-0005-0000-0000-0000C1240000}"/>
    <cellStyle name="Input 2 11 2 5 3" xfId="2207" xr:uid="{00000000-0005-0000-0000-0000C2240000}"/>
    <cellStyle name="Input 2 11 2 5 3 2" xfId="15296" xr:uid="{00000000-0005-0000-0000-0000C3240000}"/>
    <cellStyle name="Input 2 11 2 5 3 3" xfId="15298" xr:uid="{00000000-0005-0000-0000-0000C4240000}"/>
    <cellStyle name="Input 2 11 2 5 3 4" xfId="15300" xr:uid="{00000000-0005-0000-0000-0000C5240000}"/>
    <cellStyle name="Input 2 11 2 5 4" xfId="15303" xr:uid="{00000000-0005-0000-0000-0000C6240000}"/>
    <cellStyle name="Input 2 11 2 5 4 2" xfId="15305" xr:uid="{00000000-0005-0000-0000-0000C7240000}"/>
    <cellStyle name="Input 2 11 2 5 4 3" xfId="15307" xr:uid="{00000000-0005-0000-0000-0000C8240000}"/>
    <cellStyle name="Input 2 11 2 5 5" xfId="15309" xr:uid="{00000000-0005-0000-0000-0000C9240000}"/>
    <cellStyle name="Input 2 11 2 5 5 2" xfId="8246" xr:uid="{00000000-0005-0000-0000-0000CA240000}"/>
    <cellStyle name="Input 2 11 2 5 5 3" xfId="8256" xr:uid="{00000000-0005-0000-0000-0000CB240000}"/>
    <cellStyle name="Input 2 11 2 5 6" xfId="15310" xr:uid="{00000000-0005-0000-0000-0000CC240000}"/>
    <cellStyle name="Input 2 11 2 5 7" xfId="15312" xr:uid="{00000000-0005-0000-0000-0000CD240000}"/>
    <cellStyle name="Input 2 11 2 6" xfId="15314" xr:uid="{00000000-0005-0000-0000-0000CE240000}"/>
    <cellStyle name="Input 2 11 2 6 2" xfId="15316" xr:uid="{00000000-0005-0000-0000-0000CF240000}"/>
    <cellStyle name="Input 2 11 2 6 2 2" xfId="15317" xr:uid="{00000000-0005-0000-0000-0000D0240000}"/>
    <cellStyle name="Input 2 11 2 6 2 3" xfId="15318" xr:uid="{00000000-0005-0000-0000-0000D1240000}"/>
    <cellStyle name="Input 2 11 2 6 2 4" xfId="15319" xr:uid="{00000000-0005-0000-0000-0000D2240000}"/>
    <cellStyle name="Input 2 11 2 6 3" xfId="15321" xr:uid="{00000000-0005-0000-0000-0000D3240000}"/>
    <cellStyle name="Input 2 11 2 6 3 2" xfId="15322" xr:uid="{00000000-0005-0000-0000-0000D4240000}"/>
    <cellStyle name="Input 2 11 2 6 3 3" xfId="15323" xr:uid="{00000000-0005-0000-0000-0000D5240000}"/>
    <cellStyle name="Input 2 11 2 6 3 4" xfId="2528" xr:uid="{00000000-0005-0000-0000-0000D6240000}"/>
    <cellStyle name="Input 2 11 2 6 4" xfId="15324" xr:uid="{00000000-0005-0000-0000-0000D7240000}"/>
    <cellStyle name="Input 2 11 2 6 4 2" xfId="15325" xr:uid="{00000000-0005-0000-0000-0000D8240000}"/>
    <cellStyle name="Input 2 11 2 6 4 3" xfId="15326" xr:uid="{00000000-0005-0000-0000-0000D9240000}"/>
    <cellStyle name="Input 2 11 2 6 5" xfId="15327" xr:uid="{00000000-0005-0000-0000-0000DA240000}"/>
    <cellStyle name="Input 2 11 2 6 5 2" xfId="15328" xr:uid="{00000000-0005-0000-0000-0000DB240000}"/>
    <cellStyle name="Input 2 11 2 6 5 3" xfId="15329" xr:uid="{00000000-0005-0000-0000-0000DC240000}"/>
    <cellStyle name="Input 2 11 2 6 6" xfId="15330" xr:uid="{00000000-0005-0000-0000-0000DD240000}"/>
    <cellStyle name="Input 2 11 2 6 7" xfId="15332" xr:uid="{00000000-0005-0000-0000-0000DE240000}"/>
    <cellStyle name="Input 2 11 2 7" xfId="9911" xr:uid="{00000000-0005-0000-0000-0000DF240000}"/>
    <cellStyle name="Input 2 11 2 7 2" xfId="15334" xr:uid="{00000000-0005-0000-0000-0000E0240000}"/>
    <cellStyle name="Input 2 11 2 7 2 2" xfId="15335" xr:uid="{00000000-0005-0000-0000-0000E1240000}"/>
    <cellStyle name="Input 2 11 2 7 2 3" xfId="15336" xr:uid="{00000000-0005-0000-0000-0000E2240000}"/>
    <cellStyle name="Input 2 11 2 7 2 4" xfId="15337" xr:uid="{00000000-0005-0000-0000-0000E3240000}"/>
    <cellStyle name="Input 2 11 2 7 3" xfId="15339" xr:uid="{00000000-0005-0000-0000-0000E4240000}"/>
    <cellStyle name="Input 2 11 2 7 3 2" xfId="15340" xr:uid="{00000000-0005-0000-0000-0000E5240000}"/>
    <cellStyle name="Input 2 11 2 7 3 3" xfId="15341" xr:uid="{00000000-0005-0000-0000-0000E6240000}"/>
    <cellStyle name="Input 2 11 2 7 3 4" xfId="15342" xr:uid="{00000000-0005-0000-0000-0000E7240000}"/>
    <cellStyle name="Input 2 11 2 7 4" xfId="15344" xr:uid="{00000000-0005-0000-0000-0000E8240000}"/>
    <cellStyle name="Input 2 11 2 7 4 2" xfId="15345" xr:uid="{00000000-0005-0000-0000-0000E9240000}"/>
    <cellStyle name="Input 2 11 2 7 4 3" xfId="15346" xr:uid="{00000000-0005-0000-0000-0000EA240000}"/>
    <cellStyle name="Input 2 11 2 7 5" xfId="15347" xr:uid="{00000000-0005-0000-0000-0000EB240000}"/>
    <cellStyle name="Input 2 11 2 7 5 2" xfId="15348" xr:uid="{00000000-0005-0000-0000-0000EC240000}"/>
    <cellStyle name="Input 2 11 2 7 5 3" xfId="15349" xr:uid="{00000000-0005-0000-0000-0000ED240000}"/>
    <cellStyle name="Input 2 11 2 7 6" xfId="15350" xr:uid="{00000000-0005-0000-0000-0000EE240000}"/>
    <cellStyle name="Input 2 11 2 7 7" xfId="15351" xr:uid="{00000000-0005-0000-0000-0000EF240000}"/>
    <cellStyle name="Input 2 11 2 8" xfId="9913" xr:uid="{00000000-0005-0000-0000-0000F0240000}"/>
    <cellStyle name="Input 2 11 2 8 2" xfId="250" xr:uid="{00000000-0005-0000-0000-0000F1240000}"/>
    <cellStyle name="Input 2 11 2 8 2 2" xfId="15352" xr:uid="{00000000-0005-0000-0000-0000F2240000}"/>
    <cellStyle name="Input 2 11 2 8 2 3" xfId="6817" xr:uid="{00000000-0005-0000-0000-0000F3240000}"/>
    <cellStyle name="Input 2 11 2 8 2 4" xfId="10893" xr:uid="{00000000-0005-0000-0000-0000F4240000}"/>
    <cellStyle name="Input 2 11 2 8 3" xfId="1487" xr:uid="{00000000-0005-0000-0000-0000F5240000}"/>
    <cellStyle name="Input 2 11 2 8 3 2" xfId="15353" xr:uid="{00000000-0005-0000-0000-0000F6240000}"/>
    <cellStyle name="Input 2 11 2 8 3 3" xfId="15354" xr:uid="{00000000-0005-0000-0000-0000F7240000}"/>
    <cellStyle name="Input 2 11 2 8 3 4" xfId="15355" xr:uid="{00000000-0005-0000-0000-0000F8240000}"/>
    <cellStyle name="Input 2 11 2 8 4" xfId="1392" xr:uid="{00000000-0005-0000-0000-0000F9240000}"/>
    <cellStyle name="Input 2 11 2 8 4 2" xfId="15357" xr:uid="{00000000-0005-0000-0000-0000FA240000}"/>
    <cellStyle name="Input 2 11 2 8 4 3" xfId="15358" xr:uid="{00000000-0005-0000-0000-0000FB240000}"/>
    <cellStyle name="Input 2 11 2 8 5" xfId="15359" xr:uid="{00000000-0005-0000-0000-0000FC240000}"/>
    <cellStyle name="Input 2 11 2 8 5 2" xfId="15360" xr:uid="{00000000-0005-0000-0000-0000FD240000}"/>
    <cellStyle name="Input 2 11 2 8 5 3" xfId="15361" xr:uid="{00000000-0005-0000-0000-0000FE240000}"/>
    <cellStyle name="Input 2 11 2 8 6" xfId="15362" xr:uid="{00000000-0005-0000-0000-0000FF240000}"/>
    <cellStyle name="Input 2 11 2 8 7" xfId="15363" xr:uid="{00000000-0005-0000-0000-000000250000}"/>
    <cellStyle name="Input 2 11 2 9" xfId="15364" xr:uid="{00000000-0005-0000-0000-000001250000}"/>
    <cellStyle name="Input 2 11 2 9 2" xfId="15366" xr:uid="{00000000-0005-0000-0000-000002250000}"/>
    <cellStyle name="Input 2 11 2 9 2 2" xfId="15367" xr:uid="{00000000-0005-0000-0000-000003250000}"/>
    <cellStyle name="Input 2 11 2 9 2 3" xfId="15368" xr:uid="{00000000-0005-0000-0000-000004250000}"/>
    <cellStyle name="Input 2 11 2 9 2 4" xfId="15369" xr:uid="{00000000-0005-0000-0000-000005250000}"/>
    <cellStyle name="Input 2 11 2 9 3" xfId="15371" xr:uid="{00000000-0005-0000-0000-000006250000}"/>
    <cellStyle name="Input 2 11 2 9 3 2" xfId="15372" xr:uid="{00000000-0005-0000-0000-000007250000}"/>
    <cellStyle name="Input 2 11 2 9 3 3" xfId="15373" xr:uid="{00000000-0005-0000-0000-000008250000}"/>
    <cellStyle name="Input 2 11 2 9 3 4" xfId="15374" xr:uid="{00000000-0005-0000-0000-000009250000}"/>
    <cellStyle name="Input 2 11 2 9 4" xfId="15376" xr:uid="{00000000-0005-0000-0000-00000A250000}"/>
    <cellStyle name="Input 2 11 2 9 4 2" xfId="15377" xr:uid="{00000000-0005-0000-0000-00000B250000}"/>
    <cellStyle name="Input 2 11 2 9 4 3" xfId="15378" xr:uid="{00000000-0005-0000-0000-00000C250000}"/>
    <cellStyle name="Input 2 11 2 9 5" xfId="15379" xr:uid="{00000000-0005-0000-0000-00000D250000}"/>
    <cellStyle name="Input 2 11 2 9 5 2" xfId="15380" xr:uid="{00000000-0005-0000-0000-00000E250000}"/>
    <cellStyle name="Input 2 11 2 9 5 3" xfId="15381" xr:uid="{00000000-0005-0000-0000-00000F250000}"/>
    <cellStyle name="Input 2 11 2 9 6" xfId="15382" xr:uid="{00000000-0005-0000-0000-000010250000}"/>
    <cellStyle name="Input 2 11 2 9 7" xfId="15383" xr:uid="{00000000-0005-0000-0000-000011250000}"/>
    <cellStyle name="Input 2 11 20" xfId="9979" xr:uid="{00000000-0005-0000-0000-000012250000}"/>
    <cellStyle name="Input 2 11 3" xfId="7433" xr:uid="{00000000-0005-0000-0000-000013250000}"/>
    <cellStyle name="Input 2 11 3 10" xfId="10691" xr:uid="{00000000-0005-0000-0000-000014250000}"/>
    <cellStyle name="Input 2 11 3 10 2" xfId="10695" xr:uid="{00000000-0005-0000-0000-000015250000}"/>
    <cellStyle name="Input 2 11 3 10 2 2" xfId="15386" xr:uid="{00000000-0005-0000-0000-000016250000}"/>
    <cellStyle name="Input 2 11 3 10 2 3" xfId="15387" xr:uid="{00000000-0005-0000-0000-000017250000}"/>
    <cellStyle name="Input 2 11 3 10 2 4" xfId="15388" xr:uid="{00000000-0005-0000-0000-000018250000}"/>
    <cellStyle name="Input 2 11 3 10 3" xfId="10698" xr:uid="{00000000-0005-0000-0000-000019250000}"/>
    <cellStyle name="Input 2 11 3 10 3 2" xfId="9901" xr:uid="{00000000-0005-0000-0000-00001A250000}"/>
    <cellStyle name="Input 2 11 3 10 3 3" xfId="15389" xr:uid="{00000000-0005-0000-0000-00001B250000}"/>
    <cellStyle name="Input 2 11 3 10 3 4" xfId="15390" xr:uid="{00000000-0005-0000-0000-00001C250000}"/>
    <cellStyle name="Input 2 11 3 10 4" xfId="10701" xr:uid="{00000000-0005-0000-0000-00001D250000}"/>
    <cellStyle name="Input 2 11 3 10 4 2" xfId="9907" xr:uid="{00000000-0005-0000-0000-00001E250000}"/>
    <cellStyle name="Input 2 11 3 10 4 3" xfId="15391" xr:uid="{00000000-0005-0000-0000-00001F250000}"/>
    <cellStyle name="Input 2 11 3 10 5" xfId="15392" xr:uid="{00000000-0005-0000-0000-000020250000}"/>
    <cellStyle name="Input 2 11 3 10 5 2" xfId="15365" xr:uid="{00000000-0005-0000-0000-000021250000}"/>
    <cellStyle name="Input 2 11 3 10 5 3" xfId="15393" xr:uid="{00000000-0005-0000-0000-000022250000}"/>
    <cellStyle name="Input 2 11 3 10 6" xfId="15394" xr:uid="{00000000-0005-0000-0000-000023250000}"/>
    <cellStyle name="Input 2 11 3 10 7" xfId="15395" xr:uid="{00000000-0005-0000-0000-000024250000}"/>
    <cellStyle name="Input 2 11 3 11" xfId="10703" xr:uid="{00000000-0005-0000-0000-000025250000}"/>
    <cellStyle name="Input 2 11 3 11 2" xfId="10707" xr:uid="{00000000-0005-0000-0000-000026250000}"/>
    <cellStyle name="Input 2 11 3 11 3" xfId="10709" xr:uid="{00000000-0005-0000-0000-000027250000}"/>
    <cellStyle name="Input 2 11 3 11 4" xfId="10711" xr:uid="{00000000-0005-0000-0000-000028250000}"/>
    <cellStyle name="Input 2 11 3 12" xfId="10713" xr:uid="{00000000-0005-0000-0000-000029250000}"/>
    <cellStyle name="Input 2 11 3 12 2" xfId="10716" xr:uid="{00000000-0005-0000-0000-00002A250000}"/>
    <cellStyle name="Input 2 11 3 12 3" xfId="10718" xr:uid="{00000000-0005-0000-0000-00002B250000}"/>
    <cellStyle name="Input 2 11 3 12 4" xfId="15396" xr:uid="{00000000-0005-0000-0000-00002C250000}"/>
    <cellStyle name="Input 2 11 3 13" xfId="10720" xr:uid="{00000000-0005-0000-0000-00002D250000}"/>
    <cellStyle name="Input 2 11 3 13 2" xfId="10722" xr:uid="{00000000-0005-0000-0000-00002E250000}"/>
    <cellStyle name="Input 2 11 3 13 3" xfId="10724" xr:uid="{00000000-0005-0000-0000-00002F250000}"/>
    <cellStyle name="Input 2 11 3 14" xfId="10726" xr:uid="{00000000-0005-0000-0000-000030250000}"/>
    <cellStyle name="Input 2 11 3 14 2" xfId="15397" xr:uid="{00000000-0005-0000-0000-000031250000}"/>
    <cellStyle name="Input 2 11 3 14 3" xfId="15399" xr:uid="{00000000-0005-0000-0000-000032250000}"/>
    <cellStyle name="Input 2 11 3 15" xfId="10728" xr:uid="{00000000-0005-0000-0000-000033250000}"/>
    <cellStyle name="Input 2 11 3 16" xfId="10223" xr:uid="{00000000-0005-0000-0000-000034250000}"/>
    <cellStyle name="Input 2 11 3 2" xfId="15401" xr:uid="{00000000-0005-0000-0000-000035250000}"/>
    <cellStyle name="Input 2 11 3 2 2" xfId="15405" xr:uid="{00000000-0005-0000-0000-000036250000}"/>
    <cellStyle name="Input 2 11 3 2 2 2" xfId="12829" xr:uid="{00000000-0005-0000-0000-000037250000}"/>
    <cellStyle name="Input 2 11 3 2 2 3" xfId="12831" xr:uid="{00000000-0005-0000-0000-000038250000}"/>
    <cellStyle name="Input 2 11 3 2 2 4" xfId="286" xr:uid="{00000000-0005-0000-0000-000039250000}"/>
    <cellStyle name="Input 2 11 3 2 3" xfId="15407" xr:uid="{00000000-0005-0000-0000-00003A250000}"/>
    <cellStyle name="Input 2 11 3 2 3 2" xfId="12834" xr:uid="{00000000-0005-0000-0000-00003B250000}"/>
    <cellStyle name="Input 2 11 3 2 3 3" xfId="15409" xr:uid="{00000000-0005-0000-0000-00003C250000}"/>
    <cellStyle name="Input 2 11 3 2 3 4" xfId="15410" xr:uid="{00000000-0005-0000-0000-00003D250000}"/>
    <cellStyle name="Input 2 11 3 2 4" xfId="15412" xr:uid="{00000000-0005-0000-0000-00003E250000}"/>
    <cellStyle name="Input 2 11 3 2 4 2" xfId="12837" xr:uid="{00000000-0005-0000-0000-00003F250000}"/>
    <cellStyle name="Input 2 11 3 2 4 3" xfId="15415" xr:uid="{00000000-0005-0000-0000-000040250000}"/>
    <cellStyle name="Input 2 11 3 2 5" xfId="15416" xr:uid="{00000000-0005-0000-0000-000041250000}"/>
    <cellStyle name="Input 2 11 3 2 5 2" xfId="15418" xr:uid="{00000000-0005-0000-0000-000042250000}"/>
    <cellStyle name="Input 2 11 3 2 5 3" xfId="15419" xr:uid="{00000000-0005-0000-0000-000043250000}"/>
    <cellStyle name="Input 2 11 3 2 6" xfId="15420" xr:uid="{00000000-0005-0000-0000-000044250000}"/>
    <cellStyle name="Input 2 11 3 2 7" xfId="15421" xr:uid="{00000000-0005-0000-0000-000045250000}"/>
    <cellStyle name="Input 2 11 3 3" xfId="15422" xr:uid="{00000000-0005-0000-0000-000046250000}"/>
    <cellStyle name="Input 2 11 3 3 2" xfId="15426" xr:uid="{00000000-0005-0000-0000-000047250000}"/>
    <cellStyle name="Input 2 11 3 3 2 2" xfId="15429" xr:uid="{00000000-0005-0000-0000-000048250000}"/>
    <cellStyle name="Input 2 11 3 3 2 3" xfId="15430" xr:uid="{00000000-0005-0000-0000-000049250000}"/>
    <cellStyle name="Input 2 11 3 3 2 4" xfId="8940" xr:uid="{00000000-0005-0000-0000-00004A250000}"/>
    <cellStyle name="Input 2 11 3 3 3" xfId="15431" xr:uid="{00000000-0005-0000-0000-00004B250000}"/>
    <cellStyle name="Input 2 11 3 3 3 2" xfId="15433" xr:uid="{00000000-0005-0000-0000-00004C250000}"/>
    <cellStyle name="Input 2 11 3 3 3 3" xfId="15435" xr:uid="{00000000-0005-0000-0000-00004D250000}"/>
    <cellStyle name="Input 2 11 3 3 3 4" xfId="15436" xr:uid="{00000000-0005-0000-0000-00004E250000}"/>
    <cellStyle name="Input 2 11 3 3 4" xfId="15438" xr:uid="{00000000-0005-0000-0000-00004F250000}"/>
    <cellStyle name="Input 2 11 3 3 4 2" xfId="13726" xr:uid="{00000000-0005-0000-0000-000050250000}"/>
    <cellStyle name="Input 2 11 3 3 4 3" xfId="15441" xr:uid="{00000000-0005-0000-0000-000051250000}"/>
    <cellStyle name="Input 2 11 3 3 5" xfId="15442" xr:uid="{00000000-0005-0000-0000-000052250000}"/>
    <cellStyle name="Input 2 11 3 3 5 2" xfId="13731" xr:uid="{00000000-0005-0000-0000-000053250000}"/>
    <cellStyle name="Input 2 11 3 3 5 3" xfId="15444" xr:uid="{00000000-0005-0000-0000-000054250000}"/>
    <cellStyle name="Input 2 11 3 3 6" xfId="15445" xr:uid="{00000000-0005-0000-0000-000055250000}"/>
    <cellStyle name="Input 2 11 3 3 7" xfId="15447" xr:uid="{00000000-0005-0000-0000-000056250000}"/>
    <cellStyle name="Input 2 11 3 4" xfId="15449" xr:uid="{00000000-0005-0000-0000-000057250000}"/>
    <cellStyle name="Input 2 11 3 4 2" xfId="15452" xr:uid="{00000000-0005-0000-0000-000058250000}"/>
    <cellStyle name="Input 2 11 3 4 2 2" xfId="15454" xr:uid="{00000000-0005-0000-0000-000059250000}"/>
    <cellStyle name="Input 2 11 3 4 2 3" xfId="15455" xr:uid="{00000000-0005-0000-0000-00005A250000}"/>
    <cellStyle name="Input 2 11 3 4 2 4" xfId="15456" xr:uid="{00000000-0005-0000-0000-00005B250000}"/>
    <cellStyle name="Input 2 11 3 4 3" xfId="15458" xr:uid="{00000000-0005-0000-0000-00005C250000}"/>
    <cellStyle name="Input 2 11 3 4 3 2" xfId="15460" xr:uid="{00000000-0005-0000-0000-00005D250000}"/>
    <cellStyle name="Input 2 11 3 4 3 3" xfId="15463" xr:uid="{00000000-0005-0000-0000-00005E250000}"/>
    <cellStyle name="Input 2 11 3 4 3 4" xfId="15465" xr:uid="{00000000-0005-0000-0000-00005F250000}"/>
    <cellStyle name="Input 2 11 3 4 4" xfId="2364" xr:uid="{00000000-0005-0000-0000-000060250000}"/>
    <cellStyle name="Input 2 11 3 4 4 2" xfId="15467" xr:uid="{00000000-0005-0000-0000-000061250000}"/>
    <cellStyle name="Input 2 11 3 4 4 3" xfId="15468" xr:uid="{00000000-0005-0000-0000-000062250000}"/>
    <cellStyle name="Input 2 11 3 4 5" xfId="15469" xr:uid="{00000000-0005-0000-0000-000063250000}"/>
    <cellStyle name="Input 2 11 3 4 5 2" xfId="15470" xr:uid="{00000000-0005-0000-0000-000064250000}"/>
    <cellStyle name="Input 2 11 3 4 5 3" xfId="15471" xr:uid="{00000000-0005-0000-0000-000065250000}"/>
    <cellStyle name="Input 2 11 3 4 6" xfId="15472" xr:uid="{00000000-0005-0000-0000-000066250000}"/>
    <cellStyle name="Input 2 11 3 4 7" xfId="15474" xr:uid="{00000000-0005-0000-0000-000067250000}"/>
    <cellStyle name="Input 2 11 3 5" xfId="15476" xr:uid="{00000000-0005-0000-0000-000068250000}"/>
    <cellStyle name="Input 2 11 3 5 2" xfId="15478" xr:uid="{00000000-0005-0000-0000-000069250000}"/>
    <cellStyle name="Input 2 11 3 5 2 2" xfId="15480" xr:uid="{00000000-0005-0000-0000-00006A250000}"/>
    <cellStyle name="Input 2 11 3 5 2 3" xfId="15481" xr:uid="{00000000-0005-0000-0000-00006B250000}"/>
    <cellStyle name="Input 2 11 3 5 2 4" xfId="15483" xr:uid="{00000000-0005-0000-0000-00006C250000}"/>
    <cellStyle name="Input 2 11 3 5 3" xfId="15485" xr:uid="{00000000-0005-0000-0000-00006D250000}"/>
    <cellStyle name="Input 2 11 3 5 3 2" xfId="5359" xr:uid="{00000000-0005-0000-0000-00006E250000}"/>
    <cellStyle name="Input 2 11 3 5 3 3" xfId="5369" xr:uid="{00000000-0005-0000-0000-00006F250000}"/>
    <cellStyle name="Input 2 11 3 5 3 4" xfId="5375" xr:uid="{00000000-0005-0000-0000-000070250000}"/>
    <cellStyle name="Input 2 11 3 5 4" xfId="15487" xr:uid="{00000000-0005-0000-0000-000071250000}"/>
    <cellStyle name="Input 2 11 3 5 4 2" xfId="15488" xr:uid="{00000000-0005-0000-0000-000072250000}"/>
    <cellStyle name="Input 2 11 3 5 4 3" xfId="15489" xr:uid="{00000000-0005-0000-0000-000073250000}"/>
    <cellStyle name="Input 2 11 3 5 5" xfId="15490" xr:uid="{00000000-0005-0000-0000-000074250000}"/>
    <cellStyle name="Input 2 11 3 5 5 2" xfId="15491" xr:uid="{00000000-0005-0000-0000-000075250000}"/>
    <cellStyle name="Input 2 11 3 5 5 3" xfId="15492" xr:uid="{00000000-0005-0000-0000-000076250000}"/>
    <cellStyle name="Input 2 11 3 5 6" xfId="15493" xr:uid="{00000000-0005-0000-0000-000077250000}"/>
    <cellStyle name="Input 2 11 3 5 7" xfId="15495" xr:uid="{00000000-0005-0000-0000-000078250000}"/>
    <cellStyle name="Input 2 11 3 6" xfId="15497" xr:uid="{00000000-0005-0000-0000-000079250000}"/>
    <cellStyle name="Input 2 11 3 6 2" xfId="15499" xr:uid="{00000000-0005-0000-0000-00007A250000}"/>
    <cellStyle name="Input 2 11 3 6 2 2" xfId="15500" xr:uid="{00000000-0005-0000-0000-00007B250000}"/>
    <cellStyle name="Input 2 11 3 6 2 3" xfId="15501" xr:uid="{00000000-0005-0000-0000-00007C250000}"/>
    <cellStyle name="Input 2 11 3 6 2 4" xfId="15502" xr:uid="{00000000-0005-0000-0000-00007D250000}"/>
    <cellStyle name="Input 2 11 3 6 3" xfId="15504" xr:uid="{00000000-0005-0000-0000-00007E250000}"/>
    <cellStyle name="Input 2 11 3 6 3 2" xfId="15505" xr:uid="{00000000-0005-0000-0000-00007F250000}"/>
    <cellStyle name="Input 2 11 3 6 3 3" xfId="15506" xr:uid="{00000000-0005-0000-0000-000080250000}"/>
    <cellStyle name="Input 2 11 3 6 3 4" xfId="15507" xr:uid="{00000000-0005-0000-0000-000081250000}"/>
    <cellStyle name="Input 2 11 3 6 4" xfId="15509" xr:uid="{00000000-0005-0000-0000-000082250000}"/>
    <cellStyle name="Input 2 11 3 6 4 2" xfId="15510" xr:uid="{00000000-0005-0000-0000-000083250000}"/>
    <cellStyle name="Input 2 11 3 6 4 3" xfId="15511" xr:uid="{00000000-0005-0000-0000-000084250000}"/>
    <cellStyle name="Input 2 11 3 6 5" xfId="15512" xr:uid="{00000000-0005-0000-0000-000085250000}"/>
    <cellStyle name="Input 2 11 3 6 5 2" xfId="15513" xr:uid="{00000000-0005-0000-0000-000086250000}"/>
    <cellStyle name="Input 2 11 3 6 5 3" xfId="15514" xr:uid="{00000000-0005-0000-0000-000087250000}"/>
    <cellStyle name="Input 2 11 3 6 6" xfId="15515" xr:uid="{00000000-0005-0000-0000-000088250000}"/>
    <cellStyle name="Input 2 11 3 6 7" xfId="15517" xr:uid="{00000000-0005-0000-0000-000089250000}"/>
    <cellStyle name="Input 2 11 3 7" xfId="9917" xr:uid="{00000000-0005-0000-0000-00008A250000}"/>
    <cellStyle name="Input 2 11 3 7 2" xfId="15519" xr:uid="{00000000-0005-0000-0000-00008B250000}"/>
    <cellStyle name="Input 2 11 3 7 2 2" xfId="13073" xr:uid="{00000000-0005-0000-0000-00008C250000}"/>
    <cellStyle name="Input 2 11 3 7 2 3" xfId="13075" xr:uid="{00000000-0005-0000-0000-00008D250000}"/>
    <cellStyle name="Input 2 11 3 7 2 4" xfId="15522" xr:uid="{00000000-0005-0000-0000-00008E250000}"/>
    <cellStyle name="Input 2 11 3 7 3" xfId="15524" xr:uid="{00000000-0005-0000-0000-00008F250000}"/>
    <cellStyle name="Input 2 11 3 7 3 2" xfId="13079" xr:uid="{00000000-0005-0000-0000-000090250000}"/>
    <cellStyle name="Input 2 11 3 7 3 3" xfId="15526" xr:uid="{00000000-0005-0000-0000-000091250000}"/>
    <cellStyle name="Input 2 11 3 7 3 4" xfId="15527" xr:uid="{00000000-0005-0000-0000-000092250000}"/>
    <cellStyle name="Input 2 11 3 7 4" xfId="15529" xr:uid="{00000000-0005-0000-0000-000093250000}"/>
    <cellStyle name="Input 2 11 3 7 4 2" xfId="13083" xr:uid="{00000000-0005-0000-0000-000094250000}"/>
    <cellStyle name="Input 2 11 3 7 4 3" xfId="15531" xr:uid="{00000000-0005-0000-0000-000095250000}"/>
    <cellStyle name="Input 2 11 3 7 5" xfId="15532" xr:uid="{00000000-0005-0000-0000-000096250000}"/>
    <cellStyle name="Input 2 11 3 7 5 2" xfId="15533" xr:uid="{00000000-0005-0000-0000-000097250000}"/>
    <cellStyle name="Input 2 11 3 7 5 3" xfId="15534" xr:uid="{00000000-0005-0000-0000-000098250000}"/>
    <cellStyle name="Input 2 11 3 7 6" xfId="15535" xr:uid="{00000000-0005-0000-0000-000099250000}"/>
    <cellStyle name="Input 2 11 3 7 7" xfId="15536" xr:uid="{00000000-0005-0000-0000-00009A250000}"/>
    <cellStyle name="Input 2 11 3 8" xfId="9921" xr:uid="{00000000-0005-0000-0000-00009B250000}"/>
    <cellStyle name="Input 2 11 3 8 2" xfId="15537" xr:uid="{00000000-0005-0000-0000-00009C250000}"/>
    <cellStyle name="Input 2 11 3 8 2 2" xfId="15540" xr:uid="{00000000-0005-0000-0000-00009D250000}"/>
    <cellStyle name="Input 2 11 3 8 2 3" xfId="15542" xr:uid="{00000000-0005-0000-0000-00009E250000}"/>
    <cellStyle name="Input 2 11 3 8 2 4" xfId="15544" xr:uid="{00000000-0005-0000-0000-00009F250000}"/>
    <cellStyle name="Input 2 11 3 8 3" xfId="2314" xr:uid="{00000000-0005-0000-0000-0000A0250000}"/>
    <cellStyle name="Input 2 11 3 8 3 2" xfId="15547" xr:uid="{00000000-0005-0000-0000-0000A1250000}"/>
    <cellStyle name="Input 2 11 3 8 3 3" xfId="15548" xr:uid="{00000000-0005-0000-0000-0000A2250000}"/>
    <cellStyle name="Input 2 11 3 8 3 4" xfId="15549" xr:uid="{00000000-0005-0000-0000-0000A3250000}"/>
    <cellStyle name="Input 2 11 3 8 4" xfId="15551" xr:uid="{00000000-0005-0000-0000-0000A4250000}"/>
    <cellStyle name="Input 2 11 3 8 4 2" xfId="15553" xr:uid="{00000000-0005-0000-0000-0000A5250000}"/>
    <cellStyle name="Input 2 11 3 8 4 3" xfId="15554" xr:uid="{00000000-0005-0000-0000-0000A6250000}"/>
    <cellStyle name="Input 2 11 3 8 5" xfId="15555" xr:uid="{00000000-0005-0000-0000-0000A7250000}"/>
    <cellStyle name="Input 2 11 3 8 5 2" xfId="15556" xr:uid="{00000000-0005-0000-0000-0000A8250000}"/>
    <cellStyle name="Input 2 11 3 8 5 3" xfId="15557" xr:uid="{00000000-0005-0000-0000-0000A9250000}"/>
    <cellStyle name="Input 2 11 3 8 6" xfId="15558" xr:uid="{00000000-0005-0000-0000-0000AA250000}"/>
    <cellStyle name="Input 2 11 3 8 7" xfId="15559" xr:uid="{00000000-0005-0000-0000-0000AB250000}"/>
    <cellStyle name="Input 2 11 3 9" xfId="15560" xr:uid="{00000000-0005-0000-0000-0000AC250000}"/>
    <cellStyle name="Input 2 11 3 9 2" xfId="15563" xr:uid="{00000000-0005-0000-0000-0000AD250000}"/>
    <cellStyle name="Input 2 11 3 9 2 2" xfId="15565" xr:uid="{00000000-0005-0000-0000-0000AE250000}"/>
    <cellStyle name="Input 2 11 3 9 2 3" xfId="15566" xr:uid="{00000000-0005-0000-0000-0000AF250000}"/>
    <cellStyle name="Input 2 11 3 9 2 4" xfId="15567" xr:uid="{00000000-0005-0000-0000-0000B0250000}"/>
    <cellStyle name="Input 2 11 3 9 3" xfId="15569" xr:uid="{00000000-0005-0000-0000-0000B1250000}"/>
    <cellStyle name="Input 2 11 3 9 3 2" xfId="15571" xr:uid="{00000000-0005-0000-0000-0000B2250000}"/>
    <cellStyle name="Input 2 11 3 9 3 3" xfId="15573" xr:uid="{00000000-0005-0000-0000-0000B3250000}"/>
    <cellStyle name="Input 2 11 3 9 3 4" xfId="15574" xr:uid="{00000000-0005-0000-0000-0000B4250000}"/>
    <cellStyle name="Input 2 11 3 9 4" xfId="15576" xr:uid="{00000000-0005-0000-0000-0000B5250000}"/>
    <cellStyle name="Input 2 11 3 9 4 2" xfId="15577" xr:uid="{00000000-0005-0000-0000-0000B6250000}"/>
    <cellStyle name="Input 2 11 3 9 4 3" xfId="15578" xr:uid="{00000000-0005-0000-0000-0000B7250000}"/>
    <cellStyle name="Input 2 11 3 9 5" xfId="15579" xr:uid="{00000000-0005-0000-0000-0000B8250000}"/>
    <cellStyle name="Input 2 11 3 9 5 2" xfId="15580" xr:uid="{00000000-0005-0000-0000-0000B9250000}"/>
    <cellStyle name="Input 2 11 3 9 5 3" xfId="15581" xr:uid="{00000000-0005-0000-0000-0000BA250000}"/>
    <cellStyle name="Input 2 11 3 9 6" xfId="15582" xr:uid="{00000000-0005-0000-0000-0000BB250000}"/>
    <cellStyle name="Input 2 11 3 9 7" xfId="15583" xr:uid="{00000000-0005-0000-0000-0000BC250000}"/>
    <cellStyle name="Input 2 11 4" xfId="3854" xr:uid="{00000000-0005-0000-0000-0000BD250000}"/>
    <cellStyle name="Input 2 11 4 2" xfId="5930" xr:uid="{00000000-0005-0000-0000-0000BE250000}"/>
    <cellStyle name="Input 2 11 4 2 2" xfId="5935" xr:uid="{00000000-0005-0000-0000-0000BF250000}"/>
    <cellStyle name="Input 2 11 4 2 3" xfId="5939" xr:uid="{00000000-0005-0000-0000-0000C0250000}"/>
    <cellStyle name="Input 2 11 4 2 4" xfId="5946" xr:uid="{00000000-0005-0000-0000-0000C1250000}"/>
    <cellStyle name="Input 2 11 4 3" xfId="5956" xr:uid="{00000000-0005-0000-0000-0000C2250000}"/>
    <cellStyle name="Input 2 11 4 3 2" xfId="5961" xr:uid="{00000000-0005-0000-0000-0000C3250000}"/>
    <cellStyle name="Input 2 11 4 3 3" xfId="5963" xr:uid="{00000000-0005-0000-0000-0000C4250000}"/>
    <cellStyle name="Input 2 11 4 3 4" xfId="5965" xr:uid="{00000000-0005-0000-0000-0000C5250000}"/>
    <cellStyle name="Input 2 11 4 4" xfId="5976" xr:uid="{00000000-0005-0000-0000-0000C6250000}"/>
    <cellStyle name="Input 2 11 4 4 2" xfId="5980" xr:uid="{00000000-0005-0000-0000-0000C7250000}"/>
    <cellStyle name="Input 2 11 4 4 3" xfId="5984" xr:uid="{00000000-0005-0000-0000-0000C8250000}"/>
    <cellStyle name="Input 2 11 4 5" xfId="15585" xr:uid="{00000000-0005-0000-0000-0000C9250000}"/>
    <cellStyle name="Input 2 11 4 5 2" xfId="15586" xr:uid="{00000000-0005-0000-0000-0000CA250000}"/>
    <cellStyle name="Input 2 11 4 5 3" xfId="15587" xr:uid="{00000000-0005-0000-0000-0000CB250000}"/>
    <cellStyle name="Input 2 11 4 6" xfId="15588" xr:uid="{00000000-0005-0000-0000-0000CC250000}"/>
    <cellStyle name="Input 2 11 4 7" xfId="15590" xr:uid="{00000000-0005-0000-0000-0000CD250000}"/>
    <cellStyle name="Input 2 11 5" xfId="3864" xr:uid="{00000000-0005-0000-0000-0000CE250000}"/>
    <cellStyle name="Input 2 11 5 2" xfId="1158" xr:uid="{00000000-0005-0000-0000-0000CF250000}"/>
    <cellStyle name="Input 2 11 5 2 2" xfId="6138" xr:uid="{00000000-0005-0000-0000-0000D0250000}"/>
    <cellStyle name="Input 2 11 5 2 3" xfId="6142" xr:uid="{00000000-0005-0000-0000-0000D1250000}"/>
    <cellStyle name="Input 2 11 5 2 4" xfId="6146" xr:uid="{00000000-0005-0000-0000-0000D2250000}"/>
    <cellStyle name="Input 2 11 5 3" xfId="1164" xr:uid="{00000000-0005-0000-0000-0000D3250000}"/>
    <cellStyle name="Input 2 11 5 3 2" xfId="6154" xr:uid="{00000000-0005-0000-0000-0000D4250000}"/>
    <cellStyle name="Input 2 11 5 3 3" xfId="6159" xr:uid="{00000000-0005-0000-0000-0000D5250000}"/>
    <cellStyle name="Input 2 11 5 3 4" xfId="6168" xr:uid="{00000000-0005-0000-0000-0000D6250000}"/>
    <cellStyle name="Input 2 11 5 4" xfId="1169" xr:uid="{00000000-0005-0000-0000-0000D7250000}"/>
    <cellStyle name="Input 2 11 5 4 2" xfId="6182" xr:uid="{00000000-0005-0000-0000-0000D8250000}"/>
    <cellStyle name="Input 2 11 5 4 3" xfId="6188" xr:uid="{00000000-0005-0000-0000-0000D9250000}"/>
    <cellStyle name="Input 2 11 5 5" xfId="6265" xr:uid="{00000000-0005-0000-0000-0000DA250000}"/>
    <cellStyle name="Input 2 11 5 5 2" xfId="15593" xr:uid="{00000000-0005-0000-0000-0000DB250000}"/>
    <cellStyle name="Input 2 11 5 5 3" xfId="2698" xr:uid="{00000000-0005-0000-0000-0000DC250000}"/>
    <cellStyle name="Input 2 11 5 6" xfId="6267" xr:uid="{00000000-0005-0000-0000-0000DD250000}"/>
    <cellStyle name="Input 2 11 5 7" xfId="5141" xr:uid="{00000000-0005-0000-0000-0000DE250000}"/>
    <cellStyle name="Input 2 11 6" xfId="15594" xr:uid="{00000000-0005-0000-0000-0000DF250000}"/>
    <cellStyle name="Input 2 11 6 2" xfId="6213" xr:uid="{00000000-0005-0000-0000-0000E0250000}"/>
    <cellStyle name="Input 2 11 6 2 2" xfId="15599" xr:uid="{00000000-0005-0000-0000-0000E1250000}"/>
    <cellStyle name="Input 2 11 6 2 3" xfId="15601" xr:uid="{00000000-0005-0000-0000-0000E2250000}"/>
    <cellStyle name="Input 2 11 6 2 4" xfId="15603" xr:uid="{00000000-0005-0000-0000-0000E3250000}"/>
    <cellStyle name="Input 2 11 6 3" xfId="15605" xr:uid="{00000000-0005-0000-0000-0000E4250000}"/>
    <cellStyle name="Input 2 11 6 3 2" xfId="15608" xr:uid="{00000000-0005-0000-0000-0000E5250000}"/>
    <cellStyle name="Input 2 11 6 3 3" xfId="15610" xr:uid="{00000000-0005-0000-0000-0000E6250000}"/>
    <cellStyle name="Input 2 11 6 3 4" xfId="15612" xr:uid="{00000000-0005-0000-0000-0000E7250000}"/>
    <cellStyle name="Input 2 11 6 4" xfId="15614" xr:uid="{00000000-0005-0000-0000-0000E8250000}"/>
    <cellStyle name="Input 2 11 6 4 2" xfId="15615" xr:uid="{00000000-0005-0000-0000-0000E9250000}"/>
    <cellStyle name="Input 2 11 6 4 3" xfId="15617" xr:uid="{00000000-0005-0000-0000-0000EA250000}"/>
    <cellStyle name="Input 2 11 6 5" xfId="15618" xr:uid="{00000000-0005-0000-0000-0000EB250000}"/>
    <cellStyle name="Input 2 11 6 5 2" xfId="15620" xr:uid="{00000000-0005-0000-0000-0000EC250000}"/>
    <cellStyle name="Input 2 11 6 5 3" xfId="15622" xr:uid="{00000000-0005-0000-0000-0000ED250000}"/>
    <cellStyle name="Input 2 11 6 6" xfId="15623" xr:uid="{00000000-0005-0000-0000-0000EE250000}"/>
    <cellStyle name="Input 2 11 6 7" xfId="15626" xr:uid="{00000000-0005-0000-0000-0000EF250000}"/>
    <cellStyle name="Input 2 11 7" xfId="15631" xr:uid="{00000000-0005-0000-0000-0000F0250000}"/>
    <cellStyle name="Input 2 11 7 2" xfId="10" xr:uid="{00000000-0005-0000-0000-0000F1250000}"/>
    <cellStyle name="Input 2 11 7 2 2" xfId="15634" xr:uid="{00000000-0005-0000-0000-0000F2250000}"/>
    <cellStyle name="Input 2 11 7 2 3" xfId="15635" xr:uid="{00000000-0005-0000-0000-0000F3250000}"/>
    <cellStyle name="Input 2 11 7 2 4" xfId="15636" xr:uid="{00000000-0005-0000-0000-0000F4250000}"/>
    <cellStyle name="Input 2 11 7 3" xfId="15639" xr:uid="{00000000-0005-0000-0000-0000F5250000}"/>
    <cellStyle name="Input 2 11 7 3 2" xfId="15641" xr:uid="{00000000-0005-0000-0000-0000F6250000}"/>
    <cellStyle name="Input 2 11 7 3 3" xfId="15642" xr:uid="{00000000-0005-0000-0000-0000F7250000}"/>
    <cellStyle name="Input 2 11 7 3 4" xfId="15643" xr:uid="{00000000-0005-0000-0000-0000F8250000}"/>
    <cellStyle name="Input 2 11 7 4" xfId="15646" xr:uid="{00000000-0005-0000-0000-0000F9250000}"/>
    <cellStyle name="Input 2 11 7 4 2" xfId="15647" xr:uid="{00000000-0005-0000-0000-0000FA250000}"/>
    <cellStyle name="Input 2 11 7 4 3" xfId="15648" xr:uid="{00000000-0005-0000-0000-0000FB250000}"/>
    <cellStyle name="Input 2 11 7 5" xfId="15649" xr:uid="{00000000-0005-0000-0000-0000FC250000}"/>
    <cellStyle name="Input 2 11 7 5 2" xfId="15651" xr:uid="{00000000-0005-0000-0000-0000FD250000}"/>
    <cellStyle name="Input 2 11 7 5 3" xfId="15652" xr:uid="{00000000-0005-0000-0000-0000FE250000}"/>
    <cellStyle name="Input 2 11 7 6" xfId="15653" xr:uid="{00000000-0005-0000-0000-0000FF250000}"/>
    <cellStyle name="Input 2 11 7 7" xfId="15656" xr:uid="{00000000-0005-0000-0000-000000260000}"/>
    <cellStyle name="Input 2 11 8" xfId="15660" xr:uid="{00000000-0005-0000-0000-000001260000}"/>
    <cellStyle name="Input 2 11 8 2" xfId="5116" xr:uid="{00000000-0005-0000-0000-000002260000}"/>
    <cellStyle name="Input 2 11 8 2 2" xfId="15663" xr:uid="{00000000-0005-0000-0000-000003260000}"/>
    <cellStyle name="Input 2 11 8 2 3" xfId="15664" xr:uid="{00000000-0005-0000-0000-000004260000}"/>
    <cellStyle name="Input 2 11 8 2 4" xfId="15665" xr:uid="{00000000-0005-0000-0000-000005260000}"/>
    <cellStyle name="Input 2 11 8 3" xfId="15668" xr:uid="{00000000-0005-0000-0000-000006260000}"/>
    <cellStyle name="Input 2 11 8 3 2" xfId="15671" xr:uid="{00000000-0005-0000-0000-000007260000}"/>
    <cellStyle name="Input 2 11 8 3 3" xfId="15673" xr:uid="{00000000-0005-0000-0000-000008260000}"/>
    <cellStyle name="Input 2 11 8 3 4" xfId="15674" xr:uid="{00000000-0005-0000-0000-000009260000}"/>
    <cellStyle name="Input 2 11 8 4" xfId="15677" xr:uid="{00000000-0005-0000-0000-00000A260000}"/>
    <cellStyle name="Input 2 11 8 4 2" xfId="15678" xr:uid="{00000000-0005-0000-0000-00000B260000}"/>
    <cellStyle name="Input 2 11 8 4 3" xfId="15679" xr:uid="{00000000-0005-0000-0000-00000C260000}"/>
    <cellStyle name="Input 2 11 8 5" xfId="15680" xr:uid="{00000000-0005-0000-0000-00000D260000}"/>
    <cellStyle name="Input 2 11 8 5 2" xfId="15682" xr:uid="{00000000-0005-0000-0000-00000E260000}"/>
    <cellStyle name="Input 2 11 8 5 3" xfId="15683" xr:uid="{00000000-0005-0000-0000-00000F260000}"/>
    <cellStyle name="Input 2 11 8 6" xfId="15684" xr:uid="{00000000-0005-0000-0000-000010260000}"/>
    <cellStyle name="Input 2 11 8 7" xfId="15687" xr:uid="{00000000-0005-0000-0000-000011260000}"/>
    <cellStyle name="Input 2 11 9" xfId="15691" xr:uid="{00000000-0005-0000-0000-000012260000}"/>
    <cellStyle name="Input 2 11 9 2" xfId="6236" xr:uid="{00000000-0005-0000-0000-000013260000}"/>
    <cellStyle name="Input 2 11 9 2 2" xfId="772" xr:uid="{00000000-0005-0000-0000-000014260000}"/>
    <cellStyle name="Input 2 11 9 2 3" xfId="15693" xr:uid="{00000000-0005-0000-0000-000015260000}"/>
    <cellStyle name="Input 2 11 9 2 4" xfId="15694" xr:uid="{00000000-0005-0000-0000-000016260000}"/>
    <cellStyle name="Input 2 11 9 3" xfId="15696" xr:uid="{00000000-0005-0000-0000-000017260000}"/>
    <cellStyle name="Input 2 11 9 3 2" xfId="15697" xr:uid="{00000000-0005-0000-0000-000018260000}"/>
    <cellStyle name="Input 2 11 9 3 3" xfId="15698" xr:uid="{00000000-0005-0000-0000-000019260000}"/>
    <cellStyle name="Input 2 11 9 3 4" xfId="15699" xr:uid="{00000000-0005-0000-0000-00001A260000}"/>
    <cellStyle name="Input 2 11 9 4" xfId="15701" xr:uid="{00000000-0005-0000-0000-00001B260000}"/>
    <cellStyle name="Input 2 11 9 4 2" xfId="15702" xr:uid="{00000000-0005-0000-0000-00001C260000}"/>
    <cellStyle name="Input 2 11 9 4 3" xfId="15703" xr:uid="{00000000-0005-0000-0000-00001D260000}"/>
    <cellStyle name="Input 2 11 9 5" xfId="15704" xr:uid="{00000000-0005-0000-0000-00001E260000}"/>
    <cellStyle name="Input 2 11 9 5 2" xfId="15705" xr:uid="{00000000-0005-0000-0000-00001F260000}"/>
    <cellStyle name="Input 2 11 9 5 3" xfId="15706" xr:uid="{00000000-0005-0000-0000-000020260000}"/>
    <cellStyle name="Input 2 11 9 6" xfId="15707" xr:uid="{00000000-0005-0000-0000-000021260000}"/>
    <cellStyle name="Input 2 11 9 7" xfId="15709" xr:uid="{00000000-0005-0000-0000-000022260000}"/>
    <cellStyle name="Input 2 12" xfId="15713" xr:uid="{00000000-0005-0000-0000-000023260000}"/>
    <cellStyle name="Input 2 12 10" xfId="15714" xr:uid="{00000000-0005-0000-0000-000024260000}"/>
    <cellStyle name="Input 2 12 10 2" xfId="15716" xr:uid="{00000000-0005-0000-0000-000025260000}"/>
    <cellStyle name="Input 2 12 10 2 2" xfId="15718" xr:uid="{00000000-0005-0000-0000-000026260000}"/>
    <cellStyle name="Input 2 12 10 2 3" xfId="15719" xr:uid="{00000000-0005-0000-0000-000027260000}"/>
    <cellStyle name="Input 2 12 10 2 4" xfId="15720" xr:uid="{00000000-0005-0000-0000-000028260000}"/>
    <cellStyle name="Input 2 12 10 3" xfId="15721" xr:uid="{00000000-0005-0000-0000-000029260000}"/>
    <cellStyle name="Input 2 12 10 3 2" xfId="15723" xr:uid="{00000000-0005-0000-0000-00002A260000}"/>
    <cellStyle name="Input 2 12 10 3 3" xfId="15724" xr:uid="{00000000-0005-0000-0000-00002B260000}"/>
    <cellStyle name="Input 2 12 10 3 4" xfId="15726" xr:uid="{00000000-0005-0000-0000-00002C260000}"/>
    <cellStyle name="Input 2 12 10 4" xfId="15727" xr:uid="{00000000-0005-0000-0000-00002D260000}"/>
    <cellStyle name="Input 2 12 10 4 2" xfId="15728" xr:uid="{00000000-0005-0000-0000-00002E260000}"/>
    <cellStyle name="Input 2 12 10 4 3" xfId="15729" xr:uid="{00000000-0005-0000-0000-00002F260000}"/>
    <cellStyle name="Input 2 12 10 5" xfId="15730" xr:uid="{00000000-0005-0000-0000-000030260000}"/>
    <cellStyle name="Input 2 12 10 5 2" xfId="15731" xr:uid="{00000000-0005-0000-0000-000031260000}"/>
    <cellStyle name="Input 2 12 10 5 3" xfId="15732" xr:uid="{00000000-0005-0000-0000-000032260000}"/>
    <cellStyle name="Input 2 12 10 6" xfId="15734" xr:uid="{00000000-0005-0000-0000-000033260000}"/>
    <cellStyle name="Input 2 12 10 7" xfId="15735" xr:uid="{00000000-0005-0000-0000-000034260000}"/>
    <cellStyle name="Input 2 12 11" xfId="15736" xr:uid="{00000000-0005-0000-0000-000035260000}"/>
    <cellStyle name="Input 2 12 11 2" xfId="15738" xr:uid="{00000000-0005-0000-0000-000036260000}"/>
    <cellStyle name="Input 2 12 11 2 2" xfId="15740" xr:uid="{00000000-0005-0000-0000-000037260000}"/>
    <cellStyle name="Input 2 12 11 2 3" xfId="4005" xr:uid="{00000000-0005-0000-0000-000038260000}"/>
    <cellStyle name="Input 2 12 11 2 4" xfId="4009" xr:uid="{00000000-0005-0000-0000-000039260000}"/>
    <cellStyle name="Input 2 12 11 3" xfId="15741" xr:uid="{00000000-0005-0000-0000-00003A260000}"/>
    <cellStyle name="Input 2 12 11 3 2" xfId="2498" xr:uid="{00000000-0005-0000-0000-00003B260000}"/>
    <cellStyle name="Input 2 12 11 3 3" xfId="4015" xr:uid="{00000000-0005-0000-0000-00003C260000}"/>
    <cellStyle name="Input 2 12 11 3 4" xfId="4020" xr:uid="{00000000-0005-0000-0000-00003D260000}"/>
    <cellStyle name="Input 2 12 11 4" xfId="15743" xr:uid="{00000000-0005-0000-0000-00003E260000}"/>
    <cellStyle name="Input 2 12 11 4 2" xfId="8296" xr:uid="{00000000-0005-0000-0000-00003F260000}"/>
    <cellStyle name="Input 2 12 11 4 3" xfId="4026" xr:uid="{00000000-0005-0000-0000-000040260000}"/>
    <cellStyle name="Input 2 12 11 5" xfId="15744" xr:uid="{00000000-0005-0000-0000-000041260000}"/>
    <cellStyle name="Input 2 12 11 5 2" xfId="8322" xr:uid="{00000000-0005-0000-0000-000042260000}"/>
    <cellStyle name="Input 2 12 11 5 3" xfId="4035" xr:uid="{00000000-0005-0000-0000-000043260000}"/>
    <cellStyle name="Input 2 12 11 6" xfId="15745" xr:uid="{00000000-0005-0000-0000-000044260000}"/>
    <cellStyle name="Input 2 12 11 7" xfId="15746" xr:uid="{00000000-0005-0000-0000-000045260000}"/>
    <cellStyle name="Input 2 12 12" xfId="15747" xr:uid="{00000000-0005-0000-0000-000046260000}"/>
    <cellStyle name="Input 2 12 12 2" xfId="15750" xr:uid="{00000000-0005-0000-0000-000047260000}"/>
    <cellStyle name="Input 2 12 12 2 2" xfId="15751" xr:uid="{00000000-0005-0000-0000-000048260000}"/>
    <cellStyle name="Input 2 12 12 2 3" xfId="4050" xr:uid="{00000000-0005-0000-0000-000049260000}"/>
    <cellStyle name="Input 2 12 12 2 4" xfId="4052" xr:uid="{00000000-0005-0000-0000-00004A260000}"/>
    <cellStyle name="Input 2 12 12 3" xfId="15752" xr:uid="{00000000-0005-0000-0000-00004B260000}"/>
    <cellStyle name="Input 2 12 12 3 2" xfId="15753" xr:uid="{00000000-0005-0000-0000-00004C260000}"/>
    <cellStyle name="Input 2 12 12 3 3" xfId="4063" xr:uid="{00000000-0005-0000-0000-00004D260000}"/>
    <cellStyle name="Input 2 12 12 3 4" xfId="4066" xr:uid="{00000000-0005-0000-0000-00004E260000}"/>
    <cellStyle name="Input 2 12 12 4" xfId="15754" xr:uid="{00000000-0005-0000-0000-00004F260000}"/>
    <cellStyle name="Input 2 12 12 4 2" xfId="15755" xr:uid="{00000000-0005-0000-0000-000050260000}"/>
    <cellStyle name="Input 2 12 12 4 3" xfId="4071" xr:uid="{00000000-0005-0000-0000-000051260000}"/>
    <cellStyle name="Input 2 12 12 5" xfId="15756" xr:uid="{00000000-0005-0000-0000-000052260000}"/>
    <cellStyle name="Input 2 12 12 5 2" xfId="15757" xr:uid="{00000000-0005-0000-0000-000053260000}"/>
    <cellStyle name="Input 2 12 12 5 3" xfId="2435" xr:uid="{00000000-0005-0000-0000-000054260000}"/>
    <cellStyle name="Input 2 12 12 6" xfId="15758" xr:uid="{00000000-0005-0000-0000-000055260000}"/>
    <cellStyle name="Input 2 12 12 7" xfId="15759" xr:uid="{00000000-0005-0000-0000-000056260000}"/>
    <cellStyle name="Input 2 12 13" xfId="15760" xr:uid="{00000000-0005-0000-0000-000057260000}"/>
    <cellStyle name="Input 2 12 13 2" xfId="15763" xr:uid="{00000000-0005-0000-0000-000058260000}"/>
    <cellStyle name="Input 2 12 13 3" xfId="15764" xr:uid="{00000000-0005-0000-0000-000059260000}"/>
    <cellStyle name="Input 2 12 13 4" xfId="15765" xr:uid="{00000000-0005-0000-0000-00005A260000}"/>
    <cellStyle name="Input 2 12 14" xfId="15767" xr:uid="{00000000-0005-0000-0000-00005B260000}"/>
    <cellStyle name="Input 2 12 14 2" xfId="15770" xr:uid="{00000000-0005-0000-0000-00005C260000}"/>
    <cellStyle name="Input 2 12 14 3" xfId="15772" xr:uid="{00000000-0005-0000-0000-00005D260000}"/>
    <cellStyle name="Input 2 12 14 4" xfId="15774" xr:uid="{00000000-0005-0000-0000-00005E260000}"/>
    <cellStyle name="Input 2 12 15" xfId="15777" xr:uid="{00000000-0005-0000-0000-00005F260000}"/>
    <cellStyle name="Input 2 12 15 2" xfId="15781" xr:uid="{00000000-0005-0000-0000-000060260000}"/>
    <cellStyle name="Input 2 12 15 3" xfId="15783" xr:uid="{00000000-0005-0000-0000-000061260000}"/>
    <cellStyle name="Input 2 12 16" xfId="12093" xr:uid="{00000000-0005-0000-0000-000062260000}"/>
    <cellStyle name="Input 2 12 16 2" xfId="15785" xr:uid="{00000000-0005-0000-0000-000063260000}"/>
    <cellStyle name="Input 2 12 16 3" xfId="15788" xr:uid="{00000000-0005-0000-0000-000064260000}"/>
    <cellStyle name="Input 2 12 17" xfId="12097" xr:uid="{00000000-0005-0000-0000-000065260000}"/>
    <cellStyle name="Input 2 12 18" xfId="5287" xr:uid="{00000000-0005-0000-0000-000066260000}"/>
    <cellStyle name="Input 2 12 19" xfId="5297" xr:uid="{00000000-0005-0000-0000-000067260000}"/>
    <cellStyle name="Input 2 12 2" xfId="15790" xr:uid="{00000000-0005-0000-0000-000068260000}"/>
    <cellStyle name="Input 2 12 2 10" xfId="15791" xr:uid="{00000000-0005-0000-0000-000069260000}"/>
    <cellStyle name="Input 2 12 2 10 2" xfId="15793" xr:uid="{00000000-0005-0000-0000-00006A260000}"/>
    <cellStyle name="Input 2 12 2 10 2 2" xfId="15794" xr:uid="{00000000-0005-0000-0000-00006B260000}"/>
    <cellStyle name="Input 2 12 2 10 2 3" xfId="15795" xr:uid="{00000000-0005-0000-0000-00006C260000}"/>
    <cellStyle name="Input 2 12 2 10 2 4" xfId="15797" xr:uid="{00000000-0005-0000-0000-00006D260000}"/>
    <cellStyle name="Input 2 12 2 10 3" xfId="15799" xr:uid="{00000000-0005-0000-0000-00006E260000}"/>
    <cellStyle name="Input 2 12 2 10 3 2" xfId="15800" xr:uid="{00000000-0005-0000-0000-00006F260000}"/>
    <cellStyle name="Input 2 12 2 10 3 3" xfId="15801" xr:uid="{00000000-0005-0000-0000-000070260000}"/>
    <cellStyle name="Input 2 12 2 10 3 4" xfId="15803" xr:uid="{00000000-0005-0000-0000-000071260000}"/>
    <cellStyle name="Input 2 12 2 10 4" xfId="15805" xr:uid="{00000000-0005-0000-0000-000072260000}"/>
    <cellStyle name="Input 2 12 2 10 4 2" xfId="15807" xr:uid="{00000000-0005-0000-0000-000073260000}"/>
    <cellStyle name="Input 2 12 2 10 4 3" xfId="15808" xr:uid="{00000000-0005-0000-0000-000074260000}"/>
    <cellStyle name="Input 2 12 2 10 5" xfId="15809" xr:uid="{00000000-0005-0000-0000-000075260000}"/>
    <cellStyle name="Input 2 12 2 10 5 2" xfId="15811" xr:uid="{00000000-0005-0000-0000-000076260000}"/>
    <cellStyle name="Input 2 12 2 10 5 3" xfId="15813" xr:uid="{00000000-0005-0000-0000-000077260000}"/>
    <cellStyle name="Input 2 12 2 10 6" xfId="9591" xr:uid="{00000000-0005-0000-0000-000078260000}"/>
    <cellStyle name="Input 2 12 2 10 7" xfId="9596" xr:uid="{00000000-0005-0000-0000-000079260000}"/>
    <cellStyle name="Input 2 12 2 11" xfId="15815" xr:uid="{00000000-0005-0000-0000-00007A260000}"/>
    <cellStyle name="Input 2 12 2 11 2" xfId="15817" xr:uid="{00000000-0005-0000-0000-00007B260000}"/>
    <cellStyle name="Input 2 12 2 11 3" xfId="15818" xr:uid="{00000000-0005-0000-0000-00007C260000}"/>
    <cellStyle name="Input 2 12 2 11 4" xfId="15819" xr:uid="{00000000-0005-0000-0000-00007D260000}"/>
    <cellStyle name="Input 2 12 2 12" xfId="15821" xr:uid="{00000000-0005-0000-0000-00007E260000}"/>
    <cellStyle name="Input 2 12 2 12 2" xfId="15823" xr:uid="{00000000-0005-0000-0000-00007F260000}"/>
    <cellStyle name="Input 2 12 2 12 3" xfId="15824" xr:uid="{00000000-0005-0000-0000-000080260000}"/>
    <cellStyle name="Input 2 12 2 12 4" xfId="15825" xr:uid="{00000000-0005-0000-0000-000081260000}"/>
    <cellStyle name="Input 2 12 2 13" xfId="14426" xr:uid="{00000000-0005-0000-0000-000082260000}"/>
    <cellStyle name="Input 2 12 2 13 2" xfId="15827" xr:uid="{00000000-0005-0000-0000-000083260000}"/>
    <cellStyle name="Input 2 12 2 13 3" xfId="15828" xr:uid="{00000000-0005-0000-0000-000084260000}"/>
    <cellStyle name="Input 2 12 2 14" xfId="5412" xr:uid="{00000000-0005-0000-0000-000085260000}"/>
    <cellStyle name="Input 2 12 2 14 2" xfId="15829" xr:uid="{00000000-0005-0000-0000-000086260000}"/>
    <cellStyle name="Input 2 12 2 14 3" xfId="15830" xr:uid="{00000000-0005-0000-0000-000087260000}"/>
    <cellStyle name="Input 2 12 2 15" xfId="5414" xr:uid="{00000000-0005-0000-0000-000088260000}"/>
    <cellStyle name="Input 2 12 2 16" xfId="15831" xr:uid="{00000000-0005-0000-0000-000089260000}"/>
    <cellStyle name="Input 2 12 2 2" xfId="15833" xr:uid="{00000000-0005-0000-0000-00008A260000}"/>
    <cellStyle name="Input 2 12 2 2 2" xfId="15834" xr:uid="{00000000-0005-0000-0000-00008B260000}"/>
    <cellStyle name="Input 2 12 2 2 2 2" xfId="15836" xr:uid="{00000000-0005-0000-0000-00008C260000}"/>
    <cellStyle name="Input 2 12 2 2 2 3" xfId="15839" xr:uid="{00000000-0005-0000-0000-00008D260000}"/>
    <cellStyle name="Input 2 12 2 2 2 4" xfId="14896" xr:uid="{00000000-0005-0000-0000-00008E260000}"/>
    <cellStyle name="Input 2 12 2 2 3" xfId="15841" xr:uid="{00000000-0005-0000-0000-00008F260000}"/>
    <cellStyle name="Input 2 12 2 2 3 2" xfId="15843" xr:uid="{00000000-0005-0000-0000-000090260000}"/>
    <cellStyle name="Input 2 12 2 2 3 3" xfId="15845" xr:uid="{00000000-0005-0000-0000-000091260000}"/>
    <cellStyle name="Input 2 12 2 2 3 4" xfId="14917" xr:uid="{00000000-0005-0000-0000-000092260000}"/>
    <cellStyle name="Input 2 12 2 2 4" xfId="15847" xr:uid="{00000000-0005-0000-0000-000093260000}"/>
    <cellStyle name="Input 2 12 2 2 4 2" xfId="15851" xr:uid="{00000000-0005-0000-0000-000094260000}"/>
    <cellStyle name="Input 2 12 2 2 4 3" xfId="15853" xr:uid="{00000000-0005-0000-0000-000095260000}"/>
    <cellStyle name="Input 2 12 2 2 5" xfId="15856" xr:uid="{00000000-0005-0000-0000-000096260000}"/>
    <cellStyle name="Input 2 12 2 2 5 2" xfId="15860" xr:uid="{00000000-0005-0000-0000-000097260000}"/>
    <cellStyle name="Input 2 12 2 2 5 3" xfId="15861" xr:uid="{00000000-0005-0000-0000-000098260000}"/>
    <cellStyle name="Input 2 12 2 2 6" xfId="15863" xr:uid="{00000000-0005-0000-0000-000099260000}"/>
    <cellStyle name="Input 2 12 2 2 7" xfId="15867" xr:uid="{00000000-0005-0000-0000-00009A260000}"/>
    <cellStyle name="Input 2 12 2 3" xfId="15869" xr:uid="{00000000-0005-0000-0000-00009B260000}"/>
    <cellStyle name="Input 2 12 2 3 2" xfId="15870" xr:uid="{00000000-0005-0000-0000-00009C260000}"/>
    <cellStyle name="Input 2 12 2 3 2 2" xfId="15871" xr:uid="{00000000-0005-0000-0000-00009D260000}"/>
    <cellStyle name="Input 2 12 2 3 2 3" xfId="15872" xr:uid="{00000000-0005-0000-0000-00009E260000}"/>
    <cellStyle name="Input 2 12 2 3 2 4" xfId="9251" xr:uid="{00000000-0005-0000-0000-00009F260000}"/>
    <cellStyle name="Input 2 12 2 3 3" xfId="15873" xr:uid="{00000000-0005-0000-0000-0000A0260000}"/>
    <cellStyle name="Input 2 12 2 3 3 2" xfId="15874" xr:uid="{00000000-0005-0000-0000-0000A1260000}"/>
    <cellStyle name="Input 2 12 2 3 3 3" xfId="15875" xr:uid="{00000000-0005-0000-0000-0000A2260000}"/>
    <cellStyle name="Input 2 12 2 3 3 4" xfId="9267" xr:uid="{00000000-0005-0000-0000-0000A3260000}"/>
    <cellStyle name="Input 2 12 2 3 4" xfId="15876" xr:uid="{00000000-0005-0000-0000-0000A4260000}"/>
    <cellStyle name="Input 2 12 2 3 4 2" xfId="15879" xr:uid="{00000000-0005-0000-0000-0000A5260000}"/>
    <cellStyle name="Input 2 12 2 3 4 3" xfId="15880" xr:uid="{00000000-0005-0000-0000-0000A6260000}"/>
    <cellStyle name="Input 2 12 2 3 5" xfId="15882" xr:uid="{00000000-0005-0000-0000-0000A7260000}"/>
    <cellStyle name="Input 2 12 2 3 5 2" xfId="1295" xr:uid="{00000000-0005-0000-0000-0000A8260000}"/>
    <cellStyle name="Input 2 12 2 3 5 3" xfId="15885" xr:uid="{00000000-0005-0000-0000-0000A9260000}"/>
    <cellStyle name="Input 2 12 2 3 6" xfId="15887" xr:uid="{00000000-0005-0000-0000-0000AA260000}"/>
    <cellStyle name="Input 2 12 2 3 7" xfId="15891" xr:uid="{00000000-0005-0000-0000-0000AB260000}"/>
    <cellStyle name="Input 2 12 2 4" xfId="15894" xr:uid="{00000000-0005-0000-0000-0000AC260000}"/>
    <cellStyle name="Input 2 12 2 4 2" xfId="15895" xr:uid="{00000000-0005-0000-0000-0000AD260000}"/>
    <cellStyle name="Input 2 12 2 4 2 2" xfId="15896" xr:uid="{00000000-0005-0000-0000-0000AE260000}"/>
    <cellStyle name="Input 2 12 2 4 2 3" xfId="15897" xr:uid="{00000000-0005-0000-0000-0000AF260000}"/>
    <cellStyle name="Input 2 12 2 4 2 4" xfId="15898" xr:uid="{00000000-0005-0000-0000-0000B0260000}"/>
    <cellStyle name="Input 2 12 2 4 3" xfId="15902" xr:uid="{00000000-0005-0000-0000-0000B1260000}"/>
    <cellStyle name="Input 2 12 2 4 3 2" xfId="15903" xr:uid="{00000000-0005-0000-0000-0000B2260000}"/>
    <cellStyle name="Input 2 12 2 4 3 3" xfId="15904" xr:uid="{00000000-0005-0000-0000-0000B3260000}"/>
    <cellStyle name="Input 2 12 2 4 3 4" xfId="15905" xr:uid="{00000000-0005-0000-0000-0000B4260000}"/>
    <cellStyle name="Input 2 12 2 4 4" xfId="15909" xr:uid="{00000000-0005-0000-0000-0000B5260000}"/>
    <cellStyle name="Input 2 12 2 4 4 2" xfId="15911" xr:uid="{00000000-0005-0000-0000-0000B6260000}"/>
    <cellStyle name="Input 2 12 2 4 4 3" xfId="15912" xr:uid="{00000000-0005-0000-0000-0000B7260000}"/>
    <cellStyle name="Input 2 12 2 4 5" xfId="10897" xr:uid="{00000000-0005-0000-0000-0000B8260000}"/>
    <cellStyle name="Input 2 12 2 4 5 2" xfId="15913" xr:uid="{00000000-0005-0000-0000-0000B9260000}"/>
    <cellStyle name="Input 2 12 2 4 5 3" xfId="15914" xr:uid="{00000000-0005-0000-0000-0000BA260000}"/>
    <cellStyle name="Input 2 12 2 4 6" xfId="10900" xr:uid="{00000000-0005-0000-0000-0000BB260000}"/>
    <cellStyle name="Input 2 12 2 4 7" xfId="10904" xr:uid="{00000000-0005-0000-0000-0000BC260000}"/>
    <cellStyle name="Input 2 12 2 5" xfId="15915" xr:uid="{00000000-0005-0000-0000-0000BD260000}"/>
    <cellStyle name="Input 2 12 2 5 2" xfId="15917" xr:uid="{00000000-0005-0000-0000-0000BE260000}"/>
    <cellStyle name="Input 2 12 2 5 2 2" xfId="15918" xr:uid="{00000000-0005-0000-0000-0000BF260000}"/>
    <cellStyle name="Input 2 12 2 5 2 3" xfId="15919" xr:uid="{00000000-0005-0000-0000-0000C0260000}"/>
    <cellStyle name="Input 2 12 2 5 2 4" xfId="15920" xr:uid="{00000000-0005-0000-0000-0000C1260000}"/>
    <cellStyle name="Input 2 12 2 5 3" xfId="15923" xr:uid="{00000000-0005-0000-0000-0000C2260000}"/>
    <cellStyle name="Input 2 12 2 5 3 2" xfId="3135" xr:uid="{00000000-0005-0000-0000-0000C3260000}"/>
    <cellStyle name="Input 2 12 2 5 3 3" xfId="15924" xr:uid="{00000000-0005-0000-0000-0000C4260000}"/>
    <cellStyle name="Input 2 12 2 5 3 4" xfId="15925" xr:uid="{00000000-0005-0000-0000-0000C5260000}"/>
    <cellStyle name="Input 2 12 2 5 4" xfId="15928" xr:uid="{00000000-0005-0000-0000-0000C6260000}"/>
    <cellStyle name="Input 2 12 2 5 4 2" xfId="3167" xr:uid="{00000000-0005-0000-0000-0000C7260000}"/>
    <cellStyle name="Input 2 12 2 5 4 3" xfId="15931" xr:uid="{00000000-0005-0000-0000-0000C8260000}"/>
    <cellStyle name="Input 2 12 2 5 5" xfId="10909" xr:uid="{00000000-0005-0000-0000-0000C9260000}"/>
    <cellStyle name="Input 2 12 2 5 5 2" xfId="3209" xr:uid="{00000000-0005-0000-0000-0000CA260000}"/>
    <cellStyle name="Input 2 12 2 5 5 3" xfId="15932" xr:uid="{00000000-0005-0000-0000-0000CB260000}"/>
    <cellStyle name="Input 2 12 2 5 6" xfId="10911" xr:uid="{00000000-0005-0000-0000-0000CC260000}"/>
    <cellStyle name="Input 2 12 2 5 7" xfId="10915" xr:uid="{00000000-0005-0000-0000-0000CD260000}"/>
    <cellStyle name="Input 2 12 2 6" xfId="15933" xr:uid="{00000000-0005-0000-0000-0000CE260000}"/>
    <cellStyle name="Input 2 12 2 6 2" xfId="15935" xr:uid="{00000000-0005-0000-0000-0000CF260000}"/>
    <cellStyle name="Input 2 12 2 6 2 2" xfId="15936" xr:uid="{00000000-0005-0000-0000-0000D0260000}"/>
    <cellStyle name="Input 2 12 2 6 2 3" xfId="15937" xr:uid="{00000000-0005-0000-0000-0000D1260000}"/>
    <cellStyle name="Input 2 12 2 6 2 4" xfId="15938" xr:uid="{00000000-0005-0000-0000-0000D2260000}"/>
    <cellStyle name="Input 2 12 2 6 3" xfId="15941" xr:uid="{00000000-0005-0000-0000-0000D3260000}"/>
    <cellStyle name="Input 2 12 2 6 3 2" xfId="3568" xr:uid="{00000000-0005-0000-0000-0000D4260000}"/>
    <cellStyle name="Input 2 12 2 6 3 3" xfId="15942" xr:uid="{00000000-0005-0000-0000-0000D5260000}"/>
    <cellStyle name="Input 2 12 2 6 3 4" xfId="15943" xr:uid="{00000000-0005-0000-0000-0000D6260000}"/>
    <cellStyle name="Input 2 12 2 6 4" xfId="15946" xr:uid="{00000000-0005-0000-0000-0000D7260000}"/>
    <cellStyle name="Input 2 12 2 6 4 2" xfId="3589" xr:uid="{00000000-0005-0000-0000-0000D8260000}"/>
    <cellStyle name="Input 2 12 2 6 4 3" xfId="15947" xr:uid="{00000000-0005-0000-0000-0000D9260000}"/>
    <cellStyle name="Input 2 12 2 6 5" xfId="10921" xr:uid="{00000000-0005-0000-0000-0000DA260000}"/>
    <cellStyle name="Input 2 12 2 6 5 2" xfId="3625" xr:uid="{00000000-0005-0000-0000-0000DB260000}"/>
    <cellStyle name="Input 2 12 2 6 5 3" xfId="15948" xr:uid="{00000000-0005-0000-0000-0000DC260000}"/>
    <cellStyle name="Input 2 12 2 6 6" xfId="10922" xr:uid="{00000000-0005-0000-0000-0000DD260000}"/>
    <cellStyle name="Input 2 12 2 6 7" xfId="15949" xr:uid="{00000000-0005-0000-0000-0000DE260000}"/>
    <cellStyle name="Input 2 12 2 7" xfId="9960" xr:uid="{00000000-0005-0000-0000-0000DF260000}"/>
    <cellStyle name="Input 2 12 2 7 2" xfId="3443" xr:uid="{00000000-0005-0000-0000-0000E0260000}"/>
    <cellStyle name="Input 2 12 2 7 2 2" xfId="15952" xr:uid="{00000000-0005-0000-0000-0000E1260000}"/>
    <cellStyle name="Input 2 12 2 7 2 3" xfId="15953" xr:uid="{00000000-0005-0000-0000-0000E2260000}"/>
    <cellStyle name="Input 2 12 2 7 2 4" xfId="15954" xr:uid="{00000000-0005-0000-0000-0000E3260000}"/>
    <cellStyle name="Input 2 12 2 7 3" xfId="2937" xr:uid="{00000000-0005-0000-0000-0000E4260000}"/>
    <cellStyle name="Input 2 12 2 7 3 2" xfId="15957" xr:uid="{00000000-0005-0000-0000-0000E5260000}"/>
    <cellStyle name="Input 2 12 2 7 3 3" xfId="15958" xr:uid="{00000000-0005-0000-0000-0000E6260000}"/>
    <cellStyle name="Input 2 12 2 7 3 4" xfId="15959" xr:uid="{00000000-0005-0000-0000-0000E7260000}"/>
    <cellStyle name="Input 2 12 2 7 4" xfId="2941" xr:uid="{00000000-0005-0000-0000-0000E8260000}"/>
    <cellStyle name="Input 2 12 2 7 4 2" xfId="15962" xr:uid="{00000000-0005-0000-0000-0000E9260000}"/>
    <cellStyle name="Input 2 12 2 7 4 3" xfId="15963" xr:uid="{00000000-0005-0000-0000-0000EA260000}"/>
    <cellStyle name="Input 2 12 2 7 5" xfId="2943" xr:uid="{00000000-0005-0000-0000-0000EB260000}"/>
    <cellStyle name="Input 2 12 2 7 5 2" xfId="15964" xr:uid="{00000000-0005-0000-0000-0000EC260000}"/>
    <cellStyle name="Input 2 12 2 7 5 3" xfId="15965" xr:uid="{00000000-0005-0000-0000-0000ED260000}"/>
    <cellStyle name="Input 2 12 2 7 6" xfId="10929" xr:uid="{00000000-0005-0000-0000-0000EE260000}"/>
    <cellStyle name="Input 2 12 2 7 7" xfId="15966" xr:uid="{00000000-0005-0000-0000-0000EF260000}"/>
    <cellStyle name="Input 2 12 2 8" xfId="9963" xr:uid="{00000000-0005-0000-0000-0000F0260000}"/>
    <cellStyle name="Input 2 12 2 8 2" xfId="3459" xr:uid="{00000000-0005-0000-0000-0000F1260000}"/>
    <cellStyle name="Input 2 12 2 8 2 2" xfId="15967" xr:uid="{00000000-0005-0000-0000-0000F2260000}"/>
    <cellStyle name="Input 2 12 2 8 2 3" xfId="15968" xr:uid="{00000000-0005-0000-0000-0000F3260000}"/>
    <cellStyle name="Input 2 12 2 8 2 4" xfId="9577" xr:uid="{00000000-0005-0000-0000-0000F4260000}"/>
    <cellStyle name="Input 2 12 2 8 3" xfId="2097" xr:uid="{00000000-0005-0000-0000-0000F5260000}"/>
    <cellStyle name="Input 2 12 2 8 3 2" xfId="15806" xr:uid="{00000000-0005-0000-0000-0000F6260000}"/>
    <cellStyle name="Input 2 12 2 8 3 3" xfId="15810" xr:uid="{00000000-0005-0000-0000-0000F7260000}"/>
    <cellStyle name="Input 2 12 2 8 3 4" xfId="9592" xr:uid="{00000000-0005-0000-0000-0000F8260000}"/>
    <cellStyle name="Input 2 12 2 8 4" xfId="2948" xr:uid="{00000000-0005-0000-0000-0000F9260000}"/>
    <cellStyle name="Input 2 12 2 8 4 2" xfId="15820" xr:uid="{00000000-0005-0000-0000-0000FA260000}"/>
    <cellStyle name="Input 2 12 2 8 4 3" xfId="15969" xr:uid="{00000000-0005-0000-0000-0000FB260000}"/>
    <cellStyle name="Input 2 12 2 8 5" xfId="2950" xr:uid="{00000000-0005-0000-0000-0000FC260000}"/>
    <cellStyle name="Input 2 12 2 8 5 2" xfId="15826" xr:uid="{00000000-0005-0000-0000-0000FD260000}"/>
    <cellStyle name="Input 2 12 2 8 5 3" xfId="15970" xr:uid="{00000000-0005-0000-0000-0000FE260000}"/>
    <cellStyle name="Input 2 12 2 8 6" xfId="15971" xr:uid="{00000000-0005-0000-0000-0000FF260000}"/>
    <cellStyle name="Input 2 12 2 8 7" xfId="15972" xr:uid="{00000000-0005-0000-0000-000000270000}"/>
    <cellStyle name="Input 2 12 2 9" xfId="15142" xr:uid="{00000000-0005-0000-0000-000001270000}"/>
    <cellStyle name="Input 2 12 2 9 2" xfId="15973" xr:uid="{00000000-0005-0000-0000-000002270000}"/>
    <cellStyle name="Input 2 12 2 9 2 2" xfId="15974" xr:uid="{00000000-0005-0000-0000-000003270000}"/>
    <cellStyle name="Input 2 12 2 9 2 3" xfId="15976" xr:uid="{00000000-0005-0000-0000-000004270000}"/>
    <cellStyle name="Input 2 12 2 9 2 4" xfId="15978" xr:uid="{00000000-0005-0000-0000-000005270000}"/>
    <cellStyle name="Input 2 12 2 9 3" xfId="2955" xr:uid="{00000000-0005-0000-0000-000006270000}"/>
    <cellStyle name="Input 2 12 2 9 3 2" xfId="4218" xr:uid="{00000000-0005-0000-0000-000007270000}"/>
    <cellStyle name="Input 2 12 2 9 3 3" xfId="4229" xr:uid="{00000000-0005-0000-0000-000008270000}"/>
    <cellStyle name="Input 2 12 2 9 3 4" xfId="4237" xr:uid="{00000000-0005-0000-0000-000009270000}"/>
    <cellStyle name="Input 2 12 2 9 4" xfId="2957" xr:uid="{00000000-0005-0000-0000-00000A270000}"/>
    <cellStyle name="Input 2 12 2 9 4 2" xfId="4256" xr:uid="{00000000-0005-0000-0000-00000B270000}"/>
    <cellStyle name="Input 2 12 2 9 4 3" xfId="4258" xr:uid="{00000000-0005-0000-0000-00000C270000}"/>
    <cellStyle name="Input 2 12 2 9 5" xfId="15981" xr:uid="{00000000-0005-0000-0000-00000D270000}"/>
    <cellStyle name="Input 2 12 2 9 5 2" xfId="4262" xr:uid="{00000000-0005-0000-0000-00000E270000}"/>
    <cellStyle name="Input 2 12 2 9 5 3" xfId="4264" xr:uid="{00000000-0005-0000-0000-00000F270000}"/>
    <cellStyle name="Input 2 12 2 9 6" xfId="15982" xr:uid="{00000000-0005-0000-0000-000010270000}"/>
    <cellStyle name="Input 2 12 2 9 7" xfId="15983" xr:uid="{00000000-0005-0000-0000-000011270000}"/>
    <cellStyle name="Input 2 12 20" xfId="15778" xr:uid="{00000000-0005-0000-0000-000012270000}"/>
    <cellStyle name="Input 2 12 3" xfId="7444" xr:uid="{00000000-0005-0000-0000-000013270000}"/>
    <cellStyle name="Input 2 12 3 10" xfId="6870" xr:uid="{00000000-0005-0000-0000-000014270000}"/>
    <cellStyle name="Input 2 12 3 10 2" xfId="15985" xr:uid="{00000000-0005-0000-0000-000015270000}"/>
    <cellStyle name="Input 2 12 3 10 2 2" xfId="15986" xr:uid="{00000000-0005-0000-0000-000016270000}"/>
    <cellStyle name="Input 2 12 3 10 2 3" xfId="15988" xr:uid="{00000000-0005-0000-0000-000017270000}"/>
    <cellStyle name="Input 2 12 3 10 2 4" xfId="15990" xr:uid="{00000000-0005-0000-0000-000018270000}"/>
    <cellStyle name="Input 2 12 3 10 3" xfId="15992" xr:uid="{00000000-0005-0000-0000-000019270000}"/>
    <cellStyle name="Input 2 12 3 10 3 2" xfId="15993" xr:uid="{00000000-0005-0000-0000-00001A270000}"/>
    <cellStyle name="Input 2 12 3 10 3 3" xfId="15994" xr:uid="{00000000-0005-0000-0000-00001B270000}"/>
    <cellStyle name="Input 2 12 3 10 3 4" xfId="15995" xr:uid="{00000000-0005-0000-0000-00001C270000}"/>
    <cellStyle name="Input 2 12 3 10 4" xfId="15996" xr:uid="{00000000-0005-0000-0000-00001D270000}"/>
    <cellStyle name="Input 2 12 3 10 4 2" xfId="15998" xr:uid="{00000000-0005-0000-0000-00001E270000}"/>
    <cellStyle name="Input 2 12 3 10 4 3" xfId="16000" xr:uid="{00000000-0005-0000-0000-00001F270000}"/>
    <cellStyle name="Input 2 12 3 10 5" xfId="16001" xr:uid="{00000000-0005-0000-0000-000020270000}"/>
    <cellStyle name="Input 2 12 3 10 5 2" xfId="7232" xr:uid="{00000000-0005-0000-0000-000021270000}"/>
    <cellStyle name="Input 2 12 3 10 5 3" xfId="16002" xr:uid="{00000000-0005-0000-0000-000022270000}"/>
    <cellStyle name="Input 2 12 3 10 6" xfId="16004" xr:uid="{00000000-0005-0000-0000-000023270000}"/>
    <cellStyle name="Input 2 12 3 10 7" xfId="16005" xr:uid="{00000000-0005-0000-0000-000024270000}"/>
    <cellStyle name="Input 2 12 3 11" xfId="6875" xr:uid="{00000000-0005-0000-0000-000025270000}"/>
    <cellStyle name="Input 2 12 3 11 2" xfId="16006" xr:uid="{00000000-0005-0000-0000-000026270000}"/>
    <cellStyle name="Input 2 12 3 11 3" xfId="16007" xr:uid="{00000000-0005-0000-0000-000027270000}"/>
    <cellStyle name="Input 2 12 3 11 4" xfId="16008" xr:uid="{00000000-0005-0000-0000-000028270000}"/>
    <cellStyle name="Input 2 12 3 12" xfId="16009" xr:uid="{00000000-0005-0000-0000-000029270000}"/>
    <cellStyle name="Input 2 12 3 12 2" xfId="16011" xr:uid="{00000000-0005-0000-0000-00002A270000}"/>
    <cellStyle name="Input 2 12 3 12 3" xfId="16013" xr:uid="{00000000-0005-0000-0000-00002B270000}"/>
    <cellStyle name="Input 2 12 3 12 4" xfId="16015" xr:uid="{00000000-0005-0000-0000-00002C270000}"/>
    <cellStyle name="Input 2 12 3 13" xfId="16017" xr:uid="{00000000-0005-0000-0000-00002D270000}"/>
    <cellStyle name="Input 2 12 3 13 2" xfId="3180" xr:uid="{00000000-0005-0000-0000-00002E270000}"/>
    <cellStyle name="Input 2 12 3 13 3" xfId="16019" xr:uid="{00000000-0005-0000-0000-00002F270000}"/>
    <cellStyle name="Input 2 12 3 14" xfId="16021" xr:uid="{00000000-0005-0000-0000-000030270000}"/>
    <cellStyle name="Input 2 12 3 14 2" xfId="3195" xr:uid="{00000000-0005-0000-0000-000031270000}"/>
    <cellStyle name="Input 2 12 3 14 3" xfId="16024" xr:uid="{00000000-0005-0000-0000-000032270000}"/>
    <cellStyle name="Input 2 12 3 15" xfId="16026" xr:uid="{00000000-0005-0000-0000-000033270000}"/>
    <cellStyle name="Input 2 12 3 16" xfId="10474" xr:uid="{00000000-0005-0000-0000-000034270000}"/>
    <cellStyle name="Input 2 12 3 2" xfId="16028" xr:uid="{00000000-0005-0000-0000-000035270000}"/>
    <cellStyle name="Input 2 12 3 2 2" xfId="16031" xr:uid="{00000000-0005-0000-0000-000036270000}"/>
    <cellStyle name="Input 2 12 3 2 2 2" xfId="16033" xr:uid="{00000000-0005-0000-0000-000037270000}"/>
    <cellStyle name="Input 2 12 3 2 2 3" xfId="16035" xr:uid="{00000000-0005-0000-0000-000038270000}"/>
    <cellStyle name="Input 2 12 3 2 2 4" xfId="15520" xr:uid="{00000000-0005-0000-0000-000039270000}"/>
    <cellStyle name="Input 2 12 3 2 3" xfId="16037" xr:uid="{00000000-0005-0000-0000-00003A270000}"/>
    <cellStyle name="Input 2 12 3 2 3 2" xfId="16039" xr:uid="{00000000-0005-0000-0000-00003B270000}"/>
    <cellStyle name="Input 2 12 3 2 3 3" xfId="16040" xr:uid="{00000000-0005-0000-0000-00003C270000}"/>
    <cellStyle name="Input 2 12 3 2 3 4" xfId="15538" xr:uid="{00000000-0005-0000-0000-00003D270000}"/>
    <cellStyle name="Input 2 12 3 2 4" xfId="16041" xr:uid="{00000000-0005-0000-0000-00003E270000}"/>
    <cellStyle name="Input 2 12 3 2 4 2" xfId="16044" xr:uid="{00000000-0005-0000-0000-00003F270000}"/>
    <cellStyle name="Input 2 12 3 2 4 3" xfId="16045" xr:uid="{00000000-0005-0000-0000-000040270000}"/>
    <cellStyle name="Input 2 12 3 2 5" xfId="16047" xr:uid="{00000000-0005-0000-0000-000041270000}"/>
    <cellStyle name="Input 2 12 3 2 5 2" xfId="16050" xr:uid="{00000000-0005-0000-0000-000042270000}"/>
    <cellStyle name="Input 2 12 3 2 5 3" xfId="16051" xr:uid="{00000000-0005-0000-0000-000043270000}"/>
    <cellStyle name="Input 2 12 3 2 6" xfId="16053" xr:uid="{00000000-0005-0000-0000-000044270000}"/>
    <cellStyle name="Input 2 12 3 2 7" xfId="16056" xr:uid="{00000000-0005-0000-0000-000045270000}"/>
    <cellStyle name="Input 2 12 3 3" xfId="16057" xr:uid="{00000000-0005-0000-0000-000046270000}"/>
    <cellStyle name="Input 2 12 3 3 2" xfId="16060" xr:uid="{00000000-0005-0000-0000-000047270000}"/>
    <cellStyle name="Input 2 12 3 3 2 2" xfId="16061" xr:uid="{00000000-0005-0000-0000-000048270000}"/>
    <cellStyle name="Input 2 12 3 3 2 3" xfId="16062" xr:uid="{00000000-0005-0000-0000-000049270000}"/>
    <cellStyle name="Input 2 12 3 3 2 4" xfId="16063" xr:uid="{00000000-0005-0000-0000-00004A270000}"/>
    <cellStyle name="Input 2 12 3 3 3" xfId="16066" xr:uid="{00000000-0005-0000-0000-00004B270000}"/>
    <cellStyle name="Input 2 12 3 3 3 2" xfId="16067" xr:uid="{00000000-0005-0000-0000-00004C270000}"/>
    <cellStyle name="Input 2 12 3 3 3 3" xfId="16068" xr:uid="{00000000-0005-0000-0000-00004D270000}"/>
    <cellStyle name="Input 2 12 3 3 3 4" xfId="16069" xr:uid="{00000000-0005-0000-0000-00004E270000}"/>
    <cellStyle name="Input 2 12 3 3 4" xfId="16072" xr:uid="{00000000-0005-0000-0000-00004F270000}"/>
    <cellStyle name="Input 2 12 3 3 4 2" xfId="16075" xr:uid="{00000000-0005-0000-0000-000050270000}"/>
    <cellStyle name="Input 2 12 3 3 4 3" xfId="16076" xr:uid="{00000000-0005-0000-0000-000051270000}"/>
    <cellStyle name="Input 2 12 3 3 5" xfId="16078" xr:uid="{00000000-0005-0000-0000-000052270000}"/>
    <cellStyle name="Input 2 12 3 3 5 2" xfId="1385" xr:uid="{00000000-0005-0000-0000-000053270000}"/>
    <cellStyle name="Input 2 12 3 3 5 3" xfId="1387" xr:uid="{00000000-0005-0000-0000-000054270000}"/>
    <cellStyle name="Input 2 12 3 3 6" xfId="16082" xr:uid="{00000000-0005-0000-0000-000055270000}"/>
    <cellStyle name="Input 2 12 3 3 7" xfId="16085" xr:uid="{00000000-0005-0000-0000-000056270000}"/>
    <cellStyle name="Input 2 12 3 4" xfId="16087" xr:uid="{00000000-0005-0000-0000-000057270000}"/>
    <cellStyle name="Input 2 12 3 4 2" xfId="16089" xr:uid="{00000000-0005-0000-0000-000058270000}"/>
    <cellStyle name="Input 2 12 3 4 2 2" xfId="16090" xr:uid="{00000000-0005-0000-0000-000059270000}"/>
    <cellStyle name="Input 2 12 3 4 2 3" xfId="16091" xr:uid="{00000000-0005-0000-0000-00005A270000}"/>
    <cellStyle name="Input 2 12 3 4 2 4" xfId="16092" xr:uid="{00000000-0005-0000-0000-00005B270000}"/>
    <cellStyle name="Input 2 12 3 4 3" xfId="16095" xr:uid="{00000000-0005-0000-0000-00005C270000}"/>
    <cellStyle name="Input 2 12 3 4 3 2" xfId="16096" xr:uid="{00000000-0005-0000-0000-00005D270000}"/>
    <cellStyle name="Input 2 12 3 4 3 3" xfId="16097" xr:uid="{00000000-0005-0000-0000-00005E270000}"/>
    <cellStyle name="Input 2 12 3 4 3 4" xfId="16098" xr:uid="{00000000-0005-0000-0000-00005F270000}"/>
    <cellStyle name="Input 2 12 3 4 4" xfId="16101" xr:uid="{00000000-0005-0000-0000-000060270000}"/>
    <cellStyle name="Input 2 12 3 4 4 2" xfId="16103" xr:uid="{00000000-0005-0000-0000-000061270000}"/>
    <cellStyle name="Input 2 12 3 4 4 3" xfId="16104" xr:uid="{00000000-0005-0000-0000-000062270000}"/>
    <cellStyle name="Input 2 12 3 4 5" xfId="10936" xr:uid="{00000000-0005-0000-0000-000063270000}"/>
    <cellStyle name="Input 2 12 3 4 5 2" xfId="16105" xr:uid="{00000000-0005-0000-0000-000064270000}"/>
    <cellStyle name="Input 2 12 3 4 5 3" xfId="16106" xr:uid="{00000000-0005-0000-0000-000065270000}"/>
    <cellStyle name="Input 2 12 3 4 6" xfId="10939" xr:uid="{00000000-0005-0000-0000-000066270000}"/>
    <cellStyle name="Input 2 12 3 4 7" xfId="10942" xr:uid="{00000000-0005-0000-0000-000067270000}"/>
    <cellStyle name="Input 2 12 3 5" xfId="16107" xr:uid="{00000000-0005-0000-0000-000068270000}"/>
    <cellStyle name="Input 2 12 3 5 2" xfId="16108" xr:uid="{00000000-0005-0000-0000-000069270000}"/>
    <cellStyle name="Input 2 12 3 5 2 2" xfId="16110" xr:uid="{00000000-0005-0000-0000-00006A270000}"/>
    <cellStyle name="Input 2 12 3 5 2 3" xfId="16111" xr:uid="{00000000-0005-0000-0000-00006B270000}"/>
    <cellStyle name="Input 2 12 3 5 2 4" xfId="16112" xr:uid="{00000000-0005-0000-0000-00006C270000}"/>
    <cellStyle name="Input 2 12 3 5 3" xfId="16115" xr:uid="{00000000-0005-0000-0000-00006D270000}"/>
    <cellStyle name="Input 2 12 3 5 3 2" xfId="4299" xr:uid="{00000000-0005-0000-0000-00006E270000}"/>
    <cellStyle name="Input 2 12 3 5 3 3" xfId="16116" xr:uid="{00000000-0005-0000-0000-00006F270000}"/>
    <cellStyle name="Input 2 12 3 5 3 4" xfId="16117" xr:uid="{00000000-0005-0000-0000-000070270000}"/>
    <cellStyle name="Input 2 12 3 5 4" xfId="16120" xr:uid="{00000000-0005-0000-0000-000071270000}"/>
    <cellStyle name="Input 2 12 3 5 4 2" xfId="4328" xr:uid="{00000000-0005-0000-0000-000072270000}"/>
    <cellStyle name="Input 2 12 3 5 4 3" xfId="16122" xr:uid="{00000000-0005-0000-0000-000073270000}"/>
    <cellStyle name="Input 2 12 3 5 5" xfId="10947" xr:uid="{00000000-0005-0000-0000-000074270000}"/>
    <cellStyle name="Input 2 12 3 5 5 2" xfId="4362" xr:uid="{00000000-0005-0000-0000-000075270000}"/>
    <cellStyle name="Input 2 12 3 5 5 3" xfId="16123" xr:uid="{00000000-0005-0000-0000-000076270000}"/>
    <cellStyle name="Input 2 12 3 5 6" xfId="10949" xr:uid="{00000000-0005-0000-0000-000077270000}"/>
    <cellStyle name="Input 2 12 3 5 7" xfId="10952" xr:uid="{00000000-0005-0000-0000-000078270000}"/>
    <cellStyle name="Input 2 12 3 6" xfId="16124" xr:uid="{00000000-0005-0000-0000-000079270000}"/>
    <cellStyle name="Input 2 12 3 6 2" xfId="16125" xr:uid="{00000000-0005-0000-0000-00007A270000}"/>
    <cellStyle name="Input 2 12 3 6 2 2" xfId="16126" xr:uid="{00000000-0005-0000-0000-00007B270000}"/>
    <cellStyle name="Input 2 12 3 6 2 3" xfId="16127" xr:uid="{00000000-0005-0000-0000-00007C270000}"/>
    <cellStyle name="Input 2 12 3 6 2 4" xfId="16128" xr:uid="{00000000-0005-0000-0000-00007D270000}"/>
    <cellStyle name="Input 2 12 3 6 3" xfId="16131" xr:uid="{00000000-0005-0000-0000-00007E270000}"/>
    <cellStyle name="Input 2 12 3 6 3 2" xfId="4576" xr:uid="{00000000-0005-0000-0000-00007F270000}"/>
    <cellStyle name="Input 2 12 3 6 3 3" xfId="16132" xr:uid="{00000000-0005-0000-0000-000080270000}"/>
    <cellStyle name="Input 2 12 3 6 3 4" xfId="16133" xr:uid="{00000000-0005-0000-0000-000081270000}"/>
    <cellStyle name="Input 2 12 3 6 4" xfId="16136" xr:uid="{00000000-0005-0000-0000-000082270000}"/>
    <cellStyle name="Input 2 12 3 6 4 2" xfId="4616" xr:uid="{00000000-0005-0000-0000-000083270000}"/>
    <cellStyle name="Input 2 12 3 6 4 3" xfId="16137" xr:uid="{00000000-0005-0000-0000-000084270000}"/>
    <cellStyle name="Input 2 12 3 6 5" xfId="10957" xr:uid="{00000000-0005-0000-0000-000085270000}"/>
    <cellStyle name="Input 2 12 3 6 5 2" xfId="4642" xr:uid="{00000000-0005-0000-0000-000086270000}"/>
    <cellStyle name="Input 2 12 3 6 5 3" xfId="16138" xr:uid="{00000000-0005-0000-0000-000087270000}"/>
    <cellStyle name="Input 2 12 3 6 6" xfId="10958" xr:uid="{00000000-0005-0000-0000-000088270000}"/>
    <cellStyle name="Input 2 12 3 6 7" xfId="16139" xr:uid="{00000000-0005-0000-0000-000089270000}"/>
    <cellStyle name="Input 2 12 3 7" xfId="9968" xr:uid="{00000000-0005-0000-0000-00008A270000}"/>
    <cellStyle name="Input 2 12 3 7 2" xfId="6446" xr:uid="{00000000-0005-0000-0000-00008B270000}"/>
    <cellStyle name="Input 2 12 3 7 2 2" xfId="16141" xr:uid="{00000000-0005-0000-0000-00008C270000}"/>
    <cellStyle name="Input 2 12 3 7 2 3" xfId="16142" xr:uid="{00000000-0005-0000-0000-00008D270000}"/>
    <cellStyle name="Input 2 12 3 7 2 4" xfId="16143" xr:uid="{00000000-0005-0000-0000-00008E270000}"/>
    <cellStyle name="Input 2 12 3 7 3" xfId="16146" xr:uid="{00000000-0005-0000-0000-00008F270000}"/>
    <cellStyle name="Input 2 12 3 7 3 2" xfId="16147" xr:uid="{00000000-0005-0000-0000-000090270000}"/>
    <cellStyle name="Input 2 12 3 7 3 3" xfId="16148" xr:uid="{00000000-0005-0000-0000-000091270000}"/>
    <cellStyle name="Input 2 12 3 7 3 4" xfId="16149" xr:uid="{00000000-0005-0000-0000-000092270000}"/>
    <cellStyle name="Input 2 12 3 7 4" xfId="16152" xr:uid="{00000000-0005-0000-0000-000093270000}"/>
    <cellStyle name="Input 2 12 3 7 4 2" xfId="16153" xr:uid="{00000000-0005-0000-0000-000094270000}"/>
    <cellStyle name="Input 2 12 3 7 4 3" xfId="16154" xr:uid="{00000000-0005-0000-0000-000095270000}"/>
    <cellStyle name="Input 2 12 3 7 5" xfId="10964" xr:uid="{00000000-0005-0000-0000-000096270000}"/>
    <cellStyle name="Input 2 12 3 7 5 2" xfId="16155" xr:uid="{00000000-0005-0000-0000-000097270000}"/>
    <cellStyle name="Input 2 12 3 7 5 3" xfId="16156" xr:uid="{00000000-0005-0000-0000-000098270000}"/>
    <cellStyle name="Input 2 12 3 7 6" xfId="10966" xr:uid="{00000000-0005-0000-0000-000099270000}"/>
    <cellStyle name="Input 2 12 3 7 7" xfId="16157" xr:uid="{00000000-0005-0000-0000-00009A270000}"/>
    <cellStyle name="Input 2 12 3 8" xfId="9972" xr:uid="{00000000-0005-0000-0000-00009B270000}"/>
    <cellStyle name="Input 2 12 3 8 2" xfId="6452" xr:uid="{00000000-0005-0000-0000-00009C270000}"/>
    <cellStyle name="Input 2 12 3 8 2 2" xfId="14246" xr:uid="{00000000-0005-0000-0000-00009D270000}"/>
    <cellStyle name="Input 2 12 3 8 2 3" xfId="14248" xr:uid="{00000000-0005-0000-0000-00009E270000}"/>
    <cellStyle name="Input 2 12 3 8 2 4" xfId="14250" xr:uid="{00000000-0005-0000-0000-00009F270000}"/>
    <cellStyle name="Input 2 12 3 8 3" xfId="16158" xr:uid="{00000000-0005-0000-0000-0000A0270000}"/>
    <cellStyle name="Input 2 12 3 8 3 2" xfId="16159" xr:uid="{00000000-0005-0000-0000-0000A1270000}"/>
    <cellStyle name="Input 2 12 3 8 3 3" xfId="16160" xr:uid="{00000000-0005-0000-0000-0000A2270000}"/>
    <cellStyle name="Input 2 12 3 8 3 4" xfId="16161" xr:uid="{00000000-0005-0000-0000-0000A3270000}"/>
    <cellStyle name="Input 2 12 3 8 4" xfId="16164" xr:uid="{00000000-0005-0000-0000-0000A4270000}"/>
    <cellStyle name="Input 2 12 3 8 4 2" xfId="16165" xr:uid="{00000000-0005-0000-0000-0000A5270000}"/>
    <cellStyle name="Input 2 12 3 8 4 3" xfId="16166" xr:uid="{00000000-0005-0000-0000-0000A6270000}"/>
    <cellStyle name="Input 2 12 3 8 5" xfId="16167" xr:uid="{00000000-0005-0000-0000-0000A7270000}"/>
    <cellStyle name="Input 2 12 3 8 5 2" xfId="16168" xr:uid="{00000000-0005-0000-0000-0000A8270000}"/>
    <cellStyle name="Input 2 12 3 8 5 3" xfId="16169" xr:uid="{00000000-0005-0000-0000-0000A9270000}"/>
    <cellStyle name="Input 2 12 3 8 6" xfId="16170" xr:uid="{00000000-0005-0000-0000-0000AA270000}"/>
    <cellStyle name="Input 2 12 3 8 7" xfId="16171" xr:uid="{00000000-0005-0000-0000-0000AB270000}"/>
    <cellStyle name="Input 2 12 3 9" xfId="15143" xr:uid="{00000000-0005-0000-0000-0000AC270000}"/>
    <cellStyle name="Input 2 12 3 9 2" xfId="16172" xr:uid="{00000000-0005-0000-0000-0000AD270000}"/>
    <cellStyle name="Input 2 12 3 9 2 2" xfId="16173" xr:uid="{00000000-0005-0000-0000-0000AE270000}"/>
    <cellStyle name="Input 2 12 3 9 2 3" xfId="16175" xr:uid="{00000000-0005-0000-0000-0000AF270000}"/>
    <cellStyle name="Input 2 12 3 9 2 4" xfId="16176" xr:uid="{00000000-0005-0000-0000-0000B0270000}"/>
    <cellStyle name="Input 2 12 3 9 3" xfId="16179" xr:uid="{00000000-0005-0000-0000-0000B1270000}"/>
    <cellStyle name="Input 2 12 3 9 3 2" xfId="16181" xr:uid="{00000000-0005-0000-0000-0000B2270000}"/>
    <cellStyle name="Input 2 12 3 9 3 3" xfId="16183" xr:uid="{00000000-0005-0000-0000-0000B3270000}"/>
    <cellStyle name="Input 2 12 3 9 3 4" xfId="16184" xr:uid="{00000000-0005-0000-0000-0000B4270000}"/>
    <cellStyle name="Input 2 12 3 9 4" xfId="16187" xr:uid="{00000000-0005-0000-0000-0000B5270000}"/>
    <cellStyle name="Input 2 12 3 9 4 2" xfId="224" xr:uid="{00000000-0005-0000-0000-0000B6270000}"/>
    <cellStyle name="Input 2 12 3 9 4 3" xfId="16189" xr:uid="{00000000-0005-0000-0000-0000B7270000}"/>
    <cellStyle name="Input 2 12 3 9 5" xfId="16190" xr:uid="{00000000-0005-0000-0000-0000B8270000}"/>
    <cellStyle name="Input 2 12 3 9 5 2" xfId="16192" xr:uid="{00000000-0005-0000-0000-0000B9270000}"/>
    <cellStyle name="Input 2 12 3 9 5 3" xfId="16193" xr:uid="{00000000-0005-0000-0000-0000BA270000}"/>
    <cellStyle name="Input 2 12 3 9 6" xfId="16194" xr:uid="{00000000-0005-0000-0000-0000BB270000}"/>
    <cellStyle name="Input 2 12 3 9 7" xfId="16196" xr:uid="{00000000-0005-0000-0000-0000BC270000}"/>
    <cellStyle name="Input 2 12 4" xfId="3876" xr:uid="{00000000-0005-0000-0000-0000BD270000}"/>
    <cellStyle name="Input 2 12 4 2" xfId="6436" xr:uid="{00000000-0005-0000-0000-0000BE270000}"/>
    <cellStyle name="Input 2 12 4 2 2" xfId="6442" xr:uid="{00000000-0005-0000-0000-0000BF270000}"/>
    <cellStyle name="Input 2 12 4 2 3" xfId="6448" xr:uid="{00000000-0005-0000-0000-0000C0270000}"/>
    <cellStyle name="Input 2 12 4 2 4" xfId="6454" xr:uid="{00000000-0005-0000-0000-0000C1270000}"/>
    <cellStyle name="Input 2 12 4 3" xfId="6469" xr:uid="{00000000-0005-0000-0000-0000C2270000}"/>
    <cellStyle name="Input 2 12 4 3 2" xfId="6473" xr:uid="{00000000-0005-0000-0000-0000C3270000}"/>
    <cellStyle name="Input 2 12 4 3 3" xfId="6476" xr:uid="{00000000-0005-0000-0000-0000C4270000}"/>
    <cellStyle name="Input 2 12 4 3 4" xfId="6481" xr:uid="{00000000-0005-0000-0000-0000C5270000}"/>
    <cellStyle name="Input 2 12 4 4" xfId="4282" xr:uid="{00000000-0005-0000-0000-0000C6270000}"/>
    <cellStyle name="Input 2 12 4 4 2" xfId="3497" xr:uid="{00000000-0005-0000-0000-0000C7270000}"/>
    <cellStyle name="Input 2 12 4 4 3" xfId="3508" xr:uid="{00000000-0005-0000-0000-0000C8270000}"/>
    <cellStyle name="Input 2 12 4 5" xfId="16200" xr:uid="{00000000-0005-0000-0000-0000C9270000}"/>
    <cellStyle name="Input 2 12 4 5 2" xfId="16201" xr:uid="{00000000-0005-0000-0000-0000CA270000}"/>
    <cellStyle name="Input 2 12 4 5 3" xfId="16202" xr:uid="{00000000-0005-0000-0000-0000CB270000}"/>
    <cellStyle name="Input 2 12 4 6" xfId="16203" xr:uid="{00000000-0005-0000-0000-0000CC270000}"/>
    <cellStyle name="Input 2 12 4 7" xfId="15146" xr:uid="{00000000-0005-0000-0000-0000CD270000}"/>
    <cellStyle name="Input 2 12 5" xfId="3885" xr:uid="{00000000-0005-0000-0000-0000CE270000}"/>
    <cellStyle name="Input 2 12 5 2" xfId="6664" xr:uid="{00000000-0005-0000-0000-0000CF270000}"/>
    <cellStyle name="Input 2 12 5 2 2" xfId="6671" xr:uid="{00000000-0005-0000-0000-0000D0270000}"/>
    <cellStyle name="Input 2 12 5 2 3" xfId="6680" xr:uid="{00000000-0005-0000-0000-0000D1270000}"/>
    <cellStyle name="Input 2 12 5 2 4" xfId="6689" xr:uid="{00000000-0005-0000-0000-0000D2270000}"/>
    <cellStyle name="Input 2 12 5 3" xfId="6540" xr:uid="{00000000-0005-0000-0000-0000D3270000}"/>
    <cellStyle name="Input 2 12 5 3 2" xfId="5339" xr:uid="{00000000-0005-0000-0000-0000D4270000}"/>
    <cellStyle name="Input 2 12 5 3 3" xfId="5349" xr:uid="{00000000-0005-0000-0000-0000D5270000}"/>
    <cellStyle name="Input 2 12 5 3 4" xfId="5355" xr:uid="{00000000-0005-0000-0000-0000D6270000}"/>
    <cellStyle name="Input 2 12 5 4" xfId="1820" xr:uid="{00000000-0005-0000-0000-0000D7270000}"/>
    <cellStyle name="Input 2 12 5 4 2" xfId="3479" xr:uid="{00000000-0005-0000-0000-0000D8270000}"/>
    <cellStyle name="Input 2 12 5 4 3" xfId="4302" xr:uid="{00000000-0005-0000-0000-0000D9270000}"/>
    <cellStyle name="Input 2 12 5 5" xfId="14278" xr:uid="{00000000-0005-0000-0000-0000DA270000}"/>
    <cellStyle name="Input 2 12 5 5 2" xfId="16205" xr:uid="{00000000-0005-0000-0000-0000DB270000}"/>
    <cellStyle name="Input 2 12 5 5 3" xfId="16207" xr:uid="{00000000-0005-0000-0000-0000DC270000}"/>
    <cellStyle name="Input 2 12 5 6" xfId="14280" xr:uid="{00000000-0005-0000-0000-0000DD270000}"/>
    <cellStyle name="Input 2 12 5 7" xfId="14283" xr:uid="{00000000-0005-0000-0000-0000DE270000}"/>
    <cellStyle name="Input 2 12 6" xfId="16210" xr:uid="{00000000-0005-0000-0000-0000DF270000}"/>
    <cellStyle name="Input 2 12 6 2" xfId="6740" xr:uid="{00000000-0005-0000-0000-0000E0270000}"/>
    <cellStyle name="Input 2 12 6 2 2" xfId="16217" xr:uid="{00000000-0005-0000-0000-0000E1270000}"/>
    <cellStyle name="Input 2 12 6 2 3" xfId="16219" xr:uid="{00000000-0005-0000-0000-0000E2270000}"/>
    <cellStyle name="Input 2 12 6 2 4" xfId="16221" xr:uid="{00000000-0005-0000-0000-0000E3270000}"/>
    <cellStyle name="Input 2 12 6 3" xfId="16224" xr:uid="{00000000-0005-0000-0000-0000E4270000}"/>
    <cellStyle name="Input 2 12 6 3 2" xfId="16228" xr:uid="{00000000-0005-0000-0000-0000E5270000}"/>
    <cellStyle name="Input 2 12 6 3 3" xfId="16229" xr:uid="{00000000-0005-0000-0000-0000E6270000}"/>
    <cellStyle name="Input 2 12 6 3 4" xfId="16230" xr:uid="{00000000-0005-0000-0000-0000E7270000}"/>
    <cellStyle name="Input 2 12 6 4" xfId="16233" xr:uid="{00000000-0005-0000-0000-0000E8270000}"/>
    <cellStyle name="Input 2 12 6 4 2" xfId="16235" xr:uid="{00000000-0005-0000-0000-0000E9270000}"/>
    <cellStyle name="Input 2 12 6 4 3" xfId="16236" xr:uid="{00000000-0005-0000-0000-0000EA270000}"/>
    <cellStyle name="Input 2 12 6 5" xfId="16237" xr:uid="{00000000-0005-0000-0000-0000EB270000}"/>
    <cellStyle name="Input 2 12 6 5 2" xfId="16238" xr:uid="{00000000-0005-0000-0000-0000EC270000}"/>
    <cellStyle name="Input 2 12 6 5 3" xfId="16239" xr:uid="{00000000-0005-0000-0000-0000ED270000}"/>
    <cellStyle name="Input 2 12 6 6" xfId="16240" xr:uid="{00000000-0005-0000-0000-0000EE270000}"/>
    <cellStyle name="Input 2 12 6 7" xfId="15154" xr:uid="{00000000-0005-0000-0000-0000EF270000}"/>
    <cellStyle name="Input 2 12 7" xfId="13218" xr:uid="{00000000-0005-0000-0000-0000F0270000}"/>
    <cellStyle name="Input 2 12 7 2" xfId="6306" xr:uid="{00000000-0005-0000-0000-0000F1270000}"/>
    <cellStyle name="Input 2 12 7 2 2" xfId="16242" xr:uid="{00000000-0005-0000-0000-0000F2270000}"/>
    <cellStyle name="Input 2 12 7 2 3" xfId="16243" xr:uid="{00000000-0005-0000-0000-0000F3270000}"/>
    <cellStyle name="Input 2 12 7 2 4" xfId="16244" xr:uid="{00000000-0005-0000-0000-0000F4270000}"/>
    <cellStyle name="Input 2 12 7 3" xfId="16246" xr:uid="{00000000-0005-0000-0000-0000F5270000}"/>
    <cellStyle name="Input 2 12 7 3 2" xfId="16249" xr:uid="{00000000-0005-0000-0000-0000F6270000}"/>
    <cellStyle name="Input 2 12 7 3 3" xfId="16251" xr:uid="{00000000-0005-0000-0000-0000F7270000}"/>
    <cellStyle name="Input 2 12 7 3 4" xfId="16253" xr:uid="{00000000-0005-0000-0000-0000F8270000}"/>
    <cellStyle name="Input 2 12 7 4" xfId="14312" xr:uid="{00000000-0005-0000-0000-0000F9270000}"/>
    <cellStyle name="Input 2 12 7 4 2" xfId="14315" xr:uid="{00000000-0005-0000-0000-0000FA270000}"/>
    <cellStyle name="Input 2 12 7 4 3" xfId="16255" xr:uid="{00000000-0005-0000-0000-0000FB270000}"/>
    <cellStyle name="Input 2 12 7 5" xfId="14318" xr:uid="{00000000-0005-0000-0000-0000FC270000}"/>
    <cellStyle name="Input 2 12 7 5 2" xfId="16257" xr:uid="{00000000-0005-0000-0000-0000FD270000}"/>
    <cellStyle name="Input 2 12 7 5 3" xfId="16259" xr:uid="{00000000-0005-0000-0000-0000FE270000}"/>
    <cellStyle name="Input 2 12 7 6" xfId="14320" xr:uid="{00000000-0005-0000-0000-0000FF270000}"/>
    <cellStyle name="Input 2 12 7 7" xfId="1275" xr:uid="{00000000-0005-0000-0000-000000280000}"/>
    <cellStyle name="Input 2 12 8" xfId="13223" xr:uid="{00000000-0005-0000-0000-000001280000}"/>
    <cellStyle name="Input 2 12 8 2" xfId="6767" xr:uid="{00000000-0005-0000-0000-000002280000}"/>
    <cellStyle name="Input 2 12 8 2 2" xfId="16260" xr:uid="{00000000-0005-0000-0000-000003280000}"/>
    <cellStyle name="Input 2 12 8 2 3" xfId="16261" xr:uid="{00000000-0005-0000-0000-000004280000}"/>
    <cellStyle name="Input 2 12 8 2 4" xfId="16262" xr:uid="{00000000-0005-0000-0000-000005280000}"/>
    <cellStyle name="Input 2 12 8 3" xfId="16264" xr:uid="{00000000-0005-0000-0000-000006280000}"/>
    <cellStyle name="Input 2 12 8 3 2" xfId="16266" xr:uid="{00000000-0005-0000-0000-000007280000}"/>
    <cellStyle name="Input 2 12 8 3 3" xfId="16268" xr:uid="{00000000-0005-0000-0000-000008280000}"/>
    <cellStyle name="Input 2 12 8 3 4" xfId="16270" xr:uid="{00000000-0005-0000-0000-000009280000}"/>
    <cellStyle name="Input 2 12 8 4" xfId="14325" xr:uid="{00000000-0005-0000-0000-00000A280000}"/>
    <cellStyle name="Input 2 12 8 4 2" xfId="16272" xr:uid="{00000000-0005-0000-0000-00000B280000}"/>
    <cellStyle name="Input 2 12 8 4 3" xfId="16274" xr:uid="{00000000-0005-0000-0000-00000C280000}"/>
    <cellStyle name="Input 2 12 8 5" xfId="16276" xr:uid="{00000000-0005-0000-0000-00000D280000}"/>
    <cellStyle name="Input 2 12 8 5 2" xfId="16277" xr:uid="{00000000-0005-0000-0000-00000E280000}"/>
    <cellStyle name="Input 2 12 8 5 3" xfId="16279" xr:uid="{00000000-0005-0000-0000-00000F280000}"/>
    <cellStyle name="Input 2 12 8 6" xfId="16280" xr:uid="{00000000-0005-0000-0000-000010280000}"/>
    <cellStyle name="Input 2 12 8 7" xfId="4390" xr:uid="{00000000-0005-0000-0000-000011280000}"/>
    <cellStyle name="Input 2 12 9" xfId="13228" xr:uid="{00000000-0005-0000-0000-000012280000}"/>
    <cellStyle name="Input 2 12 9 2" xfId="6776" xr:uid="{00000000-0005-0000-0000-000013280000}"/>
    <cellStyle name="Input 2 12 9 2 2" xfId="16282" xr:uid="{00000000-0005-0000-0000-000014280000}"/>
    <cellStyle name="Input 2 12 9 2 3" xfId="16283" xr:uid="{00000000-0005-0000-0000-000015280000}"/>
    <cellStyle name="Input 2 12 9 2 4" xfId="16284" xr:uid="{00000000-0005-0000-0000-000016280000}"/>
    <cellStyle name="Input 2 12 9 3" xfId="16285" xr:uid="{00000000-0005-0000-0000-000017280000}"/>
    <cellStyle name="Input 2 12 9 3 2" xfId="16287" xr:uid="{00000000-0005-0000-0000-000018280000}"/>
    <cellStyle name="Input 2 12 9 3 3" xfId="16290" xr:uid="{00000000-0005-0000-0000-000019280000}"/>
    <cellStyle name="Input 2 12 9 3 4" xfId="16293" xr:uid="{00000000-0005-0000-0000-00001A280000}"/>
    <cellStyle name="Input 2 12 9 4" xfId="14329" xr:uid="{00000000-0005-0000-0000-00001B280000}"/>
    <cellStyle name="Input 2 12 9 4 2" xfId="16295" xr:uid="{00000000-0005-0000-0000-00001C280000}"/>
    <cellStyle name="Input 2 12 9 4 3" xfId="16298" xr:uid="{00000000-0005-0000-0000-00001D280000}"/>
    <cellStyle name="Input 2 12 9 5" xfId="16301" xr:uid="{00000000-0005-0000-0000-00001E280000}"/>
    <cellStyle name="Input 2 12 9 5 2" xfId="16302" xr:uid="{00000000-0005-0000-0000-00001F280000}"/>
    <cellStyle name="Input 2 12 9 5 3" xfId="16305" xr:uid="{00000000-0005-0000-0000-000020280000}"/>
    <cellStyle name="Input 2 12 9 6" xfId="16308" xr:uid="{00000000-0005-0000-0000-000021280000}"/>
    <cellStyle name="Input 2 12 9 7" xfId="4425" xr:uid="{00000000-0005-0000-0000-000022280000}"/>
    <cellStyle name="Input 2 13" xfId="16310" xr:uid="{00000000-0005-0000-0000-000023280000}"/>
    <cellStyle name="Input 2 13 10" xfId="16311" xr:uid="{00000000-0005-0000-0000-000024280000}"/>
    <cellStyle name="Input 2 13 10 2" xfId="16312" xr:uid="{00000000-0005-0000-0000-000025280000}"/>
    <cellStyle name="Input 2 13 10 2 2" xfId="16313" xr:uid="{00000000-0005-0000-0000-000026280000}"/>
    <cellStyle name="Input 2 13 10 2 3" xfId="9497" xr:uid="{00000000-0005-0000-0000-000027280000}"/>
    <cellStyle name="Input 2 13 10 2 4" xfId="9499" xr:uid="{00000000-0005-0000-0000-000028280000}"/>
    <cellStyle name="Input 2 13 10 3" xfId="16314" xr:uid="{00000000-0005-0000-0000-000029280000}"/>
    <cellStyle name="Input 2 13 10 3 2" xfId="16315" xr:uid="{00000000-0005-0000-0000-00002A280000}"/>
    <cellStyle name="Input 2 13 10 3 3" xfId="9506" xr:uid="{00000000-0005-0000-0000-00002B280000}"/>
    <cellStyle name="Input 2 13 10 3 4" xfId="9508" xr:uid="{00000000-0005-0000-0000-00002C280000}"/>
    <cellStyle name="Input 2 13 10 4" xfId="16316" xr:uid="{00000000-0005-0000-0000-00002D280000}"/>
    <cellStyle name="Input 2 13 10 4 2" xfId="16317" xr:uid="{00000000-0005-0000-0000-00002E280000}"/>
    <cellStyle name="Input 2 13 10 4 3" xfId="9514" xr:uid="{00000000-0005-0000-0000-00002F280000}"/>
    <cellStyle name="Input 2 13 10 5" xfId="16319" xr:uid="{00000000-0005-0000-0000-000030280000}"/>
    <cellStyle name="Input 2 13 10 5 2" xfId="16320" xr:uid="{00000000-0005-0000-0000-000031280000}"/>
    <cellStyle name="Input 2 13 10 5 3" xfId="9520" xr:uid="{00000000-0005-0000-0000-000032280000}"/>
    <cellStyle name="Input 2 13 10 6" xfId="301" xr:uid="{00000000-0005-0000-0000-000033280000}"/>
    <cellStyle name="Input 2 13 10 7" xfId="924" xr:uid="{00000000-0005-0000-0000-000034280000}"/>
    <cellStyle name="Input 2 13 11" xfId="16322" xr:uid="{00000000-0005-0000-0000-000035280000}"/>
    <cellStyle name="Input 2 13 11 2" xfId="16323" xr:uid="{00000000-0005-0000-0000-000036280000}"/>
    <cellStyle name="Input 2 13 11 2 2" xfId="16324" xr:uid="{00000000-0005-0000-0000-000037280000}"/>
    <cellStyle name="Input 2 13 11 2 3" xfId="4858" xr:uid="{00000000-0005-0000-0000-000038280000}"/>
    <cellStyle name="Input 2 13 11 2 4" xfId="4865" xr:uid="{00000000-0005-0000-0000-000039280000}"/>
    <cellStyle name="Input 2 13 11 3" xfId="16325" xr:uid="{00000000-0005-0000-0000-00003A280000}"/>
    <cellStyle name="Input 2 13 11 3 2" xfId="16326" xr:uid="{00000000-0005-0000-0000-00003B280000}"/>
    <cellStyle name="Input 2 13 11 3 3" xfId="2905" xr:uid="{00000000-0005-0000-0000-00003C280000}"/>
    <cellStyle name="Input 2 13 11 3 4" xfId="4881" xr:uid="{00000000-0005-0000-0000-00003D280000}"/>
    <cellStyle name="Input 2 13 11 4" xfId="16327" xr:uid="{00000000-0005-0000-0000-00003E280000}"/>
    <cellStyle name="Input 2 13 11 4 2" xfId="16328" xr:uid="{00000000-0005-0000-0000-00003F280000}"/>
    <cellStyle name="Input 2 13 11 4 3" xfId="2912" xr:uid="{00000000-0005-0000-0000-000040280000}"/>
    <cellStyle name="Input 2 13 11 5" xfId="16330" xr:uid="{00000000-0005-0000-0000-000041280000}"/>
    <cellStyle name="Input 2 13 11 5 2" xfId="16331" xr:uid="{00000000-0005-0000-0000-000042280000}"/>
    <cellStyle name="Input 2 13 11 5 3" xfId="4895" xr:uid="{00000000-0005-0000-0000-000043280000}"/>
    <cellStyle name="Input 2 13 11 6" xfId="16333" xr:uid="{00000000-0005-0000-0000-000044280000}"/>
    <cellStyle name="Input 2 13 11 7" xfId="16334" xr:uid="{00000000-0005-0000-0000-000045280000}"/>
    <cellStyle name="Input 2 13 12" xfId="16335" xr:uid="{00000000-0005-0000-0000-000046280000}"/>
    <cellStyle name="Input 2 13 12 2" xfId="16337" xr:uid="{00000000-0005-0000-0000-000047280000}"/>
    <cellStyle name="Input 2 13 12 2 2" xfId="16338" xr:uid="{00000000-0005-0000-0000-000048280000}"/>
    <cellStyle name="Input 2 13 12 2 3" xfId="4908" xr:uid="{00000000-0005-0000-0000-000049280000}"/>
    <cellStyle name="Input 2 13 12 2 4" xfId="4914" xr:uid="{00000000-0005-0000-0000-00004A280000}"/>
    <cellStyle name="Input 2 13 12 3" xfId="16339" xr:uid="{00000000-0005-0000-0000-00004B280000}"/>
    <cellStyle name="Input 2 13 12 3 2" xfId="16340" xr:uid="{00000000-0005-0000-0000-00004C280000}"/>
    <cellStyle name="Input 2 13 12 3 3" xfId="2946" xr:uid="{00000000-0005-0000-0000-00004D280000}"/>
    <cellStyle name="Input 2 13 12 3 4" xfId="4933" xr:uid="{00000000-0005-0000-0000-00004E280000}"/>
    <cellStyle name="Input 2 13 12 4" xfId="16341" xr:uid="{00000000-0005-0000-0000-00004F280000}"/>
    <cellStyle name="Input 2 13 12 4 2" xfId="16342" xr:uid="{00000000-0005-0000-0000-000050280000}"/>
    <cellStyle name="Input 2 13 12 4 3" xfId="2953" xr:uid="{00000000-0005-0000-0000-000051280000}"/>
    <cellStyle name="Input 2 13 12 5" xfId="16344" xr:uid="{00000000-0005-0000-0000-000052280000}"/>
    <cellStyle name="Input 2 13 12 5 2" xfId="16345" xr:uid="{00000000-0005-0000-0000-000053280000}"/>
    <cellStyle name="Input 2 13 12 5 3" xfId="4950" xr:uid="{00000000-0005-0000-0000-000054280000}"/>
    <cellStyle name="Input 2 13 12 6" xfId="16349" xr:uid="{00000000-0005-0000-0000-000055280000}"/>
    <cellStyle name="Input 2 13 12 7" xfId="16350" xr:uid="{00000000-0005-0000-0000-000056280000}"/>
    <cellStyle name="Input 2 13 13" xfId="16351" xr:uid="{00000000-0005-0000-0000-000057280000}"/>
    <cellStyle name="Input 2 13 13 2" xfId="16353" xr:uid="{00000000-0005-0000-0000-000058280000}"/>
    <cellStyle name="Input 2 13 13 3" xfId="16354" xr:uid="{00000000-0005-0000-0000-000059280000}"/>
    <cellStyle name="Input 2 13 13 4" xfId="16355" xr:uid="{00000000-0005-0000-0000-00005A280000}"/>
    <cellStyle name="Input 2 13 14" xfId="16356" xr:uid="{00000000-0005-0000-0000-00005B280000}"/>
    <cellStyle name="Input 2 13 14 2" xfId="16360" xr:uid="{00000000-0005-0000-0000-00005C280000}"/>
    <cellStyle name="Input 2 13 14 3" xfId="16361" xr:uid="{00000000-0005-0000-0000-00005D280000}"/>
    <cellStyle name="Input 2 13 14 4" xfId="16362" xr:uid="{00000000-0005-0000-0000-00005E280000}"/>
    <cellStyle name="Input 2 13 15" xfId="16363" xr:uid="{00000000-0005-0000-0000-00005F280000}"/>
    <cellStyle name="Input 2 13 15 2" xfId="16367" xr:uid="{00000000-0005-0000-0000-000060280000}"/>
    <cellStyle name="Input 2 13 15 3" xfId="16368" xr:uid="{00000000-0005-0000-0000-000061280000}"/>
    <cellStyle name="Input 2 13 16" xfId="16369" xr:uid="{00000000-0005-0000-0000-000062280000}"/>
    <cellStyle name="Input 2 13 16 2" xfId="16372" xr:uid="{00000000-0005-0000-0000-000063280000}"/>
    <cellStyle name="Input 2 13 16 3" xfId="16373" xr:uid="{00000000-0005-0000-0000-000064280000}"/>
    <cellStyle name="Input 2 13 17" xfId="16374" xr:uid="{00000000-0005-0000-0000-000065280000}"/>
    <cellStyle name="Input 2 13 18" xfId="3269" xr:uid="{00000000-0005-0000-0000-000066280000}"/>
    <cellStyle name="Input 2 13 19" xfId="3276" xr:uid="{00000000-0005-0000-0000-000067280000}"/>
    <cellStyle name="Input 2 13 2" xfId="16378" xr:uid="{00000000-0005-0000-0000-000068280000}"/>
    <cellStyle name="Input 2 13 2 10" xfId="16380" xr:uid="{00000000-0005-0000-0000-000069280000}"/>
    <cellStyle name="Input 2 13 2 10 2" xfId="16010" xr:uid="{00000000-0005-0000-0000-00006A280000}"/>
    <cellStyle name="Input 2 13 2 10 2 2" xfId="16012" xr:uid="{00000000-0005-0000-0000-00006B280000}"/>
    <cellStyle name="Input 2 13 2 10 2 3" xfId="16014" xr:uid="{00000000-0005-0000-0000-00006C280000}"/>
    <cellStyle name="Input 2 13 2 10 2 4" xfId="16016" xr:uid="{00000000-0005-0000-0000-00006D280000}"/>
    <cellStyle name="Input 2 13 2 10 3" xfId="16018" xr:uid="{00000000-0005-0000-0000-00006E280000}"/>
    <cellStyle name="Input 2 13 2 10 3 2" xfId="3179" xr:uid="{00000000-0005-0000-0000-00006F280000}"/>
    <cellStyle name="Input 2 13 2 10 3 3" xfId="16020" xr:uid="{00000000-0005-0000-0000-000070280000}"/>
    <cellStyle name="Input 2 13 2 10 3 4" xfId="16381" xr:uid="{00000000-0005-0000-0000-000071280000}"/>
    <cellStyle name="Input 2 13 2 10 4" xfId="16022" xr:uid="{00000000-0005-0000-0000-000072280000}"/>
    <cellStyle name="Input 2 13 2 10 4 2" xfId="3196" xr:uid="{00000000-0005-0000-0000-000073280000}"/>
    <cellStyle name="Input 2 13 2 10 4 3" xfId="16023" xr:uid="{00000000-0005-0000-0000-000074280000}"/>
    <cellStyle name="Input 2 13 2 10 5" xfId="16027" xr:uid="{00000000-0005-0000-0000-000075280000}"/>
    <cellStyle name="Input 2 13 2 10 5 2" xfId="16382" xr:uid="{00000000-0005-0000-0000-000076280000}"/>
    <cellStyle name="Input 2 13 2 10 5 3" xfId="16384" xr:uid="{00000000-0005-0000-0000-000077280000}"/>
    <cellStyle name="Input 2 13 2 10 6" xfId="10475" xr:uid="{00000000-0005-0000-0000-000078280000}"/>
    <cellStyle name="Input 2 13 2 10 7" xfId="10478" xr:uid="{00000000-0005-0000-0000-000079280000}"/>
    <cellStyle name="Input 2 13 2 11" xfId="16386" xr:uid="{00000000-0005-0000-0000-00007A280000}"/>
    <cellStyle name="Input 2 13 2 11 2" xfId="16388" xr:uid="{00000000-0005-0000-0000-00007B280000}"/>
    <cellStyle name="Input 2 13 2 11 3" xfId="16389" xr:uid="{00000000-0005-0000-0000-00007C280000}"/>
    <cellStyle name="Input 2 13 2 11 4" xfId="16392" xr:uid="{00000000-0005-0000-0000-00007D280000}"/>
    <cellStyle name="Input 2 13 2 12" xfId="16395" xr:uid="{00000000-0005-0000-0000-00007E280000}"/>
    <cellStyle name="Input 2 13 2 12 2" xfId="16397" xr:uid="{00000000-0005-0000-0000-00007F280000}"/>
    <cellStyle name="Input 2 13 2 12 3" xfId="16398" xr:uid="{00000000-0005-0000-0000-000080280000}"/>
    <cellStyle name="Input 2 13 2 12 4" xfId="16401" xr:uid="{00000000-0005-0000-0000-000081280000}"/>
    <cellStyle name="Input 2 13 2 13" xfId="9426" xr:uid="{00000000-0005-0000-0000-000082280000}"/>
    <cellStyle name="Input 2 13 2 13 2" xfId="16404" xr:uid="{00000000-0005-0000-0000-000083280000}"/>
    <cellStyle name="Input 2 13 2 13 3" xfId="16405" xr:uid="{00000000-0005-0000-0000-000084280000}"/>
    <cellStyle name="Input 2 13 2 14" xfId="5529" xr:uid="{00000000-0005-0000-0000-000085280000}"/>
    <cellStyle name="Input 2 13 2 14 2" xfId="3102" xr:uid="{00000000-0005-0000-0000-000086280000}"/>
    <cellStyle name="Input 2 13 2 14 3" xfId="3237" xr:uid="{00000000-0005-0000-0000-000087280000}"/>
    <cellStyle name="Input 2 13 2 15" xfId="5532" xr:uid="{00000000-0005-0000-0000-000088280000}"/>
    <cellStyle name="Input 2 13 2 16" xfId="16408" xr:uid="{00000000-0005-0000-0000-000089280000}"/>
    <cellStyle name="Input 2 13 2 2" xfId="16410" xr:uid="{00000000-0005-0000-0000-00008A280000}"/>
    <cellStyle name="Input 2 13 2 2 2" xfId="16411" xr:uid="{00000000-0005-0000-0000-00008B280000}"/>
    <cellStyle name="Input 2 13 2 2 2 2" xfId="16413" xr:uid="{00000000-0005-0000-0000-00008C280000}"/>
    <cellStyle name="Input 2 13 2 2 2 3" xfId="16416" xr:uid="{00000000-0005-0000-0000-00008D280000}"/>
    <cellStyle name="Input 2 13 2 2 2 4" xfId="16419" xr:uid="{00000000-0005-0000-0000-00008E280000}"/>
    <cellStyle name="Input 2 13 2 2 3" xfId="10836" xr:uid="{00000000-0005-0000-0000-00008F280000}"/>
    <cellStyle name="Input 2 13 2 2 3 2" xfId="10838" xr:uid="{00000000-0005-0000-0000-000090280000}"/>
    <cellStyle name="Input 2 13 2 2 3 3" xfId="10842" xr:uid="{00000000-0005-0000-0000-000091280000}"/>
    <cellStyle name="Input 2 13 2 2 3 4" xfId="10846" xr:uid="{00000000-0005-0000-0000-000092280000}"/>
    <cellStyle name="Input 2 13 2 2 4" xfId="10851" xr:uid="{00000000-0005-0000-0000-000093280000}"/>
    <cellStyle name="Input 2 13 2 2 4 2" xfId="10854" xr:uid="{00000000-0005-0000-0000-000094280000}"/>
    <cellStyle name="Input 2 13 2 2 4 3" xfId="10857" xr:uid="{00000000-0005-0000-0000-000095280000}"/>
    <cellStyle name="Input 2 13 2 2 5" xfId="10864" xr:uid="{00000000-0005-0000-0000-000096280000}"/>
    <cellStyle name="Input 2 13 2 2 5 2" xfId="10867" xr:uid="{00000000-0005-0000-0000-000097280000}"/>
    <cellStyle name="Input 2 13 2 2 5 3" xfId="10870" xr:uid="{00000000-0005-0000-0000-000098280000}"/>
    <cellStyle name="Input 2 13 2 2 6" xfId="10873" xr:uid="{00000000-0005-0000-0000-000099280000}"/>
    <cellStyle name="Input 2 13 2 2 7" xfId="10883" xr:uid="{00000000-0005-0000-0000-00009A280000}"/>
    <cellStyle name="Input 2 13 2 3" xfId="16422" xr:uid="{00000000-0005-0000-0000-00009B280000}"/>
    <cellStyle name="Input 2 13 2 3 2" xfId="16423" xr:uid="{00000000-0005-0000-0000-00009C280000}"/>
    <cellStyle name="Input 2 13 2 3 2 2" xfId="16425" xr:uid="{00000000-0005-0000-0000-00009D280000}"/>
    <cellStyle name="Input 2 13 2 3 2 3" xfId="16428" xr:uid="{00000000-0005-0000-0000-00009E280000}"/>
    <cellStyle name="Input 2 13 2 3 2 4" xfId="13503" xr:uid="{00000000-0005-0000-0000-00009F280000}"/>
    <cellStyle name="Input 2 13 2 3 3" xfId="16431" xr:uid="{00000000-0005-0000-0000-0000A0280000}"/>
    <cellStyle name="Input 2 13 2 3 3 2" xfId="16433" xr:uid="{00000000-0005-0000-0000-0000A1280000}"/>
    <cellStyle name="Input 2 13 2 3 3 3" xfId="16435" xr:uid="{00000000-0005-0000-0000-0000A2280000}"/>
    <cellStyle name="Input 2 13 2 3 3 4" xfId="13512" xr:uid="{00000000-0005-0000-0000-0000A3280000}"/>
    <cellStyle name="Input 2 13 2 3 4" xfId="16437" xr:uid="{00000000-0005-0000-0000-0000A4280000}"/>
    <cellStyle name="Input 2 13 2 3 4 2" xfId="16440" xr:uid="{00000000-0005-0000-0000-0000A5280000}"/>
    <cellStyle name="Input 2 13 2 3 4 3" xfId="16442" xr:uid="{00000000-0005-0000-0000-0000A6280000}"/>
    <cellStyle name="Input 2 13 2 3 5" xfId="16444" xr:uid="{00000000-0005-0000-0000-0000A7280000}"/>
    <cellStyle name="Input 2 13 2 3 5 2" xfId="16447" xr:uid="{00000000-0005-0000-0000-0000A8280000}"/>
    <cellStyle name="Input 2 13 2 3 5 3" xfId="16449" xr:uid="{00000000-0005-0000-0000-0000A9280000}"/>
    <cellStyle name="Input 2 13 2 3 6" xfId="16451" xr:uid="{00000000-0005-0000-0000-0000AA280000}"/>
    <cellStyle name="Input 2 13 2 3 7" xfId="16456" xr:uid="{00000000-0005-0000-0000-0000AB280000}"/>
    <cellStyle name="Input 2 13 2 4" xfId="16459" xr:uid="{00000000-0005-0000-0000-0000AC280000}"/>
    <cellStyle name="Input 2 13 2 4 2" xfId="16460" xr:uid="{00000000-0005-0000-0000-0000AD280000}"/>
    <cellStyle name="Input 2 13 2 4 2 2" xfId="16461" xr:uid="{00000000-0005-0000-0000-0000AE280000}"/>
    <cellStyle name="Input 2 13 2 4 2 3" xfId="16462" xr:uid="{00000000-0005-0000-0000-0000AF280000}"/>
    <cellStyle name="Input 2 13 2 4 2 4" xfId="16463" xr:uid="{00000000-0005-0000-0000-0000B0280000}"/>
    <cellStyle name="Input 2 13 2 4 3" xfId="16465" xr:uid="{00000000-0005-0000-0000-0000B1280000}"/>
    <cellStyle name="Input 2 13 2 4 3 2" xfId="16466" xr:uid="{00000000-0005-0000-0000-0000B2280000}"/>
    <cellStyle name="Input 2 13 2 4 3 3" xfId="16467" xr:uid="{00000000-0005-0000-0000-0000B3280000}"/>
    <cellStyle name="Input 2 13 2 4 3 4" xfId="16468" xr:uid="{00000000-0005-0000-0000-0000B4280000}"/>
    <cellStyle name="Input 2 13 2 4 4" xfId="16470" xr:uid="{00000000-0005-0000-0000-0000B5280000}"/>
    <cellStyle name="Input 2 13 2 4 4 2" xfId="16472" xr:uid="{00000000-0005-0000-0000-0000B6280000}"/>
    <cellStyle name="Input 2 13 2 4 4 3" xfId="16473" xr:uid="{00000000-0005-0000-0000-0000B7280000}"/>
    <cellStyle name="Input 2 13 2 4 5" xfId="16474" xr:uid="{00000000-0005-0000-0000-0000B8280000}"/>
    <cellStyle name="Input 2 13 2 4 5 2" xfId="16476" xr:uid="{00000000-0005-0000-0000-0000B9280000}"/>
    <cellStyle name="Input 2 13 2 4 5 3" xfId="16477" xr:uid="{00000000-0005-0000-0000-0000BA280000}"/>
    <cellStyle name="Input 2 13 2 4 6" xfId="16478" xr:uid="{00000000-0005-0000-0000-0000BB280000}"/>
    <cellStyle name="Input 2 13 2 4 7" xfId="16481" xr:uid="{00000000-0005-0000-0000-0000BC280000}"/>
    <cellStyle name="Input 2 13 2 5" xfId="16484" xr:uid="{00000000-0005-0000-0000-0000BD280000}"/>
    <cellStyle name="Input 2 13 2 5 2" xfId="16486" xr:uid="{00000000-0005-0000-0000-0000BE280000}"/>
    <cellStyle name="Input 2 13 2 5 2 2" xfId="16487" xr:uid="{00000000-0005-0000-0000-0000BF280000}"/>
    <cellStyle name="Input 2 13 2 5 2 3" xfId="16490" xr:uid="{00000000-0005-0000-0000-0000C0280000}"/>
    <cellStyle name="Input 2 13 2 5 2 4" xfId="16491" xr:uid="{00000000-0005-0000-0000-0000C1280000}"/>
    <cellStyle name="Input 2 13 2 5 3" xfId="16493" xr:uid="{00000000-0005-0000-0000-0000C2280000}"/>
    <cellStyle name="Input 2 13 2 5 3 2" xfId="16494" xr:uid="{00000000-0005-0000-0000-0000C3280000}"/>
    <cellStyle name="Input 2 13 2 5 3 3" xfId="16499" xr:uid="{00000000-0005-0000-0000-0000C4280000}"/>
    <cellStyle name="Input 2 13 2 5 3 4" xfId="16504" xr:uid="{00000000-0005-0000-0000-0000C5280000}"/>
    <cellStyle name="Input 2 13 2 5 4" xfId="16508" xr:uid="{00000000-0005-0000-0000-0000C6280000}"/>
    <cellStyle name="Input 2 13 2 5 4 2" xfId="16511" xr:uid="{00000000-0005-0000-0000-0000C7280000}"/>
    <cellStyle name="Input 2 13 2 5 4 3" xfId="16515" xr:uid="{00000000-0005-0000-0000-0000C8280000}"/>
    <cellStyle name="Input 2 13 2 5 5" xfId="16519" xr:uid="{00000000-0005-0000-0000-0000C9280000}"/>
    <cellStyle name="Input 2 13 2 5 5 2" xfId="16521" xr:uid="{00000000-0005-0000-0000-0000CA280000}"/>
    <cellStyle name="Input 2 13 2 5 5 3" xfId="16523" xr:uid="{00000000-0005-0000-0000-0000CB280000}"/>
    <cellStyle name="Input 2 13 2 5 6" xfId="16525" xr:uid="{00000000-0005-0000-0000-0000CC280000}"/>
    <cellStyle name="Input 2 13 2 5 7" xfId="16529" xr:uid="{00000000-0005-0000-0000-0000CD280000}"/>
    <cellStyle name="Input 2 13 2 6" xfId="16533" xr:uid="{00000000-0005-0000-0000-0000CE280000}"/>
    <cellStyle name="Input 2 13 2 6 2" xfId="16535" xr:uid="{00000000-0005-0000-0000-0000CF280000}"/>
    <cellStyle name="Input 2 13 2 6 2 2" xfId="16536" xr:uid="{00000000-0005-0000-0000-0000D0280000}"/>
    <cellStyle name="Input 2 13 2 6 2 3" xfId="16538" xr:uid="{00000000-0005-0000-0000-0000D1280000}"/>
    <cellStyle name="Input 2 13 2 6 2 4" xfId="16539" xr:uid="{00000000-0005-0000-0000-0000D2280000}"/>
    <cellStyle name="Input 2 13 2 6 3" xfId="3844" xr:uid="{00000000-0005-0000-0000-0000D3280000}"/>
    <cellStyle name="Input 2 13 2 6 3 2" xfId="5607" xr:uid="{00000000-0005-0000-0000-0000D4280000}"/>
    <cellStyle name="Input 2 13 2 6 3 3" xfId="1331" xr:uid="{00000000-0005-0000-0000-0000D5280000}"/>
    <cellStyle name="Input 2 13 2 6 3 4" xfId="1354" xr:uid="{00000000-0005-0000-0000-0000D6280000}"/>
    <cellStyle name="Input 2 13 2 6 4" xfId="6012" xr:uid="{00000000-0005-0000-0000-0000D7280000}"/>
    <cellStyle name="Input 2 13 2 6 4 2" xfId="5627" xr:uid="{00000000-0005-0000-0000-0000D8280000}"/>
    <cellStyle name="Input 2 13 2 6 4 3" xfId="6014" xr:uid="{00000000-0005-0000-0000-0000D9280000}"/>
    <cellStyle name="Input 2 13 2 6 5" xfId="6018" xr:uid="{00000000-0005-0000-0000-0000DA280000}"/>
    <cellStyle name="Input 2 13 2 6 5 2" xfId="5644" xr:uid="{00000000-0005-0000-0000-0000DB280000}"/>
    <cellStyle name="Input 2 13 2 6 5 3" xfId="6020" xr:uid="{00000000-0005-0000-0000-0000DC280000}"/>
    <cellStyle name="Input 2 13 2 6 6" xfId="6024" xr:uid="{00000000-0005-0000-0000-0000DD280000}"/>
    <cellStyle name="Input 2 13 2 6 7" xfId="6029" xr:uid="{00000000-0005-0000-0000-0000DE280000}"/>
    <cellStyle name="Input 2 13 2 7" xfId="10008" xr:uid="{00000000-0005-0000-0000-0000DF280000}"/>
    <cellStyle name="Input 2 13 2 7 2" xfId="3866" xr:uid="{00000000-0005-0000-0000-0000E0280000}"/>
    <cellStyle name="Input 2 13 2 7 2 2" xfId="16541" xr:uid="{00000000-0005-0000-0000-0000E1280000}"/>
    <cellStyle name="Input 2 13 2 7 2 3" xfId="16543" xr:uid="{00000000-0005-0000-0000-0000E2280000}"/>
    <cellStyle name="Input 2 13 2 7 2 4" xfId="16544" xr:uid="{00000000-0005-0000-0000-0000E3280000}"/>
    <cellStyle name="Input 2 13 2 7 3" xfId="7623" xr:uid="{00000000-0005-0000-0000-0000E4280000}"/>
    <cellStyle name="Input 2 13 2 7 3 2" xfId="7625" xr:uid="{00000000-0005-0000-0000-0000E5280000}"/>
    <cellStyle name="Input 2 13 2 7 3 3" xfId="7635" xr:uid="{00000000-0005-0000-0000-0000E6280000}"/>
    <cellStyle name="Input 2 13 2 7 3 4" xfId="16546" xr:uid="{00000000-0005-0000-0000-0000E7280000}"/>
    <cellStyle name="Input 2 13 2 7 4" xfId="7637" xr:uid="{00000000-0005-0000-0000-0000E8280000}"/>
    <cellStyle name="Input 2 13 2 7 4 2" xfId="16548" xr:uid="{00000000-0005-0000-0000-0000E9280000}"/>
    <cellStyle name="Input 2 13 2 7 4 3" xfId="16549" xr:uid="{00000000-0005-0000-0000-0000EA280000}"/>
    <cellStyle name="Input 2 13 2 7 5" xfId="16550" xr:uid="{00000000-0005-0000-0000-0000EB280000}"/>
    <cellStyle name="Input 2 13 2 7 5 2" xfId="16551" xr:uid="{00000000-0005-0000-0000-0000EC280000}"/>
    <cellStyle name="Input 2 13 2 7 5 3" xfId="16552" xr:uid="{00000000-0005-0000-0000-0000ED280000}"/>
    <cellStyle name="Input 2 13 2 7 6" xfId="16553" xr:uid="{00000000-0005-0000-0000-0000EE280000}"/>
    <cellStyle name="Input 2 13 2 7 7" xfId="16556" xr:uid="{00000000-0005-0000-0000-0000EF280000}"/>
    <cellStyle name="Input 2 13 2 8" xfId="10010" xr:uid="{00000000-0005-0000-0000-0000F0280000}"/>
    <cellStyle name="Input 2 13 2 8 2" xfId="3888" xr:uid="{00000000-0005-0000-0000-0000F1280000}"/>
    <cellStyle name="Input 2 13 2 8 2 2" xfId="16559" xr:uid="{00000000-0005-0000-0000-0000F2280000}"/>
    <cellStyle name="Input 2 13 2 8 2 3" xfId="16561" xr:uid="{00000000-0005-0000-0000-0000F3280000}"/>
    <cellStyle name="Input 2 13 2 8 2 4" xfId="13748" xr:uid="{00000000-0005-0000-0000-0000F4280000}"/>
    <cellStyle name="Input 2 13 2 8 3" xfId="7639" xr:uid="{00000000-0005-0000-0000-0000F5280000}"/>
    <cellStyle name="Input 2 13 2 8 3 2" xfId="7642" xr:uid="{00000000-0005-0000-0000-0000F6280000}"/>
    <cellStyle name="Input 2 13 2 8 3 3" xfId="16563" xr:uid="{00000000-0005-0000-0000-0000F7280000}"/>
    <cellStyle name="Input 2 13 2 8 3 4" xfId="13758" xr:uid="{00000000-0005-0000-0000-0000F8280000}"/>
    <cellStyle name="Input 2 13 2 8 4" xfId="16564" xr:uid="{00000000-0005-0000-0000-0000F9280000}"/>
    <cellStyle name="Input 2 13 2 8 4 2" xfId="16566" xr:uid="{00000000-0005-0000-0000-0000FA280000}"/>
    <cellStyle name="Input 2 13 2 8 4 3" xfId="16567" xr:uid="{00000000-0005-0000-0000-0000FB280000}"/>
    <cellStyle name="Input 2 13 2 8 5" xfId="16568" xr:uid="{00000000-0005-0000-0000-0000FC280000}"/>
    <cellStyle name="Input 2 13 2 8 5 2" xfId="16570" xr:uid="{00000000-0005-0000-0000-0000FD280000}"/>
    <cellStyle name="Input 2 13 2 8 5 3" xfId="16572" xr:uid="{00000000-0005-0000-0000-0000FE280000}"/>
    <cellStyle name="Input 2 13 2 8 6" xfId="16573" xr:uid="{00000000-0005-0000-0000-0000FF280000}"/>
    <cellStyle name="Input 2 13 2 8 7" xfId="16577" xr:uid="{00000000-0005-0000-0000-000000290000}"/>
    <cellStyle name="Input 2 13 2 9" xfId="16580" xr:uid="{00000000-0005-0000-0000-000001290000}"/>
    <cellStyle name="Input 2 13 2 9 2" xfId="16581" xr:uid="{00000000-0005-0000-0000-000002290000}"/>
    <cellStyle name="Input 2 13 2 9 2 2" xfId="16582" xr:uid="{00000000-0005-0000-0000-000003290000}"/>
    <cellStyle name="Input 2 13 2 9 2 3" xfId="16583" xr:uid="{00000000-0005-0000-0000-000004290000}"/>
    <cellStyle name="Input 2 13 2 9 2 4" xfId="16584" xr:uid="{00000000-0005-0000-0000-000005290000}"/>
    <cellStyle name="Input 2 13 2 9 3" xfId="16586" xr:uid="{00000000-0005-0000-0000-000006290000}"/>
    <cellStyle name="Input 2 13 2 9 3 2" xfId="16587" xr:uid="{00000000-0005-0000-0000-000007290000}"/>
    <cellStyle name="Input 2 13 2 9 3 3" xfId="16588" xr:uid="{00000000-0005-0000-0000-000008290000}"/>
    <cellStyle name="Input 2 13 2 9 3 4" xfId="16589" xr:uid="{00000000-0005-0000-0000-000009290000}"/>
    <cellStyle name="Input 2 13 2 9 4" xfId="16591" xr:uid="{00000000-0005-0000-0000-00000A290000}"/>
    <cellStyle name="Input 2 13 2 9 4 2" xfId="16592" xr:uid="{00000000-0005-0000-0000-00000B290000}"/>
    <cellStyle name="Input 2 13 2 9 4 3" xfId="16594" xr:uid="{00000000-0005-0000-0000-00000C290000}"/>
    <cellStyle name="Input 2 13 2 9 5" xfId="16596" xr:uid="{00000000-0005-0000-0000-00000D290000}"/>
    <cellStyle name="Input 2 13 2 9 5 2" xfId="16597" xr:uid="{00000000-0005-0000-0000-00000E290000}"/>
    <cellStyle name="Input 2 13 2 9 5 3" xfId="16601" xr:uid="{00000000-0005-0000-0000-00000F290000}"/>
    <cellStyle name="Input 2 13 2 9 6" xfId="16605" xr:uid="{00000000-0005-0000-0000-000010290000}"/>
    <cellStyle name="Input 2 13 2 9 7" xfId="16607" xr:uid="{00000000-0005-0000-0000-000011290000}"/>
    <cellStyle name="Input 2 13 3" xfId="7452" xr:uid="{00000000-0005-0000-0000-000012290000}"/>
    <cellStyle name="Input 2 13 3 10" xfId="13780" xr:uid="{00000000-0005-0000-0000-000013290000}"/>
    <cellStyle name="Input 2 13 3 10 2" xfId="16610" xr:uid="{00000000-0005-0000-0000-000014290000}"/>
    <cellStyle name="Input 2 13 3 10 2 2" xfId="16612" xr:uid="{00000000-0005-0000-0000-000015290000}"/>
    <cellStyle name="Input 2 13 3 10 2 3" xfId="16614" xr:uid="{00000000-0005-0000-0000-000016290000}"/>
    <cellStyle name="Input 2 13 3 10 2 4" xfId="16616" xr:uid="{00000000-0005-0000-0000-000017290000}"/>
    <cellStyle name="Input 2 13 3 10 3" xfId="16618" xr:uid="{00000000-0005-0000-0000-000018290000}"/>
    <cellStyle name="Input 2 13 3 10 3 2" xfId="16620" xr:uid="{00000000-0005-0000-0000-000019290000}"/>
    <cellStyle name="Input 2 13 3 10 3 3" xfId="16622" xr:uid="{00000000-0005-0000-0000-00001A290000}"/>
    <cellStyle name="Input 2 13 3 10 3 4" xfId="16624" xr:uid="{00000000-0005-0000-0000-00001B290000}"/>
    <cellStyle name="Input 2 13 3 10 4" xfId="16625" xr:uid="{00000000-0005-0000-0000-00001C290000}"/>
    <cellStyle name="Input 2 13 3 10 4 2" xfId="16627" xr:uid="{00000000-0005-0000-0000-00001D290000}"/>
    <cellStyle name="Input 2 13 3 10 4 3" xfId="16630" xr:uid="{00000000-0005-0000-0000-00001E290000}"/>
    <cellStyle name="Input 2 13 3 10 5" xfId="16633" xr:uid="{00000000-0005-0000-0000-00001F290000}"/>
    <cellStyle name="Input 2 13 3 10 5 2" xfId="16636" xr:uid="{00000000-0005-0000-0000-000020290000}"/>
    <cellStyle name="Input 2 13 3 10 5 3" xfId="16639" xr:uid="{00000000-0005-0000-0000-000021290000}"/>
    <cellStyle name="Input 2 13 3 10 6" xfId="15461" xr:uid="{00000000-0005-0000-0000-000022290000}"/>
    <cellStyle name="Input 2 13 3 10 7" xfId="15464" xr:uid="{00000000-0005-0000-0000-000023290000}"/>
    <cellStyle name="Input 2 13 3 11" xfId="16641" xr:uid="{00000000-0005-0000-0000-000024290000}"/>
    <cellStyle name="Input 2 13 3 11 2" xfId="16642" xr:uid="{00000000-0005-0000-0000-000025290000}"/>
    <cellStyle name="Input 2 13 3 11 3" xfId="16643" xr:uid="{00000000-0005-0000-0000-000026290000}"/>
    <cellStyle name="Input 2 13 3 11 4" xfId="16644" xr:uid="{00000000-0005-0000-0000-000027290000}"/>
    <cellStyle name="Input 2 13 3 12" xfId="16611" xr:uid="{00000000-0005-0000-0000-000028290000}"/>
    <cellStyle name="Input 2 13 3 12 2" xfId="16613" xr:uid="{00000000-0005-0000-0000-000029290000}"/>
    <cellStyle name="Input 2 13 3 12 3" xfId="16615" xr:uid="{00000000-0005-0000-0000-00002A290000}"/>
    <cellStyle name="Input 2 13 3 12 4" xfId="16617" xr:uid="{00000000-0005-0000-0000-00002B290000}"/>
    <cellStyle name="Input 2 13 3 13" xfId="16619" xr:uid="{00000000-0005-0000-0000-00002C290000}"/>
    <cellStyle name="Input 2 13 3 13 2" xfId="16621" xr:uid="{00000000-0005-0000-0000-00002D290000}"/>
    <cellStyle name="Input 2 13 3 13 3" xfId="16623" xr:uid="{00000000-0005-0000-0000-00002E290000}"/>
    <cellStyle name="Input 2 13 3 14" xfId="16626" xr:uid="{00000000-0005-0000-0000-00002F290000}"/>
    <cellStyle name="Input 2 13 3 14 2" xfId="16628" xr:uid="{00000000-0005-0000-0000-000030290000}"/>
    <cellStyle name="Input 2 13 3 14 3" xfId="16631" xr:uid="{00000000-0005-0000-0000-000031290000}"/>
    <cellStyle name="Input 2 13 3 15" xfId="16634" xr:uid="{00000000-0005-0000-0000-000032290000}"/>
    <cellStyle name="Input 2 13 3 16" xfId="15462" xr:uid="{00000000-0005-0000-0000-000033290000}"/>
    <cellStyle name="Input 2 13 3 2" xfId="7456" xr:uid="{00000000-0005-0000-0000-000034290000}"/>
    <cellStyle name="Input 2 13 3 2 2" xfId="16645" xr:uid="{00000000-0005-0000-0000-000035290000}"/>
    <cellStyle name="Input 2 13 3 2 2 2" xfId="16646" xr:uid="{00000000-0005-0000-0000-000036290000}"/>
    <cellStyle name="Input 2 13 3 2 2 3" xfId="16648" xr:uid="{00000000-0005-0000-0000-000037290000}"/>
    <cellStyle name="Input 2 13 3 2 2 4" xfId="16650" xr:uid="{00000000-0005-0000-0000-000038290000}"/>
    <cellStyle name="Input 2 13 3 2 3" xfId="11646" xr:uid="{00000000-0005-0000-0000-000039290000}"/>
    <cellStyle name="Input 2 13 3 2 3 2" xfId="11647" xr:uid="{00000000-0005-0000-0000-00003A290000}"/>
    <cellStyle name="Input 2 13 3 2 3 3" xfId="11651" xr:uid="{00000000-0005-0000-0000-00003B290000}"/>
    <cellStyle name="Input 2 13 3 2 3 4" xfId="11655" xr:uid="{00000000-0005-0000-0000-00003C290000}"/>
    <cellStyle name="Input 2 13 3 2 4" xfId="11661" xr:uid="{00000000-0005-0000-0000-00003D290000}"/>
    <cellStyle name="Input 2 13 3 2 4 2" xfId="11664" xr:uid="{00000000-0005-0000-0000-00003E290000}"/>
    <cellStyle name="Input 2 13 3 2 4 3" xfId="11668" xr:uid="{00000000-0005-0000-0000-00003F290000}"/>
    <cellStyle name="Input 2 13 3 2 5" xfId="11675" xr:uid="{00000000-0005-0000-0000-000040290000}"/>
    <cellStyle name="Input 2 13 3 2 5 2" xfId="11678" xr:uid="{00000000-0005-0000-0000-000041290000}"/>
    <cellStyle name="Input 2 13 3 2 5 3" xfId="11682" xr:uid="{00000000-0005-0000-0000-000042290000}"/>
    <cellStyle name="Input 2 13 3 2 6" xfId="11685" xr:uid="{00000000-0005-0000-0000-000043290000}"/>
    <cellStyle name="Input 2 13 3 2 7" xfId="11695" xr:uid="{00000000-0005-0000-0000-000044290000}"/>
    <cellStyle name="Input 2 13 3 3" xfId="16653" xr:uid="{00000000-0005-0000-0000-000045290000}"/>
    <cellStyle name="Input 2 13 3 3 2" xfId="16654" xr:uid="{00000000-0005-0000-0000-000046290000}"/>
    <cellStyle name="Input 2 13 3 3 2 2" xfId="16655" xr:uid="{00000000-0005-0000-0000-000047290000}"/>
    <cellStyle name="Input 2 13 3 3 2 3" xfId="16657" xr:uid="{00000000-0005-0000-0000-000048290000}"/>
    <cellStyle name="Input 2 13 3 3 2 4" xfId="16659" xr:uid="{00000000-0005-0000-0000-000049290000}"/>
    <cellStyle name="Input 2 13 3 3 3" xfId="16662" xr:uid="{00000000-0005-0000-0000-00004A290000}"/>
    <cellStyle name="Input 2 13 3 3 3 2" xfId="16663" xr:uid="{00000000-0005-0000-0000-00004B290000}"/>
    <cellStyle name="Input 2 13 3 3 3 3" xfId="16665" xr:uid="{00000000-0005-0000-0000-00004C290000}"/>
    <cellStyle name="Input 2 13 3 3 3 4" xfId="16667" xr:uid="{00000000-0005-0000-0000-00004D290000}"/>
    <cellStyle name="Input 2 13 3 3 4" xfId="16670" xr:uid="{00000000-0005-0000-0000-00004E290000}"/>
    <cellStyle name="Input 2 13 3 3 4 2" xfId="16672" xr:uid="{00000000-0005-0000-0000-00004F290000}"/>
    <cellStyle name="Input 2 13 3 3 4 3" xfId="16674" xr:uid="{00000000-0005-0000-0000-000050290000}"/>
    <cellStyle name="Input 2 13 3 3 5" xfId="16676" xr:uid="{00000000-0005-0000-0000-000051290000}"/>
    <cellStyle name="Input 2 13 3 3 5 2" xfId="16678" xr:uid="{00000000-0005-0000-0000-000052290000}"/>
    <cellStyle name="Input 2 13 3 3 5 3" xfId="16680" xr:uid="{00000000-0005-0000-0000-000053290000}"/>
    <cellStyle name="Input 2 13 3 3 6" xfId="16682" xr:uid="{00000000-0005-0000-0000-000054290000}"/>
    <cellStyle name="Input 2 13 3 3 7" xfId="16686" xr:uid="{00000000-0005-0000-0000-000055290000}"/>
    <cellStyle name="Input 2 13 3 4" xfId="16689" xr:uid="{00000000-0005-0000-0000-000056290000}"/>
    <cellStyle name="Input 2 13 3 4 2" xfId="16690" xr:uid="{00000000-0005-0000-0000-000057290000}"/>
    <cellStyle name="Input 2 13 3 4 2 2" xfId="16691" xr:uid="{00000000-0005-0000-0000-000058290000}"/>
    <cellStyle name="Input 2 13 3 4 2 3" xfId="16692" xr:uid="{00000000-0005-0000-0000-000059290000}"/>
    <cellStyle name="Input 2 13 3 4 2 4" xfId="16693" xr:uid="{00000000-0005-0000-0000-00005A290000}"/>
    <cellStyle name="Input 2 13 3 4 3" xfId="16695" xr:uid="{00000000-0005-0000-0000-00005B290000}"/>
    <cellStyle name="Input 2 13 3 4 3 2" xfId="16696" xr:uid="{00000000-0005-0000-0000-00005C290000}"/>
    <cellStyle name="Input 2 13 3 4 3 3" xfId="16697" xr:uid="{00000000-0005-0000-0000-00005D290000}"/>
    <cellStyle name="Input 2 13 3 4 3 4" xfId="16698" xr:uid="{00000000-0005-0000-0000-00005E290000}"/>
    <cellStyle name="Input 2 13 3 4 4" xfId="16700" xr:uid="{00000000-0005-0000-0000-00005F290000}"/>
    <cellStyle name="Input 2 13 3 4 4 2" xfId="16702" xr:uid="{00000000-0005-0000-0000-000060290000}"/>
    <cellStyle name="Input 2 13 3 4 4 3" xfId="16703" xr:uid="{00000000-0005-0000-0000-000061290000}"/>
    <cellStyle name="Input 2 13 3 4 5" xfId="16704" xr:uid="{00000000-0005-0000-0000-000062290000}"/>
    <cellStyle name="Input 2 13 3 4 5 2" xfId="16706" xr:uid="{00000000-0005-0000-0000-000063290000}"/>
    <cellStyle name="Input 2 13 3 4 5 3" xfId="16707" xr:uid="{00000000-0005-0000-0000-000064290000}"/>
    <cellStyle name="Input 2 13 3 4 6" xfId="16708" xr:uid="{00000000-0005-0000-0000-000065290000}"/>
    <cellStyle name="Input 2 13 3 4 7" xfId="16711" xr:uid="{00000000-0005-0000-0000-000066290000}"/>
    <cellStyle name="Input 2 13 3 5" xfId="16714" xr:uid="{00000000-0005-0000-0000-000067290000}"/>
    <cellStyle name="Input 2 13 3 5 2" xfId="16715" xr:uid="{00000000-0005-0000-0000-000068290000}"/>
    <cellStyle name="Input 2 13 3 5 2 2" xfId="16716" xr:uid="{00000000-0005-0000-0000-000069290000}"/>
    <cellStyle name="Input 2 13 3 5 2 3" xfId="16717" xr:uid="{00000000-0005-0000-0000-00006A290000}"/>
    <cellStyle name="Input 2 13 3 5 2 4" xfId="16718" xr:uid="{00000000-0005-0000-0000-00006B290000}"/>
    <cellStyle name="Input 2 13 3 5 3" xfId="16720" xr:uid="{00000000-0005-0000-0000-00006C290000}"/>
    <cellStyle name="Input 2 13 3 5 3 2" xfId="16721" xr:uid="{00000000-0005-0000-0000-00006D290000}"/>
    <cellStyle name="Input 2 13 3 5 3 3" xfId="16722" xr:uid="{00000000-0005-0000-0000-00006E290000}"/>
    <cellStyle name="Input 2 13 3 5 3 4" xfId="16723" xr:uid="{00000000-0005-0000-0000-00006F290000}"/>
    <cellStyle name="Input 2 13 3 5 4" xfId="16725" xr:uid="{00000000-0005-0000-0000-000070290000}"/>
    <cellStyle name="Input 2 13 3 5 4 2" xfId="16727" xr:uid="{00000000-0005-0000-0000-000071290000}"/>
    <cellStyle name="Input 2 13 3 5 4 3" xfId="16728" xr:uid="{00000000-0005-0000-0000-000072290000}"/>
    <cellStyle name="Input 2 13 3 5 5" xfId="16729" xr:uid="{00000000-0005-0000-0000-000073290000}"/>
    <cellStyle name="Input 2 13 3 5 5 2" xfId="16731" xr:uid="{00000000-0005-0000-0000-000074290000}"/>
    <cellStyle name="Input 2 13 3 5 5 3" xfId="16732" xr:uid="{00000000-0005-0000-0000-000075290000}"/>
    <cellStyle name="Input 2 13 3 5 6" xfId="16733" xr:uid="{00000000-0005-0000-0000-000076290000}"/>
    <cellStyle name="Input 2 13 3 5 7" xfId="16737" xr:uid="{00000000-0005-0000-0000-000077290000}"/>
    <cellStyle name="Input 2 13 3 6" xfId="16741" xr:uid="{00000000-0005-0000-0000-000078290000}"/>
    <cellStyle name="Input 2 13 3 6 2" xfId="16742" xr:uid="{00000000-0005-0000-0000-000079290000}"/>
    <cellStyle name="Input 2 13 3 6 2 2" xfId="16743" xr:uid="{00000000-0005-0000-0000-00007A290000}"/>
    <cellStyle name="Input 2 13 3 6 2 3" xfId="16744" xr:uid="{00000000-0005-0000-0000-00007B290000}"/>
    <cellStyle name="Input 2 13 3 6 2 4" xfId="16745" xr:uid="{00000000-0005-0000-0000-00007C290000}"/>
    <cellStyle name="Input 2 13 3 6 3" xfId="16747" xr:uid="{00000000-0005-0000-0000-00007D290000}"/>
    <cellStyle name="Input 2 13 3 6 3 2" xfId="16748" xr:uid="{00000000-0005-0000-0000-00007E290000}"/>
    <cellStyle name="Input 2 13 3 6 3 3" xfId="16749" xr:uid="{00000000-0005-0000-0000-00007F290000}"/>
    <cellStyle name="Input 2 13 3 6 3 4" xfId="16750" xr:uid="{00000000-0005-0000-0000-000080290000}"/>
    <cellStyle name="Input 2 13 3 6 4" xfId="16752" xr:uid="{00000000-0005-0000-0000-000081290000}"/>
    <cellStyle name="Input 2 13 3 6 4 2" xfId="16753" xr:uid="{00000000-0005-0000-0000-000082290000}"/>
    <cellStyle name="Input 2 13 3 6 4 3" xfId="16754" xr:uid="{00000000-0005-0000-0000-000083290000}"/>
    <cellStyle name="Input 2 13 3 6 5" xfId="16755" xr:uid="{00000000-0005-0000-0000-000084290000}"/>
    <cellStyle name="Input 2 13 3 6 5 2" xfId="16756" xr:uid="{00000000-0005-0000-0000-000085290000}"/>
    <cellStyle name="Input 2 13 3 6 5 3" xfId="16757" xr:uid="{00000000-0005-0000-0000-000086290000}"/>
    <cellStyle name="Input 2 13 3 6 6" xfId="16758" xr:uid="{00000000-0005-0000-0000-000087290000}"/>
    <cellStyle name="Input 2 13 3 6 7" xfId="16761" xr:uid="{00000000-0005-0000-0000-000088290000}"/>
    <cellStyle name="Input 2 13 3 7" xfId="10014" xr:uid="{00000000-0005-0000-0000-000089290000}"/>
    <cellStyle name="Input 2 13 3 7 2" xfId="6678" xr:uid="{00000000-0005-0000-0000-00008A290000}"/>
    <cellStyle name="Input 2 13 3 7 2 2" xfId="16764" xr:uid="{00000000-0005-0000-0000-00008B290000}"/>
    <cellStyle name="Input 2 13 3 7 2 3" xfId="16765" xr:uid="{00000000-0005-0000-0000-00008C290000}"/>
    <cellStyle name="Input 2 13 3 7 2 4" xfId="16766" xr:uid="{00000000-0005-0000-0000-00008D290000}"/>
    <cellStyle name="Input 2 13 3 7 3" xfId="7646" xr:uid="{00000000-0005-0000-0000-00008E290000}"/>
    <cellStyle name="Input 2 13 3 7 3 2" xfId="16768" xr:uid="{00000000-0005-0000-0000-00008F290000}"/>
    <cellStyle name="Input 2 13 3 7 3 3" xfId="16769" xr:uid="{00000000-0005-0000-0000-000090290000}"/>
    <cellStyle name="Input 2 13 3 7 3 4" xfId="16770" xr:uid="{00000000-0005-0000-0000-000091290000}"/>
    <cellStyle name="Input 2 13 3 7 4" xfId="16772" xr:uid="{00000000-0005-0000-0000-000092290000}"/>
    <cellStyle name="Input 2 13 3 7 4 2" xfId="16773" xr:uid="{00000000-0005-0000-0000-000093290000}"/>
    <cellStyle name="Input 2 13 3 7 4 3" xfId="16774" xr:uid="{00000000-0005-0000-0000-000094290000}"/>
    <cellStyle name="Input 2 13 3 7 5" xfId="16775" xr:uid="{00000000-0005-0000-0000-000095290000}"/>
    <cellStyle name="Input 2 13 3 7 5 2" xfId="16776" xr:uid="{00000000-0005-0000-0000-000096290000}"/>
    <cellStyle name="Input 2 13 3 7 5 3" xfId="15792" xr:uid="{00000000-0005-0000-0000-000097290000}"/>
    <cellStyle name="Input 2 13 3 7 6" xfId="16777" xr:uid="{00000000-0005-0000-0000-000098290000}"/>
    <cellStyle name="Input 2 13 3 7 7" xfId="16780" xr:uid="{00000000-0005-0000-0000-000099290000}"/>
    <cellStyle name="Input 2 13 3 8" xfId="10017" xr:uid="{00000000-0005-0000-0000-00009A290000}"/>
    <cellStyle name="Input 2 13 3 8 2" xfId="6687" xr:uid="{00000000-0005-0000-0000-00009B290000}"/>
    <cellStyle name="Input 2 13 3 8 2 2" xfId="16783" xr:uid="{00000000-0005-0000-0000-00009C290000}"/>
    <cellStyle name="Input 2 13 3 8 2 3" xfId="16784" xr:uid="{00000000-0005-0000-0000-00009D290000}"/>
    <cellStyle name="Input 2 13 3 8 2 4" xfId="16785" xr:uid="{00000000-0005-0000-0000-00009E290000}"/>
    <cellStyle name="Input 2 13 3 8 3" xfId="16787" xr:uid="{00000000-0005-0000-0000-00009F290000}"/>
    <cellStyle name="Input 2 13 3 8 3 2" xfId="16788" xr:uid="{00000000-0005-0000-0000-0000A0290000}"/>
    <cellStyle name="Input 2 13 3 8 3 3" xfId="16789" xr:uid="{00000000-0005-0000-0000-0000A1290000}"/>
    <cellStyle name="Input 2 13 3 8 3 4" xfId="16790" xr:uid="{00000000-0005-0000-0000-0000A2290000}"/>
    <cellStyle name="Input 2 13 3 8 4" xfId="16792" xr:uid="{00000000-0005-0000-0000-0000A3290000}"/>
    <cellStyle name="Input 2 13 3 8 4 2" xfId="16793" xr:uid="{00000000-0005-0000-0000-0000A4290000}"/>
    <cellStyle name="Input 2 13 3 8 4 3" xfId="16794" xr:uid="{00000000-0005-0000-0000-0000A5290000}"/>
    <cellStyle name="Input 2 13 3 8 5" xfId="16795" xr:uid="{00000000-0005-0000-0000-0000A6290000}"/>
    <cellStyle name="Input 2 13 3 8 5 2" xfId="16796" xr:uid="{00000000-0005-0000-0000-0000A7290000}"/>
    <cellStyle name="Input 2 13 3 8 5 3" xfId="16797" xr:uid="{00000000-0005-0000-0000-0000A8290000}"/>
    <cellStyle name="Input 2 13 3 8 6" xfId="16798" xr:uid="{00000000-0005-0000-0000-0000A9290000}"/>
    <cellStyle name="Input 2 13 3 8 7" xfId="16801" xr:uid="{00000000-0005-0000-0000-0000AA290000}"/>
    <cellStyle name="Input 2 13 3 9" xfId="16804" xr:uid="{00000000-0005-0000-0000-0000AB290000}"/>
    <cellStyle name="Input 2 13 3 9 2" xfId="16806" xr:uid="{00000000-0005-0000-0000-0000AC290000}"/>
    <cellStyle name="Input 2 13 3 9 2 2" xfId="16807" xr:uid="{00000000-0005-0000-0000-0000AD290000}"/>
    <cellStyle name="Input 2 13 3 9 2 3" xfId="16808" xr:uid="{00000000-0005-0000-0000-0000AE290000}"/>
    <cellStyle name="Input 2 13 3 9 2 4" xfId="16809" xr:uid="{00000000-0005-0000-0000-0000AF290000}"/>
    <cellStyle name="Input 2 13 3 9 3" xfId="16811" xr:uid="{00000000-0005-0000-0000-0000B0290000}"/>
    <cellStyle name="Input 2 13 3 9 3 2" xfId="16812" xr:uid="{00000000-0005-0000-0000-0000B1290000}"/>
    <cellStyle name="Input 2 13 3 9 3 3" xfId="16813" xr:uid="{00000000-0005-0000-0000-0000B2290000}"/>
    <cellStyle name="Input 2 13 3 9 3 4" xfId="16814" xr:uid="{00000000-0005-0000-0000-0000B3290000}"/>
    <cellStyle name="Input 2 13 3 9 4" xfId="16816" xr:uid="{00000000-0005-0000-0000-0000B4290000}"/>
    <cellStyle name="Input 2 13 3 9 4 2" xfId="16817" xr:uid="{00000000-0005-0000-0000-0000B5290000}"/>
    <cellStyle name="Input 2 13 3 9 4 3" xfId="16818" xr:uid="{00000000-0005-0000-0000-0000B6290000}"/>
    <cellStyle name="Input 2 13 3 9 5" xfId="16819" xr:uid="{00000000-0005-0000-0000-0000B7290000}"/>
    <cellStyle name="Input 2 13 3 9 5 2" xfId="16820" xr:uid="{00000000-0005-0000-0000-0000B8290000}"/>
    <cellStyle name="Input 2 13 3 9 5 3" xfId="16821" xr:uid="{00000000-0005-0000-0000-0000B9290000}"/>
    <cellStyle name="Input 2 13 3 9 6" xfId="16822" xr:uid="{00000000-0005-0000-0000-0000BA290000}"/>
    <cellStyle name="Input 2 13 3 9 7" xfId="16824" xr:uid="{00000000-0005-0000-0000-0000BB290000}"/>
    <cellStyle name="Input 2 13 4" xfId="16827" xr:uid="{00000000-0005-0000-0000-0000BC290000}"/>
    <cellStyle name="Input 2 13 4 2" xfId="1607" xr:uid="{00000000-0005-0000-0000-0000BD290000}"/>
    <cellStyle name="Input 2 13 4 2 2" xfId="16831" xr:uid="{00000000-0005-0000-0000-0000BE290000}"/>
    <cellStyle name="Input 2 13 4 2 3" xfId="12635" xr:uid="{00000000-0005-0000-0000-0000BF290000}"/>
    <cellStyle name="Input 2 13 4 2 4" xfId="12644" xr:uid="{00000000-0005-0000-0000-0000C0290000}"/>
    <cellStyle name="Input 2 13 4 3" xfId="16832" xr:uid="{00000000-0005-0000-0000-0000C1290000}"/>
    <cellStyle name="Input 2 13 4 3 2" xfId="16834" xr:uid="{00000000-0005-0000-0000-0000C2290000}"/>
    <cellStyle name="Input 2 13 4 3 3" xfId="16835" xr:uid="{00000000-0005-0000-0000-0000C3290000}"/>
    <cellStyle name="Input 2 13 4 3 4" xfId="16836" xr:uid="{00000000-0005-0000-0000-0000C4290000}"/>
    <cellStyle name="Input 2 13 4 4" xfId="16839" xr:uid="{00000000-0005-0000-0000-0000C5290000}"/>
    <cellStyle name="Input 2 13 4 4 2" xfId="16841" xr:uid="{00000000-0005-0000-0000-0000C6290000}"/>
    <cellStyle name="Input 2 13 4 4 3" xfId="16842" xr:uid="{00000000-0005-0000-0000-0000C7290000}"/>
    <cellStyle name="Input 2 13 4 5" xfId="16843" xr:uid="{00000000-0005-0000-0000-0000C8290000}"/>
    <cellStyle name="Input 2 13 4 5 2" xfId="16844" xr:uid="{00000000-0005-0000-0000-0000C9290000}"/>
    <cellStyle name="Input 2 13 4 5 3" xfId="16845" xr:uid="{00000000-0005-0000-0000-0000CA290000}"/>
    <cellStyle name="Input 2 13 4 6" xfId="16846" xr:uid="{00000000-0005-0000-0000-0000CB290000}"/>
    <cellStyle name="Input 2 13 4 7" xfId="16848" xr:uid="{00000000-0005-0000-0000-0000CC290000}"/>
    <cellStyle name="Input 2 13 5" xfId="16851" xr:uid="{00000000-0005-0000-0000-0000CD290000}"/>
    <cellStyle name="Input 2 13 5 2" xfId="6836" xr:uid="{00000000-0005-0000-0000-0000CE290000}"/>
    <cellStyle name="Input 2 13 5 2 2" xfId="16854" xr:uid="{00000000-0005-0000-0000-0000CF290000}"/>
    <cellStyle name="Input 2 13 5 2 3" xfId="13387" xr:uid="{00000000-0005-0000-0000-0000D0290000}"/>
    <cellStyle name="Input 2 13 5 2 4" xfId="13389" xr:uid="{00000000-0005-0000-0000-0000D1290000}"/>
    <cellStyle name="Input 2 13 5 3" xfId="16855" xr:uid="{00000000-0005-0000-0000-0000D2290000}"/>
    <cellStyle name="Input 2 13 5 3 2" xfId="16857" xr:uid="{00000000-0005-0000-0000-0000D3290000}"/>
    <cellStyle name="Input 2 13 5 3 3" xfId="16859" xr:uid="{00000000-0005-0000-0000-0000D4290000}"/>
    <cellStyle name="Input 2 13 5 3 4" xfId="16863" xr:uid="{00000000-0005-0000-0000-0000D5290000}"/>
    <cellStyle name="Input 2 13 5 4" xfId="16865" xr:uid="{00000000-0005-0000-0000-0000D6290000}"/>
    <cellStyle name="Input 2 13 5 4 2" xfId="16867" xr:uid="{00000000-0005-0000-0000-0000D7290000}"/>
    <cellStyle name="Input 2 13 5 4 3" xfId="16868" xr:uid="{00000000-0005-0000-0000-0000D8290000}"/>
    <cellStyle name="Input 2 13 5 5" xfId="16869" xr:uid="{00000000-0005-0000-0000-0000D9290000}"/>
    <cellStyle name="Input 2 13 5 5 2" xfId="16871" xr:uid="{00000000-0005-0000-0000-0000DA290000}"/>
    <cellStyle name="Input 2 13 5 5 3" xfId="16873" xr:uid="{00000000-0005-0000-0000-0000DB290000}"/>
    <cellStyle name="Input 2 13 5 6" xfId="16875" xr:uid="{00000000-0005-0000-0000-0000DC290000}"/>
    <cellStyle name="Input 2 13 5 7" xfId="16878" xr:uid="{00000000-0005-0000-0000-0000DD290000}"/>
    <cellStyle name="Input 2 13 6" xfId="16882" xr:uid="{00000000-0005-0000-0000-0000DE290000}"/>
    <cellStyle name="Input 2 13 6 2" xfId="6857" xr:uid="{00000000-0005-0000-0000-0000DF290000}"/>
    <cellStyle name="Input 2 13 6 2 2" xfId="16885" xr:uid="{00000000-0005-0000-0000-0000E0290000}"/>
    <cellStyle name="Input 2 13 6 2 3" xfId="14016" xr:uid="{00000000-0005-0000-0000-0000E1290000}"/>
    <cellStyle name="Input 2 13 6 2 4" xfId="14021" xr:uid="{00000000-0005-0000-0000-0000E2290000}"/>
    <cellStyle name="Input 2 13 6 3" xfId="16886" xr:uid="{00000000-0005-0000-0000-0000E3290000}"/>
    <cellStyle name="Input 2 13 6 3 2" xfId="16889" xr:uid="{00000000-0005-0000-0000-0000E4290000}"/>
    <cellStyle name="Input 2 13 6 3 3" xfId="16891" xr:uid="{00000000-0005-0000-0000-0000E5290000}"/>
    <cellStyle name="Input 2 13 6 3 4" xfId="16893" xr:uid="{00000000-0005-0000-0000-0000E6290000}"/>
    <cellStyle name="Input 2 13 6 4" xfId="16897" xr:uid="{00000000-0005-0000-0000-0000E7290000}"/>
    <cellStyle name="Input 2 13 6 4 2" xfId="16899" xr:uid="{00000000-0005-0000-0000-0000E8290000}"/>
    <cellStyle name="Input 2 13 6 4 3" xfId="16901" xr:uid="{00000000-0005-0000-0000-0000E9290000}"/>
    <cellStyle name="Input 2 13 6 5" xfId="16903" xr:uid="{00000000-0005-0000-0000-0000EA290000}"/>
    <cellStyle name="Input 2 13 6 5 2" xfId="16905" xr:uid="{00000000-0005-0000-0000-0000EB290000}"/>
    <cellStyle name="Input 2 13 6 5 3" xfId="16908" xr:uid="{00000000-0005-0000-0000-0000EC290000}"/>
    <cellStyle name="Input 2 13 6 6" xfId="16911" xr:uid="{00000000-0005-0000-0000-0000ED290000}"/>
    <cellStyle name="Input 2 13 6 7" xfId="16914" xr:uid="{00000000-0005-0000-0000-0000EE290000}"/>
    <cellStyle name="Input 2 13 7" xfId="13233" xr:uid="{00000000-0005-0000-0000-0000EF290000}"/>
    <cellStyle name="Input 2 13 7 2" xfId="283" xr:uid="{00000000-0005-0000-0000-0000F0290000}"/>
    <cellStyle name="Input 2 13 7 2 2" xfId="16918" xr:uid="{00000000-0005-0000-0000-0000F1290000}"/>
    <cellStyle name="Input 2 13 7 2 3" xfId="16919" xr:uid="{00000000-0005-0000-0000-0000F2290000}"/>
    <cellStyle name="Input 2 13 7 2 4" xfId="16920" xr:uid="{00000000-0005-0000-0000-0000F3290000}"/>
    <cellStyle name="Input 2 13 7 3" xfId="16921" xr:uid="{00000000-0005-0000-0000-0000F4290000}"/>
    <cellStyle name="Input 2 13 7 3 2" xfId="16924" xr:uid="{00000000-0005-0000-0000-0000F5290000}"/>
    <cellStyle name="Input 2 13 7 3 3" xfId="16926" xr:uid="{00000000-0005-0000-0000-0000F6290000}"/>
    <cellStyle name="Input 2 13 7 3 4" xfId="16928" xr:uid="{00000000-0005-0000-0000-0000F7290000}"/>
    <cellStyle name="Input 2 13 7 4" xfId="16930" xr:uid="{00000000-0005-0000-0000-0000F8290000}"/>
    <cellStyle name="Input 2 13 7 4 2" xfId="16932" xr:uid="{00000000-0005-0000-0000-0000F9290000}"/>
    <cellStyle name="Input 2 13 7 4 3" xfId="16933" xr:uid="{00000000-0005-0000-0000-0000FA290000}"/>
    <cellStyle name="Input 2 13 7 5" xfId="16934" xr:uid="{00000000-0005-0000-0000-0000FB290000}"/>
    <cellStyle name="Input 2 13 7 5 2" xfId="16936" xr:uid="{00000000-0005-0000-0000-0000FC290000}"/>
    <cellStyle name="Input 2 13 7 5 3" xfId="16938" xr:uid="{00000000-0005-0000-0000-0000FD290000}"/>
    <cellStyle name="Input 2 13 7 6" xfId="16940" xr:uid="{00000000-0005-0000-0000-0000FE290000}"/>
    <cellStyle name="Input 2 13 7 7" xfId="16943" xr:uid="{00000000-0005-0000-0000-0000FF290000}"/>
    <cellStyle name="Input 2 13 8" xfId="13237" xr:uid="{00000000-0005-0000-0000-0000002A0000}"/>
    <cellStyle name="Input 2 13 8 2" xfId="6907" xr:uid="{00000000-0005-0000-0000-0000012A0000}"/>
    <cellStyle name="Input 2 13 8 2 2" xfId="16946" xr:uid="{00000000-0005-0000-0000-0000022A0000}"/>
    <cellStyle name="Input 2 13 8 2 3" xfId="16947" xr:uid="{00000000-0005-0000-0000-0000032A0000}"/>
    <cellStyle name="Input 2 13 8 2 4" xfId="16948" xr:uid="{00000000-0005-0000-0000-0000042A0000}"/>
    <cellStyle name="Input 2 13 8 3" xfId="16949" xr:uid="{00000000-0005-0000-0000-0000052A0000}"/>
    <cellStyle name="Input 2 13 8 3 2" xfId="16951" xr:uid="{00000000-0005-0000-0000-0000062A0000}"/>
    <cellStyle name="Input 2 13 8 3 3" xfId="16952" xr:uid="{00000000-0005-0000-0000-0000072A0000}"/>
    <cellStyle name="Input 2 13 8 3 4" xfId="16953" xr:uid="{00000000-0005-0000-0000-0000082A0000}"/>
    <cellStyle name="Input 2 13 8 4" xfId="16954" xr:uid="{00000000-0005-0000-0000-0000092A0000}"/>
    <cellStyle name="Input 2 13 8 4 2" xfId="16955" xr:uid="{00000000-0005-0000-0000-00000A2A0000}"/>
    <cellStyle name="Input 2 13 8 4 3" xfId="16956" xr:uid="{00000000-0005-0000-0000-00000B2A0000}"/>
    <cellStyle name="Input 2 13 8 5" xfId="16957" xr:uid="{00000000-0005-0000-0000-00000C2A0000}"/>
    <cellStyle name="Input 2 13 8 5 2" xfId="16959" xr:uid="{00000000-0005-0000-0000-00000D2A0000}"/>
    <cellStyle name="Input 2 13 8 5 3" xfId="16961" xr:uid="{00000000-0005-0000-0000-00000E2A0000}"/>
    <cellStyle name="Input 2 13 8 6" xfId="16963" xr:uid="{00000000-0005-0000-0000-00000F2A0000}"/>
    <cellStyle name="Input 2 13 8 7" xfId="16966" xr:uid="{00000000-0005-0000-0000-0000102A0000}"/>
    <cellStyle name="Input 2 13 9" xfId="13241" xr:uid="{00000000-0005-0000-0000-0000112A0000}"/>
    <cellStyle name="Input 2 13 9 2" xfId="6923" xr:uid="{00000000-0005-0000-0000-0000122A0000}"/>
    <cellStyle name="Input 2 13 9 2 2" xfId="16969" xr:uid="{00000000-0005-0000-0000-0000132A0000}"/>
    <cellStyle name="Input 2 13 9 2 3" xfId="16970" xr:uid="{00000000-0005-0000-0000-0000142A0000}"/>
    <cellStyle name="Input 2 13 9 2 4" xfId="16971" xr:uid="{00000000-0005-0000-0000-0000152A0000}"/>
    <cellStyle name="Input 2 13 9 3" xfId="16972" xr:uid="{00000000-0005-0000-0000-0000162A0000}"/>
    <cellStyle name="Input 2 13 9 3 2" xfId="16974" xr:uid="{00000000-0005-0000-0000-0000172A0000}"/>
    <cellStyle name="Input 2 13 9 3 3" xfId="16975" xr:uid="{00000000-0005-0000-0000-0000182A0000}"/>
    <cellStyle name="Input 2 13 9 3 4" xfId="16976" xr:uid="{00000000-0005-0000-0000-0000192A0000}"/>
    <cellStyle name="Input 2 13 9 4" xfId="16977" xr:uid="{00000000-0005-0000-0000-00001A2A0000}"/>
    <cellStyle name="Input 2 13 9 4 2" xfId="16978" xr:uid="{00000000-0005-0000-0000-00001B2A0000}"/>
    <cellStyle name="Input 2 13 9 4 3" xfId="16979" xr:uid="{00000000-0005-0000-0000-00001C2A0000}"/>
    <cellStyle name="Input 2 13 9 5" xfId="16980" xr:uid="{00000000-0005-0000-0000-00001D2A0000}"/>
    <cellStyle name="Input 2 13 9 5 2" xfId="16982" xr:uid="{00000000-0005-0000-0000-00001E2A0000}"/>
    <cellStyle name="Input 2 13 9 5 3" xfId="16984" xr:uid="{00000000-0005-0000-0000-00001F2A0000}"/>
    <cellStyle name="Input 2 13 9 6" xfId="16986" xr:uid="{00000000-0005-0000-0000-0000202A0000}"/>
    <cellStyle name="Input 2 13 9 7" xfId="16989" xr:uid="{00000000-0005-0000-0000-0000212A0000}"/>
    <cellStyle name="Input 2 14" xfId="16992" xr:uid="{00000000-0005-0000-0000-0000222A0000}"/>
    <cellStyle name="Input 2 14 10" xfId="11648" xr:uid="{00000000-0005-0000-0000-0000232A0000}"/>
    <cellStyle name="Input 2 14 10 2" xfId="16993" xr:uid="{00000000-0005-0000-0000-0000242A0000}"/>
    <cellStyle name="Input 2 14 10 2 2" xfId="16997" xr:uid="{00000000-0005-0000-0000-0000252A0000}"/>
    <cellStyle name="Input 2 14 10 2 3" xfId="16999" xr:uid="{00000000-0005-0000-0000-0000262A0000}"/>
    <cellStyle name="Input 2 14 10 2 4" xfId="3009" xr:uid="{00000000-0005-0000-0000-0000272A0000}"/>
    <cellStyle name="Input 2 14 10 3" xfId="17002" xr:uid="{00000000-0005-0000-0000-0000282A0000}"/>
    <cellStyle name="Input 2 14 10 3 2" xfId="17005" xr:uid="{00000000-0005-0000-0000-0000292A0000}"/>
    <cellStyle name="Input 2 14 10 3 3" xfId="17007" xr:uid="{00000000-0005-0000-0000-00002A2A0000}"/>
    <cellStyle name="Input 2 14 10 3 4" xfId="17010" xr:uid="{00000000-0005-0000-0000-00002B2A0000}"/>
    <cellStyle name="Input 2 14 10 4" xfId="17012" xr:uid="{00000000-0005-0000-0000-00002C2A0000}"/>
    <cellStyle name="Input 2 14 10 4 2" xfId="17013" xr:uid="{00000000-0005-0000-0000-00002D2A0000}"/>
    <cellStyle name="Input 2 14 10 4 3" xfId="17015" xr:uid="{00000000-0005-0000-0000-00002E2A0000}"/>
    <cellStyle name="Input 2 14 10 5" xfId="17017" xr:uid="{00000000-0005-0000-0000-00002F2A0000}"/>
    <cellStyle name="Input 2 14 10 5 2" xfId="17018" xr:uid="{00000000-0005-0000-0000-0000302A0000}"/>
    <cellStyle name="Input 2 14 10 5 3" xfId="17020" xr:uid="{00000000-0005-0000-0000-0000312A0000}"/>
    <cellStyle name="Input 2 14 10 6" xfId="17022" xr:uid="{00000000-0005-0000-0000-0000322A0000}"/>
    <cellStyle name="Input 2 14 10 7" xfId="14833" xr:uid="{00000000-0005-0000-0000-0000332A0000}"/>
    <cellStyle name="Input 2 14 11" xfId="11652" xr:uid="{00000000-0005-0000-0000-0000342A0000}"/>
    <cellStyle name="Input 2 14 11 2" xfId="17025" xr:uid="{00000000-0005-0000-0000-0000352A0000}"/>
    <cellStyle name="Input 2 14 11 2 2" xfId="17027" xr:uid="{00000000-0005-0000-0000-0000362A0000}"/>
    <cellStyle name="Input 2 14 11 2 3" xfId="4396" xr:uid="{00000000-0005-0000-0000-0000372A0000}"/>
    <cellStyle name="Input 2 14 11 2 4" xfId="4402" xr:uid="{00000000-0005-0000-0000-0000382A0000}"/>
    <cellStyle name="Input 2 14 11 3" xfId="17029" xr:uid="{00000000-0005-0000-0000-0000392A0000}"/>
    <cellStyle name="Input 2 14 11 3 2" xfId="17031" xr:uid="{00000000-0005-0000-0000-00003A2A0000}"/>
    <cellStyle name="Input 2 14 11 3 3" xfId="4054" xr:uid="{00000000-0005-0000-0000-00003B2A0000}"/>
    <cellStyle name="Input 2 14 11 3 4" xfId="5677" xr:uid="{00000000-0005-0000-0000-00003C2A0000}"/>
    <cellStyle name="Input 2 14 11 4" xfId="17033" xr:uid="{00000000-0005-0000-0000-00003D2A0000}"/>
    <cellStyle name="Input 2 14 11 4 2" xfId="17034" xr:uid="{00000000-0005-0000-0000-00003E2A0000}"/>
    <cellStyle name="Input 2 14 11 4 3" xfId="1120" xr:uid="{00000000-0005-0000-0000-00003F2A0000}"/>
    <cellStyle name="Input 2 14 11 5" xfId="17036" xr:uid="{00000000-0005-0000-0000-0000402A0000}"/>
    <cellStyle name="Input 2 14 11 5 2" xfId="17037" xr:uid="{00000000-0005-0000-0000-0000412A0000}"/>
    <cellStyle name="Input 2 14 11 5 3" xfId="5687" xr:uid="{00000000-0005-0000-0000-0000422A0000}"/>
    <cellStyle name="Input 2 14 11 6" xfId="17039" xr:uid="{00000000-0005-0000-0000-0000432A0000}"/>
    <cellStyle name="Input 2 14 11 7" xfId="14843" xr:uid="{00000000-0005-0000-0000-0000442A0000}"/>
    <cellStyle name="Input 2 14 12" xfId="11656" xr:uid="{00000000-0005-0000-0000-0000452A0000}"/>
    <cellStyle name="Input 2 14 12 2" xfId="17042" xr:uid="{00000000-0005-0000-0000-0000462A0000}"/>
    <cellStyle name="Input 2 14 12 2 2" xfId="17045" xr:uid="{00000000-0005-0000-0000-0000472A0000}"/>
    <cellStyle name="Input 2 14 12 2 3" xfId="4430" xr:uid="{00000000-0005-0000-0000-0000482A0000}"/>
    <cellStyle name="Input 2 14 12 2 4" xfId="4436" xr:uid="{00000000-0005-0000-0000-0000492A0000}"/>
    <cellStyle name="Input 2 14 12 3" xfId="17048" xr:uid="{00000000-0005-0000-0000-00004A2A0000}"/>
    <cellStyle name="Input 2 14 12 3 2" xfId="17051" xr:uid="{00000000-0005-0000-0000-00004B2A0000}"/>
    <cellStyle name="Input 2 14 12 3 3" xfId="4092" xr:uid="{00000000-0005-0000-0000-00004C2A0000}"/>
    <cellStyle name="Input 2 14 12 3 4" xfId="4964" xr:uid="{00000000-0005-0000-0000-00004D2A0000}"/>
    <cellStyle name="Input 2 14 12 4" xfId="17054" xr:uid="{00000000-0005-0000-0000-00004E2A0000}"/>
    <cellStyle name="Input 2 14 12 4 2" xfId="17056" xr:uid="{00000000-0005-0000-0000-00004F2A0000}"/>
    <cellStyle name="Input 2 14 12 4 3" xfId="4110" xr:uid="{00000000-0005-0000-0000-0000502A0000}"/>
    <cellStyle name="Input 2 14 12 5" xfId="17058" xr:uid="{00000000-0005-0000-0000-0000512A0000}"/>
    <cellStyle name="Input 2 14 12 5 2" xfId="17060" xr:uid="{00000000-0005-0000-0000-0000522A0000}"/>
    <cellStyle name="Input 2 14 12 5 3" xfId="5702" xr:uid="{00000000-0005-0000-0000-0000532A0000}"/>
    <cellStyle name="Input 2 14 12 6" xfId="17062" xr:uid="{00000000-0005-0000-0000-0000542A0000}"/>
    <cellStyle name="Input 2 14 12 7" xfId="14853" xr:uid="{00000000-0005-0000-0000-0000552A0000}"/>
    <cellStyle name="Input 2 14 13" xfId="2410" xr:uid="{00000000-0005-0000-0000-0000562A0000}"/>
    <cellStyle name="Input 2 14 13 2" xfId="2412" xr:uid="{00000000-0005-0000-0000-0000572A0000}"/>
    <cellStyle name="Input 2 14 13 3" xfId="2416" xr:uid="{00000000-0005-0000-0000-0000582A0000}"/>
    <cellStyle name="Input 2 14 13 4" xfId="17065" xr:uid="{00000000-0005-0000-0000-0000592A0000}"/>
    <cellStyle name="Input 2 14 14" xfId="2420" xr:uid="{00000000-0005-0000-0000-00005A2A0000}"/>
    <cellStyle name="Input 2 14 14 2" xfId="17066" xr:uid="{00000000-0005-0000-0000-00005B2A0000}"/>
    <cellStyle name="Input 2 14 14 3" xfId="17068" xr:uid="{00000000-0005-0000-0000-00005C2A0000}"/>
    <cellStyle name="Input 2 14 14 4" xfId="17070" xr:uid="{00000000-0005-0000-0000-00005D2A0000}"/>
    <cellStyle name="Input 2 14 15" xfId="2424" xr:uid="{00000000-0005-0000-0000-00005E2A0000}"/>
    <cellStyle name="Input 2 14 15 2" xfId="17071" xr:uid="{00000000-0005-0000-0000-00005F2A0000}"/>
    <cellStyle name="Input 2 14 15 3" xfId="17073" xr:uid="{00000000-0005-0000-0000-0000602A0000}"/>
    <cellStyle name="Input 2 14 16" xfId="17075" xr:uid="{00000000-0005-0000-0000-0000612A0000}"/>
    <cellStyle name="Input 2 14 16 2" xfId="17076" xr:uid="{00000000-0005-0000-0000-0000622A0000}"/>
    <cellStyle name="Input 2 14 16 3" xfId="17078" xr:uid="{00000000-0005-0000-0000-0000632A0000}"/>
    <cellStyle name="Input 2 14 17" xfId="17080" xr:uid="{00000000-0005-0000-0000-0000642A0000}"/>
    <cellStyle name="Input 2 14 18" xfId="17081" xr:uid="{00000000-0005-0000-0000-0000652A0000}"/>
    <cellStyle name="Input 2 14 19" xfId="6954" xr:uid="{00000000-0005-0000-0000-0000662A0000}"/>
    <cellStyle name="Input 2 14 2" xfId="17083" xr:uid="{00000000-0005-0000-0000-0000672A0000}"/>
    <cellStyle name="Input 2 14 2 10" xfId="17085" xr:uid="{00000000-0005-0000-0000-0000682A0000}"/>
    <cellStyle name="Input 2 14 2 10 2" xfId="17087" xr:uid="{00000000-0005-0000-0000-0000692A0000}"/>
    <cellStyle name="Input 2 14 2 10 2 2" xfId="17089" xr:uid="{00000000-0005-0000-0000-00006A2A0000}"/>
    <cellStyle name="Input 2 14 2 10 2 3" xfId="17090" xr:uid="{00000000-0005-0000-0000-00006B2A0000}"/>
    <cellStyle name="Input 2 14 2 10 2 4" xfId="17091" xr:uid="{00000000-0005-0000-0000-00006C2A0000}"/>
    <cellStyle name="Input 2 14 2 10 3" xfId="10778" xr:uid="{00000000-0005-0000-0000-00006D2A0000}"/>
    <cellStyle name="Input 2 14 2 10 3 2" xfId="17092" xr:uid="{00000000-0005-0000-0000-00006E2A0000}"/>
    <cellStyle name="Input 2 14 2 10 3 3" xfId="4875" xr:uid="{00000000-0005-0000-0000-00006F2A0000}"/>
    <cellStyle name="Input 2 14 2 10 3 4" xfId="4885" xr:uid="{00000000-0005-0000-0000-0000702A0000}"/>
    <cellStyle name="Input 2 14 2 10 4" xfId="10783" xr:uid="{00000000-0005-0000-0000-0000712A0000}"/>
    <cellStyle name="Input 2 14 2 10 4 2" xfId="12546" xr:uid="{00000000-0005-0000-0000-0000722A0000}"/>
    <cellStyle name="Input 2 14 2 10 4 3" xfId="4924" xr:uid="{00000000-0005-0000-0000-0000732A0000}"/>
    <cellStyle name="Input 2 14 2 10 5" xfId="10785" xr:uid="{00000000-0005-0000-0000-0000742A0000}"/>
    <cellStyle name="Input 2 14 2 10 5 2" xfId="12551" xr:uid="{00000000-0005-0000-0000-0000752A0000}"/>
    <cellStyle name="Input 2 14 2 10 5 3" xfId="4987" xr:uid="{00000000-0005-0000-0000-0000762A0000}"/>
    <cellStyle name="Input 2 14 2 10 6" xfId="11330" xr:uid="{00000000-0005-0000-0000-0000772A0000}"/>
    <cellStyle name="Input 2 14 2 10 7" xfId="11331" xr:uid="{00000000-0005-0000-0000-0000782A0000}"/>
    <cellStyle name="Input 2 14 2 11" xfId="17093" xr:uid="{00000000-0005-0000-0000-0000792A0000}"/>
    <cellStyle name="Input 2 14 2 11 2" xfId="17096" xr:uid="{00000000-0005-0000-0000-00007A2A0000}"/>
    <cellStyle name="Input 2 14 2 11 3" xfId="10791" xr:uid="{00000000-0005-0000-0000-00007B2A0000}"/>
    <cellStyle name="Input 2 14 2 11 4" xfId="10796" xr:uid="{00000000-0005-0000-0000-00007C2A0000}"/>
    <cellStyle name="Input 2 14 2 12" xfId="16346" xr:uid="{00000000-0005-0000-0000-00007D2A0000}"/>
    <cellStyle name="Input 2 14 2 12 2" xfId="17099" xr:uid="{00000000-0005-0000-0000-00007E2A0000}"/>
    <cellStyle name="Input 2 14 2 12 3" xfId="10807" xr:uid="{00000000-0005-0000-0000-00007F2A0000}"/>
    <cellStyle name="Input 2 14 2 12 4" xfId="10810" xr:uid="{00000000-0005-0000-0000-0000802A0000}"/>
    <cellStyle name="Input 2 14 2 13" xfId="4951" xr:uid="{00000000-0005-0000-0000-0000812A0000}"/>
    <cellStyle name="Input 2 14 2 13 2" xfId="17100" xr:uid="{00000000-0005-0000-0000-0000822A0000}"/>
    <cellStyle name="Input 2 14 2 13 3" xfId="10816" xr:uid="{00000000-0005-0000-0000-0000832A0000}"/>
    <cellStyle name="Input 2 14 2 14" xfId="4956" xr:uid="{00000000-0005-0000-0000-0000842A0000}"/>
    <cellStyle name="Input 2 14 2 14 2" xfId="14358" xr:uid="{00000000-0005-0000-0000-0000852A0000}"/>
    <cellStyle name="Input 2 14 2 14 3" xfId="14360" xr:uid="{00000000-0005-0000-0000-0000862A0000}"/>
    <cellStyle name="Input 2 14 2 15" xfId="17101" xr:uid="{00000000-0005-0000-0000-0000872A0000}"/>
    <cellStyle name="Input 2 14 2 16" xfId="17103" xr:uid="{00000000-0005-0000-0000-0000882A0000}"/>
    <cellStyle name="Input 2 14 2 2" xfId="17104" xr:uid="{00000000-0005-0000-0000-0000892A0000}"/>
    <cellStyle name="Input 2 14 2 2 2" xfId="17105" xr:uid="{00000000-0005-0000-0000-00008A2A0000}"/>
    <cellStyle name="Input 2 14 2 2 2 2" xfId="17107" xr:uid="{00000000-0005-0000-0000-00008B2A0000}"/>
    <cellStyle name="Input 2 14 2 2 2 3" xfId="17109" xr:uid="{00000000-0005-0000-0000-00008C2A0000}"/>
    <cellStyle name="Input 2 14 2 2 2 4" xfId="17111" xr:uid="{00000000-0005-0000-0000-00008D2A0000}"/>
    <cellStyle name="Input 2 14 2 2 3" xfId="17113" xr:uid="{00000000-0005-0000-0000-00008E2A0000}"/>
    <cellStyle name="Input 2 14 2 2 3 2" xfId="17115" xr:uid="{00000000-0005-0000-0000-00008F2A0000}"/>
    <cellStyle name="Input 2 14 2 2 3 3" xfId="17117" xr:uid="{00000000-0005-0000-0000-0000902A0000}"/>
    <cellStyle name="Input 2 14 2 2 3 4" xfId="17119" xr:uid="{00000000-0005-0000-0000-0000912A0000}"/>
    <cellStyle name="Input 2 14 2 2 4" xfId="17121" xr:uid="{00000000-0005-0000-0000-0000922A0000}"/>
    <cellStyle name="Input 2 14 2 2 4 2" xfId="17125" xr:uid="{00000000-0005-0000-0000-0000932A0000}"/>
    <cellStyle name="Input 2 14 2 2 4 3" xfId="17126" xr:uid="{00000000-0005-0000-0000-0000942A0000}"/>
    <cellStyle name="Input 2 14 2 2 5" xfId="471" xr:uid="{00000000-0005-0000-0000-0000952A0000}"/>
    <cellStyle name="Input 2 14 2 2 5 2" xfId="476" xr:uid="{00000000-0005-0000-0000-0000962A0000}"/>
    <cellStyle name="Input 2 14 2 2 5 3" xfId="519" xr:uid="{00000000-0005-0000-0000-0000972A0000}"/>
    <cellStyle name="Input 2 14 2 2 6" xfId="568" xr:uid="{00000000-0005-0000-0000-0000982A0000}"/>
    <cellStyle name="Input 2 14 2 2 7" xfId="576" xr:uid="{00000000-0005-0000-0000-0000992A0000}"/>
    <cellStyle name="Input 2 14 2 3" xfId="17127" xr:uid="{00000000-0005-0000-0000-00009A2A0000}"/>
    <cellStyle name="Input 2 14 2 3 2" xfId="17128" xr:uid="{00000000-0005-0000-0000-00009B2A0000}"/>
    <cellStyle name="Input 2 14 2 3 2 2" xfId="17130" xr:uid="{00000000-0005-0000-0000-00009C2A0000}"/>
    <cellStyle name="Input 2 14 2 3 2 3" xfId="17133" xr:uid="{00000000-0005-0000-0000-00009D2A0000}"/>
    <cellStyle name="Input 2 14 2 3 2 4" xfId="17136" xr:uid="{00000000-0005-0000-0000-00009E2A0000}"/>
    <cellStyle name="Input 2 14 2 3 3" xfId="17138" xr:uid="{00000000-0005-0000-0000-00009F2A0000}"/>
    <cellStyle name="Input 2 14 2 3 3 2" xfId="17140" xr:uid="{00000000-0005-0000-0000-0000A02A0000}"/>
    <cellStyle name="Input 2 14 2 3 3 3" xfId="17142" xr:uid="{00000000-0005-0000-0000-0000A12A0000}"/>
    <cellStyle name="Input 2 14 2 3 3 4" xfId="17144" xr:uid="{00000000-0005-0000-0000-0000A22A0000}"/>
    <cellStyle name="Input 2 14 2 3 4" xfId="17146" xr:uid="{00000000-0005-0000-0000-0000A32A0000}"/>
    <cellStyle name="Input 2 14 2 3 4 2" xfId="17151" xr:uid="{00000000-0005-0000-0000-0000A42A0000}"/>
    <cellStyle name="Input 2 14 2 3 4 3" xfId="17153" xr:uid="{00000000-0005-0000-0000-0000A52A0000}"/>
    <cellStyle name="Input 2 14 2 3 5" xfId="17155" xr:uid="{00000000-0005-0000-0000-0000A62A0000}"/>
    <cellStyle name="Input 2 14 2 3 5 2" xfId="17158" xr:uid="{00000000-0005-0000-0000-0000A72A0000}"/>
    <cellStyle name="Input 2 14 2 3 5 3" xfId="17162" xr:uid="{00000000-0005-0000-0000-0000A82A0000}"/>
    <cellStyle name="Input 2 14 2 3 6" xfId="17166" xr:uid="{00000000-0005-0000-0000-0000A92A0000}"/>
    <cellStyle name="Input 2 14 2 3 7" xfId="17169" xr:uid="{00000000-0005-0000-0000-0000AA2A0000}"/>
    <cellStyle name="Input 2 14 2 4" xfId="17172" xr:uid="{00000000-0005-0000-0000-0000AB2A0000}"/>
    <cellStyle name="Input 2 14 2 4 2" xfId="17173" xr:uid="{00000000-0005-0000-0000-0000AC2A0000}"/>
    <cellStyle name="Input 2 14 2 4 2 2" xfId="17174" xr:uid="{00000000-0005-0000-0000-0000AD2A0000}"/>
    <cellStyle name="Input 2 14 2 4 2 3" xfId="17177" xr:uid="{00000000-0005-0000-0000-0000AE2A0000}"/>
    <cellStyle name="Input 2 14 2 4 2 4" xfId="17179" xr:uid="{00000000-0005-0000-0000-0000AF2A0000}"/>
    <cellStyle name="Input 2 14 2 4 3" xfId="17181" xr:uid="{00000000-0005-0000-0000-0000B02A0000}"/>
    <cellStyle name="Input 2 14 2 4 3 2" xfId="17182" xr:uid="{00000000-0005-0000-0000-0000B12A0000}"/>
    <cellStyle name="Input 2 14 2 4 3 3" xfId="17185" xr:uid="{00000000-0005-0000-0000-0000B22A0000}"/>
    <cellStyle name="Input 2 14 2 4 3 4" xfId="17187" xr:uid="{00000000-0005-0000-0000-0000B32A0000}"/>
    <cellStyle name="Input 2 14 2 4 4" xfId="17189" xr:uid="{00000000-0005-0000-0000-0000B42A0000}"/>
    <cellStyle name="Input 2 14 2 4 4 2" xfId="17192" xr:uid="{00000000-0005-0000-0000-0000B52A0000}"/>
    <cellStyle name="Input 2 14 2 4 4 3" xfId="17195" xr:uid="{00000000-0005-0000-0000-0000B62A0000}"/>
    <cellStyle name="Input 2 14 2 4 5" xfId="624" xr:uid="{00000000-0005-0000-0000-0000B72A0000}"/>
    <cellStyle name="Input 2 14 2 4 5 2" xfId="17197" xr:uid="{00000000-0005-0000-0000-0000B82A0000}"/>
    <cellStyle name="Input 2 14 2 4 5 3" xfId="17200" xr:uid="{00000000-0005-0000-0000-0000B92A0000}"/>
    <cellStyle name="Input 2 14 2 4 6" xfId="630" xr:uid="{00000000-0005-0000-0000-0000BA2A0000}"/>
    <cellStyle name="Input 2 14 2 4 7" xfId="636" xr:uid="{00000000-0005-0000-0000-0000BB2A0000}"/>
    <cellStyle name="Input 2 14 2 5" xfId="17202" xr:uid="{00000000-0005-0000-0000-0000BC2A0000}"/>
    <cellStyle name="Input 2 14 2 5 2" xfId="17204" xr:uid="{00000000-0005-0000-0000-0000BD2A0000}"/>
    <cellStyle name="Input 2 14 2 5 2 2" xfId="17205" xr:uid="{00000000-0005-0000-0000-0000BE2A0000}"/>
    <cellStyle name="Input 2 14 2 5 2 3" xfId="17208" xr:uid="{00000000-0005-0000-0000-0000BF2A0000}"/>
    <cellStyle name="Input 2 14 2 5 2 4" xfId="17209" xr:uid="{00000000-0005-0000-0000-0000C02A0000}"/>
    <cellStyle name="Input 2 14 2 5 3" xfId="17211" xr:uid="{00000000-0005-0000-0000-0000C12A0000}"/>
    <cellStyle name="Input 2 14 2 5 3 2" xfId="17212" xr:uid="{00000000-0005-0000-0000-0000C22A0000}"/>
    <cellStyle name="Input 2 14 2 5 3 3" xfId="17213" xr:uid="{00000000-0005-0000-0000-0000C32A0000}"/>
    <cellStyle name="Input 2 14 2 5 3 4" xfId="17214" xr:uid="{00000000-0005-0000-0000-0000C42A0000}"/>
    <cellStyle name="Input 2 14 2 5 4" xfId="17216" xr:uid="{00000000-0005-0000-0000-0000C52A0000}"/>
    <cellStyle name="Input 2 14 2 5 4 2" xfId="17218" xr:uid="{00000000-0005-0000-0000-0000C62A0000}"/>
    <cellStyle name="Input 2 14 2 5 4 3" xfId="17219" xr:uid="{00000000-0005-0000-0000-0000C72A0000}"/>
    <cellStyle name="Input 2 14 2 5 5" xfId="17220" xr:uid="{00000000-0005-0000-0000-0000C82A0000}"/>
    <cellStyle name="Input 2 14 2 5 5 2" xfId="17222" xr:uid="{00000000-0005-0000-0000-0000C92A0000}"/>
    <cellStyle name="Input 2 14 2 5 5 3" xfId="17223" xr:uid="{00000000-0005-0000-0000-0000CA2A0000}"/>
    <cellStyle name="Input 2 14 2 5 6" xfId="17224" xr:uid="{00000000-0005-0000-0000-0000CB2A0000}"/>
    <cellStyle name="Input 2 14 2 5 7" xfId="17227" xr:uid="{00000000-0005-0000-0000-0000CC2A0000}"/>
    <cellStyle name="Input 2 14 2 6" xfId="17231" xr:uid="{00000000-0005-0000-0000-0000CD2A0000}"/>
    <cellStyle name="Input 2 14 2 6 2" xfId="17233" xr:uid="{00000000-0005-0000-0000-0000CE2A0000}"/>
    <cellStyle name="Input 2 14 2 6 2 2" xfId="17234" xr:uid="{00000000-0005-0000-0000-0000CF2A0000}"/>
    <cellStyle name="Input 2 14 2 6 2 3" xfId="17235" xr:uid="{00000000-0005-0000-0000-0000D02A0000}"/>
    <cellStyle name="Input 2 14 2 6 2 4" xfId="17236" xr:uid="{00000000-0005-0000-0000-0000D12A0000}"/>
    <cellStyle name="Input 2 14 2 6 3" xfId="17238" xr:uid="{00000000-0005-0000-0000-0000D22A0000}"/>
    <cellStyle name="Input 2 14 2 6 3 2" xfId="1466" xr:uid="{00000000-0005-0000-0000-0000D32A0000}"/>
    <cellStyle name="Input 2 14 2 6 3 3" xfId="17240" xr:uid="{00000000-0005-0000-0000-0000D42A0000}"/>
    <cellStyle name="Input 2 14 2 6 3 4" xfId="17241" xr:uid="{00000000-0005-0000-0000-0000D52A0000}"/>
    <cellStyle name="Input 2 14 2 6 4" xfId="17243" xr:uid="{00000000-0005-0000-0000-0000D62A0000}"/>
    <cellStyle name="Input 2 14 2 6 4 2" xfId="7005" xr:uid="{00000000-0005-0000-0000-0000D72A0000}"/>
    <cellStyle name="Input 2 14 2 6 4 3" xfId="17244" xr:uid="{00000000-0005-0000-0000-0000D82A0000}"/>
    <cellStyle name="Input 2 14 2 6 5" xfId="17245" xr:uid="{00000000-0005-0000-0000-0000D92A0000}"/>
    <cellStyle name="Input 2 14 2 6 5 2" xfId="17246" xr:uid="{00000000-0005-0000-0000-0000DA2A0000}"/>
    <cellStyle name="Input 2 14 2 6 5 3" xfId="17247" xr:uid="{00000000-0005-0000-0000-0000DB2A0000}"/>
    <cellStyle name="Input 2 14 2 6 6" xfId="17248" xr:uid="{00000000-0005-0000-0000-0000DC2A0000}"/>
    <cellStyle name="Input 2 14 2 6 7" xfId="17251" xr:uid="{00000000-0005-0000-0000-0000DD2A0000}"/>
    <cellStyle name="Input 2 14 2 7" xfId="10049" xr:uid="{00000000-0005-0000-0000-0000DE2A0000}"/>
    <cellStyle name="Input 2 14 2 7 2" xfId="17255" xr:uid="{00000000-0005-0000-0000-0000DF2A0000}"/>
    <cellStyle name="Input 2 14 2 7 2 2" xfId="17256" xr:uid="{00000000-0005-0000-0000-0000E02A0000}"/>
    <cellStyle name="Input 2 14 2 7 2 3" xfId="17257" xr:uid="{00000000-0005-0000-0000-0000E12A0000}"/>
    <cellStyle name="Input 2 14 2 7 2 4" xfId="17258" xr:uid="{00000000-0005-0000-0000-0000E22A0000}"/>
    <cellStyle name="Input 2 14 2 7 3" xfId="17260" xr:uid="{00000000-0005-0000-0000-0000E32A0000}"/>
    <cellStyle name="Input 2 14 2 7 3 2" xfId="537" xr:uid="{00000000-0005-0000-0000-0000E42A0000}"/>
    <cellStyle name="Input 2 14 2 7 3 3" xfId="17261" xr:uid="{00000000-0005-0000-0000-0000E52A0000}"/>
    <cellStyle name="Input 2 14 2 7 3 4" xfId="17262" xr:uid="{00000000-0005-0000-0000-0000E62A0000}"/>
    <cellStyle name="Input 2 14 2 7 4" xfId="17264" xr:uid="{00000000-0005-0000-0000-0000E72A0000}"/>
    <cellStyle name="Input 2 14 2 7 4 2" xfId="6988" xr:uid="{00000000-0005-0000-0000-0000E82A0000}"/>
    <cellStyle name="Input 2 14 2 7 4 3" xfId="17265" xr:uid="{00000000-0005-0000-0000-0000E92A0000}"/>
    <cellStyle name="Input 2 14 2 7 5" xfId="17266" xr:uid="{00000000-0005-0000-0000-0000EA2A0000}"/>
    <cellStyle name="Input 2 14 2 7 5 2" xfId="17267" xr:uid="{00000000-0005-0000-0000-0000EB2A0000}"/>
    <cellStyle name="Input 2 14 2 7 5 3" xfId="17268" xr:uid="{00000000-0005-0000-0000-0000EC2A0000}"/>
    <cellStyle name="Input 2 14 2 7 6" xfId="17269" xr:uid="{00000000-0005-0000-0000-0000ED2A0000}"/>
    <cellStyle name="Input 2 14 2 7 7" xfId="17272" xr:uid="{00000000-0005-0000-0000-0000EE2A0000}"/>
    <cellStyle name="Input 2 14 2 8" xfId="10051" xr:uid="{00000000-0005-0000-0000-0000EF2A0000}"/>
    <cellStyle name="Input 2 14 2 8 2" xfId="17276" xr:uid="{00000000-0005-0000-0000-0000F02A0000}"/>
    <cellStyle name="Input 2 14 2 8 2 2" xfId="17278" xr:uid="{00000000-0005-0000-0000-0000F12A0000}"/>
    <cellStyle name="Input 2 14 2 8 2 3" xfId="17280" xr:uid="{00000000-0005-0000-0000-0000F22A0000}"/>
    <cellStyle name="Input 2 14 2 8 2 4" xfId="17282" xr:uid="{00000000-0005-0000-0000-0000F32A0000}"/>
    <cellStyle name="Input 2 14 2 8 3" xfId="17284" xr:uid="{00000000-0005-0000-0000-0000F42A0000}"/>
    <cellStyle name="Input 2 14 2 8 3 2" xfId="1643" xr:uid="{00000000-0005-0000-0000-0000F52A0000}"/>
    <cellStyle name="Input 2 14 2 8 3 3" xfId="17286" xr:uid="{00000000-0005-0000-0000-0000F62A0000}"/>
    <cellStyle name="Input 2 14 2 8 3 4" xfId="17287" xr:uid="{00000000-0005-0000-0000-0000F72A0000}"/>
    <cellStyle name="Input 2 14 2 8 4" xfId="17289" xr:uid="{00000000-0005-0000-0000-0000F82A0000}"/>
    <cellStyle name="Input 2 14 2 8 4 2" xfId="133" xr:uid="{00000000-0005-0000-0000-0000F92A0000}"/>
    <cellStyle name="Input 2 14 2 8 4 3" xfId="17291" xr:uid="{00000000-0005-0000-0000-0000FA2A0000}"/>
    <cellStyle name="Input 2 14 2 8 5" xfId="17292" xr:uid="{00000000-0005-0000-0000-0000FB2A0000}"/>
    <cellStyle name="Input 2 14 2 8 5 2" xfId="17293" xr:uid="{00000000-0005-0000-0000-0000FC2A0000}"/>
    <cellStyle name="Input 2 14 2 8 5 3" xfId="17294" xr:uid="{00000000-0005-0000-0000-0000FD2A0000}"/>
    <cellStyle name="Input 2 14 2 8 6" xfId="17295" xr:uid="{00000000-0005-0000-0000-0000FE2A0000}"/>
    <cellStyle name="Input 2 14 2 8 7" xfId="17298" xr:uid="{00000000-0005-0000-0000-0000FF2A0000}"/>
    <cellStyle name="Input 2 14 2 9" xfId="17302" xr:uid="{00000000-0005-0000-0000-0000002B0000}"/>
    <cellStyle name="Input 2 14 2 9 2" xfId="17303" xr:uid="{00000000-0005-0000-0000-0000012B0000}"/>
    <cellStyle name="Input 2 14 2 9 2 2" xfId="17304" xr:uid="{00000000-0005-0000-0000-0000022B0000}"/>
    <cellStyle name="Input 2 14 2 9 2 3" xfId="17305" xr:uid="{00000000-0005-0000-0000-0000032B0000}"/>
    <cellStyle name="Input 2 14 2 9 2 4" xfId="17306" xr:uid="{00000000-0005-0000-0000-0000042B0000}"/>
    <cellStyle name="Input 2 14 2 9 3" xfId="17308" xr:uid="{00000000-0005-0000-0000-0000052B0000}"/>
    <cellStyle name="Input 2 14 2 9 3 2" xfId="7070" xr:uid="{00000000-0005-0000-0000-0000062B0000}"/>
    <cellStyle name="Input 2 14 2 9 3 3" xfId="17309" xr:uid="{00000000-0005-0000-0000-0000072B0000}"/>
    <cellStyle name="Input 2 14 2 9 3 4" xfId="17310" xr:uid="{00000000-0005-0000-0000-0000082B0000}"/>
    <cellStyle name="Input 2 14 2 9 4" xfId="17312" xr:uid="{00000000-0005-0000-0000-0000092B0000}"/>
    <cellStyle name="Input 2 14 2 9 4 2" xfId="7079" xr:uid="{00000000-0005-0000-0000-00000A2B0000}"/>
    <cellStyle name="Input 2 14 2 9 4 3" xfId="17313" xr:uid="{00000000-0005-0000-0000-00000B2B0000}"/>
    <cellStyle name="Input 2 14 2 9 5" xfId="17314" xr:uid="{00000000-0005-0000-0000-00000C2B0000}"/>
    <cellStyle name="Input 2 14 2 9 5 2" xfId="17316" xr:uid="{00000000-0005-0000-0000-00000D2B0000}"/>
    <cellStyle name="Input 2 14 2 9 5 3" xfId="17318" xr:uid="{00000000-0005-0000-0000-00000E2B0000}"/>
    <cellStyle name="Input 2 14 2 9 6" xfId="17319" xr:uid="{00000000-0005-0000-0000-00000F2B0000}"/>
    <cellStyle name="Input 2 14 2 9 7" xfId="17322" xr:uid="{00000000-0005-0000-0000-0000102B0000}"/>
    <cellStyle name="Input 2 14 3" xfId="17326" xr:uid="{00000000-0005-0000-0000-0000112B0000}"/>
    <cellStyle name="Input 2 14 3 10" xfId="13865" xr:uid="{00000000-0005-0000-0000-0000122B0000}"/>
    <cellStyle name="Input 2 14 3 10 2" xfId="17329" xr:uid="{00000000-0005-0000-0000-0000132B0000}"/>
    <cellStyle name="Input 2 14 3 10 2 2" xfId="17334" xr:uid="{00000000-0005-0000-0000-0000142B0000}"/>
    <cellStyle name="Input 2 14 3 10 2 3" xfId="17337" xr:uid="{00000000-0005-0000-0000-0000152B0000}"/>
    <cellStyle name="Input 2 14 3 10 2 4" xfId="17340" xr:uid="{00000000-0005-0000-0000-0000162B0000}"/>
    <cellStyle name="Input 2 14 3 10 3" xfId="16495" xr:uid="{00000000-0005-0000-0000-0000172B0000}"/>
    <cellStyle name="Input 2 14 3 10 3 2" xfId="17342" xr:uid="{00000000-0005-0000-0000-0000182B0000}"/>
    <cellStyle name="Input 2 14 3 10 3 3" xfId="6957" xr:uid="{00000000-0005-0000-0000-0000192B0000}"/>
    <cellStyle name="Input 2 14 3 10 3 4" xfId="1480" xr:uid="{00000000-0005-0000-0000-00001A2B0000}"/>
    <cellStyle name="Input 2 14 3 10 4" xfId="16500" xr:uid="{00000000-0005-0000-0000-00001B2B0000}"/>
    <cellStyle name="Input 2 14 3 10 4 2" xfId="1074" xr:uid="{00000000-0005-0000-0000-00001C2B0000}"/>
    <cellStyle name="Input 2 14 3 10 4 3" xfId="6066" xr:uid="{00000000-0005-0000-0000-00001D2B0000}"/>
    <cellStyle name="Input 2 14 3 10 5" xfId="16505" xr:uid="{00000000-0005-0000-0000-00001E2B0000}"/>
    <cellStyle name="Input 2 14 3 10 5 2" xfId="17345" xr:uid="{00000000-0005-0000-0000-00001F2B0000}"/>
    <cellStyle name="Input 2 14 3 10 5 3" xfId="6077" xr:uid="{00000000-0005-0000-0000-0000202B0000}"/>
    <cellStyle name="Input 2 14 3 10 6" xfId="17347" xr:uid="{00000000-0005-0000-0000-0000212B0000}"/>
    <cellStyle name="Input 2 14 3 10 7" xfId="17350" xr:uid="{00000000-0005-0000-0000-0000222B0000}"/>
    <cellStyle name="Input 2 14 3 11" xfId="17354" xr:uid="{00000000-0005-0000-0000-0000232B0000}"/>
    <cellStyle name="Input 2 14 3 11 2" xfId="17357" xr:uid="{00000000-0005-0000-0000-0000242B0000}"/>
    <cellStyle name="Input 2 14 3 11 3" xfId="16512" xr:uid="{00000000-0005-0000-0000-0000252B0000}"/>
    <cellStyle name="Input 2 14 3 11 4" xfId="16516" xr:uid="{00000000-0005-0000-0000-0000262B0000}"/>
    <cellStyle name="Input 2 14 3 12" xfId="17360" xr:uid="{00000000-0005-0000-0000-0000272B0000}"/>
    <cellStyle name="Input 2 14 3 12 2" xfId="17362" xr:uid="{00000000-0005-0000-0000-0000282B0000}"/>
    <cellStyle name="Input 2 14 3 12 3" xfId="16522" xr:uid="{00000000-0005-0000-0000-0000292B0000}"/>
    <cellStyle name="Input 2 14 3 12 4" xfId="16524" xr:uid="{00000000-0005-0000-0000-00002A2B0000}"/>
    <cellStyle name="Input 2 14 3 13" xfId="17363" xr:uid="{00000000-0005-0000-0000-00002B2B0000}"/>
    <cellStyle name="Input 2 14 3 13 2" xfId="17364" xr:uid="{00000000-0005-0000-0000-00002C2B0000}"/>
    <cellStyle name="Input 2 14 3 13 3" xfId="17365" xr:uid="{00000000-0005-0000-0000-00002D2B0000}"/>
    <cellStyle name="Input 2 14 3 14" xfId="17367" xr:uid="{00000000-0005-0000-0000-00002E2B0000}"/>
    <cellStyle name="Input 2 14 3 14 2" xfId="17368" xr:uid="{00000000-0005-0000-0000-00002F2B0000}"/>
    <cellStyle name="Input 2 14 3 14 3" xfId="17371" xr:uid="{00000000-0005-0000-0000-0000302B0000}"/>
    <cellStyle name="Input 2 14 3 15" xfId="17373" xr:uid="{00000000-0005-0000-0000-0000312B0000}"/>
    <cellStyle name="Input 2 14 3 16" xfId="15572" xr:uid="{00000000-0005-0000-0000-0000322B0000}"/>
    <cellStyle name="Input 2 14 3 2" xfId="17374" xr:uid="{00000000-0005-0000-0000-0000332B0000}"/>
    <cellStyle name="Input 2 14 3 2 2" xfId="17376" xr:uid="{00000000-0005-0000-0000-0000342B0000}"/>
    <cellStyle name="Input 2 14 3 2 2 2" xfId="17378" xr:uid="{00000000-0005-0000-0000-0000352B0000}"/>
    <cellStyle name="Input 2 14 3 2 2 3" xfId="17380" xr:uid="{00000000-0005-0000-0000-0000362B0000}"/>
    <cellStyle name="Input 2 14 3 2 2 4" xfId="17381" xr:uid="{00000000-0005-0000-0000-0000372B0000}"/>
    <cellStyle name="Input 2 14 3 2 3" xfId="17383" xr:uid="{00000000-0005-0000-0000-0000382B0000}"/>
    <cellStyle name="Input 2 14 3 2 3 2" xfId="17384" xr:uid="{00000000-0005-0000-0000-0000392B0000}"/>
    <cellStyle name="Input 2 14 3 2 3 3" xfId="17385" xr:uid="{00000000-0005-0000-0000-00003A2B0000}"/>
    <cellStyle name="Input 2 14 3 2 3 4" xfId="17386" xr:uid="{00000000-0005-0000-0000-00003B2B0000}"/>
    <cellStyle name="Input 2 14 3 2 4" xfId="17388" xr:uid="{00000000-0005-0000-0000-00003C2B0000}"/>
    <cellStyle name="Input 2 14 3 2 4 2" xfId="17391" xr:uid="{00000000-0005-0000-0000-00003D2B0000}"/>
    <cellStyle name="Input 2 14 3 2 4 3" xfId="17392" xr:uid="{00000000-0005-0000-0000-00003E2B0000}"/>
    <cellStyle name="Input 2 14 3 2 5" xfId="647" xr:uid="{00000000-0005-0000-0000-00003F2B0000}"/>
    <cellStyle name="Input 2 14 3 2 5 2" xfId="429" xr:uid="{00000000-0005-0000-0000-0000402B0000}"/>
    <cellStyle name="Input 2 14 3 2 5 3" xfId="435" xr:uid="{00000000-0005-0000-0000-0000412B0000}"/>
    <cellStyle name="Input 2 14 3 2 6" xfId="700" xr:uid="{00000000-0005-0000-0000-0000422B0000}"/>
    <cellStyle name="Input 2 14 3 2 7" xfId="709" xr:uid="{00000000-0005-0000-0000-0000432B0000}"/>
    <cellStyle name="Input 2 14 3 3" xfId="17393" xr:uid="{00000000-0005-0000-0000-0000442B0000}"/>
    <cellStyle name="Input 2 14 3 3 2" xfId="17395" xr:uid="{00000000-0005-0000-0000-0000452B0000}"/>
    <cellStyle name="Input 2 14 3 3 2 2" xfId="3177" xr:uid="{00000000-0005-0000-0000-0000462B0000}"/>
    <cellStyle name="Input 2 14 3 3 2 3" xfId="3183" xr:uid="{00000000-0005-0000-0000-0000472B0000}"/>
    <cellStyle name="Input 2 14 3 3 2 4" xfId="3971" xr:uid="{00000000-0005-0000-0000-0000482B0000}"/>
    <cellStyle name="Input 2 14 3 3 3" xfId="17396" xr:uid="{00000000-0005-0000-0000-0000492B0000}"/>
    <cellStyle name="Input 2 14 3 3 3 2" xfId="3192" xr:uid="{00000000-0005-0000-0000-00004A2B0000}"/>
    <cellStyle name="Input 2 14 3 3 3 3" xfId="3199" xr:uid="{00000000-0005-0000-0000-00004B2B0000}"/>
    <cellStyle name="Input 2 14 3 3 3 4" xfId="3987" xr:uid="{00000000-0005-0000-0000-00004C2B0000}"/>
    <cellStyle name="Input 2 14 3 3 4" xfId="17397" xr:uid="{00000000-0005-0000-0000-00004D2B0000}"/>
    <cellStyle name="Input 2 14 3 3 4 2" xfId="17401" xr:uid="{00000000-0005-0000-0000-00004E2B0000}"/>
    <cellStyle name="Input 2 14 3 3 4 3" xfId="17403" xr:uid="{00000000-0005-0000-0000-00004F2B0000}"/>
    <cellStyle name="Input 2 14 3 3 5" xfId="17405" xr:uid="{00000000-0005-0000-0000-0000502B0000}"/>
    <cellStyle name="Input 2 14 3 3 5 2" xfId="17408" xr:uid="{00000000-0005-0000-0000-0000512B0000}"/>
    <cellStyle name="Input 2 14 3 3 5 3" xfId="17410" xr:uid="{00000000-0005-0000-0000-0000522B0000}"/>
    <cellStyle name="Input 2 14 3 3 6" xfId="17412" xr:uid="{00000000-0005-0000-0000-0000532B0000}"/>
    <cellStyle name="Input 2 14 3 3 7" xfId="17415" xr:uid="{00000000-0005-0000-0000-0000542B0000}"/>
    <cellStyle name="Input 2 14 3 4" xfId="17418" xr:uid="{00000000-0005-0000-0000-0000552B0000}"/>
    <cellStyle name="Input 2 14 3 4 2" xfId="17419" xr:uid="{00000000-0005-0000-0000-0000562B0000}"/>
    <cellStyle name="Input 2 14 3 4 2 2" xfId="3222" xr:uid="{00000000-0005-0000-0000-0000572B0000}"/>
    <cellStyle name="Input 2 14 3 4 2 3" xfId="3062" xr:uid="{00000000-0005-0000-0000-0000582B0000}"/>
    <cellStyle name="Input 2 14 3 4 2 4" xfId="2273" xr:uid="{00000000-0005-0000-0000-0000592B0000}"/>
    <cellStyle name="Input 2 14 3 4 3" xfId="17420" xr:uid="{00000000-0005-0000-0000-00005A2B0000}"/>
    <cellStyle name="Input 2 14 3 4 3 2" xfId="2663" xr:uid="{00000000-0005-0000-0000-00005B2B0000}"/>
    <cellStyle name="Input 2 14 3 4 3 3" xfId="2670" xr:uid="{00000000-0005-0000-0000-00005C2B0000}"/>
    <cellStyle name="Input 2 14 3 4 3 4" xfId="2680" xr:uid="{00000000-0005-0000-0000-00005D2B0000}"/>
    <cellStyle name="Input 2 14 3 4 4" xfId="17421" xr:uid="{00000000-0005-0000-0000-00005E2B0000}"/>
    <cellStyle name="Input 2 14 3 4 4 2" xfId="17424" xr:uid="{00000000-0005-0000-0000-00005F2B0000}"/>
    <cellStyle name="Input 2 14 3 4 4 3" xfId="17426" xr:uid="{00000000-0005-0000-0000-0000602B0000}"/>
    <cellStyle name="Input 2 14 3 4 5" xfId="732" xr:uid="{00000000-0005-0000-0000-0000612B0000}"/>
    <cellStyle name="Input 2 14 3 4 5 2" xfId="17428" xr:uid="{00000000-0005-0000-0000-0000622B0000}"/>
    <cellStyle name="Input 2 14 3 4 5 3" xfId="17430" xr:uid="{00000000-0005-0000-0000-0000632B0000}"/>
    <cellStyle name="Input 2 14 3 4 6" xfId="17432" xr:uid="{00000000-0005-0000-0000-0000642B0000}"/>
    <cellStyle name="Input 2 14 3 4 7" xfId="17434" xr:uid="{00000000-0005-0000-0000-0000652B0000}"/>
    <cellStyle name="Input 2 14 3 5" xfId="17437" xr:uid="{00000000-0005-0000-0000-0000662B0000}"/>
    <cellStyle name="Input 2 14 3 5 2" xfId="17438" xr:uid="{00000000-0005-0000-0000-0000672B0000}"/>
    <cellStyle name="Input 2 14 3 5 2 2" xfId="2834" xr:uid="{00000000-0005-0000-0000-0000682B0000}"/>
    <cellStyle name="Input 2 14 3 5 2 3" xfId="2892" xr:uid="{00000000-0005-0000-0000-0000692B0000}"/>
    <cellStyle name="Input 2 14 3 5 2 4" xfId="2932" xr:uid="{00000000-0005-0000-0000-00006A2B0000}"/>
    <cellStyle name="Input 2 14 3 5 3" xfId="17439" xr:uid="{00000000-0005-0000-0000-00006B2B0000}"/>
    <cellStyle name="Input 2 14 3 5 3 2" xfId="899" xr:uid="{00000000-0005-0000-0000-00006C2B0000}"/>
    <cellStyle name="Input 2 14 3 5 3 3" xfId="1189" xr:uid="{00000000-0005-0000-0000-00006D2B0000}"/>
    <cellStyle name="Input 2 14 3 5 3 4" xfId="2850" xr:uid="{00000000-0005-0000-0000-00006E2B0000}"/>
    <cellStyle name="Input 2 14 3 5 4" xfId="17440" xr:uid="{00000000-0005-0000-0000-00006F2B0000}"/>
    <cellStyle name="Input 2 14 3 5 4 2" xfId="9106" xr:uid="{00000000-0005-0000-0000-0000702B0000}"/>
    <cellStyle name="Input 2 14 3 5 4 3" xfId="9111" xr:uid="{00000000-0005-0000-0000-0000712B0000}"/>
    <cellStyle name="Input 2 14 3 5 5" xfId="17442" xr:uid="{00000000-0005-0000-0000-0000722B0000}"/>
    <cellStyle name="Input 2 14 3 5 5 2" xfId="9120" xr:uid="{00000000-0005-0000-0000-0000732B0000}"/>
    <cellStyle name="Input 2 14 3 5 5 3" xfId="9125" xr:uid="{00000000-0005-0000-0000-0000742B0000}"/>
    <cellStyle name="Input 2 14 3 5 6" xfId="17444" xr:uid="{00000000-0005-0000-0000-0000752B0000}"/>
    <cellStyle name="Input 2 14 3 5 7" xfId="17447" xr:uid="{00000000-0005-0000-0000-0000762B0000}"/>
    <cellStyle name="Input 2 14 3 6" xfId="17451" xr:uid="{00000000-0005-0000-0000-0000772B0000}"/>
    <cellStyle name="Input 2 14 3 6 2" xfId="17452" xr:uid="{00000000-0005-0000-0000-0000782B0000}"/>
    <cellStyle name="Input 2 14 3 6 2 2" xfId="3275" xr:uid="{00000000-0005-0000-0000-0000792B0000}"/>
    <cellStyle name="Input 2 14 3 6 2 3" xfId="3284" xr:uid="{00000000-0005-0000-0000-00007A2B0000}"/>
    <cellStyle name="Input 2 14 3 6 2 4" xfId="5656" xr:uid="{00000000-0005-0000-0000-00007B2B0000}"/>
    <cellStyle name="Input 2 14 3 6 3" xfId="17453" xr:uid="{00000000-0005-0000-0000-00007C2B0000}"/>
    <cellStyle name="Input 2 14 3 6 3 2" xfId="3298" xr:uid="{00000000-0005-0000-0000-00007D2B0000}"/>
    <cellStyle name="Input 2 14 3 6 3 3" xfId="3303" xr:uid="{00000000-0005-0000-0000-00007E2B0000}"/>
    <cellStyle name="Input 2 14 3 6 3 4" xfId="5666" xr:uid="{00000000-0005-0000-0000-00007F2B0000}"/>
    <cellStyle name="Input 2 14 3 6 4" xfId="17454" xr:uid="{00000000-0005-0000-0000-0000802B0000}"/>
    <cellStyle name="Input 2 14 3 6 4 2" xfId="3320" xr:uid="{00000000-0005-0000-0000-0000812B0000}"/>
    <cellStyle name="Input 2 14 3 6 4 3" xfId="2839" xr:uid="{00000000-0005-0000-0000-0000822B0000}"/>
    <cellStyle name="Input 2 14 3 6 5" xfId="17455" xr:uid="{00000000-0005-0000-0000-0000832B0000}"/>
    <cellStyle name="Input 2 14 3 6 5 2" xfId="3330" xr:uid="{00000000-0005-0000-0000-0000842B0000}"/>
    <cellStyle name="Input 2 14 3 6 5 3" xfId="17456" xr:uid="{00000000-0005-0000-0000-0000852B0000}"/>
    <cellStyle name="Input 2 14 3 6 6" xfId="17457" xr:uid="{00000000-0005-0000-0000-0000862B0000}"/>
    <cellStyle name="Input 2 14 3 6 7" xfId="17460" xr:uid="{00000000-0005-0000-0000-0000872B0000}"/>
    <cellStyle name="Input 2 14 3 7" xfId="10056" xr:uid="{00000000-0005-0000-0000-0000882B0000}"/>
    <cellStyle name="Input 2 14 3 7 2" xfId="17464" xr:uid="{00000000-0005-0000-0000-0000892B0000}"/>
    <cellStyle name="Input 2 14 3 7 2 2" xfId="3354" xr:uid="{00000000-0005-0000-0000-00008A2B0000}"/>
    <cellStyle name="Input 2 14 3 7 2 3" xfId="3358" xr:uid="{00000000-0005-0000-0000-00008B2B0000}"/>
    <cellStyle name="Input 2 14 3 7 2 4" xfId="6328" xr:uid="{00000000-0005-0000-0000-00008C2B0000}"/>
    <cellStyle name="Input 2 14 3 7 3" xfId="17465" xr:uid="{00000000-0005-0000-0000-00008D2B0000}"/>
    <cellStyle name="Input 2 14 3 7 3 2" xfId="3365" xr:uid="{00000000-0005-0000-0000-00008E2B0000}"/>
    <cellStyle name="Input 2 14 3 7 3 3" xfId="3370" xr:uid="{00000000-0005-0000-0000-00008F2B0000}"/>
    <cellStyle name="Input 2 14 3 7 3 4" xfId="6333" xr:uid="{00000000-0005-0000-0000-0000902B0000}"/>
    <cellStyle name="Input 2 14 3 7 4" xfId="17466" xr:uid="{00000000-0005-0000-0000-0000912B0000}"/>
    <cellStyle name="Input 2 14 3 7 4 2" xfId="3384" xr:uid="{00000000-0005-0000-0000-0000922B0000}"/>
    <cellStyle name="Input 2 14 3 7 4 3" xfId="2900" xr:uid="{00000000-0005-0000-0000-0000932B0000}"/>
    <cellStyle name="Input 2 14 3 7 5" xfId="17467" xr:uid="{00000000-0005-0000-0000-0000942B0000}"/>
    <cellStyle name="Input 2 14 3 7 5 2" xfId="161" xr:uid="{00000000-0005-0000-0000-0000952B0000}"/>
    <cellStyle name="Input 2 14 3 7 5 3" xfId="17468" xr:uid="{00000000-0005-0000-0000-0000962B0000}"/>
    <cellStyle name="Input 2 14 3 7 6" xfId="17469" xr:uid="{00000000-0005-0000-0000-0000972B0000}"/>
    <cellStyle name="Input 2 14 3 7 7" xfId="17472" xr:uid="{00000000-0005-0000-0000-0000982B0000}"/>
    <cellStyle name="Input 2 14 3 8" xfId="10059" xr:uid="{00000000-0005-0000-0000-0000992B0000}"/>
    <cellStyle name="Input 2 14 3 8 2" xfId="17476" xr:uid="{00000000-0005-0000-0000-00009A2B0000}"/>
    <cellStyle name="Input 2 14 3 8 2 2" xfId="3404" xr:uid="{00000000-0005-0000-0000-00009B2B0000}"/>
    <cellStyle name="Input 2 14 3 8 2 3" xfId="3409" xr:uid="{00000000-0005-0000-0000-00009C2B0000}"/>
    <cellStyle name="Input 2 14 3 8 2 4" xfId="6933" xr:uid="{00000000-0005-0000-0000-00009D2B0000}"/>
    <cellStyle name="Input 2 14 3 8 3" xfId="17477" xr:uid="{00000000-0005-0000-0000-00009E2B0000}"/>
    <cellStyle name="Input 2 14 3 8 3 2" xfId="3421" xr:uid="{00000000-0005-0000-0000-00009F2B0000}"/>
    <cellStyle name="Input 2 14 3 8 3 3" xfId="3428" xr:uid="{00000000-0005-0000-0000-0000A02B0000}"/>
    <cellStyle name="Input 2 14 3 8 3 4" xfId="6950" xr:uid="{00000000-0005-0000-0000-0000A12B0000}"/>
    <cellStyle name="Input 2 14 3 8 4" xfId="17478" xr:uid="{00000000-0005-0000-0000-0000A22B0000}"/>
    <cellStyle name="Input 2 14 3 8 4 2" xfId="3445" xr:uid="{00000000-0005-0000-0000-0000A32B0000}"/>
    <cellStyle name="Input 2 14 3 8 4 3" xfId="2939" xr:uid="{00000000-0005-0000-0000-0000A42B0000}"/>
    <cellStyle name="Input 2 14 3 8 5" xfId="17479" xr:uid="{00000000-0005-0000-0000-0000A52B0000}"/>
    <cellStyle name="Input 2 14 3 8 5 2" xfId="3461" xr:uid="{00000000-0005-0000-0000-0000A62B0000}"/>
    <cellStyle name="Input 2 14 3 8 5 3" xfId="17480" xr:uid="{00000000-0005-0000-0000-0000A72B0000}"/>
    <cellStyle name="Input 2 14 3 8 6" xfId="17481" xr:uid="{00000000-0005-0000-0000-0000A82B0000}"/>
    <cellStyle name="Input 2 14 3 8 7" xfId="17484" xr:uid="{00000000-0005-0000-0000-0000A92B0000}"/>
    <cellStyle name="Input 2 14 3 9" xfId="17488" xr:uid="{00000000-0005-0000-0000-0000AA2B0000}"/>
    <cellStyle name="Input 2 14 3 9 2" xfId="17490" xr:uid="{00000000-0005-0000-0000-0000AB2B0000}"/>
    <cellStyle name="Input 2 14 3 9 2 2" xfId="7136" xr:uid="{00000000-0005-0000-0000-0000AC2B0000}"/>
    <cellStyle name="Input 2 14 3 9 2 3" xfId="7142" xr:uid="{00000000-0005-0000-0000-0000AD2B0000}"/>
    <cellStyle name="Input 2 14 3 9 2 4" xfId="7145" xr:uid="{00000000-0005-0000-0000-0000AE2B0000}"/>
    <cellStyle name="Input 2 14 3 9 3" xfId="17491" xr:uid="{00000000-0005-0000-0000-0000AF2B0000}"/>
    <cellStyle name="Input 2 14 3 9 3 2" xfId="7155" xr:uid="{00000000-0005-0000-0000-0000B02B0000}"/>
    <cellStyle name="Input 2 14 3 9 3 3" xfId="7160" xr:uid="{00000000-0005-0000-0000-0000B12B0000}"/>
    <cellStyle name="Input 2 14 3 9 3 4" xfId="7164" xr:uid="{00000000-0005-0000-0000-0000B22B0000}"/>
    <cellStyle name="Input 2 14 3 9 4" xfId="17492" xr:uid="{00000000-0005-0000-0000-0000B32B0000}"/>
    <cellStyle name="Input 2 14 3 9 4 2" xfId="17493" xr:uid="{00000000-0005-0000-0000-0000B42B0000}"/>
    <cellStyle name="Input 2 14 3 9 4 3" xfId="17494" xr:uid="{00000000-0005-0000-0000-0000B52B0000}"/>
    <cellStyle name="Input 2 14 3 9 5" xfId="17495" xr:uid="{00000000-0005-0000-0000-0000B62B0000}"/>
    <cellStyle name="Input 2 14 3 9 5 2" xfId="17496" xr:uid="{00000000-0005-0000-0000-0000B72B0000}"/>
    <cellStyle name="Input 2 14 3 9 5 3" xfId="17497" xr:uid="{00000000-0005-0000-0000-0000B82B0000}"/>
    <cellStyle name="Input 2 14 3 9 6" xfId="17498" xr:uid="{00000000-0005-0000-0000-0000B92B0000}"/>
    <cellStyle name="Input 2 14 3 9 7" xfId="17500" xr:uid="{00000000-0005-0000-0000-0000BA2B0000}"/>
    <cellStyle name="Input 2 14 4" xfId="17503" xr:uid="{00000000-0005-0000-0000-0000BB2B0000}"/>
    <cellStyle name="Input 2 14 4 2" xfId="1997" xr:uid="{00000000-0005-0000-0000-0000BC2B0000}"/>
    <cellStyle name="Input 2 14 4 2 2" xfId="17507" xr:uid="{00000000-0005-0000-0000-0000BD2B0000}"/>
    <cellStyle name="Input 2 14 4 2 3" xfId="17508" xr:uid="{00000000-0005-0000-0000-0000BE2B0000}"/>
    <cellStyle name="Input 2 14 4 2 4" xfId="17509" xr:uid="{00000000-0005-0000-0000-0000BF2B0000}"/>
    <cellStyle name="Input 2 14 4 3" xfId="17512" xr:uid="{00000000-0005-0000-0000-0000C02B0000}"/>
    <cellStyle name="Input 2 14 4 3 2" xfId="17514" xr:uid="{00000000-0005-0000-0000-0000C12B0000}"/>
    <cellStyle name="Input 2 14 4 3 3" xfId="17515" xr:uid="{00000000-0005-0000-0000-0000C22B0000}"/>
    <cellStyle name="Input 2 14 4 3 4" xfId="17516" xr:uid="{00000000-0005-0000-0000-0000C32B0000}"/>
    <cellStyle name="Input 2 14 4 4" xfId="17519" xr:uid="{00000000-0005-0000-0000-0000C42B0000}"/>
    <cellStyle name="Input 2 14 4 4 2" xfId="17521" xr:uid="{00000000-0005-0000-0000-0000C52B0000}"/>
    <cellStyle name="Input 2 14 4 4 3" xfId="17522" xr:uid="{00000000-0005-0000-0000-0000C62B0000}"/>
    <cellStyle name="Input 2 14 4 5" xfId="17523" xr:uid="{00000000-0005-0000-0000-0000C72B0000}"/>
    <cellStyle name="Input 2 14 4 5 2" xfId="17524" xr:uid="{00000000-0005-0000-0000-0000C82B0000}"/>
    <cellStyle name="Input 2 14 4 5 3" xfId="17525" xr:uid="{00000000-0005-0000-0000-0000C92B0000}"/>
    <cellStyle name="Input 2 14 4 6" xfId="17526" xr:uid="{00000000-0005-0000-0000-0000CA2B0000}"/>
    <cellStyle name="Input 2 14 4 7" xfId="17528" xr:uid="{00000000-0005-0000-0000-0000CB2B0000}"/>
    <cellStyle name="Input 2 14 5" xfId="17531" xr:uid="{00000000-0005-0000-0000-0000CC2B0000}"/>
    <cellStyle name="Input 2 14 5 2" xfId="7038" xr:uid="{00000000-0005-0000-0000-0000CD2B0000}"/>
    <cellStyle name="Input 2 14 5 2 2" xfId="17535" xr:uid="{00000000-0005-0000-0000-0000CE2B0000}"/>
    <cellStyle name="Input 2 14 5 2 3" xfId="17536" xr:uid="{00000000-0005-0000-0000-0000CF2B0000}"/>
    <cellStyle name="Input 2 14 5 2 4" xfId="17537" xr:uid="{00000000-0005-0000-0000-0000D02B0000}"/>
    <cellStyle name="Input 2 14 5 3" xfId="17540" xr:uid="{00000000-0005-0000-0000-0000D12B0000}"/>
    <cellStyle name="Input 2 14 5 3 2" xfId="17542" xr:uid="{00000000-0005-0000-0000-0000D22B0000}"/>
    <cellStyle name="Input 2 14 5 3 3" xfId="17543" xr:uid="{00000000-0005-0000-0000-0000D32B0000}"/>
    <cellStyle name="Input 2 14 5 3 4" xfId="17544" xr:uid="{00000000-0005-0000-0000-0000D42B0000}"/>
    <cellStyle name="Input 2 14 5 4" xfId="17547" xr:uid="{00000000-0005-0000-0000-0000D52B0000}"/>
    <cellStyle name="Input 2 14 5 4 2" xfId="17549" xr:uid="{00000000-0005-0000-0000-0000D62B0000}"/>
    <cellStyle name="Input 2 14 5 4 3" xfId="17550" xr:uid="{00000000-0005-0000-0000-0000D72B0000}"/>
    <cellStyle name="Input 2 14 5 5" xfId="17552" xr:uid="{00000000-0005-0000-0000-0000D82B0000}"/>
    <cellStyle name="Input 2 14 5 5 2" xfId="17554" xr:uid="{00000000-0005-0000-0000-0000D92B0000}"/>
    <cellStyle name="Input 2 14 5 5 3" xfId="17556" xr:uid="{00000000-0005-0000-0000-0000DA2B0000}"/>
    <cellStyle name="Input 2 14 5 6" xfId="17559" xr:uid="{00000000-0005-0000-0000-0000DB2B0000}"/>
    <cellStyle name="Input 2 14 5 7" xfId="17562" xr:uid="{00000000-0005-0000-0000-0000DC2B0000}"/>
    <cellStyle name="Input 2 14 6" xfId="17566" xr:uid="{00000000-0005-0000-0000-0000DD2B0000}"/>
    <cellStyle name="Input 2 14 6 2" xfId="7057" xr:uid="{00000000-0005-0000-0000-0000DE2B0000}"/>
    <cellStyle name="Input 2 14 6 2 2" xfId="17571" xr:uid="{00000000-0005-0000-0000-0000DF2B0000}"/>
    <cellStyle name="Input 2 14 6 2 3" xfId="17573" xr:uid="{00000000-0005-0000-0000-0000E02B0000}"/>
    <cellStyle name="Input 2 14 6 2 4" xfId="17575" xr:uid="{00000000-0005-0000-0000-0000E12B0000}"/>
    <cellStyle name="Input 2 14 6 3" xfId="17579" xr:uid="{00000000-0005-0000-0000-0000E22B0000}"/>
    <cellStyle name="Input 2 14 6 3 2" xfId="17583" xr:uid="{00000000-0005-0000-0000-0000E32B0000}"/>
    <cellStyle name="Input 2 14 6 3 3" xfId="17585" xr:uid="{00000000-0005-0000-0000-0000E42B0000}"/>
    <cellStyle name="Input 2 14 6 3 4" xfId="17587" xr:uid="{00000000-0005-0000-0000-0000E52B0000}"/>
    <cellStyle name="Input 2 14 6 4" xfId="17591" xr:uid="{00000000-0005-0000-0000-0000E62B0000}"/>
    <cellStyle name="Input 2 14 6 4 2" xfId="17594" xr:uid="{00000000-0005-0000-0000-0000E72B0000}"/>
    <cellStyle name="Input 2 14 6 4 3" xfId="17596" xr:uid="{00000000-0005-0000-0000-0000E82B0000}"/>
    <cellStyle name="Input 2 14 6 5" xfId="17598" xr:uid="{00000000-0005-0000-0000-0000E92B0000}"/>
    <cellStyle name="Input 2 14 6 5 2" xfId="17601" xr:uid="{00000000-0005-0000-0000-0000EA2B0000}"/>
    <cellStyle name="Input 2 14 6 5 3" xfId="17604" xr:uid="{00000000-0005-0000-0000-0000EB2B0000}"/>
    <cellStyle name="Input 2 14 6 6" xfId="17607" xr:uid="{00000000-0005-0000-0000-0000EC2B0000}"/>
    <cellStyle name="Input 2 14 6 7" xfId="17611" xr:uid="{00000000-0005-0000-0000-0000ED2B0000}"/>
    <cellStyle name="Input 2 14 7" xfId="13246" xr:uid="{00000000-0005-0000-0000-0000EE2B0000}"/>
    <cellStyle name="Input 2 14 7 2" xfId="7091" xr:uid="{00000000-0005-0000-0000-0000EF2B0000}"/>
    <cellStyle name="Input 2 14 7 2 2" xfId="17616" xr:uid="{00000000-0005-0000-0000-0000F02B0000}"/>
    <cellStyle name="Input 2 14 7 2 3" xfId="17617" xr:uid="{00000000-0005-0000-0000-0000F12B0000}"/>
    <cellStyle name="Input 2 14 7 2 4" xfId="17618" xr:uid="{00000000-0005-0000-0000-0000F22B0000}"/>
    <cellStyle name="Input 2 14 7 3" xfId="17620" xr:uid="{00000000-0005-0000-0000-0000F32B0000}"/>
    <cellStyle name="Input 2 14 7 3 2" xfId="17624" xr:uid="{00000000-0005-0000-0000-0000F42B0000}"/>
    <cellStyle name="Input 2 14 7 3 3" xfId="17625" xr:uid="{00000000-0005-0000-0000-0000F52B0000}"/>
    <cellStyle name="Input 2 14 7 3 4" xfId="17626" xr:uid="{00000000-0005-0000-0000-0000F62B0000}"/>
    <cellStyle name="Input 2 14 7 4" xfId="17628" xr:uid="{00000000-0005-0000-0000-0000F72B0000}"/>
    <cellStyle name="Input 2 14 7 4 2" xfId="17631" xr:uid="{00000000-0005-0000-0000-0000F82B0000}"/>
    <cellStyle name="Input 2 14 7 4 3" xfId="17632" xr:uid="{00000000-0005-0000-0000-0000F92B0000}"/>
    <cellStyle name="Input 2 14 7 5" xfId="17633" xr:uid="{00000000-0005-0000-0000-0000FA2B0000}"/>
    <cellStyle name="Input 2 14 7 5 2" xfId="17635" xr:uid="{00000000-0005-0000-0000-0000FB2B0000}"/>
    <cellStyle name="Input 2 14 7 5 3" xfId="17637" xr:uid="{00000000-0005-0000-0000-0000FC2B0000}"/>
    <cellStyle name="Input 2 14 7 6" xfId="11802" xr:uid="{00000000-0005-0000-0000-0000FD2B0000}"/>
    <cellStyle name="Input 2 14 7 7" xfId="17639" xr:uid="{00000000-0005-0000-0000-0000FE2B0000}"/>
    <cellStyle name="Input 2 14 8" xfId="13252" xr:uid="{00000000-0005-0000-0000-0000FF2B0000}"/>
    <cellStyle name="Input 2 14 8 2" xfId="7110" xr:uid="{00000000-0005-0000-0000-0000002C0000}"/>
    <cellStyle name="Input 2 14 8 2 2" xfId="17642" xr:uid="{00000000-0005-0000-0000-0000012C0000}"/>
    <cellStyle name="Input 2 14 8 2 3" xfId="17643" xr:uid="{00000000-0005-0000-0000-0000022C0000}"/>
    <cellStyle name="Input 2 14 8 2 4" xfId="17644" xr:uid="{00000000-0005-0000-0000-0000032C0000}"/>
    <cellStyle name="Input 2 14 8 3" xfId="17646" xr:uid="{00000000-0005-0000-0000-0000042C0000}"/>
    <cellStyle name="Input 2 14 8 3 2" xfId="17649" xr:uid="{00000000-0005-0000-0000-0000052C0000}"/>
    <cellStyle name="Input 2 14 8 3 3" xfId="17650" xr:uid="{00000000-0005-0000-0000-0000062C0000}"/>
    <cellStyle name="Input 2 14 8 3 4" xfId="17651" xr:uid="{00000000-0005-0000-0000-0000072C0000}"/>
    <cellStyle name="Input 2 14 8 4" xfId="17653" xr:uid="{00000000-0005-0000-0000-0000082C0000}"/>
    <cellStyle name="Input 2 14 8 4 2" xfId="17655" xr:uid="{00000000-0005-0000-0000-0000092C0000}"/>
    <cellStyle name="Input 2 14 8 4 3" xfId="17656" xr:uid="{00000000-0005-0000-0000-00000A2C0000}"/>
    <cellStyle name="Input 2 14 8 5" xfId="17657" xr:uid="{00000000-0005-0000-0000-00000B2C0000}"/>
    <cellStyle name="Input 2 14 8 5 2" xfId="17659" xr:uid="{00000000-0005-0000-0000-00000C2C0000}"/>
    <cellStyle name="Input 2 14 8 5 3" xfId="17661" xr:uid="{00000000-0005-0000-0000-00000D2C0000}"/>
    <cellStyle name="Input 2 14 8 6" xfId="17663" xr:uid="{00000000-0005-0000-0000-00000E2C0000}"/>
    <cellStyle name="Input 2 14 8 7" xfId="17666" xr:uid="{00000000-0005-0000-0000-00000F2C0000}"/>
    <cellStyle name="Input 2 14 9" xfId="17669" xr:uid="{00000000-0005-0000-0000-0000102C0000}"/>
    <cellStyle name="Input 2 14 9 2" xfId="7128" xr:uid="{00000000-0005-0000-0000-0000112C0000}"/>
    <cellStyle name="Input 2 14 9 2 2" xfId="17673" xr:uid="{00000000-0005-0000-0000-0000122C0000}"/>
    <cellStyle name="Input 2 14 9 2 3" xfId="17674" xr:uid="{00000000-0005-0000-0000-0000132C0000}"/>
    <cellStyle name="Input 2 14 9 2 4" xfId="17675" xr:uid="{00000000-0005-0000-0000-0000142C0000}"/>
    <cellStyle name="Input 2 14 9 3" xfId="17676" xr:uid="{00000000-0005-0000-0000-0000152C0000}"/>
    <cellStyle name="Input 2 14 9 3 2" xfId="17679" xr:uid="{00000000-0005-0000-0000-0000162C0000}"/>
    <cellStyle name="Input 2 14 9 3 3" xfId="17680" xr:uid="{00000000-0005-0000-0000-0000172C0000}"/>
    <cellStyle name="Input 2 14 9 3 4" xfId="17681" xr:uid="{00000000-0005-0000-0000-0000182C0000}"/>
    <cellStyle name="Input 2 14 9 4" xfId="17682" xr:uid="{00000000-0005-0000-0000-0000192C0000}"/>
    <cellStyle name="Input 2 14 9 4 2" xfId="17683" xr:uid="{00000000-0005-0000-0000-00001A2C0000}"/>
    <cellStyle name="Input 2 14 9 4 3" xfId="17684" xr:uid="{00000000-0005-0000-0000-00001B2C0000}"/>
    <cellStyle name="Input 2 14 9 5" xfId="17685" xr:uid="{00000000-0005-0000-0000-00001C2C0000}"/>
    <cellStyle name="Input 2 14 9 5 2" xfId="17689" xr:uid="{00000000-0005-0000-0000-00001D2C0000}"/>
    <cellStyle name="Input 2 14 9 5 3" xfId="17693" xr:uid="{00000000-0005-0000-0000-00001E2C0000}"/>
    <cellStyle name="Input 2 14 9 6" xfId="1477" xr:uid="{00000000-0005-0000-0000-00001F2C0000}"/>
    <cellStyle name="Input 2 14 9 7" xfId="1507" xr:uid="{00000000-0005-0000-0000-0000202C0000}"/>
    <cellStyle name="Input 2 15" xfId="17698" xr:uid="{00000000-0005-0000-0000-0000212C0000}"/>
    <cellStyle name="Input 2 15 10" xfId="17700" xr:uid="{00000000-0005-0000-0000-0000222C0000}"/>
    <cellStyle name="Input 2 15 10 2" xfId="17705" xr:uid="{00000000-0005-0000-0000-0000232C0000}"/>
    <cellStyle name="Input 2 15 10 2 2" xfId="2577" xr:uid="{00000000-0005-0000-0000-0000242C0000}"/>
    <cellStyle name="Input 2 15 10 2 3" xfId="257" xr:uid="{00000000-0005-0000-0000-0000252C0000}"/>
    <cellStyle name="Input 2 15 10 2 4" xfId="2586" xr:uid="{00000000-0005-0000-0000-0000262C0000}"/>
    <cellStyle name="Input 2 15 10 3" xfId="17710" xr:uid="{00000000-0005-0000-0000-0000272C0000}"/>
    <cellStyle name="Input 2 15 10 3 2" xfId="4859" xr:uid="{00000000-0005-0000-0000-0000282C0000}"/>
    <cellStyle name="Input 2 15 10 3 3" xfId="4869" xr:uid="{00000000-0005-0000-0000-0000292C0000}"/>
    <cellStyle name="Input 2 15 10 3 4" xfId="4479" xr:uid="{00000000-0005-0000-0000-00002A2C0000}"/>
    <cellStyle name="Input 2 15 10 4" xfId="17715" xr:uid="{00000000-0005-0000-0000-00002B2C0000}"/>
    <cellStyle name="Input 2 15 10 4 2" xfId="8004" xr:uid="{00000000-0005-0000-0000-00002C2C0000}"/>
    <cellStyle name="Input 2 15 10 4 3" xfId="90" xr:uid="{00000000-0005-0000-0000-00002D2C0000}"/>
    <cellStyle name="Input 2 15 10 5" xfId="11051" xr:uid="{00000000-0005-0000-0000-00002E2C0000}"/>
    <cellStyle name="Input 2 15 10 5 2" xfId="17717" xr:uid="{00000000-0005-0000-0000-00002F2C0000}"/>
    <cellStyle name="Input 2 15 10 5 3" xfId="6040" xr:uid="{00000000-0005-0000-0000-0000302C0000}"/>
    <cellStyle name="Input 2 15 10 6" xfId="11053" xr:uid="{00000000-0005-0000-0000-0000312C0000}"/>
    <cellStyle name="Input 2 15 10 7" xfId="11058" xr:uid="{00000000-0005-0000-0000-0000322C0000}"/>
    <cellStyle name="Input 2 15 11" xfId="10247" xr:uid="{00000000-0005-0000-0000-0000332C0000}"/>
    <cellStyle name="Input 2 15 11 2" xfId="10252" xr:uid="{00000000-0005-0000-0000-0000342C0000}"/>
    <cellStyle name="Input 2 15 11 3" xfId="10256" xr:uid="{00000000-0005-0000-0000-0000352C0000}"/>
    <cellStyle name="Input 2 15 11 4" xfId="10260" xr:uid="{00000000-0005-0000-0000-0000362C0000}"/>
    <cellStyle name="Input 2 15 12" xfId="10272" xr:uid="{00000000-0005-0000-0000-0000372C0000}"/>
    <cellStyle name="Input 2 15 12 2" xfId="10276" xr:uid="{00000000-0005-0000-0000-0000382C0000}"/>
    <cellStyle name="Input 2 15 12 3" xfId="10280" xr:uid="{00000000-0005-0000-0000-0000392C0000}"/>
    <cellStyle name="Input 2 15 12 4" xfId="10284" xr:uid="{00000000-0005-0000-0000-00003A2C0000}"/>
    <cellStyle name="Input 2 15 13" xfId="10298" xr:uid="{00000000-0005-0000-0000-00003B2C0000}"/>
    <cellStyle name="Input 2 15 13 2" xfId="10301" xr:uid="{00000000-0005-0000-0000-00003C2C0000}"/>
    <cellStyle name="Input 2 15 13 3" xfId="10304" xr:uid="{00000000-0005-0000-0000-00003D2C0000}"/>
    <cellStyle name="Input 2 15 14" xfId="10318" xr:uid="{00000000-0005-0000-0000-00003E2C0000}"/>
    <cellStyle name="Input 2 15 14 2" xfId="10320" xr:uid="{00000000-0005-0000-0000-00003F2C0000}"/>
    <cellStyle name="Input 2 15 14 3" xfId="10323" xr:uid="{00000000-0005-0000-0000-0000402C0000}"/>
    <cellStyle name="Input 2 15 15" xfId="10331" xr:uid="{00000000-0005-0000-0000-0000412C0000}"/>
    <cellStyle name="Input 2 15 16" xfId="10356" xr:uid="{00000000-0005-0000-0000-0000422C0000}"/>
    <cellStyle name="Input 2 15 17" xfId="10200" xr:uid="{00000000-0005-0000-0000-0000432C0000}"/>
    <cellStyle name="Input 2 15 2" xfId="17719" xr:uid="{00000000-0005-0000-0000-0000442C0000}"/>
    <cellStyle name="Input 2 15 2 2" xfId="17722" xr:uid="{00000000-0005-0000-0000-0000452C0000}"/>
    <cellStyle name="Input 2 15 2 2 2" xfId="17724" xr:uid="{00000000-0005-0000-0000-0000462C0000}"/>
    <cellStyle name="Input 2 15 2 2 3" xfId="17726" xr:uid="{00000000-0005-0000-0000-0000472C0000}"/>
    <cellStyle name="Input 2 15 2 2 4" xfId="17728" xr:uid="{00000000-0005-0000-0000-0000482C0000}"/>
    <cellStyle name="Input 2 15 2 3" xfId="17732" xr:uid="{00000000-0005-0000-0000-0000492C0000}"/>
    <cellStyle name="Input 2 15 2 3 2" xfId="17735" xr:uid="{00000000-0005-0000-0000-00004A2C0000}"/>
    <cellStyle name="Input 2 15 2 3 3" xfId="17737" xr:uid="{00000000-0005-0000-0000-00004B2C0000}"/>
    <cellStyle name="Input 2 15 2 3 4" xfId="17739" xr:uid="{00000000-0005-0000-0000-00004C2C0000}"/>
    <cellStyle name="Input 2 15 2 4" xfId="17744" xr:uid="{00000000-0005-0000-0000-00004D2C0000}"/>
    <cellStyle name="Input 2 15 2 4 2" xfId="17747" xr:uid="{00000000-0005-0000-0000-00004E2C0000}"/>
    <cellStyle name="Input 2 15 2 4 3" xfId="17749" xr:uid="{00000000-0005-0000-0000-00004F2C0000}"/>
    <cellStyle name="Input 2 15 2 5" xfId="17751" xr:uid="{00000000-0005-0000-0000-0000502C0000}"/>
    <cellStyle name="Input 2 15 2 5 2" xfId="17754" xr:uid="{00000000-0005-0000-0000-0000512C0000}"/>
    <cellStyle name="Input 2 15 2 5 3" xfId="17756" xr:uid="{00000000-0005-0000-0000-0000522C0000}"/>
    <cellStyle name="Input 2 15 2 6" xfId="17758" xr:uid="{00000000-0005-0000-0000-0000532C0000}"/>
    <cellStyle name="Input 2 15 2 7" xfId="17761" xr:uid="{00000000-0005-0000-0000-0000542C0000}"/>
    <cellStyle name="Input 2 15 3" xfId="17763" xr:uid="{00000000-0005-0000-0000-0000552C0000}"/>
    <cellStyle name="Input 2 15 3 2" xfId="17765" xr:uid="{00000000-0005-0000-0000-0000562C0000}"/>
    <cellStyle name="Input 2 15 3 2 2" xfId="17767" xr:uid="{00000000-0005-0000-0000-0000572C0000}"/>
    <cellStyle name="Input 2 15 3 2 3" xfId="9153" xr:uid="{00000000-0005-0000-0000-0000582C0000}"/>
    <cellStyle name="Input 2 15 3 2 4" xfId="9155" xr:uid="{00000000-0005-0000-0000-0000592C0000}"/>
    <cellStyle name="Input 2 15 3 3" xfId="17768" xr:uid="{00000000-0005-0000-0000-00005A2C0000}"/>
    <cellStyle name="Input 2 15 3 3 2" xfId="17771" xr:uid="{00000000-0005-0000-0000-00005B2C0000}"/>
    <cellStyle name="Input 2 15 3 3 3" xfId="9167" xr:uid="{00000000-0005-0000-0000-00005C2C0000}"/>
    <cellStyle name="Input 2 15 3 3 4" xfId="9170" xr:uid="{00000000-0005-0000-0000-00005D2C0000}"/>
    <cellStyle name="Input 2 15 3 4" xfId="17773" xr:uid="{00000000-0005-0000-0000-00005E2C0000}"/>
    <cellStyle name="Input 2 15 3 4 2" xfId="17776" xr:uid="{00000000-0005-0000-0000-00005F2C0000}"/>
    <cellStyle name="Input 2 15 3 4 3" xfId="9183" xr:uid="{00000000-0005-0000-0000-0000602C0000}"/>
    <cellStyle name="Input 2 15 3 5" xfId="17778" xr:uid="{00000000-0005-0000-0000-0000612C0000}"/>
    <cellStyle name="Input 2 15 3 5 2" xfId="17780" xr:uid="{00000000-0005-0000-0000-0000622C0000}"/>
    <cellStyle name="Input 2 15 3 5 3" xfId="9198" xr:uid="{00000000-0005-0000-0000-0000632C0000}"/>
    <cellStyle name="Input 2 15 3 6" xfId="17782" xr:uid="{00000000-0005-0000-0000-0000642C0000}"/>
    <cellStyle name="Input 2 15 3 7" xfId="17784" xr:uid="{00000000-0005-0000-0000-0000652C0000}"/>
    <cellStyle name="Input 2 15 4" xfId="17787" xr:uid="{00000000-0005-0000-0000-0000662C0000}"/>
    <cellStyle name="Input 2 15 4 2" xfId="17790" xr:uid="{00000000-0005-0000-0000-0000672C0000}"/>
    <cellStyle name="Input 2 15 4 2 2" xfId="17793" xr:uid="{00000000-0005-0000-0000-0000682C0000}"/>
    <cellStyle name="Input 2 15 4 2 3" xfId="17794" xr:uid="{00000000-0005-0000-0000-0000692C0000}"/>
    <cellStyle name="Input 2 15 4 2 4" xfId="17795" xr:uid="{00000000-0005-0000-0000-00006A2C0000}"/>
    <cellStyle name="Input 2 15 4 3" xfId="17798" xr:uid="{00000000-0005-0000-0000-00006B2C0000}"/>
    <cellStyle name="Input 2 15 4 3 2" xfId="15207" xr:uid="{00000000-0005-0000-0000-00006C2C0000}"/>
    <cellStyle name="Input 2 15 4 3 3" xfId="17801" xr:uid="{00000000-0005-0000-0000-00006D2C0000}"/>
    <cellStyle name="Input 2 15 4 3 4" xfId="17802" xr:uid="{00000000-0005-0000-0000-00006E2C0000}"/>
    <cellStyle name="Input 2 15 4 4" xfId="17805" xr:uid="{00000000-0005-0000-0000-00006F2C0000}"/>
    <cellStyle name="Input 2 15 4 4 2" xfId="17807" xr:uid="{00000000-0005-0000-0000-0000702C0000}"/>
    <cellStyle name="Input 2 15 4 4 3" xfId="17808" xr:uid="{00000000-0005-0000-0000-0000712C0000}"/>
    <cellStyle name="Input 2 15 4 5" xfId="10169" xr:uid="{00000000-0005-0000-0000-0000722C0000}"/>
    <cellStyle name="Input 2 15 4 5 2" xfId="10171" xr:uid="{00000000-0005-0000-0000-0000732C0000}"/>
    <cellStyle name="Input 2 15 4 5 3" xfId="10179" xr:uid="{00000000-0005-0000-0000-0000742C0000}"/>
    <cellStyle name="Input 2 15 4 6" xfId="10196" xr:uid="{00000000-0005-0000-0000-0000752C0000}"/>
    <cellStyle name="Input 2 15 4 7" xfId="10208" xr:uid="{00000000-0005-0000-0000-0000762C0000}"/>
    <cellStyle name="Input 2 15 5" xfId="17809" xr:uid="{00000000-0005-0000-0000-0000772C0000}"/>
    <cellStyle name="Input 2 15 5 2" xfId="17813" xr:uid="{00000000-0005-0000-0000-0000782C0000}"/>
    <cellStyle name="Input 2 15 5 2 2" xfId="17816" xr:uid="{00000000-0005-0000-0000-0000792C0000}"/>
    <cellStyle name="Input 2 15 5 2 3" xfId="17817" xr:uid="{00000000-0005-0000-0000-00007A2C0000}"/>
    <cellStyle name="Input 2 15 5 2 4" xfId="17818" xr:uid="{00000000-0005-0000-0000-00007B2C0000}"/>
    <cellStyle name="Input 2 15 5 3" xfId="17821" xr:uid="{00000000-0005-0000-0000-00007C2C0000}"/>
    <cellStyle name="Input 2 15 5 3 2" xfId="17825" xr:uid="{00000000-0005-0000-0000-00007D2C0000}"/>
    <cellStyle name="Input 2 15 5 3 3" xfId="17826" xr:uid="{00000000-0005-0000-0000-00007E2C0000}"/>
    <cellStyle name="Input 2 15 5 3 4" xfId="17827" xr:uid="{00000000-0005-0000-0000-00007F2C0000}"/>
    <cellStyle name="Input 2 15 5 4" xfId="17830" xr:uid="{00000000-0005-0000-0000-0000802C0000}"/>
    <cellStyle name="Input 2 15 5 4 2" xfId="17833" xr:uid="{00000000-0005-0000-0000-0000812C0000}"/>
    <cellStyle name="Input 2 15 5 4 3" xfId="17834" xr:uid="{00000000-0005-0000-0000-0000822C0000}"/>
    <cellStyle name="Input 2 15 5 5" xfId="17835" xr:uid="{00000000-0005-0000-0000-0000832C0000}"/>
    <cellStyle name="Input 2 15 5 5 2" xfId="17838" xr:uid="{00000000-0005-0000-0000-0000842C0000}"/>
    <cellStyle name="Input 2 15 5 5 3" xfId="17839" xr:uid="{00000000-0005-0000-0000-0000852C0000}"/>
    <cellStyle name="Input 2 15 5 6" xfId="17840" xr:uid="{00000000-0005-0000-0000-0000862C0000}"/>
    <cellStyle name="Input 2 15 5 7" xfId="17843" xr:uid="{00000000-0005-0000-0000-0000872C0000}"/>
    <cellStyle name="Input 2 15 6" xfId="17847" xr:uid="{00000000-0005-0000-0000-0000882C0000}"/>
    <cellStyle name="Input 2 15 6 2" xfId="17852" xr:uid="{00000000-0005-0000-0000-0000892C0000}"/>
    <cellStyle name="Input 2 15 6 2 2" xfId="17854" xr:uid="{00000000-0005-0000-0000-00008A2C0000}"/>
    <cellStyle name="Input 2 15 6 2 3" xfId="17855" xr:uid="{00000000-0005-0000-0000-00008B2C0000}"/>
    <cellStyle name="Input 2 15 6 2 4" xfId="17856" xr:uid="{00000000-0005-0000-0000-00008C2C0000}"/>
    <cellStyle name="Input 2 15 6 3" xfId="17859" xr:uid="{00000000-0005-0000-0000-00008D2C0000}"/>
    <cellStyle name="Input 2 15 6 3 2" xfId="17862" xr:uid="{00000000-0005-0000-0000-00008E2C0000}"/>
    <cellStyle name="Input 2 15 6 3 3" xfId="17863" xr:uid="{00000000-0005-0000-0000-00008F2C0000}"/>
    <cellStyle name="Input 2 15 6 3 4" xfId="17864" xr:uid="{00000000-0005-0000-0000-0000902C0000}"/>
    <cellStyle name="Input 2 15 6 4" xfId="17867" xr:uid="{00000000-0005-0000-0000-0000912C0000}"/>
    <cellStyle name="Input 2 15 6 4 2" xfId="17869" xr:uid="{00000000-0005-0000-0000-0000922C0000}"/>
    <cellStyle name="Input 2 15 6 4 3" xfId="17870" xr:uid="{00000000-0005-0000-0000-0000932C0000}"/>
    <cellStyle name="Input 2 15 6 5" xfId="17871" xr:uid="{00000000-0005-0000-0000-0000942C0000}"/>
    <cellStyle name="Input 2 15 6 5 2" xfId="17874" xr:uid="{00000000-0005-0000-0000-0000952C0000}"/>
    <cellStyle name="Input 2 15 6 5 3" xfId="17875" xr:uid="{00000000-0005-0000-0000-0000962C0000}"/>
    <cellStyle name="Input 2 15 6 6" xfId="17876" xr:uid="{00000000-0005-0000-0000-0000972C0000}"/>
    <cellStyle name="Input 2 15 6 7" xfId="17879" xr:uid="{00000000-0005-0000-0000-0000982C0000}"/>
    <cellStyle name="Input 2 15 7" xfId="13258" xr:uid="{00000000-0005-0000-0000-0000992C0000}"/>
    <cellStyle name="Input 2 15 7 2" xfId="17883" xr:uid="{00000000-0005-0000-0000-00009A2C0000}"/>
    <cellStyle name="Input 2 15 7 2 2" xfId="17885" xr:uid="{00000000-0005-0000-0000-00009B2C0000}"/>
    <cellStyle name="Input 2 15 7 2 3" xfId="17886" xr:uid="{00000000-0005-0000-0000-00009C2C0000}"/>
    <cellStyle name="Input 2 15 7 2 4" xfId="17887" xr:uid="{00000000-0005-0000-0000-00009D2C0000}"/>
    <cellStyle name="Input 2 15 7 3" xfId="17888" xr:uid="{00000000-0005-0000-0000-00009E2C0000}"/>
    <cellStyle name="Input 2 15 7 3 2" xfId="17891" xr:uid="{00000000-0005-0000-0000-00009F2C0000}"/>
    <cellStyle name="Input 2 15 7 3 3" xfId="17892" xr:uid="{00000000-0005-0000-0000-0000A02C0000}"/>
    <cellStyle name="Input 2 15 7 3 4" xfId="17893" xr:uid="{00000000-0005-0000-0000-0000A12C0000}"/>
    <cellStyle name="Input 2 15 7 4" xfId="522" xr:uid="{00000000-0005-0000-0000-0000A22C0000}"/>
    <cellStyle name="Input 2 15 7 4 2" xfId="17894" xr:uid="{00000000-0005-0000-0000-0000A32C0000}"/>
    <cellStyle name="Input 2 15 7 4 3" xfId="14186" xr:uid="{00000000-0005-0000-0000-0000A42C0000}"/>
    <cellStyle name="Input 2 15 7 5" xfId="529" xr:uid="{00000000-0005-0000-0000-0000A52C0000}"/>
    <cellStyle name="Input 2 15 7 5 2" xfId="17895" xr:uid="{00000000-0005-0000-0000-0000A62C0000}"/>
    <cellStyle name="Input 2 15 7 5 3" xfId="17896" xr:uid="{00000000-0005-0000-0000-0000A72C0000}"/>
    <cellStyle name="Input 2 15 7 6" xfId="543" xr:uid="{00000000-0005-0000-0000-0000A82C0000}"/>
    <cellStyle name="Input 2 15 7 7" xfId="17897" xr:uid="{00000000-0005-0000-0000-0000A92C0000}"/>
    <cellStyle name="Input 2 15 8" xfId="13264" xr:uid="{00000000-0005-0000-0000-0000AA2C0000}"/>
    <cellStyle name="Input 2 15 8 2" xfId="17900" xr:uid="{00000000-0005-0000-0000-0000AB2C0000}"/>
    <cellStyle name="Input 2 15 8 2 2" xfId="17901" xr:uid="{00000000-0005-0000-0000-0000AC2C0000}"/>
    <cellStyle name="Input 2 15 8 2 3" xfId="10133" xr:uid="{00000000-0005-0000-0000-0000AD2C0000}"/>
    <cellStyle name="Input 2 15 8 2 4" xfId="10135" xr:uid="{00000000-0005-0000-0000-0000AE2C0000}"/>
    <cellStyle name="Input 2 15 8 3" xfId="17902" xr:uid="{00000000-0005-0000-0000-0000AF2C0000}"/>
    <cellStyle name="Input 2 15 8 3 2" xfId="17904" xr:uid="{00000000-0005-0000-0000-0000B02C0000}"/>
    <cellStyle name="Input 2 15 8 3 3" xfId="10142" xr:uid="{00000000-0005-0000-0000-0000B12C0000}"/>
    <cellStyle name="Input 2 15 8 3 4" xfId="10144" xr:uid="{00000000-0005-0000-0000-0000B22C0000}"/>
    <cellStyle name="Input 2 15 8 4" xfId="4502" xr:uid="{00000000-0005-0000-0000-0000B32C0000}"/>
    <cellStyle name="Input 2 15 8 4 2" xfId="17905" xr:uid="{00000000-0005-0000-0000-0000B42C0000}"/>
    <cellStyle name="Input 2 15 8 4 3" xfId="10149" xr:uid="{00000000-0005-0000-0000-0000B52C0000}"/>
    <cellStyle name="Input 2 15 8 5" xfId="4505" xr:uid="{00000000-0005-0000-0000-0000B62C0000}"/>
    <cellStyle name="Input 2 15 8 5 2" xfId="17906" xr:uid="{00000000-0005-0000-0000-0000B72C0000}"/>
    <cellStyle name="Input 2 15 8 5 3" xfId="10155" xr:uid="{00000000-0005-0000-0000-0000B82C0000}"/>
    <cellStyle name="Input 2 15 8 6" xfId="4508" xr:uid="{00000000-0005-0000-0000-0000B92C0000}"/>
    <cellStyle name="Input 2 15 8 7" xfId="17907" xr:uid="{00000000-0005-0000-0000-0000BA2C0000}"/>
    <cellStyle name="Input 2 15 9" xfId="17910" xr:uid="{00000000-0005-0000-0000-0000BB2C0000}"/>
    <cellStyle name="Input 2 15 9 2" xfId="17912" xr:uid="{00000000-0005-0000-0000-0000BC2C0000}"/>
    <cellStyle name="Input 2 15 9 2 2" xfId="17913" xr:uid="{00000000-0005-0000-0000-0000BD2C0000}"/>
    <cellStyle name="Input 2 15 9 2 3" xfId="17914" xr:uid="{00000000-0005-0000-0000-0000BE2C0000}"/>
    <cellStyle name="Input 2 15 9 2 4" xfId="17915" xr:uid="{00000000-0005-0000-0000-0000BF2C0000}"/>
    <cellStyle name="Input 2 15 9 3" xfId="17916" xr:uid="{00000000-0005-0000-0000-0000C02C0000}"/>
    <cellStyle name="Input 2 15 9 3 2" xfId="15832" xr:uid="{00000000-0005-0000-0000-0000C12C0000}"/>
    <cellStyle name="Input 2 15 9 3 3" xfId="17917" xr:uid="{00000000-0005-0000-0000-0000C22C0000}"/>
    <cellStyle name="Input 2 15 9 3 4" xfId="17918" xr:uid="{00000000-0005-0000-0000-0000C32C0000}"/>
    <cellStyle name="Input 2 15 9 4" xfId="593" xr:uid="{00000000-0005-0000-0000-0000C42C0000}"/>
    <cellStyle name="Input 2 15 9 4 2" xfId="17919" xr:uid="{00000000-0005-0000-0000-0000C52C0000}"/>
    <cellStyle name="Input 2 15 9 4 3" xfId="17920" xr:uid="{00000000-0005-0000-0000-0000C62C0000}"/>
    <cellStyle name="Input 2 15 9 5" xfId="4515" xr:uid="{00000000-0005-0000-0000-0000C72C0000}"/>
    <cellStyle name="Input 2 15 9 5 2" xfId="10438" xr:uid="{00000000-0005-0000-0000-0000C82C0000}"/>
    <cellStyle name="Input 2 15 9 5 3" xfId="10444" xr:uid="{00000000-0005-0000-0000-0000C92C0000}"/>
    <cellStyle name="Input 2 15 9 6" xfId="14" xr:uid="{00000000-0005-0000-0000-0000CA2C0000}"/>
    <cellStyle name="Input 2 15 9 7" xfId="10463" xr:uid="{00000000-0005-0000-0000-0000CB2C0000}"/>
    <cellStyle name="Input 2 16" xfId="17921" xr:uid="{00000000-0005-0000-0000-0000CC2C0000}"/>
    <cellStyle name="Input 2 16 10" xfId="17923" xr:uid="{00000000-0005-0000-0000-0000CD2C0000}"/>
    <cellStyle name="Input 2 16 10 2" xfId="17925" xr:uid="{00000000-0005-0000-0000-0000CE2C0000}"/>
    <cellStyle name="Input 2 16 10 2 2" xfId="17928" xr:uid="{00000000-0005-0000-0000-0000CF2C0000}"/>
    <cellStyle name="Input 2 16 10 2 3" xfId="17929" xr:uid="{00000000-0005-0000-0000-0000D02C0000}"/>
    <cellStyle name="Input 2 16 10 2 4" xfId="17930" xr:uid="{00000000-0005-0000-0000-0000D12C0000}"/>
    <cellStyle name="Input 2 16 10 3" xfId="17931" xr:uid="{00000000-0005-0000-0000-0000D22C0000}"/>
    <cellStyle name="Input 2 16 10 3 2" xfId="12517" xr:uid="{00000000-0005-0000-0000-0000D32C0000}"/>
    <cellStyle name="Input 2 16 10 3 3" xfId="17933" xr:uid="{00000000-0005-0000-0000-0000D42C0000}"/>
    <cellStyle name="Input 2 16 10 3 4" xfId="17934" xr:uid="{00000000-0005-0000-0000-0000D52C0000}"/>
    <cellStyle name="Input 2 16 10 4" xfId="17935" xr:uid="{00000000-0005-0000-0000-0000D62C0000}"/>
    <cellStyle name="Input 2 16 10 4 2" xfId="12522" xr:uid="{00000000-0005-0000-0000-0000D72C0000}"/>
    <cellStyle name="Input 2 16 10 4 3" xfId="17936" xr:uid="{00000000-0005-0000-0000-0000D82C0000}"/>
    <cellStyle name="Input 2 16 10 5" xfId="11321" xr:uid="{00000000-0005-0000-0000-0000D92C0000}"/>
    <cellStyle name="Input 2 16 10 5 2" xfId="17937" xr:uid="{00000000-0005-0000-0000-0000DA2C0000}"/>
    <cellStyle name="Input 2 16 10 5 3" xfId="17938" xr:uid="{00000000-0005-0000-0000-0000DB2C0000}"/>
    <cellStyle name="Input 2 16 10 6" xfId="11322" xr:uid="{00000000-0005-0000-0000-0000DC2C0000}"/>
    <cellStyle name="Input 2 16 10 7" xfId="11325" xr:uid="{00000000-0005-0000-0000-0000DD2C0000}"/>
    <cellStyle name="Input 2 16 11" xfId="10774" xr:uid="{00000000-0005-0000-0000-0000DE2C0000}"/>
    <cellStyle name="Input 2 16 11 2" xfId="10777" xr:uid="{00000000-0005-0000-0000-0000DF2C0000}"/>
    <cellStyle name="Input 2 16 11 3" xfId="10782" xr:uid="{00000000-0005-0000-0000-0000E02C0000}"/>
    <cellStyle name="Input 2 16 11 4" xfId="10787" xr:uid="{00000000-0005-0000-0000-0000E12C0000}"/>
    <cellStyle name="Input 2 16 12" xfId="10789" xr:uid="{00000000-0005-0000-0000-0000E22C0000}"/>
    <cellStyle name="Input 2 16 12 2" xfId="10793" xr:uid="{00000000-0005-0000-0000-0000E32C0000}"/>
    <cellStyle name="Input 2 16 12 3" xfId="10798" xr:uid="{00000000-0005-0000-0000-0000E42C0000}"/>
    <cellStyle name="Input 2 16 12 4" xfId="10802" xr:uid="{00000000-0005-0000-0000-0000E52C0000}"/>
    <cellStyle name="Input 2 16 13" xfId="10805" xr:uid="{00000000-0005-0000-0000-0000E62C0000}"/>
    <cellStyle name="Input 2 16 13 2" xfId="10809" xr:uid="{00000000-0005-0000-0000-0000E72C0000}"/>
    <cellStyle name="Input 2 16 13 3" xfId="10812" xr:uid="{00000000-0005-0000-0000-0000E82C0000}"/>
    <cellStyle name="Input 2 16 14" xfId="10814" xr:uid="{00000000-0005-0000-0000-0000E92C0000}"/>
    <cellStyle name="Input 2 16 14 2" xfId="10818" xr:uid="{00000000-0005-0000-0000-0000EA2C0000}"/>
    <cellStyle name="Input 2 16 14 3" xfId="10821" xr:uid="{00000000-0005-0000-0000-0000EB2C0000}"/>
    <cellStyle name="Input 2 16 15" xfId="10824" xr:uid="{00000000-0005-0000-0000-0000EC2C0000}"/>
    <cellStyle name="Input 2 16 16" xfId="10827" xr:uid="{00000000-0005-0000-0000-0000ED2C0000}"/>
    <cellStyle name="Input 2 16 17" xfId="10830" xr:uid="{00000000-0005-0000-0000-0000EE2C0000}"/>
    <cellStyle name="Input 2 16 2" xfId="17940" xr:uid="{00000000-0005-0000-0000-0000EF2C0000}"/>
    <cellStyle name="Input 2 16 2 2" xfId="17943" xr:uid="{00000000-0005-0000-0000-0000F02C0000}"/>
    <cellStyle name="Input 2 16 2 2 2" xfId="17945" xr:uid="{00000000-0005-0000-0000-0000F12C0000}"/>
    <cellStyle name="Input 2 16 2 2 3" xfId="17947" xr:uid="{00000000-0005-0000-0000-0000F22C0000}"/>
    <cellStyle name="Input 2 16 2 2 4" xfId="17949" xr:uid="{00000000-0005-0000-0000-0000F32C0000}"/>
    <cellStyle name="Input 2 16 2 3" xfId="17952" xr:uid="{00000000-0005-0000-0000-0000F42C0000}"/>
    <cellStyle name="Input 2 16 2 3 2" xfId="17954" xr:uid="{00000000-0005-0000-0000-0000F52C0000}"/>
    <cellStyle name="Input 2 16 2 3 3" xfId="17955" xr:uid="{00000000-0005-0000-0000-0000F62C0000}"/>
    <cellStyle name="Input 2 16 2 3 4" xfId="17956" xr:uid="{00000000-0005-0000-0000-0000F72C0000}"/>
    <cellStyle name="Input 2 16 2 4" xfId="17958" xr:uid="{00000000-0005-0000-0000-0000F82C0000}"/>
    <cellStyle name="Input 2 16 2 4 2" xfId="17960" xr:uid="{00000000-0005-0000-0000-0000F92C0000}"/>
    <cellStyle name="Input 2 16 2 4 3" xfId="17961" xr:uid="{00000000-0005-0000-0000-0000FA2C0000}"/>
    <cellStyle name="Input 2 16 2 5" xfId="17962" xr:uid="{00000000-0005-0000-0000-0000FB2C0000}"/>
    <cellStyle name="Input 2 16 2 5 2" xfId="17964" xr:uid="{00000000-0005-0000-0000-0000FC2C0000}"/>
    <cellStyle name="Input 2 16 2 5 3" xfId="17965" xr:uid="{00000000-0005-0000-0000-0000FD2C0000}"/>
    <cellStyle name="Input 2 16 2 6" xfId="17966" xr:uid="{00000000-0005-0000-0000-0000FE2C0000}"/>
    <cellStyle name="Input 2 16 2 7" xfId="17968" xr:uid="{00000000-0005-0000-0000-0000FF2C0000}"/>
    <cellStyle name="Input 2 16 3" xfId="17969" xr:uid="{00000000-0005-0000-0000-0000002D0000}"/>
    <cellStyle name="Input 2 16 3 2" xfId="17971" xr:uid="{00000000-0005-0000-0000-0000012D0000}"/>
    <cellStyle name="Input 2 16 3 2 2" xfId="17974" xr:uid="{00000000-0005-0000-0000-0000022D0000}"/>
    <cellStyle name="Input 2 16 3 2 3" xfId="13446" xr:uid="{00000000-0005-0000-0000-0000032D0000}"/>
    <cellStyle name="Input 2 16 3 2 4" xfId="13449" xr:uid="{00000000-0005-0000-0000-0000042D0000}"/>
    <cellStyle name="Input 2 16 3 3" xfId="17976" xr:uid="{00000000-0005-0000-0000-0000052D0000}"/>
    <cellStyle name="Input 2 16 3 3 2" xfId="17979" xr:uid="{00000000-0005-0000-0000-0000062D0000}"/>
    <cellStyle name="Input 2 16 3 3 3" xfId="13458" xr:uid="{00000000-0005-0000-0000-0000072D0000}"/>
    <cellStyle name="Input 2 16 3 3 4" xfId="13461" xr:uid="{00000000-0005-0000-0000-0000082D0000}"/>
    <cellStyle name="Input 2 16 3 4" xfId="17982" xr:uid="{00000000-0005-0000-0000-0000092D0000}"/>
    <cellStyle name="Input 2 16 3 4 2" xfId="17985" xr:uid="{00000000-0005-0000-0000-00000A2D0000}"/>
    <cellStyle name="Input 2 16 3 4 3" xfId="13467" xr:uid="{00000000-0005-0000-0000-00000B2D0000}"/>
    <cellStyle name="Input 2 16 3 5" xfId="17987" xr:uid="{00000000-0005-0000-0000-00000C2D0000}"/>
    <cellStyle name="Input 2 16 3 5 2" xfId="17989" xr:uid="{00000000-0005-0000-0000-00000D2D0000}"/>
    <cellStyle name="Input 2 16 3 5 3" xfId="13472" xr:uid="{00000000-0005-0000-0000-00000E2D0000}"/>
    <cellStyle name="Input 2 16 3 6" xfId="17991" xr:uid="{00000000-0005-0000-0000-00000F2D0000}"/>
    <cellStyle name="Input 2 16 3 7" xfId="17993" xr:uid="{00000000-0005-0000-0000-0000102D0000}"/>
    <cellStyle name="Input 2 16 4" xfId="17996" xr:uid="{00000000-0005-0000-0000-0000112D0000}"/>
    <cellStyle name="Input 2 16 4 2" xfId="17999" xr:uid="{00000000-0005-0000-0000-0000122D0000}"/>
    <cellStyle name="Input 2 16 4 2 2" xfId="18002" xr:uid="{00000000-0005-0000-0000-0000132D0000}"/>
    <cellStyle name="Input 2 16 4 2 3" xfId="18003" xr:uid="{00000000-0005-0000-0000-0000142D0000}"/>
    <cellStyle name="Input 2 16 4 2 4" xfId="18004" xr:uid="{00000000-0005-0000-0000-0000152D0000}"/>
    <cellStyle name="Input 2 16 4 3" xfId="18006" xr:uid="{00000000-0005-0000-0000-0000162D0000}"/>
    <cellStyle name="Input 2 16 4 3 2" xfId="18009" xr:uid="{00000000-0005-0000-0000-0000172D0000}"/>
    <cellStyle name="Input 2 16 4 3 3" xfId="18010" xr:uid="{00000000-0005-0000-0000-0000182D0000}"/>
    <cellStyle name="Input 2 16 4 3 4" xfId="18011" xr:uid="{00000000-0005-0000-0000-0000192D0000}"/>
    <cellStyle name="Input 2 16 4 4" xfId="18013" xr:uid="{00000000-0005-0000-0000-00001A2D0000}"/>
    <cellStyle name="Input 2 16 4 4 2" xfId="18015" xr:uid="{00000000-0005-0000-0000-00001B2D0000}"/>
    <cellStyle name="Input 2 16 4 4 3" xfId="18016" xr:uid="{00000000-0005-0000-0000-00001C2D0000}"/>
    <cellStyle name="Input 2 16 4 5" xfId="18017" xr:uid="{00000000-0005-0000-0000-00001D2D0000}"/>
    <cellStyle name="Input 2 16 4 5 2" xfId="18018" xr:uid="{00000000-0005-0000-0000-00001E2D0000}"/>
    <cellStyle name="Input 2 16 4 5 3" xfId="18020" xr:uid="{00000000-0005-0000-0000-00001F2D0000}"/>
    <cellStyle name="Input 2 16 4 6" xfId="18022" xr:uid="{00000000-0005-0000-0000-0000202D0000}"/>
    <cellStyle name="Input 2 16 4 7" xfId="18024" xr:uid="{00000000-0005-0000-0000-0000212D0000}"/>
    <cellStyle name="Input 2 16 5" xfId="18027" xr:uid="{00000000-0005-0000-0000-0000222D0000}"/>
    <cellStyle name="Input 2 16 5 2" xfId="18032" xr:uid="{00000000-0005-0000-0000-0000232D0000}"/>
    <cellStyle name="Input 2 16 5 2 2" xfId="18035" xr:uid="{00000000-0005-0000-0000-0000242D0000}"/>
    <cellStyle name="Input 2 16 5 2 3" xfId="18036" xr:uid="{00000000-0005-0000-0000-0000252D0000}"/>
    <cellStyle name="Input 2 16 5 2 4" xfId="18037" xr:uid="{00000000-0005-0000-0000-0000262D0000}"/>
    <cellStyle name="Input 2 16 5 3" xfId="18039" xr:uid="{00000000-0005-0000-0000-0000272D0000}"/>
    <cellStyle name="Input 2 16 5 3 2" xfId="18043" xr:uid="{00000000-0005-0000-0000-0000282D0000}"/>
    <cellStyle name="Input 2 16 5 3 3" xfId="18044" xr:uid="{00000000-0005-0000-0000-0000292D0000}"/>
    <cellStyle name="Input 2 16 5 3 4" xfId="18045" xr:uid="{00000000-0005-0000-0000-00002A2D0000}"/>
    <cellStyle name="Input 2 16 5 4" xfId="18047" xr:uid="{00000000-0005-0000-0000-00002B2D0000}"/>
    <cellStyle name="Input 2 16 5 4 2" xfId="18050" xr:uid="{00000000-0005-0000-0000-00002C2D0000}"/>
    <cellStyle name="Input 2 16 5 4 3" xfId="18051" xr:uid="{00000000-0005-0000-0000-00002D2D0000}"/>
    <cellStyle name="Input 2 16 5 5" xfId="18052" xr:uid="{00000000-0005-0000-0000-00002E2D0000}"/>
    <cellStyle name="Input 2 16 5 5 2" xfId="18055" xr:uid="{00000000-0005-0000-0000-00002F2D0000}"/>
    <cellStyle name="Input 2 16 5 5 3" xfId="18056" xr:uid="{00000000-0005-0000-0000-0000302D0000}"/>
    <cellStyle name="Input 2 16 5 6" xfId="18057" xr:uid="{00000000-0005-0000-0000-0000312D0000}"/>
    <cellStyle name="Input 2 16 5 7" xfId="18060" xr:uid="{00000000-0005-0000-0000-0000322D0000}"/>
    <cellStyle name="Input 2 16 6" xfId="18064" xr:uid="{00000000-0005-0000-0000-0000332D0000}"/>
    <cellStyle name="Input 2 16 6 2" xfId="18070" xr:uid="{00000000-0005-0000-0000-0000342D0000}"/>
    <cellStyle name="Input 2 16 6 2 2" xfId="18072" xr:uid="{00000000-0005-0000-0000-0000352D0000}"/>
    <cellStyle name="Input 2 16 6 2 3" xfId="18075" xr:uid="{00000000-0005-0000-0000-0000362D0000}"/>
    <cellStyle name="Input 2 16 6 2 4" xfId="18078" xr:uid="{00000000-0005-0000-0000-0000372D0000}"/>
    <cellStyle name="Input 2 16 6 3" xfId="18080" xr:uid="{00000000-0005-0000-0000-0000382D0000}"/>
    <cellStyle name="Input 2 16 6 3 2" xfId="18083" xr:uid="{00000000-0005-0000-0000-0000392D0000}"/>
    <cellStyle name="Input 2 16 6 3 3" xfId="18086" xr:uid="{00000000-0005-0000-0000-00003A2D0000}"/>
    <cellStyle name="Input 2 16 6 3 4" xfId="18088" xr:uid="{00000000-0005-0000-0000-00003B2D0000}"/>
    <cellStyle name="Input 2 16 6 4" xfId="18090" xr:uid="{00000000-0005-0000-0000-00003C2D0000}"/>
    <cellStyle name="Input 2 16 6 4 2" xfId="18092" xr:uid="{00000000-0005-0000-0000-00003D2D0000}"/>
    <cellStyle name="Input 2 16 6 4 3" xfId="18095" xr:uid="{00000000-0005-0000-0000-00003E2D0000}"/>
    <cellStyle name="Input 2 16 6 5" xfId="18096" xr:uid="{00000000-0005-0000-0000-00003F2D0000}"/>
    <cellStyle name="Input 2 16 6 5 2" xfId="18099" xr:uid="{00000000-0005-0000-0000-0000402D0000}"/>
    <cellStyle name="Input 2 16 6 5 3" xfId="18101" xr:uid="{00000000-0005-0000-0000-0000412D0000}"/>
    <cellStyle name="Input 2 16 6 6" xfId="18102" xr:uid="{00000000-0005-0000-0000-0000422D0000}"/>
    <cellStyle name="Input 2 16 6 7" xfId="18105" xr:uid="{00000000-0005-0000-0000-0000432D0000}"/>
    <cellStyle name="Input 2 16 7" xfId="18109" xr:uid="{00000000-0005-0000-0000-0000442D0000}"/>
    <cellStyle name="Input 2 16 7 2" xfId="18114" xr:uid="{00000000-0005-0000-0000-0000452D0000}"/>
    <cellStyle name="Input 2 16 7 2 2" xfId="18116" xr:uid="{00000000-0005-0000-0000-0000462D0000}"/>
    <cellStyle name="Input 2 16 7 2 3" xfId="18118" xr:uid="{00000000-0005-0000-0000-0000472D0000}"/>
    <cellStyle name="Input 2 16 7 2 4" xfId="18120" xr:uid="{00000000-0005-0000-0000-0000482D0000}"/>
    <cellStyle name="Input 2 16 7 3" xfId="18121" xr:uid="{00000000-0005-0000-0000-0000492D0000}"/>
    <cellStyle name="Input 2 16 7 3 2" xfId="18124" xr:uid="{00000000-0005-0000-0000-00004A2D0000}"/>
    <cellStyle name="Input 2 16 7 3 3" xfId="18126" xr:uid="{00000000-0005-0000-0000-00004B2D0000}"/>
    <cellStyle name="Input 2 16 7 3 4" xfId="18127" xr:uid="{00000000-0005-0000-0000-00004C2D0000}"/>
    <cellStyle name="Input 2 16 7 4" xfId="18128" xr:uid="{00000000-0005-0000-0000-00004D2D0000}"/>
    <cellStyle name="Input 2 16 7 4 2" xfId="18130" xr:uid="{00000000-0005-0000-0000-00004E2D0000}"/>
    <cellStyle name="Input 2 16 7 4 3" xfId="14234" xr:uid="{00000000-0005-0000-0000-00004F2D0000}"/>
    <cellStyle name="Input 2 16 7 5" xfId="18132" xr:uid="{00000000-0005-0000-0000-0000502D0000}"/>
    <cellStyle name="Input 2 16 7 5 2" xfId="18134" xr:uid="{00000000-0005-0000-0000-0000512D0000}"/>
    <cellStyle name="Input 2 16 7 5 3" xfId="18135" xr:uid="{00000000-0005-0000-0000-0000522D0000}"/>
    <cellStyle name="Input 2 16 7 6" xfId="18136" xr:uid="{00000000-0005-0000-0000-0000532D0000}"/>
    <cellStyle name="Input 2 16 7 7" xfId="5250" xr:uid="{00000000-0005-0000-0000-0000542D0000}"/>
    <cellStyle name="Input 2 16 8" xfId="18139" xr:uid="{00000000-0005-0000-0000-0000552D0000}"/>
    <cellStyle name="Input 2 16 8 2" xfId="18143" xr:uid="{00000000-0005-0000-0000-0000562D0000}"/>
    <cellStyle name="Input 2 16 8 2 2" xfId="18144" xr:uid="{00000000-0005-0000-0000-0000572D0000}"/>
    <cellStyle name="Input 2 16 8 2 3" xfId="18147" xr:uid="{00000000-0005-0000-0000-0000582D0000}"/>
    <cellStyle name="Input 2 16 8 2 4" xfId="18150" xr:uid="{00000000-0005-0000-0000-0000592D0000}"/>
    <cellStyle name="Input 2 16 8 3" xfId="18152" xr:uid="{00000000-0005-0000-0000-00005A2D0000}"/>
    <cellStyle name="Input 2 16 8 3 2" xfId="18154" xr:uid="{00000000-0005-0000-0000-00005B2D0000}"/>
    <cellStyle name="Input 2 16 8 3 3" xfId="18158" xr:uid="{00000000-0005-0000-0000-00005C2D0000}"/>
    <cellStyle name="Input 2 16 8 3 4" xfId="18160" xr:uid="{00000000-0005-0000-0000-00005D2D0000}"/>
    <cellStyle name="Input 2 16 8 4" xfId="18162" xr:uid="{00000000-0005-0000-0000-00005E2D0000}"/>
    <cellStyle name="Input 2 16 8 4 2" xfId="18164" xr:uid="{00000000-0005-0000-0000-00005F2D0000}"/>
    <cellStyle name="Input 2 16 8 4 3" xfId="18166" xr:uid="{00000000-0005-0000-0000-0000602D0000}"/>
    <cellStyle name="Input 2 16 8 5" xfId="18167" xr:uid="{00000000-0005-0000-0000-0000612D0000}"/>
    <cellStyle name="Input 2 16 8 5 2" xfId="18169" xr:uid="{00000000-0005-0000-0000-0000622D0000}"/>
    <cellStyle name="Input 2 16 8 5 3" xfId="18170" xr:uid="{00000000-0005-0000-0000-0000632D0000}"/>
    <cellStyle name="Input 2 16 8 6" xfId="18171" xr:uid="{00000000-0005-0000-0000-0000642D0000}"/>
    <cellStyle name="Input 2 16 8 7" xfId="5262" xr:uid="{00000000-0005-0000-0000-0000652D0000}"/>
    <cellStyle name="Input 2 16 9" xfId="18174" xr:uid="{00000000-0005-0000-0000-0000662D0000}"/>
    <cellStyle name="Input 2 16 9 2" xfId="18176" xr:uid="{00000000-0005-0000-0000-0000672D0000}"/>
    <cellStyle name="Input 2 16 9 2 2" xfId="18177" xr:uid="{00000000-0005-0000-0000-0000682D0000}"/>
    <cellStyle name="Input 2 16 9 2 3" xfId="18180" xr:uid="{00000000-0005-0000-0000-0000692D0000}"/>
    <cellStyle name="Input 2 16 9 2 4" xfId="18183" xr:uid="{00000000-0005-0000-0000-00006A2D0000}"/>
    <cellStyle name="Input 2 16 9 3" xfId="18185" xr:uid="{00000000-0005-0000-0000-00006B2D0000}"/>
    <cellStyle name="Input 2 16 9 3 2" xfId="18186" xr:uid="{00000000-0005-0000-0000-00006C2D0000}"/>
    <cellStyle name="Input 2 16 9 3 3" xfId="18189" xr:uid="{00000000-0005-0000-0000-00006D2D0000}"/>
    <cellStyle name="Input 2 16 9 3 4" xfId="18191" xr:uid="{00000000-0005-0000-0000-00006E2D0000}"/>
    <cellStyle name="Input 2 16 9 4" xfId="18193" xr:uid="{00000000-0005-0000-0000-00006F2D0000}"/>
    <cellStyle name="Input 2 16 9 4 2" xfId="18194" xr:uid="{00000000-0005-0000-0000-0000702D0000}"/>
    <cellStyle name="Input 2 16 9 4 3" xfId="18196" xr:uid="{00000000-0005-0000-0000-0000712D0000}"/>
    <cellStyle name="Input 2 16 9 5" xfId="18197" xr:uid="{00000000-0005-0000-0000-0000722D0000}"/>
    <cellStyle name="Input 2 16 9 5 2" xfId="18199" xr:uid="{00000000-0005-0000-0000-0000732D0000}"/>
    <cellStyle name="Input 2 16 9 5 3" xfId="18202" xr:uid="{00000000-0005-0000-0000-0000742D0000}"/>
    <cellStyle name="Input 2 16 9 6" xfId="18204" xr:uid="{00000000-0005-0000-0000-0000752D0000}"/>
    <cellStyle name="Input 2 16 9 7" xfId="5837" xr:uid="{00000000-0005-0000-0000-0000762D0000}"/>
    <cellStyle name="Input 2 17" xfId="18207" xr:uid="{00000000-0005-0000-0000-0000772D0000}"/>
    <cellStyle name="Input 2 17 2" xfId="18209" xr:uid="{00000000-0005-0000-0000-0000782D0000}"/>
    <cellStyle name="Input 2 17 2 2" xfId="18211" xr:uid="{00000000-0005-0000-0000-0000792D0000}"/>
    <cellStyle name="Input 2 17 2 3" xfId="18213" xr:uid="{00000000-0005-0000-0000-00007A2D0000}"/>
    <cellStyle name="Input 2 17 2 4" xfId="18215" xr:uid="{00000000-0005-0000-0000-00007B2D0000}"/>
    <cellStyle name="Input 2 17 3" xfId="18217" xr:uid="{00000000-0005-0000-0000-00007C2D0000}"/>
    <cellStyle name="Input 2 17 3 2" xfId="18220" xr:uid="{00000000-0005-0000-0000-00007D2D0000}"/>
    <cellStyle name="Input 2 17 3 3" xfId="18222" xr:uid="{00000000-0005-0000-0000-00007E2D0000}"/>
    <cellStyle name="Input 2 17 3 4" xfId="18224" xr:uid="{00000000-0005-0000-0000-00007F2D0000}"/>
    <cellStyle name="Input 2 17 4" xfId="18226" xr:uid="{00000000-0005-0000-0000-0000802D0000}"/>
    <cellStyle name="Input 2 17 4 2" xfId="18229" xr:uid="{00000000-0005-0000-0000-0000812D0000}"/>
    <cellStyle name="Input 2 17 4 3" xfId="18232" xr:uid="{00000000-0005-0000-0000-0000822D0000}"/>
    <cellStyle name="Input 2 17 5" xfId="18235" xr:uid="{00000000-0005-0000-0000-0000832D0000}"/>
    <cellStyle name="Input 2 17 5 2" xfId="18240" xr:uid="{00000000-0005-0000-0000-0000842D0000}"/>
    <cellStyle name="Input 2 17 5 3" xfId="18243" xr:uid="{00000000-0005-0000-0000-0000852D0000}"/>
    <cellStyle name="Input 2 17 6" xfId="18247" xr:uid="{00000000-0005-0000-0000-0000862D0000}"/>
    <cellStyle name="Input 2 17 7" xfId="18253" xr:uid="{00000000-0005-0000-0000-0000872D0000}"/>
    <cellStyle name="Input 2 17 8" xfId="18258" xr:uid="{00000000-0005-0000-0000-0000882D0000}"/>
    <cellStyle name="Input 2 18" xfId="18261" xr:uid="{00000000-0005-0000-0000-0000892D0000}"/>
    <cellStyle name="Input 2 18 2" xfId="18263" xr:uid="{00000000-0005-0000-0000-00008A2D0000}"/>
    <cellStyle name="Input 2 18 2 2" xfId="18265" xr:uid="{00000000-0005-0000-0000-00008B2D0000}"/>
    <cellStyle name="Input 2 18 2 3" xfId="18268" xr:uid="{00000000-0005-0000-0000-00008C2D0000}"/>
    <cellStyle name="Input 2 18 2 4" xfId="18271" xr:uid="{00000000-0005-0000-0000-00008D2D0000}"/>
    <cellStyle name="Input 2 18 3" xfId="18274" xr:uid="{00000000-0005-0000-0000-00008E2D0000}"/>
    <cellStyle name="Input 2 18 3 2" xfId="18276" xr:uid="{00000000-0005-0000-0000-00008F2D0000}"/>
    <cellStyle name="Input 2 18 3 3" xfId="18278" xr:uid="{00000000-0005-0000-0000-0000902D0000}"/>
    <cellStyle name="Input 2 18 3 4" xfId="18280" xr:uid="{00000000-0005-0000-0000-0000912D0000}"/>
    <cellStyle name="Input 2 18 4" xfId="18282" xr:uid="{00000000-0005-0000-0000-0000922D0000}"/>
    <cellStyle name="Input 2 18 4 2" xfId="14070" xr:uid="{00000000-0005-0000-0000-0000932D0000}"/>
    <cellStyle name="Input 2 18 4 3" xfId="14074" xr:uid="{00000000-0005-0000-0000-0000942D0000}"/>
    <cellStyle name="Input 2 18 5" xfId="18285" xr:uid="{00000000-0005-0000-0000-0000952D0000}"/>
    <cellStyle name="Input 2 18 5 2" xfId="18289" xr:uid="{00000000-0005-0000-0000-0000962D0000}"/>
    <cellStyle name="Input 2 18 5 3" xfId="18292" xr:uid="{00000000-0005-0000-0000-0000972D0000}"/>
    <cellStyle name="Input 2 18 6" xfId="18295" xr:uid="{00000000-0005-0000-0000-0000982D0000}"/>
    <cellStyle name="Input 2 18 7" xfId="18300" xr:uid="{00000000-0005-0000-0000-0000992D0000}"/>
    <cellStyle name="Input 2 18 8" xfId="18304" xr:uid="{00000000-0005-0000-0000-00009A2D0000}"/>
    <cellStyle name="Input 2 19" xfId="18308" xr:uid="{00000000-0005-0000-0000-00009B2D0000}"/>
    <cellStyle name="Input 2 19 2" xfId="18310" xr:uid="{00000000-0005-0000-0000-00009C2D0000}"/>
    <cellStyle name="Input 2 19 2 2" xfId="18312" xr:uid="{00000000-0005-0000-0000-00009D2D0000}"/>
    <cellStyle name="Input 2 19 2 3" xfId="18315" xr:uid="{00000000-0005-0000-0000-00009E2D0000}"/>
    <cellStyle name="Input 2 19 2 4" xfId="18318" xr:uid="{00000000-0005-0000-0000-00009F2D0000}"/>
    <cellStyle name="Input 2 19 3" xfId="18321" xr:uid="{00000000-0005-0000-0000-0000A02D0000}"/>
    <cellStyle name="Input 2 19 3 2" xfId="18323" xr:uid="{00000000-0005-0000-0000-0000A12D0000}"/>
    <cellStyle name="Input 2 19 3 3" xfId="18326" xr:uid="{00000000-0005-0000-0000-0000A22D0000}"/>
    <cellStyle name="Input 2 19 3 4" xfId="18330" xr:uid="{00000000-0005-0000-0000-0000A32D0000}"/>
    <cellStyle name="Input 2 19 4" xfId="18333" xr:uid="{00000000-0005-0000-0000-0000A42D0000}"/>
    <cellStyle name="Input 2 19 4 2" xfId="18335" xr:uid="{00000000-0005-0000-0000-0000A52D0000}"/>
    <cellStyle name="Input 2 19 4 3" xfId="18338" xr:uid="{00000000-0005-0000-0000-0000A62D0000}"/>
    <cellStyle name="Input 2 19 5" xfId="18341" xr:uid="{00000000-0005-0000-0000-0000A72D0000}"/>
    <cellStyle name="Input 2 19 5 2" xfId="18344" xr:uid="{00000000-0005-0000-0000-0000A82D0000}"/>
    <cellStyle name="Input 2 19 5 3" xfId="18347" xr:uid="{00000000-0005-0000-0000-0000A92D0000}"/>
    <cellStyle name="Input 2 19 6" xfId="18350" xr:uid="{00000000-0005-0000-0000-0000AA2D0000}"/>
    <cellStyle name="Input 2 19 7" xfId="18354" xr:uid="{00000000-0005-0000-0000-0000AB2D0000}"/>
    <cellStyle name="Input 2 19 8" xfId="18357" xr:uid="{00000000-0005-0000-0000-0000AC2D0000}"/>
    <cellStyle name="Input 2 2" xfId="18361" xr:uid="{00000000-0005-0000-0000-0000AD2D0000}"/>
    <cellStyle name="Input 2 2 10" xfId="18363" xr:uid="{00000000-0005-0000-0000-0000AE2D0000}"/>
    <cellStyle name="Input 2 2 10 2" xfId="18364" xr:uid="{00000000-0005-0000-0000-0000AF2D0000}"/>
    <cellStyle name="Input 2 2 10 2 2" xfId="18365" xr:uid="{00000000-0005-0000-0000-0000B02D0000}"/>
    <cellStyle name="Input 2 2 10 2 3" xfId="18367" xr:uid="{00000000-0005-0000-0000-0000B12D0000}"/>
    <cellStyle name="Input 2 2 10 2 4" xfId="18370" xr:uid="{00000000-0005-0000-0000-0000B22D0000}"/>
    <cellStyle name="Input 2 2 10 3" xfId="18373" xr:uid="{00000000-0005-0000-0000-0000B32D0000}"/>
    <cellStyle name="Input 2 2 10 3 2" xfId="18375" xr:uid="{00000000-0005-0000-0000-0000B42D0000}"/>
    <cellStyle name="Input 2 2 10 3 3" xfId="18376" xr:uid="{00000000-0005-0000-0000-0000B52D0000}"/>
    <cellStyle name="Input 2 2 10 3 4" xfId="18378" xr:uid="{00000000-0005-0000-0000-0000B62D0000}"/>
    <cellStyle name="Input 2 2 10 4" xfId="18380" xr:uid="{00000000-0005-0000-0000-0000B72D0000}"/>
    <cellStyle name="Input 2 2 10 4 2" xfId="18382" xr:uid="{00000000-0005-0000-0000-0000B82D0000}"/>
    <cellStyle name="Input 2 2 10 4 3" xfId="18383" xr:uid="{00000000-0005-0000-0000-0000B92D0000}"/>
    <cellStyle name="Input 2 2 10 5" xfId="18385" xr:uid="{00000000-0005-0000-0000-0000BA2D0000}"/>
    <cellStyle name="Input 2 2 10 5 2" xfId="18387" xr:uid="{00000000-0005-0000-0000-0000BB2D0000}"/>
    <cellStyle name="Input 2 2 10 5 3" xfId="18388" xr:uid="{00000000-0005-0000-0000-0000BC2D0000}"/>
    <cellStyle name="Input 2 2 10 6" xfId="18390" xr:uid="{00000000-0005-0000-0000-0000BD2D0000}"/>
    <cellStyle name="Input 2 2 10 7" xfId="4086" xr:uid="{00000000-0005-0000-0000-0000BE2D0000}"/>
    <cellStyle name="Input 2 2 10 8" xfId="4100" xr:uid="{00000000-0005-0000-0000-0000BF2D0000}"/>
    <cellStyle name="Input 2 2 11" xfId="18391" xr:uid="{00000000-0005-0000-0000-0000C02D0000}"/>
    <cellStyle name="Input 2 2 11 2" xfId="18392" xr:uid="{00000000-0005-0000-0000-0000C12D0000}"/>
    <cellStyle name="Input 2 2 11 2 2" xfId="3810" xr:uid="{00000000-0005-0000-0000-0000C22D0000}"/>
    <cellStyle name="Input 2 2 11 2 3" xfId="18393" xr:uid="{00000000-0005-0000-0000-0000C32D0000}"/>
    <cellStyle name="Input 2 2 11 2 4" xfId="18395" xr:uid="{00000000-0005-0000-0000-0000C42D0000}"/>
    <cellStyle name="Input 2 2 11 3" xfId="18397" xr:uid="{00000000-0005-0000-0000-0000C52D0000}"/>
    <cellStyle name="Input 2 2 11 3 2" xfId="18399" xr:uid="{00000000-0005-0000-0000-0000C62D0000}"/>
    <cellStyle name="Input 2 2 11 3 3" xfId="18400" xr:uid="{00000000-0005-0000-0000-0000C72D0000}"/>
    <cellStyle name="Input 2 2 11 3 4" xfId="18402" xr:uid="{00000000-0005-0000-0000-0000C82D0000}"/>
    <cellStyle name="Input 2 2 11 4" xfId="18404" xr:uid="{00000000-0005-0000-0000-0000C92D0000}"/>
    <cellStyle name="Input 2 2 11 4 2" xfId="18407" xr:uid="{00000000-0005-0000-0000-0000CA2D0000}"/>
    <cellStyle name="Input 2 2 11 4 3" xfId="18408" xr:uid="{00000000-0005-0000-0000-0000CB2D0000}"/>
    <cellStyle name="Input 2 2 11 5" xfId="18410" xr:uid="{00000000-0005-0000-0000-0000CC2D0000}"/>
    <cellStyle name="Input 2 2 11 5 2" xfId="18412" xr:uid="{00000000-0005-0000-0000-0000CD2D0000}"/>
    <cellStyle name="Input 2 2 11 5 3" xfId="18413" xr:uid="{00000000-0005-0000-0000-0000CE2D0000}"/>
    <cellStyle name="Input 2 2 11 6" xfId="18415" xr:uid="{00000000-0005-0000-0000-0000CF2D0000}"/>
    <cellStyle name="Input 2 2 11 7" xfId="4143" xr:uid="{00000000-0005-0000-0000-0000D02D0000}"/>
    <cellStyle name="Input 2 2 11 8" xfId="4147" xr:uid="{00000000-0005-0000-0000-0000D12D0000}"/>
    <cellStyle name="Input 2 2 12" xfId="7748" xr:uid="{00000000-0005-0000-0000-0000D22D0000}"/>
    <cellStyle name="Input 2 2 12 2" xfId="7750" xr:uid="{00000000-0005-0000-0000-0000D32D0000}"/>
    <cellStyle name="Input 2 2 12 2 2" xfId="4754" xr:uid="{00000000-0005-0000-0000-0000D42D0000}"/>
    <cellStyle name="Input 2 2 12 2 3" xfId="18416" xr:uid="{00000000-0005-0000-0000-0000D52D0000}"/>
    <cellStyle name="Input 2 2 12 2 4" xfId="18418" xr:uid="{00000000-0005-0000-0000-0000D62D0000}"/>
    <cellStyle name="Input 2 2 12 3" xfId="18421" xr:uid="{00000000-0005-0000-0000-0000D72D0000}"/>
    <cellStyle name="Input 2 2 12 3 2" xfId="18423" xr:uid="{00000000-0005-0000-0000-0000D82D0000}"/>
    <cellStyle name="Input 2 2 12 3 3" xfId="18424" xr:uid="{00000000-0005-0000-0000-0000D92D0000}"/>
    <cellStyle name="Input 2 2 12 3 4" xfId="18426" xr:uid="{00000000-0005-0000-0000-0000DA2D0000}"/>
    <cellStyle name="Input 2 2 12 4" xfId="18429" xr:uid="{00000000-0005-0000-0000-0000DB2D0000}"/>
    <cellStyle name="Input 2 2 12 4 2" xfId="18431" xr:uid="{00000000-0005-0000-0000-0000DC2D0000}"/>
    <cellStyle name="Input 2 2 12 4 3" xfId="18432" xr:uid="{00000000-0005-0000-0000-0000DD2D0000}"/>
    <cellStyle name="Input 2 2 12 5" xfId="18434" xr:uid="{00000000-0005-0000-0000-0000DE2D0000}"/>
    <cellStyle name="Input 2 2 12 5 2" xfId="18435" xr:uid="{00000000-0005-0000-0000-0000DF2D0000}"/>
    <cellStyle name="Input 2 2 12 5 3" xfId="18436" xr:uid="{00000000-0005-0000-0000-0000E02D0000}"/>
    <cellStyle name="Input 2 2 12 6" xfId="18438" xr:uid="{00000000-0005-0000-0000-0000E12D0000}"/>
    <cellStyle name="Input 2 2 12 7" xfId="4166" xr:uid="{00000000-0005-0000-0000-0000E22D0000}"/>
    <cellStyle name="Input 2 2 12 8" xfId="1437" xr:uid="{00000000-0005-0000-0000-0000E32D0000}"/>
    <cellStyle name="Input 2 2 13" xfId="7752" xr:uid="{00000000-0005-0000-0000-0000E42D0000}"/>
    <cellStyle name="Input 2 2 13 2" xfId="18439" xr:uid="{00000000-0005-0000-0000-0000E52D0000}"/>
    <cellStyle name="Input 2 2 13 3" xfId="18440" xr:uid="{00000000-0005-0000-0000-0000E62D0000}"/>
    <cellStyle name="Input 2 2 13 4" xfId="18442" xr:uid="{00000000-0005-0000-0000-0000E72D0000}"/>
    <cellStyle name="Input 2 2 13 5" xfId="18444" xr:uid="{00000000-0005-0000-0000-0000E82D0000}"/>
    <cellStyle name="Input 2 2 14" xfId="8272" xr:uid="{00000000-0005-0000-0000-0000E92D0000}"/>
    <cellStyle name="Input 2 2 14 2" xfId="18445" xr:uid="{00000000-0005-0000-0000-0000EA2D0000}"/>
    <cellStyle name="Input 2 2 14 3" xfId="18446" xr:uid="{00000000-0005-0000-0000-0000EB2D0000}"/>
    <cellStyle name="Input 2 2 14 4" xfId="18447" xr:uid="{00000000-0005-0000-0000-0000EC2D0000}"/>
    <cellStyle name="Input 2 2 14 5" xfId="18448" xr:uid="{00000000-0005-0000-0000-0000ED2D0000}"/>
    <cellStyle name="Input 2 2 15" xfId="8274" xr:uid="{00000000-0005-0000-0000-0000EE2D0000}"/>
    <cellStyle name="Input 2 2 15 2" xfId="14270" xr:uid="{00000000-0005-0000-0000-0000EF2D0000}"/>
    <cellStyle name="Input 2 2 15 3" xfId="14308" xr:uid="{00000000-0005-0000-0000-0000F02D0000}"/>
    <cellStyle name="Input 2 2 15 4" xfId="14310" xr:uid="{00000000-0005-0000-0000-0000F12D0000}"/>
    <cellStyle name="Input 2 2 16" xfId="8277" xr:uid="{00000000-0005-0000-0000-0000F22D0000}"/>
    <cellStyle name="Input 2 2 16 2" xfId="18450" xr:uid="{00000000-0005-0000-0000-0000F32D0000}"/>
    <cellStyle name="Input 2 2 16 3" xfId="18452" xr:uid="{00000000-0005-0000-0000-0000F42D0000}"/>
    <cellStyle name="Input 2 2 16 4" xfId="18453" xr:uid="{00000000-0005-0000-0000-0000F52D0000}"/>
    <cellStyle name="Input 2 2 17" xfId="12484" xr:uid="{00000000-0005-0000-0000-0000F62D0000}"/>
    <cellStyle name="Input 2 2 17 2" xfId="18454" xr:uid="{00000000-0005-0000-0000-0000F72D0000}"/>
    <cellStyle name="Input 2 2 18" xfId="12487" xr:uid="{00000000-0005-0000-0000-0000F82D0000}"/>
    <cellStyle name="Input 2 2 18 2" xfId="18455" xr:uid="{00000000-0005-0000-0000-0000F92D0000}"/>
    <cellStyle name="Input 2 2 19" xfId="12490" xr:uid="{00000000-0005-0000-0000-0000FA2D0000}"/>
    <cellStyle name="Input 2 2 19 2" xfId="18456" xr:uid="{00000000-0005-0000-0000-0000FB2D0000}"/>
    <cellStyle name="Input 2 2 2" xfId="4866" xr:uid="{00000000-0005-0000-0000-0000FC2D0000}"/>
    <cellStyle name="Input 2 2 2 10" xfId="18457" xr:uid="{00000000-0005-0000-0000-0000FD2D0000}"/>
    <cellStyle name="Input 2 2 2 10 2" xfId="18458" xr:uid="{00000000-0005-0000-0000-0000FE2D0000}"/>
    <cellStyle name="Input 2 2 2 10 2 2" xfId="17551" xr:uid="{00000000-0005-0000-0000-0000FF2D0000}"/>
    <cellStyle name="Input 2 2 2 10 2 3" xfId="18460" xr:uid="{00000000-0005-0000-0000-0000002E0000}"/>
    <cellStyle name="Input 2 2 2 10 2 4" xfId="1001" xr:uid="{00000000-0005-0000-0000-0000012E0000}"/>
    <cellStyle name="Input 2 2 2 10 3" xfId="18463" xr:uid="{00000000-0005-0000-0000-0000022E0000}"/>
    <cellStyle name="Input 2 2 2 10 3 2" xfId="17557" xr:uid="{00000000-0005-0000-0000-0000032E0000}"/>
    <cellStyle name="Input 2 2 2 10 3 3" xfId="18464" xr:uid="{00000000-0005-0000-0000-0000042E0000}"/>
    <cellStyle name="Input 2 2 2 10 3 4" xfId="1037" xr:uid="{00000000-0005-0000-0000-0000052E0000}"/>
    <cellStyle name="Input 2 2 2 10 4" xfId="18467" xr:uid="{00000000-0005-0000-0000-0000062E0000}"/>
    <cellStyle name="Input 2 2 2 10 4 2" xfId="18468" xr:uid="{00000000-0005-0000-0000-0000072E0000}"/>
    <cellStyle name="Input 2 2 2 10 4 3" xfId="18471" xr:uid="{00000000-0005-0000-0000-0000082E0000}"/>
    <cellStyle name="Input 2 2 2 10 5" xfId="7696" xr:uid="{00000000-0005-0000-0000-0000092E0000}"/>
    <cellStyle name="Input 2 2 2 10 5 2" xfId="18474" xr:uid="{00000000-0005-0000-0000-00000A2E0000}"/>
    <cellStyle name="Input 2 2 2 10 5 3" xfId="18477" xr:uid="{00000000-0005-0000-0000-00000B2E0000}"/>
    <cellStyle name="Input 2 2 2 10 6" xfId="7698" xr:uid="{00000000-0005-0000-0000-00000C2E0000}"/>
    <cellStyle name="Input 2 2 2 10 7" xfId="18480" xr:uid="{00000000-0005-0000-0000-00000D2E0000}"/>
    <cellStyle name="Input 2 2 2 10 8" xfId="18482" xr:uid="{00000000-0005-0000-0000-00000E2E0000}"/>
    <cellStyle name="Input 2 2 2 11" xfId="18484" xr:uid="{00000000-0005-0000-0000-00000F2E0000}"/>
    <cellStyle name="Input 2 2 2 11 2" xfId="18486" xr:uid="{00000000-0005-0000-0000-0000102E0000}"/>
    <cellStyle name="Input 2 2 2 11 3" xfId="18487" xr:uid="{00000000-0005-0000-0000-0000112E0000}"/>
    <cellStyle name="Input 2 2 2 11 4" xfId="18488" xr:uid="{00000000-0005-0000-0000-0000122E0000}"/>
    <cellStyle name="Input 2 2 2 11 5" xfId="7701" xr:uid="{00000000-0005-0000-0000-0000132E0000}"/>
    <cellStyle name="Input 2 2 2 12" xfId="14576" xr:uid="{00000000-0005-0000-0000-0000142E0000}"/>
    <cellStyle name="Input 2 2 2 12 2" xfId="18489" xr:uid="{00000000-0005-0000-0000-0000152E0000}"/>
    <cellStyle name="Input 2 2 2 12 3" xfId="18491" xr:uid="{00000000-0005-0000-0000-0000162E0000}"/>
    <cellStyle name="Input 2 2 2 12 4" xfId="11810" xr:uid="{00000000-0005-0000-0000-0000172E0000}"/>
    <cellStyle name="Input 2 2 2 12 5" xfId="11820" xr:uid="{00000000-0005-0000-0000-0000182E0000}"/>
    <cellStyle name="Input 2 2 2 13" xfId="14581" xr:uid="{00000000-0005-0000-0000-0000192E0000}"/>
    <cellStyle name="Input 2 2 2 13 2" xfId="18493" xr:uid="{00000000-0005-0000-0000-00001A2E0000}"/>
    <cellStyle name="Input 2 2 2 13 3" xfId="18495" xr:uid="{00000000-0005-0000-0000-00001B2E0000}"/>
    <cellStyle name="Input 2 2 2 13 4" xfId="11844" xr:uid="{00000000-0005-0000-0000-00001C2E0000}"/>
    <cellStyle name="Input 2 2 2 14" xfId="18500" xr:uid="{00000000-0005-0000-0000-00001D2E0000}"/>
    <cellStyle name="Input 2 2 2 14 2" xfId="18502" xr:uid="{00000000-0005-0000-0000-00001E2E0000}"/>
    <cellStyle name="Input 2 2 2 14 3" xfId="18505" xr:uid="{00000000-0005-0000-0000-00001F2E0000}"/>
    <cellStyle name="Input 2 2 2 14 4" xfId="11850" xr:uid="{00000000-0005-0000-0000-0000202E0000}"/>
    <cellStyle name="Input 2 2 2 15" xfId="18508" xr:uid="{00000000-0005-0000-0000-0000212E0000}"/>
    <cellStyle name="Input 2 2 2 15 2" xfId="18511" xr:uid="{00000000-0005-0000-0000-0000222E0000}"/>
    <cellStyle name="Input 2 2 2 16" xfId="18513" xr:uid="{00000000-0005-0000-0000-0000232E0000}"/>
    <cellStyle name="Input 2 2 2 16 2" xfId="18516" xr:uid="{00000000-0005-0000-0000-0000242E0000}"/>
    <cellStyle name="Input 2 2 2 17" xfId="18517" xr:uid="{00000000-0005-0000-0000-0000252E0000}"/>
    <cellStyle name="Input 2 2 2 17 2" xfId="18520" xr:uid="{00000000-0005-0000-0000-0000262E0000}"/>
    <cellStyle name="Input 2 2 2 18" xfId="18521" xr:uid="{00000000-0005-0000-0000-0000272E0000}"/>
    <cellStyle name="Input 2 2 2 19" xfId="18523" xr:uid="{00000000-0005-0000-0000-0000282E0000}"/>
    <cellStyle name="Input 2 2 2 2" xfId="18525" xr:uid="{00000000-0005-0000-0000-0000292E0000}"/>
    <cellStyle name="Input 2 2 2 2 2" xfId="18526" xr:uid="{00000000-0005-0000-0000-00002A2E0000}"/>
    <cellStyle name="Input 2 2 2 2 2 2" xfId="18527" xr:uid="{00000000-0005-0000-0000-00002B2E0000}"/>
    <cellStyle name="Input 2 2 2 2 2 2 2" xfId="18528" xr:uid="{00000000-0005-0000-0000-00002C2E0000}"/>
    <cellStyle name="Input 2 2 2 2 2 2 2 2" xfId="18530" xr:uid="{00000000-0005-0000-0000-00002D2E0000}"/>
    <cellStyle name="Input 2 2 2 2 2 2 2 2 2" xfId="18504" xr:uid="{00000000-0005-0000-0000-00002E2E0000}"/>
    <cellStyle name="Input 2 2 2 2 2 2 2 2 2 2" xfId="17694" xr:uid="{00000000-0005-0000-0000-00002F2E0000}"/>
    <cellStyle name="Input 2 2 2 2 2 2 2 2 2 2 2" xfId="18532" xr:uid="{00000000-0005-0000-0000-0000302E0000}"/>
    <cellStyle name="Input 2 2 2 2 2 2 2 2 2 2 2 2" xfId="18533" xr:uid="{00000000-0005-0000-0000-0000312E0000}"/>
    <cellStyle name="Input 2 2 2 2 2 2 2 2 2 3" xfId="18534" xr:uid="{00000000-0005-0000-0000-0000322E0000}"/>
    <cellStyle name="Input 2 2 2 2 2 2 2 2 3" xfId="11851" xr:uid="{00000000-0005-0000-0000-0000332E0000}"/>
    <cellStyle name="Input 2 2 2 2 2 2 2 3" xfId="18537" xr:uid="{00000000-0005-0000-0000-0000342E0000}"/>
    <cellStyle name="Input 2 2 2 2 2 2 3" xfId="18539" xr:uid="{00000000-0005-0000-0000-0000352E0000}"/>
    <cellStyle name="Input 2 2 2 2 2 3" xfId="18541" xr:uid="{00000000-0005-0000-0000-0000362E0000}"/>
    <cellStyle name="Input 2 2 2 2 2 3 2" xfId="18542" xr:uid="{00000000-0005-0000-0000-0000372E0000}"/>
    <cellStyle name="Input 2 2 2 2 2 3 2 2" xfId="18543" xr:uid="{00000000-0005-0000-0000-0000382E0000}"/>
    <cellStyle name="Input 2 2 2 2 2 4" xfId="18544" xr:uid="{00000000-0005-0000-0000-0000392E0000}"/>
    <cellStyle name="Input 2 2 2 2 3" xfId="18545" xr:uid="{00000000-0005-0000-0000-00003A2E0000}"/>
    <cellStyle name="Input 2 2 2 2 3 2" xfId="18546" xr:uid="{00000000-0005-0000-0000-00003B2E0000}"/>
    <cellStyle name="Input 2 2 2 2 3 2 2" xfId="18547" xr:uid="{00000000-0005-0000-0000-00003C2E0000}"/>
    <cellStyle name="Input 2 2 2 2 3 3" xfId="18548" xr:uid="{00000000-0005-0000-0000-00003D2E0000}"/>
    <cellStyle name="Input 2 2 2 2 3 4" xfId="18549" xr:uid="{00000000-0005-0000-0000-00003E2E0000}"/>
    <cellStyle name="Input 2 2 2 2 4" xfId="18313" xr:uid="{00000000-0005-0000-0000-00003F2E0000}"/>
    <cellStyle name="Input 2 2 2 2 4 2" xfId="18550" xr:uid="{00000000-0005-0000-0000-0000402E0000}"/>
    <cellStyle name="Input 2 2 2 2 4 2 2" xfId="18551" xr:uid="{00000000-0005-0000-0000-0000412E0000}"/>
    <cellStyle name="Input 2 2 2 2 4 3" xfId="18552" xr:uid="{00000000-0005-0000-0000-0000422E0000}"/>
    <cellStyle name="Input 2 2 2 2 5" xfId="18316" xr:uid="{00000000-0005-0000-0000-0000432E0000}"/>
    <cellStyle name="Input 2 2 2 2 5 2" xfId="18553" xr:uid="{00000000-0005-0000-0000-0000442E0000}"/>
    <cellStyle name="Input 2 2 2 2 5 2 2" xfId="18555" xr:uid="{00000000-0005-0000-0000-0000452E0000}"/>
    <cellStyle name="Input 2 2 2 2 5 3" xfId="18557" xr:uid="{00000000-0005-0000-0000-0000462E0000}"/>
    <cellStyle name="Input 2 2 2 2 6" xfId="18319" xr:uid="{00000000-0005-0000-0000-0000472E0000}"/>
    <cellStyle name="Input 2 2 2 2 6 2" xfId="18559" xr:uid="{00000000-0005-0000-0000-0000482E0000}"/>
    <cellStyle name="Input 2 2 2 2 6 2 2" xfId="18562" xr:uid="{00000000-0005-0000-0000-0000492E0000}"/>
    <cellStyle name="Input 2 2 2 2 6 2 2 2" xfId="18565" xr:uid="{00000000-0005-0000-0000-00004A2E0000}"/>
    <cellStyle name="Input 2 2 2 2 6 3" xfId="18567" xr:uid="{00000000-0005-0000-0000-00004B2E0000}"/>
    <cellStyle name="Input 2 2 2 2 7" xfId="18569" xr:uid="{00000000-0005-0000-0000-00004C2E0000}"/>
    <cellStyle name="Input 2 2 2 2 8" xfId="18570" xr:uid="{00000000-0005-0000-0000-00004D2E0000}"/>
    <cellStyle name="Input 2 2 2 2 9" xfId="18571" xr:uid="{00000000-0005-0000-0000-00004E2E0000}"/>
    <cellStyle name="Input 2 2 2 20" xfId="18509" xr:uid="{00000000-0005-0000-0000-00004F2E0000}"/>
    <cellStyle name="Input 2 2 2 21" xfId="18514" xr:uid="{00000000-0005-0000-0000-0000502E0000}"/>
    <cellStyle name="Input 2 2 2 22" xfId="18518" xr:uid="{00000000-0005-0000-0000-0000512E0000}"/>
    <cellStyle name="Input 2 2 2 23" xfId="18522" xr:uid="{00000000-0005-0000-0000-0000522E0000}"/>
    <cellStyle name="Input 2 2 2 24" xfId="18524" xr:uid="{00000000-0005-0000-0000-0000532E0000}"/>
    <cellStyle name="Input 2 2 2 25" xfId="18572" xr:uid="{00000000-0005-0000-0000-0000542E0000}"/>
    <cellStyle name="Input 2 2 2 26" xfId="18575" xr:uid="{00000000-0005-0000-0000-0000552E0000}"/>
    <cellStyle name="Input 2 2 2 27" xfId="18577" xr:uid="{00000000-0005-0000-0000-0000562E0000}"/>
    <cellStyle name="Input 2 2 2 28" xfId="18578" xr:uid="{00000000-0005-0000-0000-0000572E0000}"/>
    <cellStyle name="Input 2 2 2 29" xfId="18579" xr:uid="{00000000-0005-0000-0000-0000582E0000}"/>
    <cellStyle name="Input 2 2 2 3" xfId="18580" xr:uid="{00000000-0005-0000-0000-0000592E0000}"/>
    <cellStyle name="Input 2 2 2 3 2" xfId="18581" xr:uid="{00000000-0005-0000-0000-00005A2E0000}"/>
    <cellStyle name="Input 2 2 2 3 2 2" xfId="18582" xr:uid="{00000000-0005-0000-0000-00005B2E0000}"/>
    <cellStyle name="Input 2 2 2 3 2 3" xfId="18584" xr:uid="{00000000-0005-0000-0000-00005C2E0000}"/>
    <cellStyle name="Input 2 2 2 3 2 4" xfId="18586" xr:uid="{00000000-0005-0000-0000-00005D2E0000}"/>
    <cellStyle name="Input 2 2 2 3 3" xfId="18588" xr:uid="{00000000-0005-0000-0000-00005E2E0000}"/>
    <cellStyle name="Input 2 2 2 3 3 2" xfId="18589" xr:uid="{00000000-0005-0000-0000-00005F2E0000}"/>
    <cellStyle name="Input 2 2 2 3 3 3" xfId="18590" xr:uid="{00000000-0005-0000-0000-0000602E0000}"/>
    <cellStyle name="Input 2 2 2 3 3 4" xfId="18591" xr:uid="{00000000-0005-0000-0000-0000612E0000}"/>
    <cellStyle name="Input 2 2 2 3 4" xfId="18324" xr:uid="{00000000-0005-0000-0000-0000622E0000}"/>
    <cellStyle name="Input 2 2 2 3 4 2" xfId="18592" xr:uid="{00000000-0005-0000-0000-0000632E0000}"/>
    <cellStyle name="Input 2 2 2 3 4 3" xfId="18593" xr:uid="{00000000-0005-0000-0000-0000642E0000}"/>
    <cellStyle name="Input 2 2 2 3 5" xfId="18327" xr:uid="{00000000-0005-0000-0000-0000652E0000}"/>
    <cellStyle name="Input 2 2 2 3 5 2" xfId="14119" xr:uid="{00000000-0005-0000-0000-0000662E0000}"/>
    <cellStyle name="Input 2 2 2 3 5 3" xfId="18594" xr:uid="{00000000-0005-0000-0000-0000672E0000}"/>
    <cellStyle name="Input 2 2 2 3 6" xfId="18331" xr:uid="{00000000-0005-0000-0000-0000682E0000}"/>
    <cellStyle name="Input 2 2 2 3 6 2" xfId="18595" xr:uid="{00000000-0005-0000-0000-0000692E0000}"/>
    <cellStyle name="Input 2 2 2 3 7" xfId="18596" xr:uid="{00000000-0005-0000-0000-00006A2E0000}"/>
    <cellStyle name="Input 2 2 2 3 8" xfId="18597" xr:uid="{00000000-0005-0000-0000-00006B2E0000}"/>
    <cellStyle name="Input 2 2 2 30" xfId="18573" xr:uid="{00000000-0005-0000-0000-00006C2E0000}"/>
    <cellStyle name="Input 2 2 2 4" xfId="14352" xr:uid="{00000000-0005-0000-0000-00006D2E0000}"/>
    <cellStyle name="Input 2 2 2 4 2" xfId="18598" xr:uid="{00000000-0005-0000-0000-00006E2E0000}"/>
    <cellStyle name="Input 2 2 2 4 2 2" xfId="18599" xr:uid="{00000000-0005-0000-0000-00006F2E0000}"/>
    <cellStyle name="Input 2 2 2 4 2 3" xfId="18600" xr:uid="{00000000-0005-0000-0000-0000702E0000}"/>
    <cellStyle name="Input 2 2 2 4 2 4" xfId="18601" xr:uid="{00000000-0005-0000-0000-0000712E0000}"/>
    <cellStyle name="Input 2 2 2 4 3" xfId="18602" xr:uid="{00000000-0005-0000-0000-0000722E0000}"/>
    <cellStyle name="Input 2 2 2 4 3 2" xfId="18603" xr:uid="{00000000-0005-0000-0000-0000732E0000}"/>
    <cellStyle name="Input 2 2 2 4 3 3" xfId="18604" xr:uid="{00000000-0005-0000-0000-0000742E0000}"/>
    <cellStyle name="Input 2 2 2 4 3 4" xfId="18605" xr:uid="{00000000-0005-0000-0000-0000752E0000}"/>
    <cellStyle name="Input 2 2 2 4 4" xfId="18336" xr:uid="{00000000-0005-0000-0000-0000762E0000}"/>
    <cellStyle name="Input 2 2 2 4 4 2" xfId="18606" xr:uid="{00000000-0005-0000-0000-0000772E0000}"/>
    <cellStyle name="Input 2 2 2 4 4 3" xfId="18609" xr:uid="{00000000-0005-0000-0000-0000782E0000}"/>
    <cellStyle name="Input 2 2 2 4 5" xfId="18339" xr:uid="{00000000-0005-0000-0000-0000792E0000}"/>
    <cellStyle name="Input 2 2 2 4 5 2" xfId="18612" xr:uid="{00000000-0005-0000-0000-00007A2E0000}"/>
    <cellStyle name="Input 2 2 2 4 5 3" xfId="18613" xr:uid="{00000000-0005-0000-0000-00007B2E0000}"/>
    <cellStyle name="Input 2 2 2 4 6" xfId="18614" xr:uid="{00000000-0005-0000-0000-00007C2E0000}"/>
    <cellStyle name="Input 2 2 2 4 6 2" xfId="18615" xr:uid="{00000000-0005-0000-0000-00007D2E0000}"/>
    <cellStyle name="Input 2 2 2 4 7" xfId="18616" xr:uid="{00000000-0005-0000-0000-00007E2E0000}"/>
    <cellStyle name="Input 2 2 2 4 8" xfId="18617" xr:uid="{00000000-0005-0000-0000-00007F2E0000}"/>
    <cellStyle name="Input 2 2 2 5" xfId="18619" xr:uid="{00000000-0005-0000-0000-0000802E0000}"/>
    <cellStyle name="Input 2 2 2 5 2" xfId="18620" xr:uid="{00000000-0005-0000-0000-0000812E0000}"/>
    <cellStyle name="Input 2 2 2 5 2 2" xfId="18621" xr:uid="{00000000-0005-0000-0000-0000822E0000}"/>
    <cellStyle name="Input 2 2 2 5 2 2 2" xfId="18622" xr:uid="{00000000-0005-0000-0000-0000832E0000}"/>
    <cellStyle name="Input 2 2 2 5 2 2 2 2" xfId="6976" xr:uid="{00000000-0005-0000-0000-0000842E0000}"/>
    <cellStyle name="Input 2 2 2 5 2 2 2 2 2" xfId="18623" xr:uid="{00000000-0005-0000-0000-0000852E0000}"/>
    <cellStyle name="Input 2 2 2 5 2 2 2 2 2 2" xfId="18624" xr:uid="{00000000-0005-0000-0000-0000862E0000}"/>
    <cellStyle name="Input 2 2 2 5 2 2 2 3" xfId="18625" xr:uid="{00000000-0005-0000-0000-0000872E0000}"/>
    <cellStyle name="Input 2 2 2 5 2 3" xfId="18626" xr:uid="{00000000-0005-0000-0000-0000882E0000}"/>
    <cellStyle name="Input 2 2 2 5 2 4" xfId="18627" xr:uid="{00000000-0005-0000-0000-0000892E0000}"/>
    <cellStyle name="Input 2 2 2 5 3" xfId="18628" xr:uid="{00000000-0005-0000-0000-00008A2E0000}"/>
    <cellStyle name="Input 2 2 2 5 3 2" xfId="18629" xr:uid="{00000000-0005-0000-0000-00008B2E0000}"/>
    <cellStyle name="Input 2 2 2 5 3 2 2" xfId="18631" xr:uid="{00000000-0005-0000-0000-00008C2E0000}"/>
    <cellStyle name="Input 2 2 2 5 3 3" xfId="18633" xr:uid="{00000000-0005-0000-0000-00008D2E0000}"/>
    <cellStyle name="Input 2 2 2 5 3 4" xfId="18634" xr:uid="{00000000-0005-0000-0000-00008E2E0000}"/>
    <cellStyle name="Input 2 2 2 5 4" xfId="18345" xr:uid="{00000000-0005-0000-0000-00008F2E0000}"/>
    <cellStyle name="Input 2 2 2 5 4 2" xfId="18635" xr:uid="{00000000-0005-0000-0000-0000902E0000}"/>
    <cellStyle name="Input 2 2 2 5 4 3" xfId="18636" xr:uid="{00000000-0005-0000-0000-0000912E0000}"/>
    <cellStyle name="Input 2 2 2 5 5" xfId="18348" xr:uid="{00000000-0005-0000-0000-0000922E0000}"/>
    <cellStyle name="Input 2 2 2 5 5 2" xfId="18637" xr:uid="{00000000-0005-0000-0000-0000932E0000}"/>
    <cellStyle name="Input 2 2 2 5 5 3" xfId="18638" xr:uid="{00000000-0005-0000-0000-0000942E0000}"/>
    <cellStyle name="Input 2 2 2 5 6" xfId="18639" xr:uid="{00000000-0005-0000-0000-0000952E0000}"/>
    <cellStyle name="Input 2 2 2 5 6 2" xfId="18640" xr:uid="{00000000-0005-0000-0000-0000962E0000}"/>
    <cellStyle name="Input 2 2 2 5 6 2 2" xfId="18641" xr:uid="{00000000-0005-0000-0000-0000972E0000}"/>
    <cellStyle name="Input 2 2 2 5 7" xfId="18642" xr:uid="{00000000-0005-0000-0000-0000982E0000}"/>
    <cellStyle name="Input 2 2 2 5 8" xfId="18644" xr:uid="{00000000-0005-0000-0000-0000992E0000}"/>
    <cellStyle name="Input 2 2 2 6" xfId="18647" xr:uid="{00000000-0005-0000-0000-00009A2E0000}"/>
    <cellStyle name="Input 2 2 2 6 2" xfId="18648" xr:uid="{00000000-0005-0000-0000-00009B2E0000}"/>
    <cellStyle name="Input 2 2 2 6 2 2" xfId="18649" xr:uid="{00000000-0005-0000-0000-00009C2E0000}"/>
    <cellStyle name="Input 2 2 2 6 2 3" xfId="18650" xr:uid="{00000000-0005-0000-0000-00009D2E0000}"/>
    <cellStyle name="Input 2 2 2 6 2 4" xfId="18651" xr:uid="{00000000-0005-0000-0000-00009E2E0000}"/>
    <cellStyle name="Input 2 2 2 6 3" xfId="18652" xr:uid="{00000000-0005-0000-0000-00009F2E0000}"/>
    <cellStyle name="Input 2 2 2 6 3 2" xfId="18653" xr:uid="{00000000-0005-0000-0000-0000A02E0000}"/>
    <cellStyle name="Input 2 2 2 6 3 3" xfId="18654" xr:uid="{00000000-0005-0000-0000-0000A12E0000}"/>
    <cellStyle name="Input 2 2 2 6 3 4" xfId="18655" xr:uid="{00000000-0005-0000-0000-0000A22E0000}"/>
    <cellStyle name="Input 2 2 2 6 4" xfId="18656" xr:uid="{00000000-0005-0000-0000-0000A32E0000}"/>
    <cellStyle name="Input 2 2 2 6 4 2" xfId="18658" xr:uid="{00000000-0005-0000-0000-0000A42E0000}"/>
    <cellStyle name="Input 2 2 2 6 4 3" xfId="18660" xr:uid="{00000000-0005-0000-0000-0000A52E0000}"/>
    <cellStyle name="Input 2 2 2 6 5" xfId="18663" xr:uid="{00000000-0005-0000-0000-0000A62E0000}"/>
    <cellStyle name="Input 2 2 2 6 5 2" xfId="18666" xr:uid="{00000000-0005-0000-0000-0000A72E0000}"/>
    <cellStyle name="Input 2 2 2 6 5 3" xfId="18668" xr:uid="{00000000-0005-0000-0000-0000A82E0000}"/>
    <cellStyle name="Input 2 2 2 6 6" xfId="18671" xr:uid="{00000000-0005-0000-0000-0000A92E0000}"/>
    <cellStyle name="Input 2 2 2 6 6 2" xfId="18674" xr:uid="{00000000-0005-0000-0000-0000AA2E0000}"/>
    <cellStyle name="Input 2 2 2 6 6 2 2" xfId="5331" xr:uid="{00000000-0005-0000-0000-0000AB2E0000}"/>
    <cellStyle name="Input 2 2 2 6 7" xfId="18676" xr:uid="{00000000-0005-0000-0000-0000AC2E0000}"/>
    <cellStyle name="Input 2 2 2 6 8" xfId="18679" xr:uid="{00000000-0005-0000-0000-0000AD2E0000}"/>
    <cellStyle name="Input 2 2 2 7" xfId="18682" xr:uid="{00000000-0005-0000-0000-0000AE2E0000}"/>
    <cellStyle name="Input 2 2 2 7 2" xfId="18683" xr:uid="{00000000-0005-0000-0000-0000AF2E0000}"/>
    <cellStyle name="Input 2 2 2 7 2 2" xfId="18684" xr:uid="{00000000-0005-0000-0000-0000B02E0000}"/>
    <cellStyle name="Input 2 2 2 7 2 3" xfId="18685" xr:uid="{00000000-0005-0000-0000-0000B12E0000}"/>
    <cellStyle name="Input 2 2 2 7 2 4" xfId="18686" xr:uid="{00000000-0005-0000-0000-0000B22E0000}"/>
    <cellStyle name="Input 2 2 2 7 3" xfId="18687" xr:uid="{00000000-0005-0000-0000-0000B32E0000}"/>
    <cellStyle name="Input 2 2 2 7 3 2" xfId="18688" xr:uid="{00000000-0005-0000-0000-0000B42E0000}"/>
    <cellStyle name="Input 2 2 2 7 3 3" xfId="18689" xr:uid="{00000000-0005-0000-0000-0000B52E0000}"/>
    <cellStyle name="Input 2 2 2 7 3 4" xfId="18690" xr:uid="{00000000-0005-0000-0000-0000B62E0000}"/>
    <cellStyle name="Input 2 2 2 7 4" xfId="18691" xr:uid="{00000000-0005-0000-0000-0000B72E0000}"/>
    <cellStyle name="Input 2 2 2 7 4 2" xfId="18693" xr:uid="{00000000-0005-0000-0000-0000B82E0000}"/>
    <cellStyle name="Input 2 2 2 7 4 3" xfId="18694" xr:uid="{00000000-0005-0000-0000-0000B92E0000}"/>
    <cellStyle name="Input 2 2 2 7 5" xfId="18695" xr:uid="{00000000-0005-0000-0000-0000BA2E0000}"/>
    <cellStyle name="Input 2 2 2 7 5 2" xfId="18698" xr:uid="{00000000-0005-0000-0000-0000BB2E0000}"/>
    <cellStyle name="Input 2 2 2 7 5 3" xfId="18700" xr:uid="{00000000-0005-0000-0000-0000BC2E0000}"/>
    <cellStyle name="Input 2 2 2 7 6" xfId="18702" xr:uid="{00000000-0005-0000-0000-0000BD2E0000}"/>
    <cellStyle name="Input 2 2 2 7 6 2" xfId="18705" xr:uid="{00000000-0005-0000-0000-0000BE2E0000}"/>
    <cellStyle name="Input 2 2 2 7 6 2 2" xfId="18706" xr:uid="{00000000-0005-0000-0000-0000BF2E0000}"/>
    <cellStyle name="Input 2 2 2 7 7" xfId="18708" xr:uid="{00000000-0005-0000-0000-0000C02E0000}"/>
    <cellStyle name="Input 2 2 2 7 8" xfId="18710" xr:uid="{00000000-0005-0000-0000-0000C12E0000}"/>
    <cellStyle name="Input 2 2 2 8" xfId="18712" xr:uid="{00000000-0005-0000-0000-0000C22E0000}"/>
    <cellStyle name="Input 2 2 2 8 2" xfId="18713" xr:uid="{00000000-0005-0000-0000-0000C32E0000}"/>
    <cellStyle name="Input 2 2 2 8 2 2" xfId="18714" xr:uid="{00000000-0005-0000-0000-0000C42E0000}"/>
    <cellStyle name="Input 2 2 2 8 2 3" xfId="18715" xr:uid="{00000000-0005-0000-0000-0000C52E0000}"/>
    <cellStyle name="Input 2 2 2 8 2 4" xfId="18716" xr:uid="{00000000-0005-0000-0000-0000C62E0000}"/>
    <cellStyle name="Input 2 2 2 8 3" xfId="18719" xr:uid="{00000000-0005-0000-0000-0000C72E0000}"/>
    <cellStyle name="Input 2 2 2 8 3 2" xfId="18720" xr:uid="{00000000-0005-0000-0000-0000C82E0000}"/>
    <cellStyle name="Input 2 2 2 8 3 3" xfId="18721" xr:uid="{00000000-0005-0000-0000-0000C92E0000}"/>
    <cellStyle name="Input 2 2 2 8 3 4" xfId="18722" xr:uid="{00000000-0005-0000-0000-0000CA2E0000}"/>
    <cellStyle name="Input 2 2 2 8 4" xfId="18723" xr:uid="{00000000-0005-0000-0000-0000CB2E0000}"/>
    <cellStyle name="Input 2 2 2 8 4 2" xfId="18725" xr:uid="{00000000-0005-0000-0000-0000CC2E0000}"/>
    <cellStyle name="Input 2 2 2 8 4 3" xfId="18726" xr:uid="{00000000-0005-0000-0000-0000CD2E0000}"/>
    <cellStyle name="Input 2 2 2 8 5" xfId="18727" xr:uid="{00000000-0005-0000-0000-0000CE2E0000}"/>
    <cellStyle name="Input 2 2 2 8 5 2" xfId="18729" xr:uid="{00000000-0005-0000-0000-0000CF2E0000}"/>
    <cellStyle name="Input 2 2 2 8 5 3" xfId="18730" xr:uid="{00000000-0005-0000-0000-0000D02E0000}"/>
    <cellStyle name="Input 2 2 2 8 6" xfId="18731" xr:uid="{00000000-0005-0000-0000-0000D12E0000}"/>
    <cellStyle name="Input 2 2 2 8 6 2" xfId="18733" xr:uid="{00000000-0005-0000-0000-0000D22E0000}"/>
    <cellStyle name="Input 2 2 2 8 6 2 2" xfId="18734" xr:uid="{00000000-0005-0000-0000-0000D32E0000}"/>
    <cellStyle name="Input 2 2 2 8 7" xfId="18735" xr:uid="{00000000-0005-0000-0000-0000D42E0000}"/>
    <cellStyle name="Input 2 2 2 8 8" xfId="18737" xr:uid="{00000000-0005-0000-0000-0000D52E0000}"/>
    <cellStyle name="Input 2 2 2 9" xfId="18739" xr:uid="{00000000-0005-0000-0000-0000D62E0000}"/>
    <cellStyle name="Input 2 2 2 9 2" xfId="18740" xr:uid="{00000000-0005-0000-0000-0000D72E0000}"/>
    <cellStyle name="Input 2 2 2 9 2 2" xfId="18742" xr:uid="{00000000-0005-0000-0000-0000D82E0000}"/>
    <cellStyle name="Input 2 2 2 9 2 3" xfId="18745" xr:uid="{00000000-0005-0000-0000-0000D92E0000}"/>
    <cellStyle name="Input 2 2 2 9 2 4" xfId="18747" xr:uid="{00000000-0005-0000-0000-0000DA2E0000}"/>
    <cellStyle name="Input 2 2 2 9 3" xfId="18749" xr:uid="{00000000-0005-0000-0000-0000DB2E0000}"/>
    <cellStyle name="Input 2 2 2 9 3 2" xfId="2284" xr:uid="{00000000-0005-0000-0000-0000DC2E0000}"/>
    <cellStyle name="Input 2 2 2 9 3 3" xfId="18751" xr:uid="{00000000-0005-0000-0000-0000DD2E0000}"/>
    <cellStyle name="Input 2 2 2 9 3 4" xfId="18753" xr:uid="{00000000-0005-0000-0000-0000DE2E0000}"/>
    <cellStyle name="Input 2 2 2 9 4" xfId="18755" xr:uid="{00000000-0005-0000-0000-0000DF2E0000}"/>
    <cellStyle name="Input 2 2 2 9 4 2" xfId="18758" xr:uid="{00000000-0005-0000-0000-0000E02E0000}"/>
    <cellStyle name="Input 2 2 2 9 4 3" xfId="18759" xr:uid="{00000000-0005-0000-0000-0000E12E0000}"/>
    <cellStyle name="Input 2 2 2 9 5" xfId="18761" xr:uid="{00000000-0005-0000-0000-0000E22E0000}"/>
    <cellStyle name="Input 2 2 2 9 5 2" xfId="18763" xr:uid="{00000000-0005-0000-0000-0000E32E0000}"/>
    <cellStyle name="Input 2 2 2 9 5 3" xfId="18764" xr:uid="{00000000-0005-0000-0000-0000E42E0000}"/>
    <cellStyle name="Input 2 2 2 9 6" xfId="18766" xr:uid="{00000000-0005-0000-0000-0000E52E0000}"/>
    <cellStyle name="Input 2 2 2 9 6 2" xfId="18767" xr:uid="{00000000-0005-0000-0000-0000E62E0000}"/>
    <cellStyle name="Input 2 2 2 9 6 2 2" xfId="18768" xr:uid="{00000000-0005-0000-0000-0000E72E0000}"/>
    <cellStyle name="Input 2 2 2 9 7" xfId="18769" xr:uid="{00000000-0005-0000-0000-0000E82E0000}"/>
    <cellStyle name="Input 2 2 2 9 8" xfId="18771" xr:uid="{00000000-0005-0000-0000-0000E92E0000}"/>
    <cellStyle name="Input 2 2 20" xfId="8275" xr:uid="{00000000-0005-0000-0000-0000EA2E0000}"/>
    <cellStyle name="Input 2 2 21" xfId="8278" xr:uid="{00000000-0005-0000-0000-0000EB2E0000}"/>
    <cellStyle name="Input 2 2 22" xfId="12485" xr:uid="{00000000-0005-0000-0000-0000EC2E0000}"/>
    <cellStyle name="Input 2 2 23" xfId="12488" xr:uid="{00000000-0005-0000-0000-0000ED2E0000}"/>
    <cellStyle name="Input 2 2 24" xfId="12491" xr:uid="{00000000-0005-0000-0000-0000EE2E0000}"/>
    <cellStyle name="Input 2 2 25" xfId="18772" xr:uid="{00000000-0005-0000-0000-0000EF2E0000}"/>
    <cellStyle name="Input 2 2 26" xfId="18774" xr:uid="{00000000-0005-0000-0000-0000F02E0000}"/>
    <cellStyle name="Input 2 2 27" xfId="18776" xr:uid="{00000000-0005-0000-0000-0000F12E0000}"/>
    <cellStyle name="Input 2 2 28" xfId="18779" xr:uid="{00000000-0005-0000-0000-0000F22E0000}"/>
    <cellStyle name="Input 2 2 29" xfId="18781" xr:uid="{00000000-0005-0000-0000-0000F32E0000}"/>
    <cellStyle name="Input 2 2 3" xfId="4872" xr:uid="{00000000-0005-0000-0000-0000F42E0000}"/>
    <cellStyle name="Input 2 2 3 10" xfId="18783" xr:uid="{00000000-0005-0000-0000-0000F52E0000}"/>
    <cellStyle name="Input 2 2 3 10 2" xfId="15733" xr:uid="{00000000-0005-0000-0000-0000F62E0000}"/>
    <cellStyle name="Input 2 2 3 10 2 2" xfId="18784" xr:uid="{00000000-0005-0000-0000-0000F72E0000}"/>
    <cellStyle name="Input 2 2 3 10 2 3" xfId="18785" xr:uid="{00000000-0005-0000-0000-0000F82E0000}"/>
    <cellStyle name="Input 2 2 3 10 2 4" xfId="18786" xr:uid="{00000000-0005-0000-0000-0000F92E0000}"/>
    <cellStyle name="Input 2 2 3 10 3" xfId="18788" xr:uid="{00000000-0005-0000-0000-0000FA2E0000}"/>
    <cellStyle name="Input 2 2 3 10 3 2" xfId="18789" xr:uid="{00000000-0005-0000-0000-0000FB2E0000}"/>
    <cellStyle name="Input 2 2 3 10 3 3" xfId="18790" xr:uid="{00000000-0005-0000-0000-0000FC2E0000}"/>
    <cellStyle name="Input 2 2 3 10 3 4" xfId="18791" xr:uid="{00000000-0005-0000-0000-0000FD2E0000}"/>
    <cellStyle name="Input 2 2 3 10 4" xfId="18793" xr:uid="{00000000-0005-0000-0000-0000FE2E0000}"/>
    <cellStyle name="Input 2 2 3 10 4 2" xfId="18794" xr:uid="{00000000-0005-0000-0000-0000FF2E0000}"/>
    <cellStyle name="Input 2 2 3 10 4 3" xfId="18795" xr:uid="{00000000-0005-0000-0000-0000002F0000}"/>
    <cellStyle name="Input 2 2 3 10 5" xfId="7879" xr:uid="{00000000-0005-0000-0000-0000012F0000}"/>
    <cellStyle name="Input 2 2 3 10 5 2" xfId="18796" xr:uid="{00000000-0005-0000-0000-0000022F0000}"/>
    <cellStyle name="Input 2 2 3 10 5 3" xfId="18798" xr:uid="{00000000-0005-0000-0000-0000032F0000}"/>
    <cellStyle name="Input 2 2 3 10 6" xfId="7884" xr:uid="{00000000-0005-0000-0000-0000042F0000}"/>
    <cellStyle name="Input 2 2 3 10 7" xfId="18800" xr:uid="{00000000-0005-0000-0000-0000052F0000}"/>
    <cellStyle name="Input 2 2 3 11" xfId="18802" xr:uid="{00000000-0005-0000-0000-0000062F0000}"/>
    <cellStyle name="Input 2 2 3 11 2" xfId="18803" xr:uid="{00000000-0005-0000-0000-0000072F0000}"/>
    <cellStyle name="Input 2 2 3 11 3" xfId="18805" xr:uid="{00000000-0005-0000-0000-0000082F0000}"/>
    <cellStyle name="Input 2 2 3 11 4" xfId="18808" xr:uid="{00000000-0005-0000-0000-0000092F0000}"/>
    <cellStyle name="Input 2 2 3 12" xfId="18811" xr:uid="{00000000-0005-0000-0000-00000A2F0000}"/>
    <cellStyle name="Input 2 2 3 12 2" xfId="18812" xr:uid="{00000000-0005-0000-0000-00000B2F0000}"/>
    <cellStyle name="Input 2 2 3 12 3" xfId="18814" xr:uid="{00000000-0005-0000-0000-00000C2F0000}"/>
    <cellStyle name="Input 2 2 3 12 4" xfId="12142" xr:uid="{00000000-0005-0000-0000-00000D2F0000}"/>
    <cellStyle name="Input 2 2 3 13" xfId="18816" xr:uid="{00000000-0005-0000-0000-00000E2F0000}"/>
    <cellStyle name="Input 2 2 3 13 2" xfId="18818" xr:uid="{00000000-0005-0000-0000-00000F2F0000}"/>
    <cellStyle name="Input 2 2 3 13 3" xfId="18820" xr:uid="{00000000-0005-0000-0000-0000102F0000}"/>
    <cellStyle name="Input 2 2 3 14" xfId="18822" xr:uid="{00000000-0005-0000-0000-0000112F0000}"/>
    <cellStyle name="Input 2 2 3 14 2" xfId="18823" xr:uid="{00000000-0005-0000-0000-0000122F0000}"/>
    <cellStyle name="Input 2 2 3 14 3" xfId="18824" xr:uid="{00000000-0005-0000-0000-0000132F0000}"/>
    <cellStyle name="Input 2 2 3 15" xfId="18826" xr:uid="{00000000-0005-0000-0000-0000142F0000}"/>
    <cellStyle name="Input 2 2 3 16" xfId="18827" xr:uid="{00000000-0005-0000-0000-0000152F0000}"/>
    <cellStyle name="Input 2 2 3 17" xfId="18828" xr:uid="{00000000-0005-0000-0000-0000162F0000}"/>
    <cellStyle name="Input 2 2 3 18" xfId="18830" xr:uid="{00000000-0005-0000-0000-0000172F0000}"/>
    <cellStyle name="Input 2 2 3 2" xfId="18419" xr:uid="{00000000-0005-0000-0000-0000182F0000}"/>
    <cellStyle name="Input 2 2 3 2 2" xfId="18831" xr:uid="{00000000-0005-0000-0000-0000192F0000}"/>
    <cellStyle name="Input 2 2 3 2 2 2" xfId="18832" xr:uid="{00000000-0005-0000-0000-00001A2F0000}"/>
    <cellStyle name="Input 2 2 3 2 2 2 2" xfId="18833" xr:uid="{00000000-0005-0000-0000-00001B2F0000}"/>
    <cellStyle name="Input 2 2 3 2 2 2 2 2" xfId="1193" xr:uid="{00000000-0005-0000-0000-00001C2F0000}"/>
    <cellStyle name="Input 2 2 3 2 2 2 2 2 2" xfId="18834" xr:uid="{00000000-0005-0000-0000-00001D2F0000}"/>
    <cellStyle name="Input 2 2 3 2 2 2 2 2 2 2" xfId="18835" xr:uid="{00000000-0005-0000-0000-00001E2F0000}"/>
    <cellStyle name="Input 2 2 3 2 2 2 2 2 2 2 2" xfId="18836" xr:uid="{00000000-0005-0000-0000-00001F2F0000}"/>
    <cellStyle name="Input 2 2 3 2 2 2 2 2 2 2 2 2" xfId="18838" xr:uid="{00000000-0005-0000-0000-0000202F0000}"/>
    <cellStyle name="Input 2 2 3 2 2 2 2 2 2 3" xfId="18841" xr:uid="{00000000-0005-0000-0000-0000212F0000}"/>
    <cellStyle name="Input 2 2 3 2 2 2 2 2 3" xfId="18842" xr:uid="{00000000-0005-0000-0000-0000222F0000}"/>
    <cellStyle name="Input 2 2 3 2 2 2 2 3" xfId="1203" xr:uid="{00000000-0005-0000-0000-0000232F0000}"/>
    <cellStyle name="Input 2 2 3 2 2 2 3" xfId="18843" xr:uid="{00000000-0005-0000-0000-0000242F0000}"/>
    <cellStyle name="Input 2 2 3 2 2 3" xfId="18845" xr:uid="{00000000-0005-0000-0000-0000252F0000}"/>
    <cellStyle name="Input 2 2 3 2 2 3 2" xfId="18846" xr:uid="{00000000-0005-0000-0000-0000262F0000}"/>
    <cellStyle name="Input 2 2 3 2 2 3 2 2" xfId="18847" xr:uid="{00000000-0005-0000-0000-0000272F0000}"/>
    <cellStyle name="Input 2 2 3 2 2 4" xfId="18849" xr:uid="{00000000-0005-0000-0000-0000282F0000}"/>
    <cellStyle name="Input 2 2 3 2 3" xfId="18850" xr:uid="{00000000-0005-0000-0000-0000292F0000}"/>
    <cellStyle name="Input 2 2 3 2 3 2" xfId="18851" xr:uid="{00000000-0005-0000-0000-00002A2F0000}"/>
    <cellStyle name="Input 2 2 3 2 3 2 2" xfId="8077" xr:uid="{00000000-0005-0000-0000-00002B2F0000}"/>
    <cellStyle name="Input 2 2 3 2 3 3" xfId="18852" xr:uid="{00000000-0005-0000-0000-00002C2F0000}"/>
    <cellStyle name="Input 2 2 3 2 3 4" xfId="18853" xr:uid="{00000000-0005-0000-0000-00002D2F0000}"/>
    <cellStyle name="Input 2 2 3 2 4" xfId="18854" xr:uid="{00000000-0005-0000-0000-00002E2F0000}"/>
    <cellStyle name="Input 2 2 3 2 4 2" xfId="18856" xr:uid="{00000000-0005-0000-0000-00002F2F0000}"/>
    <cellStyle name="Input 2 2 3 2 4 2 2" xfId="309" xr:uid="{00000000-0005-0000-0000-0000302F0000}"/>
    <cellStyle name="Input 2 2 3 2 4 3" xfId="18857" xr:uid="{00000000-0005-0000-0000-0000312F0000}"/>
    <cellStyle name="Input 2 2 3 2 5" xfId="18858" xr:uid="{00000000-0005-0000-0000-0000322F0000}"/>
    <cellStyle name="Input 2 2 3 2 5 2" xfId="18860" xr:uid="{00000000-0005-0000-0000-0000332F0000}"/>
    <cellStyle name="Input 2 2 3 2 5 2 2" xfId="9927" xr:uid="{00000000-0005-0000-0000-0000342F0000}"/>
    <cellStyle name="Input 2 2 3 2 5 3" xfId="18861" xr:uid="{00000000-0005-0000-0000-0000352F0000}"/>
    <cellStyle name="Input 2 2 3 2 6" xfId="18862" xr:uid="{00000000-0005-0000-0000-0000362F0000}"/>
    <cellStyle name="Input 2 2 3 2 6 2" xfId="18864" xr:uid="{00000000-0005-0000-0000-0000372F0000}"/>
    <cellStyle name="Input 2 2 3 2 6 2 2" xfId="10766" xr:uid="{00000000-0005-0000-0000-0000382F0000}"/>
    <cellStyle name="Input 2 2 3 2 6 2 2 2" xfId="18866" xr:uid="{00000000-0005-0000-0000-0000392F0000}"/>
    <cellStyle name="Input 2 2 3 2 6 3" xfId="18868" xr:uid="{00000000-0005-0000-0000-00003A2F0000}"/>
    <cellStyle name="Input 2 2 3 2 7" xfId="18869" xr:uid="{00000000-0005-0000-0000-00003B2F0000}"/>
    <cellStyle name="Input 2 2 3 2 8" xfId="18871" xr:uid="{00000000-0005-0000-0000-00003C2F0000}"/>
    <cellStyle name="Input 2 2 3 3" xfId="18873" xr:uid="{00000000-0005-0000-0000-00003D2F0000}"/>
    <cellStyle name="Input 2 2 3 3 2" xfId="18875" xr:uid="{00000000-0005-0000-0000-00003E2F0000}"/>
    <cellStyle name="Input 2 2 3 3 2 2" xfId="18876" xr:uid="{00000000-0005-0000-0000-00003F2F0000}"/>
    <cellStyle name="Input 2 2 3 3 2 3" xfId="18877" xr:uid="{00000000-0005-0000-0000-0000402F0000}"/>
    <cellStyle name="Input 2 2 3 3 2 4" xfId="18878" xr:uid="{00000000-0005-0000-0000-0000412F0000}"/>
    <cellStyle name="Input 2 2 3 3 3" xfId="18879" xr:uid="{00000000-0005-0000-0000-0000422F0000}"/>
    <cellStyle name="Input 2 2 3 3 3 2" xfId="18880" xr:uid="{00000000-0005-0000-0000-0000432F0000}"/>
    <cellStyle name="Input 2 2 3 3 3 3" xfId="2483" xr:uid="{00000000-0005-0000-0000-0000442F0000}"/>
    <cellStyle name="Input 2 2 3 3 3 4" xfId="2489" xr:uid="{00000000-0005-0000-0000-0000452F0000}"/>
    <cellStyle name="Input 2 2 3 3 4" xfId="18881" xr:uid="{00000000-0005-0000-0000-0000462F0000}"/>
    <cellStyle name="Input 2 2 3 3 4 2" xfId="18883" xr:uid="{00000000-0005-0000-0000-0000472F0000}"/>
    <cellStyle name="Input 2 2 3 3 4 3" xfId="18884" xr:uid="{00000000-0005-0000-0000-0000482F0000}"/>
    <cellStyle name="Input 2 2 3 3 5" xfId="18885" xr:uid="{00000000-0005-0000-0000-0000492F0000}"/>
    <cellStyle name="Input 2 2 3 3 5 2" xfId="18887" xr:uid="{00000000-0005-0000-0000-00004A2F0000}"/>
    <cellStyle name="Input 2 2 3 3 5 3" xfId="18888" xr:uid="{00000000-0005-0000-0000-00004B2F0000}"/>
    <cellStyle name="Input 2 2 3 3 6" xfId="18889" xr:uid="{00000000-0005-0000-0000-00004C2F0000}"/>
    <cellStyle name="Input 2 2 3 3 6 2" xfId="18891" xr:uid="{00000000-0005-0000-0000-00004D2F0000}"/>
    <cellStyle name="Input 2 2 3 3 7" xfId="18892" xr:uid="{00000000-0005-0000-0000-00004E2F0000}"/>
    <cellStyle name="Input 2 2 3 4" xfId="18895" xr:uid="{00000000-0005-0000-0000-00004F2F0000}"/>
    <cellStyle name="Input 2 2 3 4 2" xfId="18896" xr:uid="{00000000-0005-0000-0000-0000502F0000}"/>
    <cellStyle name="Input 2 2 3 4 2 2" xfId="18897" xr:uid="{00000000-0005-0000-0000-0000512F0000}"/>
    <cellStyle name="Input 2 2 3 4 2 3" xfId="8290" xr:uid="{00000000-0005-0000-0000-0000522F0000}"/>
    <cellStyle name="Input 2 2 3 4 2 4" xfId="8292" xr:uid="{00000000-0005-0000-0000-0000532F0000}"/>
    <cellStyle name="Input 2 2 3 4 3" xfId="18898" xr:uid="{00000000-0005-0000-0000-0000542F0000}"/>
    <cellStyle name="Input 2 2 3 4 3 2" xfId="18899" xr:uid="{00000000-0005-0000-0000-0000552F0000}"/>
    <cellStyle name="Input 2 2 3 4 3 3" xfId="18900" xr:uid="{00000000-0005-0000-0000-0000562F0000}"/>
    <cellStyle name="Input 2 2 3 4 3 4" xfId="18901" xr:uid="{00000000-0005-0000-0000-0000572F0000}"/>
    <cellStyle name="Input 2 2 3 4 4" xfId="18902" xr:uid="{00000000-0005-0000-0000-0000582F0000}"/>
    <cellStyle name="Input 2 2 3 4 4 2" xfId="18904" xr:uid="{00000000-0005-0000-0000-0000592F0000}"/>
    <cellStyle name="Input 2 2 3 4 4 3" xfId="18906" xr:uid="{00000000-0005-0000-0000-00005A2F0000}"/>
    <cellStyle name="Input 2 2 3 4 5" xfId="18908" xr:uid="{00000000-0005-0000-0000-00005B2F0000}"/>
    <cellStyle name="Input 2 2 3 4 5 2" xfId="18910" xr:uid="{00000000-0005-0000-0000-00005C2F0000}"/>
    <cellStyle name="Input 2 2 3 4 5 3" xfId="18911" xr:uid="{00000000-0005-0000-0000-00005D2F0000}"/>
    <cellStyle name="Input 2 2 3 4 6" xfId="18912" xr:uid="{00000000-0005-0000-0000-00005E2F0000}"/>
    <cellStyle name="Input 2 2 3 4 6 2" xfId="18913" xr:uid="{00000000-0005-0000-0000-00005F2F0000}"/>
    <cellStyle name="Input 2 2 3 4 7" xfId="11027" xr:uid="{00000000-0005-0000-0000-0000602F0000}"/>
    <cellStyle name="Input 2 2 3 5" xfId="18915" xr:uid="{00000000-0005-0000-0000-0000612F0000}"/>
    <cellStyle name="Input 2 2 3 5 2" xfId="18916" xr:uid="{00000000-0005-0000-0000-0000622F0000}"/>
    <cellStyle name="Input 2 2 3 5 2 2" xfId="18917" xr:uid="{00000000-0005-0000-0000-0000632F0000}"/>
    <cellStyle name="Input 2 2 3 5 2 2 2" xfId="12741" xr:uid="{00000000-0005-0000-0000-0000642F0000}"/>
    <cellStyle name="Input 2 2 3 5 2 2 2 2" xfId="18918" xr:uid="{00000000-0005-0000-0000-0000652F0000}"/>
    <cellStyle name="Input 2 2 3 5 2 2 2 2 2" xfId="18920" xr:uid="{00000000-0005-0000-0000-0000662F0000}"/>
    <cellStyle name="Input 2 2 3 5 2 2 2 2 2 2" xfId="18921" xr:uid="{00000000-0005-0000-0000-0000672F0000}"/>
    <cellStyle name="Input 2 2 3 5 2 2 2 3" xfId="18922" xr:uid="{00000000-0005-0000-0000-0000682F0000}"/>
    <cellStyle name="Input 2 2 3 5 2 3" xfId="8316" xr:uid="{00000000-0005-0000-0000-0000692F0000}"/>
    <cellStyle name="Input 2 2 3 5 2 4" xfId="8318" xr:uid="{00000000-0005-0000-0000-00006A2F0000}"/>
    <cellStyle name="Input 2 2 3 5 3" xfId="18923" xr:uid="{00000000-0005-0000-0000-00006B2F0000}"/>
    <cellStyle name="Input 2 2 3 5 3 2" xfId="18924" xr:uid="{00000000-0005-0000-0000-00006C2F0000}"/>
    <cellStyle name="Input 2 2 3 5 3 2 2" xfId="18925" xr:uid="{00000000-0005-0000-0000-00006D2F0000}"/>
    <cellStyle name="Input 2 2 3 5 3 3" xfId="18926" xr:uid="{00000000-0005-0000-0000-00006E2F0000}"/>
    <cellStyle name="Input 2 2 3 5 3 4" xfId="18927" xr:uid="{00000000-0005-0000-0000-00006F2F0000}"/>
    <cellStyle name="Input 2 2 3 5 4" xfId="18928" xr:uid="{00000000-0005-0000-0000-0000702F0000}"/>
    <cellStyle name="Input 2 2 3 5 4 2" xfId="18930" xr:uid="{00000000-0005-0000-0000-0000712F0000}"/>
    <cellStyle name="Input 2 2 3 5 4 3" xfId="18932" xr:uid="{00000000-0005-0000-0000-0000722F0000}"/>
    <cellStyle name="Input 2 2 3 5 5" xfId="18934" xr:uid="{00000000-0005-0000-0000-0000732F0000}"/>
    <cellStyle name="Input 2 2 3 5 5 2" xfId="18936" xr:uid="{00000000-0005-0000-0000-0000742F0000}"/>
    <cellStyle name="Input 2 2 3 5 5 3" xfId="18937" xr:uid="{00000000-0005-0000-0000-0000752F0000}"/>
    <cellStyle name="Input 2 2 3 5 6" xfId="18938" xr:uid="{00000000-0005-0000-0000-0000762F0000}"/>
    <cellStyle name="Input 2 2 3 5 6 2" xfId="18939" xr:uid="{00000000-0005-0000-0000-0000772F0000}"/>
    <cellStyle name="Input 2 2 3 5 6 2 2" xfId="8513" xr:uid="{00000000-0005-0000-0000-0000782F0000}"/>
    <cellStyle name="Input 2 2 3 5 7" xfId="18940" xr:uid="{00000000-0005-0000-0000-0000792F0000}"/>
    <cellStyle name="Input 2 2 3 6" xfId="18943" xr:uid="{00000000-0005-0000-0000-00007A2F0000}"/>
    <cellStyle name="Input 2 2 3 6 2" xfId="18944" xr:uid="{00000000-0005-0000-0000-00007B2F0000}"/>
    <cellStyle name="Input 2 2 3 6 2 2" xfId="18945" xr:uid="{00000000-0005-0000-0000-00007C2F0000}"/>
    <cellStyle name="Input 2 2 3 6 2 3" xfId="8338" xr:uid="{00000000-0005-0000-0000-00007D2F0000}"/>
    <cellStyle name="Input 2 2 3 6 2 4" xfId="8340" xr:uid="{00000000-0005-0000-0000-00007E2F0000}"/>
    <cellStyle name="Input 2 2 3 6 3" xfId="18946" xr:uid="{00000000-0005-0000-0000-00007F2F0000}"/>
    <cellStyle name="Input 2 2 3 6 3 2" xfId="18947" xr:uid="{00000000-0005-0000-0000-0000802F0000}"/>
    <cellStyle name="Input 2 2 3 6 3 3" xfId="18948" xr:uid="{00000000-0005-0000-0000-0000812F0000}"/>
    <cellStyle name="Input 2 2 3 6 3 4" xfId="18949" xr:uid="{00000000-0005-0000-0000-0000822F0000}"/>
    <cellStyle name="Input 2 2 3 6 4" xfId="18950" xr:uid="{00000000-0005-0000-0000-0000832F0000}"/>
    <cellStyle name="Input 2 2 3 6 4 2" xfId="18951" xr:uid="{00000000-0005-0000-0000-0000842F0000}"/>
    <cellStyle name="Input 2 2 3 6 4 3" xfId="18952" xr:uid="{00000000-0005-0000-0000-0000852F0000}"/>
    <cellStyle name="Input 2 2 3 6 5" xfId="18953" xr:uid="{00000000-0005-0000-0000-0000862F0000}"/>
    <cellStyle name="Input 2 2 3 6 5 2" xfId="18954" xr:uid="{00000000-0005-0000-0000-0000872F0000}"/>
    <cellStyle name="Input 2 2 3 6 5 3" xfId="18955" xr:uid="{00000000-0005-0000-0000-0000882F0000}"/>
    <cellStyle name="Input 2 2 3 6 6" xfId="18956" xr:uid="{00000000-0005-0000-0000-0000892F0000}"/>
    <cellStyle name="Input 2 2 3 6 6 2" xfId="18957" xr:uid="{00000000-0005-0000-0000-00008A2F0000}"/>
    <cellStyle name="Input 2 2 3 6 6 2 2" xfId="9371" xr:uid="{00000000-0005-0000-0000-00008B2F0000}"/>
    <cellStyle name="Input 2 2 3 6 7" xfId="18958" xr:uid="{00000000-0005-0000-0000-00008C2F0000}"/>
    <cellStyle name="Input 2 2 3 7" xfId="18960" xr:uid="{00000000-0005-0000-0000-00008D2F0000}"/>
    <cellStyle name="Input 2 2 3 7 2" xfId="8397" xr:uid="{00000000-0005-0000-0000-00008E2F0000}"/>
    <cellStyle name="Input 2 2 3 7 2 2" xfId="18961" xr:uid="{00000000-0005-0000-0000-00008F2F0000}"/>
    <cellStyle name="Input 2 2 3 7 2 3" xfId="18962" xr:uid="{00000000-0005-0000-0000-0000902F0000}"/>
    <cellStyle name="Input 2 2 3 7 2 4" xfId="18963" xr:uid="{00000000-0005-0000-0000-0000912F0000}"/>
    <cellStyle name="Input 2 2 3 7 3" xfId="8399" xr:uid="{00000000-0005-0000-0000-0000922F0000}"/>
    <cellStyle name="Input 2 2 3 7 3 2" xfId="18964" xr:uid="{00000000-0005-0000-0000-0000932F0000}"/>
    <cellStyle name="Input 2 2 3 7 3 3" xfId="18965" xr:uid="{00000000-0005-0000-0000-0000942F0000}"/>
    <cellStyle name="Input 2 2 3 7 3 4" xfId="18966" xr:uid="{00000000-0005-0000-0000-0000952F0000}"/>
    <cellStyle name="Input 2 2 3 7 4" xfId="18967" xr:uid="{00000000-0005-0000-0000-0000962F0000}"/>
    <cellStyle name="Input 2 2 3 7 4 2" xfId="18968" xr:uid="{00000000-0005-0000-0000-0000972F0000}"/>
    <cellStyle name="Input 2 2 3 7 4 3" xfId="18969" xr:uid="{00000000-0005-0000-0000-0000982F0000}"/>
    <cellStyle name="Input 2 2 3 7 5" xfId="18970" xr:uid="{00000000-0005-0000-0000-0000992F0000}"/>
    <cellStyle name="Input 2 2 3 7 5 2" xfId="18971" xr:uid="{00000000-0005-0000-0000-00009A2F0000}"/>
    <cellStyle name="Input 2 2 3 7 5 3" xfId="18972" xr:uid="{00000000-0005-0000-0000-00009B2F0000}"/>
    <cellStyle name="Input 2 2 3 7 6" xfId="18973" xr:uid="{00000000-0005-0000-0000-00009C2F0000}"/>
    <cellStyle name="Input 2 2 3 7 6 2" xfId="18974" xr:uid="{00000000-0005-0000-0000-00009D2F0000}"/>
    <cellStyle name="Input 2 2 3 7 6 2 2" xfId="10306" xr:uid="{00000000-0005-0000-0000-00009E2F0000}"/>
    <cellStyle name="Input 2 2 3 7 7" xfId="18975" xr:uid="{00000000-0005-0000-0000-00009F2F0000}"/>
    <cellStyle name="Input 2 2 3 8" xfId="18977" xr:uid="{00000000-0005-0000-0000-0000A02F0000}"/>
    <cellStyle name="Input 2 2 3 8 2" xfId="8403" xr:uid="{00000000-0005-0000-0000-0000A12F0000}"/>
    <cellStyle name="Input 2 2 3 8 2 2" xfId="18978" xr:uid="{00000000-0005-0000-0000-0000A22F0000}"/>
    <cellStyle name="Input 2 2 3 8 2 3" xfId="18979" xr:uid="{00000000-0005-0000-0000-0000A32F0000}"/>
    <cellStyle name="Input 2 2 3 8 2 4" xfId="18980" xr:uid="{00000000-0005-0000-0000-0000A42F0000}"/>
    <cellStyle name="Input 2 2 3 8 3" xfId="8405" xr:uid="{00000000-0005-0000-0000-0000A52F0000}"/>
    <cellStyle name="Input 2 2 3 8 3 2" xfId="18981" xr:uid="{00000000-0005-0000-0000-0000A62F0000}"/>
    <cellStyle name="Input 2 2 3 8 3 3" xfId="18982" xr:uid="{00000000-0005-0000-0000-0000A72F0000}"/>
    <cellStyle name="Input 2 2 3 8 3 4" xfId="18983" xr:uid="{00000000-0005-0000-0000-0000A82F0000}"/>
    <cellStyle name="Input 2 2 3 8 4" xfId="18984" xr:uid="{00000000-0005-0000-0000-0000A92F0000}"/>
    <cellStyle name="Input 2 2 3 8 4 2" xfId="18985" xr:uid="{00000000-0005-0000-0000-0000AA2F0000}"/>
    <cellStyle name="Input 2 2 3 8 4 3" xfId="18986" xr:uid="{00000000-0005-0000-0000-0000AB2F0000}"/>
    <cellStyle name="Input 2 2 3 8 5" xfId="18987" xr:uid="{00000000-0005-0000-0000-0000AC2F0000}"/>
    <cellStyle name="Input 2 2 3 8 5 2" xfId="18988" xr:uid="{00000000-0005-0000-0000-0000AD2F0000}"/>
    <cellStyle name="Input 2 2 3 8 5 3" xfId="18989" xr:uid="{00000000-0005-0000-0000-0000AE2F0000}"/>
    <cellStyle name="Input 2 2 3 8 6" xfId="18990" xr:uid="{00000000-0005-0000-0000-0000AF2F0000}"/>
    <cellStyle name="Input 2 2 3 8 6 2" xfId="18991" xr:uid="{00000000-0005-0000-0000-0000B02F0000}"/>
    <cellStyle name="Input 2 2 3 8 6 2 2" xfId="11132" xr:uid="{00000000-0005-0000-0000-0000B12F0000}"/>
    <cellStyle name="Input 2 2 3 8 7" xfId="18992" xr:uid="{00000000-0005-0000-0000-0000B22F0000}"/>
    <cellStyle name="Input 2 2 3 9" xfId="18994" xr:uid="{00000000-0005-0000-0000-0000B32F0000}"/>
    <cellStyle name="Input 2 2 3 9 2" xfId="8410" xr:uid="{00000000-0005-0000-0000-0000B42F0000}"/>
    <cellStyle name="Input 2 2 3 9 2 2" xfId="18995" xr:uid="{00000000-0005-0000-0000-0000B52F0000}"/>
    <cellStyle name="Input 2 2 3 9 2 3" xfId="18998" xr:uid="{00000000-0005-0000-0000-0000B62F0000}"/>
    <cellStyle name="Input 2 2 3 9 2 4" xfId="19001" xr:uid="{00000000-0005-0000-0000-0000B72F0000}"/>
    <cellStyle name="Input 2 2 3 9 3" xfId="19003" xr:uid="{00000000-0005-0000-0000-0000B82F0000}"/>
    <cellStyle name="Input 2 2 3 9 3 2" xfId="19004" xr:uid="{00000000-0005-0000-0000-0000B92F0000}"/>
    <cellStyle name="Input 2 2 3 9 3 3" xfId="2166" xr:uid="{00000000-0005-0000-0000-0000BA2F0000}"/>
    <cellStyle name="Input 2 2 3 9 3 4" xfId="19007" xr:uid="{00000000-0005-0000-0000-0000BB2F0000}"/>
    <cellStyle name="Input 2 2 3 9 4" xfId="19009" xr:uid="{00000000-0005-0000-0000-0000BC2F0000}"/>
    <cellStyle name="Input 2 2 3 9 4 2" xfId="19010" xr:uid="{00000000-0005-0000-0000-0000BD2F0000}"/>
    <cellStyle name="Input 2 2 3 9 4 3" xfId="19013" xr:uid="{00000000-0005-0000-0000-0000BE2F0000}"/>
    <cellStyle name="Input 2 2 3 9 5" xfId="19015" xr:uid="{00000000-0005-0000-0000-0000BF2F0000}"/>
    <cellStyle name="Input 2 2 3 9 5 2" xfId="19016" xr:uid="{00000000-0005-0000-0000-0000C02F0000}"/>
    <cellStyle name="Input 2 2 3 9 5 3" xfId="19017" xr:uid="{00000000-0005-0000-0000-0000C12F0000}"/>
    <cellStyle name="Input 2 2 3 9 6" xfId="19019" xr:uid="{00000000-0005-0000-0000-0000C22F0000}"/>
    <cellStyle name="Input 2 2 3 9 6 2" xfId="19020" xr:uid="{00000000-0005-0000-0000-0000C32F0000}"/>
    <cellStyle name="Input 2 2 3 9 6 2 2" xfId="11934" xr:uid="{00000000-0005-0000-0000-0000C42F0000}"/>
    <cellStyle name="Input 2 2 3 9 7" xfId="11259" xr:uid="{00000000-0005-0000-0000-0000C52F0000}"/>
    <cellStyle name="Input 2 2 30" xfId="18773" xr:uid="{00000000-0005-0000-0000-0000C62F0000}"/>
    <cellStyle name="Input 2 2 31" xfId="18775" xr:uid="{00000000-0005-0000-0000-0000C72F0000}"/>
    <cellStyle name="Input 2 2 32" xfId="18777" xr:uid="{00000000-0005-0000-0000-0000C82F0000}"/>
    <cellStyle name="Input 2 2 4" xfId="19022" xr:uid="{00000000-0005-0000-0000-0000C92F0000}"/>
    <cellStyle name="Input 2 2 4 10" xfId="19024" xr:uid="{00000000-0005-0000-0000-0000CA2F0000}"/>
    <cellStyle name="Input 2 2 4 2" xfId="18427" xr:uid="{00000000-0005-0000-0000-0000CB2F0000}"/>
    <cellStyle name="Input 2 2 4 2 2" xfId="19025" xr:uid="{00000000-0005-0000-0000-0000CC2F0000}"/>
    <cellStyle name="Input 2 2 4 2 2 2" xfId="19026" xr:uid="{00000000-0005-0000-0000-0000CD2F0000}"/>
    <cellStyle name="Input 2 2 4 2 2 2 2" xfId="19027" xr:uid="{00000000-0005-0000-0000-0000CE2F0000}"/>
    <cellStyle name="Input 2 2 4 2 2 2 2 2" xfId="19028" xr:uid="{00000000-0005-0000-0000-0000CF2F0000}"/>
    <cellStyle name="Input 2 2 4 2 2 2 2 2 2" xfId="9722" xr:uid="{00000000-0005-0000-0000-0000D02F0000}"/>
    <cellStyle name="Input 2 2 4 2 2 2 2 2 2 2" xfId="19029" xr:uid="{00000000-0005-0000-0000-0000D12F0000}"/>
    <cellStyle name="Input 2 2 4 2 2 2 2 2 2 2 2" xfId="19030" xr:uid="{00000000-0005-0000-0000-0000D22F0000}"/>
    <cellStyle name="Input 2 2 4 2 2 2 2 2 3" xfId="19031" xr:uid="{00000000-0005-0000-0000-0000D32F0000}"/>
    <cellStyle name="Input 2 2 4 2 2 2 2 3" xfId="19032" xr:uid="{00000000-0005-0000-0000-0000D42F0000}"/>
    <cellStyle name="Input 2 2 4 2 2 2 3" xfId="19035" xr:uid="{00000000-0005-0000-0000-0000D52F0000}"/>
    <cellStyle name="Input 2 2 4 2 2 3" xfId="19036" xr:uid="{00000000-0005-0000-0000-0000D62F0000}"/>
    <cellStyle name="Input 2 2 4 2 3" xfId="19037" xr:uid="{00000000-0005-0000-0000-0000D72F0000}"/>
    <cellStyle name="Input 2 2 4 2 3 2" xfId="18829" xr:uid="{00000000-0005-0000-0000-0000D82F0000}"/>
    <cellStyle name="Input 2 2 4 2 3 2 2" xfId="19038" xr:uid="{00000000-0005-0000-0000-0000D92F0000}"/>
    <cellStyle name="Input 2 2 4 2 4" xfId="14106" xr:uid="{00000000-0005-0000-0000-0000DA2F0000}"/>
    <cellStyle name="Input 2 2 4 3" xfId="19039" xr:uid="{00000000-0005-0000-0000-0000DB2F0000}"/>
    <cellStyle name="Input 2 2 4 3 2" xfId="19042" xr:uid="{00000000-0005-0000-0000-0000DC2F0000}"/>
    <cellStyle name="Input 2 2 4 3 2 2" xfId="19043" xr:uid="{00000000-0005-0000-0000-0000DD2F0000}"/>
    <cellStyle name="Input 2 2 4 3 3" xfId="19044" xr:uid="{00000000-0005-0000-0000-0000DE2F0000}"/>
    <cellStyle name="Input 2 2 4 3 4" xfId="19046" xr:uid="{00000000-0005-0000-0000-0000DF2F0000}"/>
    <cellStyle name="Input 2 2 4 4" xfId="19049" xr:uid="{00000000-0005-0000-0000-0000E02F0000}"/>
    <cellStyle name="Input 2 2 4 4 2" xfId="19051" xr:uid="{00000000-0005-0000-0000-0000E12F0000}"/>
    <cellStyle name="Input 2 2 4 4 2 2" xfId="19052" xr:uid="{00000000-0005-0000-0000-0000E22F0000}"/>
    <cellStyle name="Input 2 2 4 4 3" xfId="19053" xr:uid="{00000000-0005-0000-0000-0000E32F0000}"/>
    <cellStyle name="Input 2 2 4 5" xfId="19055" xr:uid="{00000000-0005-0000-0000-0000E42F0000}"/>
    <cellStyle name="Input 2 2 4 5 2" xfId="19057" xr:uid="{00000000-0005-0000-0000-0000E52F0000}"/>
    <cellStyle name="Input 2 2 4 5 3" xfId="19058" xr:uid="{00000000-0005-0000-0000-0000E62F0000}"/>
    <cellStyle name="Input 2 2 4 6" xfId="19059" xr:uid="{00000000-0005-0000-0000-0000E72F0000}"/>
    <cellStyle name="Input 2 2 4 6 2" xfId="14139" xr:uid="{00000000-0005-0000-0000-0000E82F0000}"/>
    <cellStyle name="Input 2 2 4 6 2 2" xfId="19060" xr:uid="{00000000-0005-0000-0000-0000E92F0000}"/>
    <cellStyle name="Input 2 2 4 6 2 2 2" xfId="19061" xr:uid="{00000000-0005-0000-0000-0000EA2F0000}"/>
    <cellStyle name="Input 2 2 4 6 3" xfId="14141" xr:uid="{00000000-0005-0000-0000-0000EB2F0000}"/>
    <cellStyle name="Input 2 2 4 7" xfId="11076" xr:uid="{00000000-0005-0000-0000-0000EC2F0000}"/>
    <cellStyle name="Input 2 2 4 8" xfId="6560" xr:uid="{00000000-0005-0000-0000-0000ED2F0000}"/>
    <cellStyle name="Input 2 2 4 9" xfId="3674" xr:uid="{00000000-0005-0000-0000-0000EE2F0000}"/>
    <cellStyle name="Input 2 2 5" xfId="11736" xr:uid="{00000000-0005-0000-0000-0000EF2F0000}"/>
    <cellStyle name="Input 2 2 5 2" xfId="11738" xr:uid="{00000000-0005-0000-0000-0000F02F0000}"/>
    <cellStyle name="Input 2 2 5 2 2" xfId="19062" xr:uid="{00000000-0005-0000-0000-0000F12F0000}"/>
    <cellStyle name="Input 2 2 5 2 2 2" xfId="19063" xr:uid="{00000000-0005-0000-0000-0000F22F0000}"/>
    <cellStyle name="Input 2 2 5 2 2 2 2" xfId="19064" xr:uid="{00000000-0005-0000-0000-0000F32F0000}"/>
    <cellStyle name="Input 2 2 5 2 2 2 2 2" xfId="19065" xr:uid="{00000000-0005-0000-0000-0000F42F0000}"/>
    <cellStyle name="Input 2 2 5 2 2 2 2 2 2" xfId="19066" xr:uid="{00000000-0005-0000-0000-0000F52F0000}"/>
    <cellStyle name="Input 2 2 5 2 2 2 3" xfId="19068" xr:uid="{00000000-0005-0000-0000-0000F62F0000}"/>
    <cellStyle name="Input 2 2 5 2 3" xfId="19069" xr:uid="{00000000-0005-0000-0000-0000F72F0000}"/>
    <cellStyle name="Input 2 2 5 2 4" xfId="19070" xr:uid="{00000000-0005-0000-0000-0000F82F0000}"/>
    <cellStyle name="Input 2 2 5 3" xfId="11740" xr:uid="{00000000-0005-0000-0000-0000F92F0000}"/>
    <cellStyle name="Input 2 2 5 3 2" xfId="19072" xr:uid="{00000000-0005-0000-0000-0000FA2F0000}"/>
    <cellStyle name="Input 2 2 5 3 2 2" xfId="19073" xr:uid="{00000000-0005-0000-0000-0000FB2F0000}"/>
    <cellStyle name="Input 2 2 5 3 3" xfId="19074" xr:uid="{00000000-0005-0000-0000-0000FC2F0000}"/>
    <cellStyle name="Input 2 2 5 3 4" xfId="19075" xr:uid="{00000000-0005-0000-0000-0000FD2F0000}"/>
    <cellStyle name="Input 2 2 5 4" xfId="11744" xr:uid="{00000000-0005-0000-0000-0000FE2F0000}"/>
    <cellStyle name="Input 2 2 5 4 2" xfId="19076" xr:uid="{00000000-0005-0000-0000-0000FF2F0000}"/>
    <cellStyle name="Input 2 2 5 4 3" xfId="19077" xr:uid="{00000000-0005-0000-0000-000000300000}"/>
    <cellStyle name="Input 2 2 5 5" xfId="19079" xr:uid="{00000000-0005-0000-0000-000001300000}"/>
    <cellStyle name="Input 2 2 5 5 2" xfId="19081" xr:uid="{00000000-0005-0000-0000-000002300000}"/>
    <cellStyle name="Input 2 2 5 5 3" xfId="19082" xr:uid="{00000000-0005-0000-0000-000003300000}"/>
    <cellStyle name="Input 2 2 5 6" xfId="19083" xr:uid="{00000000-0005-0000-0000-000004300000}"/>
    <cellStyle name="Input 2 2 5 6 2" xfId="19084" xr:uid="{00000000-0005-0000-0000-000005300000}"/>
    <cellStyle name="Input 2 2 5 6 2 2" xfId="19085" xr:uid="{00000000-0005-0000-0000-000006300000}"/>
    <cellStyle name="Input 2 2 5 7" xfId="11082" xr:uid="{00000000-0005-0000-0000-000007300000}"/>
    <cellStyle name="Input 2 2 5 8" xfId="1898" xr:uid="{00000000-0005-0000-0000-000008300000}"/>
    <cellStyle name="Input 2 2 6" xfId="11748" xr:uid="{00000000-0005-0000-0000-000009300000}"/>
    <cellStyle name="Input 2 2 6 2" xfId="11750" xr:uid="{00000000-0005-0000-0000-00000A300000}"/>
    <cellStyle name="Input 2 2 6 2 2" xfId="14149" xr:uid="{00000000-0005-0000-0000-00000B300000}"/>
    <cellStyle name="Input 2 2 6 2 3" xfId="14151" xr:uid="{00000000-0005-0000-0000-00000C300000}"/>
    <cellStyle name="Input 2 2 6 2 4" xfId="19086" xr:uid="{00000000-0005-0000-0000-00000D300000}"/>
    <cellStyle name="Input 2 2 6 3" xfId="11752" xr:uid="{00000000-0005-0000-0000-00000E300000}"/>
    <cellStyle name="Input 2 2 6 3 2" xfId="19087" xr:uid="{00000000-0005-0000-0000-00000F300000}"/>
    <cellStyle name="Input 2 2 6 3 3" xfId="19088" xr:uid="{00000000-0005-0000-0000-000010300000}"/>
    <cellStyle name="Input 2 2 6 3 4" xfId="19089" xr:uid="{00000000-0005-0000-0000-000011300000}"/>
    <cellStyle name="Input 2 2 6 4" xfId="11755" xr:uid="{00000000-0005-0000-0000-000012300000}"/>
    <cellStyle name="Input 2 2 6 4 2" xfId="19090" xr:uid="{00000000-0005-0000-0000-000013300000}"/>
    <cellStyle name="Input 2 2 6 4 3" xfId="19091" xr:uid="{00000000-0005-0000-0000-000014300000}"/>
    <cellStyle name="Input 2 2 6 5" xfId="19092" xr:uid="{00000000-0005-0000-0000-000015300000}"/>
    <cellStyle name="Input 2 2 6 5 2" xfId="19093" xr:uid="{00000000-0005-0000-0000-000016300000}"/>
    <cellStyle name="Input 2 2 6 5 3" xfId="19094" xr:uid="{00000000-0005-0000-0000-000017300000}"/>
    <cellStyle name="Input 2 2 6 6" xfId="8843" xr:uid="{00000000-0005-0000-0000-000018300000}"/>
    <cellStyle name="Input 2 2 6 6 2" xfId="8846" xr:uid="{00000000-0005-0000-0000-000019300000}"/>
    <cellStyle name="Input 2 2 6 6 2 2" xfId="3080" xr:uid="{00000000-0005-0000-0000-00001A300000}"/>
    <cellStyle name="Input 2 2 6 7" xfId="8855" xr:uid="{00000000-0005-0000-0000-00001B300000}"/>
    <cellStyle name="Input 2 2 6 8" xfId="1938" xr:uid="{00000000-0005-0000-0000-00001C300000}"/>
    <cellStyle name="Input 2 2 7" xfId="11759" xr:uid="{00000000-0005-0000-0000-00001D300000}"/>
    <cellStyle name="Input 2 2 7 2" xfId="11761" xr:uid="{00000000-0005-0000-0000-00001E300000}"/>
    <cellStyle name="Input 2 2 7 2 2" xfId="1452" xr:uid="{00000000-0005-0000-0000-00001F300000}"/>
    <cellStyle name="Input 2 2 7 2 3" xfId="1458" xr:uid="{00000000-0005-0000-0000-000020300000}"/>
    <cellStyle name="Input 2 2 7 2 4" xfId="1460" xr:uid="{00000000-0005-0000-0000-000021300000}"/>
    <cellStyle name="Input 2 2 7 3" xfId="11762" xr:uid="{00000000-0005-0000-0000-000022300000}"/>
    <cellStyle name="Input 2 2 7 3 2" xfId="1462" xr:uid="{00000000-0005-0000-0000-000023300000}"/>
    <cellStyle name="Input 2 2 7 3 3" xfId="1533" xr:uid="{00000000-0005-0000-0000-000024300000}"/>
    <cellStyle name="Input 2 2 7 3 4" xfId="1539" xr:uid="{00000000-0005-0000-0000-000025300000}"/>
    <cellStyle name="Input 2 2 7 4" xfId="19095" xr:uid="{00000000-0005-0000-0000-000026300000}"/>
    <cellStyle name="Input 2 2 7 4 2" xfId="1629" xr:uid="{00000000-0005-0000-0000-000027300000}"/>
    <cellStyle name="Input 2 2 7 4 3" xfId="1633" xr:uid="{00000000-0005-0000-0000-000028300000}"/>
    <cellStyle name="Input 2 2 7 5" xfId="19097" xr:uid="{00000000-0005-0000-0000-000029300000}"/>
    <cellStyle name="Input 2 2 7 5 2" xfId="1468" xr:uid="{00000000-0005-0000-0000-00002A300000}"/>
    <cellStyle name="Input 2 2 7 5 3" xfId="1495" xr:uid="{00000000-0005-0000-0000-00002B300000}"/>
    <cellStyle name="Input 2 2 7 6" xfId="19098" xr:uid="{00000000-0005-0000-0000-00002C300000}"/>
    <cellStyle name="Input 2 2 7 6 2" xfId="19099" xr:uid="{00000000-0005-0000-0000-00002D300000}"/>
    <cellStyle name="Input 2 2 7 6 2 2" xfId="19100" xr:uid="{00000000-0005-0000-0000-00002E300000}"/>
    <cellStyle name="Input 2 2 7 7" xfId="11086" xr:uid="{00000000-0005-0000-0000-00002F300000}"/>
    <cellStyle name="Input 2 2 7 8" xfId="6568" xr:uid="{00000000-0005-0000-0000-000030300000}"/>
    <cellStyle name="Input 2 2 8" xfId="11766" xr:uid="{00000000-0005-0000-0000-000031300000}"/>
    <cellStyle name="Input 2 2 8 2" xfId="11768" xr:uid="{00000000-0005-0000-0000-000032300000}"/>
    <cellStyle name="Input 2 2 8 2 2" xfId="19101" xr:uid="{00000000-0005-0000-0000-000033300000}"/>
    <cellStyle name="Input 2 2 8 2 3" xfId="19102" xr:uid="{00000000-0005-0000-0000-000034300000}"/>
    <cellStyle name="Input 2 2 8 2 4" xfId="19103" xr:uid="{00000000-0005-0000-0000-000035300000}"/>
    <cellStyle name="Input 2 2 8 3" xfId="11770" xr:uid="{00000000-0005-0000-0000-000036300000}"/>
    <cellStyle name="Input 2 2 8 3 2" xfId="19104" xr:uid="{00000000-0005-0000-0000-000037300000}"/>
    <cellStyle name="Input 2 2 8 3 3" xfId="19105" xr:uid="{00000000-0005-0000-0000-000038300000}"/>
    <cellStyle name="Input 2 2 8 3 4" xfId="19106" xr:uid="{00000000-0005-0000-0000-000039300000}"/>
    <cellStyle name="Input 2 2 8 4" xfId="19107" xr:uid="{00000000-0005-0000-0000-00003A300000}"/>
    <cellStyle name="Input 2 2 8 4 2" xfId="19108" xr:uid="{00000000-0005-0000-0000-00003B300000}"/>
    <cellStyle name="Input 2 2 8 4 3" xfId="19109" xr:uid="{00000000-0005-0000-0000-00003C300000}"/>
    <cellStyle name="Input 2 2 8 5" xfId="19110" xr:uid="{00000000-0005-0000-0000-00003D300000}"/>
    <cellStyle name="Input 2 2 8 5 2" xfId="19111" xr:uid="{00000000-0005-0000-0000-00003E300000}"/>
    <cellStyle name="Input 2 2 8 5 3" xfId="19112" xr:uid="{00000000-0005-0000-0000-00003F300000}"/>
    <cellStyle name="Input 2 2 8 6" xfId="19113" xr:uid="{00000000-0005-0000-0000-000040300000}"/>
    <cellStyle name="Input 2 2 8 6 2" xfId="19114" xr:uid="{00000000-0005-0000-0000-000041300000}"/>
    <cellStyle name="Input 2 2 8 6 2 2" xfId="19115" xr:uid="{00000000-0005-0000-0000-000042300000}"/>
    <cellStyle name="Input 2 2 8 7" xfId="11090" xr:uid="{00000000-0005-0000-0000-000043300000}"/>
    <cellStyle name="Input 2 2 8 8" xfId="19116" xr:uid="{00000000-0005-0000-0000-000044300000}"/>
    <cellStyle name="Input 2 2 9" xfId="1368" xr:uid="{00000000-0005-0000-0000-000045300000}"/>
    <cellStyle name="Input 2 2 9 2" xfId="822" xr:uid="{00000000-0005-0000-0000-000046300000}"/>
    <cellStyle name="Input 2 2 9 2 2" xfId="1670" xr:uid="{00000000-0005-0000-0000-000047300000}"/>
    <cellStyle name="Input 2 2 9 2 3" xfId="1689" xr:uid="{00000000-0005-0000-0000-000048300000}"/>
    <cellStyle name="Input 2 2 9 2 4" xfId="1691" xr:uid="{00000000-0005-0000-0000-000049300000}"/>
    <cellStyle name="Input 2 2 9 3" xfId="828" xr:uid="{00000000-0005-0000-0000-00004A300000}"/>
    <cellStyle name="Input 2 2 9 3 2" xfId="19117" xr:uid="{00000000-0005-0000-0000-00004B300000}"/>
    <cellStyle name="Input 2 2 9 3 3" xfId="19118" xr:uid="{00000000-0005-0000-0000-00004C300000}"/>
    <cellStyle name="Input 2 2 9 3 4" xfId="19120" xr:uid="{00000000-0005-0000-0000-00004D300000}"/>
    <cellStyle name="Input 2 2 9 4" xfId="1620" xr:uid="{00000000-0005-0000-0000-00004E300000}"/>
    <cellStyle name="Input 2 2 9 4 2" xfId="1701" xr:uid="{00000000-0005-0000-0000-00004F300000}"/>
    <cellStyle name="Input 2 2 9 4 3" xfId="1710" xr:uid="{00000000-0005-0000-0000-000050300000}"/>
    <cellStyle name="Input 2 2 9 5" xfId="1712" xr:uid="{00000000-0005-0000-0000-000051300000}"/>
    <cellStyle name="Input 2 2 9 5 2" xfId="19122" xr:uid="{00000000-0005-0000-0000-000052300000}"/>
    <cellStyle name="Input 2 2 9 5 3" xfId="19123" xr:uid="{00000000-0005-0000-0000-000053300000}"/>
    <cellStyle name="Input 2 2 9 6" xfId="1714" xr:uid="{00000000-0005-0000-0000-000054300000}"/>
    <cellStyle name="Input 2 2 9 6 2" xfId="19124" xr:uid="{00000000-0005-0000-0000-000055300000}"/>
    <cellStyle name="Input 2 2 9 6 2 2" xfId="19125" xr:uid="{00000000-0005-0000-0000-000056300000}"/>
    <cellStyle name="Input 2 2 9 7" xfId="1716" xr:uid="{00000000-0005-0000-0000-000057300000}"/>
    <cellStyle name="Input 2 2 9 8" xfId="1718" xr:uid="{00000000-0005-0000-0000-000058300000}"/>
    <cellStyle name="Input 2 20" xfId="17699" xr:uid="{00000000-0005-0000-0000-000059300000}"/>
    <cellStyle name="Input 2 20 2" xfId="17720" xr:uid="{00000000-0005-0000-0000-00005A300000}"/>
    <cellStyle name="Input 2 20 2 2" xfId="17723" xr:uid="{00000000-0005-0000-0000-00005B300000}"/>
    <cellStyle name="Input 2 20 2 3" xfId="17733" xr:uid="{00000000-0005-0000-0000-00005C300000}"/>
    <cellStyle name="Input 2 20 2 4" xfId="17745" xr:uid="{00000000-0005-0000-0000-00005D300000}"/>
    <cellStyle name="Input 2 20 3" xfId="17764" xr:uid="{00000000-0005-0000-0000-00005E300000}"/>
    <cellStyle name="Input 2 20 3 2" xfId="17766" xr:uid="{00000000-0005-0000-0000-00005F300000}"/>
    <cellStyle name="Input 2 20 3 3" xfId="17769" xr:uid="{00000000-0005-0000-0000-000060300000}"/>
    <cellStyle name="Input 2 20 3 4" xfId="17774" xr:uid="{00000000-0005-0000-0000-000061300000}"/>
    <cellStyle name="Input 2 20 4" xfId="17788" xr:uid="{00000000-0005-0000-0000-000062300000}"/>
    <cellStyle name="Input 2 20 4 2" xfId="17791" xr:uid="{00000000-0005-0000-0000-000063300000}"/>
    <cellStyle name="Input 2 20 4 3" xfId="17799" xr:uid="{00000000-0005-0000-0000-000064300000}"/>
    <cellStyle name="Input 2 20 5" xfId="17810" xr:uid="{00000000-0005-0000-0000-000065300000}"/>
    <cellStyle name="Input 2 20 5 2" xfId="17814" xr:uid="{00000000-0005-0000-0000-000066300000}"/>
    <cellStyle name="Input 2 20 5 3" xfId="17822" xr:uid="{00000000-0005-0000-0000-000067300000}"/>
    <cellStyle name="Input 2 20 6" xfId="17848" xr:uid="{00000000-0005-0000-0000-000068300000}"/>
    <cellStyle name="Input 2 20 7" xfId="13259" xr:uid="{00000000-0005-0000-0000-000069300000}"/>
    <cellStyle name="Input 2 20 8" xfId="13265" xr:uid="{00000000-0005-0000-0000-00006A300000}"/>
    <cellStyle name="Input 2 21" xfId="17922" xr:uid="{00000000-0005-0000-0000-00006B300000}"/>
    <cellStyle name="Input 2 21 2" xfId="17941" xr:uid="{00000000-0005-0000-0000-00006C300000}"/>
    <cellStyle name="Input 2 21 2 2" xfId="17944" xr:uid="{00000000-0005-0000-0000-00006D300000}"/>
    <cellStyle name="Input 2 21 2 3" xfId="17953" xr:uid="{00000000-0005-0000-0000-00006E300000}"/>
    <cellStyle name="Input 2 21 2 4" xfId="17959" xr:uid="{00000000-0005-0000-0000-00006F300000}"/>
    <cellStyle name="Input 2 21 3" xfId="17970" xr:uid="{00000000-0005-0000-0000-000070300000}"/>
    <cellStyle name="Input 2 21 3 2" xfId="17972" xr:uid="{00000000-0005-0000-0000-000071300000}"/>
    <cellStyle name="Input 2 21 3 3" xfId="17977" xr:uid="{00000000-0005-0000-0000-000072300000}"/>
    <cellStyle name="Input 2 21 3 4" xfId="17983" xr:uid="{00000000-0005-0000-0000-000073300000}"/>
    <cellStyle name="Input 2 21 4" xfId="17997" xr:uid="{00000000-0005-0000-0000-000074300000}"/>
    <cellStyle name="Input 2 21 4 2" xfId="18000" xr:uid="{00000000-0005-0000-0000-000075300000}"/>
    <cellStyle name="Input 2 21 4 3" xfId="18007" xr:uid="{00000000-0005-0000-0000-000076300000}"/>
    <cellStyle name="Input 2 21 5" xfId="18028" xr:uid="{00000000-0005-0000-0000-000077300000}"/>
    <cellStyle name="Input 2 21 5 2" xfId="18033" xr:uid="{00000000-0005-0000-0000-000078300000}"/>
    <cellStyle name="Input 2 21 5 3" xfId="18040" xr:uid="{00000000-0005-0000-0000-000079300000}"/>
    <cellStyle name="Input 2 21 6" xfId="18065" xr:uid="{00000000-0005-0000-0000-00007A300000}"/>
    <cellStyle name="Input 2 21 7" xfId="18110" xr:uid="{00000000-0005-0000-0000-00007B300000}"/>
    <cellStyle name="Input 2 21 8" xfId="18140" xr:uid="{00000000-0005-0000-0000-00007C300000}"/>
    <cellStyle name="Input 2 22" xfId="18208" xr:uid="{00000000-0005-0000-0000-00007D300000}"/>
    <cellStyle name="Input 2 22 2" xfId="18210" xr:uid="{00000000-0005-0000-0000-00007E300000}"/>
    <cellStyle name="Input 2 22 2 2" xfId="18212" xr:uid="{00000000-0005-0000-0000-00007F300000}"/>
    <cellStyle name="Input 2 22 2 3" xfId="18214" xr:uid="{00000000-0005-0000-0000-000080300000}"/>
    <cellStyle name="Input 2 22 2 4" xfId="18216" xr:uid="{00000000-0005-0000-0000-000081300000}"/>
    <cellStyle name="Input 2 22 3" xfId="18218" xr:uid="{00000000-0005-0000-0000-000082300000}"/>
    <cellStyle name="Input 2 22 3 2" xfId="18221" xr:uid="{00000000-0005-0000-0000-000083300000}"/>
    <cellStyle name="Input 2 22 3 3" xfId="18223" xr:uid="{00000000-0005-0000-0000-000084300000}"/>
    <cellStyle name="Input 2 22 3 4" xfId="18225" xr:uid="{00000000-0005-0000-0000-000085300000}"/>
    <cellStyle name="Input 2 22 4" xfId="18227" xr:uid="{00000000-0005-0000-0000-000086300000}"/>
    <cellStyle name="Input 2 22 4 2" xfId="18230" xr:uid="{00000000-0005-0000-0000-000087300000}"/>
    <cellStyle name="Input 2 22 4 3" xfId="18233" xr:uid="{00000000-0005-0000-0000-000088300000}"/>
    <cellStyle name="Input 2 22 5" xfId="18236" xr:uid="{00000000-0005-0000-0000-000089300000}"/>
    <cellStyle name="Input 2 22 5 2" xfId="18241" xr:uid="{00000000-0005-0000-0000-00008A300000}"/>
    <cellStyle name="Input 2 22 5 3" xfId="18244" xr:uid="{00000000-0005-0000-0000-00008B300000}"/>
    <cellStyle name="Input 2 22 6" xfId="18248" xr:uid="{00000000-0005-0000-0000-00008C300000}"/>
    <cellStyle name="Input 2 22 7" xfId="18254" xr:uid="{00000000-0005-0000-0000-00008D300000}"/>
    <cellStyle name="Input 2 22 8" xfId="18259" xr:uid="{00000000-0005-0000-0000-00008E300000}"/>
    <cellStyle name="Input 2 23" xfId="18262" xr:uid="{00000000-0005-0000-0000-00008F300000}"/>
    <cellStyle name="Input 2 23 2" xfId="18264" xr:uid="{00000000-0005-0000-0000-000090300000}"/>
    <cellStyle name="Input 2 23 2 2" xfId="18266" xr:uid="{00000000-0005-0000-0000-000091300000}"/>
    <cellStyle name="Input 2 23 2 3" xfId="18269" xr:uid="{00000000-0005-0000-0000-000092300000}"/>
    <cellStyle name="Input 2 23 2 4" xfId="18272" xr:uid="{00000000-0005-0000-0000-000093300000}"/>
    <cellStyle name="Input 2 23 3" xfId="18275" xr:uid="{00000000-0005-0000-0000-000094300000}"/>
    <cellStyle name="Input 2 23 3 2" xfId="18277" xr:uid="{00000000-0005-0000-0000-000095300000}"/>
    <cellStyle name="Input 2 23 3 3" xfId="18279" xr:uid="{00000000-0005-0000-0000-000096300000}"/>
    <cellStyle name="Input 2 23 3 4" xfId="18281" xr:uid="{00000000-0005-0000-0000-000097300000}"/>
    <cellStyle name="Input 2 23 4" xfId="18283" xr:uid="{00000000-0005-0000-0000-000098300000}"/>
    <cellStyle name="Input 2 23 4 2" xfId="14071" xr:uid="{00000000-0005-0000-0000-000099300000}"/>
    <cellStyle name="Input 2 23 4 3" xfId="14075" xr:uid="{00000000-0005-0000-0000-00009A300000}"/>
    <cellStyle name="Input 2 23 5" xfId="18286" xr:uid="{00000000-0005-0000-0000-00009B300000}"/>
    <cellStyle name="Input 2 23 5 2" xfId="18290" xr:uid="{00000000-0005-0000-0000-00009C300000}"/>
    <cellStyle name="Input 2 23 5 3" xfId="18293" xr:uid="{00000000-0005-0000-0000-00009D300000}"/>
    <cellStyle name="Input 2 23 6" xfId="18296" xr:uid="{00000000-0005-0000-0000-00009E300000}"/>
    <cellStyle name="Input 2 23 7" xfId="18301" xr:uid="{00000000-0005-0000-0000-00009F300000}"/>
    <cellStyle name="Input 2 23 8" xfId="18305" xr:uid="{00000000-0005-0000-0000-0000A0300000}"/>
    <cellStyle name="Input 2 24" xfId="18309" xr:uid="{00000000-0005-0000-0000-0000A1300000}"/>
    <cellStyle name="Input 2 24 2" xfId="18311" xr:uid="{00000000-0005-0000-0000-0000A2300000}"/>
    <cellStyle name="Input 2 24 2 2" xfId="18314" xr:uid="{00000000-0005-0000-0000-0000A3300000}"/>
    <cellStyle name="Input 2 24 2 3" xfId="18317" xr:uid="{00000000-0005-0000-0000-0000A4300000}"/>
    <cellStyle name="Input 2 24 2 4" xfId="18320" xr:uid="{00000000-0005-0000-0000-0000A5300000}"/>
    <cellStyle name="Input 2 24 3" xfId="18322" xr:uid="{00000000-0005-0000-0000-0000A6300000}"/>
    <cellStyle name="Input 2 24 3 2" xfId="18325" xr:uid="{00000000-0005-0000-0000-0000A7300000}"/>
    <cellStyle name="Input 2 24 3 3" xfId="18328" xr:uid="{00000000-0005-0000-0000-0000A8300000}"/>
    <cellStyle name="Input 2 24 3 4" xfId="18332" xr:uid="{00000000-0005-0000-0000-0000A9300000}"/>
    <cellStyle name="Input 2 24 4" xfId="18334" xr:uid="{00000000-0005-0000-0000-0000AA300000}"/>
    <cellStyle name="Input 2 24 4 2" xfId="18337" xr:uid="{00000000-0005-0000-0000-0000AB300000}"/>
    <cellStyle name="Input 2 24 4 3" xfId="18340" xr:uid="{00000000-0005-0000-0000-0000AC300000}"/>
    <cellStyle name="Input 2 24 5" xfId="18342" xr:uid="{00000000-0005-0000-0000-0000AD300000}"/>
    <cellStyle name="Input 2 24 5 2" xfId="18346" xr:uid="{00000000-0005-0000-0000-0000AE300000}"/>
    <cellStyle name="Input 2 24 5 3" xfId="18349" xr:uid="{00000000-0005-0000-0000-0000AF300000}"/>
    <cellStyle name="Input 2 24 6" xfId="18351" xr:uid="{00000000-0005-0000-0000-0000B0300000}"/>
    <cellStyle name="Input 2 24 7" xfId="18355" xr:uid="{00000000-0005-0000-0000-0000B1300000}"/>
    <cellStyle name="Input 2 24 8" xfId="18358" xr:uid="{00000000-0005-0000-0000-0000B2300000}"/>
    <cellStyle name="Input 2 25" xfId="19126" xr:uid="{00000000-0005-0000-0000-0000B3300000}"/>
    <cellStyle name="Input 2 25 2" xfId="19128" xr:uid="{00000000-0005-0000-0000-0000B4300000}"/>
    <cellStyle name="Input 2 25 2 2" xfId="18855" xr:uid="{00000000-0005-0000-0000-0000B5300000}"/>
    <cellStyle name="Input 2 25 2 3" xfId="18859" xr:uid="{00000000-0005-0000-0000-0000B6300000}"/>
    <cellStyle name="Input 2 25 2 4" xfId="18863" xr:uid="{00000000-0005-0000-0000-0000B7300000}"/>
    <cellStyle name="Input 2 25 3" xfId="19131" xr:uid="{00000000-0005-0000-0000-0000B8300000}"/>
    <cellStyle name="Input 2 25 3 2" xfId="18882" xr:uid="{00000000-0005-0000-0000-0000B9300000}"/>
    <cellStyle name="Input 2 25 3 3" xfId="18886" xr:uid="{00000000-0005-0000-0000-0000BA300000}"/>
    <cellStyle name="Input 2 25 3 4" xfId="18890" xr:uid="{00000000-0005-0000-0000-0000BB300000}"/>
    <cellStyle name="Input 2 25 4" xfId="19133" xr:uid="{00000000-0005-0000-0000-0000BC300000}"/>
    <cellStyle name="Input 2 25 4 2" xfId="18903" xr:uid="{00000000-0005-0000-0000-0000BD300000}"/>
    <cellStyle name="Input 2 25 4 3" xfId="18909" xr:uid="{00000000-0005-0000-0000-0000BE300000}"/>
    <cellStyle name="Input 2 25 5" xfId="19134" xr:uid="{00000000-0005-0000-0000-0000BF300000}"/>
    <cellStyle name="Input 2 25 5 2" xfId="18929" xr:uid="{00000000-0005-0000-0000-0000C0300000}"/>
    <cellStyle name="Input 2 25 5 3" xfId="18935" xr:uid="{00000000-0005-0000-0000-0000C1300000}"/>
    <cellStyle name="Input 2 25 6" xfId="19135" xr:uid="{00000000-0005-0000-0000-0000C2300000}"/>
    <cellStyle name="Input 2 25 7" xfId="19136" xr:uid="{00000000-0005-0000-0000-0000C3300000}"/>
    <cellStyle name="Input 2 25 8" xfId="19137" xr:uid="{00000000-0005-0000-0000-0000C4300000}"/>
    <cellStyle name="Input 2 26" xfId="19139" xr:uid="{00000000-0005-0000-0000-0000C5300000}"/>
    <cellStyle name="Input 2 26 2" xfId="19142" xr:uid="{00000000-0005-0000-0000-0000C6300000}"/>
    <cellStyle name="Input 2 26 3" xfId="19145" xr:uid="{00000000-0005-0000-0000-0000C7300000}"/>
    <cellStyle name="Input 2 26 4" xfId="19146" xr:uid="{00000000-0005-0000-0000-0000C8300000}"/>
    <cellStyle name="Input 2 26 5" xfId="19147" xr:uid="{00000000-0005-0000-0000-0000C9300000}"/>
    <cellStyle name="Input 2 27" xfId="19148" xr:uid="{00000000-0005-0000-0000-0000CA300000}"/>
    <cellStyle name="Input 2 27 2" xfId="19151" xr:uid="{00000000-0005-0000-0000-0000CB300000}"/>
    <cellStyle name="Input 2 27 3" xfId="19155" xr:uid="{00000000-0005-0000-0000-0000CC300000}"/>
    <cellStyle name="Input 2 27 4" xfId="19158" xr:uid="{00000000-0005-0000-0000-0000CD300000}"/>
    <cellStyle name="Input 2 27 5" xfId="19160" xr:uid="{00000000-0005-0000-0000-0000CE300000}"/>
    <cellStyle name="Input 2 28" xfId="19161" xr:uid="{00000000-0005-0000-0000-0000CF300000}"/>
    <cellStyle name="Input 2 28 2" xfId="19163" xr:uid="{00000000-0005-0000-0000-0000D0300000}"/>
    <cellStyle name="Input 2 28 3" xfId="19165" xr:uid="{00000000-0005-0000-0000-0000D1300000}"/>
    <cellStyle name="Input 2 28 4" xfId="19167" xr:uid="{00000000-0005-0000-0000-0000D2300000}"/>
    <cellStyle name="Input 2 29" xfId="19168" xr:uid="{00000000-0005-0000-0000-0000D3300000}"/>
    <cellStyle name="Input 2 29 2" xfId="19170" xr:uid="{00000000-0005-0000-0000-0000D4300000}"/>
    <cellStyle name="Input 2 29 3" xfId="19171" xr:uid="{00000000-0005-0000-0000-0000D5300000}"/>
    <cellStyle name="Input 2 29 4" xfId="19172" xr:uid="{00000000-0005-0000-0000-0000D6300000}"/>
    <cellStyle name="Input 2 3" xfId="19173" xr:uid="{00000000-0005-0000-0000-0000D7300000}"/>
    <cellStyle name="Input 2 3 10" xfId="19175" xr:uid="{00000000-0005-0000-0000-0000D8300000}"/>
    <cellStyle name="Input 2 3 10 2" xfId="19176" xr:uid="{00000000-0005-0000-0000-0000D9300000}"/>
    <cellStyle name="Input 2 3 10 2 2" xfId="19178" xr:uid="{00000000-0005-0000-0000-0000DA300000}"/>
    <cellStyle name="Input 2 3 10 2 3" xfId="19179" xr:uid="{00000000-0005-0000-0000-0000DB300000}"/>
    <cellStyle name="Input 2 3 10 2 4" xfId="19180" xr:uid="{00000000-0005-0000-0000-0000DC300000}"/>
    <cellStyle name="Input 2 3 10 3" xfId="19182" xr:uid="{00000000-0005-0000-0000-0000DD300000}"/>
    <cellStyle name="Input 2 3 10 3 2" xfId="19183" xr:uid="{00000000-0005-0000-0000-0000DE300000}"/>
    <cellStyle name="Input 2 3 10 3 3" xfId="19184" xr:uid="{00000000-0005-0000-0000-0000DF300000}"/>
    <cellStyle name="Input 2 3 10 3 4" xfId="19185" xr:uid="{00000000-0005-0000-0000-0000E0300000}"/>
    <cellStyle name="Input 2 3 10 4" xfId="4088" xr:uid="{00000000-0005-0000-0000-0000E1300000}"/>
    <cellStyle name="Input 2 3 10 4 2" xfId="19187" xr:uid="{00000000-0005-0000-0000-0000E2300000}"/>
    <cellStyle name="Input 2 3 10 4 3" xfId="19188" xr:uid="{00000000-0005-0000-0000-0000E3300000}"/>
    <cellStyle name="Input 2 3 10 5" xfId="4090" xr:uid="{00000000-0005-0000-0000-0000E4300000}"/>
    <cellStyle name="Input 2 3 10 5 2" xfId="19189" xr:uid="{00000000-0005-0000-0000-0000E5300000}"/>
    <cellStyle name="Input 2 3 10 5 3" xfId="19190" xr:uid="{00000000-0005-0000-0000-0000E6300000}"/>
    <cellStyle name="Input 2 3 10 6" xfId="4097" xr:uid="{00000000-0005-0000-0000-0000E7300000}"/>
    <cellStyle name="Input 2 3 10 7" xfId="4968" xr:uid="{00000000-0005-0000-0000-0000E8300000}"/>
    <cellStyle name="Input 2 3 10 8" xfId="4991" xr:uid="{00000000-0005-0000-0000-0000E9300000}"/>
    <cellStyle name="Input 2 3 11" xfId="19191" xr:uid="{00000000-0005-0000-0000-0000EA300000}"/>
    <cellStyle name="Input 2 3 11 2" xfId="19192" xr:uid="{00000000-0005-0000-0000-0000EB300000}"/>
    <cellStyle name="Input 2 3 11 2 2" xfId="19194" xr:uid="{00000000-0005-0000-0000-0000EC300000}"/>
    <cellStyle name="Input 2 3 11 2 3" xfId="19195" xr:uid="{00000000-0005-0000-0000-0000ED300000}"/>
    <cellStyle name="Input 2 3 11 2 4" xfId="19196" xr:uid="{00000000-0005-0000-0000-0000EE300000}"/>
    <cellStyle name="Input 2 3 11 3" xfId="19197" xr:uid="{00000000-0005-0000-0000-0000EF300000}"/>
    <cellStyle name="Input 2 3 11 3 2" xfId="19198" xr:uid="{00000000-0005-0000-0000-0000F0300000}"/>
    <cellStyle name="Input 2 3 11 3 3" xfId="19199" xr:uid="{00000000-0005-0000-0000-0000F1300000}"/>
    <cellStyle name="Input 2 3 11 3 4" xfId="19200" xr:uid="{00000000-0005-0000-0000-0000F2300000}"/>
    <cellStyle name="Input 2 3 11 4" xfId="4105" xr:uid="{00000000-0005-0000-0000-0000F3300000}"/>
    <cellStyle name="Input 2 3 11 4 2" xfId="19201" xr:uid="{00000000-0005-0000-0000-0000F4300000}"/>
    <cellStyle name="Input 2 3 11 4 3" xfId="19202" xr:uid="{00000000-0005-0000-0000-0000F5300000}"/>
    <cellStyle name="Input 2 3 11 5" xfId="4108" xr:uid="{00000000-0005-0000-0000-0000F6300000}"/>
    <cellStyle name="Input 2 3 11 5 2" xfId="19203" xr:uid="{00000000-0005-0000-0000-0000F7300000}"/>
    <cellStyle name="Input 2 3 11 5 3" xfId="19204" xr:uid="{00000000-0005-0000-0000-0000F8300000}"/>
    <cellStyle name="Input 2 3 11 6" xfId="4113" xr:uid="{00000000-0005-0000-0000-0000F9300000}"/>
    <cellStyle name="Input 2 3 11 7" xfId="5021" xr:uid="{00000000-0005-0000-0000-0000FA300000}"/>
    <cellStyle name="Input 2 3 11 8" xfId="5025" xr:uid="{00000000-0005-0000-0000-0000FB300000}"/>
    <cellStyle name="Input 2 3 12" xfId="19205" xr:uid="{00000000-0005-0000-0000-0000FC300000}"/>
    <cellStyle name="Input 2 3 12 2" xfId="14041" xr:uid="{00000000-0005-0000-0000-0000FD300000}"/>
    <cellStyle name="Input 2 3 12 2 2" xfId="14043" xr:uid="{00000000-0005-0000-0000-0000FE300000}"/>
    <cellStyle name="Input 2 3 12 2 3" xfId="14045" xr:uid="{00000000-0005-0000-0000-0000FF300000}"/>
    <cellStyle name="Input 2 3 12 2 4" xfId="14047" xr:uid="{00000000-0005-0000-0000-000000310000}"/>
    <cellStyle name="Input 2 3 12 3" xfId="14049" xr:uid="{00000000-0005-0000-0000-000001310000}"/>
    <cellStyle name="Input 2 3 12 3 2" xfId="14051" xr:uid="{00000000-0005-0000-0000-000002310000}"/>
    <cellStyle name="Input 2 3 12 3 3" xfId="19206" xr:uid="{00000000-0005-0000-0000-000003310000}"/>
    <cellStyle name="Input 2 3 12 3 4" xfId="19207" xr:uid="{00000000-0005-0000-0000-000004310000}"/>
    <cellStyle name="Input 2 3 12 4" xfId="4120" xr:uid="{00000000-0005-0000-0000-000005310000}"/>
    <cellStyle name="Input 2 3 12 4 2" xfId="14053" xr:uid="{00000000-0005-0000-0000-000006310000}"/>
    <cellStyle name="Input 2 3 12 4 3" xfId="14055" xr:uid="{00000000-0005-0000-0000-000007310000}"/>
    <cellStyle name="Input 2 3 12 5" xfId="4123" xr:uid="{00000000-0005-0000-0000-000008310000}"/>
    <cellStyle name="Input 2 3 12 5 2" xfId="14057" xr:uid="{00000000-0005-0000-0000-000009310000}"/>
    <cellStyle name="Input 2 3 12 5 3" xfId="14059" xr:uid="{00000000-0005-0000-0000-00000A310000}"/>
    <cellStyle name="Input 2 3 12 6" xfId="14061" xr:uid="{00000000-0005-0000-0000-00000B310000}"/>
    <cellStyle name="Input 2 3 12 7" xfId="5032" xr:uid="{00000000-0005-0000-0000-00000C310000}"/>
    <cellStyle name="Input 2 3 12 8" xfId="5035" xr:uid="{00000000-0005-0000-0000-00000D310000}"/>
    <cellStyle name="Input 2 3 13" xfId="18905" xr:uid="{00000000-0005-0000-0000-00000E310000}"/>
    <cellStyle name="Input 2 3 13 2" xfId="686" xr:uid="{00000000-0005-0000-0000-00000F310000}"/>
    <cellStyle name="Input 2 3 13 3" xfId="691" xr:uid="{00000000-0005-0000-0000-000010310000}"/>
    <cellStyle name="Input 2 3 13 4" xfId="695" xr:uid="{00000000-0005-0000-0000-000011310000}"/>
    <cellStyle name="Input 2 3 13 5" xfId="4127" xr:uid="{00000000-0005-0000-0000-000012310000}"/>
    <cellStyle name="Input 2 3 14" xfId="18907" xr:uid="{00000000-0005-0000-0000-000013310000}"/>
    <cellStyle name="Input 2 3 14 2" xfId="19208" xr:uid="{00000000-0005-0000-0000-000014310000}"/>
    <cellStyle name="Input 2 3 14 3" xfId="19210" xr:uid="{00000000-0005-0000-0000-000015310000}"/>
    <cellStyle name="Input 2 3 14 4" xfId="19213" xr:uid="{00000000-0005-0000-0000-000016310000}"/>
    <cellStyle name="Input 2 3 14 5" xfId="19217" xr:uid="{00000000-0005-0000-0000-000017310000}"/>
    <cellStyle name="Input 2 3 15" xfId="19221" xr:uid="{00000000-0005-0000-0000-000018310000}"/>
    <cellStyle name="Input 2 3 15 2" xfId="19223" xr:uid="{00000000-0005-0000-0000-000019310000}"/>
    <cellStyle name="Input 2 3 15 3" xfId="19224" xr:uid="{00000000-0005-0000-0000-00001A310000}"/>
    <cellStyle name="Input 2 3 15 4" xfId="19226" xr:uid="{00000000-0005-0000-0000-00001B310000}"/>
    <cellStyle name="Input 2 3 16" xfId="19228" xr:uid="{00000000-0005-0000-0000-00001C310000}"/>
    <cellStyle name="Input 2 3 16 2" xfId="19230" xr:uid="{00000000-0005-0000-0000-00001D310000}"/>
    <cellStyle name="Input 2 3 16 3" xfId="19232" xr:uid="{00000000-0005-0000-0000-00001E310000}"/>
    <cellStyle name="Input 2 3 16 4" xfId="19235" xr:uid="{00000000-0005-0000-0000-00001F310000}"/>
    <cellStyle name="Input 2 3 17" xfId="14722" xr:uid="{00000000-0005-0000-0000-000020310000}"/>
    <cellStyle name="Input 2 3 17 2" xfId="19237" xr:uid="{00000000-0005-0000-0000-000021310000}"/>
    <cellStyle name="Input 2 3 18" xfId="14726" xr:uid="{00000000-0005-0000-0000-000022310000}"/>
    <cellStyle name="Input 2 3 18 2" xfId="19241" xr:uid="{00000000-0005-0000-0000-000023310000}"/>
    <cellStyle name="Input 2 3 19" xfId="19245" xr:uid="{00000000-0005-0000-0000-000024310000}"/>
    <cellStyle name="Input 2 3 19 2" xfId="19250" xr:uid="{00000000-0005-0000-0000-000025310000}"/>
    <cellStyle name="Input 2 3 2" xfId="4882" xr:uid="{00000000-0005-0000-0000-000026310000}"/>
    <cellStyle name="Input 2 3 2 10" xfId="9374" xr:uid="{00000000-0005-0000-0000-000027310000}"/>
    <cellStyle name="Input 2 3 2 10 2" xfId="9376" xr:uid="{00000000-0005-0000-0000-000028310000}"/>
    <cellStyle name="Input 2 3 2 10 2 2" xfId="19254" xr:uid="{00000000-0005-0000-0000-000029310000}"/>
    <cellStyle name="Input 2 3 2 10 2 3" xfId="19257" xr:uid="{00000000-0005-0000-0000-00002A310000}"/>
    <cellStyle name="Input 2 3 2 10 2 4" xfId="19259" xr:uid="{00000000-0005-0000-0000-00002B310000}"/>
    <cellStyle name="Input 2 3 2 10 3" xfId="5470" xr:uid="{00000000-0005-0000-0000-00002C310000}"/>
    <cellStyle name="Input 2 3 2 10 3 2" xfId="19262" xr:uid="{00000000-0005-0000-0000-00002D310000}"/>
    <cellStyle name="Input 2 3 2 10 3 3" xfId="19265" xr:uid="{00000000-0005-0000-0000-00002E310000}"/>
    <cellStyle name="Input 2 3 2 10 3 4" xfId="19268" xr:uid="{00000000-0005-0000-0000-00002F310000}"/>
    <cellStyle name="Input 2 3 2 10 4" xfId="5472" xr:uid="{00000000-0005-0000-0000-000030310000}"/>
    <cellStyle name="Input 2 3 2 10 4 2" xfId="19270" xr:uid="{00000000-0005-0000-0000-000031310000}"/>
    <cellStyle name="Input 2 3 2 10 4 3" xfId="19273" xr:uid="{00000000-0005-0000-0000-000032310000}"/>
    <cellStyle name="Input 2 3 2 10 5" xfId="19275" xr:uid="{00000000-0005-0000-0000-000033310000}"/>
    <cellStyle name="Input 2 3 2 10 5 2" xfId="19276" xr:uid="{00000000-0005-0000-0000-000034310000}"/>
    <cellStyle name="Input 2 3 2 10 5 3" xfId="19279" xr:uid="{00000000-0005-0000-0000-000035310000}"/>
    <cellStyle name="Input 2 3 2 10 6" xfId="19280" xr:uid="{00000000-0005-0000-0000-000036310000}"/>
    <cellStyle name="Input 2 3 2 10 7" xfId="19281" xr:uid="{00000000-0005-0000-0000-000037310000}"/>
    <cellStyle name="Input 2 3 2 10 8" xfId="19282" xr:uid="{00000000-0005-0000-0000-000038310000}"/>
    <cellStyle name="Input 2 3 2 11" xfId="9378" xr:uid="{00000000-0005-0000-0000-000039310000}"/>
    <cellStyle name="Input 2 3 2 11 2" xfId="19283" xr:uid="{00000000-0005-0000-0000-00003A310000}"/>
    <cellStyle name="Input 2 3 2 11 3" xfId="19284" xr:uid="{00000000-0005-0000-0000-00003B310000}"/>
    <cellStyle name="Input 2 3 2 11 4" xfId="19285" xr:uid="{00000000-0005-0000-0000-00003C310000}"/>
    <cellStyle name="Input 2 3 2 11 5" xfId="19286" xr:uid="{00000000-0005-0000-0000-00003D310000}"/>
    <cellStyle name="Input 2 3 2 12" xfId="9381" xr:uid="{00000000-0005-0000-0000-00003E310000}"/>
    <cellStyle name="Input 2 3 2 12 2" xfId="19287" xr:uid="{00000000-0005-0000-0000-00003F310000}"/>
    <cellStyle name="Input 2 3 2 12 3" xfId="19289" xr:uid="{00000000-0005-0000-0000-000040310000}"/>
    <cellStyle name="Input 2 3 2 12 4" xfId="12798" xr:uid="{00000000-0005-0000-0000-000041310000}"/>
    <cellStyle name="Input 2 3 2 12 5" xfId="12806" xr:uid="{00000000-0005-0000-0000-000042310000}"/>
    <cellStyle name="Input 2 3 2 13" xfId="19291" xr:uid="{00000000-0005-0000-0000-000043310000}"/>
    <cellStyle name="Input 2 3 2 13 2" xfId="19293" xr:uid="{00000000-0005-0000-0000-000044310000}"/>
    <cellStyle name="Input 2 3 2 13 3" xfId="19295" xr:uid="{00000000-0005-0000-0000-000045310000}"/>
    <cellStyle name="Input 2 3 2 13 4" xfId="12821" xr:uid="{00000000-0005-0000-0000-000046310000}"/>
    <cellStyle name="Input 2 3 2 14" xfId="19297" xr:uid="{00000000-0005-0000-0000-000047310000}"/>
    <cellStyle name="Input 2 3 2 14 2" xfId="19299" xr:uid="{00000000-0005-0000-0000-000048310000}"/>
    <cellStyle name="Input 2 3 2 14 3" xfId="19301" xr:uid="{00000000-0005-0000-0000-000049310000}"/>
    <cellStyle name="Input 2 3 2 14 4" xfId="12827" xr:uid="{00000000-0005-0000-0000-00004A310000}"/>
    <cellStyle name="Input 2 3 2 15" xfId="19303" xr:uid="{00000000-0005-0000-0000-00004B310000}"/>
    <cellStyle name="Input 2 3 2 15 2" xfId="19306" xr:uid="{00000000-0005-0000-0000-00004C310000}"/>
    <cellStyle name="Input 2 3 2 16" xfId="19310" xr:uid="{00000000-0005-0000-0000-00004D310000}"/>
    <cellStyle name="Input 2 3 2 16 2" xfId="19313" xr:uid="{00000000-0005-0000-0000-00004E310000}"/>
    <cellStyle name="Input 2 3 2 17" xfId="19316" xr:uid="{00000000-0005-0000-0000-00004F310000}"/>
    <cellStyle name="Input 2 3 2 17 2" xfId="19319" xr:uid="{00000000-0005-0000-0000-000050310000}"/>
    <cellStyle name="Input 2 3 2 18" xfId="19320" xr:uid="{00000000-0005-0000-0000-000051310000}"/>
    <cellStyle name="Input 2 3 2 19" xfId="19324" xr:uid="{00000000-0005-0000-0000-000052310000}"/>
    <cellStyle name="Input 2 3 2 2" xfId="9239" xr:uid="{00000000-0005-0000-0000-000053310000}"/>
    <cellStyle name="Input 2 3 2 2 2" xfId="9241" xr:uid="{00000000-0005-0000-0000-000054310000}"/>
    <cellStyle name="Input 2 3 2 2 2 2" xfId="1126" xr:uid="{00000000-0005-0000-0000-000055310000}"/>
    <cellStyle name="Input 2 3 2 2 2 3" xfId="1140" xr:uid="{00000000-0005-0000-0000-000056310000}"/>
    <cellStyle name="Input 2 3 2 2 2 4" xfId="1152" xr:uid="{00000000-0005-0000-0000-000057310000}"/>
    <cellStyle name="Input 2 3 2 2 3" xfId="9243" xr:uid="{00000000-0005-0000-0000-000058310000}"/>
    <cellStyle name="Input 2 3 2 2 3 2" xfId="7097" xr:uid="{00000000-0005-0000-0000-000059310000}"/>
    <cellStyle name="Input 2 3 2 2 3 3" xfId="5801" xr:uid="{00000000-0005-0000-0000-00005A310000}"/>
    <cellStyle name="Input 2 3 2 2 3 4" xfId="5806" xr:uid="{00000000-0005-0000-0000-00005B310000}"/>
    <cellStyle name="Input 2 3 2 2 4" xfId="9245" xr:uid="{00000000-0005-0000-0000-00005C310000}"/>
    <cellStyle name="Input 2 3 2 2 4 2" xfId="3596" xr:uid="{00000000-0005-0000-0000-00005D310000}"/>
    <cellStyle name="Input 2 3 2 2 4 3" xfId="5067" xr:uid="{00000000-0005-0000-0000-00005E310000}"/>
    <cellStyle name="Input 2 3 2 2 5" xfId="19327" xr:uid="{00000000-0005-0000-0000-00005F310000}"/>
    <cellStyle name="Input 2 3 2 2 5 2" xfId="3612" xr:uid="{00000000-0005-0000-0000-000060310000}"/>
    <cellStyle name="Input 2 3 2 2 5 3" xfId="5082" xr:uid="{00000000-0005-0000-0000-000061310000}"/>
    <cellStyle name="Input 2 3 2 2 6" xfId="19328" xr:uid="{00000000-0005-0000-0000-000062310000}"/>
    <cellStyle name="Input 2 3 2 2 7" xfId="19330" xr:uid="{00000000-0005-0000-0000-000063310000}"/>
    <cellStyle name="Input 2 3 2 2 8" xfId="19332" xr:uid="{00000000-0005-0000-0000-000064310000}"/>
    <cellStyle name="Input 2 3 2 20" xfId="19304" xr:uid="{00000000-0005-0000-0000-000065310000}"/>
    <cellStyle name="Input 2 3 2 21" xfId="19311" xr:uid="{00000000-0005-0000-0000-000066310000}"/>
    <cellStyle name="Input 2 3 2 22" xfId="19317" xr:uid="{00000000-0005-0000-0000-000067310000}"/>
    <cellStyle name="Input 2 3 2 23" xfId="19321" xr:uid="{00000000-0005-0000-0000-000068310000}"/>
    <cellStyle name="Input 2 3 2 24" xfId="19325" xr:uid="{00000000-0005-0000-0000-000069310000}"/>
    <cellStyle name="Input 2 3 2 25" xfId="11921" xr:uid="{00000000-0005-0000-0000-00006A310000}"/>
    <cellStyle name="Input 2 3 2 26" xfId="11924" xr:uid="{00000000-0005-0000-0000-00006B310000}"/>
    <cellStyle name="Input 2 3 2 27" xfId="11926" xr:uid="{00000000-0005-0000-0000-00006C310000}"/>
    <cellStyle name="Input 2 3 2 28" xfId="19333" xr:uid="{00000000-0005-0000-0000-00006D310000}"/>
    <cellStyle name="Input 2 3 2 29" xfId="19334" xr:uid="{00000000-0005-0000-0000-00006E310000}"/>
    <cellStyle name="Input 2 3 2 3" xfId="9248" xr:uid="{00000000-0005-0000-0000-00006F310000}"/>
    <cellStyle name="Input 2 3 2 3 2" xfId="9252" xr:uid="{00000000-0005-0000-0000-000070310000}"/>
    <cellStyle name="Input 2 3 2 3 2 2" xfId="19335" xr:uid="{00000000-0005-0000-0000-000071310000}"/>
    <cellStyle name="Input 2 3 2 3 2 3" xfId="19336" xr:uid="{00000000-0005-0000-0000-000072310000}"/>
    <cellStyle name="Input 2 3 2 3 2 4" xfId="19337" xr:uid="{00000000-0005-0000-0000-000073310000}"/>
    <cellStyle name="Input 2 3 2 3 3" xfId="9256" xr:uid="{00000000-0005-0000-0000-000074310000}"/>
    <cellStyle name="Input 2 3 2 3 3 2" xfId="166" xr:uid="{00000000-0005-0000-0000-000075310000}"/>
    <cellStyle name="Input 2 3 2 3 3 3" xfId="173" xr:uid="{00000000-0005-0000-0000-000076310000}"/>
    <cellStyle name="Input 2 3 2 3 3 4" xfId="19338" xr:uid="{00000000-0005-0000-0000-000077310000}"/>
    <cellStyle name="Input 2 3 2 3 4" xfId="9260" xr:uid="{00000000-0005-0000-0000-000078310000}"/>
    <cellStyle name="Input 2 3 2 3 4 2" xfId="19339" xr:uid="{00000000-0005-0000-0000-000079310000}"/>
    <cellStyle name="Input 2 3 2 3 4 3" xfId="19340" xr:uid="{00000000-0005-0000-0000-00007A310000}"/>
    <cellStyle name="Input 2 3 2 3 5" xfId="19342" xr:uid="{00000000-0005-0000-0000-00007B310000}"/>
    <cellStyle name="Input 2 3 2 3 5 2" xfId="19343" xr:uid="{00000000-0005-0000-0000-00007C310000}"/>
    <cellStyle name="Input 2 3 2 3 5 3" xfId="19344" xr:uid="{00000000-0005-0000-0000-00007D310000}"/>
    <cellStyle name="Input 2 3 2 3 6" xfId="19345" xr:uid="{00000000-0005-0000-0000-00007E310000}"/>
    <cellStyle name="Input 2 3 2 3 7" xfId="19347" xr:uid="{00000000-0005-0000-0000-00007F310000}"/>
    <cellStyle name="Input 2 3 2 3 8" xfId="19348" xr:uid="{00000000-0005-0000-0000-000080310000}"/>
    <cellStyle name="Input 2 3 2 30" xfId="11922" xr:uid="{00000000-0005-0000-0000-000081310000}"/>
    <cellStyle name="Input 2 3 2 4" xfId="9264" xr:uid="{00000000-0005-0000-0000-000082310000}"/>
    <cellStyle name="Input 2 3 2 4 2" xfId="9268" xr:uid="{00000000-0005-0000-0000-000083310000}"/>
    <cellStyle name="Input 2 3 2 4 2 2" xfId="19349" xr:uid="{00000000-0005-0000-0000-000084310000}"/>
    <cellStyle name="Input 2 3 2 4 2 3" xfId="19350" xr:uid="{00000000-0005-0000-0000-000085310000}"/>
    <cellStyle name="Input 2 3 2 4 2 4" xfId="19351" xr:uid="{00000000-0005-0000-0000-000086310000}"/>
    <cellStyle name="Input 2 3 2 4 3" xfId="9272" xr:uid="{00000000-0005-0000-0000-000087310000}"/>
    <cellStyle name="Input 2 3 2 4 3 2" xfId="19352" xr:uid="{00000000-0005-0000-0000-000088310000}"/>
    <cellStyle name="Input 2 3 2 4 3 3" xfId="19353" xr:uid="{00000000-0005-0000-0000-000089310000}"/>
    <cellStyle name="Input 2 3 2 4 3 4" xfId="19354" xr:uid="{00000000-0005-0000-0000-00008A310000}"/>
    <cellStyle name="Input 2 3 2 4 4" xfId="19356" xr:uid="{00000000-0005-0000-0000-00008B310000}"/>
    <cellStyle name="Input 2 3 2 4 4 2" xfId="19358" xr:uid="{00000000-0005-0000-0000-00008C310000}"/>
    <cellStyle name="Input 2 3 2 4 4 3" xfId="19359" xr:uid="{00000000-0005-0000-0000-00008D310000}"/>
    <cellStyle name="Input 2 3 2 4 5" xfId="19361" xr:uid="{00000000-0005-0000-0000-00008E310000}"/>
    <cellStyle name="Input 2 3 2 4 5 2" xfId="19362" xr:uid="{00000000-0005-0000-0000-00008F310000}"/>
    <cellStyle name="Input 2 3 2 4 5 3" xfId="19363" xr:uid="{00000000-0005-0000-0000-000090310000}"/>
    <cellStyle name="Input 2 3 2 4 6" xfId="19364" xr:uid="{00000000-0005-0000-0000-000091310000}"/>
    <cellStyle name="Input 2 3 2 4 7" xfId="19365" xr:uid="{00000000-0005-0000-0000-000092310000}"/>
    <cellStyle name="Input 2 3 2 4 8" xfId="19366" xr:uid="{00000000-0005-0000-0000-000093310000}"/>
    <cellStyle name="Input 2 3 2 5" xfId="9276" xr:uid="{00000000-0005-0000-0000-000094310000}"/>
    <cellStyle name="Input 2 3 2 5 2" xfId="9279" xr:uid="{00000000-0005-0000-0000-000095310000}"/>
    <cellStyle name="Input 2 3 2 5 2 2" xfId="19367" xr:uid="{00000000-0005-0000-0000-000096310000}"/>
    <cellStyle name="Input 2 3 2 5 2 3" xfId="19368" xr:uid="{00000000-0005-0000-0000-000097310000}"/>
    <cellStyle name="Input 2 3 2 5 2 4" xfId="19369" xr:uid="{00000000-0005-0000-0000-000098310000}"/>
    <cellStyle name="Input 2 3 2 5 3" xfId="9283" xr:uid="{00000000-0005-0000-0000-000099310000}"/>
    <cellStyle name="Input 2 3 2 5 3 2" xfId="19370" xr:uid="{00000000-0005-0000-0000-00009A310000}"/>
    <cellStyle name="Input 2 3 2 5 3 3" xfId="19371" xr:uid="{00000000-0005-0000-0000-00009B310000}"/>
    <cellStyle name="Input 2 3 2 5 3 4" xfId="19372" xr:uid="{00000000-0005-0000-0000-00009C310000}"/>
    <cellStyle name="Input 2 3 2 5 4" xfId="19374" xr:uid="{00000000-0005-0000-0000-00009D310000}"/>
    <cellStyle name="Input 2 3 2 5 4 2" xfId="19375" xr:uid="{00000000-0005-0000-0000-00009E310000}"/>
    <cellStyle name="Input 2 3 2 5 4 3" xfId="19376" xr:uid="{00000000-0005-0000-0000-00009F310000}"/>
    <cellStyle name="Input 2 3 2 5 5" xfId="19377" xr:uid="{00000000-0005-0000-0000-0000A0310000}"/>
    <cellStyle name="Input 2 3 2 5 5 2" xfId="19378" xr:uid="{00000000-0005-0000-0000-0000A1310000}"/>
    <cellStyle name="Input 2 3 2 5 5 3" xfId="19379" xr:uid="{00000000-0005-0000-0000-0000A2310000}"/>
    <cellStyle name="Input 2 3 2 5 6" xfId="19380" xr:uid="{00000000-0005-0000-0000-0000A3310000}"/>
    <cellStyle name="Input 2 3 2 5 7" xfId="19381" xr:uid="{00000000-0005-0000-0000-0000A4310000}"/>
    <cellStyle name="Input 2 3 2 5 8" xfId="19383" xr:uid="{00000000-0005-0000-0000-0000A5310000}"/>
    <cellStyle name="Input 2 3 2 6" xfId="9287" xr:uid="{00000000-0005-0000-0000-0000A6310000}"/>
    <cellStyle name="Input 2 3 2 6 2" xfId="19385" xr:uid="{00000000-0005-0000-0000-0000A7310000}"/>
    <cellStyle name="Input 2 3 2 6 2 2" xfId="19387" xr:uid="{00000000-0005-0000-0000-0000A8310000}"/>
    <cellStyle name="Input 2 3 2 6 2 3" xfId="19389" xr:uid="{00000000-0005-0000-0000-0000A9310000}"/>
    <cellStyle name="Input 2 3 2 6 2 4" xfId="19390" xr:uid="{00000000-0005-0000-0000-0000AA310000}"/>
    <cellStyle name="Input 2 3 2 6 3" xfId="19392" xr:uid="{00000000-0005-0000-0000-0000AB310000}"/>
    <cellStyle name="Input 2 3 2 6 3 2" xfId="11093" xr:uid="{00000000-0005-0000-0000-0000AC310000}"/>
    <cellStyle name="Input 2 3 2 6 3 3" xfId="19394" xr:uid="{00000000-0005-0000-0000-0000AD310000}"/>
    <cellStyle name="Input 2 3 2 6 3 4" xfId="19395" xr:uid="{00000000-0005-0000-0000-0000AE310000}"/>
    <cellStyle name="Input 2 3 2 6 4" xfId="19398" xr:uid="{00000000-0005-0000-0000-0000AF310000}"/>
    <cellStyle name="Input 2 3 2 6 4 2" xfId="11121" xr:uid="{00000000-0005-0000-0000-0000B0310000}"/>
    <cellStyle name="Input 2 3 2 6 4 3" xfId="19399" xr:uid="{00000000-0005-0000-0000-0000B1310000}"/>
    <cellStyle name="Input 2 3 2 6 5" xfId="19400" xr:uid="{00000000-0005-0000-0000-0000B2310000}"/>
    <cellStyle name="Input 2 3 2 6 5 2" xfId="11142" xr:uid="{00000000-0005-0000-0000-0000B3310000}"/>
    <cellStyle name="Input 2 3 2 6 5 3" xfId="19401" xr:uid="{00000000-0005-0000-0000-0000B4310000}"/>
    <cellStyle name="Input 2 3 2 6 6" xfId="19402" xr:uid="{00000000-0005-0000-0000-0000B5310000}"/>
    <cellStyle name="Input 2 3 2 6 7" xfId="19403" xr:uid="{00000000-0005-0000-0000-0000B6310000}"/>
    <cellStyle name="Input 2 3 2 6 8" xfId="19405" xr:uid="{00000000-0005-0000-0000-0000B7310000}"/>
    <cellStyle name="Input 2 3 2 7" xfId="9290" xr:uid="{00000000-0005-0000-0000-0000B8310000}"/>
    <cellStyle name="Input 2 3 2 7 2" xfId="19407" xr:uid="{00000000-0005-0000-0000-0000B9310000}"/>
    <cellStyle name="Input 2 3 2 7 2 2" xfId="19408" xr:uid="{00000000-0005-0000-0000-0000BA310000}"/>
    <cellStyle name="Input 2 3 2 7 2 3" xfId="19409" xr:uid="{00000000-0005-0000-0000-0000BB310000}"/>
    <cellStyle name="Input 2 3 2 7 2 4" xfId="19410" xr:uid="{00000000-0005-0000-0000-0000BC310000}"/>
    <cellStyle name="Input 2 3 2 7 3" xfId="19411" xr:uid="{00000000-0005-0000-0000-0000BD310000}"/>
    <cellStyle name="Input 2 3 2 7 3 2" xfId="11365" xr:uid="{00000000-0005-0000-0000-0000BE310000}"/>
    <cellStyle name="Input 2 3 2 7 3 3" xfId="19412" xr:uid="{00000000-0005-0000-0000-0000BF310000}"/>
    <cellStyle name="Input 2 3 2 7 3 4" xfId="19413" xr:uid="{00000000-0005-0000-0000-0000C0310000}"/>
    <cellStyle name="Input 2 3 2 7 4" xfId="19414" xr:uid="{00000000-0005-0000-0000-0000C1310000}"/>
    <cellStyle name="Input 2 3 2 7 4 2" xfId="11393" xr:uid="{00000000-0005-0000-0000-0000C2310000}"/>
    <cellStyle name="Input 2 3 2 7 4 3" xfId="19415" xr:uid="{00000000-0005-0000-0000-0000C3310000}"/>
    <cellStyle name="Input 2 3 2 7 5" xfId="19416" xr:uid="{00000000-0005-0000-0000-0000C4310000}"/>
    <cellStyle name="Input 2 3 2 7 5 2" xfId="11419" xr:uid="{00000000-0005-0000-0000-0000C5310000}"/>
    <cellStyle name="Input 2 3 2 7 5 3" xfId="19417" xr:uid="{00000000-0005-0000-0000-0000C6310000}"/>
    <cellStyle name="Input 2 3 2 7 6" xfId="19418" xr:uid="{00000000-0005-0000-0000-0000C7310000}"/>
    <cellStyle name="Input 2 3 2 7 7" xfId="19419" xr:uid="{00000000-0005-0000-0000-0000C8310000}"/>
    <cellStyle name="Input 2 3 2 7 8" xfId="19421" xr:uid="{00000000-0005-0000-0000-0000C9310000}"/>
    <cellStyle name="Input 2 3 2 8" xfId="9294" xr:uid="{00000000-0005-0000-0000-0000CA310000}"/>
    <cellStyle name="Input 2 3 2 8 2" xfId="19423" xr:uid="{00000000-0005-0000-0000-0000CB310000}"/>
    <cellStyle name="Input 2 3 2 8 2 2" xfId="19424" xr:uid="{00000000-0005-0000-0000-0000CC310000}"/>
    <cellStyle name="Input 2 3 2 8 2 3" xfId="19425" xr:uid="{00000000-0005-0000-0000-0000CD310000}"/>
    <cellStyle name="Input 2 3 2 8 2 4" xfId="19426" xr:uid="{00000000-0005-0000-0000-0000CE310000}"/>
    <cellStyle name="Input 2 3 2 8 3" xfId="19427" xr:uid="{00000000-0005-0000-0000-0000CF310000}"/>
    <cellStyle name="Input 2 3 2 8 3 2" xfId="19428" xr:uid="{00000000-0005-0000-0000-0000D0310000}"/>
    <cellStyle name="Input 2 3 2 8 3 3" xfId="19429" xr:uid="{00000000-0005-0000-0000-0000D1310000}"/>
    <cellStyle name="Input 2 3 2 8 3 4" xfId="19430" xr:uid="{00000000-0005-0000-0000-0000D2310000}"/>
    <cellStyle name="Input 2 3 2 8 4" xfId="19431" xr:uid="{00000000-0005-0000-0000-0000D3310000}"/>
    <cellStyle name="Input 2 3 2 8 4 2" xfId="19432" xr:uid="{00000000-0005-0000-0000-0000D4310000}"/>
    <cellStyle name="Input 2 3 2 8 4 3" xfId="19433" xr:uid="{00000000-0005-0000-0000-0000D5310000}"/>
    <cellStyle name="Input 2 3 2 8 5" xfId="19434" xr:uid="{00000000-0005-0000-0000-0000D6310000}"/>
    <cellStyle name="Input 2 3 2 8 5 2" xfId="14456" xr:uid="{00000000-0005-0000-0000-0000D7310000}"/>
    <cellStyle name="Input 2 3 2 8 5 3" xfId="14459" xr:uid="{00000000-0005-0000-0000-0000D8310000}"/>
    <cellStyle name="Input 2 3 2 8 6" xfId="19435" xr:uid="{00000000-0005-0000-0000-0000D9310000}"/>
    <cellStyle name="Input 2 3 2 8 7" xfId="19436" xr:uid="{00000000-0005-0000-0000-0000DA310000}"/>
    <cellStyle name="Input 2 3 2 8 8" xfId="19438" xr:uid="{00000000-0005-0000-0000-0000DB310000}"/>
    <cellStyle name="Input 2 3 2 9" xfId="9298" xr:uid="{00000000-0005-0000-0000-0000DC310000}"/>
    <cellStyle name="Input 2 3 2 9 2" xfId="19440" xr:uid="{00000000-0005-0000-0000-0000DD310000}"/>
    <cellStyle name="Input 2 3 2 9 2 2" xfId="19441" xr:uid="{00000000-0005-0000-0000-0000DE310000}"/>
    <cellStyle name="Input 2 3 2 9 2 3" xfId="19442" xr:uid="{00000000-0005-0000-0000-0000DF310000}"/>
    <cellStyle name="Input 2 3 2 9 2 4" xfId="19443" xr:uid="{00000000-0005-0000-0000-0000E0310000}"/>
    <cellStyle name="Input 2 3 2 9 3" xfId="19444" xr:uid="{00000000-0005-0000-0000-0000E1310000}"/>
    <cellStyle name="Input 2 3 2 9 3 2" xfId="2395" xr:uid="{00000000-0005-0000-0000-0000E2310000}"/>
    <cellStyle name="Input 2 3 2 9 3 3" xfId="19445" xr:uid="{00000000-0005-0000-0000-0000E3310000}"/>
    <cellStyle name="Input 2 3 2 9 3 4" xfId="19446" xr:uid="{00000000-0005-0000-0000-0000E4310000}"/>
    <cellStyle name="Input 2 3 2 9 4" xfId="19447" xr:uid="{00000000-0005-0000-0000-0000E5310000}"/>
    <cellStyle name="Input 2 3 2 9 4 2" xfId="19448" xr:uid="{00000000-0005-0000-0000-0000E6310000}"/>
    <cellStyle name="Input 2 3 2 9 4 3" xfId="19449" xr:uid="{00000000-0005-0000-0000-0000E7310000}"/>
    <cellStyle name="Input 2 3 2 9 5" xfId="19450" xr:uid="{00000000-0005-0000-0000-0000E8310000}"/>
    <cellStyle name="Input 2 3 2 9 5 2" xfId="19451" xr:uid="{00000000-0005-0000-0000-0000E9310000}"/>
    <cellStyle name="Input 2 3 2 9 5 3" xfId="19452" xr:uid="{00000000-0005-0000-0000-0000EA310000}"/>
    <cellStyle name="Input 2 3 2 9 6" xfId="19453" xr:uid="{00000000-0005-0000-0000-0000EB310000}"/>
    <cellStyle name="Input 2 3 2 9 7" xfId="19454" xr:uid="{00000000-0005-0000-0000-0000EC310000}"/>
    <cellStyle name="Input 2 3 2 9 8" xfId="19455" xr:uid="{00000000-0005-0000-0000-0000ED310000}"/>
    <cellStyle name="Input 2 3 20" xfId="19222" xr:uid="{00000000-0005-0000-0000-0000EE310000}"/>
    <cellStyle name="Input 2 3 21" xfId="19229" xr:uid="{00000000-0005-0000-0000-0000EF310000}"/>
    <cellStyle name="Input 2 3 22" xfId="14723" xr:uid="{00000000-0005-0000-0000-0000F0310000}"/>
    <cellStyle name="Input 2 3 23" xfId="14727" xr:uid="{00000000-0005-0000-0000-0000F1310000}"/>
    <cellStyle name="Input 2 3 24" xfId="19246" xr:uid="{00000000-0005-0000-0000-0000F2310000}"/>
    <cellStyle name="Input 2 3 25" xfId="19456" xr:uid="{00000000-0005-0000-0000-0000F3310000}"/>
    <cellStyle name="Input 2 3 26" xfId="19461" xr:uid="{00000000-0005-0000-0000-0000F4310000}"/>
    <cellStyle name="Input 2 3 27" xfId="19464" xr:uid="{00000000-0005-0000-0000-0000F5310000}"/>
    <cellStyle name="Input 2 3 28" xfId="19466" xr:uid="{00000000-0005-0000-0000-0000F6310000}"/>
    <cellStyle name="Input 2 3 29" xfId="19467" xr:uid="{00000000-0005-0000-0000-0000F7310000}"/>
    <cellStyle name="Input 2 3 3" xfId="87" xr:uid="{00000000-0005-0000-0000-0000F8310000}"/>
    <cellStyle name="Input 2 3 3 10" xfId="9518" xr:uid="{00000000-0005-0000-0000-0000F9310000}"/>
    <cellStyle name="Input 2 3 3 10 2" xfId="9521" xr:uid="{00000000-0005-0000-0000-0000FA310000}"/>
    <cellStyle name="Input 2 3 3 10 2 2" xfId="19468" xr:uid="{00000000-0005-0000-0000-0000FB310000}"/>
    <cellStyle name="Input 2 3 3 10 2 3" xfId="8966" xr:uid="{00000000-0005-0000-0000-0000FC310000}"/>
    <cellStyle name="Input 2 3 3 10 2 4" xfId="8969" xr:uid="{00000000-0005-0000-0000-0000FD310000}"/>
    <cellStyle name="Input 2 3 3 10 3" xfId="9524" xr:uid="{00000000-0005-0000-0000-0000FE310000}"/>
    <cellStyle name="Input 2 3 3 10 3 2" xfId="14219" xr:uid="{00000000-0005-0000-0000-0000FF310000}"/>
    <cellStyle name="Input 2 3 3 10 3 3" xfId="8976" xr:uid="{00000000-0005-0000-0000-000000320000}"/>
    <cellStyle name="Input 2 3 3 10 3 4" xfId="14221" xr:uid="{00000000-0005-0000-0000-000001320000}"/>
    <cellStyle name="Input 2 3 3 10 4" xfId="19469" xr:uid="{00000000-0005-0000-0000-000002320000}"/>
    <cellStyle name="Input 2 3 3 10 4 2" xfId="19470" xr:uid="{00000000-0005-0000-0000-000003320000}"/>
    <cellStyle name="Input 2 3 3 10 4 3" xfId="19471" xr:uid="{00000000-0005-0000-0000-000004320000}"/>
    <cellStyle name="Input 2 3 3 10 5" xfId="19473" xr:uid="{00000000-0005-0000-0000-000005320000}"/>
    <cellStyle name="Input 2 3 3 10 5 2" xfId="19474" xr:uid="{00000000-0005-0000-0000-000006320000}"/>
    <cellStyle name="Input 2 3 3 10 5 3" xfId="19475" xr:uid="{00000000-0005-0000-0000-000007320000}"/>
    <cellStyle name="Input 2 3 3 10 6" xfId="19477" xr:uid="{00000000-0005-0000-0000-000008320000}"/>
    <cellStyle name="Input 2 3 3 10 7" xfId="19478" xr:uid="{00000000-0005-0000-0000-000009320000}"/>
    <cellStyle name="Input 2 3 3 11" xfId="9526" xr:uid="{00000000-0005-0000-0000-00000A320000}"/>
    <cellStyle name="Input 2 3 3 11 2" xfId="19479" xr:uid="{00000000-0005-0000-0000-00000B320000}"/>
    <cellStyle name="Input 2 3 3 11 3" xfId="19481" xr:uid="{00000000-0005-0000-0000-00000C320000}"/>
    <cellStyle name="Input 2 3 3 11 4" xfId="19482" xr:uid="{00000000-0005-0000-0000-00000D320000}"/>
    <cellStyle name="Input 2 3 3 12" xfId="9528" xr:uid="{00000000-0005-0000-0000-00000E320000}"/>
    <cellStyle name="Input 2 3 3 12 2" xfId="19483" xr:uid="{00000000-0005-0000-0000-00000F320000}"/>
    <cellStyle name="Input 2 3 3 12 3" xfId="19485" xr:uid="{00000000-0005-0000-0000-000010320000}"/>
    <cellStyle name="Input 2 3 3 12 4" xfId="13038" xr:uid="{00000000-0005-0000-0000-000011320000}"/>
    <cellStyle name="Input 2 3 3 13" xfId="19486" xr:uid="{00000000-0005-0000-0000-000012320000}"/>
    <cellStyle name="Input 2 3 3 13 2" xfId="19487" xr:uid="{00000000-0005-0000-0000-000013320000}"/>
    <cellStyle name="Input 2 3 3 13 3" xfId="19488" xr:uid="{00000000-0005-0000-0000-000014320000}"/>
    <cellStyle name="Input 2 3 3 14" xfId="19489" xr:uid="{00000000-0005-0000-0000-000015320000}"/>
    <cellStyle name="Input 2 3 3 14 2" xfId="19490" xr:uid="{00000000-0005-0000-0000-000016320000}"/>
    <cellStyle name="Input 2 3 3 14 3" xfId="19491" xr:uid="{00000000-0005-0000-0000-000017320000}"/>
    <cellStyle name="Input 2 3 3 15" xfId="19492" xr:uid="{00000000-0005-0000-0000-000018320000}"/>
    <cellStyle name="Input 2 3 3 16" xfId="19493" xr:uid="{00000000-0005-0000-0000-000019320000}"/>
    <cellStyle name="Input 2 3 3 17" xfId="19494" xr:uid="{00000000-0005-0000-0000-00001A320000}"/>
    <cellStyle name="Input 2 3 3 18" xfId="19495" xr:uid="{00000000-0005-0000-0000-00001B320000}"/>
    <cellStyle name="Input 2 3 3 2" xfId="14396" xr:uid="{00000000-0005-0000-0000-00001C320000}"/>
    <cellStyle name="Input 2 3 3 2 2" xfId="18362" xr:uid="{00000000-0005-0000-0000-00001D320000}"/>
    <cellStyle name="Input 2 3 3 2 2 2" xfId="4867" xr:uid="{00000000-0005-0000-0000-00001E320000}"/>
    <cellStyle name="Input 2 3 3 2 2 3" xfId="4873" xr:uid="{00000000-0005-0000-0000-00001F320000}"/>
    <cellStyle name="Input 2 3 3 2 2 4" xfId="19023" xr:uid="{00000000-0005-0000-0000-000020320000}"/>
    <cellStyle name="Input 2 3 3 2 3" xfId="19174" xr:uid="{00000000-0005-0000-0000-000021320000}"/>
    <cellStyle name="Input 2 3 3 2 3 2" xfId="4883" xr:uid="{00000000-0005-0000-0000-000022320000}"/>
    <cellStyle name="Input 2 3 3 2 3 3" xfId="88" xr:uid="{00000000-0005-0000-0000-000023320000}"/>
    <cellStyle name="Input 2 3 3 2 3 4" xfId="19496" xr:uid="{00000000-0005-0000-0000-000024320000}"/>
    <cellStyle name="Input 2 3 3 2 4" xfId="19498" xr:uid="{00000000-0005-0000-0000-000025320000}"/>
    <cellStyle name="Input 2 3 3 2 4 2" xfId="4889" xr:uid="{00000000-0005-0000-0000-000026320000}"/>
    <cellStyle name="Input 2 3 3 2 4 3" xfId="19500" xr:uid="{00000000-0005-0000-0000-000027320000}"/>
    <cellStyle name="Input 2 3 3 2 5" xfId="19502" xr:uid="{00000000-0005-0000-0000-000028320000}"/>
    <cellStyle name="Input 2 3 3 2 5 2" xfId="4899" xr:uid="{00000000-0005-0000-0000-000029320000}"/>
    <cellStyle name="Input 2 3 3 2 5 3" xfId="19504" xr:uid="{00000000-0005-0000-0000-00002A320000}"/>
    <cellStyle name="Input 2 3 3 2 6" xfId="19506" xr:uid="{00000000-0005-0000-0000-00002B320000}"/>
    <cellStyle name="Input 2 3 3 2 7" xfId="19509" xr:uid="{00000000-0005-0000-0000-00002C320000}"/>
    <cellStyle name="Input 2 3 3 3" xfId="15009" xr:uid="{00000000-0005-0000-0000-00002D320000}"/>
    <cellStyle name="Input 2 3 3 3 2" xfId="15899" xr:uid="{00000000-0005-0000-0000-00002E320000}"/>
    <cellStyle name="Input 2 3 3 3 2 2" xfId="4915" xr:uid="{00000000-0005-0000-0000-00002F320000}"/>
    <cellStyle name="Input 2 3 3 3 2 3" xfId="4921" xr:uid="{00000000-0005-0000-0000-000030320000}"/>
    <cellStyle name="Input 2 3 3 3 2 4" xfId="19512" xr:uid="{00000000-0005-0000-0000-000031320000}"/>
    <cellStyle name="Input 2 3 3 3 3" xfId="19514" xr:uid="{00000000-0005-0000-0000-000032320000}"/>
    <cellStyle name="Input 2 3 3 3 3 2" xfId="4934" xr:uid="{00000000-0005-0000-0000-000033320000}"/>
    <cellStyle name="Input 2 3 3 3 3 3" xfId="4940" xr:uid="{00000000-0005-0000-0000-000034320000}"/>
    <cellStyle name="Input 2 3 3 3 3 4" xfId="19518" xr:uid="{00000000-0005-0000-0000-000035320000}"/>
    <cellStyle name="Input 2 3 3 3 4" xfId="19519" xr:uid="{00000000-0005-0000-0000-000036320000}"/>
    <cellStyle name="Input 2 3 3 3 4 2" xfId="4945" xr:uid="{00000000-0005-0000-0000-000037320000}"/>
    <cellStyle name="Input 2 3 3 3 4 3" xfId="19523" xr:uid="{00000000-0005-0000-0000-000038320000}"/>
    <cellStyle name="Input 2 3 3 3 5" xfId="19524" xr:uid="{00000000-0005-0000-0000-000039320000}"/>
    <cellStyle name="Input 2 3 3 3 5 2" xfId="4957" xr:uid="{00000000-0005-0000-0000-00003A320000}"/>
    <cellStyle name="Input 2 3 3 3 5 3" xfId="17102" xr:uid="{00000000-0005-0000-0000-00003B320000}"/>
    <cellStyle name="Input 2 3 3 3 6" xfId="19525" xr:uid="{00000000-0005-0000-0000-00003C320000}"/>
    <cellStyle name="Input 2 3 3 3 7" xfId="19527" xr:uid="{00000000-0005-0000-0000-00003D320000}"/>
    <cellStyle name="Input 2 3 3 4" xfId="19529" xr:uid="{00000000-0005-0000-0000-00003E320000}"/>
    <cellStyle name="Input 2 3 3 4 2" xfId="15906" xr:uid="{00000000-0005-0000-0000-00003F320000}"/>
    <cellStyle name="Input 2 3 3 4 2 2" xfId="4978" xr:uid="{00000000-0005-0000-0000-000040320000}"/>
    <cellStyle name="Input 2 3 3 4 2 3" xfId="4984" xr:uid="{00000000-0005-0000-0000-000041320000}"/>
    <cellStyle name="Input 2 3 3 4 2 4" xfId="12712" xr:uid="{00000000-0005-0000-0000-000042320000}"/>
    <cellStyle name="Input 2 3 3 4 3" xfId="19532" xr:uid="{00000000-0005-0000-0000-000043320000}"/>
    <cellStyle name="Input 2 3 3 4 3 2" xfId="4994" xr:uid="{00000000-0005-0000-0000-000044320000}"/>
    <cellStyle name="Input 2 3 3 4 3 3" xfId="4999" xr:uid="{00000000-0005-0000-0000-000045320000}"/>
    <cellStyle name="Input 2 3 3 4 3 4" xfId="19535" xr:uid="{00000000-0005-0000-0000-000046320000}"/>
    <cellStyle name="Input 2 3 3 4 4" xfId="19536" xr:uid="{00000000-0005-0000-0000-000047320000}"/>
    <cellStyle name="Input 2 3 3 4 4 2" xfId="5006" xr:uid="{00000000-0005-0000-0000-000048320000}"/>
    <cellStyle name="Input 2 3 3 4 4 3" xfId="19539" xr:uid="{00000000-0005-0000-0000-000049320000}"/>
    <cellStyle name="Input 2 3 3 4 5" xfId="19540" xr:uid="{00000000-0005-0000-0000-00004A320000}"/>
    <cellStyle name="Input 2 3 3 4 5 2" xfId="53" xr:uid="{00000000-0005-0000-0000-00004B320000}"/>
    <cellStyle name="Input 2 3 3 4 5 3" xfId="19541" xr:uid="{00000000-0005-0000-0000-00004C320000}"/>
    <cellStyle name="Input 2 3 3 4 6" xfId="19543" xr:uid="{00000000-0005-0000-0000-00004D320000}"/>
    <cellStyle name="Input 2 3 3 4 7" xfId="19544" xr:uid="{00000000-0005-0000-0000-00004E320000}"/>
    <cellStyle name="Input 2 3 3 5" xfId="19546" xr:uid="{00000000-0005-0000-0000-00004F320000}"/>
    <cellStyle name="Input 2 3 3 5 2" xfId="19549" xr:uid="{00000000-0005-0000-0000-000050320000}"/>
    <cellStyle name="Input 2 3 3 5 2 2" xfId="19552" xr:uid="{00000000-0005-0000-0000-000051320000}"/>
    <cellStyle name="Input 2 3 3 5 2 3" xfId="12736" xr:uid="{00000000-0005-0000-0000-000052320000}"/>
    <cellStyle name="Input 2 3 3 5 2 4" xfId="12738" xr:uid="{00000000-0005-0000-0000-000053320000}"/>
    <cellStyle name="Input 2 3 3 5 3" xfId="19553" xr:uid="{00000000-0005-0000-0000-000054320000}"/>
    <cellStyle name="Input 2 3 3 5 3 2" xfId="19556" xr:uid="{00000000-0005-0000-0000-000055320000}"/>
    <cellStyle name="Input 2 3 3 5 3 3" xfId="19557" xr:uid="{00000000-0005-0000-0000-000056320000}"/>
    <cellStyle name="Input 2 3 3 5 3 4" xfId="19558" xr:uid="{00000000-0005-0000-0000-000057320000}"/>
    <cellStyle name="Input 2 3 3 5 4" xfId="19559" xr:uid="{00000000-0005-0000-0000-000058320000}"/>
    <cellStyle name="Input 2 3 3 5 4 2" xfId="19561" xr:uid="{00000000-0005-0000-0000-000059320000}"/>
    <cellStyle name="Input 2 3 3 5 4 3" xfId="18919" xr:uid="{00000000-0005-0000-0000-00005A320000}"/>
    <cellStyle name="Input 2 3 3 5 5" xfId="19562" xr:uid="{00000000-0005-0000-0000-00005B320000}"/>
    <cellStyle name="Input 2 3 3 5 5 2" xfId="19563" xr:uid="{00000000-0005-0000-0000-00005C320000}"/>
    <cellStyle name="Input 2 3 3 5 5 3" xfId="19564" xr:uid="{00000000-0005-0000-0000-00005D320000}"/>
    <cellStyle name="Input 2 3 3 5 6" xfId="19565" xr:uid="{00000000-0005-0000-0000-00005E320000}"/>
    <cellStyle name="Input 2 3 3 5 7" xfId="19566" xr:uid="{00000000-0005-0000-0000-00005F320000}"/>
    <cellStyle name="Input 2 3 3 6" xfId="19569" xr:uid="{00000000-0005-0000-0000-000060320000}"/>
    <cellStyle name="Input 2 3 3 6 2" xfId="19572" xr:uid="{00000000-0005-0000-0000-000061320000}"/>
    <cellStyle name="Input 2 3 3 6 2 2" xfId="19575" xr:uid="{00000000-0005-0000-0000-000062320000}"/>
    <cellStyle name="Input 2 3 3 6 2 3" xfId="12758" xr:uid="{00000000-0005-0000-0000-000063320000}"/>
    <cellStyle name="Input 2 3 3 6 2 4" xfId="12760" xr:uid="{00000000-0005-0000-0000-000064320000}"/>
    <cellStyle name="Input 2 3 3 6 3" xfId="19576" xr:uid="{00000000-0005-0000-0000-000065320000}"/>
    <cellStyle name="Input 2 3 3 6 3 2" xfId="11889" xr:uid="{00000000-0005-0000-0000-000066320000}"/>
    <cellStyle name="Input 2 3 3 6 3 3" xfId="19579" xr:uid="{00000000-0005-0000-0000-000067320000}"/>
    <cellStyle name="Input 2 3 3 6 3 4" xfId="19580" xr:uid="{00000000-0005-0000-0000-000068320000}"/>
    <cellStyle name="Input 2 3 3 6 4" xfId="19581" xr:uid="{00000000-0005-0000-0000-000069320000}"/>
    <cellStyle name="Input 2 3 3 6 4 2" xfId="11917" xr:uid="{00000000-0005-0000-0000-00006A320000}"/>
    <cellStyle name="Input 2 3 3 6 4 3" xfId="19583" xr:uid="{00000000-0005-0000-0000-00006B320000}"/>
    <cellStyle name="Input 2 3 3 6 5" xfId="19584" xr:uid="{00000000-0005-0000-0000-00006C320000}"/>
    <cellStyle name="Input 2 3 3 6 5 2" xfId="11941" xr:uid="{00000000-0005-0000-0000-00006D320000}"/>
    <cellStyle name="Input 2 3 3 6 5 3" xfId="19585" xr:uid="{00000000-0005-0000-0000-00006E320000}"/>
    <cellStyle name="Input 2 3 3 6 6" xfId="19586" xr:uid="{00000000-0005-0000-0000-00006F320000}"/>
    <cellStyle name="Input 2 3 3 6 7" xfId="19587" xr:uid="{00000000-0005-0000-0000-000070320000}"/>
    <cellStyle name="Input 2 3 3 7" xfId="19589" xr:uid="{00000000-0005-0000-0000-000071320000}"/>
    <cellStyle name="Input 2 3 3 7 2" xfId="19593" xr:uid="{00000000-0005-0000-0000-000072320000}"/>
    <cellStyle name="Input 2 3 3 7 2 2" xfId="19594" xr:uid="{00000000-0005-0000-0000-000073320000}"/>
    <cellStyle name="Input 2 3 3 7 2 3" xfId="19595" xr:uid="{00000000-0005-0000-0000-000074320000}"/>
    <cellStyle name="Input 2 3 3 7 2 4" xfId="19596" xr:uid="{00000000-0005-0000-0000-000075320000}"/>
    <cellStyle name="Input 2 3 3 7 3" xfId="19597" xr:uid="{00000000-0005-0000-0000-000076320000}"/>
    <cellStyle name="Input 2 3 3 7 3 2" xfId="12201" xr:uid="{00000000-0005-0000-0000-000077320000}"/>
    <cellStyle name="Input 2 3 3 7 3 3" xfId="19598" xr:uid="{00000000-0005-0000-0000-000078320000}"/>
    <cellStyle name="Input 2 3 3 7 3 4" xfId="19599" xr:uid="{00000000-0005-0000-0000-000079320000}"/>
    <cellStyle name="Input 2 3 3 7 4" xfId="19601" xr:uid="{00000000-0005-0000-0000-00007A320000}"/>
    <cellStyle name="Input 2 3 3 7 4 2" xfId="12231" xr:uid="{00000000-0005-0000-0000-00007B320000}"/>
    <cellStyle name="Input 2 3 3 7 4 3" xfId="19602" xr:uid="{00000000-0005-0000-0000-00007C320000}"/>
    <cellStyle name="Input 2 3 3 7 5" xfId="19603" xr:uid="{00000000-0005-0000-0000-00007D320000}"/>
    <cellStyle name="Input 2 3 3 7 5 2" xfId="12252" xr:uid="{00000000-0005-0000-0000-00007E320000}"/>
    <cellStyle name="Input 2 3 3 7 5 3" xfId="19604" xr:uid="{00000000-0005-0000-0000-00007F320000}"/>
    <cellStyle name="Input 2 3 3 7 6" xfId="19606" xr:uid="{00000000-0005-0000-0000-000080320000}"/>
    <cellStyle name="Input 2 3 3 7 7" xfId="19607" xr:uid="{00000000-0005-0000-0000-000081320000}"/>
    <cellStyle name="Input 2 3 3 8" xfId="19609" xr:uid="{00000000-0005-0000-0000-000082320000}"/>
    <cellStyle name="Input 2 3 3 8 2" xfId="19612" xr:uid="{00000000-0005-0000-0000-000083320000}"/>
    <cellStyle name="Input 2 3 3 8 2 2" xfId="19613" xr:uid="{00000000-0005-0000-0000-000084320000}"/>
    <cellStyle name="Input 2 3 3 8 2 3" xfId="19615" xr:uid="{00000000-0005-0000-0000-000085320000}"/>
    <cellStyle name="Input 2 3 3 8 2 4" xfId="19617" xr:uid="{00000000-0005-0000-0000-000086320000}"/>
    <cellStyle name="Input 2 3 3 8 3" xfId="19619" xr:uid="{00000000-0005-0000-0000-000087320000}"/>
    <cellStyle name="Input 2 3 3 8 3 2" xfId="18778" xr:uid="{00000000-0005-0000-0000-000088320000}"/>
    <cellStyle name="Input 2 3 3 8 3 3" xfId="18780" xr:uid="{00000000-0005-0000-0000-000089320000}"/>
    <cellStyle name="Input 2 3 3 8 3 4" xfId="18782" xr:uid="{00000000-0005-0000-0000-00008A320000}"/>
    <cellStyle name="Input 2 3 3 8 4" xfId="19620" xr:uid="{00000000-0005-0000-0000-00008B320000}"/>
    <cellStyle name="Input 2 3 3 8 4 2" xfId="19621" xr:uid="{00000000-0005-0000-0000-00008C320000}"/>
    <cellStyle name="Input 2 3 3 8 4 3" xfId="19622" xr:uid="{00000000-0005-0000-0000-00008D320000}"/>
    <cellStyle name="Input 2 3 3 8 5" xfId="19623" xr:uid="{00000000-0005-0000-0000-00008E320000}"/>
    <cellStyle name="Input 2 3 3 8 5 2" xfId="19624" xr:uid="{00000000-0005-0000-0000-00008F320000}"/>
    <cellStyle name="Input 2 3 3 8 5 3" xfId="19625" xr:uid="{00000000-0005-0000-0000-000090320000}"/>
    <cellStyle name="Input 2 3 3 8 6" xfId="19627" xr:uid="{00000000-0005-0000-0000-000091320000}"/>
    <cellStyle name="Input 2 3 3 8 7" xfId="19628" xr:uid="{00000000-0005-0000-0000-000092320000}"/>
    <cellStyle name="Input 2 3 3 9" xfId="19630" xr:uid="{00000000-0005-0000-0000-000093320000}"/>
    <cellStyle name="Input 2 3 3 9 2" xfId="19631" xr:uid="{00000000-0005-0000-0000-000094320000}"/>
    <cellStyle name="Input 2 3 3 9 2 2" xfId="19632" xr:uid="{00000000-0005-0000-0000-000095320000}"/>
    <cellStyle name="Input 2 3 3 9 2 3" xfId="19633" xr:uid="{00000000-0005-0000-0000-000096320000}"/>
    <cellStyle name="Input 2 3 3 9 2 4" xfId="19635" xr:uid="{00000000-0005-0000-0000-000097320000}"/>
    <cellStyle name="Input 2 3 3 9 3" xfId="19637" xr:uid="{00000000-0005-0000-0000-000098320000}"/>
    <cellStyle name="Input 2 3 3 9 3 2" xfId="19638" xr:uid="{00000000-0005-0000-0000-000099320000}"/>
    <cellStyle name="Input 2 3 3 9 3 3" xfId="19639" xr:uid="{00000000-0005-0000-0000-00009A320000}"/>
    <cellStyle name="Input 2 3 3 9 3 4" xfId="19641" xr:uid="{00000000-0005-0000-0000-00009B320000}"/>
    <cellStyle name="Input 2 3 3 9 4" xfId="19642" xr:uid="{00000000-0005-0000-0000-00009C320000}"/>
    <cellStyle name="Input 2 3 3 9 4 2" xfId="19643" xr:uid="{00000000-0005-0000-0000-00009D320000}"/>
    <cellStyle name="Input 2 3 3 9 4 3" xfId="19644" xr:uid="{00000000-0005-0000-0000-00009E320000}"/>
    <cellStyle name="Input 2 3 3 9 5" xfId="19645" xr:uid="{00000000-0005-0000-0000-00009F320000}"/>
    <cellStyle name="Input 2 3 3 9 5 2" xfId="19646" xr:uid="{00000000-0005-0000-0000-0000A0320000}"/>
    <cellStyle name="Input 2 3 3 9 5 3" xfId="19648" xr:uid="{00000000-0005-0000-0000-0000A1320000}"/>
    <cellStyle name="Input 2 3 3 9 6" xfId="19650" xr:uid="{00000000-0005-0000-0000-0000A2320000}"/>
    <cellStyle name="Input 2 3 3 9 7" xfId="19651" xr:uid="{00000000-0005-0000-0000-0000A3320000}"/>
    <cellStyle name="Input 2 3 30" xfId="19457" xr:uid="{00000000-0005-0000-0000-0000A4320000}"/>
    <cellStyle name="Input 2 3 31" xfId="19462" xr:uid="{00000000-0005-0000-0000-0000A5320000}"/>
    <cellStyle name="Input 2 3 32" xfId="19465" xr:uid="{00000000-0005-0000-0000-0000A6320000}"/>
    <cellStyle name="Input 2 3 4" xfId="19497" xr:uid="{00000000-0005-0000-0000-0000A7320000}"/>
    <cellStyle name="Input 2 3 4 2" xfId="15029" xr:uid="{00000000-0005-0000-0000-0000A8320000}"/>
    <cellStyle name="Input 2 3 4 2 2" xfId="19652" xr:uid="{00000000-0005-0000-0000-0000A9320000}"/>
    <cellStyle name="Input 2 3 4 2 2 2" xfId="19655" xr:uid="{00000000-0005-0000-0000-0000AA320000}"/>
    <cellStyle name="Input 2 3 4 2 2 2 2" xfId="19656" xr:uid="{00000000-0005-0000-0000-0000AB320000}"/>
    <cellStyle name="Input 2 3 4 2 2 2 2 2" xfId="19658" xr:uid="{00000000-0005-0000-0000-0000AC320000}"/>
    <cellStyle name="Input 2 3 4 2 2 2 2 2 2" xfId="19659" xr:uid="{00000000-0005-0000-0000-0000AD320000}"/>
    <cellStyle name="Input 2 3 4 2 2 2 2 2 2 2" xfId="19661" xr:uid="{00000000-0005-0000-0000-0000AE320000}"/>
    <cellStyle name="Input 2 3 4 2 2 2 2 3" xfId="19664" xr:uid="{00000000-0005-0000-0000-0000AF320000}"/>
    <cellStyle name="Input 2 3 4 2 2 2 3" xfId="19666" xr:uid="{00000000-0005-0000-0000-0000B0320000}"/>
    <cellStyle name="Input 2 3 4 2 3" xfId="19668" xr:uid="{00000000-0005-0000-0000-0000B1320000}"/>
    <cellStyle name="Input 2 3 4 2 3 2" xfId="19671" xr:uid="{00000000-0005-0000-0000-0000B2320000}"/>
    <cellStyle name="Input 2 3 4 2 3 2 2" xfId="19672" xr:uid="{00000000-0005-0000-0000-0000B3320000}"/>
    <cellStyle name="Input 2 3 4 2 4" xfId="19674" xr:uid="{00000000-0005-0000-0000-0000B4320000}"/>
    <cellStyle name="Input 2 3 4 3" xfId="15032" xr:uid="{00000000-0005-0000-0000-0000B5320000}"/>
    <cellStyle name="Input 2 3 4 3 2" xfId="15921" xr:uid="{00000000-0005-0000-0000-0000B6320000}"/>
    <cellStyle name="Input 2 3 4 3 2 2" xfId="19677" xr:uid="{00000000-0005-0000-0000-0000B7320000}"/>
    <cellStyle name="Input 2 3 4 3 3" xfId="19678" xr:uid="{00000000-0005-0000-0000-0000B8320000}"/>
    <cellStyle name="Input 2 3 4 3 4" xfId="19680" xr:uid="{00000000-0005-0000-0000-0000B9320000}"/>
    <cellStyle name="Input 2 3 4 4" xfId="19683" xr:uid="{00000000-0005-0000-0000-0000BA320000}"/>
    <cellStyle name="Input 2 3 4 4 2" xfId="15926" xr:uid="{00000000-0005-0000-0000-0000BB320000}"/>
    <cellStyle name="Input 2 3 4 4 3" xfId="19686" xr:uid="{00000000-0005-0000-0000-0000BC320000}"/>
    <cellStyle name="Input 2 3 4 5" xfId="19689" xr:uid="{00000000-0005-0000-0000-0000BD320000}"/>
    <cellStyle name="Input 2 3 4 5 2" xfId="19692" xr:uid="{00000000-0005-0000-0000-0000BE320000}"/>
    <cellStyle name="Input 2 3 4 5 3" xfId="19694" xr:uid="{00000000-0005-0000-0000-0000BF320000}"/>
    <cellStyle name="Input 2 3 4 6" xfId="19696" xr:uid="{00000000-0005-0000-0000-0000C0320000}"/>
    <cellStyle name="Input 2 3 4 6 2" xfId="19698" xr:uid="{00000000-0005-0000-0000-0000C1320000}"/>
    <cellStyle name="Input 2 3 4 6 2 2" xfId="19700" xr:uid="{00000000-0005-0000-0000-0000C2320000}"/>
    <cellStyle name="Input 2 3 4 7" xfId="11100" xr:uid="{00000000-0005-0000-0000-0000C3320000}"/>
    <cellStyle name="Input 2 3 4 8" xfId="6580" xr:uid="{00000000-0005-0000-0000-0000C4320000}"/>
    <cellStyle name="Input 2 3 5" xfId="11773" xr:uid="{00000000-0005-0000-0000-0000C5320000}"/>
    <cellStyle name="Input 2 3 5 2" xfId="15056" xr:uid="{00000000-0005-0000-0000-0000C6320000}"/>
    <cellStyle name="Input 2 3 5 2 2" xfId="19701" xr:uid="{00000000-0005-0000-0000-0000C7320000}"/>
    <cellStyle name="Input 2 3 5 2 3" xfId="19702" xr:uid="{00000000-0005-0000-0000-0000C8320000}"/>
    <cellStyle name="Input 2 3 5 2 4" xfId="19703" xr:uid="{00000000-0005-0000-0000-0000C9320000}"/>
    <cellStyle name="Input 2 3 5 3" xfId="15059" xr:uid="{00000000-0005-0000-0000-0000CA320000}"/>
    <cellStyle name="Input 2 3 5 3 2" xfId="15939" xr:uid="{00000000-0005-0000-0000-0000CB320000}"/>
    <cellStyle name="Input 2 3 5 3 3" xfId="19704" xr:uid="{00000000-0005-0000-0000-0000CC320000}"/>
    <cellStyle name="Input 2 3 5 3 4" xfId="19706" xr:uid="{00000000-0005-0000-0000-0000CD320000}"/>
    <cellStyle name="Input 2 3 5 4" xfId="19709" xr:uid="{00000000-0005-0000-0000-0000CE320000}"/>
    <cellStyle name="Input 2 3 5 4 2" xfId="15944" xr:uid="{00000000-0005-0000-0000-0000CF320000}"/>
    <cellStyle name="Input 2 3 5 4 3" xfId="19712" xr:uid="{00000000-0005-0000-0000-0000D0320000}"/>
    <cellStyle name="Input 2 3 5 5" xfId="19715" xr:uid="{00000000-0005-0000-0000-0000D1320000}"/>
    <cellStyle name="Input 2 3 5 5 2" xfId="19718" xr:uid="{00000000-0005-0000-0000-0000D2320000}"/>
    <cellStyle name="Input 2 3 5 5 3" xfId="19720" xr:uid="{00000000-0005-0000-0000-0000D3320000}"/>
    <cellStyle name="Input 2 3 5 6" xfId="19722" xr:uid="{00000000-0005-0000-0000-0000D4320000}"/>
    <cellStyle name="Input 2 3 5 6 2" xfId="19724" xr:uid="{00000000-0005-0000-0000-0000D5320000}"/>
    <cellStyle name="Input 2 3 5 6 2 2" xfId="19726" xr:uid="{00000000-0005-0000-0000-0000D6320000}"/>
    <cellStyle name="Input 2 3 5 7" xfId="11106" xr:uid="{00000000-0005-0000-0000-0000D7320000}"/>
    <cellStyle name="Input 2 3 5 8" xfId="37" xr:uid="{00000000-0005-0000-0000-0000D8320000}"/>
    <cellStyle name="Input 2 3 6" xfId="11775" xr:uid="{00000000-0005-0000-0000-0000D9320000}"/>
    <cellStyle name="Input 2 3 6 2" xfId="15087" xr:uid="{00000000-0005-0000-0000-0000DA320000}"/>
    <cellStyle name="Input 2 3 6 2 2" xfId="19727" xr:uid="{00000000-0005-0000-0000-0000DB320000}"/>
    <cellStyle name="Input 2 3 6 2 3" xfId="19728" xr:uid="{00000000-0005-0000-0000-0000DC320000}"/>
    <cellStyle name="Input 2 3 6 2 4" xfId="19729" xr:uid="{00000000-0005-0000-0000-0000DD320000}"/>
    <cellStyle name="Input 2 3 6 3" xfId="15090" xr:uid="{00000000-0005-0000-0000-0000DE320000}"/>
    <cellStyle name="Input 2 3 6 3 2" xfId="15955" xr:uid="{00000000-0005-0000-0000-0000DF320000}"/>
    <cellStyle name="Input 2 3 6 3 3" xfId="19730" xr:uid="{00000000-0005-0000-0000-0000E0320000}"/>
    <cellStyle name="Input 2 3 6 3 4" xfId="19732" xr:uid="{00000000-0005-0000-0000-0000E1320000}"/>
    <cellStyle name="Input 2 3 6 4" xfId="19734" xr:uid="{00000000-0005-0000-0000-0000E2320000}"/>
    <cellStyle name="Input 2 3 6 4 2" xfId="15960" xr:uid="{00000000-0005-0000-0000-0000E3320000}"/>
    <cellStyle name="Input 2 3 6 4 3" xfId="19737" xr:uid="{00000000-0005-0000-0000-0000E4320000}"/>
    <cellStyle name="Input 2 3 6 5" xfId="19739" xr:uid="{00000000-0005-0000-0000-0000E5320000}"/>
    <cellStyle name="Input 2 3 6 5 2" xfId="19741" xr:uid="{00000000-0005-0000-0000-0000E6320000}"/>
    <cellStyle name="Input 2 3 6 5 3" xfId="19743" xr:uid="{00000000-0005-0000-0000-0000E7320000}"/>
    <cellStyle name="Input 2 3 6 6" xfId="8861" xr:uid="{00000000-0005-0000-0000-0000E8320000}"/>
    <cellStyle name="Input 2 3 6 6 2" xfId="19745" xr:uid="{00000000-0005-0000-0000-0000E9320000}"/>
    <cellStyle name="Input 2 3 6 6 2 2" xfId="11854" xr:uid="{00000000-0005-0000-0000-0000EA320000}"/>
    <cellStyle name="Input 2 3 6 7" xfId="11111" xr:uid="{00000000-0005-0000-0000-0000EB320000}"/>
    <cellStyle name="Input 2 3 6 8" xfId="3545" xr:uid="{00000000-0005-0000-0000-0000EC320000}"/>
    <cellStyle name="Input 2 3 7" xfId="11777" xr:uid="{00000000-0005-0000-0000-0000ED320000}"/>
    <cellStyle name="Input 2 3 7 2" xfId="9564" xr:uid="{00000000-0005-0000-0000-0000EE320000}"/>
    <cellStyle name="Input 2 3 7 2 2" xfId="9566" xr:uid="{00000000-0005-0000-0000-0000EF320000}"/>
    <cellStyle name="Input 2 3 7 2 3" xfId="9568" xr:uid="{00000000-0005-0000-0000-0000F0320000}"/>
    <cellStyle name="Input 2 3 7 2 4" xfId="9570" xr:uid="{00000000-0005-0000-0000-0000F1320000}"/>
    <cellStyle name="Input 2 3 7 3" xfId="9573" xr:uid="{00000000-0005-0000-0000-0000F2320000}"/>
    <cellStyle name="Input 2 3 7 3 2" xfId="9578" xr:uid="{00000000-0005-0000-0000-0000F3320000}"/>
    <cellStyle name="Input 2 3 7 3 3" xfId="9581" xr:uid="{00000000-0005-0000-0000-0000F4320000}"/>
    <cellStyle name="Input 2 3 7 3 4" xfId="9584" xr:uid="{00000000-0005-0000-0000-0000F5320000}"/>
    <cellStyle name="Input 2 3 7 4" xfId="9587" xr:uid="{00000000-0005-0000-0000-0000F6320000}"/>
    <cellStyle name="Input 2 3 7 4 2" xfId="9593" xr:uid="{00000000-0005-0000-0000-0000F7320000}"/>
    <cellStyle name="Input 2 3 7 4 3" xfId="9597" xr:uid="{00000000-0005-0000-0000-0000F8320000}"/>
    <cellStyle name="Input 2 3 7 5" xfId="9600" xr:uid="{00000000-0005-0000-0000-0000F9320000}"/>
    <cellStyle name="Input 2 3 7 5 2" xfId="9603" xr:uid="{00000000-0005-0000-0000-0000FA320000}"/>
    <cellStyle name="Input 2 3 7 5 3" xfId="9606" xr:uid="{00000000-0005-0000-0000-0000FB320000}"/>
    <cellStyle name="Input 2 3 7 6" xfId="9609" xr:uid="{00000000-0005-0000-0000-0000FC320000}"/>
    <cellStyle name="Input 2 3 7 6 2" xfId="19747" xr:uid="{00000000-0005-0000-0000-0000FD320000}"/>
    <cellStyle name="Input 2 3 7 6 2 2" xfId="19749" xr:uid="{00000000-0005-0000-0000-0000FE320000}"/>
    <cellStyle name="Input 2 3 7 7" xfId="9613" xr:uid="{00000000-0005-0000-0000-0000FF320000}"/>
    <cellStyle name="Input 2 3 7 8" xfId="6592" xr:uid="{00000000-0005-0000-0000-000000330000}"/>
    <cellStyle name="Input 2 3 8" xfId="19750" xr:uid="{00000000-0005-0000-0000-000001330000}"/>
    <cellStyle name="Input 2 3 8 2" xfId="3012" xr:uid="{00000000-0005-0000-0000-000002330000}"/>
    <cellStyle name="Input 2 3 8 2 2" xfId="19752" xr:uid="{00000000-0005-0000-0000-000003330000}"/>
    <cellStyle name="Input 2 3 8 2 3" xfId="19753" xr:uid="{00000000-0005-0000-0000-000004330000}"/>
    <cellStyle name="Input 2 3 8 2 4" xfId="19754" xr:uid="{00000000-0005-0000-0000-000005330000}"/>
    <cellStyle name="Input 2 3 8 3" xfId="3015" xr:uid="{00000000-0005-0000-0000-000006330000}"/>
    <cellStyle name="Input 2 3 8 3 2" xfId="15979" xr:uid="{00000000-0005-0000-0000-000007330000}"/>
    <cellStyle name="Input 2 3 8 3 3" xfId="19756" xr:uid="{00000000-0005-0000-0000-000008330000}"/>
    <cellStyle name="Input 2 3 8 3 4" xfId="19758" xr:uid="{00000000-0005-0000-0000-000009330000}"/>
    <cellStyle name="Input 2 3 8 4" xfId="19761" xr:uid="{00000000-0005-0000-0000-00000A330000}"/>
    <cellStyle name="Input 2 3 8 4 2" xfId="4238" xr:uid="{00000000-0005-0000-0000-00000B330000}"/>
    <cellStyle name="Input 2 3 8 4 3" xfId="4250" xr:uid="{00000000-0005-0000-0000-00000C330000}"/>
    <cellStyle name="Input 2 3 8 5" xfId="19763" xr:uid="{00000000-0005-0000-0000-00000D330000}"/>
    <cellStyle name="Input 2 3 8 5 2" xfId="19765" xr:uid="{00000000-0005-0000-0000-00000E330000}"/>
    <cellStyle name="Input 2 3 8 5 3" xfId="19767" xr:uid="{00000000-0005-0000-0000-00000F330000}"/>
    <cellStyle name="Input 2 3 8 6" xfId="19769" xr:uid="{00000000-0005-0000-0000-000010330000}"/>
    <cellStyle name="Input 2 3 8 6 2" xfId="19771" xr:uid="{00000000-0005-0000-0000-000011330000}"/>
    <cellStyle name="Input 2 3 8 6 2 2" xfId="19773" xr:uid="{00000000-0005-0000-0000-000012330000}"/>
    <cellStyle name="Input 2 3 8 7" xfId="11117" xr:uid="{00000000-0005-0000-0000-000013330000}"/>
    <cellStyle name="Input 2 3 8 8" xfId="19774" xr:uid="{00000000-0005-0000-0000-000014330000}"/>
    <cellStyle name="Input 2 3 9" xfId="1733" xr:uid="{00000000-0005-0000-0000-000015330000}"/>
    <cellStyle name="Input 2 3 9 2" xfId="1737" xr:uid="{00000000-0005-0000-0000-000016330000}"/>
    <cellStyle name="Input 2 3 9 2 2" xfId="1740" xr:uid="{00000000-0005-0000-0000-000017330000}"/>
    <cellStyle name="Input 2 3 9 2 3" xfId="1771" xr:uid="{00000000-0005-0000-0000-000018330000}"/>
    <cellStyle name="Input 2 3 9 2 4" xfId="1773" xr:uid="{00000000-0005-0000-0000-000019330000}"/>
    <cellStyle name="Input 2 3 9 3" xfId="1789" xr:uid="{00000000-0005-0000-0000-00001A330000}"/>
    <cellStyle name="Input 2 3 9 3 2" xfId="19776" xr:uid="{00000000-0005-0000-0000-00001B330000}"/>
    <cellStyle name="Input 2 3 9 3 3" xfId="19779" xr:uid="{00000000-0005-0000-0000-00001C330000}"/>
    <cellStyle name="Input 2 3 9 3 4" xfId="19781" xr:uid="{00000000-0005-0000-0000-00001D330000}"/>
    <cellStyle name="Input 2 3 9 4" xfId="1792" xr:uid="{00000000-0005-0000-0000-00001E330000}"/>
    <cellStyle name="Input 2 3 9 4 2" xfId="19783" xr:uid="{00000000-0005-0000-0000-00001F330000}"/>
    <cellStyle name="Input 2 3 9 4 3" xfId="19786" xr:uid="{00000000-0005-0000-0000-000020330000}"/>
    <cellStyle name="Input 2 3 9 5" xfId="1795" xr:uid="{00000000-0005-0000-0000-000021330000}"/>
    <cellStyle name="Input 2 3 9 5 2" xfId="19788" xr:uid="{00000000-0005-0000-0000-000022330000}"/>
    <cellStyle name="Input 2 3 9 5 3" xfId="19790" xr:uid="{00000000-0005-0000-0000-000023330000}"/>
    <cellStyle name="Input 2 3 9 6" xfId="1798" xr:uid="{00000000-0005-0000-0000-000024330000}"/>
    <cellStyle name="Input 2 3 9 6 2" xfId="1801" xr:uid="{00000000-0005-0000-0000-000025330000}"/>
    <cellStyle name="Input 2 3 9 6 2 2" xfId="1807" xr:uid="{00000000-0005-0000-0000-000026330000}"/>
    <cellStyle name="Input 2 3 9 7" xfId="1826" xr:uid="{00000000-0005-0000-0000-000027330000}"/>
    <cellStyle name="Input 2 3 9 8" xfId="1829" xr:uid="{00000000-0005-0000-0000-000028330000}"/>
    <cellStyle name="Input 2 30" xfId="19127" xr:uid="{00000000-0005-0000-0000-000029330000}"/>
    <cellStyle name="Input 2 30 2" xfId="19129" xr:uid="{00000000-0005-0000-0000-00002A330000}"/>
    <cellStyle name="Input 2 30 3" xfId="19132" xr:uid="{00000000-0005-0000-0000-00002B330000}"/>
    <cellStyle name="Input 2 31" xfId="19140" xr:uid="{00000000-0005-0000-0000-00002C330000}"/>
    <cellStyle name="Input 2 31 2" xfId="19143" xr:uid="{00000000-0005-0000-0000-00002D330000}"/>
    <cellStyle name="Input 2 32" xfId="19149" xr:uid="{00000000-0005-0000-0000-00002E330000}"/>
    <cellStyle name="Input 2 32 2" xfId="19152" xr:uid="{00000000-0005-0000-0000-00002F330000}"/>
    <cellStyle name="Input 2 33" xfId="19162" xr:uid="{00000000-0005-0000-0000-000030330000}"/>
    <cellStyle name="Input 2 34" xfId="19169" xr:uid="{00000000-0005-0000-0000-000031330000}"/>
    <cellStyle name="Input 2 4" xfId="19499" xr:uid="{00000000-0005-0000-0000-000032330000}"/>
    <cellStyle name="Input 2 4 10" xfId="17707" xr:uid="{00000000-0005-0000-0000-000033330000}"/>
    <cellStyle name="Input 2 4 10 2" xfId="2575" xr:uid="{00000000-0005-0000-0000-000034330000}"/>
    <cellStyle name="Input 2 4 10 2 2" xfId="19792" xr:uid="{00000000-0005-0000-0000-000035330000}"/>
    <cellStyle name="Input 2 4 10 2 3" xfId="19793" xr:uid="{00000000-0005-0000-0000-000036330000}"/>
    <cellStyle name="Input 2 4 10 2 4" xfId="19794" xr:uid="{00000000-0005-0000-0000-000037330000}"/>
    <cellStyle name="Input 2 4 10 3" xfId="258" xr:uid="{00000000-0005-0000-0000-000038330000}"/>
    <cellStyle name="Input 2 4 10 3 2" xfId="19795" xr:uid="{00000000-0005-0000-0000-000039330000}"/>
    <cellStyle name="Input 2 4 10 3 3" xfId="14103" xr:uid="{00000000-0005-0000-0000-00003A330000}"/>
    <cellStyle name="Input 2 4 10 3 4" xfId="19796" xr:uid="{00000000-0005-0000-0000-00003B330000}"/>
    <cellStyle name="Input 2 4 10 4" xfId="2585" xr:uid="{00000000-0005-0000-0000-00003C330000}"/>
    <cellStyle name="Input 2 4 10 4 2" xfId="19797" xr:uid="{00000000-0005-0000-0000-00003D330000}"/>
    <cellStyle name="Input 2 4 10 4 3" xfId="4210" xr:uid="{00000000-0005-0000-0000-00003E330000}"/>
    <cellStyle name="Input 2 4 10 5" xfId="4454" xr:uid="{00000000-0005-0000-0000-00003F330000}"/>
    <cellStyle name="Input 2 4 10 5 2" xfId="19798" xr:uid="{00000000-0005-0000-0000-000040330000}"/>
    <cellStyle name="Input 2 4 10 5 3" xfId="4221" xr:uid="{00000000-0005-0000-0000-000041330000}"/>
    <cellStyle name="Input 2 4 10 6" xfId="19799" xr:uid="{00000000-0005-0000-0000-000042330000}"/>
    <cellStyle name="Input 2 4 10 7" xfId="4460" xr:uid="{00000000-0005-0000-0000-000043330000}"/>
    <cellStyle name="Input 2 4 10 8" xfId="4468" xr:uid="{00000000-0005-0000-0000-000044330000}"/>
    <cellStyle name="Input 2 4 11" xfId="17712" xr:uid="{00000000-0005-0000-0000-000045330000}"/>
    <cellStyle name="Input 2 4 11 2" xfId="4862" xr:uid="{00000000-0005-0000-0000-000046330000}"/>
    <cellStyle name="Input 2 4 11 2 2" xfId="19801" xr:uid="{00000000-0005-0000-0000-000047330000}"/>
    <cellStyle name="Input 2 4 11 2 3" xfId="19802" xr:uid="{00000000-0005-0000-0000-000048330000}"/>
    <cellStyle name="Input 2 4 11 2 4" xfId="19803" xr:uid="{00000000-0005-0000-0000-000049330000}"/>
    <cellStyle name="Input 2 4 11 3" xfId="4870" xr:uid="{00000000-0005-0000-0000-00004A330000}"/>
    <cellStyle name="Input 2 4 11 3 2" xfId="19804" xr:uid="{00000000-0005-0000-0000-00004B330000}"/>
    <cellStyle name="Input 2 4 11 3 3" xfId="19805" xr:uid="{00000000-0005-0000-0000-00004C330000}"/>
    <cellStyle name="Input 2 4 11 3 4" xfId="19806" xr:uid="{00000000-0005-0000-0000-00004D330000}"/>
    <cellStyle name="Input 2 4 11 4" xfId="4480" xr:uid="{00000000-0005-0000-0000-00004E330000}"/>
    <cellStyle name="Input 2 4 11 4 2" xfId="19807" xr:uid="{00000000-0005-0000-0000-00004F330000}"/>
    <cellStyle name="Input 2 4 11 4 3" xfId="19808" xr:uid="{00000000-0005-0000-0000-000050330000}"/>
    <cellStyle name="Input 2 4 11 5" xfId="4486" xr:uid="{00000000-0005-0000-0000-000051330000}"/>
    <cellStyle name="Input 2 4 11 5 2" xfId="19809" xr:uid="{00000000-0005-0000-0000-000052330000}"/>
    <cellStyle name="Input 2 4 11 5 3" xfId="19810" xr:uid="{00000000-0005-0000-0000-000053330000}"/>
    <cellStyle name="Input 2 4 11 6" xfId="1915" xr:uid="{00000000-0005-0000-0000-000054330000}"/>
    <cellStyle name="Input 2 4 11 7" xfId="1943" xr:uid="{00000000-0005-0000-0000-000055330000}"/>
    <cellStyle name="Input 2 4 11 8" xfId="1948" xr:uid="{00000000-0005-0000-0000-000056330000}"/>
    <cellStyle name="Input 2 4 12" xfId="17716" xr:uid="{00000000-0005-0000-0000-000057330000}"/>
    <cellStyle name="Input 2 4 12 2" xfId="8006" xr:uid="{00000000-0005-0000-0000-000058330000}"/>
    <cellStyle name="Input 2 4 12 2 2" xfId="19811" xr:uid="{00000000-0005-0000-0000-000059330000}"/>
    <cellStyle name="Input 2 4 12 2 3" xfId="19812" xr:uid="{00000000-0005-0000-0000-00005A330000}"/>
    <cellStyle name="Input 2 4 12 2 4" xfId="19813" xr:uid="{00000000-0005-0000-0000-00005B330000}"/>
    <cellStyle name="Input 2 4 12 3" xfId="91" xr:uid="{00000000-0005-0000-0000-00005C330000}"/>
    <cellStyle name="Input 2 4 12 3 2" xfId="19814" xr:uid="{00000000-0005-0000-0000-00005D330000}"/>
    <cellStyle name="Input 2 4 12 3 3" xfId="19815" xr:uid="{00000000-0005-0000-0000-00005E330000}"/>
    <cellStyle name="Input 2 4 12 3 4" xfId="19816" xr:uid="{00000000-0005-0000-0000-00005F330000}"/>
    <cellStyle name="Input 2 4 12 4" xfId="6034" xr:uid="{00000000-0005-0000-0000-000060330000}"/>
    <cellStyle name="Input 2 4 12 4 2" xfId="19817" xr:uid="{00000000-0005-0000-0000-000061330000}"/>
    <cellStyle name="Input 2 4 12 4 3" xfId="19818" xr:uid="{00000000-0005-0000-0000-000062330000}"/>
    <cellStyle name="Input 2 4 12 5" xfId="19819" xr:uid="{00000000-0005-0000-0000-000063330000}"/>
    <cellStyle name="Input 2 4 12 5 2" xfId="19820" xr:uid="{00000000-0005-0000-0000-000064330000}"/>
    <cellStyle name="Input 2 4 12 5 3" xfId="19821" xr:uid="{00000000-0005-0000-0000-000065330000}"/>
    <cellStyle name="Input 2 4 12 6" xfId="19822" xr:uid="{00000000-0005-0000-0000-000066330000}"/>
    <cellStyle name="Input 2 4 12 7" xfId="5739" xr:uid="{00000000-0005-0000-0000-000067330000}"/>
    <cellStyle name="Input 2 4 12 8" xfId="5741" xr:uid="{00000000-0005-0000-0000-000068330000}"/>
    <cellStyle name="Input 2 4 13" xfId="11052" xr:uid="{00000000-0005-0000-0000-000069330000}"/>
    <cellStyle name="Input 2 4 13 2" xfId="17718" xr:uid="{00000000-0005-0000-0000-00006A330000}"/>
    <cellStyle name="Input 2 4 13 3" xfId="6039" xr:uid="{00000000-0005-0000-0000-00006B330000}"/>
    <cellStyle name="Input 2 4 13 4" xfId="6044" xr:uid="{00000000-0005-0000-0000-00006C330000}"/>
    <cellStyle name="Input 2 4 13 5" xfId="19823" xr:uid="{00000000-0005-0000-0000-00006D330000}"/>
    <cellStyle name="Input 2 4 14" xfId="11056" xr:uid="{00000000-0005-0000-0000-00006E330000}"/>
    <cellStyle name="Input 2 4 14 2" xfId="19825" xr:uid="{00000000-0005-0000-0000-00006F330000}"/>
    <cellStyle name="Input 2 4 14 3" xfId="19828" xr:uid="{00000000-0005-0000-0000-000070330000}"/>
    <cellStyle name="Input 2 4 14 4" xfId="19831" xr:uid="{00000000-0005-0000-0000-000071330000}"/>
    <cellStyle name="Input 2 4 14 5" xfId="19834" xr:uid="{00000000-0005-0000-0000-000072330000}"/>
    <cellStyle name="Input 2 4 15" xfId="11061" xr:uid="{00000000-0005-0000-0000-000073330000}"/>
    <cellStyle name="Input 2 4 15 2" xfId="19836" xr:uid="{00000000-0005-0000-0000-000074330000}"/>
    <cellStyle name="Input 2 4 15 3" xfId="19839" xr:uid="{00000000-0005-0000-0000-000075330000}"/>
    <cellStyle name="Input 2 4 15 4" xfId="19842" xr:uid="{00000000-0005-0000-0000-000076330000}"/>
    <cellStyle name="Input 2 4 16" xfId="19845" xr:uid="{00000000-0005-0000-0000-000077330000}"/>
    <cellStyle name="Input 2 4 16 2" xfId="19848" xr:uid="{00000000-0005-0000-0000-000078330000}"/>
    <cellStyle name="Input 2 4 16 3" xfId="19851" xr:uid="{00000000-0005-0000-0000-000079330000}"/>
    <cellStyle name="Input 2 4 16 4" xfId="19854" xr:uid="{00000000-0005-0000-0000-00007A330000}"/>
    <cellStyle name="Input 2 4 17" xfId="19856" xr:uid="{00000000-0005-0000-0000-00007B330000}"/>
    <cellStyle name="Input 2 4 17 2" xfId="19858" xr:uid="{00000000-0005-0000-0000-00007C330000}"/>
    <cellStyle name="Input 2 4 18" xfId="19861" xr:uid="{00000000-0005-0000-0000-00007D330000}"/>
    <cellStyle name="Input 2 4 18 2" xfId="19863" xr:uid="{00000000-0005-0000-0000-00007E330000}"/>
    <cellStyle name="Input 2 4 19" xfId="19866" xr:uid="{00000000-0005-0000-0000-00007F330000}"/>
    <cellStyle name="Input 2 4 19 2" xfId="19868" xr:uid="{00000000-0005-0000-0000-000080330000}"/>
    <cellStyle name="Input 2 4 2" xfId="4890" xr:uid="{00000000-0005-0000-0000-000081330000}"/>
    <cellStyle name="Input 2 4 2 10" xfId="19870" xr:uid="{00000000-0005-0000-0000-000082330000}"/>
    <cellStyle name="Input 2 4 2 10 2" xfId="19871" xr:uid="{00000000-0005-0000-0000-000083330000}"/>
    <cellStyle name="Input 2 4 2 10 2 2" xfId="19872" xr:uid="{00000000-0005-0000-0000-000084330000}"/>
    <cellStyle name="Input 2 4 2 10 2 3" xfId="19873" xr:uid="{00000000-0005-0000-0000-000085330000}"/>
    <cellStyle name="Input 2 4 2 10 2 4" xfId="19777" xr:uid="{00000000-0005-0000-0000-000086330000}"/>
    <cellStyle name="Input 2 4 2 10 3" xfId="2959" xr:uid="{00000000-0005-0000-0000-000087330000}"/>
    <cellStyle name="Input 2 4 2 10 3 2" xfId="19874" xr:uid="{00000000-0005-0000-0000-000088330000}"/>
    <cellStyle name="Input 2 4 2 10 3 3" xfId="19875" xr:uid="{00000000-0005-0000-0000-000089330000}"/>
    <cellStyle name="Input 2 4 2 10 3 4" xfId="19784" xr:uid="{00000000-0005-0000-0000-00008A330000}"/>
    <cellStyle name="Input 2 4 2 10 4" xfId="2961" xr:uid="{00000000-0005-0000-0000-00008B330000}"/>
    <cellStyle name="Input 2 4 2 10 4 2" xfId="19876" xr:uid="{00000000-0005-0000-0000-00008C330000}"/>
    <cellStyle name="Input 2 4 2 10 4 3" xfId="19877" xr:uid="{00000000-0005-0000-0000-00008D330000}"/>
    <cellStyle name="Input 2 4 2 10 5" xfId="19878" xr:uid="{00000000-0005-0000-0000-00008E330000}"/>
    <cellStyle name="Input 2 4 2 10 5 2" xfId="19879" xr:uid="{00000000-0005-0000-0000-00008F330000}"/>
    <cellStyle name="Input 2 4 2 10 5 3" xfId="19880" xr:uid="{00000000-0005-0000-0000-000090330000}"/>
    <cellStyle name="Input 2 4 2 10 6" xfId="19881" xr:uid="{00000000-0005-0000-0000-000091330000}"/>
    <cellStyle name="Input 2 4 2 10 7" xfId="19882" xr:uid="{00000000-0005-0000-0000-000092330000}"/>
    <cellStyle name="Input 2 4 2 11" xfId="18529" xr:uid="{00000000-0005-0000-0000-000093330000}"/>
    <cellStyle name="Input 2 4 2 11 2" xfId="18531" xr:uid="{00000000-0005-0000-0000-000094330000}"/>
    <cellStyle name="Input 2 4 2 11 3" xfId="18538" xr:uid="{00000000-0005-0000-0000-000095330000}"/>
    <cellStyle name="Input 2 4 2 11 4" xfId="19884" xr:uid="{00000000-0005-0000-0000-000096330000}"/>
    <cellStyle name="Input 2 4 2 12" xfId="18540" xr:uid="{00000000-0005-0000-0000-000097330000}"/>
    <cellStyle name="Input 2 4 2 12 2" xfId="19885" xr:uid="{00000000-0005-0000-0000-000098330000}"/>
    <cellStyle name="Input 2 4 2 12 3" xfId="19886" xr:uid="{00000000-0005-0000-0000-000099330000}"/>
    <cellStyle name="Input 2 4 2 12 4" xfId="13479" xr:uid="{00000000-0005-0000-0000-00009A330000}"/>
    <cellStyle name="Input 2 4 2 13" xfId="19887" xr:uid="{00000000-0005-0000-0000-00009B330000}"/>
    <cellStyle name="Input 2 4 2 13 2" xfId="19888" xr:uid="{00000000-0005-0000-0000-00009C330000}"/>
    <cellStyle name="Input 2 4 2 13 3" xfId="19889" xr:uid="{00000000-0005-0000-0000-00009D330000}"/>
    <cellStyle name="Input 2 4 2 14" xfId="16424" xr:uid="{00000000-0005-0000-0000-00009E330000}"/>
    <cellStyle name="Input 2 4 2 14 2" xfId="16426" xr:uid="{00000000-0005-0000-0000-00009F330000}"/>
    <cellStyle name="Input 2 4 2 14 3" xfId="16429" xr:uid="{00000000-0005-0000-0000-0000A0330000}"/>
    <cellStyle name="Input 2 4 2 15" xfId="16432" xr:uid="{00000000-0005-0000-0000-0000A1330000}"/>
    <cellStyle name="Input 2 4 2 16" xfId="16438" xr:uid="{00000000-0005-0000-0000-0000A2330000}"/>
    <cellStyle name="Input 2 4 2 17" xfId="16445" xr:uid="{00000000-0005-0000-0000-0000A3330000}"/>
    <cellStyle name="Input 2 4 2 18" xfId="16452" xr:uid="{00000000-0005-0000-0000-0000A4330000}"/>
    <cellStyle name="Input 2 4 2 2" xfId="15589" xr:uid="{00000000-0005-0000-0000-0000A5330000}"/>
    <cellStyle name="Input 2 4 2 2 2" xfId="19890" xr:uid="{00000000-0005-0000-0000-0000A6330000}"/>
    <cellStyle name="Input 2 4 2 2 2 2" xfId="19891" xr:uid="{00000000-0005-0000-0000-0000A7330000}"/>
    <cellStyle name="Input 2 4 2 2 2 3" xfId="19892" xr:uid="{00000000-0005-0000-0000-0000A8330000}"/>
    <cellStyle name="Input 2 4 2 2 2 4" xfId="19893" xr:uid="{00000000-0005-0000-0000-0000A9330000}"/>
    <cellStyle name="Input 2 4 2 2 3" xfId="19894" xr:uid="{00000000-0005-0000-0000-0000AA330000}"/>
    <cellStyle name="Input 2 4 2 2 3 2" xfId="19895" xr:uid="{00000000-0005-0000-0000-0000AB330000}"/>
    <cellStyle name="Input 2 4 2 2 3 3" xfId="19896" xr:uid="{00000000-0005-0000-0000-0000AC330000}"/>
    <cellStyle name="Input 2 4 2 2 3 4" xfId="19897" xr:uid="{00000000-0005-0000-0000-0000AD330000}"/>
    <cellStyle name="Input 2 4 2 2 4" xfId="19898" xr:uid="{00000000-0005-0000-0000-0000AE330000}"/>
    <cellStyle name="Input 2 4 2 2 4 2" xfId="19899" xr:uid="{00000000-0005-0000-0000-0000AF330000}"/>
    <cellStyle name="Input 2 4 2 2 4 3" xfId="19900" xr:uid="{00000000-0005-0000-0000-0000B0330000}"/>
    <cellStyle name="Input 2 4 2 2 5" xfId="19901" xr:uid="{00000000-0005-0000-0000-0000B1330000}"/>
    <cellStyle name="Input 2 4 2 2 5 2" xfId="19902" xr:uid="{00000000-0005-0000-0000-0000B2330000}"/>
    <cellStyle name="Input 2 4 2 2 5 3" xfId="19903" xr:uid="{00000000-0005-0000-0000-0000B3330000}"/>
    <cellStyle name="Input 2 4 2 2 6" xfId="19904" xr:uid="{00000000-0005-0000-0000-0000B4330000}"/>
    <cellStyle name="Input 2 4 2 2 7" xfId="19906" xr:uid="{00000000-0005-0000-0000-0000B5330000}"/>
    <cellStyle name="Input 2 4 2 3" xfId="15591" xr:uid="{00000000-0005-0000-0000-0000B6330000}"/>
    <cellStyle name="Input 2 4 2 3 2" xfId="16064" xr:uid="{00000000-0005-0000-0000-0000B7330000}"/>
    <cellStyle name="Input 2 4 2 3 2 2" xfId="19908" xr:uid="{00000000-0005-0000-0000-0000B8330000}"/>
    <cellStyle name="Input 2 4 2 3 2 3" xfId="19909" xr:uid="{00000000-0005-0000-0000-0000B9330000}"/>
    <cellStyle name="Input 2 4 2 3 2 4" xfId="19910" xr:uid="{00000000-0005-0000-0000-0000BA330000}"/>
    <cellStyle name="Input 2 4 2 3 3" xfId="19911" xr:uid="{00000000-0005-0000-0000-0000BB330000}"/>
    <cellStyle name="Input 2 4 2 3 3 2" xfId="19913" xr:uid="{00000000-0005-0000-0000-0000BC330000}"/>
    <cellStyle name="Input 2 4 2 3 3 3" xfId="19914" xr:uid="{00000000-0005-0000-0000-0000BD330000}"/>
    <cellStyle name="Input 2 4 2 3 3 4" xfId="19915" xr:uid="{00000000-0005-0000-0000-0000BE330000}"/>
    <cellStyle name="Input 2 4 2 3 4" xfId="19916" xr:uid="{00000000-0005-0000-0000-0000BF330000}"/>
    <cellStyle name="Input 2 4 2 3 4 2" xfId="19918" xr:uid="{00000000-0005-0000-0000-0000C0330000}"/>
    <cellStyle name="Input 2 4 2 3 4 3" xfId="19919" xr:uid="{00000000-0005-0000-0000-0000C1330000}"/>
    <cellStyle name="Input 2 4 2 3 5" xfId="19920" xr:uid="{00000000-0005-0000-0000-0000C2330000}"/>
    <cellStyle name="Input 2 4 2 3 5 2" xfId="19921" xr:uid="{00000000-0005-0000-0000-0000C3330000}"/>
    <cellStyle name="Input 2 4 2 3 5 3" xfId="19922" xr:uid="{00000000-0005-0000-0000-0000C4330000}"/>
    <cellStyle name="Input 2 4 2 3 6" xfId="19923" xr:uid="{00000000-0005-0000-0000-0000C5330000}"/>
    <cellStyle name="Input 2 4 2 3 7" xfId="19924" xr:uid="{00000000-0005-0000-0000-0000C6330000}"/>
    <cellStyle name="Input 2 4 2 4" xfId="19926" xr:uid="{00000000-0005-0000-0000-0000C7330000}"/>
    <cellStyle name="Input 2 4 2 4 2" xfId="16070" xr:uid="{00000000-0005-0000-0000-0000C8330000}"/>
    <cellStyle name="Input 2 4 2 4 2 2" xfId="19928" xr:uid="{00000000-0005-0000-0000-0000C9330000}"/>
    <cellStyle name="Input 2 4 2 4 2 3" xfId="19929" xr:uid="{00000000-0005-0000-0000-0000CA330000}"/>
    <cellStyle name="Input 2 4 2 4 2 4" xfId="19930" xr:uid="{00000000-0005-0000-0000-0000CB330000}"/>
    <cellStyle name="Input 2 4 2 4 3" xfId="19931" xr:uid="{00000000-0005-0000-0000-0000CC330000}"/>
    <cellStyle name="Input 2 4 2 4 3 2" xfId="19933" xr:uid="{00000000-0005-0000-0000-0000CD330000}"/>
    <cellStyle name="Input 2 4 2 4 3 3" xfId="19934" xr:uid="{00000000-0005-0000-0000-0000CE330000}"/>
    <cellStyle name="Input 2 4 2 4 3 4" xfId="19935" xr:uid="{00000000-0005-0000-0000-0000CF330000}"/>
    <cellStyle name="Input 2 4 2 4 4" xfId="19936" xr:uid="{00000000-0005-0000-0000-0000D0330000}"/>
    <cellStyle name="Input 2 4 2 4 4 2" xfId="19938" xr:uid="{00000000-0005-0000-0000-0000D1330000}"/>
    <cellStyle name="Input 2 4 2 4 4 3" xfId="19939" xr:uid="{00000000-0005-0000-0000-0000D2330000}"/>
    <cellStyle name="Input 2 4 2 4 5" xfId="19940" xr:uid="{00000000-0005-0000-0000-0000D3330000}"/>
    <cellStyle name="Input 2 4 2 4 5 2" xfId="19941" xr:uid="{00000000-0005-0000-0000-0000D4330000}"/>
    <cellStyle name="Input 2 4 2 4 5 3" xfId="19942" xr:uid="{00000000-0005-0000-0000-0000D5330000}"/>
    <cellStyle name="Input 2 4 2 4 6" xfId="19943" xr:uid="{00000000-0005-0000-0000-0000D6330000}"/>
    <cellStyle name="Input 2 4 2 4 7" xfId="19944" xr:uid="{00000000-0005-0000-0000-0000D7330000}"/>
    <cellStyle name="Input 2 4 2 5" xfId="19946" xr:uid="{00000000-0005-0000-0000-0000D8330000}"/>
    <cellStyle name="Input 2 4 2 5 2" xfId="19948" xr:uid="{00000000-0005-0000-0000-0000D9330000}"/>
    <cellStyle name="Input 2 4 2 5 2 2" xfId="19950" xr:uid="{00000000-0005-0000-0000-0000DA330000}"/>
    <cellStyle name="Input 2 4 2 5 2 3" xfId="19951" xr:uid="{00000000-0005-0000-0000-0000DB330000}"/>
    <cellStyle name="Input 2 4 2 5 2 4" xfId="19952" xr:uid="{00000000-0005-0000-0000-0000DC330000}"/>
    <cellStyle name="Input 2 4 2 5 3" xfId="19953" xr:uid="{00000000-0005-0000-0000-0000DD330000}"/>
    <cellStyle name="Input 2 4 2 5 3 2" xfId="19955" xr:uid="{00000000-0005-0000-0000-0000DE330000}"/>
    <cellStyle name="Input 2 4 2 5 3 3" xfId="19956" xr:uid="{00000000-0005-0000-0000-0000DF330000}"/>
    <cellStyle name="Input 2 4 2 5 3 4" xfId="19957" xr:uid="{00000000-0005-0000-0000-0000E0330000}"/>
    <cellStyle name="Input 2 4 2 5 4" xfId="19958" xr:uid="{00000000-0005-0000-0000-0000E1330000}"/>
    <cellStyle name="Input 2 4 2 5 4 2" xfId="19959" xr:uid="{00000000-0005-0000-0000-0000E2330000}"/>
    <cellStyle name="Input 2 4 2 5 4 3" xfId="19960" xr:uid="{00000000-0005-0000-0000-0000E3330000}"/>
    <cellStyle name="Input 2 4 2 5 5" xfId="19961" xr:uid="{00000000-0005-0000-0000-0000E4330000}"/>
    <cellStyle name="Input 2 4 2 5 5 2" xfId="19962" xr:uid="{00000000-0005-0000-0000-0000E5330000}"/>
    <cellStyle name="Input 2 4 2 5 5 3" xfId="18459" xr:uid="{00000000-0005-0000-0000-0000E6330000}"/>
    <cellStyle name="Input 2 4 2 5 6" xfId="19963" xr:uid="{00000000-0005-0000-0000-0000E7330000}"/>
    <cellStyle name="Input 2 4 2 5 7" xfId="19964" xr:uid="{00000000-0005-0000-0000-0000E8330000}"/>
    <cellStyle name="Input 2 4 2 6" xfId="19968" xr:uid="{00000000-0005-0000-0000-0000E9330000}"/>
    <cellStyle name="Input 2 4 2 6 2" xfId="19970" xr:uid="{00000000-0005-0000-0000-0000EA330000}"/>
    <cellStyle name="Input 2 4 2 6 2 2" xfId="19972" xr:uid="{00000000-0005-0000-0000-0000EB330000}"/>
    <cellStyle name="Input 2 4 2 6 2 3" xfId="19973" xr:uid="{00000000-0005-0000-0000-0000EC330000}"/>
    <cellStyle name="Input 2 4 2 6 2 4" xfId="19974" xr:uid="{00000000-0005-0000-0000-0000ED330000}"/>
    <cellStyle name="Input 2 4 2 6 3" xfId="18839" xr:uid="{00000000-0005-0000-0000-0000EE330000}"/>
    <cellStyle name="Input 2 4 2 6 3 2" xfId="9165" xr:uid="{00000000-0005-0000-0000-0000EF330000}"/>
    <cellStyle name="Input 2 4 2 6 3 3" xfId="9181" xr:uid="{00000000-0005-0000-0000-0000F0330000}"/>
    <cellStyle name="Input 2 4 2 6 3 4" xfId="9196" xr:uid="{00000000-0005-0000-0000-0000F1330000}"/>
    <cellStyle name="Input 2 4 2 6 4" xfId="19975" xr:uid="{00000000-0005-0000-0000-0000F2330000}"/>
    <cellStyle name="Input 2 4 2 6 4 2" xfId="4731" xr:uid="{00000000-0005-0000-0000-0000F3330000}"/>
    <cellStyle name="Input 2 4 2 6 4 3" xfId="19976" xr:uid="{00000000-0005-0000-0000-0000F4330000}"/>
    <cellStyle name="Input 2 4 2 6 5" xfId="19977" xr:uid="{00000000-0005-0000-0000-0000F5330000}"/>
    <cellStyle name="Input 2 4 2 6 5 2" xfId="4741" xr:uid="{00000000-0005-0000-0000-0000F6330000}"/>
    <cellStyle name="Input 2 4 2 6 5 3" xfId="19978" xr:uid="{00000000-0005-0000-0000-0000F7330000}"/>
    <cellStyle name="Input 2 4 2 6 6" xfId="19979" xr:uid="{00000000-0005-0000-0000-0000F8330000}"/>
    <cellStyle name="Input 2 4 2 6 7" xfId="19980" xr:uid="{00000000-0005-0000-0000-0000F9330000}"/>
    <cellStyle name="Input 2 4 2 7" xfId="19982" xr:uid="{00000000-0005-0000-0000-0000FA330000}"/>
    <cellStyle name="Input 2 4 2 7 2" xfId="19984" xr:uid="{00000000-0005-0000-0000-0000FB330000}"/>
    <cellStyle name="Input 2 4 2 7 2 2" xfId="19985" xr:uid="{00000000-0005-0000-0000-0000FC330000}"/>
    <cellStyle name="Input 2 4 2 7 2 3" xfId="19986" xr:uid="{00000000-0005-0000-0000-0000FD330000}"/>
    <cellStyle name="Input 2 4 2 7 2 4" xfId="19987" xr:uid="{00000000-0005-0000-0000-0000FE330000}"/>
    <cellStyle name="Input 2 4 2 7 3" xfId="19988" xr:uid="{00000000-0005-0000-0000-0000FF330000}"/>
    <cellStyle name="Input 2 4 2 7 3 2" xfId="13456" xr:uid="{00000000-0005-0000-0000-000000340000}"/>
    <cellStyle name="Input 2 4 2 7 3 3" xfId="13465" xr:uid="{00000000-0005-0000-0000-000001340000}"/>
    <cellStyle name="Input 2 4 2 7 3 4" xfId="13470" xr:uid="{00000000-0005-0000-0000-000002340000}"/>
    <cellStyle name="Input 2 4 2 7 4" xfId="19989" xr:uid="{00000000-0005-0000-0000-000003340000}"/>
    <cellStyle name="Input 2 4 2 7 4 2" xfId="19990" xr:uid="{00000000-0005-0000-0000-000004340000}"/>
    <cellStyle name="Input 2 4 2 7 4 3" xfId="19991" xr:uid="{00000000-0005-0000-0000-000005340000}"/>
    <cellStyle name="Input 2 4 2 7 5" xfId="19992" xr:uid="{00000000-0005-0000-0000-000006340000}"/>
    <cellStyle name="Input 2 4 2 7 5 2" xfId="19993" xr:uid="{00000000-0005-0000-0000-000007340000}"/>
    <cellStyle name="Input 2 4 2 7 5 3" xfId="19995" xr:uid="{00000000-0005-0000-0000-000008340000}"/>
    <cellStyle name="Input 2 4 2 7 6" xfId="19997" xr:uid="{00000000-0005-0000-0000-000009340000}"/>
    <cellStyle name="Input 2 4 2 7 7" xfId="19998" xr:uid="{00000000-0005-0000-0000-00000A340000}"/>
    <cellStyle name="Input 2 4 2 8" xfId="20000" xr:uid="{00000000-0005-0000-0000-00000B340000}"/>
    <cellStyle name="Input 2 4 2 8 2" xfId="20003" xr:uid="{00000000-0005-0000-0000-00000C340000}"/>
    <cellStyle name="Input 2 4 2 8 2 2" xfId="18374" xr:uid="{00000000-0005-0000-0000-00000D340000}"/>
    <cellStyle name="Input 2 4 2 8 2 3" xfId="18381" xr:uid="{00000000-0005-0000-0000-00000E340000}"/>
    <cellStyle name="Input 2 4 2 8 2 4" xfId="18386" xr:uid="{00000000-0005-0000-0000-00000F340000}"/>
    <cellStyle name="Input 2 4 2 8 3" xfId="20005" xr:uid="{00000000-0005-0000-0000-000010340000}"/>
    <cellStyle name="Input 2 4 2 8 3 2" xfId="18398" xr:uid="{00000000-0005-0000-0000-000011340000}"/>
    <cellStyle name="Input 2 4 2 8 3 3" xfId="18405" xr:uid="{00000000-0005-0000-0000-000012340000}"/>
    <cellStyle name="Input 2 4 2 8 3 4" xfId="18411" xr:uid="{00000000-0005-0000-0000-000013340000}"/>
    <cellStyle name="Input 2 4 2 8 4" xfId="20007" xr:uid="{00000000-0005-0000-0000-000014340000}"/>
    <cellStyle name="Input 2 4 2 8 4 2" xfId="18422" xr:uid="{00000000-0005-0000-0000-000015340000}"/>
    <cellStyle name="Input 2 4 2 8 4 3" xfId="18430" xr:uid="{00000000-0005-0000-0000-000016340000}"/>
    <cellStyle name="Input 2 4 2 8 5" xfId="20009" xr:uid="{00000000-0005-0000-0000-000017340000}"/>
    <cellStyle name="Input 2 4 2 8 5 2" xfId="18441" xr:uid="{00000000-0005-0000-0000-000018340000}"/>
    <cellStyle name="Input 2 4 2 8 5 3" xfId="18443" xr:uid="{00000000-0005-0000-0000-000019340000}"/>
    <cellStyle name="Input 2 4 2 8 6" xfId="20010" xr:uid="{00000000-0005-0000-0000-00001A340000}"/>
    <cellStyle name="Input 2 4 2 8 7" xfId="20011" xr:uid="{00000000-0005-0000-0000-00001B340000}"/>
    <cellStyle name="Input 2 4 2 9" xfId="20013" xr:uid="{00000000-0005-0000-0000-00001C340000}"/>
    <cellStyle name="Input 2 4 2 9 2" xfId="20015" xr:uid="{00000000-0005-0000-0000-00001D340000}"/>
    <cellStyle name="Input 2 4 2 9 2 2" xfId="20017" xr:uid="{00000000-0005-0000-0000-00001E340000}"/>
    <cellStyle name="Input 2 4 2 9 2 3" xfId="20018" xr:uid="{00000000-0005-0000-0000-00001F340000}"/>
    <cellStyle name="Input 2 4 2 9 2 4" xfId="20019" xr:uid="{00000000-0005-0000-0000-000020340000}"/>
    <cellStyle name="Input 2 4 2 9 3" xfId="20020" xr:uid="{00000000-0005-0000-0000-000021340000}"/>
    <cellStyle name="Input 2 4 2 9 3 2" xfId="2475" xr:uid="{00000000-0005-0000-0000-000022340000}"/>
    <cellStyle name="Input 2 4 2 9 3 3" xfId="20022" xr:uid="{00000000-0005-0000-0000-000023340000}"/>
    <cellStyle name="Input 2 4 2 9 3 4" xfId="20024" xr:uid="{00000000-0005-0000-0000-000024340000}"/>
    <cellStyle name="Input 2 4 2 9 4" xfId="20025" xr:uid="{00000000-0005-0000-0000-000025340000}"/>
    <cellStyle name="Input 2 4 2 9 4 2" xfId="20027" xr:uid="{00000000-0005-0000-0000-000026340000}"/>
    <cellStyle name="Input 2 4 2 9 4 3" xfId="20028" xr:uid="{00000000-0005-0000-0000-000027340000}"/>
    <cellStyle name="Input 2 4 2 9 5" xfId="20029" xr:uid="{00000000-0005-0000-0000-000028340000}"/>
    <cellStyle name="Input 2 4 2 9 5 2" xfId="20030" xr:uid="{00000000-0005-0000-0000-000029340000}"/>
    <cellStyle name="Input 2 4 2 9 5 3" xfId="20031" xr:uid="{00000000-0005-0000-0000-00002A340000}"/>
    <cellStyle name="Input 2 4 2 9 6" xfId="20032" xr:uid="{00000000-0005-0000-0000-00002B340000}"/>
    <cellStyle name="Input 2 4 2 9 7" xfId="20033" xr:uid="{00000000-0005-0000-0000-00002C340000}"/>
    <cellStyle name="Input 2 4 20" xfId="11062" xr:uid="{00000000-0005-0000-0000-00002D340000}"/>
    <cellStyle name="Input 2 4 21" xfId="19846" xr:uid="{00000000-0005-0000-0000-00002E340000}"/>
    <cellStyle name="Input 2 4 22" xfId="19857" xr:uid="{00000000-0005-0000-0000-00002F340000}"/>
    <cellStyle name="Input 2 4 23" xfId="19862" xr:uid="{00000000-0005-0000-0000-000030340000}"/>
    <cellStyle name="Input 2 4 24" xfId="19867" xr:uid="{00000000-0005-0000-0000-000031340000}"/>
    <cellStyle name="Input 2 4 25" xfId="20034" xr:uid="{00000000-0005-0000-0000-000032340000}"/>
    <cellStyle name="Input 2 4 26" xfId="20036" xr:uid="{00000000-0005-0000-0000-000033340000}"/>
    <cellStyle name="Input 2 4 27" xfId="20037" xr:uid="{00000000-0005-0000-0000-000034340000}"/>
    <cellStyle name="Input 2 4 28" xfId="20038" xr:uid="{00000000-0005-0000-0000-000035340000}"/>
    <cellStyle name="Input 2 4 29" xfId="20039" xr:uid="{00000000-0005-0000-0000-000036340000}"/>
    <cellStyle name="Input 2 4 3" xfId="19501" xr:uid="{00000000-0005-0000-0000-000037340000}"/>
    <cellStyle name="Input 2 4 3 10" xfId="20040" xr:uid="{00000000-0005-0000-0000-000038340000}"/>
    <cellStyle name="Input 2 4 3 10 2" xfId="17021" xr:uid="{00000000-0005-0000-0000-000039340000}"/>
    <cellStyle name="Input 2 4 3 10 2 2" xfId="20042" xr:uid="{00000000-0005-0000-0000-00003A340000}"/>
    <cellStyle name="Input 2 4 3 10 2 3" xfId="20043" xr:uid="{00000000-0005-0000-0000-00003B340000}"/>
    <cellStyle name="Input 2 4 3 10 2 4" xfId="20044" xr:uid="{00000000-0005-0000-0000-00003C340000}"/>
    <cellStyle name="Input 2 4 3 10 3" xfId="20047" xr:uid="{00000000-0005-0000-0000-00003D340000}"/>
    <cellStyle name="Input 2 4 3 10 3 2" xfId="20048" xr:uid="{00000000-0005-0000-0000-00003E340000}"/>
    <cellStyle name="Input 2 4 3 10 3 3" xfId="20049" xr:uid="{00000000-0005-0000-0000-00003F340000}"/>
    <cellStyle name="Input 2 4 3 10 3 4" xfId="20050" xr:uid="{00000000-0005-0000-0000-000040340000}"/>
    <cellStyle name="Input 2 4 3 10 4" xfId="20053" xr:uid="{00000000-0005-0000-0000-000041340000}"/>
    <cellStyle name="Input 2 4 3 10 4 2" xfId="20054" xr:uid="{00000000-0005-0000-0000-000042340000}"/>
    <cellStyle name="Input 2 4 3 10 4 3" xfId="20056" xr:uid="{00000000-0005-0000-0000-000043340000}"/>
    <cellStyle name="Input 2 4 3 10 5" xfId="20058" xr:uid="{00000000-0005-0000-0000-000044340000}"/>
    <cellStyle name="Input 2 4 3 10 5 2" xfId="20059" xr:uid="{00000000-0005-0000-0000-000045340000}"/>
    <cellStyle name="Input 2 4 3 10 5 3" xfId="20061" xr:uid="{00000000-0005-0000-0000-000046340000}"/>
    <cellStyle name="Input 2 4 3 10 6" xfId="20063" xr:uid="{00000000-0005-0000-0000-000047340000}"/>
    <cellStyle name="Input 2 4 3 10 7" xfId="20065" xr:uid="{00000000-0005-0000-0000-000048340000}"/>
    <cellStyle name="Input 2 4 3 11" xfId="11149" xr:uid="{00000000-0005-0000-0000-000049340000}"/>
    <cellStyle name="Input 2 4 3 11 2" xfId="20067" xr:uid="{00000000-0005-0000-0000-00004A340000}"/>
    <cellStyle name="Input 2 4 3 11 3" xfId="20068" xr:uid="{00000000-0005-0000-0000-00004B340000}"/>
    <cellStyle name="Input 2 4 3 11 4" xfId="20069" xr:uid="{00000000-0005-0000-0000-00004C340000}"/>
    <cellStyle name="Input 2 4 3 12" xfId="6650" xr:uid="{00000000-0005-0000-0000-00004D340000}"/>
    <cellStyle name="Input 2 4 3 12 2" xfId="20070" xr:uid="{00000000-0005-0000-0000-00004E340000}"/>
    <cellStyle name="Input 2 4 3 12 3" xfId="20071" xr:uid="{00000000-0005-0000-0000-00004F340000}"/>
    <cellStyle name="Input 2 4 3 12 4" xfId="13722" xr:uid="{00000000-0005-0000-0000-000050340000}"/>
    <cellStyle name="Input 2 4 3 13" xfId="3879" xr:uid="{00000000-0005-0000-0000-000051340000}"/>
    <cellStyle name="Input 2 4 3 13 2" xfId="20072" xr:uid="{00000000-0005-0000-0000-000052340000}"/>
    <cellStyle name="Input 2 4 3 13 3" xfId="20073" xr:uid="{00000000-0005-0000-0000-000053340000}"/>
    <cellStyle name="Input 2 4 3 14" xfId="3887" xr:uid="{00000000-0005-0000-0000-000054340000}"/>
    <cellStyle name="Input 2 4 3 14 2" xfId="16560" xr:uid="{00000000-0005-0000-0000-000055340000}"/>
    <cellStyle name="Input 2 4 3 14 3" xfId="16562" xr:uid="{00000000-0005-0000-0000-000056340000}"/>
    <cellStyle name="Input 2 4 3 15" xfId="7640" xr:uid="{00000000-0005-0000-0000-000057340000}"/>
    <cellStyle name="Input 2 4 3 16" xfId="16565" xr:uid="{00000000-0005-0000-0000-000058340000}"/>
    <cellStyle name="Input 2 4 3 17" xfId="16569" xr:uid="{00000000-0005-0000-0000-000059340000}"/>
    <cellStyle name="Input 2 4 3 18" xfId="16575" xr:uid="{00000000-0005-0000-0000-00005A340000}"/>
    <cellStyle name="Input 2 4 3 2" xfId="6269" xr:uid="{00000000-0005-0000-0000-00005B340000}"/>
    <cellStyle name="Input 2 4 3 2 2" xfId="20074" xr:uid="{00000000-0005-0000-0000-00005C340000}"/>
    <cellStyle name="Input 2 4 3 2 2 2" xfId="20075" xr:uid="{00000000-0005-0000-0000-00005D340000}"/>
    <cellStyle name="Input 2 4 3 2 2 3" xfId="20076" xr:uid="{00000000-0005-0000-0000-00005E340000}"/>
    <cellStyle name="Input 2 4 3 2 2 4" xfId="20077" xr:uid="{00000000-0005-0000-0000-00005F340000}"/>
    <cellStyle name="Input 2 4 3 2 3" xfId="20078" xr:uid="{00000000-0005-0000-0000-000060340000}"/>
    <cellStyle name="Input 2 4 3 2 3 2" xfId="20079" xr:uid="{00000000-0005-0000-0000-000061340000}"/>
    <cellStyle name="Input 2 4 3 2 3 3" xfId="20080" xr:uid="{00000000-0005-0000-0000-000062340000}"/>
    <cellStyle name="Input 2 4 3 2 3 4" xfId="20081" xr:uid="{00000000-0005-0000-0000-000063340000}"/>
    <cellStyle name="Input 2 4 3 2 4" xfId="20082" xr:uid="{00000000-0005-0000-0000-000064340000}"/>
    <cellStyle name="Input 2 4 3 2 4 2" xfId="20083" xr:uid="{00000000-0005-0000-0000-000065340000}"/>
    <cellStyle name="Input 2 4 3 2 4 3" xfId="20084" xr:uid="{00000000-0005-0000-0000-000066340000}"/>
    <cellStyle name="Input 2 4 3 2 5" xfId="20085" xr:uid="{00000000-0005-0000-0000-000067340000}"/>
    <cellStyle name="Input 2 4 3 2 5 2" xfId="20086" xr:uid="{00000000-0005-0000-0000-000068340000}"/>
    <cellStyle name="Input 2 4 3 2 5 3" xfId="20087" xr:uid="{00000000-0005-0000-0000-000069340000}"/>
    <cellStyle name="Input 2 4 3 2 6" xfId="20088" xr:uid="{00000000-0005-0000-0000-00006A340000}"/>
    <cellStyle name="Input 2 4 3 2 7" xfId="20090" xr:uid="{00000000-0005-0000-0000-00006B340000}"/>
    <cellStyle name="Input 2 4 3 3" xfId="5143" xr:uid="{00000000-0005-0000-0000-00006C340000}"/>
    <cellStyle name="Input 2 4 3 3 2" xfId="16093" xr:uid="{00000000-0005-0000-0000-00006D340000}"/>
    <cellStyle name="Input 2 4 3 3 2 2" xfId="20092" xr:uid="{00000000-0005-0000-0000-00006E340000}"/>
    <cellStyle name="Input 2 4 3 3 2 3" xfId="20094" xr:uid="{00000000-0005-0000-0000-00006F340000}"/>
    <cellStyle name="Input 2 4 3 3 2 4" xfId="20096" xr:uid="{00000000-0005-0000-0000-000070340000}"/>
    <cellStyle name="Input 2 4 3 3 3" xfId="20098" xr:uid="{00000000-0005-0000-0000-000071340000}"/>
    <cellStyle name="Input 2 4 3 3 3 2" xfId="20100" xr:uid="{00000000-0005-0000-0000-000072340000}"/>
    <cellStyle name="Input 2 4 3 3 3 3" xfId="20102" xr:uid="{00000000-0005-0000-0000-000073340000}"/>
    <cellStyle name="Input 2 4 3 3 3 4" xfId="20104" xr:uid="{00000000-0005-0000-0000-000074340000}"/>
    <cellStyle name="Input 2 4 3 3 4" xfId="20106" xr:uid="{00000000-0005-0000-0000-000075340000}"/>
    <cellStyle name="Input 2 4 3 3 4 2" xfId="20108" xr:uid="{00000000-0005-0000-0000-000076340000}"/>
    <cellStyle name="Input 2 4 3 3 4 3" xfId="20110" xr:uid="{00000000-0005-0000-0000-000077340000}"/>
    <cellStyle name="Input 2 4 3 3 5" xfId="20112" xr:uid="{00000000-0005-0000-0000-000078340000}"/>
    <cellStyle name="Input 2 4 3 3 5 2" xfId="20113" xr:uid="{00000000-0005-0000-0000-000079340000}"/>
    <cellStyle name="Input 2 4 3 3 5 3" xfId="20115" xr:uid="{00000000-0005-0000-0000-00007A340000}"/>
    <cellStyle name="Input 2 4 3 3 6" xfId="20117" xr:uid="{00000000-0005-0000-0000-00007B340000}"/>
    <cellStyle name="Input 2 4 3 3 7" xfId="20118" xr:uid="{00000000-0005-0000-0000-00007C340000}"/>
    <cellStyle name="Input 2 4 3 4" xfId="20120" xr:uid="{00000000-0005-0000-0000-00007D340000}"/>
    <cellStyle name="Input 2 4 3 4 2" xfId="16099" xr:uid="{00000000-0005-0000-0000-00007E340000}"/>
    <cellStyle name="Input 2 4 3 4 2 2" xfId="20122" xr:uid="{00000000-0005-0000-0000-00007F340000}"/>
    <cellStyle name="Input 2 4 3 4 2 3" xfId="20123" xr:uid="{00000000-0005-0000-0000-000080340000}"/>
    <cellStyle name="Input 2 4 3 4 2 4" xfId="20124" xr:uid="{00000000-0005-0000-0000-000081340000}"/>
    <cellStyle name="Input 2 4 3 4 3" xfId="20125" xr:uid="{00000000-0005-0000-0000-000082340000}"/>
    <cellStyle name="Input 2 4 3 4 3 2" xfId="20127" xr:uid="{00000000-0005-0000-0000-000083340000}"/>
    <cellStyle name="Input 2 4 3 4 3 3" xfId="20128" xr:uid="{00000000-0005-0000-0000-000084340000}"/>
    <cellStyle name="Input 2 4 3 4 3 4" xfId="20129" xr:uid="{00000000-0005-0000-0000-000085340000}"/>
    <cellStyle name="Input 2 4 3 4 4" xfId="20130" xr:uid="{00000000-0005-0000-0000-000086340000}"/>
    <cellStyle name="Input 2 4 3 4 4 2" xfId="20132" xr:uid="{00000000-0005-0000-0000-000087340000}"/>
    <cellStyle name="Input 2 4 3 4 4 3" xfId="20133" xr:uid="{00000000-0005-0000-0000-000088340000}"/>
    <cellStyle name="Input 2 4 3 4 5" xfId="20134" xr:uid="{00000000-0005-0000-0000-000089340000}"/>
    <cellStyle name="Input 2 4 3 4 5 2" xfId="20135" xr:uid="{00000000-0005-0000-0000-00008A340000}"/>
    <cellStyle name="Input 2 4 3 4 5 3" xfId="20136" xr:uid="{00000000-0005-0000-0000-00008B340000}"/>
    <cellStyle name="Input 2 4 3 4 6" xfId="20137" xr:uid="{00000000-0005-0000-0000-00008C340000}"/>
    <cellStyle name="Input 2 4 3 4 7" xfId="20138" xr:uid="{00000000-0005-0000-0000-00008D340000}"/>
    <cellStyle name="Input 2 4 3 5" xfId="20140" xr:uid="{00000000-0005-0000-0000-00008E340000}"/>
    <cellStyle name="Input 2 4 3 5 2" xfId="20142" xr:uid="{00000000-0005-0000-0000-00008F340000}"/>
    <cellStyle name="Input 2 4 3 5 2 2" xfId="20144" xr:uid="{00000000-0005-0000-0000-000090340000}"/>
    <cellStyle name="Input 2 4 3 5 2 3" xfId="20145" xr:uid="{00000000-0005-0000-0000-000091340000}"/>
    <cellStyle name="Input 2 4 3 5 2 4" xfId="20146" xr:uid="{00000000-0005-0000-0000-000092340000}"/>
    <cellStyle name="Input 2 4 3 5 3" xfId="20147" xr:uid="{00000000-0005-0000-0000-000093340000}"/>
    <cellStyle name="Input 2 4 3 5 3 2" xfId="20149" xr:uid="{00000000-0005-0000-0000-000094340000}"/>
    <cellStyle name="Input 2 4 3 5 3 3" xfId="20150" xr:uid="{00000000-0005-0000-0000-000095340000}"/>
    <cellStyle name="Input 2 4 3 5 3 4" xfId="20151" xr:uid="{00000000-0005-0000-0000-000096340000}"/>
    <cellStyle name="Input 2 4 3 5 4" xfId="20152" xr:uid="{00000000-0005-0000-0000-000097340000}"/>
    <cellStyle name="Input 2 4 3 5 4 2" xfId="20153" xr:uid="{00000000-0005-0000-0000-000098340000}"/>
    <cellStyle name="Input 2 4 3 5 4 3" xfId="20154" xr:uid="{00000000-0005-0000-0000-000099340000}"/>
    <cellStyle name="Input 2 4 3 5 5" xfId="20155" xr:uid="{00000000-0005-0000-0000-00009A340000}"/>
    <cellStyle name="Input 2 4 3 5 5 2" xfId="20156" xr:uid="{00000000-0005-0000-0000-00009B340000}"/>
    <cellStyle name="Input 2 4 3 5 5 3" xfId="20157" xr:uid="{00000000-0005-0000-0000-00009C340000}"/>
    <cellStyle name="Input 2 4 3 5 6" xfId="20158" xr:uid="{00000000-0005-0000-0000-00009D340000}"/>
    <cellStyle name="Input 2 4 3 5 7" xfId="20160" xr:uid="{00000000-0005-0000-0000-00009E340000}"/>
    <cellStyle name="Input 2 4 3 6" xfId="20164" xr:uid="{00000000-0005-0000-0000-00009F340000}"/>
    <cellStyle name="Input 2 4 3 6 2" xfId="20166" xr:uid="{00000000-0005-0000-0000-0000A0340000}"/>
    <cellStyle name="Input 2 4 3 6 2 2" xfId="20168" xr:uid="{00000000-0005-0000-0000-0000A1340000}"/>
    <cellStyle name="Input 2 4 3 6 2 3" xfId="20169" xr:uid="{00000000-0005-0000-0000-0000A2340000}"/>
    <cellStyle name="Input 2 4 3 6 2 4" xfId="20170" xr:uid="{00000000-0005-0000-0000-0000A3340000}"/>
    <cellStyle name="Input 2 4 3 6 3" xfId="20171" xr:uid="{00000000-0005-0000-0000-0000A4340000}"/>
    <cellStyle name="Input 2 4 3 6 3 2" xfId="20173" xr:uid="{00000000-0005-0000-0000-0000A5340000}"/>
    <cellStyle name="Input 2 4 3 6 3 3" xfId="20174" xr:uid="{00000000-0005-0000-0000-0000A6340000}"/>
    <cellStyle name="Input 2 4 3 6 3 4" xfId="20175" xr:uid="{00000000-0005-0000-0000-0000A7340000}"/>
    <cellStyle name="Input 2 4 3 6 4" xfId="20176" xr:uid="{00000000-0005-0000-0000-0000A8340000}"/>
    <cellStyle name="Input 2 4 3 6 4 2" xfId="20177" xr:uid="{00000000-0005-0000-0000-0000A9340000}"/>
    <cellStyle name="Input 2 4 3 6 4 3" xfId="20178" xr:uid="{00000000-0005-0000-0000-0000AA340000}"/>
    <cellStyle name="Input 2 4 3 6 5" xfId="20179" xr:uid="{00000000-0005-0000-0000-0000AB340000}"/>
    <cellStyle name="Input 2 4 3 6 5 2" xfId="20180" xr:uid="{00000000-0005-0000-0000-0000AC340000}"/>
    <cellStyle name="Input 2 4 3 6 5 3" xfId="20181" xr:uid="{00000000-0005-0000-0000-0000AD340000}"/>
    <cellStyle name="Input 2 4 3 6 6" xfId="20182" xr:uid="{00000000-0005-0000-0000-0000AE340000}"/>
    <cellStyle name="Input 2 4 3 6 7" xfId="20184" xr:uid="{00000000-0005-0000-0000-0000AF340000}"/>
    <cellStyle name="Input 2 4 3 7" xfId="20187" xr:uid="{00000000-0005-0000-0000-0000B0340000}"/>
    <cellStyle name="Input 2 4 3 7 2" xfId="20189" xr:uid="{00000000-0005-0000-0000-0000B1340000}"/>
    <cellStyle name="Input 2 4 3 7 2 2" xfId="20190" xr:uid="{00000000-0005-0000-0000-0000B2340000}"/>
    <cellStyle name="Input 2 4 3 7 2 3" xfId="20191" xr:uid="{00000000-0005-0000-0000-0000B3340000}"/>
    <cellStyle name="Input 2 4 3 7 2 4" xfId="20192" xr:uid="{00000000-0005-0000-0000-0000B4340000}"/>
    <cellStyle name="Input 2 4 3 7 3" xfId="20193" xr:uid="{00000000-0005-0000-0000-0000B5340000}"/>
    <cellStyle name="Input 2 4 3 7 3 2" xfId="20194" xr:uid="{00000000-0005-0000-0000-0000B6340000}"/>
    <cellStyle name="Input 2 4 3 7 3 3" xfId="20195" xr:uid="{00000000-0005-0000-0000-0000B7340000}"/>
    <cellStyle name="Input 2 4 3 7 3 4" xfId="20196" xr:uid="{00000000-0005-0000-0000-0000B8340000}"/>
    <cellStyle name="Input 2 4 3 7 4" xfId="20197" xr:uid="{00000000-0005-0000-0000-0000B9340000}"/>
    <cellStyle name="Input 2 4 3 7 4 2" xfId="20198" xr:uid="{00000000-0005-0000-0000-0000BA340000}"/>
    <cellStyle name="Input 2 4 3 7 4 3" xfId="20199" xr:uid="{00000000-0005-0000-0000-0000BB340000}"/>
    <cellStyle name="Input 2 4 3 7 5" xfId="20200" xr:uid="{00000000-0005-0000-0000-0000BC340000}"/>
    <cellStyle name="Input 2 4 3 7 5 2" xfId="20201" xr:uid="{00000000-0005-0000-0000-0000BD340000}"/>
    <cellStyle name="Input 2 4 3 7 5 3" xfId="20202" xr:uid="{00000000-0005-0000-0000-0000BE340000}"/>
    <cellStyle name="Input 2 4 3 7 6" xfId="20203" xr:uid="{00000000-0005-0000-0000-0000BF340000}"/>
    <cellStyle name="Input 2 4 3 7 7" xfId="20205" xr:uid="{00000000-0005-0000-0000-0000C0340000}"/>
    <cellStyle name="Input 2 4 3 8" xfId="20208" xr:uid="{00000000-0005-0000-0000-0000C1340000}"/>
    <cellStyle name="Input 2 4 3 8 2" xfId="20211" xr:uid="{00000000-0005-0000-0000-0000C2340000}"/>
    <cellStyle name="Input 2 4 3 8 2 2" xfId="20212" xr:uid="{00000000-0005-0000-0000-0000C3340000}"/>
    <cellStyle name="Input 2 4 3 8 2 3" xfId="20214" xr:uid="{00000000-0005-0000-0000-0000C4340000}"/>
    <cellStyle name="Input 2 4 3 8 2 4" xfId="20216" xr:uid="{00000000-0005-0000-0000-0000C5340000}"/>
    <cellStyle name="Input 2 4 3 8 3" xfId="20218" xr:uid="{00000000-0005-0000-0000-0000C6340000}"/>
    <cellStyle name="Input 2 4 3 8 3 2" xfId="20219" xr:uid="{00000000-0005-0000-0000-0000C7340000}"/>
    <cellStyle name="Input 2 4 3 8 3 3" xfId="20221" xr:uid="{00000000-0005-0000-0000-0000C8340000}"/>
    <cellStyle name="Input 2 4 3 8 3 4" xfId="20223" xr:uid="{00000000-0005-0000-0000-0000C9340000}"/>
    <cellStyle name="Input 2 4 3 8 4" xfId="20225" xr:uid="{00000000-0005-0000-0000-0000CA340000}"/>
    <cellStyle name="Input 2 4 3 8 4 2" xfId="20226" xr:uid="{00000000-0005-0000-0000-0000CB340000}"/>
    <cellStyle name="Input 2 4 3 8 4 3" xfId="20228" xr:uid="{00000000-0005-0000-0000-0000CC340000}"/>
    <cellStyle name="Input 2 4 3 8 5" xfId="20230" xr:uid="{00000000-0005-0000-0000-0000CD340000}"/>
    <cellStyle name="Input 2 4 3 8 5 2" xfId="20231" xr:uid="{00000000-0005-0000-0000-0000CE340000}"/>
    <cellStyle name="Input 2 4 3 8 5 3" xfId="20233" xr:uid="{00000000-0005-0000-0000-0000CF340000}"/>
    <cellStyle name="Input 2 4 3 8 6" xfId="20235" xr:uid="{00000000-0005-0000-0000-0000D0340000}"/>
    <cellStyle name="Input 2 4 3 8 7" xfId="20237" xr:uid="{00000000-0005-0000-0000-0000D1340000}"/>
    <cellStyle name="Input 2 4 3 9" xfId="20240" xr:uid="{00000000-0005-0000-0000-0000D2340000}"/>
    <cellStyle name="Input 2 4 3 9 2" xfId="20242" xr:uid="{00000000-0005-0000-0000-0000D3340000}"/>
    <cellStyle name="Input 2 4 3 9 2 2" xfId="20243" xr:uid="{00000000-0005-0000-0000-0000D4340000}"/>
    <cellStyle name="Input 2 4 3 9 2 3" xfId="20244" xr:uid="{00000000-0005-0000-0000-0000D5340000}"/>
    <cellStyle name="Input 2 4 3 9 2 4" xfId="20245" xr:uid="{00000000-0005-0000-0000-0000D6340000}"/>
    <cellStyle name="Input 2 4 3 9 3" xfId="20246" xr:uid="{00000000-0005-0000-0000-0000D7340000}"/>
    <cellStyle name="Input 2 4 3 9 3 2" xfId="20247" xr:uid="{00000000-0005-0000-0000-0000D8340000}"/>
    <cellStyle name="Input 2 4 3 9 3 3" xfId="20248" xr:uid="{00000000-0005-0000-0000-0000D9340000}"/>
    <cellStyle name="Input 2 4 3 9 3 4" xfId="20249" xr:uid="{00000000-0005-0000-0000-0000DA340000}"/>
    <cellStyle name="Input 2 4 3 9 4" xfId="20250" xr:uid="{00000000-0005-0000-0000-0000DB340000}"/>
    <cellStyle name="Input 2 4 3 9 4 2" xfId="20251" xr:uid="{00000000-0005-0000-0000-0000DC340000}"/>
    <cellStyle name="Input 2 4 3 9 4 3" xfId="20252" xr:uid="{00000000-0005-0000-0000-0000DD340000}"/>
    <cellStyle name="Input 2 4 3 9 5" xfId="20253" xr:uid="{00000000-0005-0000-0000-0000DE340000}"/>
    <cellStyle name="Input 2 4 3 9 5 2" xfId="20254" xr:uid="{00000000-0005-0000-0000-0000DF340000}"/>
    <cellStyle name="Input 2 4 3 9 5 3" xfId="20255" xr:uid="{00000000-0005-0000-0000-0000E0340000}"/>
    <cellStyle name="Input 2 4 3 9 6" xfId="20256" xr:uid="{00000000-0005-0000-0000-0000E1340000}"/>
    <cellStyle name="Input 2 4 3 9 7" xfId="20257" xr:uid="{00000000-0005-0000-0000-0000E2340000}"/>
    <cellStyle name="Input 2 4 30" xfId="20035" xr:uid="{00000000-0005-0000-0000-0000E3340000}"/>
    <cellStyle name="Input 2 4 4" xfId="20258" xr:uid="{00000000-0005-0000-0000-0000E4340000}"/>
    <cellStyle name="Input 2 4 4 2" xfId="15624" xr:uid="{00000000-0005-0000-0000-0000E5340000}"/>
    <cellStyle name="Input 2 4 4 2 2" xfId="20259" xr:uid="{00000000-0005-0000-0000-0000E6340000}"/>
    <cellStyle name="Input 2 4 4 2 3" xfId="20260" xr:uid="{00000000-0005-0000-0000-0000E7340000}"/>
    <cellStyle name="Input 2 4 4 2 4" xfId="20261" xr:uid="{00000000-0005-0000-0000-0000E8340000}"/>
    <cellStyle name="Input 2 4 4 3" xfId="15627" xr:uid="{00000000-0005-0000-0000-0000E9340000}"/>
    <cellStyle name="Input 2 4 4 3 2" xfId="16113" xr:uid="{00000000-0005-0000-0000-0000EA340000}"/>
    <cellStyle name="Input 2 4 4 3 3" xfId="20262" xr:uid="{00000000-0005-0000-0000-0000EB340000}"/>
    <cellStyle name="Input 2 4 4 3 4" xfId="20264" xr:uid="{00000000-0005-0000-0000-0000EC340000}"/>
    <cellStyle name="Input 2 4 4 4" xfId="20267" xr:uid="{00000000-0005-0000-0000-0000ED340000}"/>
    <cellStyle name="Input 2 4 4 4 2" xfId="16118" xr:uid="{00000000-0005-0000-0000-0000EE340000}"/>
    <cellStyle name="Input 2 4 4 4 3" xfId="20270" xr:uid="{00000000-0005-0000-0000-0000EF340000}"/>
    <cellStyle name="Input 2 4 4 5" xfId="20273" xr:uid="{00000000-0005-0000-0000-0000F0340000}"/>
    <cellStyle name="Input 2 4 4 5 2" xfId="20276" xr:uid="{00000000-0005-0000-0000-0000F1340000}"/>
    <cellStyle name="Input 2 4 4 5 3" xfId="20278" xr:uid="{00000000-0005-0000-0000-0000F2340000}"/>
    <cellStyle name="Input 2 4 4 6" xfId="20280" xr:uid="{00000000-0005-0000-0000-0000F3340000}"/>
    <cellStyle name="Input 2 4 4 7" xfId="11125" xr:uid="{00000000-0005-0000-0000-0000F4340000}"/>
    <cellStyle name="Input 2 4 4 8" xfId="6605" xr:uid="{00000000-0005-0000-0000-0000F5340000}"/>
    <cellStyle name="Input 2 4 5" xfId="11780" xr:uid="{00000000-0005-0000-0000-0000F6340000}"/>
    <cellStyle name="Input 2 4 5 2" xfId="15654" xr:uid="{00000000-0005-0000-0000-0000F7340000}"/>
    <cellStyle name="Input 2 4 5 2 2" xfId="20282" xr:uid="{00000000-0005-0000-0000-0000F8340000}"/>
    <cellStyle name="Input 2 4 5 2 3" xfId="20283" xr:uid="{00000000-0005-0000-0000-0000F9340000}"/>
    <cellStyle name="Input 2 4 5 2 4" xfId="20284" xr:uid="{00000000-0005-0000-0000-0000FA340000}"/>
    <cellStyle name="Input 2 4 5 3" xfId="15657" xr:uid="{00000000-0005-0000-0000-0000FB340000}"/>
    <cellStyle name="Input 2 4 5 3 2" xfId="16129" xr:uid="{00000000-0005-0000-0000-0000FC340000}"/>
    <cellStyle name="Input 2 4 5 3 3" xfId="9537" xr:uid="{00000000-0005-0000-0000-0000FD340000}"/>
    <cellStyle name="Input 2 4 5 3 4" xfId="9540" xr:uid="{00000000-0005-0000-0000-0000FE340000}"/>
    <cellStyle name="Input 2 4 5 4" xfId="20286" xr:uid="{00000000-0005-0000-0000-0000FF340000}"/>
    <cellStyle name="Input 2 4 5 4 2" xfId="16134" xr:uid="{00000000-0005-0000-0000-000000350000}"/>
    <cellStyle name="Input 2 4 5 4 3" xfId="9546" xr:uid="{00000000-0005-0000-0000-000001350000}"/>
    <cellStyle name="Input 2 4 5 5" xfId="20290" xr:uid="{00000000-0005-0000-0000-000002350000}"/>
    <cellStyle name="Input 2 4 5 5 2" xfId="20293" xr:uid="{00000000-0005-0000-0000-000003350000}"/>
    <cellStyle name="Input 2 4 5 5 3" xfId="9553" xr:uid="{00000000-0005-0000-0000-000004350000}"/>
    <cellStyle name="Input 2 4 5 6" xfId="20295" xr:uid="{00000000-0005-0000-0000-000005350000}"/>
    <cellStyle name="Input 2 4 5 7" xfId="11129" xr:uid="{00000000-0005-0000-0000-000006350000}"/>
    <cellStyle name="Input 2 4 5 8" xfId="6615" xr:uid="{00000000-0005-0000-0000-000007350000}"/>
    <cellStyle name="Input 2 4 6" xfId="11782" xr:uid="{00000000-0005-0000-0000-000008350000}"/>
    <cellStyle name="Input 2 4 6 2" xfId="15685" xr:uid="{00000000-0005-0000-0000-000009350000}"/>
    <cellStyle name="Input 2 4 6 2 2" xfId="20297" xr:uid="{00000000-0005-0000-0000-00000A350000}"/>
    <cellStyle name="Input 2 4 6 2 3" xfId="20298" xr:uid="{00000000-0005-0000-0000-00000B350000}"/>
    <cellStyle name="Input 2 4 6 2 4" xfId="20299" xr:uid="{00000000-0005-0000-0000-00000C350000}"/>
    <cellStyle name="Input 2 4 6 3" xfId="15688" xr:uid="{00000000-0005-0000-0000-00000D350000}"/>
    <cellStyle name="Input 2 4 6 3 2" xfId="16144" xr:uid="{00000000-0005-0000-0000-00000E350000}"/>
    <cellStyle name="Input 2 4 6 3 3" xfId="20300" xr:uid="{00000000-0005-0000-0000-00000F350000}"/>
    <cellStyle name="Input 2 4 6 3 4" xfId="20302" xr:uid="{00000000-0005-0000-0000-000010350000}"/>
    <cellStyle name="Input 2 4 6 4" xfId="20304" xr:uid="{00000000-0005-0000-0000-000011350000}"/>
    <cellStyle name="Input 2 4 6 4 2" xfId="16150" xr:uid="{00000000-0005-0000-0000-000012350000}"/>
    <cellStyle name="Input 2 4 6 4 3" xfId="20307" xr:uid="{00000000-0005-0000-0000-000013350000}"/>
    <cellStyle name="Input 2 4 6 5" xfId="20309" xr:uid="{00000000-0005-0000-0000-000014350000}"/>
    <cellStyle name="Input 2 4 6 5 2" xfId="20311" xr:uid="{00000000-0005-0000-0000-000015350000}"/>
    <cellStyle name="Input 2 4 6 5 3" xfId="20313" xr:uid="{00000000-0005-0000-0000-000016350000}"/>
    <cellStyle name="Input 2 4 6 6" xfId="20315" xr:uid="{00000000-0005-0000-0000-000017350000}"/>
    <cellStyle name="Input 2 4 6 7" xfId="11134" xr:uid="{00000000-0005-0000-0000-000018350000}"/>
    <cellStyle name="Input 2 4 6 8" xfId="6624" xr:uid="{00000000-0005-0000-0000-000019350000}"/>
    <cellStyle name="Input 2 4 7" xfId="11784" xr:uid="{00000000-0005-0000-0000-00001A350000}"/>
    <cellStyle name="Input 2 4 7 2" xfId="15708" xr:uid="{00000000-0005-0000-0000-00001B350000}"/>
    <cellStyle name="Input 2 4 7 2 2" xfId="20317" xr:uid="{00000000-0005-0000-0000-00001C350000}"/>
    <cellStyle name="Input 2 4 7 2 3" xfId="20318" xr:uid="{00000000-0005-0000-0000-00001D350000}"/>
    <cellStyle name="Input 2 4 7 2 4" xfId="20319" xr:uid="{00000000-0005-0000-0000-00001E350000}"/>
    <cellStyle name="Input 2 4 7 3" xfId="15710" xr:uid="{00000000-0005-0000-0000-00001F350000}"/>
    <cellStyle name="Input 2 4 7 3 2" xfId="14251" xr:uid="{00000000-0005-0000-0000-000020350000}"/>
    <cellStyle name="Input 2 4 7 3 3" xfId="14255" xr:uid="{00000000-0005-0000-0000-000021350000}"/>
    <cellStyle name="Input 2 4 7 3 4" xfId="8470" xr:uid="{00000000-0005-0000-0000-000022350000}"/>
    <cellStyle name="Input 2 4 7 4" xfId="20320" xr:uid="{00000000-0005-0000-0000-000023350000}"/>
    <cellStyle name="Input 2 4 7 4 2" xfId="16162" xr:uid="{00000000-0005-0000-0000-000024350000}"/>
    <cellStyle name="Input 2 4 7 4 3" xfId="20323" xr:uid="{00000000-0005-0000-0000-000025350000}"/>
    <cellStyle name="Input 2 4 7 5" xfId="20325" xr:uid="{00000000-0005-0000-0000-000026350000}"/>
    <cellStyle name="Input 2 4 7 5 2" xfId="20327" xr:uid="{00000000-0005-0000-0000-000027350000}"/>
    <cellStyle name="Input 2 4 7 5 3" xfId="20329" xr:uid="{00000000-0005-0000-0000-000028350000}"/>
    <cellStyle name="Input 2 4 7 6" xfId="20331" xr:uid="{00000000-0005-0000-0000-000029350000}"/>
    <cellStyle name="Input 2 4 7 7" xfId="11138" xr:uid="{00000000-0005-0000-0000-00002A350000}"/>
    <cellStyle name="Input 2 4 7 8" xfId="6637" xr:uid="{00000000-0005-0000-0000-00002B350000}"/>
    <cellStyle name="Input 2 4 8" xfId="20333" xr:uid="{00000000-0005-0000-0000-00002C350000}"/>
    <cellStyle name="Input 2 4 8 2" xfId="20335" xr:uid="{00000000-0005-0000-0000-00002D350000}"/>
    <cellStyle name="Input 2 4 8 2 2" xfId="20336" xr:uid="{00000000-0005-0000-0000-00002E350000}"/>
    <cellStyle name="Input 2 4 8 2 3" xfId="15812" xr:uid="{00000000-0005-0000-0000-00002F350000}"/>
    <cellStyle name="Input 2 4 8 2 4" xfId="15814" xr:uid="{00000000-0005-0000-0000-000030350000}"/>
    <cellStyle name="Input 2 4 8 3" xfId="20337" xr:uid="{00000000-0005-0000-0000-000031350000}"/>
    <cellStyle name="Input 2 4 8 3 2" xfId="16177" xr:uid="{00000000-0005-0000-0000-000032350000}"/>
    <cellStyle name="Input 2 4 8 3 3" xfId="20339" xr:uid="{00000000-0005-0000-0000-000033350000}"/>
    <cellStyle name="Input 2 4 8 3 4" xfId="8493" xr:uid="{00000000-0005-0000-0000-000034350000}"/>
    <cellStyle name="Input 2 4 8 4" xfId="20341" xr:uid="{00000000-0005-0000-0000-000035350000}"/>
    <cellStyle name="Input 2 4 8 4 2" xfId="16185" xr:uid="{00000000-0005-0000-0000-000036350000}"/>
    <cellStyle name="Input 2 4 8 4 3" xfId="20343" xr:uid="{00000000-0005-0000-0000-000037350000}"/>
    <cellStyle name="Input 2 4 8 5" xfId="20345" xr:uid="{00000000-0005-0000-0000-000038350000}"/>
    <cellStyle name="Input 2 4 8 5 2" xfId="20347" xr:uid="{00000000-0005-0000-0000-000039350000}"/>
    <cellStyle name="Input 2 4 8 5 3" xfId="20349" xr:uid="{00000000-0005-0000-0000-00003A350000}"/>
    <cellStyle name="Input 2 4 8 6" xfId="20351" xr:uid="{00000000-0005-0000-0000-00003B350000}"/>
    <cellStyle name="Input 2 4 8 7" xfId="20353" xr:uid="{00000000-0005-0000-0000-00003C350000}"/>
    <cellStyle name="Input 2 4 8 8" xfId="20355" xr:uid="{00000000-0005-0000-0000-00003D350000}"/>
    <cellStyle name="Input 2 4 9" xfId="1859" xr:uid="{00000000-0005-0000-0000-00003E350000}"/>
    <cellStyle name="Input 2 4 9 2" xfId="1861" xr:uid="{00000000-0005-0000-0000-00003F350000}"/>
    <cellStyle name="Input 2 4 9 2 2" xfId="1863" xr:uid="{00000000-0005-0000-0000-000040350000}"/>
    <cellStyle name="Input 2 4 9 2 3" xfId="1876" xr:uid="{00000000-0005-0000-0000-000041350000}"/>
    <cellStyle name="Input 2 4 9 2 4" xfId="1878" xr:uid="{00000000-0005-0000-0000-000042350000}"/>
    <cellStyle name="Input 2 4 9 3" xfId="1886" xr:uid="{00000000-0005-0000-0000-000043350000}"/>
    <cellStyle name="Input 2 4 9 3 2" xfId="20357" xr:uid="{00000000-0005-0000-0000-000044350000}"/>
    <cellStyle name="Input 2 4 9 3 3" xfId="20358" xr:uid="{00000000-0005-0000-0000-000045350000}"/>
    <cellStyle name="Input 2 4 9 3 4" xfId="8509" xr:uid="{00000000-0005-0000-0000-000046350000}"/>
    <cellStyle name="Input 2 4 9 4" xfId="1889" xr:uid="{00000000-0005-0000-0000-000047350000}"/>
    <cellStyle name="Input 2 4 9 4 2" xfId="1891" xr:uid="{00000000-0005-0000-0000-000048350000}"/>
    <cellStyle name="Input 2 4 9 4 3" xfId="1901" xr:uid="{00000000-0005-0000-0000-000049350000}"/>
    <cellStyle name="Input 2 4 9 5" xfId="243" xr:uid="{00000000-0005-0000-0000-00004A350000}"/>
    <cellStyle name="Input 2 4 9 5 2" xfId="20359" xr:uid="{00000000-0005-0000-0000-00004B350000}"/>
    <cellStyle name="Input 2 4 9 5 3" xfId="20360" xr:uid="{00000000-0005-0000-0000-00004C350000}"/>
    <cellStyle name="Input 2 4 9 6" xfId="1493" xr:uid="{00000000-0005-0000-0000-00004D350000}"/>
    <cellStyle name="Input 2 4 9 7" xfId="1903" xr:uid="{00000000-0005-0000-0000-00004E350000}"/>
    <cellStyle name="Input 2 4 9 8" xfId="1252" xr:uid="{00000000-0005-0000-0000-00004F350000}"/>
    <cellStyle name="Input 2 5" xfId="19503" xr:uid="{00000000-0005-0000-0000-000050350000}"/>
    <cellStyle name="Input 2 5 10" xfId="10333" xr:uid="{00000000-0005-0000-0000-000051350000}"/>
    <cellStyle name="Input 2 5 10 2" xfId="10335" xr:uid="{00000000-0005-0000-0000-000052350000}"/>
    <cellStyle name="Input 2 5 10 2 2" xfId="17823" xr:uid="{00000000-0005-0000-0000-000053350000}"/>
    <cellStyle name="Input 2 5 10 2 3" xfId="17831" xr:uid="{00000000-0005-0000-0000-000054350000}"/>
    <cellStyle name="Input 2 5 10 2 4" xfId="17836" xr:uid="{00000000-0005-0000-0000-000055350000}"/>
    <cellStyle name="Input 2 5 10 3" xfId="1104" xr:uid="{00000000-0005-0000-0000-000056350000}"/>
    <cellStyle name="Input 2 5 10 3 2" xfId="17860" xr:uid="{00000000-0005-0000-0000-000057350000}"/>
    <cellStyle name="Input 2 5 10 3 3" xfId="17868" xr:uid="{00000000-0005-0000-0000-000058350000}"/>
    <cellStyle name="Input 2 5 10 3 4" xfId="17872" xr:uid="{00000000-0005-0000-0000-000059350000}"/>
    <cellStyle name="Input 2 5 10 4" xfId="473" xr:uid="{00000000-0005-0000-0000-00005A350000}"/>
    <cellStyle name="Input 2 5 10 4 2" xfId="17889" xr:uid="{00000000-0005-0000-0000-00005B350000}"/>
    <cellStyle name="Input 2 5 10 4 3" xfId="521" xr:uid="{00000000-0005-0000-0000-00005C350000}"/>
    <cellStyle name="Input 2 5 10 5" xfId="571" xr:uid="{00000000-0005-0000-0000-00005D350000}"/>
    <cellStyle name="Input 2 5 10 5 2" xfId="17903" xr:uid="{00000000-0005-0000-0000-00005E350000}"/>
    <cellStyle name="Input 2 5 10 5 3" xfId="4503" xr:uid="{00000000-0005-0000-0000-00005F350000}"/>
    <cellStyle name="Input 2 5 10 6" xfId="7237" xr:uid="{00000000-0005-0000-0000-000060350000}"/>
    <cellStyle name="Input 2 5 10 7" xfId="598" xr:uid="{00000000-0005-0000-0000-000061350000}"/>
    <cellStyle name="Input 2 5 10 8" xfId="607" xr:uid="{00000000-0005-0000-0000-000062350000}"/>
    <cellStyle name="Input 2 5 11" xfId="10337" xr:uid="{00000000-0005-0000-0000-000063350000}"/>
    <cellStyle name="Input 2 5 11 2" xfId="10339" xr:uid="{00000000-0005-0000-0000-000064350000}"/>
    <cellStyle name="Input 2 5 11 2 2" xfId="18041" xr:uid="{00000000-0005-0000-0000-000065350000}"/>
    <cellStyle name="Input 2 5 11 2 3" xfId="18048" xr:uid="{00000000-0005-0000-0000-000066350000}"/>
    <cellStyle name="Input 2 5 11 2 4" xfId="18053" xr:uid="{00000000-0005-0000-0000-000067350000}"/>
    <cellStyle name="Input 2 5 11 3" xfId="586" xr:uid="{00000000-0005-0000-0000-000068350000}"/>
    <cellStyle name="Input 2 5 11 3 2" xfId="18081" xr:uid="{00000000-0005-0000-0000-000069350000}"/>
    <cellStyle name="Input 2 5 11 3 3" xfId="18091" xr:uid="{00000000-0005-0000-0000-00006A350000}"/>
    <cellStyle name="Input 2 5 11 3 4" xfId="18097" xr:uid="{00000000-0005-0000-0000-00006B350000}"/>
    <cellStyle name="Input 2 5 11 4" xfId="1306" xr:uid="{00000000-0005-0000-0000-00006C350000}"/>
    <cellStyle name="Input 2 5 11 4 2" xfId="18122" xr:uid="{00000000-0005-0000-0000-00006D350000}"/>
    <cellStyle name="Input 2 5 11 4 3" xfId="18129" xr:uid="{00000000-0005-0000-0000-00006E350000}"/>
    <cellStyle name="Input 2 5 11 5" xfId="1318" xr:uid="{00000000-0005-0000-0000-00006F350000}"/>
    <cellStyle name="Input 2 5 11 5 2" xfId="18153" xr:uid="{00000000-0005-0000-0000-000070350000}"/>
    <cellStyle name="Input 2 5 11 5 3" xfId="18163" xr:uid="{00000000-0005-0000-0000-000071350000}"/>
    <cellStyle name="Input 2 5 11 6" xfId="20361" xr:uid="{00000000-0005-0000-0000-000072350000}"/>
    <cellStyle name="Input 2 5 11 7" xfId="6116" xr:uid="{00000000-0005-0000-0000-000073350000}"/>
    <cellStyle name="Input 2 5 11 8" xfId="6119" xr:uid="{00000000-0005-0000-0000-000074350000}"/>
    <cellStyle name="Input 2 5 12" xfId="10341" xr:uid="{00000000-0005-0000-0000-000075350000}"/>
    <cellStyle name="Input 2 5 12 2" xfId="10343" xr:uid="{00000000-0005-0000-0000-000076350000}"/>
    <cellStyle name="Input 2 5 12 2 2" xfId="18245" xr:uid="{00000000-0005-0000-0000-000077350000}"/>
    <cellStyle name="Input 2 5 12 2 3" xfId="20362" xr:uid="{00000000-0005-0000-0000-000078350000}"/>
    <cellStyle name="Input 2 5 12 2 4" xfId="20364" xr:uid="{00000000-0005-0000-0000-000079350000}"/>
    <cellStyle name="Input 2 5 12 3" xfId="1407" xr:uid="{00000000-0005-0000-0000-00007A350000}"/>
    <cellStyle name="Input 2 5 12 3 2" xfId="20366" xr:uid="{00000000-0005-0000-0000-00007B350000}"/>
    <cellStyle name="Input 2 5 12 3 3" xfId="20368" xr:uid="{00000000-0005-0000-0000-00007C350000}"/>
    <cellStyle name="Input 2 5 12 3 4" xfId="20369" xr:uid="{00000000-0005-0000-0000-00007D350000}"/>
    <cellStyle name="Input 2 5 12 4" xfId="626" xr:uid="{00000000-0005-0000-0000-00007E350000}"/>
    <cellStyle name="Input 2 5 12 4 2" xfId="20371" xr:uid="{00000000-0005-0000-0000-00007F350000}"/>
    <cellStyle name="Input 2 5 12 4 3" xfId="20373" xr:uid="{00000000-0005-0000-0000-000080350000}"/>
    <cellStyle name="Input 2 5 12 5" xfId="20374" xr:uid="{00000000-0005-0000-0000-000081350000}"/>
    <cellStyle name="Input 2 5 12 5 2" xfId="20375" xr:uid="{00000000-0005-0000-0000-000082350000}"/>
    <cellStyle name="Input 2 5 12 5 3" xfId="20376" xr:uid="{00000000-0005-0000-0000-000083350000}"/>
    <cellStyle name="Input 2 5 12 6" xfId="20377" xr:uid="{00000000-0005-0000-0000-000084350000}"/>
    <cellStyle name="Input 2 5 12 7" xfId="6139" xr:uid="{00000000-0005-0000-0000-000085350000}"/>
    <cellStyle name="Input 2 5 12 8" xfId="6143" xr:uid="{00000000-0005-0000-0000-000086350000}"/>
    <cellStyle name="Input 2 5 13" xfId="10346" xr:uid="{00000000-0005-0000-0000-000087350000}"/>
    <cellStyle name="Input 2 5 13 2" xfId="10348" xr:uid="{00000000-0005-0000-0000-000088350000}"/>
    <cellStyle name="Input 2 5 13 3" xfId="1449" xr:uid="{00000000-0005-0000-0000-000089350000}"/>
    <cellStyle name="Input 2 5 13 4" xfId="1454" xr:uid="{00000000-0005-0000-0000-00008A350000}"/>
    <cellStyle name="Input 2 5 13 5" xfId="20378" xr:uid="{00000000-0005-0000-0000-00008B350000}"/>
    <cellStyle name="Input 2 5 14" xfId="10351" xr:uid="{00000000-0005-0000-0000-00008C350000}"/>
    <cellStyle name="Input 2 5 14 2" xfId="20380" xr:uid="{00000000-0005-0000-0000-00008D350000}"/>
    <cellStyle name="Input 2 5 14 3" xfId="20383" xr:uid="{00000000-0005-0000-0000-00008E350000}"/>
    <cellStyle name="Input 2 5 14 4" xfId="20385" xr:uid="{00000000-0005-0000-0000-00008F350000}"/>
    <cellStyle name="Input 2 5 14 5" xfId="20386" xr:uid="{00000000-0005-0000-0000-000090350000}"/>
    <cellStyle name="Input 2 5 15" xfId="10353" xr:uid="{00000000-0005-0000-0000-000091350000}"/>
    <cellStyle name="Input 2 5 15 2" xfId="20388" xr:uid="{00000000-0005-0000-0000-000092350000}"/>
    <cellStyle name="Input 2 5 15 3" xfId="20391" xr:uid="{00000000-0005-0000-0000-000093350000}"/>
    <cellStyle name="Input 2 5 15 4" xfId="20393" xr:uid="{00000000-0005-0000-0000-000094350000}"/>
    <cellStyle name="Input 2 5 16" xfId="20394" xr:uid="{00000000-0005-0000-0000-000095350000}"/>
    <cellStyle name="Input 2 5 16 2" xfId="20396" xr:uid="{00000000-0005-0000-0000-000096350000}"/>
    <cellStyle name="Input 2 5 16 3" xfId="20398" xr:uid="{00000000-0005-0000-0000-000097350000}"/>
    <cellStyle name="Input 2 5 16 4" xfId="20399" xr:uid="{00000000-0005-0000-0000-000098350000}"/>
    <cellStyle name="Input 2 5 17" xfId="20400" xr:uid="{00000000-0005-0000-0000-000099350000}"/>
    <cellStyle name="Input 2 5 17 2" xfId="20402" xr:uid="{00000000-0005-0000-0000-00009A350000}"/>
    <cellStyle name="Input 2 5 18" xfId="20404" xr:uid="{00000000-0005-0000-0000-00009B350000}"/>
    <cellStyle name="Input 2 5 18 2" xfId="20406" xr:uid="{00000000-0005-0000-0000-00009C350000}"/>
    <cellStyle name="Input 2 5 19" xfId="20407" xr:uid="{00000000-0005-0000-0000-00009D350000}"/>
    <cellStyle name="Input 2 5 19 2" xfId="20410" xr:uid="{00000000-0005-0000-0000-00009E350000}"/>
    <cellStyle name="Input 2 5 2" xfId="4900" xr:uid="{00000000-0005-0000-0000-00009F350000}"/>
    <cellStyle name="Input 2 5 2 10" xfId="20411" xr:uid="{00000000-0005-0000-0000-0000A0350000}"/>
    <cellStyle name="Input 2 5 2 10 2" xfId="690" xr:uid="{00000000-0005-0000-0000-0000A1350000}"/>
    <cellStyle name="Input 2 5 2 10 2 2" xfId="20413" xr:uid="{00000000-0005-0000-0000-0000A2350000}"/>
    <cellStyle name="Input 2 5 2 10 2 3" xfId="20414" xr:uid="{00000000-0005-0000-0000-0000A3350000}"/>
    <cellStyle name="Input 2 5 2 10 2 4" xfId="20415" xr:uid="{00000000-0005-0000-0000-0000A4350000}"/>
    <cellStyle name="Input 2 5 2 10 3" xfId="694" xr:uid="{00000000-0005-0000-0000-0000A5350000}"/>
    <cellStyle name="Input 2 5 2 10 3 2" xfId="20418" xr:uid="{00000000-0005-0000-0000-0000A6350000}"/>
    <cellStyle name="Input 2 5 2 10 3 3" xfId="20419" xr:uid="{00000000-0005-0000-0000-0000A7350000}"/>
    <cellStyle name="Input 2 5 2 10 3 4" xfId="20420" xr:uid="{00000000-0005-0000-0000-0000A8350000}"/>
    <cellStyle name="Input 2 5 2 10 4" xfId="4128" xr:uid="{00000000-0005-0000-0000-0000A9350000}"/>
    <cellStyle name="Input 2 5 2 10 4 2" xfId="20422" xr:uid="{00000000-0005-0000-0000-0000AA350000}"/>
    <cellStyle name="Input 2 5 2 10 4 3" xfId="20423" xr:uid="{00000000-0005-0000-0000-0000AB350000}"/>
    <cellStyle name="Input 2 5 2 10 5" xfId="20424" xr:uid="{00000000-0005-0000-0000-0000AC350000}"/>
    <cellStyle name="Input 2 5 2 10 5 2" xfId="20425" xr:uid="{00000000-0005-0000-0000-0000AD350000}"/>
    <cellStyle name="Input 2 5 2 10 5 3" xfId="20426" xr:uid="{00000000-0005-0000-0000-0000AE350000}"/>
    <cellStyle name="Input 2 5 2 10 6" xfId="5040" xr:uid="{00000000-0005-0000-0000-0000AF350000}"/>
    <cellStyle name="Input 2 5 2 10 7" xfId="5043" xr:uid="{00000000-0005-0000-0000-0000B0350000}"/>
    <cellStyle name="Input 2 5 2 11" xfId="20427" xr:uid="{00000000-0005-0000-0000-0000B1350000}"/>
    <cellStyle name="Input 2 5 2 11 2" xfId="19211" xr:uid="{00000000-0005-0000-0000-0000B2350000}"/>
    <cellStyle name="Input 2 5 2 11 3" xfId="19214" xr:uid="{00000000-0005-0000-0000-0000B3350000}"/>
    <cellStyle name="Input 2 5 2 11 4" xfId="19218" xr:uid="{00000000-0005-0000-0000-0000B4350000}"/>
    <cellStyle name="Input 2 5 2 12" xfId="20428" xr:uid="{00000000-0005-0000-0000-0000B5350000}"/>
    <cellStyle name="Input 2 5 2 12 2" xfId="19225" xr:uid="{00000000-0005-0000-0000-0000B6350000}"/>
    <cellStyle name="Input 2 5 2 12 3" xfId="19227" xr:uid="{00000000-0005-0000-0000-0000B7350000}"/>
    <cellStyle name="Input 2 5 2 12 4" xfId="14212" xr:uid="{00000000-0005-0000-0000-0000B8350000}"/>
    <cellStyle name="Input 2 5 2 13" xfId="20429" xr:uid="{00000000-0005-0000-0000-0000B9350000}"/>
    <cellStyle name="Input 2 5 2 13 2" xfId="19233" xr:uid="{00000000-0005-0000-0000-0000BA350000}"/>
    <cellStyle name="Input 2 5 2 13 3" xfId="19236" xr:uid="{00000000-0005-0000-0000-0000BB350000}"/>
    <cellStyle name="Input 2 5 2 14" xfId="16925" xr:uid="{00000000-0005-0000-0000-0000BC350000}"/>
    <cellStyle name="Input 2 5 2 14 2" xfId="20430" xr:uid="{00000000-0005-0000-0000-0000BD350000}"/>
    <cellStyle name="Input 2 5 2 14 3" xfId="20434" xr:uid="{00000000-0005-0000-0000-0000BE350000}"/>
    <cellStyle name="Input 2 5 2 15" xfId="16927" xr:uid="{00000000-0005-0000-0000-0000BF350000}"/>
    <cellStyle name="Input 2 5 2 16" xfId="16929" xr:uid="{00000000-0005-0000-0000-0000C0350000}"/>
    <cellStyle name="Input 2 5 2 17" xfId="20436" xr:uid="{00000000-0005-0000-0000-0000C1350000}"/>
    <cellStyle name="Input 2 5 2 2" xfId="16204" xr:uid="{00000000-0005-0000-0000-0000C2350000}"/>
    <cellStyle name="Input 2 5 2 2 2" xfId="20437" xr:uid="{00000000-0005-0000-0000-0000C3350000}"/>
    <cellStyle name="Input 2 5 2 2 2 2" xfId="20438" xr:uid="{00000000-0005-0000-0000-0000C4350000}"/>
    <cellStyle name="Input 2 5 2 2 2 3" xfId="16998" xr:uid="{00000000-0005-0000-0000-0000C5350000}"/>
    <cellStyle name="Input 2 5 2 2 2 4" xfId="17000" xr:uid="{00000000-0005-0000-0000-0000C6350000}"/>
    <cellStyle name="Input 2 5 2 2 3" xfId="20439" xr:uid="{00000000-0005-0000-0000-0000C7350000}"/>
    <cellStyle name="Input 2 5 2 2 3 2" xfId="4007" xr:uid="{00000000-0005-0000-0000-0000C8350000}"/>
    <cellStyle name="Input 2 5 2 2 3 3" xfId="17006" xr:uid="{00000000-0005-0000-0000-0000C9350000}"/>
    <cellStyle name="Input 2 5 2 2 3 4" xfId="17008" xr:uid="{00000000-0005-0000-0000-0000CA350000}"/>
    <cellStyle name="Input 2 5 2 2 4" xfId="20440" xr:uid="{00000000-0005-0000-0000-0000CB350000}"/>
    <cellStyle name="Input 2 5 2 2 4 2" xfId="4017" xr:uid="{00000000-0005-0000-0000-0000CC350000}"/>
    <cellStyle name="Input 2 5 2 2 4 3" xfId="17014" xr:uid="{00000000-0005-0000-0000-0000CD350000}"/>
    <cellStyle name="Input 2 5 2 2 5" xfId="10978" xr:uid="{00000000-0005-0000-0000-0000CE350000}"/>
    <cellStyle name="Input 2 5 2 2 5 2" xfId="4030" xr:uid="{00000000-0005-0000-0000-0000CF350000}"/>
    <cellStyle name="Input 2 5 2 2 5 3" xfId="17019" xr:uid="{00000000-0005-0000-0000-0000D0350000}"/>
    <cellStyle name="Input 2 5 2 2 6" xfId="10979" xr:uid="{00000000-0005-0000-0000-0000D1350000}"/>
    <cellStyle name="Input 2 5 2 2 7" xfId="20441" xr:uid="{00000000-0005-0000-0000-0000D2350000}"/>
    <cellStyle name="Input 2 5 2 3" xfId="15147" xr:uid="{00000000-0005-0000-0000-0000D3350000}"/>
    <cellStyle name="Input 2 5 2 3 2" xfId="4294" xr:uid="{00000000-0005-0000-0000-0000D4350000}"/>
    <cellStyle name="Input 2 5 2 3 2 2" xfId="20444" xr:uid="{00000000-0005-0000-0000-0000D5350000}"/>
    <cellStyle name="Input 2 5 2 3 2 3" xfId="17028" xr:uid="{00000000-0005-0000-0000-0000D6350000}"/>
    <cellStyle name="Input 2 5 2 3 2 4" xfId="4397" xr:uid="{00000000-0005-0000-0000-0000D7350000}"/>
    <cellStyle name="Input 2 5 2 3 3" xfId="20445" xr:uid="{00000000-0005-0000-0000-0000D8350000}"/>
    <cellStyle name="Input 2 5 2 3 3 2" xfId="20446" xr:uid="{00000000-0005-0000-0000-0000D9350000}"/>
    <cellStyle name="Input 2 5 2 3 3 3" xfId="17032" xr:uid="{00000000-0005-0000-0000-0000DA350000}"/>
    <cellStyle name="Input 2 5 2 3 3 4" xfId="4055" xr:uid="{00000000-0005-0000-0000-0000DB350000}"/>
    <cellStyle name="Input 2 5 2 3 4" xfId="20447" xr:uid="{00000000-0005-0000-0000-0000DC350000}"/>
    <cellStyle name="Input 2 5 2 3 4 2" xfId="20449" xr:uid="{00000000-0005-0000-0000-0000DD350000}"/>
    <cellStyle name="Input 2 5 2 3 4 3" xfId="17035" xr:uid="{00000000-0005-0000-0000-0000DE350000}"/>
    <cellStyle name="Input 2 5 2 3 5" xfId="10985" xr:uid="{00000000-0005-0000-0000-0000DF350000}"/>
    <cellStyle name="Input 2 5 2 3 5 2" xfId="20450" xr:uid="{00000000-0005-0000-0000-0000E0350000}"/>
    <cellStyle name="Input 2 5 2 3 5 3" xfId="17038" xr:uid="{00000000-0005-0000-0000-0000E1350000}"/>
    <cellStyle name="Input 2 5 2 3 6" xfId="10988" xr:uid="{00000000-0005-0000-0000-0000E2350000}"/>
    <cellStyle name="Input 2 5 2 3 7" xfId="20451" xr:uid="{00000000-0005-0000-0000-0000E3350000}"/>
    <cellStyle name="Input 2 5 2 4" xfId="15151" xr:uid="{00000000-0005-0000-0000-0000E4350000}"/>
    <cellStyle name="Input 2 5 2 4 2" xfId="6479" xr:uid="{00000000-0005-0000-0000-0000E5350000}"/>
    <cellStyle name="Input 2 5 2 4 2 2" xfId="20452" xr:uid="{00000000-0005-0000-0000-0000E6350000}"/>
    <cellStyle name="Input 2 5 2 4 2 3" xfId="17046" xr:uid="{00000000-0005-0000-0000-0000E7350000}"/>
    <cellStyle name="Input 2 5 2 4 2 4" xfId="4431" xr:uid="{00000000-0005-0000-0000-0000E8350000}"/>
    <cellStyle name="Input 2 5 2 4 3" xfId="20453" xr:uid="{00000000-0005-0000-0000-0000E9350000}"/>
    <cellStyle name="Input 2 5 2 4 3 2" xfId="20454" xr:uid="{00000000-0005-0000-0000-0000EA350000}"/>
    <cellStyle name="Input 2 5 2 4 3 3" xfId="17052" xr:uid="{00000000-0005-0000-0000-0000EB350000}"/>
    <cellStyle name="Input 2 5 2 4 3 4" xfId="4093" xr:uid="{00000000-0005-0000-0000-0000EC350000}"/>
    <cellStyle name="Input 2 5 2 4 4" xfId="20455" xr:uid="{00000000-0005-0000-0000-0000ED350000}"/>
    <cellStyle name="Input 2 5 2 4 4 2" xfId="20457" xr:uid="{00000000-0005-0000-0000-0000EE350000}"/>
    <cellStyle name="Input 2 5 2 4 4 3" xfId="17057" xr:uid="{00000000-0005-0000-0000-0000EF350000}"/>
    <cellStyle name="Input 2 5 2 4 5" xfId="20458" xr:uid="{00000000-0005-0000-0000-0000F0350000}"/>
    <cellStyle name="Input 2 5 2 4 5 2" xfId="20460" xr:uid="{00000000-0005-0000-0000-0000F1350000}"/>
    <cellStyle name="Input 2 5 2 4 5 3" xfId="17061" xr:uid="{00000000-0005-0000-0000-0000F2350000}"/>
    <cellStyle name="Input 2 5 2 4 6" xfId="20461" xr:uid="{00000000-0005-0000-0000-0000F3350000}"/>
    <cellStyle name="Input 2 5 2 4 7" xfId="20463" xr:uid="{00000000-0005-0000-0000-0000F4350000}"/>
    <cellStyle name="Input 2 5 2 5" xfId="20465" xr:uid="{00000000-0005-0000-0000-0000F5350000}"/>
    <cellStyle name="Input 2 5 2 5 2" xfId="20467" xr:uid="{00000000-0005-0000-0000-0000F6350000}"/>
    <cellStyle name="Input 2 5 2 5 2 2" xfId="20468" xr:uid="{00000000-0005-0000-0000-0000F7350000}"/>
    <cellStyle name="Input 2 5 2 5 2 3" xfId="20469" xr:uid="{00000000-0005-0000-0000-0000F8350000}"/>
    <cellStyle name="Input 2 5 2 5 2 4" xfId="4464" xr:uid="{00000000-0005-0000-0000-0000F9350000}"/>
    <cellStyle name="Input 2 5 2 5 3" xfId="20470" xr:uid="{00000000-0005-0000-0000-0000FA350000}"/>
    <cellStyle name="Input 2 5 2 5 3 2" xfId="20471" xr:uid="{00000000-0005-0000-0000-0000FB350000}"/>
    <cellStyle name="Input 2 5 2 5 3 3" xfId="20472" xr:uid="{00000000-0005-0000-0000-0000FC350000}"/>
    <cellStyle name="Input 2 5 2 5 3 4" xfId="5712" xr:uid="{00000000-0005-0000-0000-0000FD350000}"/>
    <cellStyle name="Input 2 5 2 5 4" xfId="20473" xr:uid="{00000000-0005-0000-0000-0000FE350000}"/>
    <cellStyle name="Input 2 5 2 5 4 2" xfId="20475" xr:uid="{00000000-0005-0000-0000-0000FF350000}"/>
    <cellStyle name="Input 2 5 2 5 4 3" xfId="20476" xr:uid="{00000000-0005-0000-0000-000000360000}"/>
    <cellStyle name="Input 2 5 2 5 5" xfId="20477" xr:uid="{00000000-0005-0000-0000-000001360000}"/>
    <cellStyle name="Input 2 5 2 5 5 2" xfId="20479" xr:uid="{00000000-0005-0000-0000-000002360000}"/>
    <cellStyle name="Input 2 5 2 5 5 3" xfId="20480" xr:uid="{00000000-0005-0000-0000-000003360000}"/>
    <cellStyle name="Input 2 5 2 5 6" xfId="20482" xr:uid="{00000000-0005-0000-0000-000004360000}"/>
    <cellStyle name="Input 2 5 2 5 7" xfId="20483" xr:uid="{00000000-0005-0000-0000-000005360000}"/>
    <cellStyle name="Input 2 5 2 6" xfId="20486" xr:uid="{00000000-0005-0000-0000-000006360000}"/>
    <cellStyle name="Input 2 5 2 6 2" xfId="20487" xr:uid="{00000000-0005-0000-0000-000007360000}"/>
    <cellStyle name="Input 2 5 2 6 2 2" xfId="20488" xr:uid="{00000000-0005-0000-0000-000008360000}"/>
    <cellStyle name="Input 2 5 2 6 2 3" xfId="20489" xr:uid="{00000000-0005-0000-0000-000009360000}"/>
    <cellStyle name="Input 2 5 2 6 2 4" xfId="20490" xr:uid="{00000000-0005-0000-0000-00000A360000}"/>
    <cellStyle name="Input 2 5 2 6 3" xfId="20492" xr:uid="{00000000-0005-0000-0000-00000B360000}"/>
    <cellStyle name="Input 2 5 2 6 3 2" xfId="20493" xr:uid="{00000000-0005-0000-0000-00000C360000}"/>
    <cellStyle name="Input 2 5 2 6 3 3" xfId="20494" xr:uid="{00000000-0005-0000-0000-00000D360000}"/>
    <cellStyle name="Input 2 5 2 6 3 4" xfId="739" xr:uid="{00000000-0005-0000-0000-00000E360000}"/>
    <cellStyle name="Input 2 5 2 6 4" xfId="20495" xr:uid="{00000000-0005-0000-0000-00000F360000}"/>
    <cellStyle name="Input 2 5 2 6 4 2" xfId="20497" xr:uid="{00000000-0005-0000-0000-000010360000}"/>
    <cellStyle name="Input 2 5 2 6 4 3" xfId="20498" xr:uid="{00000000-0005-0000-0000-000011360000}"/>
    <cellStyle name="Input 2 5 2 6 5" xfId="20499" xr:uid="{00000000-0005-0000-0000-000012360000}"/>
    <cellStyle name="Input 2 5 2 6 5 2" xfId="20501" xr:uid="{00000000-0005-0000-0000-000013360000}"/>
    <cellStyle name="Input 2 5 2 6 5 3" xfId="20502" xr:uid="{00000000-0005-0000-0000-000014360000}"/>
    <cellStyle name="Input 2 5 2 6 6" xfId="20503" xr:uid="{00000000-0005-0000-0000-000015360000}"/>
    <cellStyle name="Input 2 5 2 6 7" xfId="20504" xr:uid="{00000000-0005-0000-0000-000016360000}"/>
    <cellStyle name="Input 2 5 2 7" xfId="20506" xr:uid="{00000000-0005-0000-0000-000017360000}"/>
    <cellStyle name="Input 2 5 2 7 2" xfId="20507" xr:uid="{00000000-0005-0000-0000-000018360000}"/>
    <cellStyle name="Input 2 5 2 7 2 2" xfId="20510" xr:uid="{00000000-0005-0000-0000-000019360000}"/>
    <cellStyle name="Input 2 5 2 7 2 3" xfId="20512" xr:uid="{00000000-0005-0000-0000-00001A360000}"/>
    <cellStyle name="Input 2 5 2 7 2 4" xfId="20514" xr:uid="{00000000-0005-0000-0000-00001B360000}"/>
    <cellStyle name="Input 2 5 2 7 3" xfId="20516" xr:uid="{00000000-0005-0000-0000-00001C360000}"/>
    <cellStyle name="Input 2 5 2 7 3 2" xfId="20519" xr:uid="{00000000-0005-0000-0000-00001D360000}"/>
    <cellStyle name="Input 2 5 2 7 3 3" xfId="20521" xr:uid="{00000000-0005-0000-0000-00001E360000}"/>
    <cellStyle name="Input 2 5 2 7 3 4" xfId="20523" xr:uid="{00000000-0005-0000-0000-00001F360000}"/>
    <cellStyle name="Input 2 5 2 7 4" xfId="20524" xr:uid="{00000000-0005-0000-0000-000020360000}"/>
    <cellStyle name="Input 2 5 2 7 4 2" xfId="2887" xr:uid="{00000000-0005-0000-0000-000021360000}"/>
    <cellStyle name="Input 2 5 2 7 4 3" xfId="20526" xr:uid="{00000000-0005-0000-0000-000022360000}"/>
    <cellStyle name="Input 2 5 2 7 5" xfId="20528" xr:uid="{00000000-0005-0000-0000-000023360000}"/>
    <cellStyle name="Input 2 5 2 7 5 2" xfId="2927" xr:uid="{00000000-0005-0000-0000-000024360000}"/>
    <cellStyle name="Input 2 5 2 7 5 3" xfId="20530" xr:uid="{00000000-0005-0000-0000-000025360000}"/>
    <cellStyle name="Input 2 5 2 7 6" xfId="14123" xr:uid="{00000000-0005-0000-0000-000026360000}"/>
    <cellStyle name="Input 2 5 2 7 7" xfId="20531" xr:uid="{00000000-0005-0000-0000-000027360000}"/>
    <cellStyle name="Input 2 5 2 8" xfId="20534" xr:uid="{00000000-0005-0000-0000-000028360000}"/>
    <cellStyle name="Input 2 5 2 8 2" xfId="20535" xr:uid="{00000000-0005-0000-0000-000029360000}"/>
    <cellStyle name="Input 2 5 2 8 2 2" xfId="20538" xr:uid="{00000000-0005-0000-0000-00002A360000}"/>
    <cellStyle name="Input 2 5 2 8 2 3" xfId="20539" xr:uid="{00000000-0005-0000-0000-00002B360000}"/>
    <cellStyle name="Input 2 5 2 8 2 4" xfId="20540" xr:uid="{00000000-0005-0000-0000-00002C360000}"/>
    <cellStyle name="Input 2 5 2 8 3" xfId="20541" xr:uid="{00000000-0005-0000-0000-00002D360000}"/>
    <cellStyle name="Input 2 5 2 8 3 2" xfId="20544" xr:uid="{00000000-0005-0000-0000-00002E360000}"/>
    <cellStyle name="Input 2 5 2 8 3 3" xfId="20545" xr:uid="{00000000-0005-0000-0000-00002F360000}"/>
    <cellStyle name="Input 2 5 2 8 3 4" xfId="20547" xr:uid="{00000000-0005-0000-0000-000030360000}"/>
    <cellStyle name="Input 2 5 2 8 4" xfId="20548" xr:uid="{00000000-0005-0000-0000-000031360000}"/>
    <cellStyle name="Input 2 5 2 8 4 2" xfId="20549" xr:uid="{00000000-0005-0000-0000-000032360000}"/>
    <cellStyle name="Input 2 5 2 8 4 3" xfId="20550" xr:uid="{00000000-0005-0000-0000-000033360000}"/>
    <cellStyle name="Input 2 5 2 8 5" xfId="20551" xr:uid="{00000000-0005-0000-0000-000034360000}"/>
    <cellStyle name="Input 2 5 2 8 5 2" xfId="20552" xr:uid="{00000000-0005-0000-0000-000035360000}"/>
    <cellStyle name="Input 2 5 2 8 5 3" xfId="20553" xr:uid="{00000000-0005-0000-0000-000036360000}"/>
    <cellStyle name="Input 2 5 2 8 6" xfId="20554" xr:uid="{00000000-0005-0000-0000-000037360000}"/>
    <cellStyle name="Input 2 5 2 8 7" xfId="20556" xr:uid="{00000000-0005-0000-0000-000038360000}"/>
    <cellStyle name="Input 2 5 2 9" xfId="20559" xr:uid="{00000000-0005-0000-0000-000039360000}"/>
    <cellStyle name="Input 2 5 2 9 2" xfId="20560" xr:uid="{00000000-0005-0000-0000-00003A360000}"/>
    <cellStyle name="Input 2 5 2 9 2 2" xfId="20563" xr:uid="{00000000-0005-0000-0000-00003B360000}"/>
    <cellStyle name="Input 2 5 2 9 2 3" xfId="20564" xr:uid="{00000000-0005-0000-0000-00003C360000}"/>
    <cellStyle name="Input 2 5 2 9 2 4" xfId="20566" xr:uid="{00000000-0005-0000-0000-00003D360000}"/>
    <cellStyle name="Input 2 5 2 9 3" xfId="20568" xr:uid="{00000000-0005-0000-0000-00003E360000}"/>
    <cellStyle name="Input 2 5 2 9 3 2" xfId="2582" xr:uid="{00000000-0005-0000-0000-00003F360000}"/>
    <cellStyle name="Input 2 5 2 9 3 3" xfId="20570" xr:uid="{00000000-0005-0000-0000-000040360000}"/>
    <cellStyle name="Input 2 5 2 9 3 4" xfId="20573" xr:uid="{00000000-0005-0000-0000-000041360000}"/>
    <cellStyle name="Input 2 5 2 9 4" xfId="20574" xr:uid="{00000000-0005-0000-0000-000042360000}"/>
    <cellStyle name="Input 2 5 2 9 4 2" xfId="20575" xr:uid="{00000000-0005-0000-0000-000043360000}"/>
    <cellStyle name="Input 2 5 2 9 4 3" xfId="20576" xr:uid="{00000000-0005-0000-0000-000044360000}"/>
    <cellStyle name="Input 2 5 2 9 5" xfId="20577" xr:uid="{00000000-0005-0000-0000-000045360000}"/>
    <cellStyle name="Input 2 5 2 9 5 2" xfId="20578" xr:uid="{00000000-0005-0000-0000-000046360000}"/>
    <cellStyle name="Input 2 5 2 9 5 3" xfId="20579" xr:uid="{00000000-0005-0000-0000-000047360000}"/>
    <cellStyle name="Input 2 5 2 9 6" xfId="20580" xr:uid="{00000000-0005-0000-0000-000048360000}"/>
    <cellStyle name="Input 2 5 2 9 7" xfId="20582" xr:uid="{00000000-0005-0000-0000-000049360000}"/>
    <cellStyle name="Input 2 5 20" xfId="10354" xr:uid="{00000000-0005-0000-0000-00004A360000}"/>
    <cellStyle name="Input 2 5 21" xfId="20395" xr:uid="{00000000-0005-0000-0000-00004B360000}"/>
    <cellStyle name="Input 2 5 22" xfId="20401" xr:uid="{00000000-0005-0000-0000-00004C360000}"/>
    <cellStyle name="Input 2 5 23" xfId="20405" xr:uid="{00000000-0005-0000-0000-00004D360000}"/>
    <cellStyle name="Input 2 5 24" xfId="20408" xr:uid="{00000000-0005-0000-0000-00004E360000}"/>
    <cellStyle name="Input 2 5 25" xfId="20584" xr:uid="{00000000-0005-0000-0000-00004F360000}"/>
    <cellStyle name="Input 2 5 26" xfId="712" xr:uid="{00000000-0005-0000-0000-000050360000}"/>
    <cellStyle name="Input 2 5 27" xfId="20587" xr:uid="{00000000-0005-0000-0000-000051360000}"/>
    <cellStyle name="Input 2 5 28" xfId="12244" xr:uid="{00000000-0005-0000-0000-000052360000}"/>
    <cellStyle name="Input 2 5 29" xfId="12247" xr:uid="{00000000-0005-0000-0000-000053360000}"/>
    <cellStyle name="Input 2 5 3" xfId="19505" xr:uid="{00000000-0005-0000-0000-000054360000}"/>
    <cellStyle name="Input 2 5 3 10" xfId="6036" xr:uid="{00000000-0005-0000-0000-000055360000}"/>
    <cellStyle name="Input 2 5 3 10 2" xfId="6041" xr:uid="{00000000-0005-0000-0000-000056360000}"/>
    <cellStyle name="Input 2 5 3 10 2 2" xfId="20588" xr:uid="{00000000-0005-0000-0000-000057360000}"/>
    <cellStyle name="Input 2 5 3 10 2 3" xfId="20589" xr:uid="{00000000-0005-0000-0000-000058360000}"/>
    <cellStyle name="Input 2 5 3 10 2 4" xfId="20590" xr:uid="{00000000-0005-0000-0000-000059360000}"/>
    <cellStyle name="Input 2 5 3 10 3" xfId="6045" xr:uid="{00000000-0005-0000-0000-00005A360000}"/>
    <cellStyle name="Input 2 5 3 10 3 2" xfId="20592" xr:uid="{00000000-0005-0000-0000-00005B360000}"/>
    <cellStyle name="Input 2 5 3 10 3 3" xfId="20593" xr:uid="{00000000-0005-0000-0000-00005C360000}"/>
    <cellStyle name="Input 2 5 3 10 3 4" xfId="20594" xr:uid="{00000000-0005-0000-0000-00005D360000}"/>
    <cellStyle name="Input 2 5 3 10 4" xfId="19824" xr:uid="{00000000-0005-0000-0000-00005E360000}"/>
    <cellStyle name="Input 2 5 3 10 4 2" xfId="20596" xr:uid="{00000000-0005-0000-0000-00005F360000}"/>
    <cellStyle name="Input 2 5 3 10 4 3" xfId="20597" xr:uid="{00000000-0005-0000-0000-000060360000}"/>
    <cellStyle name="Input 2 5 3 10 5" xfId="1961" xr:uid="{00000000-0005-0000-0000-000061360000}"/>
    <cellStyle name="Input 2 5 3 10 5 2" xfId="20598" xr:uid="{00000000-0005-0000-0000-000062360000}"/>
    <cellStyle name="Input 2 5 3 10 5 3" xfId="20599" xr:uid="{00000000-0005-0000-0000-000063360000}"/>
    <cellStyle name="Input 2 5 3 10 6" xfId="1963" xr:uid="{00000000-0005-0000-0000-000064360000}"/>
    <cellStyle name="Input 2 5 3 10 7" xfId="1966" xr:uid="{00000000-0005-0000-0000-000065360000}"/>
    <cellStyle name="Input 2 5 3 11" xfId="6047" xr:uid="{00000000-0005-0000-0000-000066360000}"/>
    <cellStyle name="Input 2 5 3 11 2" xfId="19827" xr:uid="{00000000-0005-0000-0000-000067360000}"/>
    <cellStyle name="Input 2 5 3 11 3" xfId="19830" xr:uid="{00000000-0005-0000-0000-000068360000}"/>
    <cellStyle name="Input 2 5 3 11 4" xfId="19833" xr:uid="{00000000-0005-0000-0000-000069360000}"/>
    <cellStyle name="Input 2 5 3 12" xfId="6048" xr:uid="{00000000-0005-0000-0000-00006A360000}"/>
    <cellStyle name="Input 2 5 3 12 2" xfId="19838" xr:uid="{00000000-0005-0000-0000-00006B360000}"/>
    <cellStyle name="Input 2 5 3 12 3" xfId="19841" xr:uid="{00000000-0005-0000-0000-00006C360000}"/>
    <cellStyle name="Input 2 5 3 12 4" xfId="20600" xr:uid="{00000000-0005-0000-0000-00006D360000}"/>
    <cellStyle name="Input 2 5 3 13" xfId="20602" xr:uid="{00000000-0005-0000-0000-00006E360000}"/>
    <cellStyle name="Input 2 5 3 13 2" xfId="19850" xr:uid="{00000000-0005-0000-0000-00006F360000}"/>
    <cellStyle name="Input 2 5 3 13 3" xfId="19853" xr:uid="{00000000-0005-0000-0000-000070360000}"/>
    <cellStyle name="Input 2 5 3 14" xfId="20604" xr:uid="{00000000-0005-0000-0000-000071360000}"/>
    <cellStyle name="Input 2 5 3 14 2" xfId="20609" xr:uid="{00000000-0005-0000-0000-000072360000}"/>
    <cellStyle name="Input 2 5 3 14 3" xfId="20612" xr:uid="{00000000-0005-0000-0000-000073360000}"/>
    <cellStyle name="Input 2 5 3 15" xfId="20614" xr:uid="{00000000-0005-0000-0000-000074360000}"/>
    <cellStyle name="Input 2 5 3 16" xfId="20618" xr:uid="{00000000-0005-0000-0000-000075360000}"/>
    <cellStyle name="Input 2 5 3 17" xfId="20619" xr:uid="{00000000-0005-0000-0000-000076360000}"/>
    <cellStyle name="Input 2 5 3 2" xfId="14281" xr:uid="{00000000-0005-0000-0000-000077360000}"/>
    <cellStyle name="Input 2 5 3 2 2" xfId="20620" xr:uid="{00000000-0005-0000-0000-000078360000}"/>
    <cellStyle name="Input 2 5 3 2 2 2" xfId="20621" xr:uid="{00000000-0005-0000-0000-000079360000}"/>
    <cellStyle name="Input 2 5 3 2 2 3" xfId="20622" xr:uid="{00000000-0005-0000-0000-00007A360000}"/>
    <cellStyle name="Input 2 5 3 2 2 4" xfId="20625" xr:uid="{00000000-0005-0000-0000-00007B360000}"/>
    <cellStyle name="Input 2 5 3 2 3" xfId="20627" xr:uid="{00000000-0005-0000-0000-00007C360000}"/>
    <cellStyle name="Input 2 5 3 2 3 2" xfId="6050" xr:uid="{00000000-0005-0000-0000-00007D360000}"/>
    <cellStyle name="Input 2 5 3 2 3 3" xfId="20603" xr:uid="{00000000-0005-0000-0000-00007E360000}"/>
    <cellStyle name="Input 2 5 3 2 3 4" xfId="20607" xr:uid="{00000000-0005-0000-0000-00007F360000}"/>
    <cellStyle name="Input 2 5 3 2 4" xfId="20628" xr:uid="{00000000-0005-0000-0000-000080360000}"/>
    <cellStyle name="Input 2 5 3 2 4 2" xfId="1283" xr:uid="{00000000-0005-0000-0000-000081360000}"/>
    <cellStyle name="Input 2 5 3 2 4 3" xfId="20629" xr:uid="{00000000-0005-0000-0000-000082360000}"/>
    <cellStyle name="Input 2 5 3 2 5" xfId="20630" xr:uid="{00000000-0005-0000-0000-000083360000}"/>
    <cellStyle name="Input 2 5 3 2 5 2" xfId="6102" xr:uid="{00000000-0005-0000-0000-000084360000}"/>
    <cellStyle name="Input 2 5 3 2 5 3" xfId="20631" xr:uid="{00000000-0005-0000-0000-000085360000}"/>
    <cellStyle name="Input 2 5 3 2 6" xfId="20632" xr:uid="{00000000-0005-0000-0000-000086360000}"/>
    <cellStyle name="Input 2 5 3 2 7" xfId="20634" xr:uid="{00000000-0005-0000-0000-000087360000}"/>
    <cellStyle name="Input 2 5 3 3" xfId="14284" xr:uid="{00000000-0005-0000-0000-000088360000}"/>
    <cellStyle name="Input 2 5 3 3 2" xfId="4319" xr:uid="{00000000-0005-0000-0000-000089360000}"/>
    <cellStyle name="Input 2 5 3 3 2 2" xfId="20636" xr:uid="{00000000-0005-0000-0000-00008A360000}"/>
    <cellStyle name="Input 2 5 3 3 2 3" xfId="20637" xr:uid="{00000000-0005-0000-0000-00008B360000}"/>
    <cellStyle name="Input 2 5 3 3 2 4" xfId="20640" xr:uid="{00000000-0005-0000-0000-00008C360000}"/>
    <cellStyle name="Input 2 5 3 3 3" xfId="20642" xr:uid="{00000000-0005-0000-0000-00008D360000}"/>
    <cellStyle name="Input 2 5 3 3 3 2" xfId="20644" xr:uid="{00000000-0005-0000-0000-00008E360000}"/>
    <cellStyle name="Input 2 5 3 3 3 3" xfId="20645" xr:uid="{00000000-0005-0000-0000-00008F360000}"/>
    <cellStyle name="Input 2 5 3 3 3 4" xfId="20648" xr:uid="{00000000-0005-0000-0000-000090360000}"/>
    <cellStyle name="Input 2 5 3 3 4" xfId="20650" xr:uid="{00000000-0005-0000-0000-000091360000}"/>
    <cellStyle name="Input 2 5 3 3 4 2" xfId="20652" xr:uid="{00000000-0005-0000-0000-000092360000}"/>
    <cellStyle name="Input 2 5 3 3 4 3" xfId="20653" xr:uid="{00000000-0005-0000-0000-000093360000}"/>
    <cellStyle name="Input 2 5 3 3 5" xfId="20654" xr:uid="{00000000-0005-0000-0000-000094360000}"/>
    <cellStyle name="Input 2 5 3 3 5 2" xfId="20655" xr:uid="{00000000-0005-0000-0000-000095360000}"/>
    <cellStyle name="Input 2 5 3 3 5 3" xfId="20656" xr:uid="{00000000-0005-0000-0000-000096360000}"/>
    <cellStyle name="Input 2 5 3 3 6" xfId="20657" xr:uid="{00000000-0005-0000-0000-000097360000}"/>
    <cellStyle name="Input 2 5 3 3 7" xfId="20658" xr:uid="{00000000-0005-0000-0000-000098360000}"/>
    <cellStyle name="Input 2 5 3 4" xfId="14290" xr:uid="{00000000-0005-0000-0000-000099360000}"/>
    <cellStyle name="Input 2 5 3 4 2" xfId="6498" xr:uid="{00000000-0005-0000-0000-00009A360000}"/>
    <cellStyle name="Input 2 5 3 4 2 2" xfId="20659" xr:uid="{00000000-0005-0000-0000-00009B360000}"/>
    <cellStyle name="Input 2 5 3 4 2 3" xfId="20660" xr:uid="{00000000-0005-0000-0000-00009C360000}"/>
    <cellStyle name="Input 2 5 3 4 2 4" xfId="20663" xr:uid="{00000000-0005-0000-0000-00009D360000}"/>
    <cellStyle name="Input 2 5 3 4 3" xfId="20665" xr:uid="{00000000-0005-0000-0000-00009E360000}"/>
    <cellStyle name="Input 2 5 3 4 3 2" xfId="20667" xr:uid="{00000000-0005-0000-0000-00009F360000}"/>
    <cellStyle name="Input 2 5 3 4 3 3" xfId="20668" xr:uid="{00000000-0005-0000-0000-0000A0360000}"/>
    <cellStyle name="Input 2 5 3 4 3 4" xfId="20671" xr:uid="{00000000-0005-0000-0000-0000A1360000}"/>
    <cellStyle name="Input 2 5 3 4 4" xfId="20673" xr:uid="{00000000-0005-0000-0000-0000A2360000}"/>
    <cellStyle name="Input 2 5 3 4 4 2" xfId="20675" xr:uid="{00000000-0005-0000-0000-0000A3360000}"/>
    <cellStyle name="Input 2 5 3 4 4 3" xfId="20676" xr:uid="{00000000-0005-0000-0000-0000A4360000}"/>
    <cellStyle name="Input 2 5 3 4 5" xfId="20677" xr:uid="{00000000-0005-0000-0000-0000A5360000}"/>
    <cellStyle name="Input 2 5 3 4 5 2" xfId="20678" xr:uid="{00000000-0005-0000-0000-0000A6360000}"/>
    <cellStyle name="Input 2 5 3 4 5 3" xfId="20679" xr:uid="{00000000-0005-0000-0000-0000A7360000}"/>
    <cellStyle name="Input 2 5 3 4 6" xfId="20680" xr:uid="{00000000-0005-0000-0000-0000A8360000}"/>
    <cellStyle name="Input 2 5 3 4 7" xfId="20683" xr:uid="{00000000-0005-0000-0000-0000A9360000}"/>
    <cellStyle name="Input 2 5 3 5" xfId="14296" xr:uid="{00000000-0005-0000-0000-0000AA360000}"/>
    <cellStyle name="Input 2 5 3 5 2" xfId="20686" xr:uid="{00000000-0005-0000-0000-0000AB360000}"/>
    <cellStyle name="Input 2 5 3 5 2 2" xfId="20688" xr:uid="{00000000-0005-0000-0000-0000AC360000}"/>
    <cellStyle name="Input 2 5 3 5 2 3" xfId="20689" xr:uid="{00000000-0005-0000-0000-0000AD360000}"/>
    <cellStyle name="Input 2 5 3 5 2 4" xfId="20692" xr:uid="{00000000-0005-0000-0000-0000AE360000}"/>
    <cellStyle name="Input 2 5 3 5 3" xfId="20694" xr:uid="{00000000-0005-0000-0000-0000AF360000}"/>
    <cellStyle name="Input 2 5 3 5 3 2" xfId="19665" xr:uid="{00000000-0005-0000-0000-0000B0360000}"/>
    <cellStyle name="Input 2 5 3 5 3 3" xfId="20696" xr:uid="{00000000-0005-0000-0000-0000B1360000}"/>
    <cellStyle name="Input 2 5 3 5 3 4" xfId="20699" xr:uid="{00000000-0005-0000-0000-0000B2360000}"/>
    <cellStyle name="Input 2 5 3 5 4" xfId="20701" xr:uid="{00000000-0005-0000-0000-0000B3360000}"/>
    <cellStyle name="Input 2 5 3 5 4 2" xfId="20702" xr:uid="{00000000-0005-0000-0000-0000B4360000}"/>
    <cellStyle name="Input 2 5 3 5 4 3" xfId="20703" xr:uid="{00000000-0005-0000-0000-0000B5360000}"/>
    <cellStyle name="Input 2 5 3 5 5" xfId="20704" xr:uid="{00000000-0005-0000-0000-0000B6360000}"/>
    <cellStyle name="Input 2 5 3 5 5 2" xfId="20705" xr:uid="{00000000-0005-0000-0000-0000B7360000}"/>
    <cellStyle name="Input 2 5 3 5 5 3" xfId="20706" xr:uid="{00000000-0005-0000-0000-0000B8360000}"/>
    <cellStyle name="Input 2 5 3 5 6" xfId="20707" xr:uid="{00000000-0005-0000-0000-0000B9360000}"/>
    <cellStyle name="Input 2 5 3 5 7" xfId="20710" xr:uid="{00000000-0005-0000-0000-0000BA360000}"/>
    <cellStyle name="Input 2 5 3 6" xfId="14301" xr:uid="{00000000-0005-0000-0000-0000BB360000}"/>
    <cellStyle name="Input 2 5 3 6 2" xfId="20714" xr:uid="{00000000-0005-0000-0000-0000BC360000}"/>
    <cellStyle name="Input 2 5 3 6 2 2" xfId="20717" xr:uid="{00000000-0005-0000-0000-0000BD360000}"/>
    <cellStyle name="Input 2 5 3 6 2 3" xfId="20719" xr:uid="{00000000-0005-0000-0000-0000BE360000}"/>
    <cellStyle name="Input 2 5 3 6 2 4" xfId="20724" xr:uid="{00000000-0005-0000-0000-0000BF360000}"/>
    <cellStyle name="Input 2 5 3 6 3" xfId="20726" xr:uid="{00000000-0005-0000-0000-0000C0360000}"/>
    <cellStyle name="Input 2 5 3 6 3 2" xfId="20729" xr:uid="{00000000-0005-0000-0000-0000C1360000}"/>
    <cellStyle name="Input 2 5 3 6 3 3" xfId="20731" xr:uid="{00000000-0005-0000-0000-0000C2360000}"/>
    <cellStyle name="Input 2 5 3 6 3 4" xfId="2033" xr:uid="{00000000-0005-0000-0000-0000C3360000}"/>
    <cellStyle name="Input 2 5 3 6 4" xfId="20733" xr:uid="{00000000-0005-0000-0000-0000C4360000}"/>
    <cellStyle name="Input 2 5 3 6 4 2" xfId="20735" xr:uid="{00000000-0005-0000-0000-0000C5360000}"/>
    <cellStyle name="Input 2 5 3 6 4 3" xfId="20737" xr:uid="{00000000-0005-0000-0000-0000C6360000}"/>
    <cellStyle name="Input 2 5 3 6 5" xfId="20739" xr:uid="{00000000-0005-0000-0000-0000C7360000}"/>
    <cellStyle name="Input 2 5 3 6 5 2" xfId="20741" xr:uid="{00000000-0005-0000-0000-0000C8360000}"/>
    <cellStyle name="Input 2 5 3 6 5 3" xfId="20742" xr:uid="{00000000-0005-0000-0000-0000C9360000}"/>
    <cellStyle name="Input 2 5 3 6 6" xfId="20743" xr:uid="{00000000-0005-0000-0000-0000CA360000}"/>
    <cellStyle name="Input 2 5 3 6 7" xfId="20747" xr:uid="{00000000-0005-0000-0000-0000CB360000}"/>
    <cellStyle name="Input 2 5 3 7" xfId="14305" xr:uid="{00000000-0005-0000-0000-0000CC360000}"/>
    <cellStyle name="Input 2 5 3 7 2" xfId="20752" xr:uid="{00000000-0005-0000-0000-0000CD360000}"/>
    <cellStyle name="Input 2 5 3 7 2 2" xfId="20754" xr:uid="{00000000-0005-0000-0000-0000CE360000}"/>
    <cellStyle name="Input 2 5 3 7 2 3" xfId="20755" xr:uid="{00000000-0005-0000-0000-0000CF360000}"/>
    <cellStyle name="Input 2 5 3 7 2 4" xfId="20756" xr:uid="{00000000-0005-0000-0000-0000D0360000}"/>
    <cellStyle name="Input 2 5 3 7 3" xfId="20758" xr:uid="{00000000-0005-0000-0000-0000D1360000}"/>
    <cellStyle name="Input 2 5 3 7 3 2" xfId="20760" xr:uid="{00000000-0005-0000-0000-0000D2360000}"/>
    <cellStyle name="Input 2 5 3 7 3 3" xfId="20764" xr:uid="{00000000-0005-0000-0000-0000D3360000}"/>
    <cellStyle name="Input 2 5 3 7 3 4" xfId="20771" xr:uid="{00000000-0005-0000-0000-0000D4360000}"/>
    <cellStyle name="Input 2 5 3 7 4" xfId="20773" xr:uid="{00000000-0005-0000-0000-0000D5360000}"/>
    <cellStyle name="Input 2 5 3 7 4 2" xfId="69" xr:uid="{00000000-0005-0000-0000-0000D6360000}"/>
    <cellStyle name="Input 2 5 3 7 4 3" xfId="20774" xr:uid="{00000000-0005-0000-0000-0000D7360000}"/>
    <cellStyle name="Input 2 5 3 7 5" xfId="20775" xr:uid="{00000000-0005-0000-0000-0000D8360000}"/>
    <cellStyle name="Input 2 5 3 7 5 2" xfId="20776" xr:uid="{00000000-0005-0000-0000-0000D9360000}"/>
    <cellStyle name="Input 2 5 3 7 5 3" xfId="20777" xr:uid="{00000000-0005-0000-0000-0000DA360000}"/>
    <cellStyle name="Input 2 5 3 7 6" xfId="20778" xr:uid="{00000000-0005-0000-0000-0000DB360000}"/>
    <cellStyle name="Input 2 5 3 7 7" xfId="20781" xr:uid="{00000000-0005-0000-0000-0000DC360000}"/>
    <cellStyle name="Input 2 5 3 8" xfId="20785" xr:uid="{00000000-0005-0000-0000-0000DD360000}"/>
    <cellStyle name="Input 2 5 3 8 2" xfId="20787" xr:uid="{00000000-0005-0000-0000-0000DE360000}"/>
    <cellStyle name="Input 2 5 3 8 2 2" xfId="20789" xr:uid="{00000000-0005-0000-0000-0000DF360000}"/>
    <cellStyle name="Input 2 5 3 8 2 3" xfId="20790" xr:uid="{00000000-0005-0000-0000-0000E0360000}"/>
    <cellStyle name="Input 2 5 3 8 2 4" xfId="20791" xr:uid="{00000000-0005-0000-0000-0000E1360000}"/>
    <cellStyle name="Input 2 5 3 8 3" xfId="20792" xr:uid="{00000000-0005-0000-0000-0000E2360000}"/>
    <cellStyle name="Input 2 5 3 8 3 2" xfId="20794" xr:uid="{00000000-0005-0000-0000-0000E3360000}"/>
    <cellStyle name="Input 2 5 3 8 3 3" xfId="20795" xr:uid="{00000000-0005-0000-0000-0000E4360000}"/>
    <cellStyle name="Input 2 5 3 8 3 4" xfId="20796" xr:uid="{00000000-0005-0000-0000-0000E5360000}"/>
    <cellStyle name="Input 2 5 3 8 4" xfId="20797" xr:uid="{00000000-0005-0000-0000-0000E6360000}"/>
    <cellStyle name="Input 2 5 3 8 4 2" xfId="20798" xr:uid="{00000000-0005-0000-0000-0000E7360000}"/>
    <cellStyle name="Input 2 5 3 8 4 3" xfId="20799" xr:uid="{00000000-0005-0000-0000-0000E8360000}"/>
    <cellStyle name="Input 2 5 3 8 5" xfId="20800" xr:uid="{00000000-0005-0000-0000-0000E9360000}"/>
    <cellStyle name="Input 2 5 3 8 5 2" xfId="20801" xr:uid="{00000000-0005-0000-0000-0000EA360000}"/>
    <cellStyle name="Input 2 5 3 8 5 3" xfId="20802" xr:uid="{00000000-0005-0000-0000-0000EB360000}"/>
    <cellStyle name="Input 2 5 3 8 6" xfId="20803" xr:uid="{00000000-0005-0000-0000-0000EC360000}"/>
    <cellStyle name="Input 2 5 3 8 7" xfId="20805" xr:uid="{00000000-0005-0000-0000-0000ED360000}"/>
    <cellStyle name="Input 2 5 3 9" xfId="20808" xr:uid="{00000000-0005-0000-0000-0000EE360000}"/>
    <cellStyle name="Input 2 5 3 9 2" xfId="20809" xr:uid="{00000000-0005-0000-0000-0000EF360000}"/>
    <cellStyle name="Input 2 5 3 9 2 2" xfId="20811" xr:uid="{00000000-0005-0000-0000-0000F0360000}"/>
    <cellStyle name="Input 2 5 3 9 2 3" xfId="20812" xr:uid="{00000000-0005-0000-0000-0000F1360000}"/>
    <cellStyle name="Input 2 5 3 9 2 4" xfId="20813" xr:uid="{00000000-0005-0000-0000-0000F2360000}"/>
    <cellStyle name="Input 2 5 3 9 3" xfId="20814" xr:uid="{00000000-0005-0000-0000-0000F3360000}"/>
    <cellStyle name="Input 2 5 3 9 3 2" xfId="20815" xr:uid="{00000000-0005-0000-0000-0000F4360000}"/>
    <cellStyle name="Input 2 5 3 9 3 3" xfId="20816" xr:uid="{00000000-0005-0000-0000-0000F5360000}"/>
    <cellStyle name="Input 2 5 3 9 3 4" xfId="20817" xr:uid="{00000000-0005-0000-0000-0000F6360000}"/>
    <cellStyle name="Input 2 5 3 9 4" xfId="20818" xr:uid="{00000000-0005-0000-0000-0000F7360000}"/>
    <cellStyle name="Input 2 5 3 9 4 2" xfId="20819" xr:uid="{00000000-0005-0000-0000-0000F8360000}"/>
    <cellStyle name="Input 2 5 3 9 4 3" xfId="20820" xr:uid="{00000000-0005-0000-0000-0000F9360000}"/>
    <cellStyle name="Input 2 5 3 9 5" xfId="20821" xr:uid="{00000000-0005-0000-0000-0000FA360000}"/>
    <cellStyle name="Input 2 5 3 9 5 2" xfId="19141" xr:uid="{00000000-0005-0000-0000-0000FB360000}"/>
    <cellStyle name="Input 2 5 3 9 5 3" xfId="19150" xr:uid="{00000000-0005-0000-0000-0000FC360000}"/>
    <cellStyle name="Input 2 5 3 9 6" xfId="20822" xr:uid="{00000000-0005-0000-0000-0000FD360000}"/>
    <cellStyle name="Input 2 5 3 9 7" xfId="20824" xr:uid="{00000000-0005-0000-0000-0000FE360000}"/>
    <cellStyle name="Input 2 5 30" xfId="20585" xr:uid="{00000000-0005-0000-0000-0000FF360000}"/>
    <cellStyle name="Input 2 5 4" xfId="20825" xr:uid="{00000000-0005-0000-0000-000000370000}"/>
    <cellStyle name="Input 2 5 4 2" xfId="16241" xr:uid="{00000000-0005-0000-0000-000001370000}"/>
    <cellStyle name="Input 2 5 4 2 2" xfId="20826" xr:uid="{00000000-0005-0000-0000-000002370000}"/>
    <cellStyle name="Input 2 5 4 2 3" xfId="20827" xr:uid="{00000000-0005-0000-0000-000003370000}"/>
    <cellStyle name="Input 2 5 4 2 4" xfId="20828" xr:uid="{00000000-0005-0000-0000-000004370000}"/>
    <cellStyle name="Input 2 5 4 3" xfId="15155" xr:uid="{00000000-0005-0000-0000-000005370000}"/>
    <cellStyle name="Input 2 5 4 3 2" xfId="15161" xr:uid="{00000000-0005-0000-0000-000006370000}"/>
    <cellStyle name="Input 2 5 4 3 3" xfId="20829" xr:uid="{00000000-0005-0000-0000-000007370000}"/>
    <cellStyle name="Input 2 5 4 3 4" xfId="20830" xr:uid="{00000000-0005-0000-0000-000008370000}"/>
    <cellStyle name="Input 2 5 4 4" xfId="20832" xr:uid="{00000000-0005-0000-0000-000009370000}"/>
    <cellStyle name="Input 2 5 4 4 2" xfId="20835" xr:uid="{00000000-0005-0000-0000-00000A370000}"/>
    <cellStyle name="Input 2 5 4 4 3" xfId="20836" xr:uid="{00000000-0005-0000-0000-00000B370000}"/>
    <cellStyle name="Input 2 5 4 5" xfId="20838" xr:uid="{00000000-0005-0000-0000-00000C370000}"/>
    <cellStyle name="Input 2 5 4 5 2" xfId="20840" xr:uid="{00000000-0005-0000-0000-00000D370000}"/>
    <cellStyle name="Input 2 5 4 5 3" xfId="20841" xr:uid="{00000000-0005-0000-0000-00000E370000}"/>
    <cellStyle name="Input 2 5 4 6" xfId="20842" xr:uid="{00000000-0005-0000-0000-00000F370000}"/>
    <cellStyle name="Input 2 5 4 7" xfId="11146" xr:uid="{00000000-0005-0000-0000-000010370000}"/>
    <cellStyle name="Input 2 5 4 8" xfId="6647" xr:uid="{00000000-0005-0000-0000-000011370000}"/>
    <cellStyle name="Input 2 5 5" xfId="11788" xr:uid="{00000000-0005-0000-0000-000012370000}"/>
    <cellStyle name="Input 2 5 5 2" xfId="14321" xr:uid="{00000000-0005-0000-0000-000013370000}"/>
    <cellStyle name="Input 2 5 5 2 2" xfId="20843" xr:uid="{00000000-0005-0000-0000-000014370000}"/>
    <cellStyle name="Input 2 5 5 2 3" xfId="20845" xr:uid="{00000000-0005-0000-0000-000015370000}"/>
    <cellStyle name="Input 2 5 5 2 4" xfId="20846" xr:uid="{00000000-0005-0000-0000-000016370000}"/>
    <cellStyle name="Input 2 5 5 3" xfId="1274" xr:uid="{00000000-0005-0000-0000-000017370000}"/>
    <cellStyle name="Input 2 5 5 3 2" xfId="17001" xr:uid="{00000000-0005-0000-0000-000018370000}"/>
    <cellStyle name="Input 2 5 5 3 3" xfId="3008" xr:uid="{00000000-0005-0000-0000-000019370000}"/>
    <cellStyle name="Input 2 5 5 3 4" xfId="20847" xr:uid="{00000000-0005-0000-0000-00001A370000}"/>
    <cellStyle name="Input 2 5 5 4" xfId="20849" xr:uid="{00000000-0005-0000-0000-00001B370000}"/>
    <cellStyle name="Input 2 5 5 4 2" xfId="17009" xr:uid="{00000000-0005-0000-0000-00001C370000}"/>
    <cellStyle name="Input 2 5 5 4 3" xfId="17011" xr:uid="{00000000-0005-0000-0000-00001D370000}"/>
    <cellStyle name="Input 2 5 5 5" xfId="20852" xr:uid="{00000000-0005-0000-0000-00001E370000}"/>
    <cellStyle name="Input 2 5 5 5 2" xfId="17016" xr:uid="{00000000-0005-0000-0000-00001F370000}"/>
    <cellStyle name="Input 2 5 5 5 3" xfId="20854" xr:uid="{00000000-0005-0000-0000-000020370000}"/>
    <cellStyle name="Input 2 5 5 6" xfId="20041" xr:uid="{00000000-0005-0000-0000-000021370000}"/>
    <cellStyle name="Input 2 5 5 7" xfId="11150" xr:uid="{00000000-0005-0000-0000-000022370000}"/>
    <cellStyle name="Input 2 5 5 8" xfId="6652" xr:uid="{00000000-0005-0000-0000-000023370000}"/>
    <cellStyle name="Input 2 5 6" xfId="11790" xr:uid="{00000000-0005-0000-0000-000024370000}"/>
    <cellStyle name="Input 2 5 6 2" xfId="16281" xr:uid="{00000000-0005-0000-0000-000025370000}"/>
    <cellStyle name="Input 2 5 6 2 2" xfId="20855" xr:uid="{00000000-0005-0000-0000-000026370000}"/>
    <cellStyle name="Input 2 5 6 2 3" xfId="20857" xr:uid="{00000000-0005-0000-0000-000027370000}"/>
    <cellStyle name="Input 2 5 6 2 4" xfId="20858" xr:uid="{00000000-0005-0000-0000-000028370000}"/>
    <cellStyle name="Input 2 5 6 3" xfId="4391" xr:uid="{00000000-0005-0000-0000-000029370000}"/>
    <cellStyle name="Input 2 5 6 3 2" xfId="4398" xr:uid="{00000000-0005-0000-0000-00002A370000}"/>
    <cellStyle name="Input 2 5 6 3 3" xfId="4403" xr:uid="{00000000-0005-0000-0000-00002B370000}"/>
    <cellStyle name="Input 2 5 6 3 4" xfId="5675" xr:uid="{00000000-0005-0000-0000-00002C370000}"/>
    <cellStyle name="Input 2 5 6 4" xfId="4407" xr:uid="{00000000-0005-0000-0000-00002D370000}"/>
    <cellStyle name="Input 2 5 6 4 2" xfId="4056" xr:uid="{00000000-0005-0000-0000-00002E370000}"/>
    <cellStyle name="Input 2 5 6 4 3" xfId="5678" xr:uid="{00000000-0005-0000-0000-00002F370000}"/>
    <cellStyle name="Input 2 5 6 5" xfId="1032" xr:uid="{00000000-0005-0000-0000-000030370000}"/>
    <cellStyle name="Input 2 5 6 5 2" xfId="1119" xr:uid="{00000000-0005-0000-0000-000031370000}"/>
    <cellStyle name="Input 2 5 6 5 3" xfId="5681" xr:uid="{00000000-0005-0000-0000-000032370000}"/>
    <cellStyle name="Input 2 5 6 6" xfId="5684" xr:uid="{00000000-0005-0000-0000-000033370000}"/>
    <cellStyle name="Input 2 5 6 7" xfId="5692" xr:uid="{00000000-0005-0000-0000-000034370000}"/>
    <cellStyle name="Input 2 5 6 8" xfId="5697" xr:uid="{00000000-0005-0000-0000-000035370000}"/>
    <cellStyle name="Input 2 5 7" xfId="20859" xr:uid="{00000000-0005-0000-0000-000036370000}"/>
    <cellStyle name="Input 2 5 7 2" xfId="16309" xr:uid="{00000000-0005-0000-0000-000037370000}"/>
    <cellStyle name="Input 2 5 7 2 2" xfId="20860" xr:uid="{00000000-0005-0000-0000-000038370000}"/>
    <cellStyle name="Input 2 5 7 2 3" xfId="20863" xr:uid="{00000000-0005-0000-0000-000039370000}"/>
    <cellStyle name="Input 2 5 7 2 4" xfId="20864" xr:uid="{00000000-0005-0000-0000-00003A370000}"/>
    <cellStyle name="Input 2 5 7 3" xfId="4426" xr:uid="{00000000-0005-0000-0000-00003B370000}"/>
    <cellStyle name="Input 2 5 7 3 2" xfId="4432" xr:uid="{00000000-0005-0000-0000-00003C370000}"/>
    <cellStyle name="Input 2 5 7 3 3" xfId="4437" xr:uid="{00000000-0005-0000-0000-00003D370000}"/>
    <cellStyle name="Input 2 5 7 3 4" xfId="4927" xr:uid="{00000000-0005-0000-0000-00003E370000}"/>
    <cellStyle name="Input 2 5 7 4" xfId="4445" xr:uid="{00000000-0005-0000-0000-00003F370000}"/>
    <cellStyle name="Input 2 5 7 4 2" xfId="4094" xr:uid="{00000000-0005-0000-0000-000040370000}"/>
    <cellStyle name="Input 2 5 7 4 3" xfId="4965" xr:uid="{00000000-0005-0000-0000-000041370000}"/>
    <cellStyle name="Input 2 5 7 5" xfId="4449" xr:uid="{00000000-0005-0000-0000-000042370000}"/>
    <cellStyle name="Input 2 5 7 5 2" xfId="4111" xr:uid="{00000000-0005-0000-0000-000043370000}"/>
    <cellStyle name="Input 2 5 7 5 3" xfId="5018" xr:uid="{00000000-0005-0000-0000-000044370000}"/>
    <cellStyle name="Input 2 5 7 6" xfId="5699" xr:uid="{00000000-0005-0000-0000-000045370000}"/>
    <cellStyle name="Input 2 5 7 7" xfId="5705" xr:uid="{00000000-0005-0000-0000-000046370000}"/>
    <cellStyle name="Input 2 5 7 8" xfId="5710" xr:uid="{00000000-0005-0000-0000-000047370000}"/>
    <cellStyle name="Input 2 5 8" xfId="20865" xr:uid="{00000000-0005-0000-0000-000048370000}"/>
    <cellStyle name="Input 2 5 8 2" xfId="19800" xr:uid="{00000000-0005-0000-0000-000049370000}"/>
    <cellStyle name="Input 2 5 8 2 2" xfId="20867" xr:uid="{00000000-0005-0000-0000-00004A370000}"/>
    <cellStyle name="Input 2 5 8 2 3" xfId="4232" xr:uid="{00000000-0005-0000-0000-00004B370000}"/>
    <cellStyle name="Input 2 5 8 2 4" xfId="4235" xr:uid="{00000000-0005-0000-0000-00004C370000}"/>
    <cellStyle name="Input 2 5 8 3" xfId="4461" xr:uid="{00000000-0005-0000-0000-00004D370000}"/>
    <cellStyle name="Input 2 5 8 3 2" xfId="4465" xr:uid="{00000000-0005-0000-0000-00004E370000}"/>
    <cellStyle name="Input 2 5 8 3 3" xfId="4242" xr:uid="{00000000-0005-0000-0000-00004F370000}"/>
    <cellStyle name="Input 2 5 8 3 4" xfId="4248" xr:uid="{00000000-0005-0000-0000-000050370000}"/>
    <cellStyle name="Input 2 5 8 4" xfId="4469" xr:uid="{00000000-0005-0000-0000-000051370000}"/>
    <cellStyle name="Input 2 5 8 4 2" xfId="5713" xr:uid="{00000000-0005-0000-0000-000052370000}"/>
    <cellStyle name="Input 2 5 8 4 3" xfId="5715" xr:uid="{00000000-0005-0000-0000-000053370000}"/>
    <cellStyle name="Input 2 5 8 5" xfId="4472" xr:uid="{00000000-0005-0000-0000-000054370000}"/>
    <cellStyle name="Input 2 5 8 5 2" xfId="5719" xr:uid="{00000000-0005-0000-0000-000055370000}"/>
    <cellStyle name="Input 2 5 8 5 3" xfId="5721" xr:uid="{00000000-0005-0000-0000-000056370000}"/>
    <cellStyle name="Input 2 5 8 6" xfId="5723" xr:uid="{00000000-0005-0000-0000-000057370000}"/>
    <cellStyle name="Input 2 5 8 7" xfId="5730" xr:uid="{00000000-0005-0000-0000-000058370000}"/>
    <cellStyle name="Input 2 5 8 8" xfId="5732" xr:uid="{00000000-0005-0000-0000-000059370000}"/>
    <cellStyle name="Input 2 5 9" xfId="1912" xr:uid="{00000000-0005-0000-0000-00005A370000}"/>
    <cellStyle name="Input 2 5 9 2" xfId="1914" xr:uid="{00000000-0005-0000-0000-00005B370000}"/>
    <cellStyle name="Input 2 5 9 2 2" xfId="416" xr:uid="{00000000-0005-0000-0000-00005C370000}"/>
    <cellStyle name="Input 2 5 9 2 3" xfId="438" xr:uid="{00000000-0005-0000-0000-00005D370000}"/>
    <cellStyle name="Input 2 5 9 2 4" xfId="1928" xr:uid="{00000000-0005-0000-0000-00005E370000}"/>
    <cellStyle name="Input 2 5 9 3" xfId="1942" xr:uid="{00000000-0005-0000-0000-00005F370000}"/>
    <cellStyle name="Input 2 5 9 3 2" xfId="20491" xr:uid="{00000000-0005-0000-0000-000060370000}"/>
    <cellStyle name="Input 2 5 9 3 3" xfId="20868" xr:uid="{00000000-0005-0000-0000-000061370000}"/>
    <cellStyle name="Input 2 5 9 3 4" xfId="8721" xr:uid="{00000000-0005-0000-0000-000062370000}"/>
    <cellStyle name="Input 2 5 9 4" xfId="1947" xr:uid="{00000000-0005-0000-0000-000063370000}"/>
    <cellStyle name="Input 2 5 9 4 2" xfId="738" xr:uid="{00000000-0005-0000-0000-000064370000}"/>
    <cellStyle name="Input 2 5 9 4 3" xfId="232" xr:uid="{00000000-0005-0000-0000-000065370000}"/>
    <cellStyle name="Input 2 5 9 5" xfId="1373" xr:uid="{00000000-0005-0000-0000-000066370000}"/>
    <cellStyle name="Input 2 5 9 5 2" xfId="20869" xr:uid="{00000000-0005-0000-0000-000067370000}"/>
    <cellStyle name="Input 2 5 9 5 3" xfId="20870" xr:uid="{00000000-0005-0000-0000-000068370000}"/>
    <cellStyle name="Input 2 5 9 6" xfId="1723" xr:uid="{00000000-0005-0000-0000-000069370000}"/>
    <cellStyle name="Input 2 5 9 7" xfId="1726" xr:uid="{00000000-0005-0000-0000-00006A370000}"/>
    <cellStyle name="Input 2 5 9 8" xfId="1729" xr:uid="{00000000-0005-0000-0000-00006B370000}"/>
    <cellStyle name="Input 2 6" xfId="19507" xr:uid="{00000000-0005-0000-0000-00006C370000}"/>
    <cellStyle name="Input 2 6 10" xfId="20871" xr:uid="{00000000-0005-0000-0000-00006D370000}"/>
    <cellStyle name="Input 2 6 10 2" xfId="20873" xr:uid="{00000000-0005-0000-0000-00006E370000}"/>
    <cellStyle name="Input 2 6 10 2 2" xfId="20875" xr:uid="{00000000-0005-0000-0000-00006F370000}"/>
    <cellStyle name="Input 2 6 10 2 3" xfId="20878" xr:uid="{00000000-0005-0000-0000-000070370000}"/>
    <cellStyle name="Input 2 6 10 2 4" xfId="20883" xr:uid="{00000000-0005-0000-0000-000071370000}"/>
    <cellStyle name="Input 2 6 10 3" xfId="20093" xr:uid="{00000000-0005-0000-0000-000072370000}"/>
    <cellStyle name="Input 2 6 10 3 2" xfId="20886" xr:uid="{00000000-0005-0000-0000-000073370000}"/>
    <cellStyle name="Input 2 6 10 3 3" xfId="20887" xr:uid="{00000000-0005-0000-0000-000074370000}"/>
    <cellStyle name="Input 2 6 10 3 4" xfId="20891" xr:uid="{00000000-0005-0000-0000-000075370000}"/>
    <cellStyle name="Input 2 6 10 4" xfId="20095" xr:uid="{00000000-0005-0000-0000-000076370000}"/>
    <cellStyle name="Input 2 6 10 4 2" xfId="20894" xr:uid="{00000000-0005-0000-0000-000077370000}"/>
    <cellStyle name="Input 2 6 10 4 3" xfId="20895" xr:uid="{00000000-0005-0000-0000-000078370000}"/>
    <cellStyle name="Input 2 6 10 5" xfId="20097" xr:uid="{00000000-0005-0000-0000-000079370000}"/>
    <cellStyle name="Input 2 6 10 5 2" xfId="20896" xr:uid="{00000000-0005-0000-0000-00007A370000}"/>
    <cellStyle name="Input 2 6 10 5 3" xfId="20897" xr:uid="{00000000-0005-0000-0000-00007B370000}"/>
    <cellStyle name="Input 2 6 10 6" xfId="1673" xr:uid="{00000000-0005-0000-0000-00007C370000}"/>
    <cellStyle name="Input 2 6 10 7" xfId="1685" xr:uid="{00000000-0005-0000-0000-00007D370000}"/>
    <cellStyle name="Input 2 6 11" xfId="20898" xr:uid="{00000000-0005-0000-0000-00007E370000}"/>
    <cellStyle name="Input 2 6 11 2" xfId="20900" xr:uid="{00000000-0005-0000-0000-00007F370000}"/>
    <cellStyle name="Input 2 6 11 2 2" xfId="20901" xr:uid="{00000000-0005-0000-0000-000080370000}"/>
    <cellStyle name="Input 2 6 11 2 3" xfId="20902" xr:uid="{00000000-0005-0000-0000-000081370000}"/>
    <cellStyle name="Input 2 6 11 2 4" xfId="20906" xr:uid="{00000000-0005-0000-0000-000082370000}"/>
    <cellStyle name="Input 2 6 11 3" xfId="20101" xr:uid="{00000000-0005-0000-0000-000083370000}"/>
    <cellStyle name="Input 2 6 11 3 2" xfId="20909" xr:uid="{00000000-0005-0000-0000-000084370000}"/>
    <cellStyle name="Input 2 6 11 3 3" xfId="20910" xr:uid="{00000000-0005-0000-0000-000085370000}"/>
    <cellStyle name="Input 2 6 11 3 4" xfId="20914" xr:uid="{00000000-0005-0000-0000-000086370000}"/>
    <cellStyle name="Input 2 6 11 4" xfId="20103" xr:uid="{00000000-0005-0000-0000-000087370000}"/>
    <cellStyle name="Input 2 6 11 4 2" xfId="20917" xr:uid="{00000000-0005-0000-0000-000088370000}"/>
    <cellStyle name="Input 2 6 11 4 3" xfId="20918" xr:uid="{00000000-0005-0000-0000-000089370000}"/>
    <cellStyle name="Input 2 6 11 5" xfId="20105" xr:uid="{00000000-0005-0000-0000-00008A370000}"/>
    <cellStyle name="Input 2 6 11 5 2" xfId="20920" xr:uid="{00000000-0005-0000-0000-00008B370000}"/>
    <cellStyle name="Input 2 6 11 5 3" xfId="20921" xr:uid="{00000000-0005-0000-0000-00008C370000}"/>
    <cellStyle name="Input 2 6 11 6" xfId="20923" xr:uid="{00000000-0005-0000-0000-00008D370000}"/>
    <cellStyle name="Input 2 6 11 7" xfId="6798" xr:uid="{00000000-0005-0000-0000-00008E370000}"/>
    <cellStyle name="Input 2 6 12" xfId="20924" xr:uid="{00000000-0005-0000-0000-00008F370000}"/>
    <cellStyle name="Input 2 6 12 2" xfId="20925" xr:uid="{00000000-0005-0000-0000-000090370000}"/>
    <cellStyle name="Input 2 6 12 2 2" xfId="17315" xr:uid="{00000000-0005-0000-0000-000091370000}"/>
    <cellStyle name="Input 2 6 12 2 3" xfId="17320" xr:uid="{00000000-0005-0000-0000-000092370000}"/>
    <cellStyle name="Input 2 6 12 2 4" xfId="17323" xr:uid="{00000000-0005-0000-0000-000093370000}"/>
    <cellStyle name="Input 2 6 12 3" xfId="20109" xr:uid="{00000000-0005-0000-0000-000094370000}"/>
    <cellStyle name="Input 2 6 12 3 2" xfId="20927" xr:uid="{00000000-0005-0000-0000-000095370000}"/>
    <cellStyle name="Input 2 6 12 3 3" xfId="20928" xr:uid="{00000000-0005-0000-0000-000096370000}"/>
    <cellStyle name="Input 2 6 12 3 4" xfId="20930" xr:uid="{00000000-0005-0000-0000-000097370000}"/>
    <cellStyle name="Input 2 6 12 4" xfId="20111" xr:uid="{00000000-0005-0000-0000-000098370000}"/>
    <cellStyle name="Input 2 6 12 4 2" xfId="14355" xr:uid="{00000000-0005-0000-0000-000099370000}"/>
    <cellStyle name="Input 2 6 12 4 3" xfId="20933" xr:uid="{00000000-0005-0000-0000-00009A370000}"/>
    <cellStyle name="Input 2 6 12 5" xfId="20934" xr:uid="{00000000-0005-0000-0000-00009B370000}"/>
    <cellStyle name="Input 2 6 12 5 2" xfId="20936" xr:uid="{00000000-0005-0000-0000-00009C370000}"/>
    <cellStyle name="Input 2 6 12 5 3" xfId="20937" xr:uid="{00000000-0005-0000-0000-00009D370000}"/>
    <cellStyle name="Input 2 6 12 6" xfId="20938" xr:uid="{00000000-0005-0000-0000-00009E370000}"/>
    <cellStyle name="Input 2 6 12 7" xfId="6801" xr:uid="{00000000-0005-0000-0000-00009F370000}"/>
    <cellStyle name="Input 2 6 13" xfId="20939" xr:uid="{00000000-0005-0000-0000-0000A0370000}"/>
    <cellStyle name="Input 2 6 13 2" xfId="20940" xr:uid="{00000000-0005-0000-0000-0000A1370000}"/>
    <cellStyle name="Input 2 6 13 3" xfId="20114" xr:uid="{00000000-0005-0000-0000-0000A2370000}"/>
    <cellStyle name="Input 2 6 13 4" xfId="20116" xr:uid="{00000000-0005-0000-0000-0000A3370000}"/>
    <cellStyle name="Input 2 6 14" xfId="20942" xr:uid="{00000000-0005-0000-0000-0000A4370000}"/>
    <cellStyle name="Input 2 6 14 2" xfId="20943" xr:uid="{00000000-0005-0000-0000-0000A5370000}"/>
    <cellStyle name="Input 2 6 14 3" xfId="20945" xr:uid="{00000000-0005-0000-0000-0000A6370000}"/>
    <cellStyle name="Input 2 6 14 4" xfId="20946" xr:uid="{00000000-0005-0000-0000-0000A7370000}"/>
    <cellStyle name="Input 2 6 15" xfId="20947" xr:uid="{00000000-0005-0000-0000-0000A8370000}"/>
    <cellStyle name="Input 2 6 15 2" xfId="20950" xr:uid="{00000000-0005-0000-0000-0000A9370000}"/>
    <cellStyle name="Input 2 6 15 3" xfId="20952" xr:uid="{00000000-0005-0000-0000-0000AA370000}"/>
    <cellStyle name="Input 2 6 16" xfId="20954" xr:uid="{00000000-0005-0000-0000-0000AB370000}"/>
    <cellStyle name="Input 2 6 16 2" xfId="20955" xr:uid="{00000000-0005-0000-0000-0000AC370000}"/>
    <cellStyle name="Input 2 6 16 3" xfId="20956" xr:uid="{00000000-0005-0000-0000-0000AD370000}"/>
    <cellStyle name="Input 2 6 17" xfId="20957" xr:uid="{00000000-0005-0000-0000-0000AE370000}"/>
    <cellStyle name="Input 2 6 17 2" xfId="20958" xr:uid="{00000000-0005-0000-0000-0000AF370000}"/>
    <cellStyle name="Input 2 6 17 2 2" xfId="20959" xr:uid="{00000000-0005-0000-0000-0000B0370000}"/>
    <cellStyle name="Input 2 6 18" xfId="20960" xr:uid="{00000000-0005-0000-0000-0000B1370000}"/>
    <cellStyle name="Input 2 6 19" xfId="20961" xr:uid="{00000000-0005-0000-0000-0000B2370000}"/>
    <cellStyle name="Input 2 6 2" xfId="20962" xr:uid="{00000000-0005-0000-0000-0000B3370000}"/>
    <cellStyle name="Input 2 6 2 10" xfId="20963" xr:uid="{00000000-0005-0000-0000-0000B4370000}"/>
    <cellStyle name="Input 2 6 2 10 2" xfId="20964" xr:uid="{00000000-0005-0000-0000-0000B5370000}"/>
    <cellStyle name="Input 2 6 2 10 2 2" xfId="20967" xr:uid="{00000000-0005-0000-0000-0000B6370000}"/>
    <cellStyle name="Input 2 6 2 10 2 3" xfId="11602" xr:uid="{00000000-0005-0000-0000-0000B7370000}"/>
    <cellStyle name="Input 2 6 2 10 2 4" xfId="11604" xr:uid="{00000000-0005-0000-0000-0000B8370000}"/>
    <cellStyle name="Input 2 6 2 10 3" xfId="5009" xr:uid="{00000000-0005-0000-0000-0000B9370000}"/>
    <cellStyle name="Input 2 6 2 10 3 2" xfId="20969" xr:uid="{00000000-0005-0000-0000-0000BA370000}"/>
    <cellStyle name="Input 2 6 2 10 3 3" xfId="11608" xr:uid="{00000000-0005-0000-0000-0000BB370000}"/>
    <cellStyle name="Input 2 6 2 10 3 4" xfId="11611" xr:uid="{00000000-0005-0000-0000-0000BC370000}"/>
    <cellStyle name="Input 2 6 2 10 4" xfId="54" xr:uid="{00000000-0005-0000-0000-0000BD370000}"/>
    <cellStyle name="Input 2 6 2 10 4 2" xfId="20970" xr:uid="{00000000-0005-0000-0000-0000BE370000}"/>
    <cellStyle name="Input 2 6 2 10 4 3" xfId="20971" xr:uid="{00000000-0005-0000-0000-0000BF370000}"/>
    <cellStyle name="Input 2 6 2 10 5" xfId="19542" xr:uid="{00000000-0005-0000-0000-0000C0370000}"/>
    <cellStyle name="Input 2 6 2 10 5 2" xfId="20973" xr:uid="{00000000-0005-0000-0000-0000C1370000}"/>
    <cellStyle name="Input 2 6 2 10 5 3" xfId="20975" xr:uid="{00000000-0005-0000-0000-0000C2370000}"/>
    <cellStyle name="Input 2 6 2 10 6" xfId="20978" xr:uid="{00000000-0005-0000-0000-0000C3370000}"/>
    <cellStyle name="Input 2 6 2 10 7" xfId="20979" xr:uid="{00000000-0005-0000-0000-0000C4370000}"/>
    <cellStyle name="Input 2 6 2 11" xfId="20981" xr:uid="{00000000-0005-0000-0000-0000C5370000}"/>
    <cellStyle name="Input 2 6 2 11 2" xfId="20982" xr:uid="{00000000-0005-0000-0000-0000C6370000}"/>
    <cellStyle name="Input 2 6 2 11 3" xfId="20985" xr:uid="{00000000-0005-0000-0000-0000C7370000}"/>
    <cellStyle name="Input 2 6 2 11 4" xfId="20987" xr:uid="{00000000-0005-0000-0000-0000C8370000}"/>
    <cellStyle name="Input 2 6 2 12" xfId="20988" xr:uid="{00000000-0005-0000-0000-0000C9370000}"/>
    <cellStyle name="Input 2 6 2 12 2" xfId="20989" xr:uid="{00000000-0005-0000-0000-0000CA370000}"/>
    <cellStyle name="Input 2 6 2 12 3" xfId="20993" xr:uid="{00000000-0005-0000-0000-0000CB370000}"/>
    <cellStyle name="Input 2 6 2 12 4" xfId="20996" xr:uid="{00000000-0005-0000-0000-0000CC370000}"/>
    <cellStyle name="Input 2 6 2 13" xfId="20997" xr:uid="{00000000-0005-0000-0000-0000CD370000}"/>
    <cellStyle name="Input 2 6 2 13 2" xfId="20998" xr:uid="{00000000-0005-0000-0000-0000CE370000}"/>
    <cellStyle name="Input 2 6 2 13 3" xfId="21001" xr:uid="{00000000-0005-0000-0000-0000CF370000}"/>
    <cellStyle name="Input 2 6 2 14" xfId="21003" xr:uid="{00000000-0005-0000-0000-0000D0370000}"/>
    <cellStyle name="Input 2 6 2 14 2" xfId="21004" xr:uid="{00000000-0005-0000-0000-0000D1370000}"/>
    <cellStyle name="Input 2 6 2 14 3" xfId="21007" xr:uid="{00000000-0005-0000-0000-0000D2370000}"/>
    <cellStyle name="Input 2 6 2 15" xfId="21008" xr:uid="{00000000-0005-0000-0000-0000D3370000}"/>
    <cellStyle name="Input 2 6 2 16" xfId="21009" xr:uid="{00000000-0005-0000-0000-0000D4370000}"/>
    <cellStyle name="Input 2 6 2 2" xfId="16847" xr:uid="{00000000-0005-0000-0000-0000D5370000}"/>
    <cellStyle name="Input 2 6 2 2 2" xfId="21011" xr:uid="{00000000-0005-0000-0000-0000D6370000}"/>
    <cellStyle name="Input 2 6 2 2 2 2" xfId="8625" xr:uid="{00000000-0005-0000-0000-0000D7370000}"/>
    <cellStyle name="Input 2 6 2 2 2 2 2" xfId="21012" xr:uid="{00000000-0005-0000-0000-0000D8370000}"/>
    <cellStyle name="Input 2 6 2 2 2 2 2 2" xfId="21013" xr:uid="{00000000-0005-0000-0000-0000D9370000}"/>
    <cellStyle name="Input 2 6 2 2 2 2 2 2 2" xfId="643" xr:uid="{00000000-0005-0000-0000-0000DA370000}"/>
    <cellStyle name="Input 2 6 2 2 2 3" xfId="21014" xr:uid="{00000000-0005-0000-0000-0000DB370000}"/>
    <cellStyle name="Input 2 6 2 2 2 4" xfId="21015" xr:uid="{00000000-0005-0000-0000-0000DC370000}"/>
    <cellStyle name="Input 2 6 2 2 3" xfId="21016" xr:uid="{00000000-0005-0000-0000-0000DD370000}"/>
    <cellStyle name="Input 2 6 2 2 3 2" xfId="21017" xr:uid="{00000000-0005-0000-0000-0000DE370000}"/>
    <cellStyle name="Input 2 6 2 2 3 3" xfId="21018" xr:uid="{00000000-0005-0000-0000-0000DF370000}"/>
    <cellStyle name="Input 2 6 2 2 3 4" xfId="21019" xr:uid="{00000000-0005-0000-0000-0000E0370000}"/>
    <cellStyle name="Input 2 6 2 2 4" xfId="21020" xr:uid="{00000000-0005-0000-0000-0000E1370000}"/>
    <cellStyle name="Input 2 6 2 2 4 2" xfId="21021" xr:uid="{00000000-0005-0000-0000-0000E2370000}"/>
    <cellStyle name="Input 2 6 2 2 4 3" xfId="21022" xr:uid="{00000000-0005-0000-0000-0000E3370000}"/>
    <cellStyle name="Input 2 6 2 2 5" xfId="21023" xr:uid="{00000000-0005-0000-0000-0000E4370000}"/>
    <cellStyle name="Input 2 6 2 2 5 2" xfId="21024" xr:uid="{00000000-0005-0000-0000-0000E5370000}"/>
    <cellStyle name="Input 2 6 2 2 5 3" xfId="21025" xr:uid="{00000000-0005-0000-0000-0000E6370000}"/>
    <cellStyle name="Input 2 6 2 2 6" xfId="21026" xr:uid="{00000000-0005-0000-0000-0000E7370000}"/>
    <cellStyle name="Input 2 6 2 2 6 2" xfId="21029" xr:uid="{00000000-0005-0000-0000-0000E8370000}"/>
    <cellStyle name="Input 2 6 2 2 6 2 2" xfId="21030" xr:uid="{00000000-0005-0000-0000-0000E9370000}"/>
    <cellStyle name="Input 2 6 2 2 7" xfId="21031" xr:uid="{00000000-0005-0000-0000-0000EA370000}"/>
    <cellStyle name="Input 2 6 2 3" xfId="16849" xr:uid="{00000000-0005-0000-0000-0000EB370000}"/>
    <cellStyle name="Input 2 6 2 3 2" xfId="111" xr:uid="{00000000-0005-0000-0000-0000EC370000}"/>
    <cellStyle name="Input 2 6 2 3 2 2" xfId="21034" xr:uid="{00000000-0005-0000-0000-0000ED370000}"/>
    <cellStyle name="Input 2 6 2 3 2 3" xfId="21035" xr:uid="{00000000-0005-0000-0000-0000EE370000}"/>
    <cellStyle name="Input 2 6 2 3 2 4" xfId="21036" xr:uid="{00000000-0005-0000-0000-0000EF370000}"/>
    <cellStyle name="Input 2 6 2 3 3" xfId="7652" xr:uid="{00000000-0005-0000-0000-0000F0370000}"/>
    <cellStyle name="Input 2 6 2 3 3 2" xfId="21037" xr:uid="{00000000-0005-0000-0000-0000F1370000}"/>
    <cellStyle name="Input 2 6 2 3 3 3" xfId="21039" xr:uid="{00000000-0005-0000-0000-0000F2370000}"/>
    <cellStyle name="Input 2 6 2 3 3 4" xfId="21041" xr:uid="{00000000-0005-0000-0000-0000F3370000}"/>
    <cellStyle name="Input 2 6 2 3 4" xfId="21043" xr:uid="{00000000-0005-0000-0000-0000F4370000}"/>
    <cellStyle name="Input 2 6 2 3 4 2" xfId="21044" xr:uid="{00000000-0005-0000-0000-0000F5370000}"/>
    <cellStyle name="Input 2 6 2 3 4 3" xfId="21045" xr:uid="{00000000-0005-0000-0000-0000F6370000}"/>
    <cellStyle name="Input 2 6 2 3 5" xfId="21046" xr:uid="{00000000-0005-0000-0000-0000F7370000}"/>
    <cellStyle name="Input 2 6 2 3 5 2" xfId="21047" xr:uid="{00000000-0005-0000-0000-0000F8370000}"/>
    <cellStyle name="Input 2 6 2 3 5 3" xfId="21048" xr:uid="{00000000-0005-0000-0000-0000F9370000}"/>
    <cellStyle name="Input 2 6 2 3 6" xfId="21049" xr:uid="{00000000-0005-0000-0000-0000FA370000}"/>
    <cellStyle name="Input 2 6 2 3 6 2" xfId="21052" xr:uid="{00000000-0005-0000-0000-0000FB370000}"/>
    <cellStyle name="Input 2 6 2 3 6 2 2" xfId="21053" xr:uid="{00000000-0005-0000-0000-0000FC370000}"/>
    <cellStyle name="Input 2 6 2 3 7" xfId="21055" xr:uid="{00000000-0005-0000-0000-0000FD370000}"/>
    <cellStyle name="Input 2 6 2 4" xfId="21059" xr:uid="{00000000-0005-0000-0000-0000FE370000}"/>
    <cellStyle name="Input 2 6 2 4 2" xfId="6704" xr:uid="{00000000-0005-0000-0000-0000FF370000}"/>
    <cellStyle name="Input 2 6 2 4 2 2" xfId="21061" xr:uid="{00000000-0005-0000-0000-000000380000}"/>
    <cellStyle name="Input 2 6 2 4 2 3" xfId="21062" xr:uid="{00000000-0005-0000-0000-000001380000}"/>
    <cellStyle name="Input 2 6 2 4 2 4" xfId="21064" xr:uid="{00000000-0005-0000-0000-000002380000}"/>
    <cellStyle name="Input 2 6 2 4 3" xfId="21066" xr:uid="{00000000-0005-0000-0000-000003380000}"/>
    <cellStyle name="Input 2 6 2 4 3 2" xfId="21067" xr:uid="{00000000-0005-0000-0000-000004380000}"/>
    <cellStyle name="Input 2 6 2 4 3 3" xfId="21068" xr:uid="{00000000-0005-0000-0000-000005380000}"/>
    <cellStyle name="Input 2 6 2 4 3 4" xfId="21069" xr:uid="{00000000-0005-0000-0000-000006380000}"/>
    <cellStyle name="Input 2 6 2 4 4" xfId="21070" xr:uid="{00000000-0005-0000-0000-000007380000}"/>
    <cellStyle name="Input 2 6 2 4 4 2" xfId="21071" xr:uid="{00000000-0005-0000-0000-000008380000}"/>
    <cellStyle name="Input 2 6 2 4 4 3" xfId="21072" xr:uid="{00000000-0005-0000-0000-000009380000}"/>
    <cellStyle name="Input 2 6 2 4 5" xfId="21073" xr:uid="{00000000-0005-0000-0000-00000A380000}"/>
    <cellStyle name="Input 2 6 2 4 5 2" xfId="21074" xr:uid="{00000000-0005-0000-0000-00000B380000}"/>
    <cellStyle name="Input 2 6 2 4 5 3" xfId="21075" xr:uid="{00000000-0005-0000-0000-00000C380000}"/>
    <cellStyle name="Input 2 6 2 4 6" xfId="21076" xr:uid="{00000000-0005-0000-0000-00000D380000}"/>
    <cellStyle name="Input 2 6 2 4 7" xfId="21079" xr:uid="{00000000-0005-0000-0000-00000E380000}"/>
    <cellStyle name="Input 2 6 2 5" xfId="21083" xr:uid="{00000000-0005-0000-0000-00000F380000}"/>
    <cellStyle name="Input 2 6 2 5 2" xfId="21085" xr:uid="{00000000-0005-0000-0000-000010380000}"/>
    <cellStyle name="Input 2 6 2 5 2 2" xfId="21086" xr:uid="{00000000-0005-0000-0000-000011380000}"/>
    <cellStyle name="Input 2 6 2 5 2 3" xfId="21087" xr:uid="{00000000-0005-0000-0000-000012380000}"/>
    <cellStyle name="Input 2 6 2 5 2 4" xfId="21088" xr:uid="{00000000-0005-0000-0000-000013380000}"/>
    <cellStyle name="Input 2 6 2 5 3" xfId="21089" xr:uid="{00000000-0005-0000-0000-000014380000}"/>
    <cellStyle name="Input 2 6 2 5 3 2" xfId="21090" xr:uid="{00000000-0005-0000-0000-000015380000}"/>
    <cellStyle name="Input 2 6 2 5 3 3" xfId="21091" xr:uid="{00000000-0005-0000-0000-000016380000}"/>
    <cellStyle name="Input 2 6 2 5 3 4" xfId="21092" xr:uid="{00000000-0005-0000-0000-000017380000}"/>
    <cellStyle name="Input 2 6 2 5 4" xfId="21093" xr:uid="{00000000-0005-0000-0000-000018380000}"/>
    <cellStyle name="Input 2 6 2 5 4 2" xfId="21094" xr:uid="{00000000-0005-0000-0000-000019380000}"/>
    <cellStyle name="Input 2 6 2 5 4 3" xfId="21095" xr:uid="{00000000-0005-0000-0000-00001A380000}"/>
    <cellStyle name="Input 2 6 2 5 5" xfId="21097" xr:uid="{00000000-0005-0000-0000-00001B380000}"/>
    <cellStyle name="Input 2 6 2 5 5 2" xfId="21098" xr:uid="{00000000-0005-0000-0000-00001C380000}"/>
    <cellStyle name="Input 2 6 2 5 5 3" xfId="21099" xr:uid="{00000000-0005-0000-0000-00001D380000}"/>
    <cellStyle name="Input 2 6 2 5 6" xfId="21100" xr:uid="{00000000-0005-0000-0000-00001E380000}"/>
    <cellStyle name="Input 2 6 2 5 7" xfId="21103" xr:uid="{00000000-0005-0000-0000-00001F380000}"/>
    <cellStyle name="Input 2 6 2 6" xfId="21108" xr:uid="{00000000-0005-0000-0000-000020380000}"/>
    <cellStyle name="Input 2 6 2 6 2" xfId="21109" xr:uid="{00000000-0005-0000-0000-000021380000}"/>
    <cellStyle name="Input 2 6 2 6 2 2" xfId="21110" xr:uid="{00000000-0005-0000-0000-000022380000}"/>
    <cellStyle name="Input 2 6 2 6 2 3" xfId="21111" xr:uid="{00000000-0005-0000-0000-000023380000}"/>
    <cellStyle name="Input 2 6 2 6 2 4" xfId="21112" xr:uid="{00000000-0005-0000-0000-000024380000}"/>
    <cellStyle name="Input 2 6 2 6 3" xfId="21113" xr:uid="{00000000-0005-0000-0000-000025380000}"/>
    <cellStyle name="Input 2 6 2 6 3 2" xfId="21114" xr:uid="{00000000-0005-0000-0000-000026380000}"/>
    <cellStyle name="Input 2 6 2 6 3 3" xfId="21115" xr:uid="{00000000-0005-0000-0000-000027380000}"/>
    <cellStyle name="Input 2 6 2 6 3 4" xfId="21116" xr:uid="{00000000-0005-0000-0000-000028380000}"/>
    <cellStyle name="Input 2 6 2 6 4" xfId="21117" xr:uid="{00000000-0005-0000-0000-000029380000}"/>
    <cellStyle name="Input 2 6 2 6 4 2" xfId="21118" xr:uid="{00000000-0005-0000-0000-00002A380000}"/>
    <cellStyle name="Input 2 6 2 6 4 3" xfId="21119" xr:uid="{00000000-0005-0000-0000-00002B380000}"/>
    <cellStyle name="Input 2 6 2 6 5" xfId="21120" xr:uid="{00000000-0005-0000-0000-00002C380000}"/>
    <cellStyle name="Input 2 6 2 6 5 2" xfId="21121" xr:uid="{00000000-0005-0000-0000-00002D380000}"/>
    <cellStyle name="Input 2 6 2 6 5 3" xfId="21122" xr:uid="{00000000-0005-0000-0000-00002E380000}"/>
    <cellStyle name="Input 2 6 2 6 6" xfId="21123" xr:uid="{00000000-0005-0000-0000-00002F380000}"/>
    <cellStyle name="Input 2 6 2 6 7" xfId="21126" xr:uid="{00000000-0005-0000-0000-000030380000}"/>
    <cellStyle name="Input 2 6 2 7" xfId="21130" xr:uid="{00000000-0005-0000-0000-000031380000}"/>
    <cellStyle name="Input 2 6 2 7 2" xfId="21131" xr:uid="{00000000-0005-0000-0000-000032380000}"/>
    <cellStyle name="Input 2 6 2 7 2 2" xfId="21132" xr:uid="{00000000-0005-0000-0000-000033380000}"/>
    <cellStyle name="Input 2 6 2 7 2 3" xfId="21134" xr:uid="{00000000-0005-0000-0000-000034380000}"/>
    <cellStyle name="Input 2 6 2 7 2 4" xfId="21136" xr:uid="{00000000-0005-0000-0000-000035380000}"/>
    <cellStyle name="Input 2 6 2 7 3" xfId="21138" xr:uid="{00000000-0005-0000-0000-000036380000}"/>
    <cellStyle name="Input 2 6 2 7 3 2" xfId="21139" xr:uid="{00000000-0005-0000-0000-000037380000}"/>
    <cellStyle name="Input 2 6 2 7 3 3" xfId="21141" xr:uid="{00000000-0005-0000-0000-000038380000}"/>
    <cellStyle name="Input 2 6 2 7 3 4" xfId="21143" xr:uid="{00000000-0005-0000-0000-000039380000}"/>
    <cellStyle name="Input 2 6 2 7 4" xfId="21145" xr:uid="{00000000-0005-0000-0000-00003A380000}"/>
    <cellStyle name="Input 2 6 2 7 4 2" xfId="21146" xr:uid="{00000000-0005-0000-0000-00003B380000}"/>
    <cellStyle name="Input 2 6 2 7 4 3" xfId="21148" xr:uid="{00000000-0005-0000-0000-00003C380000}"/>
    <cellStyle name="Input 2 6 2 7 5" xfId="21150" xr:uid="{00000000-0005-0000-0000-00003D380000}"/>
    <cellStyle name="Input 2 6 2 7 5 2" xfId="21151" xr:uid="{00000000-0005-0000-0000-00003E380000}"/>
    <cellStyle name="Input 2 6 2 7 5 3" xfId="21153" xr:uid="{00000000-0005-0000-0000-00003F380000}"/>
    <cellStyle name="Input 2 6 2 7 6" xfId="21155" xr:uid="{00000000-0005-0000-0000-000040380000}"/>
    <cellStyle name="Input 2 6 2 7 7" xfId="21157" xr:uid="{00000000-0005-0000-0000-000041380000}"/>
    <cellStyle name="Input 2 6 2 8" xfId="21160" xr:uid="{00000000-0005-0000-0000-000042380000}"/>
    <cellStyle name="Input 2 6 2 8 2" xfId="21161" xr:uid="{00000000-0005-0000-0000-000043380000}"/>
    <cellStyle name="Input 2 6 2 8 2 2" xfId="21162" xr:uid="{00000000-0005-0000-0000-000044380000}"/>
    <cellStyle name="Input 2 6 2 8 2 3" xfId="21164" xr:uid="{00000000-0005-0000-0000-000045380000}"/>
    <cellStyle name="Input 2 6 2 8 2 4" xfId="21166" xr:uid="{00000000-0005-0000-0000-000046380000}"/>
    <cellStyle name="Input 2 6 2 8 3" xfId="21168" xr:uid="{00000000-0005-0000-0000-000047380000}"/>
    <cellStyle name="Input 2 6 2 8 3 2" xfId="21169" xr:uid="{00000000-0005-0000-0000-000048380000}"/>
    <cellStyle name="Input 2 6 2 8 3 3" xfId="21171" xr:uid="{00000000-0005-0000-0000-000049380000}"/>
    <cellStyle name="Input 2 6 2 8 3 4" xfId="21174" xr:uid="{00000000-0005-0000-0000-00004A380000}"/>
    <cellStyle name="Input 2 6 2 8 4" xfId="21176" xr:uid="{00000000-0005-0000-0000-00004B380000}"/>
    <cellStyle name="Input 2 6 2 8 4 2" xfId="21177" xr:uid="{00000000-0005-0000-0000-00004C380000}"/>
    <cellStyle name="Input 2 6 2 8 4 3" xfId="21179" xr:uid="{00000000-0005-0000-0000-00004D380000}"/>
    <cellStyle name="Input 2 6 2 8 5" xfId="21181" xr:uid="{00000000-0005-0000-0000-00004E380000}"/>
    <cellStyle name="Input 2 6 2 8 5 2" xfId="21182" xr:uid="{00000000-0005-0000-0000-00004F380000}"/>
    <cellStyle name="Input 2 6 2 8 5 3" xfId="21183" xr:uid="{00000000-0005-0000-0000-000050380000}"/>
    <cellStyle name="Input 2 6 2 8 6" xfId="21184" xr:uid="{00000000-0005-0000-0000-000051380000}"/>
    <cellStyle name="Input 2 6 2 8 7" xfId="21186" xr:uid="{00000000-0005-0000-0000-000052380000}"/>
    <cellStyle name="Input 2 6 2 9" xfId="21189" xr:uid="{00000000-0005-0000-0000-000053380000}"/>
    <cellStyle name="Input 2 6 2 9 2" xfId="21190" xr:uid="{00000000-0005-0000-0000-000054380000}"/>
    <cellStyle name="Input 2 6 2 9 2 2" xfId="21191" xr:uid="{00000000-0005-0000-0000-000055380000}"/>
    <cellStyle name="Input 2 6 2 9 2 3" xfId="21192" xr:uid="{00000000-0005-0000-0000-000056380000}"/>
    <cellStyle name="Input 2 6 2 9 2 4" xfId="21194" xr:uid="{00000000-0005-0000-0000-000057380000}"/>
    <cellStyle name="Input 2 6 2 9 3" xfId="21196" xr:uid="{00000000-0005-0000-0000-000058380000}"/>
    <cellStyle name="Input 2 6 2 9 3 2" xfId="2635" xr:uid="{00000000-0005-0000-0000-000059380000}"/>
    <cellStyle name="Input 2 6 2 9 3 3" xfId="21197" xr:uid="{00000000-0005-0000-0000-00005A380000}"/>
    <cellStyle name="Input 2 6 2 9 3 4" xfId="21199" xr:uid="{00000000-0005-0000-0000-00005B380000}"/>
    <cellStyle name="Input 2 6 2 9 4" xfId="21200" xr:uid="{00000000-0005-0000-0000-00005C380000}"/>
    <cellStyle name="Input 2 6 2 9 4 2" xfId="21201" xr:uid="{00000000-0005-0000-0000-00005D380000}"/>
    <cellStyle name="Input 2 6 2 9 4 3" xfId="21202" xr:uid="{00000000-0005-0000-0000-00005E380000}"/>
    <cellStyle name="Input 2 6 2 9 5" xfId="21203" xr:uid="{00000000-0005-0000-0000-00005F380000}"/>
    <cellStyle name="Input 2 6 2 9 5 2" xfId="21204" xr:uid="{00000000-0005-0000-0000-000060380000}"/>
    <cellStyle name="Input 2 6 2 9 5 3" xfId="21205" xr:uid="{00000000-0005-0000-0000-000061380000}"/>
    <cellStyle name="Input 2 6 2 9 6" xfId="21206" xr:uid="{00000000-0005-0000-0000-000062380000}"/>
    <cellStyle name="Input 2 6 2 9 7" xfId="21207" xr:uid="{00000000-0005-0000-0000-000063380000}"/>
    <cellStyle name="Input 2 6 20" xfId="20948" xr:uid="{00000000-0005-0000-0000-000064380000}"/>
    <cellStyle name="Input 2 6 3" xfId="21208" xr:uid="{00000000-0005-0000-0000-000065380000}"/>
    <cellStyle name="Input 2 6 3 10" xfId="21209" xr:uid="{00000000-0005-0000-0000-000066380000}"/>
    <cellStyle name="Input 2 6 3 10 2" xfId="17939" xr:uid="{00000000-0005-0000-0000-000067380000}"/>
    <cellStyle name="Input 2 6 3 10 2 2" xfId="21212" xr:uid="{00000000-0005-0000-0000-000068380000}"/>
    <cellStyle name="Input 2 6 3 10 2 3" xfId="21213" xr:uid="{00000000-0005-0000-0000-000069380000}"/>
    <cellStyle name="Input 2 6 3 10 2 4" xfId="21214" xr:uid="{00000000-0005-0000-0000-00006A380000}"/>
    <cellStyle name="Input 2 6 3 10 3" xfId="21216" xr:uid="{00000000-0005-0000-0000-00006B380000}"/>
    <cellStyle name="Input 2 6 3 10 3 2" xfId="3693" xr:uid="{00000000-0005-0000-0000-00006C380000}"/>
    <cellStyle name="Input 2 6 3 10 3 3" xfId="3696" xr:uid="{00000000-0005-0000-0000-00006D380000}"/>
    <cellStyle name="Input 2 6 3 10 3 4" xfId="21217" xr:uid="{00000000-0005-0000-0000-00006E380000}"/>
    <cellStyle name="Input 2 6 3 10 4" xfId="19647" xr:uid="{00000000-0005-0000-0000-00006F380000}"/>
    <cellStyle name="Input 2 6 3 10 4 2" xfId="3704" xr:uid="{00000000-0005-0000-0000-000070380000}"/>
    <cellStyle name="Input 2 6 3 10 4 3" xfId="3707" xr:uid="{00000000-0005-0000-0000-000071380000}"/>
    <cellStyle name="Input 2 6 3 10 5" xfId="19649" xr:uid="{00000000-0005-0000-0000-000072380000}"/>
    <cellStyle name="Input 2 6 3 10 5 2" xfId="3721" xr:uid="{00000000-0005-0000-0000-000073380000}"/>
    <cellStyle name="Input 2 6 3 10 5 3" xfId="21219" xr:uid="{00000000-0005-0000-0000-000074380000}"/>
    <cellStyle name="Input 2 6 3 10 6" xfId="21221" xr:uid="{00000000-0005-0000-0000-000075380000}"/>
    <cellStyle name="Input 2 6 3 10 7" xfId="21222" xr:uid="{00000000-0005-0000-0000-000076380000}"/>
    <cellStyle name="Input 2 6 3 11" xfId="21223" xr:uid="{00000000-0005-0000-0000-000077380000}"/>
    <cellStyle name="Input 2 6 3 11 2" xfId="21226" xr:uid="{00000000-0005-0000-0000-000078380000}"/>
    <cellStyle name="Input 2 6 3 11 3" xfId="21227" xr:uid="{00000000-0005-0000-0000-000079380000}"/>
    <cellStyle name="Input 2 6 3 11 4" xfId="21228" xr:uid="{00000000-0005-0000-0000-00007A380000}"/>
    <cellStyle name="Input 2 6 3 12" xfId="20761" xr:uid="{00000000-0005-0000-0000-00007B380000}"/>
    <cellStyle name="Input 2 6 3 12 2" xfId="21229" xr:uid="{00000000-0005-0000-0000-00007C380000}"/>
    <cellStyle name="Input 2 6 3 12 3" xfId="21231" xr:uid="{00000000-0005-0000-0000-00007D380000}"/>
    <cellStyle name="Input 2 6 3 12 4" xfId="21233" xr:uid="{00000000-0005-0000-0000-00007E380000}"/>
    <cellStyle name="Input 2 6 3 13" xfId="20765" xr:uid="{00000000-0005-0000-0000-00007F380000}"/>
    <cellStyle name="Input 2 6 3 13 2" xfId="21234" xr:uid="{00000000-0005-0000-0000-000080380000}"/>
    <cellStyle name="Input 2 6 3 13 3" xfId="21236" xr:uid="{00000000-0005-0000-0000-000081380000}"/>
    <cellStyle name="Input 2 6 3 14" xfId="20768" xr:uid="{00000000-0005-0000-0000-000082380000}"/>
    <cellStyle name="Input 2 6 3 14 2" xfId="21238" xr:uid="{00000000-0005-0000-0000-000083380000}"/>
    <cellStyle name="Input 2 6 3 14 3" xfId="21241" xr:uid="{00000000-0005-0000-0000-000084380000}"/>
    <cellStyle name="Input 2 6 3 15" xfId="21243" xr:uid="{00000000-0005-0000-0000-000085380000}"/>
    <cellStyle name="Input 2 6 3 16" xfId="21247" xr:uid="{00000000-0005-0000-0000-000086380000}"/>
    <cellStyle name="Input 2 6 3 2" xfId="16876" xr:uid="{00000000-0005-0000-0000-000087380000}"/>
    <cellStyle name="Input 2 6 3 2 2" xfId="21249" xr:uid="{00000000-0005-0000-0000-000088380000}"/>
    <cellStyle name="Input 2 6 3 2 2 2" xfId="21251" xr:uid="{00000000-0005-0000-0000-000089380000}"/>
    <cellStyle name="Input 2 6 3 2 2 3" xfId="21254" xr:uid="{00000000-0005-0000-0000-00008A380000}"/>
    <cellStyle name="Input 2 6 3 2 2 4" xfId="21257" xr:uid="{00000000-0005-0000-0000-00008B380000}"/>
    <cellStyle name="Input 2 6 3 2 3" xfId="21259" xr:uid="{00000000-0005-0000-0000-00008C380000}"/>
    <cellStyle name="Input 2 6 3 2 3 2" xfId="21261" xr:uid="{00000000-0005-0000-0000-00008D380000}"/>
    <cellStyle name="Input 2 6 3 2 3 3" xfId="1044" xr:uid="{00000000-0005-0000-0000-00008E380000}"/>
    <cellStyle name="Input 2 6 3 2 3 4" xfId="1057" xr:uid="{00000000-0005-0000-0000-00008F380000}"/>
    <cellStyle name="Input 2 6 3 2 4" xfId="21264" xr:uid="{00000000-0005-0000-0000-000090380000}"/>
    <cellStyle name="Input 2 6 3 2 4 2" xfId="21266" xr:uid="{00000000-0005-0000-0000-000091380000}"/>
    <cellStyle name="Input 2 6 3 2 4 3" xfId="1091" xr:uid="{00000000-0005-0000-0000-000092380000}"/>
    <cellStyle name="Input 2 6 3 2 5" xfId="21268" xr:uid="{00000000-0005-0000-0000-000093380000}"/>
    <cellStyle name="Input 2 6 3 2 5 2" xfId="21270" xr:uid="{00000000-0005-0000-0000-000094380000}"/>
    <cellStyle name="Input 2 6 3 2 5 3" xfId="1611" xr:uid="{00000000-0005-0000-0000-000095380000}"/>
    <cellStyle name="Input 2 6 3 2 6" xfId="21272" xr:uid="{00000000-0005-0000-0000-000096380000}"/>
    <cellStyle name="Input 2 6 3 2 7" xfId="21275" xr:uid="{00000000-0005-0000-0000-000097380000}"/>
    <cellStyle name="Input 2 6 3 3" xfId="16879" xr:uid="{00000000-0005-0000-0000-000098380000}"/>
    <cellStyle name="Input 2 6 3 3 2" xfId="4606" xr:uid="{00000000-0005-0000-0000-000099380000}"/>
    <cellStyle name="Input 2 6 3 3 2 2" xfId="21278" xr:uid="{00000000-0005-0000-0000-00009A380000}"/>
    <cellStyle name="Input 2 6 3 3 2 3" xfId="21281" xr:uid="{00000000-0005-0000-0000-00009B380000}"/>
    <cellStyle name="Input 2 6 3 3 2 4" xfId="21284" xr:uid="{00000000-0005-0000-0000-00009C380000}"/>
    <cellStyle name="Input 2 6 3 3 3" xfId="7656" xr:uid="{00000000-0005-0000-0000-00009D380000}"/>
    <cellStyle name="Input 2 6 3 3 3 2" xfId="21286" xr:uid="{00000000-0005-0000-0000-00009E380000}"/>
    <cellStyle name="Input 2 6 3 3 3 3" xfId="6993" xr:uid="{00000000-0005-0000-0000-00009F380000}"/>
    <cellStyle name="Input 2 6 3 3 3 4" xfId="7000" xr:uid="{00000000-0005-0000-0000-0000A0380000}"/>
    <cellStyle name="Input 2 6 3 3 4" xfId="21288" xr:uid="{00000000-0005-0000-0000-0000A1380000}"/>
    <cellStyle name="Input 2 6 3 3 4 2" xfId="21290" xr:uid="{00000000-0005-0000-0000-0000A2380000}"/>
    <cellStyle name="Input 2 6 3 3 4 3" xfId="7019" xr:uid="{00000000-0005-0000-0000-0000A3380000}"/>
    <cellStyle name="Input 2 6 3 3 5" xfId="21292" xr:uid="{00000000-0005-0000-0000-0000A4380000}"/>
    <cellStyle name="Input 2 6 3 3 5 2" xfId="21293" xr:uid="{00000000-0005-0000-0000-0000A5380000}"/>
    <cellStyle name="Input 2 6 3 3 5 3" xfId="7044" xr:uid="{00000000-0005-0000-0000-0000A6380000}"/>
    <cellStyle name="Input 2 6 3 3 6" xfId="21294" xr:uid="{00000000-0005-0000-0000-0000A7380000}"/>
    <cellStyle name="Input 2 6 3 3 7" xfId="21297" xr:uid="{00000000-0005-0000-0000-0000A8380000}"/>
    <cellStyle name="Input 2 6 3 4" xfId="21301" xr:uid="{00000000-0005-0000-0000-0000A9380000}"/>
    <cellStyle name="Input 2 6 3 4 2" xfId="6719" xr:uid="{00000000-0005-0000-0000-0000AA380000}"/>
    <cellStyle name="Input 2 6 3 4 2 2" xfId="21304" xr:uid="{00000000-0005-0000-0000-0000AB380000}"/>
    <cellStyle name="Input 2 6 3 4 2 3" xfId="21307" xr:uid="{00000000-0005-0000-0000-0000AC380000}"/>
    <cellStyle name="Input 2 6 3 4 2 4" xfId="21310" xr:uid="{00000000-0005-0000-0000-0000AD380000}"/>
    <cellStyle name="Input 2 6 3 4 3" xfId="21312" xr:uid="{00000000-0005-0000-0000-0000AE380000}"/>
    <cellStyle name="Input 2 6 3 4 3 2" xfId="21314" xr:uid="{00000000-0005-0000-0000-0000AF380000}"/>
    <cellStyle name="Input 2 6 3 4 3 3" xfId="7171" xr:uid="{00000000-0005-0000-0000-0000B0380000}"/>
    <cellStyle name="Input 2 6 3 4 3 4" xfId="6370" xr:uid="{00000000-0005-0000-0000-0000B1380000}"/>
    <cellStyle name="Input 2 6 3 4 4" xfId="21316" xr:uid="{00000000-0005-0000-0000-0000B2380000}"/>
    <cellStyle name="Input 2 6 3 4 4 2" xfId="21318" xr:uid="{00000000-0005-0000-0000-0000B3380000}"/>
    <cellStyle name="Input 2 6 3 4 4 3" xfId="2294" xr:uid="{00000000-0005-0000-0000-0000B4380000}"/>
    <cellStyle name="Input 2 6 3 4 5" xfId="21321" xr:uid="{00000000-0005-0000-0000-0000B5380000}"/>
    <cellStyle name="Input 2 6 3 4 5 2" xfId="21322" xr:uid="{00000000-0005-0000-0000-0000B6380000}"/>
    <cellStyle name="Input 2 6 3 4 5 3" xfId="7175" xr:uid="{00000000-0005-0000-0000-0000B7380000}"/>
    <cellStyle name="Input 2 6 3 4 6" xfId="21324" xr:uid="{00000000-0005-0000-0000-0000B8380000}"/>
    <cellStyle name="Input 2 6 3 4 7" xfId="21328" xr:uid="{00000000-0005-0000-0000-0000B9380000}"/>
    <cellStyle name="Input 2 6 3 5" xfId="21332" xr:uid="{00000000-0005-0000-0000-0000BA380000}"/>
    <cellStyle name="Input 2 6 3 5 2" xfId="21334" xr:uid="{00000000-0005-0000-0000-0000BB380000}"/>
    <cellStyle name="Input 2 6 3 5 2 2" xfId="21336" xr:uid="{00000000-0005-0000-0000-0000BC380000}"/>
    <cellStyle name="Input 2 6 3 5 2 3" xfId="21338" xr:uid="{00000000-0005-0000-0000-0000BD380000}"/>
    <cellStyle name="Input 2 6 3 5 2 4" xfId="21339" xr:uid="{00000000-0005-0000-0000-0000BE380000}"/>
    <cellStyle name="Input 2 6 3 5 3" xfId="21341" xr:uid="{00000000-0005-0000-0000-0000BF380000}"/>
    <cellStyle name="Input 2 6 3 5 3 2" xfId="21343" xr:uid="{00000000-0005-0000-0000-0000C0380000}"/>
    <cellStyle name="Input 2 6 3 5 3 3" xfId="869" xr:uid="{00000000-0005-0000-0000-0000C1380000}"/>
    <cellStyle name="Input 2 6 3 5 3 4" xfId="6575" xr:uid="{00000000-0005-0000-0000-0000C2380000}"/>
    <cellStyle name="Input 2 6 3 5 4" xfId="21344" xr:uid="{00000000-0005-0000-0000-0000C3380000}"/>
    <cellStyle name="Input 2 6 3 5 4 2" xfId="21346" xr:uid="{00000000-0005-0000-0000-0000C4380000}"/>
    <cellStyle name="Input 2 6 3 5 4 3" xfId="7184" xr:uid="{00000000-0005-0000-0000-0000C5380000}"/>
    <cellStyle name="Input 2 6 3 5 5" xfId="21347" xr:uid="{00000000-0005-0000-0000-0000C6380000}"/>
    <cellStyle name="Input 2 6 3 5 5 2" xfId="21348" xr:uid="{00000000-0005-0000-0000-0000C7380000}"/>
    <cellStyle name="Input 2 6 3 5 5 3" xfId="7187" xr:uid="{00000000-0005-0000-0000-0000C8380000}"/>
    <cellStyle name="Input 2 6 3 5 6" xfId="21350" xr:uid="{00000000-0005-0000-0000-0000C9380000}"/>
    <cellStyle name="Input 2 6 3 5 7" xfId="21353" xr:uid="{00000000-0005-0000-0000-0000CA380000}"/>
    <cellStyle name="Input 2 6 3 6" xfId="21358" xr:uid="{00000000-0005-0000-0000-0000CB380000}"/>
    <cellStyle name="Input 2 6 3 6 2" xfId="21360" xr:uid="{00000000-0005-0000-0000-0000CC380000}"/>
    <cellStyle name="Input 2 6 3 6 2 2" xfId="21362" xr:uid="{00000000-0005-0000-0000-0000CD380000}"/>
    <cellStyle name="Input 2 6 3 6 2 3" xfId="21363" xr:uid="{00000000-0005-0000-0000-0000CE380000}"/>
    <cellStyle name="Input 2 6 3 6 2 4" xfId="21364" xr:uid="{00000000-0005-0000-0000-0000CF380000}"/>
    <cellStyle name="Input 2 6 3 6 3" xfId="21366" xr:uid="{00000000-0005-0000-0000-0000D0380000}"/>
    <cellStyle name="Input 2 6 3 6 3 2" xfId="21367" xr:uid="{00000000-0005-0000-0000-0000D1380000}"/>
    <cellStyle name="Input 2 6 3 6 3 3" xfId="2997" xr:uid="{00000000-0005-0000-0000-0000D2380000}"/>
    <cellStyle name="Input 2 6 3 6 3 4" xfId="4156" xr:uid="{00000000-0005-0000-0000-0000D3380000}"/>
    <cellStyle name="Input 2 6 3 6 4" xfId="21368" xr:uid="{00000000-0005-0000-0000-0000D4380000}"/>
    <cellStyle name="Input 2 6 3 6 4 2" xfId="21369" xr:uid="{00000000-0005-0000-0000-0000D5380000}"/>
    <cellStyle name="Input 2 6 3 6 4 3" xfId="7198" xr:uid="{00000000-0005-0000-0000-0000D6380000}"/>
    <cellStyle name="Input 2 6 3 6 5" xfId="21370" xr:uid="{00000000-0005-0000-0000-0000D7380000}"/>
    <cellStyle name="Input 2 6 3 6 5 2" xfId="3004" xr:uid="{00000000-0005-0000-0000-0000D8380000}"/>
    <cellStyle name="Input 2 6 3 6 5 3" xfId="7201" xr:uid="{00000000-0005-0000-0000-0000D9380000}"/>
    <cellStyle name="Input 2 6 3 6 6" xfId="21371" xr:uid="{00000000-0005-0000-0000-0000DA380000}"/>
    <cellStyle name="Input 2 6 3 6 7" xfId="21374" xr:uid="{00000000-0005-0000-0000-0000DB380000}"/>
    <cellStyle name="Input 2 6 3 7" xfId="21378" xr:uid="{00000000-0005-0000-0000-0000DC380000}"/>
    <cellStyle name="Input 2 6 3 7 2" xfId="21380" xr:uid="{00000000-0005-0000-0000-0000DD380000}"/>
    <cellStyle name="Input 2 6 3 7 2 2" xfId="21382" xr:uid="{00000000-0005-0000-0000-0000DE380000}"/>
    <cellStyle name="Input 2 6 3 7 2 3" xfId="21383" xr:uid="{00000000-0005-0000-0000-0000DF380000}"/>
    <cellStyle name="Input 2 6 3 7 2 4" xfId="21384" xr:uid="{00000000-0005-0000-0000-0000E0380000}"/>
    <cellStyle name="Input 2 6 3 7 3" xfId="21386" xr:uid="{00000000-0005-0000-0000-0000E1380000}"/>
    <cellStyle name="Input 2 6 3 7 3 2" xfId="21387" xr:uid="{00000000-0005-0000-0000-0000E2380000}"/>
    <cellStyle name="Input 2 6 3 7 3 3" xfId="8213" xr:uid="{00000000-0005-0000-0000-0000E3380000}"/>
    <cellStyle name="Input 2 6 3 7 3 4" xfId="8215" xr:uid="{00000000-0005-0000-0000-0000E4380000}"/>
    <cellStyle name="Input 2 6 3 7 4" xfId="21388" xr:uid="{00000000-0005-0000-0000-0000E5380000}"/>
    <cellStyle name="Input 2 6 3 7 4 2" xfId="21389" xr:uid="{00000000-0005-0000-0000-0000E6380000}"/>
    <cellStyle name="Input 2 6 3 7 4 3" xfId="8222" xr:uid="{00000000-0005-0000-0000-0000E7380000}"/>
    <cellStyle name="Input 2 6 3 7 5" xfId="21390" xr:uid="{00000000-0005-0000-0000-0000E8380000}"/>
    <cellStyle name="Input 2 6 3 7 5 2" xfId="21391" xr:uid="{00000000-0005-0000-0000-0000E9380000}"/>
    <cellStyle name="Input 2 6 3 7 5 3" xfId="8227" xr:uid="{00000000-0005-0000-0000-0000EA380000}"/>
    <cellStyle name="Input 2 6 3 7 6" xfId="21392" xr:uid="{00000000-0005-0000-0000-0000EB380000}"/>
    <cellStyle name="Input 2 6 3 7 7" xfId="21394" xr:uid="{00000000-0005-0000-0000-0000EC380000}"/>
    <cellStyle name="Input 2 6 3 8" xfId="21397" xr:uid="{00000000-0005-0000-0000-0000ED380000}"/>
    <cellStyle name="Input 2 6 3 8 2" xfId="21399" xr:uid="{00000000-0005-0000-0000-0000EE380000}"/>
    <cellStyle name="Input 2 6 3 8 2 2" xfId="21401" xr:uid="{00000000-0005-0000-0000-0000EF380000}"/>
    <cellStyle name="Input 2 6 3 8 2 3" xfId="21402" xr:uid="{00000000-0005-0000-0000-0000F0380000}"/>
    <cellStyle name="Input 2 6 3 8 2 4" xfId="21403" xr:uid="{00000000-0005-0000-0000-0000F1380000}"/>
    <cellStyle name="Input 2 6 3 8 3" xfId="21404" xr:uid="{00000000-0005-0000-0000-0000F2380000}"/>
    <cellStyle name="Input 2 6 3 8 3 2" xfId="21405" xr:uid="{00000000-0005-0000-0000-0000F3380000}"/>
    <cellStyle name="Input 2 6 3 8 3 3" xfId="21406" xr:uid="{00000000-0005-0000-0000-0000F4380000}"/>
    <cellStyle name="Input 2 6 3 8 3 4" xfId="21407" xr:uid="{00000000-0005-0000-0000-0000F5380000}"/>
    <cellStyle name="Input 2 6 3 8 4" xfId="21408" xr:uid="{00000000-0005-0000-0000-0000F6380000}"/>
    <cellStyle name="Input 2 6 3 8 4 2" xfId="21409" xr:uid="{00000000-0005-0000-0000-0000F7380000}"/>
    <cellStyle name="Input 2 6 3 8 4 3" xfId="21410" xr:uid="{00000000-0005-0000-0000-0000F8380000}"/>
    <cellStyle name="Input 2 6 3 8 5" xfId="21411" xr:uid="{00000000-0005-0000-0000-0000F9380000}"/>
    <cellStyle name="Input 2 6 3 8 5 2" xfId="21412" xr:uid="{00000000-0005-0000-0000-0000FA380000}"/>
    <cellStyle name="Input 2 6 3 8 5 3" xfId="21413" xr:uid="{00000000-0005-0000-0000-0000FB380000}"/>
    <cellStyle name="Input 2 6 3 8 6" xfId="21414" xr:uid="{00000000-0005-0000-0000-0000FC380000}"/>
    <cellStyle name="Input 2 6 3 8 7" xfId="21415" xr:uid="{00000000-0005-0000-0000-0000FD380000}"/>
    <cellStyle name="Input 2 6 3 9" xfId="21417" xr:uid="{00000000-0005-0000-0000-0000FE380000}"/>
    <cellStyle name="Input 2 6 3 9 2" xfId="21418" xr:uid="{00000000-0005-0000-0000-0000FF380000}"/>
    <cellStyle name="Input 2 6 3 9 2 2" xfId="21419" xr:uid="{00000000-0005-0000-0000-000000390000}"/>
    <cellStyle name="Input 2 6 3 9 2 3" xfId="21420" xr:uid="{00000000-0005-0000-0000-000001390000}"/>
    <cellStyle name="Input 2 6 3 9 2 4" xfId="21421" xr:uid="{00000000-0005-0000-0000-000002390000}"/>
    <cellStyle name="Input 2 6 3 9 3" xfId="21422" xr:uid="{00000000-0005-0000-0000-000003390000}"/>
    <cellStyle name="Input 2 6 3 9 3 2" xfId="21423" xr:uid="{00000000-0005-0000-0000-000004390000}"/>
    <cellStyle name="Input 2 6 3 9 3 3" xfId="21424" xr:uid="{00000000-0005-0000-0000-000005390000}"/>
    <cellStyle name="Input 2 6 3 9 3 4" xfId="21425" xr:uid="{00000000-0005-0000-0000-000006390000}"/>
    <cellStyle name="Input 2 6 3 9 4" xfId="21426" xr:uid="{00000000-0005-0000-0000-000007390000}"/>
    <cellStyle name="Input 2 6 3 9 4 2" xfId="21427" xr:uid="{00000000-0005-0000-0000-000008390000}"/>
    <cellStyle name="Input 2 6 3 9 4 3" xfId="21428" xr:uid="{00000000-0005-0000-0000-000009390000}"/>
    <cellStyle name="Input 2 6 3 9 5" xfId="21429" xr:uid="{00000000-0005-0000-0000-00000A390000}"/>
    <cellStyle name="Input 2 6 3 9 5 2" xfId="21430" xr:uid="{00000000-0005-0000-0000-00000B390000}"/>
    <cellStyle name="Input 2 6 3 9 5 3" xfId="21431" xr:uid="{00000000-0005-0000-0000-00000C390000}"/>
    <cellStyle name="Input 2 6 3 9 6" xfId="21432" xr:uid="{00000000-0005-0000-0000-00000D390000}"/>
    <cellStyle name="Input 2 6 3 9 7" xfId="21433" xr:uid="{00000000-0005-0000-0000-00000E390000}"/>
    <cellStyle name="Input 2 6 4" xfId="21434" xr:uid="{00000000-0005-0000-0000-00000F390000}"/>
    <cellStyle name="Input 2 6 4 2" xfId="16912" xr:uid="{00000000-0005-0000-0000-000010390000}"/>
    <cellStyle name="Input 2 6 4 2 2" xfId="21435" xr:uid="{00000000-0005-0000-0000-000011390000}"/>
    <cellStyle name="Input 2 6 4 2 3" xfId="21438" xr:uid="{00000000-0005-0000-0000-000012390000}"/>
    <cellStyle name="Input 2 6 4 2 4" xfId="21440" xr:uid="{00000000-0005-0000-0000-000013390000}"/>
    <cellStyle name="Input 2 6 4 3" xfId="16915" xr:uid="{00000000-0005-0000-0000-000014390000}"/>
    <cellStyle name="Input 2 6 4 3 2" xfId="21443" xr:uid="{00000000-0005-0000-0000-000015390000}"/>
    <cellStyle name="Input 2 6 4 3 3" xfId="7663" xr:uid="{00000000-0005-0000-0000-000016390000}"/>
    <cellStyle name="Input 2 6 4 3 4" xfId="21447" xr:uid="{00000000-0005-0000-0000-000017390000}"/>
    <cellStyle name="Input 2 6 4 4" xfId="21449" xr:uid="{00000000-0005-0000-0000-000018390000}"/>
    <cellStyle name="Input 2 6 4 4 2" xfId="21453" xr:uid="{00000000-0005-0000-0000-000019390000}"/>
    <cellStyle name="Input 2 6 4 4 3" xfId="21456" xr:uid="{00000000-0005-0000-0000-00001A390000}"/>
    <cellStyle name="Input 2 6 4 5" xfId="21459" xr:uid="{00000000-0005-0000-0000-00001B390000}"/>
    <cellStyle name="Input 2 6 4 5 2" xfId="21462" xr:uid="{00000000-0005-0000-0000-00001C390000}"/>
    <cellStyle name="Input 2 6 4 5 3" xfId="21465" xr:uid="{00000000-0005-0000-0000-00001D390000}"/>
    <cellStyle name="Input 2 6 4 6" xfId="21467" xr:uid="{00000000-0005-0000-0000-00001E390000}"/>
    <cellStyle name="Input 2 6 4 7" xfId="11158" xr:uid="{00000000-0005-0000-0000-00001F390000}"/>
    <cellStyle name="Input 2 6 5" xfId="11794" xr:uid="{00000000-0005-0000-0000-000020390000}"/>
    <cellStyle name="Input 2 6 5 2" xfId="16941" xr:uid="{00000000-0005-0000-0000-000021390000}"/>
    <cellStyle name="Input 2 6 5 2 2" xfId="21469" xr:uid="{00000000-0005-0000-0000-000022390000}"/>
    <cellStyle name="Input 2 6 5 2 3" xfId="1443" xr:uid="{00000000-0005-0000-0000-000023390000}"/>
    <cellStyle name="Input 2 6 5 2 4" xfId="6545" xr:uid="{00000000-0005-0000-0000-000024390000}"/>
    <cellStyle name="Input 2 6 5 3" xfId="16944" xr:uid="{00000000-0005-0000-0000-000025390000}"/>
    <cellStyle name="Input 2 6 5 3 2" xfId="20624" xr:uid="{00000000-0005-0000-0000-000026390000}"/>
    <cellStyle name="Input 2 6 5 3 3" xfId="21472" xr:uid="{00000000-0005-0000-0000-000027390000}"/>
    <cellStyle name="Input 2 6 5 3 4" xfId="21475" xr:uid="{00000000-0005-0000-0000-000028390000}"/>
    <cellStyle name="Input 2 6 5 4" xfId="21477" xr:uid="{00000000-0005-0000-0000-000029390000}"/>
    <cellStyle name="Input 2 6 5 4 2" xfId="20606" xr:uid="{00000000-0005-0000-0000-00002A390000}"/>
    <cellStyle name="Input 2 6 5 4 3" xfId="20616" xr:uid="{00000000-0005-0000-0000-00002B390000}"/>
    <cellStyle name="Input 2 6 5 5" xfId="21480" xr:uid="{00000000-0005-0000-0000-00002C390000}"/>
    <cellStyle name="Input 2 6 5 5 2" xfId="21483" xr:uid="{00000000-0005-0000-0000-00002D390000}"/>
    <cellStyle name="Input 2 6 5 5 3" xfId="21486" xr:uid="{00000000-0005-0000-0000-00002E390000}"/>
    <cellStyle name="Input 2 6 5 6" xfId="21487" xr:uid="{00000000-0005-0000-0000-00002F390000}"/>
    <cellStyle name="Input 2 6 5 7" xfId="11162" xr:uid="{00000000-0005-0000-0000-000030390000}"/>
    <cellStyle name="Input 2 6 6" xfId="11796" xr:uid="{00000000-0005-0000-0000-000031390000}"/>
    <cellStyle name="Input 2 6 6 2" xfId="16964" xr:uid="{00000000-0005-0000-0000-000032390000}"/>
    <cellStyle name="Input 2 6 6 2 2" xfId="21489" xr:uid="{00000000-0005-0000-0000-000033390000}"/>
    <cellStyle name="Input 2 6 6 2 3" xfId="21491" xr:uid="{00000000-0005-0000-0000-000034390000}"/>
    <cellStyle name="Input 2 6 6 2 4" xfId="21493" xr:uid="{00000000-0005-0000-0000-000035390000}"/>
    <cellStyle name="Input 2 6 6 3" xfId="16967" xr:uid="{00000000-0005-0000-0000-000036390000}"/>
    <cellStyle name="Input 2 6 6 3 2" xfId="20639" xr:uid="{00000000-0005-0000-0000-000037390000}"/>
    <cellStyle name="Input 2 6 6 3 3" xfId="1743" xr:uid="{00000000-0005-0000-0000-000038390000}"/>
    <cellStyle name="Input 2 6 6 3 4" xfId="1765" xr:uid="{00000000-0005-0000-0000-000039390000}"/>
    <cellStyle name="Input 2 6 6 4" xfId="21495" xr:uid="{00000000-0005-0000-0000-00003A390000}"/>
    <cellStyle name="Input 2 6 6 4 2" xfId="20647" xr:uid="{00000000-0005-0000-0000-00003B390000}"/>
    <cellStyle name="Input 2 6 6 4 3" xfId="21498" xr:uid="{00000000-0005-0000-0000-00003C390000}"/>
    <cellStyle name="Input 2 6 6 5" xfId="21500" xr:uid="{00000000-0005-0000-0000-00003D390000}"/>
    <cellStyle name="Input 2 6 6 5 2" xfId="21504" xr:uid="{00000000-0005-0000-0000-00003E390000}"/>
    <cellStyle name="Input 2 6 6 5 3" xfId="1775" xr:uid="{00000000-0005-0000-0000-00003F390000}"/>
    <cellStyle name="Input 2 6 6 6" xfId="21506" xr:uid="{00000000-0005-0000-0000-000040390000}"/>
    <cellStyle name="Input 2 6 6 7" xfId="11167" xr:uid="{00000000-0005-0000-0000-000041390000}"/>
    <cellStyle name="Input 2 6 7" xfId="21509" xr:uid="{00000000-0005-0000-0000-000042390000}"/>
    <cellStyle name="Input 2 6 7 2" xfId="16987" xr:uid="{00000000-0005-0000-0000-000043390000}"/>
    <cellStyle name="Input 2 6 7 2 2" xfId="21510" xr:uid="{00000000-0005-0000-0000-000044390000}"/>
    <cellStyle name="Input 2 6 7 2 3" xfId="21512" xr:uid="{00000000-0005-0000-0000-000045390000}"/>
    <cellStyle name="Input 2 6 7 2 4" xfId="21514" xr:uid="{00000000-0005-0000-0000-000046390000}"/>
    <cellStyle name="Input 2 6 7 3" xfId="16990" xr:uid="{00000000-0005-0000-0000-000047390000}"/>
    <cellStyle name="Input 2 6 7 3 2" xfId="20662" xr:uid="{00000000-0005-0000-0000-000048390000}"/>
    <cellStyle name="Input 2 6 7 3 3" xfId="21517" xr:uid="{00000000-0005-0000-0000-000049390000}"/>
    <cellStyle name="Input 2 6 7 3 4" xfId="8840" xr:uid="{00000000-0005-0000-0000-00004A390000}"/>
    <cellStyle name="Input 2 6 7 4" xfId="21519" xr:uid="{00000000-0005-0000-0000-00004B390000}"/>
    <cellStyle name="Input 2 6 7 4 2" xfId="20670" xr:uid="{00000000-0005-0000-0000-00004C390000}"/>
    <cellStyle name="Input 2 6 7 4 3" xfId="21522" xr:uid="{00000000-0005-0000-0000-00004D390000}"/>
    <cellStyle name="Input 2 6 7 5" xfId="21524" xr:uid="{00000000-0005-0000-0000-00004E390000}"/>
    <cellStyle name="Input 2 6 7 5 2" xfId="21528" xr:uid="{00000000-0005-0000-0000-00004F390000}"/>
    <cellStyle name="Input 2 6 7 5 3" xfId="21531" xr:uid="{00000000-0005-0000-0000-000050390000}"/>
    <cellStyle name="Input 2 6 7 6" xfId="21532" xr:uid="{00000000-0005-0000-0000-000051390000}"/>
    <cellStyle name="Input 2 6 7 7" xfId="11174" xr:uid="{00000000-0005-0000-0000-000052390000}"/>
    <cellStyle name="Input 2 6 8" xfId="2658" xr:uid="{00000000-0005-0000-0000-000053390000}"/>
    <cellStyle name="Input 2 6 8 2" xfId="21535" xr:uid="{00000000-0005-0000-0000-000054390000}"/>
    <cellStyle name="Input 2 6 8 2 2" xfId="21537" xr:uid="{00000000-0005-0000-0000-000055390000}"/>
    <cellStyle name="Input 2 6 8 2 3" xfId="21539" xr:uid="{00000000-0005-0000-0000-000056390000}"/>
    <cellStyle name="Input 2 6 8 2 4" xfId="21541" xr:uid="{00000000-0005-0000-0000-000057390000}"/>
    <cellStyle name="Input 2 6 8 3" xfId="21543" xr:uid="{00000000-0005-0000-0000-000058390000}"/>
    <cellStyle name="Input 2 6 8 3 2" xfId="20691" xr:uid="{00000000-0005-0000-0000-000059390000}"/>
    <cellStyle name="Input 2 6 8 3 3" xfId="21546" xr:uid="{00000000-0005-0000-0000-00005A390000}"/>
    <cellStyle name="Input 2 6 8 3 4" xfId="8870" xr:uid="{00000000-0005-0000-0000-00005B390000}"/>
    <cellStyle name="Input 2 6 8 4" xfId="21548" xr:uid="{00000000-0005-0000-0000-00005C390000}"/>
    <cellStyle name="Input 2 6 8 4 2" xfId="20698" xr:uid="{00000000-0005-0000-0000-00005D390000}"/>
    <cellStyle name="Input 2 6 8 4 3" xfId="21551" xr:uid="{00000000-0005-0000-0000-00005E390000}"/>
    <cellStyle name="Input 2 6 8 5" xfId="21553" xr:uid="{00000000-0005-0000-0000-00005F390000}"/>
    <cellStyle name="Input 2 6 8 5 2" xfId="21558" xr:uid="{00000000-0005-0000-0000-000060390000}"/>
    <cellStyle name="Input 2 6 8 5 3" xfId="21561" xr:uid="{00000000-0005-0000-0000-000061390000}"/>
    <cellStyle name="Input 2 6 8 6" xfId="21562" xr:uid="{00000000-0005-0000-0000-000062390000}"/>
    <cellStyle name="Input 2 6 8 7" xfId="21566" xr:uid="{00000000-0005-0000-0000-000063390000}"/>
    <cellStyle name="Input 2 6 9" xfId="1973" xr:uid="{00000000-0005-0000-0000-000064390000}"/>
    <cellStyle name="Input 2 6 9 2" xfId="1977" xr:uid="{00000000-0005-0000-0000-000065390000}"/>
    <cellStyle name="Input 2 6 9 2 2" xfId="1982" xr:uid="{00000000-0005-0000-0000-000066390000}"/>
    <cellStyle name="Input 2 6 9 2 3" xfId="2010" xr:uid="{00000000-0005-0000-0000-000067390000}"/>
    <cellStyle name="Input 2 6 9 2 4" xfId="2015" xr:uid="{00000000-0005-0000-0000-000068390000}"/>
    <cellStyle name="Input 2 6 9 3" xfId="2022" xr:uid="{00000000-0005-0000-0000-000069390000}"/>
    <cellStyle name="Input 2 6 9 3 2" xfId="20722" xr:uid="{00000000-0005-0000-0000-00006A390000}"/>
    <cellStyle name="Input 2 6 9 3 3" xfId="21570" xr:uid="{00000000-0005-0000-0000-00006B390000}"/>
    <cellStyle name="Input 2 6 9 3 4" xfId="21573" xr:uid="{00000000-0005-0000-0000-00006C390000}"/>
    <cellStyle name="Input 2 6 9 4" xfId="2027" xr:uid="{00000000-0005-0000-0000-00006D390000}"/>
    <cellStyle name="Input 2 6 9 4 2" xfId="2034" xr:uid="{00000000-0005-0000-0000-00006E390000}"/>
    <cellStyle name="Input 2 6 9 4 3" xfId="2051" xr:uid="{00000000-0005-0000-0000-00006F390000}"/>
    <cellStyle name="Input 2 6 9 5" xfId="1555" xr:uid="{00000000-0005-0000-0000-000070390000}"/>
    <cellStyle name="Input 2 6 9 5 2" xfId="21575" xr:uid="{00000000-0005-0000-0000-000071390000}"/>
    <cellStyle name="Input 2 6 9 5 3" xfId="21578" xr:uid="{00000000-0005-0000-0000-000072390000}"/>
    <cellStyle name="Input 2 6 9 6" xfId="2059" xr:uid="{00000000-0005-0000-0000-000073390000}"/>
    <cellStyle name="Input 2 6 9 7" xfId="2068" xr:uid="{00000000-0005-0000-0000-000074390000}"/>
    <cellStyle name="Input 2 7" xfId="19510" xr:uid="{00000000-0005-0000-0000-000075390000}"/>
    <cellStyle name="Input 2 7 10" xfId="21579" xr:uid="{00000000-0005-0000-0000-000076390000}"/>
    <cellStyle name="Input 2 7 10 2" xfId="21580" xr:uid="{00000000-0005-0000-0000-000077390000}"/>
    <cellStyle name="Input 2 7 10 2 2" xfId="14612" xr:uid="{00000000-0005-0000-0000-000078390000}"/>
    <cellStyle name="Input 2 7 10 2 3" xfId="21582" xr:uid="{00000000-0005-0000-0000-000079390000}"/>
    <cellStyle name="Input 2 7 10 2 4" xfId="21584" xr:uid="{00000000-0005-0000-0000-00007A390000}"/>
    <cellStyle name="Input 2 7 10 3" xfId="20213" xr:uid="{00000000-0005-0000-0000-00007B390000}"/>
    <cellStyle name="Input 2 7 10 3 2" xfId="14617" xr:uid="{00000000-0005-0000-0000-00007C390000}"/>
    <cellStyle name="Input 2 7 10 3 3" xfId="21586" xr:uid="{00000000-0005-0000-0000-00007D390000}"/>
    <cellStyle name="Input 2 7 10 3 4" xfId="21588" xr:uid="{00000000-0005-0000-0000-00007E390000}"/>
    <cellStyle name="Input 2 7 10 4" xfId="20215" xr:uid="{00000000-0005-0000-0000-00007F390000}"/>
    <cellStyle name="Input 2 7 10 4 2" xfId="21590" xr:uid="{00000000-0005-0000-0000-000080390000}"/>
    <cellStyle name="Input 2 7 10 4 3" xfId="21591" xr:uid="{00000000-0005-0000-0000-000081390000}"/>
    <cellStyle name="Input 2 7 10 5" xfId="20217" xr:uid="{00000000-0005-0000-0000-000082390000}"/>
    <cellStyle name="Input 2 7 10 5 2" xfId="21592" xr:uid="{00000000-0005-0000-0000-000083390000}"/>
    <cellStyle name="Input 2 7 10 5 3" xfId="21593" xr:uid="{00000000-0005-0000-0000-000084390000}"/>
    <cellStyle name="Input 2 7 10 6" xfId="21594" xr:uid="{00000000-0005-0000-0000-000085390000}"/>
    <cellStyle name="Input 2 7 10 7" xfId="921" xr:uid="{00000000-0005-0000-0000-000086390000}"/>
    <cellStyle name="Input 2 7 11" xfId="21595" xr:uid="{00000000-0005-0000-0000-000087390000}"/>
    <cellStyle name="Input 2 7 11 2" xfId="21596" xr:uid="{00000000-0005-0000-0000-000088390000}"/>
    <cellStyle name="Input 2 7 11 2 2" xfId="14640" xr:uid="{00000000-0005-0000-0000-000089390000}"/>
    <cellStyle name="Input 2 7 11 2 3" xfId="21597" xr:uid="{00000000-0005-0000-0000-00008A390000}"/>
    <cellStyle name="Input 2 7 11 2 4" xfId="21599" xr:uid="{00000000-0005-0000-0000-00008B390000}"/>
    <cellStyle name="Input 2 7 11 3" xfId="20220" xr:uid="{00000000-0005-0000-0000-00008C390000}"/>
    <cellStyle name="Input 2 7 11 3 2" xfId="14645" xr:uid="{00000000-0005-0000-0000-00008D390000}"/>
    <cellStyle name="Input 2 7 11 3 3" xfId="21601" xr:uid="{00000000-0005-0000-0000-00008E390000}"/>
    <cellStyle name="Input 2 7 11 3 4" xfId="21603" xr:uid="{00000000-0005-0000-0000-00008F390000}"/>
    <cellStyle name="Input 2 7 11 4" xfId="20222" xr:uid="{00000000-0005-0000-0000-000090390000}"/>
    <cellStyle name="Input 2 7 11 4 2" xfId="21605" xr:uid="{00000000-0005-0000-0000-000091390000}"/>
    <cellStyle name="Input 2 7 11 4 3" xfId="21606" xr:uid="{00000000-0005-0000-0000-000092390000}"/>
    <cellStyle name="Input 2 7 11 5" xfId="20224" xr:uid="{00000000-0005-0000-0000-000093390000}"/>
    <cellStyle name="Input 2 7 11 5 2" xfId="21607" xr:uid="{00000000-0005-0000-0000-000094390000}"/>
    <cellStyle name="Input 2 7 11 5 3" xfId="21608" xr:uid="{00000000-0005-0000-0000-000095390000}"/>
    <cellStyle name="Input 2 7 11 6" xfId="21609" xr:uid="{00000000-0005-0000-0000-000096390000}"/>
    <cellStyle name="Input 2 7 11 7" xfId="6983" xr:uid="{00000000-0005-0000-0000-000097390000}"/>
    <cellStyle name="Input 2 7 12" xfId="21610" xr:uid="{00000000-0005-0000-0000-000098390000}"/>
    <cellStyle name="Input 2 7 12 2" xfId="21611" xr:uid="{00000000-0005-0000-0000-000099390000}"/>
    <cellStyle name="Input 2 7 12 2 2" xfId="14667" xr:uid="{00000000-0005-0000-0000-00009A390000}"/>
    <cellStyle name="Input 2 7 12 2 3" xfId="21612" xr:uid="{00000000-0005-0000-0000-00009B390000}"/>
    <cellStyle name="Input 2 7 12 2 4" xfId="21614" xr:uid="{00000000-0005-0000-0000-00009C390000}"/>
    <cellStyle name="Input 2 7 12 3" xfId="20227" xr:uid="{00000000-0005-0000-0000-00009D390000}"/>
    <cellStyle name="Input 2 7 12 3 2" xfId="14670" xr:uid="{00000000-0005-0000-0000-00009E390000}"/>
    <cellStyle name="Input 2 7 12 3 3" xfId="21616" xr:uid="{00000000-0005-0000-0000-00009F390000}"/>
    <cellStyle name="Input 2 7 12 3 4" xfId="21618" xr:uid="{00000000-0005-0000-0000-0000A0390000}"/>
    <cellStyle name="Input 2 7 12 4" xfId="20229" xr:uid="{00000000-0005-0000-0000-0000A1390000}"/>
    <cellStyle name="Input 2 7 12 4 2" xfId="21620" xr:uid="{00000000-0005-0000-0000-0000A2390000}"/>
    <cellStyle name="Input 2 7 12 4 3" xfId="21621" xr:uid="{00000000-0005-0000-0000-0000A3390000}"/>
    <cellStyle name="Input 2 7 12 5" xfId="21622" xr:uid="{00000000-0005-0000-0000-0000A4390000}"/>
    <cellStyle name="Input 2 7 12 5 2" xfId="8457" xr:uid="{00000000-0005-0000-0000-0000A5390000}"/>
    <cellStyle name="Input 2 7 12 5 3" xfId="8461" xr:uid="{00000000-0005-0000-0000-0000A6390000}"/>
    <cellStyle name="Input 2 7 12 6" xfId="21623" xr:uid="{00000000-0005-0000-0000-0000A7390000}"/>
    <cellStyle name="Input 2 7 12 7" xfId="3560" xr:uid="{00000000-0005-0000-0000-0000A8390000}"/>
    <cellStyle name="Input 2 7 13" xfId="21624" xr:uid="{00000000-0005-0000-0000-0000A9390000}"/>
    <cellStyle name="Input 2 7 13 2" xfId="21625" xr:uid="{00000000-0005-0000-0000-0000AA390000}"/>
    <cellStyle name="Input 2 7 13 3" xfId="20232" xr:uid="{00000000-0005-0000-0000-0000AB390000}"/>
    <cellStyle name="Input 2 7 13 4" xfId="20234" xr:uid="{00000000-0005-0000-0000-0000AC390000}"/>
    <cellStyle name="Input 2 7 14" xfId="8301" xr:uid="{00000000-0005-0000-0000-0000AD390000}"/>
    <cellStyle name="Input 2 7 14 2" xfId="21626" xr:uid="{00000000-0005-0000-0000-0000AE390000}"/>
    <cellStyle name="Input 2 7 14 3" xfId="21627" xr:uid="{00000000-0005-0000-0000-0000AF390000}"/>
    <cellStyle name="Input 2 7 14 4" xfId="21628" xr:uid="{00000000-0005-0000-0000-0000B0390000}"/>
    <cellStyle name="Input 2 7 15" xfId="8303" xr:uid="{00000000-0005-0000-0000-0000B1390000}"/>
    <cellStyle name="Input 2 7 15 2" xfId="21629" xr:uid="{00000000-0005-0000-0000-0000B2390000}"/>
    <cellStyle name="Input 2 7 15 3" xfId="21632" xr:uid="{00000000-0005-0000-0000-0000B3390000}"/>
    <cellStyle name="Input 2 7 16" xfId="8306" xr:uid="{00000000-0005-0000-0000-0000B4390000}"/>
    <cellStyle name="Input 2 7 16 2" xfId="21634" xr:uid="{00000000-0005-0000-0000-0000B5390000}"/>
    <cellStyle name="Input 2 7 16 3" xfId="21636" xr:uid="{00000000-0005-0000-0000-0000B6390000}"/>
    <cellStyle name="Input 2 7 17" xfId="12513" xr:uid="{00000000-0005-0000-0000-0000B7390000}"/>
    <cellStyle name="Input 2 7 17 2" xfId="21637" xr:uid="{00000000-0005-0000-0000-0000B8390000}"/>
    <cellStyle name="Input 2 7 17 2 2" xfId="21638" xr:uid="{00000000-0005-0000-0000-0000B9390000}"/>
    <cellStyle name="Input 2 7 18" xfId="12515" xr:uid="{00000000-0005-0000-0000-0000BA390000}"/>
    <cellStyle name="Input 2 7 19" xfId="12518" xr:uid="{00000000-0005-0000-0000-0000BB390000}"/>
    <cellStyle name="Input 2 7 2" xfId="21639" xr:uid="{00000000-0005-0000-0000-0000BC390000}"/>
    <cellStyle name="Input 2 7 2 10" xfId="21640" xr:uid="{00000000-0005-0000-0000-0000BD390000}"/>
    <cellStyle name="Input 2 7 2 10 2" xfId="20481" xr:uid="{00000000-0005-0000-0000-0000BE390000}"/>
    <cellStyle name="Input 2 7 2 10 2 2" xfId="21641" xr:uid="{00000000-0005-0000-0000-0000BF390000}"/>
    <cellStyle name="Input 2 7 2 10 2 3" xfId="21642" xr:uid="{00000000-0005-0000-0000-0000C0390000}"/>
    <cellStyle name="Input 2 7 2 10 2 4" xfId="21643" xr:uid="{00000000-0005-0000-0000-0000C1390000}"/>
    <cellStyle name="Input 2 7 2 10 3" xfId="5726" xr:uid="{00000000-0005-0000-0000-0000C2390000}"/>
    <cellStyle name="Input 2 7 2 10 3 2" xfId="21645" xr:uid="{00000000-0005-0000-0000-0000C3390000}"/>
    <cellStyle name="Input 2 7 2 10 3 3" xfId="10559" xr:uid="{00000000-0005-0000-0000-0000C4390000}"/>
    <cellStyle name="Input 2 7 2 10 3 4" xfId="10561" xr:uid="{00000000-0005-0000-0000-0000C5390000}"/>
    <cellStyle name="Input 2 7 2 10 4" xfId="5728" xr:uid="{00000000-0005-0000-0000-0000C6390000}"/>
    <cellStyle name="Input 2 7 2 10 4 2" xfId="9043" xr:uid="{00000000-0005-0000-0000-0000C7390000}"/>
    <cellStyle name="Input 2 7 2 10 4 3" xfId="9047" xr:uid="{00000000-0005-0000-0000-0000C8390000}"/>
    <cellStyle name="Input 2 7 2 10 5" xfId="8710" xr:uid="{00000000-0005-0000-0000-0000C9390000}"/>
    <cellStyle name="Input 2 7 2 10 5 2" xfId="9056" xr:uid="{00000000-0005-0000-0000-0000CA390000}"/>
    <cellStyle name="Input 2 7 2 10 5 3" xfId="9061" xr:uid="{00000000-0005-0000-0000-0000CB390000}"/>
    <cellStyle name="Input 2 7 2 10 6" xfId="8712" xr:uid="{00000000-0005-0000-0000-0000CC390000}"/>
    <cellStyle name="Input 2 7 2 10 7" xfId="21648" xr:uid="{00000000-0005-0000-0000-0000CD390000}"/>
    <cellStyle name="Input 2 7 2 11" xfId="21651" xr:uid="{00000000-0005-0000-0000-0000CE390000}"/>
    <cellStyle name="Input 2 7 2 11 2" xfId="21653" xr:uid="{00000000-0005-0000-0000-0000CF390000}"/>
    <cellStyle name="Input 2 7 2 11 3" xfId="21654" xr:uid="{00000000-0005-0000-0000-0000D0390000}"/>
    <cellStyle name="Input 2 7 2 11 4" xfId="21655" xr:uid="{00000000-0005-0000-0000-0000D1390000}"/>
    <cellStyle name="Input 2 7 2 12" xfId="14861" xr:uid="{00000000-0005-0000-0000-0000D2390000}"/>
    <cellStyle name="Input 2 7 2 12 2" xfId="21656" xr:uid="{00000000-0005-0000-0000-0000D3390000}"/>
    <cellStyle name="Input 2 7 2 12 3" xfId="21657" xr:uid="{00000000-0005-0000-0000-0000D4390000}"/>
    <cellStyle name="Input 2 7 2 12 4" xfId="21658" xr:uid="{00000000-0005-0000-0000-0000D5390000}"/>
    <cellStyle name="Input 2 7 2 13" xfId="14864" xr:uid="{00000000-0005-0000-0000-0000D6390000}"/>
    <cellStyle name="Input 2 7 2 13 2" xfId="21659" xr:uid="{00000000-0005-0000-0000-0000D7390000}"/>
    <cellStyle name="Input 2 7 2 13 3" xfId="21660" xr:uid="{00000000-0005-0000-0000-0000D8390000}"/>
    <cellStyle name="Input 2 7 2 14" xfId="21661" xr:uid="{00000000-0005-0000-0000-0000D9390000}"/>
    <cellStyle name="Input 2 7 2 14 2" xfId="21664" xr:uid="{00000000-0005-0000-0000-0000DA390000}"/>
    <cellStyle name="Input 2 7 2 14 3" xfId="21665" xr:uid="{00000000-0005-0000-0000-0000DB390000}"/>
    <cellStyle name="Input 2 7 2 15" xfId="21666" xr:uid="{00000000-0005-0000-0000-0000DC390000}"/>
    <cellStyle name="Input 2 7 2 16" xfId="21668" xr:uid="{00000000-0005-0000-0000-0000DD390000}"/>
    <cellStyle name="Input 2 7 2 2" xfId="17527" xr:uid="{00000000-0005-0000-0000-0000DE390000}"/>
    <cellStyle name="Input 2 7 2 2 2" xfId="21670" xr:uid="{00000000-0005-0000-0000-0000DF390000}"/>
    <cellStyle name="Input 2 7 2 2 2 2" xfId="21671" xr:uid="{00000000-0005-0000-0000-0000E0390000}"/>
    <cellStyle name="Input 2 7 2 2 2 3" xfId="21672" xr:uid="{00000000-0005-0000-0000-0000E1390000}"/>
    <cellStyle name="Input 2 7 2 2 2 4" xfId="21673" xr:uid="{00000000-0005-0000-0000-0000E2390000}"/>
    <cellStyle name="Input 2 7 2 2 3" xfId="21674" xr:uid="{00000000-0005-0000-0000-0000E3390000}"/>
    <cellStyle name="Input 2 7 2 2 3 2" xfId="21675" xr:uid="{00000000-0005-0000-0000-0000E4390000}"/>
    <cellStyle name="Input 2 7 2 2 3 3" xfId="21676" xr:uid="{00000000-0005-0000-0000-0000E5390000}"/>
    <cellStyle name="Input 2 7 2 2 3 4" xfId="8837" xr:uid="{00000000-0005-0000-0000-0000E6390000}"/>
    <cellStyle name="Input 2 7 2 2 4" xfId="21677" xr:uid="{00000000-0005-0000-0000-0000E7390000}"/>
    <cellStyle name="Input 2 7 2 2 4 2" xfId="21678" xr:uid="{00000000-0005-0000-0000-0000E8390000}"/>
    <cellStyle name="Input 2 7 2 2 4 3" xfId="21679" xr:uid="{00000000-0005-0000-0000-0000E9390000}"/>
    <cellStyle name="Input 2 7 2 2 5" xfId="21680" xr:uid="{00000000-0005-0000-0000-0000EA390000}"/>
    <cellStyle name="Input 2 7 2 2 5 2" xfId="21681" xr:uid="{00000000-0005-0000-0000-0000EB390000}"/>
    <cellStyle name="Input 2 7 2 2 5 3" xfId="21682" xr:uid="{00000000-0005-0000-0000-0000EC390000}"/>
    <cellStyle name="Input 2 7 2 2 6" xfId="21683" xr:uid="{00000000-0005-0000-0000-0000ED390000}"/>
    <cellStyle name="Input 2 7 2 2 7" xfId="21686" xr:uid="{00000000-0005-0000-0000-0000EE390000}"/>
    <cellStyle name="Input 2 7 2 3" xfId="17529" xr:uid="{00000000-0005-0000-0000-0000EF390000}"/>
    <cellStyle name="Input 2 7 2 3 2" xfId="21689" xr:uid="{00000000-0005-0000-0000-0000F0390000}"/>
    <cellStyle name="Input 2 7 2 3 2 2" xfId="21690" xr:uid="{00000000-0005-0000-0000-0000F1390000}"/>
    <cellStyle name="Input 2 7 2 3 2 3" xfId="21692" xr:uid="{00000000-0005-0000-0000-0000F2390000}"/>
    <cellStyle name="Input 2 7 2 3 2 4" xfId="21694" xr:uid="{00000000-0005-0000-0000-0000F3390000}"/>
    <cellStyle name="Input 2 7 2 3 3" xfId="21696" xr:uid="{00000000-0005-0000-0000-0000F4390000}"/>
    <cellStyle name="Input 2 7 2 3 3 2" xfId="21697" xr:uid="{00000000-0005-0000-0000-0000F5390000}"/>
    <cellStyle name="Input 2 7 2 3 3 3" xfId="21698" xr:uid="{00000000-0005-0000-0000-0000F6390000}"/>
    <cellStyle name="Input 2 7 2 3 3 4" xfId="8894" xr:uid="{00000000-0005-0000-0000-0000F7390000}"/>
    <cellStyle name="Input 2 7 2 3 4" xfId="21699" xr:uid="{00000000-0005-0000-0000-0000F8390000}"/>
    <cellStyle name="Input 2 7 2 3 4 2" xfId="21700" xr:uid="{00000000-0005-0000-0000-0000F9390000}"/>
    <cellStyle name="Input 2 7 2 3 4 3" xfId="21701" xr:uid="{00000000-0005-0000-0000-0000FA390000}"/>
    <cellStyle name="Input 2 7 2 3 5" xfId="21702" xr:uid="{00000000-0005-0000-0000-0000FB390000}"/>
    <cellStyle name="Input 2 7 2 3 5 2" xfId="21703" xr:uid="{00000000-0005-0000-0000-0000FC390000}"/>
    <cellStyle name="Input 2 7 2 3 5 3" xfId="21704" xr:uid="{00000000-0005-0000-0000-0000FD390000}"/>
    <cellStyle name="Input 2 7 2 3 6" xfId="21705" xr:uid="{00000000-0005-0000-0000-0000FE390000}"/>
    <cellStyle name="Input 2 7 2 3 7" xfId="21708" xr:uid="{00000000-0005-0000-0000-0000FF390000}"/>
    <cellStyle name="Input 2 7 2 4" xfId="21712" xr:uid="{00000000-0005-0000-0000-0000003A0000}"/>
    <cellStyle name="Input 2 7 2 4 2" xfId="21714" xr:uid="{00000000-0005-0000-0000-0000013A0000}"/>
    <cellStyle name="Input 2 7 2 4 2 2" xfId="21715" xr:uid="{00000000-0005-0000-0000-0000023A0000}"/>
    <cellStyle name="Input 2 7 2 4 2 3" xfId="21716" xr:uid="{00000000-0005-0000-0000-0000033A0000}"/>
    <cellStyle name="Input 2 7 2 4 2 4" xfId="21717" xr:uid="{00000000-0005-0000-0000-0000043A0000}"/>
    <cellStyle name="Input 2 7 2 4 3" xfId="21718" xr:uid="{00000000-0005-0000-0000-0000053A0000}"/>
    <cellStyle name="Input 2 7 2 4 3 2" xfId="21719" xr:uid="{00000000-0005-0000-0000-0000063A0000}"/>
    <cellStyle name="Input 2 7 2 4 3 3" xfId="21720" xr:uid="{00000000-0005-0000-0000-0000073A0000}"/>
    <cellStyle name="Input 2 7 2 4 3 4" xfId="8931" xr:uid="{00000000-0005-0000-0000-0000083A0000}"/>
    <cellStyle name="Input 2 7 2 4 4" xfId="21721" xr:uid="{00000000-0005-0000-0000-0000093A0000}"/>
    <cellStyle name="Input 2 7 2 4 4 2" xfId="21722" xr:uid="{00000000-0005-0000-0000-00000A3A0000}"/>
    <cellStyle name="Input 2 7 2 4 4 3" xfId="21723" xr:uid="{00000000-0005-0000-0000-00000B3A0000}"/>
    <cellStyle name="Input 2 7 2 4 5" xfId="21724" xr:uid="{00000000-0005-0000-0000-00000C3A0000}"/>
    <cellStyle name="Input 2 7 2 4 5 2" xfId="21725" xr:uid="{00000000-0005-0000-0000-00000D3A0000}"/>
    <cellStyle name="Input 2 7 2 4 5 3" xfId="21726" xr:uid="{00000000-0005-0000-0000-00000E3A0000}"/>
    <cellStyle name="Input 2 7 2 4 6" xfId="21727" xr:uid="{00000000-0005-0000-0000-00000F3A0000}"/>
    <cellStyle name="Input 2 7 2 4 7" xfId="21730" xr:uid="{00000000-0005-0000-0000-0000103A0000}"/>
    <cellStyle name="Input 2 7 2 5" xfId="21734" xr:uid="{00000000-0005-0000-0000-0000113A0000}"/>
    <cellStyle name="Input 2 7 2 5 2" xfId="21736" xr:uid="{00000000-0005-0000-0000-0000123A0000}"/>
    <cellStyle name="Input 2 7 2 5 2 2" xfId="21737" xr:uid="{00000000-0005-0000-0000-0000133A0000}"/>
    <cellStyle name="Input 2 7 2 5 2 3" xfId="21738" xr:uid="{00000000-0005-0000-0000-0000143A0000}"/>
    <cellStyle name="Input 2 7 2 5 2 4" xfId="21739" xr:uid="{00000000-0005-0000-0000-0000153A0000}"/>
    <cellStyle name="Input 2 7 2 5 3" xfId="21740" xr:uid="{00000000-0005-0000-0000-0000163A0000}"/>
    <cellStyle name="Input 2 7 2 5 3 2" xfId="21741" xr:uid="{00000000-0005-0000-0000-0000173A0000}"/>
    <cellStyle name="Input 2 7 2 5 3 3" xfId="21742" xr:uid="{00000000-0005-0000-0000-0000183A0000}"/>
    <cellStyle name="Input 2 7 2 5 3 4" xfId="8949" xr:uid="{00000000-0005-0000-0000-0000193A0000}"/>
    <cellStyle name="Input 2 7 2 5 4" xfId="21743" xr:uid="{00000000-0005-0000-0000-00001A3A0000}"/>
    <cellStyle name="Input 2 7 2 5 4 2" xfId="21744" xr:uid="{00000000-0005-0000-0000-00001B3A0000}"/>
    <cellStyle name="Input 2 7 2 5 4 3" xfId="21745" xr:uid="{00000000-0005-0000-0000-00001C3A0000}"/>
    <cellStyle name="Input 2 7 2 5 5" xfId="21746" xr:uid="{00000000-0005-0000-0000-00001D3A0000}"/>
    <cellStyle name="Input 2 7 2 5 5 2" xfId="21747" xr:uid="{00000000-0005-0000-0000-00001E3A0000}"/>
    <cellStyle name="Input 2 7 2 5 5 3" xfId="21748" xr:uid="{00000000-0005-0000-0000-00001F3A0000}"/>
    <cellStyle name="Input 2 7 2 5 6" xfId="21749" xr:uid="{00000000-0005-0000-0000-0000203A0000}"/>
    <cellStyle name="Input 2 7 2 5 7" xfId="21751" xr:uid="{00000000-0005-0000-0000-0000213A0000}"/>
    <cellStyle name="Input 2 7 2 6" xfId="21755" xr:uid="{00000000-0005-0000-0000-0000223A0000}"/>
    <cellStyle name="Input 2 7 2 6 2" xfId="21756" xr:uid="{00000000-0005-0000-0000-0000233A0000}"/>
    <cellStyle name="Input 2 7 2 6 2 2" xfId="21757" xr:uid="{00000000-0005-0000-0000-0000243A0000}"/>
    <cellStyle name="Input 2 7 2 6 2 3" xfId="21759" xr:uid="{00000000-0005-0000-0000-0000253A0000}"/>
    <cellStyle name="Input 2 7 2 6 2 4" xfId="21761" xr:uid="{00000000-0005-0000-0000-0000263A0000}"/>
    <cellStyle name="Input 2 7 2 6 3" xfId="21763" xr:uid="{00000000-0005-0000-0000-0000273A0000}"/>
    <cellStyle name="Input 2 7 2 6 3 2" xfId="21764" xr:uid="{00000000-0005-0000-0000-0000283A0000}"/>
    <cellStyle name="Input 2 7 2 6 3 3" xfId="21766" xr:uid="{00000000-0005-0000-0000-0000293A0000}"/>
    <cellStyle name="Input 2 7 2 6 3 4" xfId="8989" xr:uid="{00000000-0005-0000-0000-00002A3A0000}"/>
    <cellStyle name="Input 2 7 2 6 4" xfId="21768" xr:uid="{00000000-0005-0000-0000-00002B3A0000}"/>
    <cellStyle name="Input 2 7 2 6 4 2" xfId="21770" xr:uid="{00000000-0005-0000-0000-00002C3A0000}"/>
    <cellStyle name="Input 2 7 2 6 4 3" xfId="21773" xr:uid="{00000000-0005-0000-0000-00002D3A0000}"/>
    <cellStyle name="Input 2 7 2 6 5" xfId="21776" xr:uid="{00000000-0005-0000-0000-00002E3A0000}"/>
    <cellStyle name="Input 2 7 2 6 5 2" xfId="21778" xr:uid="{00000000-0005-0000-0000-00002F3A0000}"/>
    <cellStyle name="Input 2 7 2 6 5 3" xfId="919" xr:uid="{00000000-0005-0000-0000-0000303A0000}"/>
    <cellStyle name="Input 2 7 2 6 6" xfId="21781" xr:uid="{00000000-0005-0000-0000-0000313A0000}"/>
    <cellStyle name="Input 2 7 2 6 7" xfId="21784" xr:uid="{00000000-0005-0000-0000-0000323A0000}"/>
    <cellStyle name="Input 2 7 2 7" xfId="21788" xr:uid="{00000000-0005-0000-0000-0000333A0000}"/>
    <cellStyle name="Input 2 7 2 7 2" xfId="21789" xr:uid="{00000000-0005-0000-0000-0000343A0000}"/>
    <cellStyle name="Input 2 7 2 7 2 2" xfId="21790" xr:uid="{00000000-0005-0000-0000-0000353A0000}"/>
    <cellStyle name="Input 2 7 2 7 2 3" xfId="21792" xr:uid="{00000000-0005-0000-0000-0000363A0000}"/>
    <cellStyle name="Input 2 7 2 7 2 4" xfId="21794" xr:uid="{00000000-0005-0000-0000-0000373A0000}"/>
    <cellStyle name="Input 2 7 2 7 3" xfId="21796" xr:uid="{00000000-0005-0000-0000-0000383A0000}"/>
    <cellStyle name="Input 2 7 2 7 3 2" xfId="989" xr:uid="{00000000-0005-0000-0000-0000393A0000}"/>
    <cellStyle name="Input 2 7 2 7 3 3" xfId="21797" xr:uid="{00000000-0005-0000-0000-00003A3A0000}"/>
    <cellStyle name="Input 2 7 2 7 3 4" xfId="9039" xr:uid="{00000000-0005-0000-0000-00003B3A0000}"/>
    <cellStyle name="Input 2 7 2 7 4" xfId="21799" xr:uid="{00000000-0005-0000-0000-00003C3A0000}"/>
    <cellStyle name="Input 2 7 2 7 4 2" xfId="21801" xr:uid="{00000000-0005-0000-0000-00003D3A0000}"/>
    <cellStyle name="Input 2 7 2 7 4 3" xfId="21803" xr:uid="{00000000-0005-0000-0000-00003E3A0000}"/>
    <cellStyle name="Input 2 7 2 7 5" xfId="21805" xr:uid="{00000000-0005-0000-0000-00003F3A0000}"/>
    <cellStyle name="Input 2 7 2 7 5 2" xfId="21807" xr:uid="{00000000-0005-0000-0000-0000403A0000}"/>
    <cellStyle name="Input 2 7 2 7 5 3" xfId="21809" xr:uid="{00000000-0005-0000-0000-0000413A0000}"/>
    <cellStyle name="Input 2 7 2 7 6" xfId="21811" xr:uid="{00000000-0005-0000-0000-0000423A0000}"/>
    <cellStyle name="Input 2 7 2 7 7" xfId="21813" xr:uid="{00000000-0005-0000-0000-0000433A0000}"/>
    <cellStyle name="Input 2 7 2 8" xfId="21815" xr:uid="{00000000-0005-0000-0000-0000443A0000}"/>
    <cellStyle name="Input 2 7 2 8 2" xfId="21816" xr:uid="{00000000-0005-0000-0000-0000453A0000}"/>
    <cellStyle name="Input 2 7 2 8 2 2" xfId="21817" xr:uid="{00000000-0005-0000-0000-0000463A0000}"/>
    <cellStyle name="Input 2 7 2 8 2 3" xfId="21820" xr:uid="{00000000-0005-0000-0000-0000473A0000}"/>
    <cellStyle name="Input 2 7 2 8 2 4" xfId="21823" xr:uid="{00000000-0005-0000-0000-0000483A0000}"/>
    <cellStyle name="Input 2 7 2 8 3" xfId="21827" xr:uid="{00000000-0005-0000-0000-0000493A0000}"/>
    <cellStyle name="Input 2 7 2 8 3 2" xfId="21828" xr:uid="{00000000-0005-0000-0000-00004A3A0000}"/>
    <cellStyle name="Input 2 7 2 8 3 3" xfId="21831" xr:uid="{00000000-0005-0000-0000-00004B3A0000}"/>
    <cellStyle name="Input 2 7 2 8 3 4" xfId="21834" xr:uid="{00000000-0005-0000-0000-00004C3A0000}"/>
    <cellStyle name="Input 2 7 2 8 4" xfId="21837" xr:uid="{00000000-0005-0000-0000-00004D3A0000}"/>
    <cellStyle name="Input 2 7 2 8 4 2" xfId="21839" xr:uid="{00000000-0005-0000-0000-00004E3A0000}"/>
    <cellStyle name="Input 2 7 2 8 4 3" xfId="21841" xr:uid="{00000000-0005-0000-0000-00004F3A0000}"/>
    <cellStyle name="Input 2 7 2 8 5" xfId="21843" xr:uid="{00000000-0005-0000-0000-0000503A0000}"/>
    <cellStyle name="Input 2 7 2 8 5 2" xfId="21845" xr:uid="{00000000-0005-0000-0000-0000513A0000}"/>
    <cellStyle name="Input 2 7 2 8 5 3" xfId="21847" xr:uid="{00000000-0005-0000-0000-0000523A0000}"/>
    <cellStyle name="Input 2 7 2 8 6" xfId="21849" xr:uid="{00000000-0005-0000-0000-0000533A0000}"/>
    <cellStyle name="Input 2 7 2 8 7" xfId="21851" xr:uid="{00000000-0005-0000-0000-0000543A0000}"/>
    <cellStyle name="Input 2 7 2 9" xfId="21853" xr:uid="{00000000-0005-0000-0000-0000553A0000}"/>
    <cellStyle name="Input 2 7 2 9 2" xfId="21854" xr:uid="{00000000-0005-0000-0000-0000563A0000}"/>
    <cellStyle name="Input 2 7 2 9 2 2" xfId="21856" xr:uid="{00000000-0005-0000-0000-0000573A0000}"/>
    <cellStyle name="Input 2 7 2 9 2 3" xfId="21859" xr:uid="{00000000-0005-0000-0000-0000583A0000}"/>
    <cellStyle name="Input 2 7 2 9 2 4" xfId="21862" xr:uid="{00000000-0005-0000-0000-0000593A0000}"/>
    <cellStyle name="Input 2 7 2 9 3" xfId="21864" xr:uid="{00000000-0005-0000-0000-00005A3A0000}"/>
    <cellStyle name="Input 2 7 2 9 3 2" xfId="21866" xr:uid="{00000000-0005-0000-0000-00005B3A0000}"/>
    <cellStyle name="Input 2 7 2 9 3 3" xfId="21868" xr:uid="{00000000-0005-0000-0000-00005C3A0000}"/>
    <cellStyle name="Input 2 7 2 9 3 4" xfId="21870" xr:uid="{00000000-0005-0000-0000-00005D3A0000}"/>
    <cellStyle name="Input 2 7 2 9 4" xfId="21872" xr:uid="{00000000-0005-0000-0000-00005E3A0000}"/>
    <cellStyle name="Input 2 7 2 9 4 2" xfId="21875" xr:uid="{00000000-0005-0000-0000-00005F3A0000}"/>
    <cellStyle name="Input 2 7 2 9 4 3" xfId="21877" xr:uid="{00000000-0005-0000-0000-0000603A0000}"/>
    <cellStyle name="Input 2 7 2 9 5" xfId="21879" xr:uid="{00000000-0005-0000-0000-0000613A0000}"/>
    <cellStyle name="Input 2 7 2 9 5 2" xfId="21881" xr:uid="{00000000-0005-0000-0000-0000623A0000}"/>
    <cellStyle name="Input 2 7 2 9 5 3" xfId="21883" xr:uid="{00000000-0005-0000-0000-0000633A0000}"/>
    <cellStyle name="Input 2 7 2 9 6" xfId="21885" xr:uid="{00000000-0005-0000-0000-0000643A0000}"/>
    <cellStyle name="Input 2 7 2 9 7" xfId="21886" xr:uid="{00000000-0005-0000-0000-0000653A0000}"/>
    <cellStyle name="Input 2 7 20" xfId="8304" xr:uid="{00000000-0005-0000-0000-0000663A0000}"/>
    <cellStyle name="Input 2 7 3" xfId="21887" xr:uid="{00000000-0005-0000-0000-0000673A0000}"/>
    <cellStyle name="Input 2 7 3 10" xfId="21888" xr:uid="{00000000-0005-0000-0000-0000683A0000}"/>
    <cellStyle name="Input 2 7 3 10 2" xfId="7618" xr:uid="{00000000-0005-0000-0000-0000693A0000}"/>
    <cellStyle name="Input 2 7 3 10 2 2" xfId="21891" xr:uid="{00000000-0005-0000-0000-00006A3A0000}"/>
    <cellStyle name="Input 2 7 3 10 2 3" xfId="21893" xr:uid="{00000000-0005-0000-0000-00006B3A0000}"/>
    <cellStyle name="Input 2 7 3 10 2 4" xfId="21895" xr:uid="{00000000-0005-0000-0000-00006C3A0000}"/>
    <cellStyle name="Input 2 7 3 10 3" xfId="21897" xr:uid="{00000000-0005-0000-0000-00006D3A0000}"/>
    <cellStyle name="Input 2 7 3 10 3 2" xfId="11977" xr:uid="{00000000-0005-0000-0000-00006E3A0000}"/>
    <cellStyle name="Input 2 7 3 10 3 3" xfId="21898" xr:uid="{00000000-0005-0000-0000-00006F3A0000}"/>
    <cellStyle name="Input 2 7 3 10 3 4" xfId="7950" xr:uid="{00000000-0005-0000-0000-0000703A0000}"/>
    <cellStyle name="Input 2 7 3 10 4" xfId="4204" xr:uid="{00000000-0005-0000-0000-0000713A0000}"/>
    <cellStyle name="Input 2 7 3 10 4 2" xfId="4276" xr:uid="{00000000-0005-0000-0000-0000723A0000}"/>
    <cellStyle name="Input 2 7 3 10 4 3" xfId="1812" xr:uid="{00000000-0005-0000-0000-0000733A0000}"/>
    <cellStyle name="Input 2 7 3 10 5" xfId="4492" xr:uid="{00000000-0005-0000-0000-0000743A0000}"/>
    <cellStyle name="Input 2 7 3 10 5 2" xfId="4553" xr:uid="{00000000-0005-0000-0000-0000753A0000}"/>
    <cellStyle name="Input 2 7 3 10 5 3" xfId="4578" xr:uid="{00000000-0005-0000-0000-0000763A0000}"/>
    <cellStyle name="Input 2 7 3 10 6" xfId="4771" xr:uid="{00000000-0005-0000-0000-0000773A0000}"/>
    <cellStyle name="Input 2 7 3 10 7" xfId="4796" xr:uid="{00000000-0005-0000-0000-0000783A0000}"/>
    <cellStyle name="Input 2 7 3 11" xfId="21901" xr:uid="{00000000-0005-0000-0000-0000793A0000}"/>
    <cellStyle name="Input 2 7 3 11 2" xfId="21904" xr:uid="{00000000-0005-0000-0000-00007A3A0000}"/>
    <cellStyle name="Input 2 7 3 11 3" xfId="21905" xr:uid="{00000000-0005-0000-0000-00007B3A0000}"/>
    <cellStyle name="Input 2 7 3 11 4" xfId="5057" xr:uid="{00000000-0005-0000-0000-00007C3A0000}"/>
    <cellStyle name="Input 2 7 3 12" xfId="21907" xr:uid="{00000000-0005-0000-0000-00007D3A0000}"/>
    <cellStyle name="Input 2 7 3 12 2" xfId="21910" xr:uid="{00000000-0005-0000-0000-00007E3A0000}"/>
    <cellStyle name="Input 2 7 3 12 3" xfId="21911" xr:uid="{00000000-0005-0000-0000-00007F3A0000}"/>
    <cellStyle name="Input 2 7 3 12 4" xfId="727" xr:uid="{00000000-0005-0000-0000-0000803A0000}"/>
    <cellStyle name="Input 2 7 3 13" xfId="21913" xr:uid="{00000000-0005-0000-0000-0000813A0000}"/>
    <cellStyle name="Input 2 7 3 13 2" xfId="21916" xr:uid="{00000000-0005-0000-0000-0000823A0000}"/>
    <cellStyle name="Input 2 7 3 13 3" xfId="21917" xr:uid="{00000000-0005-0000-0000-0000833A0000}"/>
    <cellStyle name="Input 2 7 3 14" xfId="21919" xr:uid="{00000000-0005-0000-0000-0000843A0000}"/>
    <cellStyle name="Input 2 7 3 14 2" xfId="21922" xr:uid="{00000000-0005-0000-0000-0000853A0000}"/>
    <cellStyle name="Input 2 7 3 14 3" xfId="21923" xr:uid="{00000000-0005-0000-0000-0000863A0000}"/>
    <cellStyle name="Input 2 7 3 15" xfId="21925" xr:uid="{00000000-0005-0000-0000-0000873A0000}"/>
    <cellStyle name="Input 2 7 3 16" xfId="21928" xr:uid="{00000000-0005-0000-0000-0000883A0000}"/>
    <cellStyle name="Input 2 7 3 2" xfId="17560" xr:uid="{00000000-0005-0000-0000-0000893A0000}"/>
    <cellStyle name="Input 2 7 3 2 2" xfId="21930" xr:uid="{00000000-0005-0000-0000-00008A3A0000}"/>
    <cellStyle name="Input 2 7 3 2 2 2" xfId="21932" xr:uid="{00000000-0005-0000-0000-00008B3A0000}"/>
    <cellStyle name="Input 2 7 3 2 2 3" xfId="21933" xr:uid="{00000000-0005-0000-0000-00008C3A0000}"/>
    <cellStyle name="Input 2 7 3 2 2 4" xfId="21934" xr:uid="{00000000-0005-0000-0000-00008D3A0000}"/>
    <cellStyle name="Input 2 7 3 2 3" xfId="18469" xr:uid="{00000000-0005-0000-0000-00008E3A0000}"/>
    <cellStyle name="Input 2 7 3 2 3 2" xfId="21936" xr:uid="{00000000-0005-0000-0000-00008F3A0000}"/>
    <cellStyle name="Input 2 7 3 2 3 3" xfId="21937" xr:uid="{00000000-0005-0000-0000-0000903A0000}"/>
    <cellStyle name="Input 2 7 3 2 3 4" xfId="9826" xr:uid="{00000000-0005-0000-0000-0000913A0000}"/>
    <cellStyle name="Input 2 7 3 2 4" xfId="18472" xr:uid="{00000000-0005-0000-0000-0000923A0000}"/>
    <cellStyle name="Input 2 7 3 2 4 2" xfId="21938" xr:uid="{00000000-0005-0000-0000-0000933A0000}"/>
    <cellStyle name="Input 2 7 3 2 4 3" xfId="21939" xr:uid="{00000000-0005-0000-0000-0000943A0000}"/>
    <cellStyle name="Input 2 7 3 2 5" xfId="1086" xr:uid="{00000000-0005-0000-0000-0000953A0000}"/>
    <cellStyle name="Input 2 7 3 2 5 2" xfId="21940" xr:uid="{00000000-0005-0000-0000-0000963A0000}"/>
    <cellStyle name="Input 2 7 3 2 5 3" xfId="21941" xr:uid="{00000000-0005-0000-0000-0000973A0000}"/>
    <cellStyle name="Input 2 7 3 2 6" xfId="1096" xr:uid="{00000000-0005-0000-0000-0000983A0000}"/>
    <cellStyle name="Input 2 7 3 2 7" xfId="659" xr:uid="{00000000-0005-0000-0000-0000993A0000}"/>
    <cellStyle name="Input 2 7 3 3" xfId="17563" xr:uid="{00000000-0005-0000-0000-00009A3A0000}"/>
    <cellStyle name="Input 2 7 3 3 2" xfId="21942" xr:uid="{00000000-0005-0000-0000-00009B3A0000}"/>
    <cellStyle name="Input 2 7 3 3 2 2" xfId="21944" xr:uid="{00000000-0005-0000-0000-00009C3A0000}"/>
    <cellStyle name="Input 2 7 3 3 2 3" xfId="21946" xr:uid="{00000000-0005-0000-0000-00009D3A0000}"/>
    <cellStyle name="Input 2 7 3 3 2 4" xfId="21948" xr:uid="{00000000-0005-0000-0000-00009E3A0000}"/>
    <cellStyle name="Input 2 7 3 3 3" xfId="18475" xr:uid="{00000000-0005-0000-0000-00009F3A0000}"/>
    <cellStyle name="Input 2 7 3 3 3 2" xfId="21951" xr:uid="{00000000-0005-0000-0000-0000A03A0000}"/>
    <cellStyle name="Input 2 7 3 3 3 3" xfId="21953" xr:uid="{00000000-0005-0000-0000-0000A13A0000}"/>
    <cellStyle name="Input 2 7 3 3 3 4" xfId="9855" xr:uid="{00000000-0005-0000-0000-0000A23A0000}"/>
    <cellStyle name="Input 2 7 3 3 4" xfId="18478" xr:uid="{00000000-0005-0000-0000-0000A33A0000}"/>
    <cellStyle name="Input 2 7 3 3 4 2" xfId="21955" xr:uid="{00000000-0005-0000-0000-0000A43A0000}"/>
    <cellStyle name="Input 2 7 3 3 4 3" xfId="21956" xr:uid="{00000000-0005-0000-0000-0000A53A0000}"/>
    <cellStyle name="Input 2 7 3 3 5" xfId="21957" xr:uid="{00000000-0005-0000-0000-0000A63A0000}"/>
    <cellStyle name="Input 2 7 3 3 5 2" xfId="14550" xr:uid="{00000000-0005-0000-0000-0000A73A0000}"/>
    <cellStyle name="Input 2 7 3 3 5 3" xfId="14592" xr:uid="{00000000-0005-0000-0000-0000A83A0000}"/>
    <cellStyle name="Input 2 7 3 3 6" xfId="21960" xr:uid="{00000000-0005-0000-0000-0000A93A0000}"/>
    <cellStyle name="Input 2 7 3 3 7" xfId="21963" xr:uid="{00000000-0005-0000-0000-0000AA3A0000}"/>
    <cellStyle name="Input 2 7 3 4" xfId="21967" xr:uid="{00000000-0005-0000-0000-0000AB3A0000}"/>
    <cellStyle name="Input 2 7 3 4 2" xfId="21970" xr:uid="{00000000-0005-0000-0000-0000AC3A0000}"/>
    <cellStyle name="Input 2 7 3 4 2 2" xfId="21972" xr:uid="{00000000-0005-0000-0000-0000AD3A0000}"/>
    <cellStyle name="Input 2 7 3 4 2 3" xfId="21973" xr:uid="{00000000-0005-0000-0000-0000AE3A0000}"/>
    <cellStyle name="Input 2 7 3 4 2 4" xfId="21974" xr:uid="{00000000-0005-0000-0000-0000AF3A0000}"/>
    <cellStyle name="Input 2 7 3 4 3" xfId="21976" xr:uid="{00000000-0005-0000-0000-0000B03A0000}"/>
    <cellStyle name="Input 2 7 3 4 3 2" xfId="5747" xr:uid="{00000000-0005-0000-0000-0000B13A0000}"/>
    <cellStyle name="Input 2 7 3 4 3 3" xfId="640" xr:uid="{00000000-0005-0000-0000-0000B23A0000}"/>
    <cellStyle name="Input 2 7 3 4 3 4" xfId="1580" xr:uid="{00000000-0005-0000-0000-0000B33A0000}"/>
    <cellStyle name="Input 2 7 3 4 4" xfId="21978" xr:uid="{00000000-0005-0000-0000-0000B43A0000}"/>
    <cellStyle name="Input 2 7 3 4 4 2" xfId="21980" xr:uid="{00000000-0005-0000-0000-0000B53A0000}"/>
    <cellStyle name="Input 2 7 3 4 4 3" xfId="21981" xr:uid="{00000000-0005-0000-0000-0000B63A0000}"/>
    <cellStyle name="Input 2 7 3 4 5" xfId="21982" xr:uid="{00000000-0005-0000-0000-0000B73A0000}"/>
    <cellStyle name="Input 2 7 3 4 5 2" xfId="15291" xr:uid="{00000000-0005-0000-0000-0000B83A0000}"/>
    <cellStyle name="Input 2 7 3 4 5 3" xfId="15315" xr:uid="{00000000-0005-0000-0000-0000B93A0000}"/>
    <cellStyle name="Input 2 7 3 4 6" xfId="21983" xr:uid="{00000000-0005-0000-0000-0000BA3A0000}"/>
    <cellStyle name="Input 2 7 3 4 7" xfId="21986" xr:uid="{00000000-0005-0000-0000-0000BB3A0000}"/>
    <cellStyle name="Input 2 7 3 5" xfId="21990" xr:uid="{00000000-0005-0000-0000-0000BC3A0000}"/>
    <cellStyle name="Input 2 7 3 5 2" xfId="21992" xr:uid="{00000000-0005-0000-0000-0000BD3A0000}"/>
    <cellStyle name="Input 2 7 3 5 2 2" xfId="21994" xr:uid="{00000000-0005-0000-0000-0000BE3A0000}"/>
    <cellStyle name="Input 2 7 3 5 2 3" xfId="21996" xr:uid="{00000000-0005-0000-0000-0000BF3A0000}"/>
    <cellStyle name="Input 2 7 3 5 2 4" xfId="15112" xr:uid="{00000000-0005-0000-0000-0000C03A0000}"/>
    <cellStyle name="Input 2 7 3 5 3" xfId="21997" xr:uid="{00000000-0005-0000-0000-0000C13A0000}"/>
    <cellStyle name="Input 2 7 3 5 3 2" xfId="21999" xr:uid="{00000000-0005-0000-0000-0000C23A0000}"/>
    <cellStyle name="Input 2 7 3 5 3 3" xfId="22000" xr:uid="{00000000-0005-0000-0000-0000C33A0000}"/>
    <cellStyle name="Input 2 7 3 5 3 4" xfId="9939" xr:uid="{00000000-0005-0000-0000-0000C43A0000}"/>
    <cellStyle name="Input 2 7 3 5 4" xfId="22001" xr:uid="{00000000-0005-0000-0000-0000C53A0000}"/>
    <cellStyle name="Input 2 7 3 5 4 2" xfId="22002" xr:uid="{00000000-0005-0000-0000-0000C63A0000}"/>
    <cellStyle name="Input 2 7 3 5 4 3" xfId="22003" xr:uid="{00000000-0005-0000-0000-0000C73A0000}"/>
    <cellStyle name="Input 2 7 3 5 5" xfId="22004" xr:uid="{00000000-0005-0000-0000-0000C83A0000}"/>
    <cellStyle name="Input 2 7 3 5 5 2" xfId="15916" xr:uid="{00000000-0005-0000-0000-0000C93A0000}"/>
    <cellStyle name="Input 2 7 3 5 5 3" xfId="15934" xr:uid="{00000000-0005-0000-0000-0000CA3A0000}"/>
    <cellStyle name="Input 2 7 3 5 6" xfId="22005" xr:uid="{00000000-0005-0000-0000-0000CB3A0000}"/>
    <cellStyle name="Input 2 7 3 5 7" xfId="22007" xr:uid="{00000000-0005-0000-0000-0000CC3A0000}"/>
    <cellStyle name="Input 2 7 3 6" xfId="22011" xr:uid="{00000000-0005-0000-0000-0000CD3A0000}"/>
    <cellStyle name="Input 2 7 3 6 2" xfId="22013" xr:uid="{00000000-0005-0000-0000-0000CE3A0000}"/>
    <cellStyle name="Input 2 7 3 6 2 2" xfId="22015" xr:uid="{00000000-0005-0000-0000-0000CF3A0000}"/>
    <cellStyle name="Input 2 7 3 6 2 3" xfId="22016" xr:uid="{00000000-0005-0000-0000-0000D03A0000}"/>
    <cellStyle name="Input 2 7 3 6 2 4" xfId="22017" xr:uid="{00000000-0005-0000-0000-0000D13A0000}"/>
    <cellStyle name="Input 2 7 3 6 3" xfId="22019" xr:uid="{00000000-0005-0000-0000-0000D23A0000}"/>
    <cellStyle name="Input 2 7 3 6 3 2" xfId="22020" xr:uid="{00000000-0005-0000-0000-0000D33A0000}"/>
    <cellStyle name="Input 2 7 3 6 3 3" xfId="22021" xr:uid="{00000000-0005-0000-0000-0000D43A0000}"/>
    <cellStyle name="Input 2 7 3 6 3 4" xfId="9995" xr:uid="{00000000-0005-0000-0000-0000D53A0000}"/>
    <cellStyle name="Input 2 7 3 6 4" xfId="22022" xr:uid="{00000000-0005-0000-0000-0000D63A0000}"/>
    <cellStyle name="Input 2 7 3 6 4 2" xfId="22023" xr:uid="{00000000-0005-0000-0000-0000D73A0000}"/>
    <cellStyle name="Input 2 7 3 6 4 3" xfId="22024" xr:uid="{00000000-0005-0000-0000-0000D83A0000}"/>
    <cellStyle name="Input 2 7 3 6 5" xfId="22025" xr:uid="{00000000-0005-0000-0000-0000D93A0000}"/>
    <cellStyle name="Input 2 7 3 6 5 2" xfId="16485" xr:uid="{00000000-0005-0000-0000-0000DA3A0000}"/>
    <cellStyle name="Input 2 7 3 6 5 3" xfId="16534" xr:uid="{00000000-0005-0000-0000-0000DB3A0000}"/>
    <cellStyle name="Input 2 7 3 6 6" xfId="22026" xr:uid="{00000000-0005-0000-0000-0000DC3A0000}"/>
    <cellStyle name="Input 2 7 3 6 7" xfId="22028" xr:uid="{00000000-0005-0000-0000-0000DD3A0000}"/>
    <cellStyle name="Input 2 7 3 7" xfId="22031" xr:uid="{00000000-0005-0000-0000-0000DE3A0000}"/>
    <cellStyle name="Input 2 7 3 7 2" xfId="8605" xr:uid="{00000000-0005-0000-0000-0000DF3A0000}"/>
    <cellStyle name="Input 2 7 3 7 2 2" xfId="22033" xr:uid="{00000000-0005-0000-0000-0000E03A0000}"/>
    <cellStyle name="Input 2 7 3 7 2 3" xfId="22034" xr:uid="{00000000-0005-0000-0000-0000E13A0000}"/>
    <cellStyle name="Input 2 7 3 7 2 4" xfId="22035" xr:uid="{00000000-0005-0000-0000-0000E23A0000}"/>
    <cellStyle name="Input 2 7 3 7 3" xfId="8608" xr:uid="{00000000-0005-0000-0000-0000E33A0000}"/>
    <cellStyle name="Input 2 7 3 7 3 2" xfId="22038" xr:uid="{00000000-0005-0000-0000-0000E43A0000}"/>
    <cellStyle name="Input 2 7 3 7 3 3" xfId="22039" xr:uid="{00000000-0005-0000-0000-0000E53A0000}"/>
    <cellStyle name="Input 2 7 3 7 3 4" xfId="10034" xr:uid="{00000000-0005-0000-0000-0000E63A0000}"/>
    <cellStyle name="Input 2 7 3 7 4" xfId="14373" xr:uid="{00000000-0005-0000-0000-0000E73A0000}"/>
    <cellStyle name="Input 2 7 3 7 4 2" xfId="14375" xr:uid="{00000000-0005-0000-0000-0000E83A0000}"/>
    <cellStyle name="Input 2 7 3 7 4 3" xfId="22040" xr:uid="{00000000-0005-0000-0000-0000E93A0000}"/>
    <cellStyle name="Input 2 7 3 7 5" xfId="22041" xr:uid="{00000000-0005-0000-0000-0000EA3A0000}"/>
    <cellStyle name="Input 2 7 3 7 5 2" xfId="17203" xr:uid="{00000000-0005-0000-0000-0000EB3A0000}"/>
    <cellStyle name="Input 2 7 3 7 5 3" xfId="17232" xr:uid="{00000000-0005-0000-0000-0000EC3A0000}"/>
    <cellStyle name="Input 2 7 3 7 6" xfId="22042" xr:uid="{00000000-0005-0000-0000-0000ED3A0000}"/>
    <cellStyle name="Input 2 7 3 7 7" xfId="22043" xr:uid="{00000000-0005-0000-0000-0000EE3A0000}"/>
    <cellStyle name="Input 2 7 3 8" xfId="22045" xr:uid="{00000000-0005-0000-0000-0000EF3A0000}"/>
    <cellStyle name="Input 2 7 3 8 2" xfId="8612" xr:uid="{00000000-0005-0000-0000-0000F03A0000}"/>
    <cellStyle name="Input 2 7 3 8 2 2" xfId="22047" xr:uid="{00000000-0005-0000-0000-0000F13A0000}"/>
    <cellStyle name="Input 2 7 3 8 2 3" xfId="22049" xr:uid="{00000000-0005-0000-0000-0000F23A0000}"/>
    <cellStyle name="Input 2 7 3 8 2 4" xfId="22051" xr:uid="{00000000-0005-0000-0000-0000F33A0000}"/>
    <cellStyle name="Input 2 7 3 8 3" xfId="8614" xr:uid="{00000000-0005-0000-0000-0000F43A0000}"/>
    <cellStyle name="Input 2 7 3 8 3 2" xfId="22054" xr:uid="{00000000-0005-0000-0000-0000F53A0000}"/>
    <cellStyle name="Input 2 7 3 8 3 3" xfId="22056" xr:uid="{00000000-0005-0000-0000-0000F63A0000}"/>
    <cellStyle name="Input 2 7 3 8 3 4" xfId="22058" xr:uid="{00000000-0005-0000-0000-0000F73A0000}"/>
    <cellStyle name="Input 2 7 3 8 4" xfId="22061" xr:uid="{00000000-0005-0000-0000-0000F83A0000}"/>
    <cellStyle name="Input 2 7 3 8 4 2" xfId="22064" xr:uid="{00000000-0005-0000-0000-0000F93A0000}"/>
    <cellStyle name="Input 2 7 3 8 4 3" xfId="22066" xr:uid="{00000000-0005-0000-0000-0000FA3A0000}"/>
    <cellStyle name="Input 2 7 3 8 5" xfId="22068" xr:uid="{00000000-0005-0000-0000-0000FB3A0000}"/>
    <cellStyle name="Input 2 7 3 8 5 2" xfId="17752" xr:uid="{00000000-0005-0000-0000-0000FC3A0000}"/>
    <cellStyle name="Input 2 7 3 8 5 3" xfId="17759" xr:uid="{00000000-0005-0000-0000-0000FD3A0000}"/>
    <cellStyle name="Input 2 7 3 8 6" xfId="22069" xr:uid="{00000000-0005-0000-0000-0000FE3A0000}"/>
    <cellStyle name="Input 2 7 3 8 7" xfId="22070" xr:uid="{00000000-0005-0000-0000-0000FF3A0000}"/>
    <cellStyle name="Input 2 7 3 9" xfId="22072" xr:uid="{00000000-0005-0000-0000-0000003B0000}"/>
    <cellStyle name="Input 2 7 3 9 2" xfId="8619" xr:uid="{00000000-0005-0000-0000-0000013B0000}"/>
    <cellStyle name="Input 2 7 3 9 2 2" xfId="22073" xr:uid="{00000000-0005-0000-0000-0000023B0000}"/>
    <cellStyle name="Input 2 7 3 9 2 3" xfId="22074" xr:uid="{00000000-0005-0000-0000-0000033B0000}"/>
    <cellStyle name="Input 2 7 3 9 2 4" xfId="22075" xr:uid="{00000000-0005-0000-0000-0000043B0000}"/>
    <cellStyle name="Input 2 7 3 9 3" xfId="22077" xr:uid="{00000000-0005-0000-0000-0000053B0000}"/>
    <cellStyle name="Input 2 7 3 9 3 2" xfId="22078" xr:uid="{00000000-0005-0000-0000-0000063B0000}"/>
    <cellStyle name="Input 2 7 3 9 3 3" xfId="22079" xr:uid="{00000000-0005-0000-0000-0000073B0000}"/>
    <cellStyle name="Input 2 7 3 9 3 4" xfId="22080" xr:uid="{00000000-0005-0000-0000-0000083B0000}"/>
    <cellStyle name="Input 2 7 3 9 4" xfId="22082" xr:uid="{00000000-0005-0000-0000-0000093B0000}"/>
    <cellStyle name="Input 2 7 3 9 4 2" xfId="22083" xr:uid="{00000000-0005-0000-0000-00000A3B0000}"/>
    <cellStyle name="Input 2 7 3 9 4 3" xfId="22084" xr:uid="{00000000-0005-0000-0000-00000B3B0000}"/>
    <cellStyle name="Input 2 7 3 9 5" xfId="22085" xr:uid="{00000000-0005-0000-0000-00000C3B0000}"/>
    <cellStyle name="Input 2 7 3 9 5 2" xfId="17963" xr:uid="{00000000-0005-0000-0000-00000D3B0000}"/>
    <cellStyle name="Input 2 7 3 9 5 3" xfId="17967" xr:uid="{00000000-0005-0000-0000-00000E3B0000}"/>
    <cellStyle name="Input 2 7 3 9 6" xfId="22086" xr:uid="{00000000-0005-0000-0000-00000F3B0000}"/>
    <cellStyle name="Input 2 7 3 9 7" xfId="22087" xr:uid="{00000000-0005-0000-0000-0000103B0000}"/>
    <cellStyle name="Input 2 7 4" xfId="22088" xr:uid="{00000000-0005-0000-0000-0000113B0000}"/>
    <cellStyle name="Input 2 7 4 2" xfId="17609" xr:uid="{00000000-0005-0000-0000-0000123B0000}"/>
    <cellStyle name="Input 2 7 4 2 2" xfId="22089" xr:uid="{00000000-0005-0000-0000-0000133B0000}"/>
    <cellStyle name="Input 2 7 4 2 3" xfId="22091" xr:uid="{00000000-0005-0000-0000-0000143B0000}"/>
    <cellStyle name="Input 2 7 4 2 4" xfId="22093" xr:uid="{00000000-0005-0000-0000-0000153B0000}"/>
    <cellStyle name="Input 2 7 4 3" xfId="17614" xr:uid="{00000000-0005-0000-0000-0000163B0000}"/>
    <cellStyle name="Input 2 7 4 3 2" xfId="22095" xr:uid="{00000000-0005-0000-0000-0000173B0000}"/>
    <cellStyle name="Input 2 7 4 3 3" xfId="22097" xr:uid="{00000000-0005-0000-0000-0000183B0000}"/>
    <cellStyle name="Input 2 7 4 3 4" xfId="22099" xr:uid="{00000000-0005-0000-0000-0000193B0000}"/>
    <cellStyle name="Input 2 7 4 4" xfId="22101" xr:uid="{00000000-0005-0000-0000-00001A3B0000}"/>
    <cellStyle name="Input 2 7 4 4 2" xfId="22104" xr:uid="{00000000-0005-0000-0000-00001B3B0000}"/>
    <cellStyle name="Input 2 7 4 4 3" xfId="22106" xr:uid="{00000000-0005-0000-0000-00001C3B0000}"/>
    <cellStyle name="Input 2 7 4 5" xfId="22109" xr:uid="{00000000-0005-0000-0000-00001D3B0000}"/>
    <cellStyle name="Input 2 7 4 5 2" xfId="22111" xr:uid="{00000000-0005-0000-0000-00001E3B0000}"/>
    <cellStyle name="Input 2 7 4 5 3" xfId="22113" xr:uid="{00000000-0005-0000-0000-00001F3B0000}"/>
    <cellStyle name="Input 2 7 4 6" xfId="22114" xr:uid="{00000000-0005-0000-0000-0000203B0000}"/>
    <cellStyle name="Input 2 7 4 7" xfId="11185" xr:uid="{00000000-0005-0000-0000-0000213B0000}"/>
    <cellStyle name="Input 2 7 5" xfId="11800" xr:uid="{00000000-0005-0000-0000-0000223B0000}"/>
    <cellStyle name="Input 2 7 5 2" xfId="11803" xr:uid="{00000000-0005-0000-0000-0000233B0000}"/>
    <cellStyle name="Input 2 7 5 2 2" xfId="22116" xr:uid="{00000000-0005-0000-0000-0000243B0000}"/>
    <cellStyle name="Input 2 7 5 2 3" xfId="11813" xr:uid="{00000000-0005-0000-0000-0000253B0000}"/>
    <cellStyle name="Input 2 7 5 2 4" xfId="11816" xr:uid="{00000000-0005-0000-0000-0000263B0000}"/>
    <cellStyle name="Input 2 7 5 3" xfId="17640" xr:uid="{00000000-0005-0000-0000-0000273B0000}"/>
    <cellStyle name="Input 2 7 5 3 2" xfId="22118" xr:uid="{00000000-0005-0000-0000-0000283B0000}"/>
    <cellStyle name="Input 2 7 5 3 3" xfId="11822" xr:uid="{00000000-0005-0000-0000-0000293B0000}"/>
    <cellStyle name="Input 2 7 5 3 4" xfId="11825" xr:uid="{00000000-0005-0000-0000-00002A3B0000}"/>
    <cellStyle name="Input 2 7 5 4" xfId="22121" xr:uid="{00000000-0005-0000-0000-00002B3B0000}"/>
    <cellStyle name="Input 2 7 5 4 2" xfId="22123" xr:uid="{00000000-0005-0000-0000-00002C3B0000}"/>
    <cellStyle name="Input 2 7 5 4 3" xfId="11829" xr:uid="{00000000-0005-0000-0000-00002D3B0000}"/>
    <cellStyle name="Input 2 7 5 5" xfId="22126" xr:uid="{00000000-0005-0000-0000-00002E3B0000}"/>
    <cellStyle name="Input 2 7 5 5 2" xfId="22128" xr:uid="{00000000-0005-0000-0000-00002F3B0000}"/>
    <cellStyle name="Input 2 7 5 5 3" xfId="11834" xr:uid="{00000000-0005-0000-0000-0000303B0000}"/>
    <cellStyle name="Input 2 7 5 6" xfId="22130" xr:uid="{00000000-0005-0000-0000-0000313B0000}"/>
    <cellStyle name="Input 2 7 5 7" xfId="11190" xr:uid="{00000000-0005-0000-0000-0000323B0000}"/>
    <cellStyle name="Input 2 7 6" xfId="22132" xr:uid="{00000000-0005-0000-0000-0000333B0000}"/>
    <cellStyle name="Input 2 7 6 2" xfId="17664" xr:uid="{00000000-0005-0000-0000-0000343B0000}"/>
    <cellStyle name="Input 2 7 6 2 2" xfId="22133" xr:uid="{00000000-0005-0000-0000-0000353B0000}"/>
    <cellStyle name="Input 2 7 6 2 3" xfId="22135" xr:uid="{00000000-0005-0000-0000-0000363B0000}"/>
    <cellStyle name="Input 2 7 6 2 4" xfId="22137" xr:uid="{00000000-0005-0000-0000-0000373B0000}"/>
    <cellStyle name="Input 2 7 6 3" xfId="17667" xr:uid="{00000000-0005-0000-0000-0000383B0000}"/>
    <cellStyle name="Input 2 7 6 3 2" xfId="15167" xr:uid="{00000000-0005-0000-0000-0000393B0000}"/>
    <cellStyle name="Input 2 7 6 3 3" xfId="15170" xr:uid="{00000000-0005-0000-0000-00003A3B0000}"/>
    <cellStyle name="Input 2 7 6 3 4" xfId="22139" xr:uid="{00000000-0005-0000-0000-00003B3B0000}"/>
    <cellStyle name="Input 2 7 6 4" xfId="22140" xr:uid="{00000000-0005-0000-0000-00003C3B0000}"/>
    <cellStyle name="Input 2 7 6 4 2" xfId="15175" xr:uid="{00000000-0005-0000-0000-00003D3B0000}"/>
    <cellStyle name="Input 2 7 6 4 3" xfId="15178" xr:uid="{00000000-0005-0000-0000-00003E3B0000}"/>
    <cellStyle name="Input 2 7 6 5" xfId="22142" xr:uid="{00000000-0005-0000-0000-00003F3B0000}"/>
    <cellStyle name="Input 2 7 6 5 2" xfId="15183" xr:uid="{00000000-0005-0000-0000-0000403B0000}"/>
    <cellStyle name="Input 2 7 6 5 3" xfId="22145" xr:uid="{00000000-0005-0000-0000-0000413B0000}"/>
    <cellStyle name="Input 2 7 6 6" xfId="22146" xr:uid="{00000000-0005-0000-0000-0000423B0000}"/>
    <cellStyle name="Input 2 7 6 7" xfId="11195" xr:uid="{00000000-0005-0000-0000-0000433B0000}"/>
    <cellStyle name="Input 2 7 7" xfId="1464" xr:uid="{00000000-0005-0000-0000-0000443B0000}"/>
    <cellStyle name="Input 2 7 7 2" xfId="1476" xr:uid="{00000000-0005-0000-0000-0000453B0000}"/>
    <cellStyle name="Input 2 7 7 2 2" xfId="245" xr:uid="{00000000-0005-0000-0000-0000463B0000}"/>
    <cellStyle name="Input 2 7 7 2 3" xfId="1491" xr:uid="{00000000-0005-0000-0000-0000473B0000}"/>
    <cellStyle name="Input 2 7 7 2 4" xfId="22149" xr:uid="{00000000-0005-0000-0000-0000483B0000}"/>
    <cellStyle name="Input 2 7 7 3" xfId="1506" xr:uid="{00000000-0005-0000-0000-0000493B0000}"/>
    <cellStyle name="Input 2 7 7 3 2" xfId="22152" xr:uid="{00000000-0005-0000-0000-00004A3B0000}"/>
    <cellStyle name="Input 2 7 7 3 3" xfId="22155" xr:uid="{00000000-0005-0000-0000-00004B3B0000}"/>
    <cellStyle name="Input 2 7 7 3 4" xfId="22158" xr:uid="{00000000-0005-0000-0000-00004C3B0000}"/>
    <cellStyle name="Input 2 7 7 4" xfId="1522" xr:uid="{00000000-0005-0000-0000-00004D3B0000}"/>
    <cellStyle name="Input 2 7 7 4 2" xfId="22159" xr:uid="{00000000-0005-0000-0000-00004E3B0000}"/>
    <cellStyle name="Input 2 7 7 4 3" xfId="22162" xr:uid="{00000000-0005-0000-0000-00004F3B0000}"/>
    <cellStyle name="Input 2 7 7 5" xfId="1527" xr:uid="{00000000-0005-0000-0000-0000503B0000}"/>
    <cellStyle name="Input 2 7 7 5 2" xfId="22165" xr:uid="{00000000-0005-0000-0000-0000513B0000}"/>
    <cellStyle name="Input 2 7 7 5 3" xfId="22168" xr:uid="{00000000-0005-0000-0000-0000523B0000}"/>
    <cellStyle name="Input 2 7 7 6" xfId="1531" xr:uid="{00000000-0005-0000-0000-0000533B0000}"/>
    <cellStyle name="Input 2 7 7 7" xfId="204" xr:uid="{00000000-0005-0000-0000-0000543B0000}"/>
    <cellStyle name="Input 2 7 8" xfId="1536" xr:uid="{00000000-0005-0000-0000-0000553B0000}"/>
    <cellStyle name="Input 2 7 8 2" xfId="22169" xr:uid="{00000000-0005-0000-0000-0000563B0000}"/>
    <cellStyle name="Input 2 7 8 2 2" xfId="22171" xr:uid="{00000000-0005-0000-0000-0000573B0000}"/>
    <cellStyle name="Input 2 7 8 2 3" xfId="22173" xr:uid="{00000000-0005-0000-0000-0000583B0000}"/>
    <cellStyle name="Input 2 7 8 2 4" xfId="22175" xr:uid="{00000000-0005-0000-0000-0000593B0000}"/>
    <cellStyle name="Input 2 7 8 3" xfId="22177" xr:uid="{00000000-0005-0000-0000-00005A3B0000}"/>
    <cellStyle name="Input 2 7 8 3 2" xfId="22179" xr:uid="{00000000-0005-0000-0000-00005B3B0000}"/>
    <cellStyle name="Input 2 7 8 3 3" xfId="22181" xr:uid="{00000000-0005-0000-0000-00005C3B0000}"/>
    <cellStyle name="Input 2 7 8 3 4" xfId="22183" xr:uid="{00000000-0005-0000-0000-00005D3B0000}"/>
    <cellStyle name="Input 2 7 8 4" xfId="22184" xr:uid="{00000000-0005-0000-0000-00005E3B0000}"/>
    <cellStyle name="Input 2 7 8 4 2" xfId="22186" xr:uid="{00000000-0005-0000-0000-00005F3B0000}"/>
    <cellStyle name="Input 2 7 8 4 3" xfId="22188" xr:uid="{00000000-0005-0000-0000-0000603B0000}"/>
    <cellStyle name="Input 2 7 8 5" xfId="22190" xr:uid="{00000000-0005-0000-0000-0000613B0000}"/>
    <cellStyle name="Input 2 7 8 5 2" xfId="22194" xr:uid="{00000000-0005-0000-0000-0000623B0000}"/>
    <cellStyle name="Input 2 7 8 5 3" xfId="22196" xr:uid="{00000000-0005-0000-0000-0000633B0000}"/>
    <cellStyle name="Input 2 7 8 6" xfId="22197" xr:uid="{00000000-0005-0000-0000-0000643B0000}"/>
    <cellStyle name="Input 2 7 8 7" xfId="22201" xr:uid="{00000000-0005-0000-0000-0000653B0000}"/>
    <cellStyle name="Input 2 7 9" xfId="1542" xr:uid="{00000000-0005-0000-0000-0000663B0000}"/>
    <cellStyle name="Input 2 7 9 2" xfId="1547" xr:uid="{00000000-0005-0000-0000-0000673B0000}"/>
    <cellStyle name="Input 2 7 9 2 2" xfId="1558" xr:uid="{00000000-0005-0000-0000-0000683B0000}"/>
    <cellStyle name="Input 2 7 9 2 3" xfId="2062" xr:uid="{00000000-0005-0000-0000-0000693B0000}"/>
    <cellStyle name="Input 2 7 9 2 4" xfId="2071" xr:uid="{00000000-0005-0000-0000-00006A3B0000}"/>
    <cellStyle name="Input 2 7 9 3" xfId="1566" xr:uid="{00000000-0005-0000-0000-00006B3B0000}"/>
    <cellStyle name="Input 2 7 9 3 2" xfId="14333" xr:uid="{00000000-0005-0000-0000-00006C3B0000}"/>
    <cellStyle name="Input 2 7 9 3 3" xfId="14338" xr:uid="{00000000-0005-0000-0000-00006D3B0000}"/>
    <cellStyle name="Input 2 7 9 3 4" xfId="14341" xr:uid="{00000000-0005-0000-0000-00006E3B0000}"/>
    <cellStyle name="Input 2 7 9 4" xfId="2146" xr:uid="{00000000-0005-0000-0000-00006F3B0000}"/>
    <cellStyle name="Input 2 7 9 4 2" xfId="14386" xr:uid="{00000000-0005-0000-0000-0000703B0000}"/>
    <cellStyle name="Input 2 7 9 4 3" xfId="14389" xr:uid="{00000000-0005-0000-0000-0000713B0000}"/>
    <cellStyle name="Input 2 7 9 5" xfId="2151" xr:uid="{00000000-0005-0000-0000-0000723B0000}"/>
    <cellStyle name="Input 2 7 9 5 2" xfId="22204" xr:uid="{00000000-0005-0000-0000-0000733B0000}"/>
    <cellStyle name="Input 2 7 9 5 3" xfId="22206" xr:uid="{00000000-0005-0000-0000-0000743B0000}"/>
    <cellStyle name="Input 2 7 9 6" xfId="2156" xr:uid="{00000000-0005-0000-0000-0000753B0000}"/>
    <cellStyle name="Input 2 7 9 7" xfId="2177" xr:uid="{00000000-0005-0000-0000-0000763B0000}"/>
    <cellStyle name="Input 2 8" xfId="22207" xr:uid="{00000000-0005-0000-0000-0000773B0000}"/>
    <cellStyle name="Input 2 8 10" xfId="22208" xr:uid="{00000000-0005-0000-0000-0000783B0000}"/>
    <cellStyle name="Input 2 8 10 2" xfId="22209" xr:uid="{00000000-0005-0000-0000-0000793B0000}"/>
    <cellStyle name="Input 2 8 10 2 2" xfId="22210" xr:uid="{00000000-0005-0000-0000-00007A3B0000}"/>
    <cellStyle name="Input 2 8 10 2 3" xfId="22211" xr:uid="{00000000-0005-0000-0000-00007B3B0000}"/>
    <cellStyle name="Input 2 8 10 2 4" xfId="22212" xr:uid="{00000000-0005-0000-0000-00007C3B0000}"/>
    <cellStyle name="Input 2 8 10 3" xfId="22213" xr:uid="{00000000-0005-0000-0000-00007D3B0000}"/>
    <cellStyle name="Input 2 8 10 3 2" xfId="22214" xr:uid="{00000000-0005-0000-0000-00007E3B0000}"/>
    <cellStyle name="Input 2 8 10 3 3" xfId="22215" xr:uid="{00000000-0005-0000-0000-00007F3B0000}"/>
    <cellStyle name="Input 2 8 10 3 4" xfId="22216" xr:uid="{00000000-0005-0000-0000-0000803B0000}"/>
    <cellStyle name="Input 2 8 10 4" xfId="22217" xr:uid="{00000000-0005-0000-0000-0000813B0000}"/>
    <cellStyle name="Input 2 8 10 4 2" xfId="22218" xr:uid="{00000000-0005-0000-0000-0000823B0000}"/>
    <cellStyle name="Input 2 8 10 4 3" xfId="22219" xr:uid="{00000000-0005-0000-0000-0000833B0000}"/>
    <cellStyle name="Input 2 8 10 5" xfId="22220" xr:uid="{00000000-0005-0000-0000-0000843B0000}"/>
    <cellStyle name="Input 2 8 10 5 2" xfId="22221" xr:uid="{00000000-0005-0000-0000-0000853B0000}"/>
    <cellStyle name="Input 2 8 10 5 3" xfId="22222" xr:uid="{00000000-0005-0000-0000-0000863B0000}"/>
    <cellStyle name="Input 2 8 10 6" xfId="22223" xr:uid="{00000000-0005-0000-0000-0000873B0000}"/>
    <cellStyle name="Input 2 8 10 7" xfId="22224" xr:uid="{00000000-0005-0000-0000-0000883B0000}"/>
    <cellStyle name="Input 2 8 11" xfId="22225" xr:uid="{00000000-0005-0000-0000-0000893B0000}"/>
    <cellStyle name="Input 2 8 11 2" xfId="22226" xr:uid="{00000000-0005-0000-0000-00008A3B0000}"/>
    <cellStyle name="Input 2 8 11 2 2" xfId="1510" xr:uid="{00000000-0005-0000-0000-00008B3B0000}"/>
    <cellStyle name="Input 2 8 11 2 3" xfId="22227" xr:uid="{00000000-0005-0000-0000-00008C3B0000}"/>
    <cellStyle name="Input 2 8 11 2 4" xfId="22228" xr:uid="{00000000-0005-0000-0000-00008D3B0000}"/>
    <cellStyle name="Input 2 8 11 3" xfId="22229" xr:uid="{00000000-0005-0000-0000-00008E3B0000}"/>
    <cellStyle name="Input 2 8 11 3 2" xfId="22230" xr:uid="{00000000-0005-0000-0000-00008F3B0000}"/>
    <cellStyle name="Input 2 8 11 3 3" xfId="22231" xr:uid="{00000000-0005-0000-0000-0000903B0000}"/>
    <cellStyle name="Input 2 8 11 3 4" xfId="22232" xr:uid="{00000000-0005-0000-0000-0000913B0000}"/>
    <cellStyle name="Input 2 8 11 4" xfId="22233" xr:uid="{00000000-0005-0000-0000-0000923B0000}"/>
    <cellStyle name="Input 2 8 11 4 2" xfId="22234" xr:uid="{00000000-0005-0000-0000-0000933B0000}"/>
    <cellStyle name="Input 2 8 11 4 3" xfId="22235" xr:uid="{00000000-0005-0000-0000-0000943B0000}"/>
    <cellStyle name="Input 2 8 11 5" xfId="22236" xr:uid="{00000000-0005-0000-0000-0000953B0000}"/>
    <cellStyle name="Input 2 8 11 5 2" xfId="22237" xr:uid="{00000000-0005-0000-0000-0000963B0000}"/>
    <cellStyle name="Input 2 8 11 5 3" xfId="22238" xr:uid="{00000000-0005-0000-0000-0000973B0000}"/>
    <cellStyle name="Input 2 8 11 6" xfId="22239" xr:uid="{00000000-0005-0000-0000-0000983B0000}"/>
    <cellStyle name="Input 2 8 11 7" xfId="22240" xr:uid="{00000000-0005-0000-0000-0000993B0000}"/>
    <cellStyle name="Input 2 8 12" xfId="22241" xr:uid="{00000000-0005-0000-0000-00009A3B0000}"/>
    <cellStyle name="Input 2 8 12 2" xfId="22242" xr:uid="{00000000-0005-0000-0000-00009B3B0000}"/>
    <cellStyle name="Input 2 8 12 2 2" xfId="22243" xr:uid="{00000000-0005-0000-0000-00009C3B0000}"/>
    <cellStyle name="Input 2 8 12 2 3" xfId="22244" xr:uid="{00000000-0005-0000-0000-00009D3B0000}"/>
    <cellStyle name="Input 2 8 12 2 4" xfId="22245" xr:uid="{00000000-0005-0000-0000-00009E3B0000}"/>
    <cellStyle name="Input 2 8 12 3" xfId="22246" xr:uid="{00000000-0005-0000-0000-00009F3B0000}"/>
    <cellStyle name="Input 2 8 12 3 2" xfId="22247" xr:uid="{00000000-0005-0000-0000-0000A03B0000}"/>
    <cellStyle name="Input 2 8 12 3 3" xfId="22248" xr:uid="{00000000-0005-0000-0000-0000A13B0000}"/>
    <cellStyle name="Input 2 8 12 3 4" xfId="22249" xr:uid="{00000000-0005-0000-0000-0000A23B0000}"/>
    <cellStyle name="Input 2 8 12 4" xfId="22250" xr:uid="{00000000-0005-0000-0000-0000A33B0000}"/>
    <cellStyle name="Input 2 8 12 4 2" xfId="22251" xr:uid="{00000000-0005-0000-0000-0000A43B0000}"/>
    <cellStyle name="Input 2 8 12 4 3" xfId="22252" xr:uid="{00000000-0005-0000-0000-0000A53B0000}"/>
    <cellStyle name="Input 2 8 12 5" xfId="22253" xr:uid="{00000000-0005-0000-0000-0000A63B0000}"/>
    <cellStyle name="Input 2 8 12 5 2" xfId="22254" xr:uid="{00000000-0005-0000-0000-0000A73B0000}"/>
    <cellStyle name="Input 2 8 12 5 3" xfId="22256" xr:uid="{00000000-0005-0000-0000-0000A83B0000}"/>
    <cellStyle name="Input 2 8 12 6" xfId="22258" xr:uid="{00000000-0005-0000-0000-0000A93B0000}"/>
    <cellStyle name="Input 2 8 12 7" xfId="22259" xr:uid="{00000000-0005-0000-0000-0000AA3B0000}"/>
    <cellStyle name="Input 2 8 13" xfId="18931" xr:uid="{00000000-0005-0000-0000-0000AB3B0000}"/>
    <cellStyle name="Input 2 8 13 2" xfId="795" xr:uid="{00000000-0005-0000-0000-0000AC3B0000}"/>
    <cellStyle name="Input 2 8 13 3" xfId="799" xr:uid="{00000000-0005-0000-0000-0000AD3B0000}"/>
    <cellStyle name="Input 2 8 13 4" xfId="801" xr:uid="{00000000-0005-0000-0000-0000AE3B0000}"/>
    <cellStyle name="Input 2 8 14" xfId="18933" xr:uid="{00000000-0005-0000-0000-0000AF3B0000}"/>
    <cellStyle name="Input 2 8 14 2" xfId="22260" xr:uid="{00000000-0005-0000-0000-0000B03B0000}"/>
    <cellStyle name="Input 2 8 14 3" xfId="22261" xr:uid="{00000000-0005-0000-0000-0000B13B0000}"/>
    <cellStyle name="Input 2 8 14 4" xfId="22262" xr:uid="{00000000-0005-0000-0000-0000B23B0000}"/>
    <cellStyle name="Input 2 8 15" xfId="22263" xr:uid="{00000000-0005-0000-0000-0000B33B0000}"/>
    <cellStyle name="Input 2 8 15 2" xfId="22265" xr:uid="{00000000-0005-0000-0000-0000B43B0000}"/>
    <cellStyle name="Input 2 8 15 3" xfId="22266" xr:uid="{00000000-0005-0000-0000-0000B53B0000}"/>
    <cellStyle name="Input 2 8 16" xfId="22267" xr:uid="{00000000-0005-0000-0000-0000B63B0000}"/>
    <cellStyle name="Input 2 8 16 2" xfId="22268" xr:uid="{00000000-0005-0000-0000-0000B73B0000}"/>
    <cellStyle name="Input 2 8 16 3" xfId="22270" xr:uid="{00000000-0005-0000-0000-0000B83B0000}"/>
    <cellStyle name="Input 2 8 17" xfId="22272" xr:uid="{00000000-0005-0000-0000-0000B93B0000}"/>
    <cellStyle name="Input 2 8 17 2" xfId="22274" xr:uid="{00000000-0005-0000-0000-0000BA3B0000}"/>
    <cellStyle name="Input 2 8 17 2 2" xfId="22277" xr:uid="{00000000-0005-0000-0000-0000BB3B0000}"/>
    <cellStyle name="Input 2 8 18" xfId="22279" xr:uid="{00000000-0005-0000-0000-0000BC3B0000}"/>
    <cellStyle name="Input 2 8 19" xfId="22281" xr:uid="{00000000-0005-0000-0000-0000BD3B0000}"/>
    <cellStyle name="Input 2 8 2" xfId="22283" xr:uid="{00000000-0005-0000-0000-0000BE3B0000}"/>
    <cellStyle name="Input 2 8 2 10" xfId="10308" xr:uid="{00000000-0005-0000-0000-0000BF3B0000}"/>
    <cellStyle name="Input 2 8 2 10 2" xfId="10106" xr:uid="{00000000-0005-0000-0000-0000C03B0000}"/>
    <cellStyle name="Input 2 8 2 10 2 2" xfId="22284" xr:uid="{00000000-0005-0000-0000-0000C13B0000}"/>
    <cellStyle name="Input 2 8 2 10 2 3" xfId="11001" xr:uid="{00000000-0005-0000-0000-0000C23B0000}"/>
    <cellStyle name="Input 2 8 2 10 2 4" xfId="11003" xr:uid="{00000000-0005-0000-0000-0000C33B0000}"/>
    <cellStyle name="Input 2 8 2 10 3" xfId="4134" xr:uid="{00000000-0005-0000-0000-0000C43B0000}"/>
    <cellStyle name="Input 2 8 2 10 3 2" xfId="22285" xr:uid="{00000000-0005-0000-0000-0000C53B0000}"/>
    <cellStyle name="Input 2 8 2 10 3 3" xfId="11008" xr:uid="{00000000-0005-0000-0000-0000C63B0000}"/>
    <cellStyle name="Input 2 8 2 10 3 4" xfId="11010" xr:uid="{00000000-0005-0000-0000-0000C73B0000}"/>
    <cellStyle name="Input 2 8 2 10 4" xfId="4139" xr:uid="{00000000-0005-0000-0000-0000C83B0000}"/>
    <cellStyle name="Input 2 8 2 10 4 2" xfId="22286" xr:uid="{00000000-0005-0000-0000-0000C93B0000}"/>
    <cellStyle name="Input 2 8 2 10 4 3" xfId="11014" xr:uid="{00000000-0005-0000-0000-0000CA3B0000}"/>
    <cellStyle name="Input 2 8 2 10 5" xfId="22287" xr:uid="{00000000-0005-0000-0000-0000CB3B0000}"/>
    <cellStyle name="Input 2 8 2 10 5 2" xfId="22288" xr:uid="{00000000-0005-0000-0000-0000CC3B0000}"/>
    <cellStyle name="Input 2 8 2 10 5 3" xfId="11020" xr:uid="{00000000-0005-0000-0000-0000CD3B0000}"/>
    <cellStyle name="Input 2 8 2 10 6" xfId="22289" xr:uid="{00000000-0005-0000-0000-0000CE3B0000}"/>
    <cellStyle name="Input 2 8 2 10 7" xfId="15427" xr:uid="{00000000-0005-0000-0000-0000CF3B0000}"/>
    <cellStyle name="Input 2 8 2 11" xfId="10311" xr:uid="{00000000-0005-0000-0000-0000D03B0000}"/>
    <cellStyle name="Input 2 8 2 11 2" xfId="10121" xr:uid="{00000000-0005-0000-0000-0000D13B0000}"/>
    <cellStyle name="Input 2 8 2 11 3" xfId="10124" xr:uid="{00000000-0005-0000-0000-0000D23B0000}"/>
    <cellStyle name="Input 2 8 2 11 4" xfId="22290" xr:uid="{00000000-0005-0000-0000-0000D33B0000}"/>
    <cellStyle name="Input 2 8 2 12" xfId="10315" xr:uid="{00000000-0005-0000-0000-0000D43B0000}"/>
    <cellStyle name="Input 2 8 2 12 2" xfId="22291" xr:uid="{00000000-0005-0000-0000-0000D53B0000}"/>
    <cellStyle name="Input 2 8 2 12 3" xfId="22293" xr:uid="{00000000-0005-0000-0000-0000D63B0000}"/>
    <cellStyle name="Input 2 8 2 12 4" xfId="22294" xr:uid="{00000000-0005-0000-0000-0000D73B0000}"/>
    <cellStyle name="Input 2 8 2 13" xfId="22295" xr:uid="{00000000-0005-0000-0000-0000D83B0000}"/>
    <cellStyle name="Input 2 8 2 13 2" xfId="22296" xr:uid="{00000000-0005-0000-0000-0000D93B0000}"/>
    <cellStyle name="Input 2 8 2 13 3" xfId="22297" xr:uid="{00000000-0005-0000-0000-0000DA3B0000}"/>
    <cellStyle name="Input 2 8 2 14" xfId="22298" xr:uid="{00000000-0005-0000-0000-0000DB3B0000}"/>
    <cellStyle name="Input 2 8 2 14 2" xfId="22299" xr:uid="{00000000-0005-0000-0000-0000DC3B0000}"/>
    <cellStyle name="Input 2 8 2 14 3" xfId="22300" xr:uid="{00000000-0005-0000-0000-0000DD3B0000}"/>
    <cellStyle name="Input 2 8 2 15" xfId="22301" xr:uid="{00000000-0005-0000-0000-0000DE3B0000}"/>
    <cellStyle name="Input 2 8 2 16" xfId="22302" xr:uid="{00000000-0005-0000-0000-0000DF3B0000}"/>
    <cellStyle name="Input 2 8 2 2" xfId="10197" xr:uid="{00000000-0005-0000-0000-0000E03B0000}"/>
    <cellStyle name="Input 2 8 2 2 2" xfId="10201" xr:uid="{00000000-0005-0000-0000-0000E13B0000}"/>
    <cellStyle name="Input 2 8 2 2 2 2" xfId="10379" xr:uid="{00000000-0005-0000-0000-0000E23B0000}"/>
    <cellStyle name="Input 2 8 2 2 2 3" xfId="10385" xr:uid="{00000000-0005-0000-0000-0000E33B0000}"/>
    <cellStyle name="Input 2 8 2 2 2 4" xfId="10392" xr:uid="{00000000-0005-0000-0000-0000E43B0000}"/>
    <cellStyle name="Input 2 8 2 2 3" xfId="10204" xr:uid="{00000000-0005-0000-0000-0000E53B0000}"/>
    <cellStyle name="Input 2 8 2 2 3 2" xfId="10404" xr:uid="{00000000-0005-0000-0000-0000E63B0000}"/>
    <cellStyle name="Input 2 8 2 2 3 3" xfId="10409" xr:uid="{00000000-0005-0000-0000-0000E73B0000}"/>
    <cellStyle name="Input 2 8 2 2 3 4" xfId="10413" xr:uid="{00000000-0005-0000-0000-0000E83B0000}"/>
    <cellStyle name="Input 2 8 2 2 4" xfId="10206" xr:uid="{00000000-0005-0000-0000-0000E93B0000}"/>
    <cellStyle name="Input 2 8 2 2 4 2" xfId="22304" xr:uid="{00000000-0005-0000-0000-0000EA3B0000}"/>
    <cellStyle name="Input 2 8 2 2 4 3" xfId="22305" xr:uid="{00000000-0005-0000-0000-0000EB3B0000}"/>
    <cellStyle name="Input 2 8 2 2 5" xfId="22306" xr:uid="{00000000-0005-0000-0000-0000EC3B0000}"/>
    <cellStyle name="Input 2 8 2 2 5 2" xfId="20872" xr:uid="{00000000-0005-0000-0000-0000ED3B0000}"/>
    <cellStyle name="Input 2 8 2 2 5 3" xfId="20899" xr:uid="{00000000-0005-0000-0000-0000EE3B0000}"/>
    <cellStyle name="Input 2 8 2 2 6" xfId="22307" xr:uid="{00000000-0005-0000-0000-0000EF3B0000}"/>
    <cellStyle name="Input 2 8 2 2 7" xfId="22309" xr:uid="{00000000-0005-0000-0000-0000F03B0000}"/>
    <cellStyle name="Input 2 8 2 3" xfId="10209" xr:uid="{00000000-0005-0000-0000-0000F13B0000}"/>
    <cellStyle name="Input 2 8 2 3 2" xfId="10213" xr:uid="{00000000-0005-0000-0000-0000F23B0000}"/>
    <cellStyle name="Input 2 8 2 3 2 2" xfId="10637" xr:uid="{00000000-0005-0000-0000-0000F33B0000}"/>
    <cellStyle name="Input 2 8 2 3 2 3" xfId="10644" xr:uid="{00000000-0005-0000-0000-0000F43B0000}"/>
    <cellStyle name="Input 2 8 2 3 2 4" xfId="10653" xr:uid="{00000000-0005-0000-0000-0000F53B0000}"/>
    <cellStyle name="Input 2 8 2 3 3" xfId="10216" xr:uid="{00000000-0005-0000-0000-0000F63B0000}"/>
    <cellStyle name="Input 2 8 2 3 3 2" xfId="10666" xr:uid="{00000000-0005-0000-0000-0000F73B0000}"/>
    <cellStyle name="Input 2 8 2 3 3 3" xfId="10672" xr:uid="{00000000-0005-0000-0000-0000F83B0000}"/>
    <cellStyle name="Input 2 8 2 3 3 4" xfId="10679" xr:uid="{00000000-0005-0000-0000-0000F93B0000}"/>
    <cellStyle name="Input 2 8 2 3 4" xfId="10218" xr:uid="{00000000-0005-0000-0000-0000FA3B0000}"/>
    <cellStyle name="Input 2 8 2 3 4 2" xfId="22311" xr:uid="{00000000-0005-0000-0000-0000FB3B0000}"/>
    <cellStyle name="Input 2 8 2 3 4 3" xfId="22312" xr:uid="{00000000-0005-0000-0000-0000FC3B0000}"/>
    <cellStyle name="Input 2 8 2 3 5" xfId="22313" xr:uid="{00000000-0005-0000-0000-0000FD3B0000}"/>
    <cellStyle name="Input 2 8 2 3 5 2" xfId="22314" xr:uid="{00000000-0005-0000-0000-0000FE3B0000}"/>
    <cellStyle name="Input 2 8 2 3 5 3" xfId="22315" xr:uid="{00000000-0005-0000-0000-0000FF3B0000}"/>
    <cellStyle name="Input 2 8 2 3 6" xfId="22316" xr:uid="{00000000-0005-0000-0000-0000003C0000}"/>
    <cellStyle name="Input 2 8 2 3 7" xfId="22317" xr:uid="{00000000-0005-0000-0000-0000013C0000}"/>
    <cellStyle name="Input 2 8 2 4" xfId="10220" xr:uid="{00000000-0005-0000-0000-0000023C0000}"/>
    <cellStyle name="Input 2 8 2 4 2" xfId="10225" xr:uid="{00000000-0005-0000-0000-0000033C0000}"/>
    <cellStyle name="Input 2 8 2 4 2 2" xfId="22318" xr:uid="{00000000-0005-0000-0000-0000043C0000}"/>
    <cellStyle name="Input 2 8 2 4 2 3" xfId="22321" xr:uid="{00000000-0005-0000-0000-0000053C0000}"/>
    <cellStyle name="Input 2 8 2 4 2 4" xfId="22323" xr:uid="{00000000-0005-0000-0000-0000063C0000}"/>
    <cellStyle name="Input 2 8 2 4 3" xfId="10227" xr:uid="{00000000-0005-0000-0000-0000073C0000}"/>
    <cellStyle name="Input 2 8 2 4 3 2" xfId="22324" xr:uid="{00000000-0005-0000-0000-0000083C0000}"/>
    <cellStyle name="Input 2 8 2 4 3 3" xfId="22326" xr:uid="{00000000-0005-0000-0000-0000093C0000}"/>
    <cellStyle name="Input 2 8 2 4 3 4" xfId="22327" xr:uid="{00000000-0005-0000-0000-00000A3C0000}"/>
    <cellStyle name="Input 2 8 2 4 4" xfId="22328" xr:uid="{00000000-0005-0000-0000-00000B3C0000}"/>
    <cellStyle name="Input 2 8 2 4 4 2" xfId="14097" xr:uid="{00000000-0005-0000-0000-00000C3C0000}"/>
    <cellStyle name="Input 2 8 2 4 4 3" xfId="22329" xr:uid="{00000000-0005-0000-0000-00000D3C0000}"/>
    <cellStyle name="Input 2 8 2 4 5" xfId="22330" xr:uid="{00000000-0005-0000-0000-00000E3C0000}"/>
    <cellStyle name="Input 2 8 2 4 5 2" xfId="22331" xr:uid="{00000000-0005-0000-0000-00000F3C0000}"/>
    <cellStyle name="Input 2 8 2 4 5 3" xfId="22332" xr:uid="{00000000-0005-0000-0000-0000103C0000}"/>
    <cellStyle name="Input 2 8 2 4 6" xfId="22333" xr:uid="{00000000-0005-0000-0000-0000113C0000}"/>
    <cellStyle name="Input 2 8 2 4 7" xfId="22334" xr:uid="{00000000-0005-0000-0000-0000123C0000}"/>
    <cellStyle name="Input 2 8 2 5" xfId="10229" xr:uid="{00000000-0005-0000-0000-0000133C0000}"/>
    <cellStyle name="Input 2 8 2 5 2" xfId="10233" xr:uid="{00000000-0005-0000-0000-0000143C0000}"/>
    <cellStyle name="Input 2 8 2 5 2 2" xfId="22335" xr:uid="{00000000-0005-0000-0000-0000153C0000}"/>
    <cellStyle name="Input 2 8 2 5 2 3" xfId="22338" xr:uid="{00000000-0005-0000-0000-0000163C0000}"/>
    <cellStyle name="Input 2 8 2 5 2 4" xfId="22340" xr:uid="{00000000-0005-0000-0000-0000173C0000}"/>
    <cellStyle name="Input 2 8 2 5 3" xfId="10236" xr:uid="{00000000-0005-0000-0000-0000183C0000}"/>
    <cellStyle name="Input 2 8 2 5 3 2" xfId="22342" xr:uid="{00000000-0005-0000-0000-0000193C0000}"/>
    <cellStyle name="Input 2 8 2 5 3 3" xfId="22344" xr:uid="{00000000-0005-0000-0000-00001A3C0000}"/>
    <cellStyle name="Input 2 8 2 5 3 4" xfId="22346" xr:uid="{00000000-0005-0000-0000-00001B3C0000}"/>
    <cellStyle name="Input 2 8 2 5 4" xfId="22348" xr:uid="{00000000-0005-0000-0000-00001C3C0000}"/>
    <cellStyle name="Input 2 8 2 5 4 2" xfId="22350" xr:uid="{00000000-0005-0000-0000-00001D3C0000}"/>
    <cellStyle name="Input 2 8 2 5 4 3" xfId="22352" xr:uid="{00000000-0005-0000-0000-00001E3C0000}"/>
    <cellStyle name="Input 2 8 2 5 5" xfId="22354" xr:uid="{00000000-0005-0000-0000-00001F3C0000}"/>
    <cellStyle name="Input 2 8 2 5 5 2" xfId="13745" xr:uid="{00000000-0005-0000-0000-0000203C0000}"/>
    <cellStyle name="Input 2 8 2 5 5 3" xfId="13755" xr:uid="{00000000-0005-0000-0000-0000213C0000}"/>
    <cellStyle name="Input 2 8 2 5 6" xfId="22356" xr:uid="{00000000-0005-0000-0000-0000223C0000}"/>
    <cellStyle name="Input 2 8 2 5 7" xfId="22358" xr:uid="{00000000-0005-0000-0000-0000233C0000}"/>
    <cellStyle name="Input 2 8 2 6" xfId="10239" xr:uid="{00000000-0005-0000-0000-0000243C0000}"/>
    <cellStyle name="Input 2 8 2 6 2" xfId="10770" xr:uid="{00000000-0005-0000-0000-0000253C0000}"/>
    <cellStyle name="Input 2 8 2 6 2 2" xfId="22360" xr:uid="{00000000-0005-0000-0000-0000263C0000}"/>
    <cellStyle name="Input 2 8 2 6 2 3" xfId="22363" xr:uid="{00000000-0005-0000-0000-0000273C0000}"/>
    <cellStyle name="Input 2 8 2 6 2 4" xfId="22365" xr:uid="{00000000-0005-0000-0000-0000283C0000}"/>
    <cellStyle name="Input 2 8 2 6 3" xfId="22367" xr:uid="{00000000-0005-0000-0000-0000293C0000}"/>
    <cellStyle name="Input 2 8 2 6 3 2" xfId="22369" xr:uid="{00000000-0005-0000-0000-00002A3C0000}"/>
    <cellStyle name="Input 2 8 2 6 3 3" xfId="22371" xr:uid="{00000000-0005-0000-0000-00002B3C0000}"/>
    <cellStyle name="Input 2 8 2 6 3 4" xfId="22373" xr:uid="{00000000-0005-0000-0000-00002C3C0000}"/>
    <cellStyle name="Input 2 8 2 6 4" xfId="22375" xr:uid="{00000000-0005-0000-0000-00002D3C0000}"/>
    <cellStyle name="Input 2 8 2 6 4 2" xfId="22377" xr:uid="{00000000-0005-0000-0000-00002E3C0000}"/>
    <cellStyle name="Input 2 8 2 6 4 3" xfId="22379" xr:uid="{00000000-0005-0000-0000-00002F3C0000}"/>
    <cellStyle name="Input 2 8 2 6 5" xfId="22381" xr:uid="{00000000-0005-0000-0000-0000303C0000}"/>
    <cellStyle name="Input 2 8 2 6 5 2" xfId="22383" xr:uid="{00000000-0005-0000-0000-0000313C0000}"/>
    <cellStyle name="Input 2 8 2 6 5 3" xfId="22385" xr:uid="{00000000-0005-0000-0000-0000323C0000}"/>
    <cellStyle name="Input 2 8 2 6 6" xfId="22387" xr:uid="{00000000-0005-0000-0000-0000333C0000}"/>
    <cellStyle name="Input 2 8 2 6 7" xfId="22389" xr:uid="{00000000-0005-0000-0000-0000343C0000}"/>
    <cellStyle name="Input 2 8 2 7" xfId="10241" xr:uid="{00000000-0005-0000-0000-0000353C0000}"/>
    <cellStyle name="Input 2 8 2 7 2" xfId="10831" xr:uid="{00000000-0005-0000-0000-0000363C0000}"/>
    <cellStyle name="Input 2 8 2 7 2 2" xfId="22391" xr:uid="{00000000-0005-0000-0000-0000373C0000}"/>
    <cellStyle name="Input 2 8 2 7 2 3" xfId="22394" xr:uid="{00000000-0005-0000-0000-0000383C0000}"/>
    <cellStyle name="Input 2 8 2 7 2 4" xfId="22398" xr:uid="{00000000-0005-0000-0000-0000393C0000}"/>
    <cellStyle name="Input 2 8 2 7 3" xfId="22401" xr:uid="{00000000-0005-0000-0000-00003A3C0000}"/>
    <cellStyle name="Input 2 8 2 7 3 2" xfId="22403" xr:uid="{00000000-0005-0000-0000-00003B3C0000}"/>
    <cellStyle name="Input 2 8 2 7 3 3" xfId="22404" xr:uid="{00000000-0005-0000-0000-00003C3C0000}"/>
    <cellStyle name="Input 2 8 2 7 3 4" xfId="22405" xr:uid="{00000000-0005-0000-0000-00003D3C0000}"/>
    <cellStyle name="Input 2 8 2 7 4" xfId="22406" xr:uid="{00000000-0005-0000-0000-00003E3C0000}"/>
    <cellStyle name="Input 2 8 2 7 4 2" xfId="22408" xr:uid="{00000000-0005-0000-0000-00003F3C0000}"/>
    <cellStyle name="Input 2 8 2 7 4 3" xfId="22409" xr:uid="{00000000-0005-0000-0000-0000403C0000}"/>
    <cellStyle name="Input 2 8 2 7 5" xfId="22410" xr:uid="{00000000-0005-0000-0000-0000413C0000}"/>
    <cellStyle name="Input 2 8 2 7 5 2" xfId="22411" xr:uid="{00000000-0005-0000-0000-0000423C0000}"/>
    <cellStyle name="Input 2 8 2 7 5 3" xfId="22412" xr:uid="{00000000-0005-0000-0000-0000433C0000}"/>
    <cellStyle name="Input 2 8 2 7 6" xfId="22413" xr:uid="{00000000-0005-0000-0000-0000443C0000}"/>
    <cellStyle name="Input 2 8 2 7 7" xfId="22414" xr:uid="{00000000-0005-0000-0000-0000453C0000}"/>
    <cellStyle name="Input 2 8 2 8" xfId="10244" xr:uid="{00000000-0005-0000-0000-0000463C0000}"/>
    <cellStyle name="Input 2 8 2 8 2" xfId="5430" xr:uid="{00000000-0005-0000-0000-0000473C0000}"/>
    <cellStyle name="Input 2 8 2 8 2 2" xfId="22416" xr:uid="{00000000-0005-0000-0000-0000483C0000}"/>
    <cellStyle name="Input 2 8 2 8 2 3" xfId="22419" xr:uid="{00000000-0005-0000-0000-0000493C0000}"/>
    <cellStyle name="Input 2 8 2 8 2 4" xfId="22422" xr:uid="{00000000-0005-0000-0000-00004A3C0000}"/>
    <cellStyle name="Input 2 8 2 8 3" xfId="22424" xr:uid="{00000000-0005-0000-0000-00004B3C0000}"/>
    <cellStyle name="Input 2 8 2 8 3 2" xfId="22426" xr:uid="{00000000-0005-0000-0000-00004C3C0000}"/>
    <cellStyle name="Input 2 8 2 8 3 3" xfId="22428" xr:uid="{00000000-0005-0000-0000-00004D3C0000}"/>
    <cellStyle name="Input 2 8 2 8 3 4" xfId="22430" xr:uid="{00000000-0005-0000-0000-00004E3C0000}"/>
    <cellStyle name="Input 2 8 2 8 4" xfId="22432" xr:uid="{00000000-0005-0000-0000-00004F3C0000}"/>
    <cellStyle name="Input 2 8 2 8 4 2" xfId="22435" xr:uid="{00000000-0005-0000-0000-0000503C0000}"/>
    <cellStyle name="Input 2 8 2 8 4 3" xfId="22437" xr:uid="{00000000-0005-0000-0000-0000513C0000}"/>
    <cellStyle name="Input 2 8 2 8 5" xfId="22439" xr:uid="{00000000-0005-0000-0000-0000523C0000}"/>
    <cellStyle name="Input 2 8 2 8 5 2" xfId="22441" xr:uid="{00000000-0005-0000-0000-0000533C0000}"/>
    <cellStyle name="Input 2 8 2 8 5 3" xfId="22443" xr:uid="{00000000-0005-0000-0000-0000543C0000}"/>
    <cellStyle name="Input 2 8 2 8 6" xfId="22445" xr:uid="{00000000-0005-0000-0000-0000553C0000}"/>
    <cellStyle name="Input 2 8 2 8 7" xfId="22447" xr:uid="{00000000-0005-0000-0000-0000563C0000}"/>
    <cellStyle name="Input 2 8 2 9" xfId="22449" xr:uid="{00000000-0005-0000-0000-0000573C0000}"/>
    <cellStyle name="Input 2 8 2 9 2" xfId="10889" xr:uid="{00000000-0005-0000-0000-0000583C0000}"/>
    <cellStyle name="Input 2 8 2 9 2 2" xfId="22453" xr:uid="{00000000-0005-0000-0000-0000593C0000}"/>
    <cellStyle name="Input 2 8 2 9 2 3" xfId="22458" xr:uid="{00000000-0005-0000-0000-00005A3C0000}"/>
    <cellStyle name="Input 2 8 2 9 2 4" xfId="22462" xr:uid="{00000000-0005-0000-0000-00005B3C0000}"/>
    <cellStyle name="Input 2 8 2 9 3" xfId="22464" xr:uid="{00000000-0005-0000-0000-00005C3C0000}"/>
    <cellStyle name="Input 2 8 2 9 3 2" xfId="22466" xr:uid="{00000000-0005-0000-0000-00005D3C0000}"/>
    <cellStyle name="Input 2 8 2 9 3 3" xfId="22469" xr:uid="{00000000-0005-0000-0000-00005E3C0000}"/>
    <cellStyle name="Input 2 8 2 9 3 4" xfId="22471" xr:uid="{00000000-0005-0000-0000-00005F3C0000}"/>
    <cellStyle name="Input 2 8 2 9 4" xfId="22473" xr:uid="{00000000-0005-0000-0000-0000603C0000}"/>
    <cellStyle name="Input 2 8 2 9 4 2" xfId="22476" xr:uid="{00000000-0005-0000-0000-0000613C0000}"/>
    <cellStyle name="Input 2 8 2 9 4 3" xfId="22479" xr:uid="{00000000-0005-0000-0000-0000623C0000}"/>
    <cellStyle name="Input 2 8 2 9 5" xfId="22481" xr:uid="{00000000-0005-0000-0000-0000633C0000}"/>
    <cellStyle name="Input 2 8 2 9 5 2" xfId="1054" xr:uid="{00000000-0005-0000-0000-0000643C0000}"/>
    <cellStyle name="Input 2 8 2 9 5 3" xfId="1588" xr:uid="{00000000-0005-0000-0000-0000653C0000}"/>
    <cellStyle name="Input 2 8 2 9 6" xfId="22483" xr:uid="{00000000-0005-0000-0000-0000663C0000}"/>
    <cellStyle name="Input 2 8 2 9 7" xfId="22485" xr:uid="{00000000-0005-0000-0000-0000673C0000}"/>
    <cellStyle name="Input 2 8 20" xfId="22264" xr:uid="{00000000-0005-0000-0000-0000683C0000}"/>
    <cellStyle name="Input 2 8 3" xfId="22486" xr:uid="{00000000-0005-0000-0000-0000693C0000}"/>
    <cellStyle name="Input 2 8 3 10" xfId="10419" xr:uid="{00000000-0005-0000-0000-00006A3C0000}"/>
    <cellStyle name="Input 2 8 3 10 2" xfId="10422" xr:uid="{00000000-0005-0000-0000-00006B3C0000}"/>
    <cellStyle name="Input 2 8 3 10 2 2" xfId="16191" xr:uid="{00000000-0005-0000-0000-00006C3C0000}"/>
    <cellStyle name="Input 2 8 3 10 2 3" xfId="16195" xr:uid="{00000000-0005-0000-0000-00006D3C0000}"/>
    <cellStyle name="Input 2 8 3 10 2 4" xfId="16197" xr:uid="{00000000-0005-0000-0000-00006E3C0000}"/>
    <cellStyle name="Input 2 8 3 10 3" xfId="10425" xr:uid="{00000000-0005-0000-0000-00006F3C0000}"/>
    <cellStyle name="Input 2 8 3 10 3 2" xfId="22487" xr:uid="{00000000-0005-0000-0000-0000703C0000}"/>
    <cellStyle name="Input 2 8 3 10 3 3" xfId="22488" xr:uid="{00000000-0005-0000-0000-0000713C0000}"/>
    <cellStyle name="Input 2 8 3 10 3 4" xfId="22489" xr:uid="{00000000-0005-0000-0000-0000723C0000}"/>
    <cellStyle name="Input 2 8 3 10 4" xfId="22492" xr:uid="{00000000-0005-0000-0000-0000733C0000}"/>
    <cellStyle name="Input 2 8 3 10 4 2" xfId="22493" xr:uid="{00000000-0005-0000-0000-0000743C0000}"/>
    <cellStyle name="Input 2 8 3 10 4 3" xfId="22494" xr:uid="{00000000-0005-0000-0000-0000753C0000}"/>
    <cellStyle name="Input 2 8 3 10 5" xfId="22495" xr:uid="{00000000-0005-0000-0000-0000763C0000}"/>
    <cellStyle name="Input 2 8 3 10 5 2" xfId="22496" xr:uid="{00000000-0005-0000-0000-0000773C0000}"/>
    <cellStyle name="Input 2 8 3 10 5 3" xfId="22497" xr:uid="{00000000-0005-0000-0000-0000783C0000}"/>
    <cellStyle name="Input 2 8 3 10 6" xfId="22498" xr:uid="{00000000-0005-0000-0000-0000793C0000}"/>
    <cellStyle name="Input 2 8 3 10 7" xfId="15670" xr:uid="{00000000-0005-0000-0000-00007A3C0000}"/>
    <cellStyle name="Input 2 8 3 11" xfId="10427" xr:uid="{00000000-0005-0000-0000-00007B3C0000}"/>
    <cellStyle name="Input 2 8 3 11 2" xfId="10995" xr:uid="{00000000-0005-0000-0000-00007C3C0000}"/>
    <cellStyle name="Input 2 8 3 11 3" xfId="22499" xr:uid="{00000000-0005-0000-0000-00007D3C0000}"/>
    <cellStyle name="Input 2 8 3 11 4" xfId="22500" xr:uid="{00000000-0005-0000-0000-00007E3C0000}"/>
    <cellStyle name="Input 2 8 3 12" xfId="10429" xr:uid="{00000000-0005-0000-0000-00007F3C0000}"/>
    <cellStyle name="Input 2 8 3 12 2" xfId="22501" xr:uid="{00000000-0005-0000-0000-0000803C0000}"/>
    <cellStyle name="Input 2 8 3 12 3" xfId="22503" xr:uid="{00000000-0005-0000-0000-0000813C0000}"/>
    <cellStyle name="Input 2 8 3 12 4" xfId="22504" xr:uid="{00000000-0005-0000-0000-0000823C0000}"/>
    <cellStyle name="Input 2 8 3 13" xfId="22505" xr:uid="{00000000-0005-0000-0000-0000833C0000}"/>
    <cellStyle name="Input 2 8 3 13 2" xfId="22506" xr:uid="{00000000-0005-0000-0000-0000843C0000}"/>
    <cellStyle name="Input 2 8 3 13 3" xfId="22507" xr:uid="{00000000-0005-0000-0000-0000853C0000}"/>
    <cellStyle name="Input 2 8 3 14" xfId="22508" xr:uid="{00000000-0005-0000-0000-0000863C0000}"/>
    <cellStyle name="Input 2 8 3 14 2" xfId="22509" xr:uid="{00000000-0005-0000-0000-0000873C0000}"/>
    <cellStyle name="Input 2 8 3 14 3" xfId="22510" xr:uid="{00000000-0005-0000-0000-0000883C0000}"/>
    <cellStyle name="Input 2 8 3 15" xfId="22511" xr:uid="{00000000-0005-0000-0000-0000893C0000}"/>
    <cellStyle name="Input 2 8 3 16" xfId="22512" xr:uid="{00000000-0005-0000-0000-00008A3C0000}"/>
    <cellStyle name="Input 2 8 3 2" xfId="17841" xr:uid="{00000000-0005-0000-0000-00008B3C0000}"/>
    <cellStyle name="Input 2 8 3 2 2" xfId="11207" xr:uid="{00000000-0005-0000-0000-00008C3C0000}"/>
    <cellStyle name="Input 2 8 3 2 2 2" xfId="11209" xr:uid="{00000000-0005-0000-0000-00008D3C0000}"/>
    <cellStyle name="Input 2 8 3 2 2 3" xfId="11215" xr:uid="{00000000-0005-0000-0000-00008E3C0000}"/>
    <cellStyle name="Input 2 8 3 2 2 4" xfId="11221" xr:uid="{00000000-0005-0000-0000-00008F3C0000}"/>
    <cellStyle name="Input 2 8 3 2 3" xfId="11235" xr:uid="{00000000-0005-0000-0000-0000903C0000}"/>
    <cellStyle name="Input 2 8 3 2 3 2" xfId="11237" xr:uid="{00000000-0005-0000-0000-0000913C0000}"/>
    <cellStyle name="Input 2 8 3 2 3 3" xfId="11245" xr:uid="{00000000-0005-0000-0000-0000923C0000}"/>
    <cellStyle name="Input 2 8 3 2 3 4" xfId="11249" xr:uid="{00000000-0005-0000-0000-0000933C0000}"/>
    <cellStyle name="Input 2 8 3 2 4" xfId="22513" xr:uid="{00000000-0005-0000-0000-0000943C0000}"/>
    <cellStyle name="Input 2 8 3 2 4 2" xfId="22514" xr:uid="{00000000-0005-0000-0000-0000953C0000}"/>
    <cellStyle name="Input 2 8 3 2 4 3" xfId="22515" xr:uid="{00000000-0005-0000-0000-0000963C0000}"/>
    <cellStyle name="Input 2 8 3 2 5" xfId="22516" xr:uid="{00000000-0005-0000-0000-0000973C0000}"/>
    <cellStyle name="Input 2 8 3 2 5 2" xfId="22517" xr:uid="{00000000-0005-0000-0000-0000983C0000}"/>
    <cellStyle name="Input 2 8 3 2 5 3" xfId="22518" xr:uid="{00000000-0005-0000-0000-0000993C0000}"/>
    <cellStyle name="Input 2 8 3 2 6" xfId="22519" xr:uid="{00000000-0005-0000-0000-00009A3C0000}"/>
    <cellStyle name="Input 2 8 3 2 7" xfId="22522" xr:uid="{00000000-0005-0000-0000-00009B3C0000}"/>
    <cellStyle name="Input 2 8 3 3" xfId="17844" xr:uid="{00000000-0005-0000-0000-00009C3C0000}"/>
    <cellStyle name="Input 2 8 3 3 2" xfId="11491" xr:uid="{00000000-0005-0000-0000-00009D3C0000}"/>
    <cellStyle name="Input 2 8 3 3 2 2" xfId="11493" xr:uid="{00000000-0005-0000-0000-00009E3C0000}"/>
    <cellStyle name="Input 2 8 3 3 2 3" xfId="11498" xr:uid="{00000000-0005-0000-0000-00009F3C0000}"/>
    <cellStyle name="Input 2 8 3 3 2 4" xfId="11503" xr:uid="{00000000-0005-0000-0000-0000A03C0000}"/>
    <cellStyle name="Input 2 8 3 3 3" xfId="11510" xr:uid="{00000000-0005-0000-0000-0000A13C0000}"/>
    <cellStyle name="Input 2 8 3 3 3 2" xfId="11512" xr:uid="{00000000-0005-0000-0000-0000A23C0000}"/>
    <cellStyle name="Input 2 8 3 3 3 3" xfId="11517" xr:uid="{00000000-0005-0000-0000-0000A33C0000}"/>
    <cellStyle name="Input 2 8 3 3 3 4" xfId="11520" xr:uid="{00000000-0005-0000-0000-0000A43C0000}"/>
    <cellStyle name="Input 2 8 3 3 4" xfId="22525" xr:uid="{00000000-0005-0000-0000-0000A53C0000}"/>
    <cellStyle name="Input 2 8 3 3 4 2" xfId="22526" xr:uid="{00000000-0005-0000-0000-0000A63C0000}"/>
    <cellStyle name="Input 2 8 3 3 4 3" xfId="22527" xr:uid="{00000000-0005-0000-0000-0000A73C0000}"/>
    <cellStyle name="Input 2 8 3 3 5" xfId="22528" xr:uid="{00000000-0005-0000-0000-0000A83C0000}"/>
    <cellStyle name="Input 2 8 3 3 5 2" xfId="22529" xr:uid="{00000000-0005-0000-0000-0000A93C0000}"/>
    <cellStyle name="Input 2 8 3 3 5 3" xfId="22531" xr:uid="{00000000-0005-0000-0000-0000AA3C0000}"/>
    <cellStyle name="Input 2 8 3 3 6" xfId="22533" xr:uid="{00000000-0005-0000-0000-0000AB3C0000}"/>
    <cellStyle name="Input 2 8 3 3 7" xfId="22535" xr:uid="{00000000-0005-0000-0000-0000AC3C0000}"/>
    <cellStyle name="Input 2 8 3 4" xfId="22537" xr:uid="{00000000-0005-0000-0000-0000AD3C0000}"/>
    <cellStyle name="Input 2 8 3 4 2" xfId="22540" xr:uid="{00000000-0005-0000-0000-0000AE3C0000}"/>
    <cellStyle name="Input 2 8 3 4 2 2" xfId="22541" xr:uid="{00000000-0005-0000-0000-0000AF3C0000}"/>
    <cellStyle name="Input 2 8 3 4 2 3" xfId="22542" xr:uid="{00000000-0005-0000-0000-0000B03C0000}"/>
    <cellStyle name="Input 2 8 3 4 2 4" xfId="22544" xr:uid="{00000000-0005-0000-0000-0000B13C0000}"/>
    <cellStyle name="Input 2 8 3 4 3" xfId="22546" xr:uid="{00000000-0005-0000-0000-0000B23C0000}"/>
    <cellStyle name="Input 2 8 3 4 3 2" xfId="22547" xr:uid="{00000000-0005-0000-0000-0000B33C0000}"/>
    <cellStyle name="Input 2 8 3 4 3 3" xfId="14711" xr:uid="{00000000-0005-0000-0000-0000B43C0000}"/>
    <cellStyle name="Input 2 8 3 4 3 4" xfId="14739" xr:uid="{00000000-0005-0000-0000-0000B53C0000}"/>
    <cellStyle name="Input 2 8 3 4 4" xfId="22548" xr:uid="{00000000-0005-0000-0000-0000B63C0000}"/>
    <cellStyle name="Input 2 8 3 4 4 2" xfId="22549" xr:uid="{00000000-0005-0000-0000-0000B73C0000}"/>
    <cellStyle name="Input 2 8 3 4 4 3" xfId="22550" xr:uid="{00000000-0005-0000-0000-0000B83C0000}"/>
    <cellStyle name="Input 2 8 3 4 5" xfId="22551" xr:uid="{00000000-0005-0000-0000-0000B93C0000}"/>
    <cellStyle name="Input 2 8 3 4 5 2" xfId="22552" xr:uid="{00000000-0005-0000-0000-0000BA3C0000}"/>
    <cellStyle name="Input 2 8 3 4 5 3" xfId="22553" xr:uid="{00000000-0005-0000-0000-0000BB3C0000}"/>
    <cellStyle name="Input 2 8 3 4 6" xfId="22554" xr:uid="{00000000-0005-0000-0000-0000BC3C0000}"/>
    <cellStyle name="Input 2 8 3 4 7" xfId="22555" xr:uid="{00000000-0005-0000-0000-0000BD3C0000}"/>
    <cellStyle name="Input 2 8 3 5" xfId="22556" xr:uid="{00000000-0005-0000-0000-0000BE3C0000}"/>
    <cellStyle name="Input 2 8 3 5 2" xfId="22558" xr:uid="{00000000-0005-0000-0000-0000BF3C0000}"/>
    <cellStyle name="Input 2 8 3 5 2 2" xfId="22560" xr:uid="{00000000-0005-0000-0000-0000C03C0000}"/>
    <cellStyle name="Input 2 8 3 5 2 3" xfId="22562" xr:uid="{00000000-0005-0000-0000-0000C13C0000}"/>
    <cellStyle name="Input 2 8 3 5 2 4" xfId="22564" xr:uid="{00000000-0005-0000-0000-0000C23C0000}"/>
    <cellStyle name="Input 2 8 3 5 3" xfId="22567" xr:uid="{00000000-0005-0000-0000-0000C33C0000}"/>
    <cellStyle name="Input 2 8 3 5 3 2" xfId="22569" xr:uid="{00000000-0005-0000-0000-0000C43C0000}"/>
    <cellStyle name="Input 2 8 3 5 3 3" xfId="22572" xr:uid="{00000000-0005-0000-0000-0000C53C0000}"/>
    <cellStyle name="Input 2 8 3 5 3 4" xfId="22575" xr:uid="{00000000-0005-0000-0000-0000C63C0000}"/>
    <cellStyle name="Input 2 8 3 5 4" xfId="22578" xr:uid="{00000000-0005-0000-0000-0000C73C0000}"/>
    <cellStyle name="Input 2 8 3 5 4 2" xfId="22580" xr:uid="{00000000-0005-0000-0000-0000C83C0000}"/>
    <cellStyle name="Input 2 8 3 5 4 3" xfId="22583" xr:uid="{00000000-0005-0000-0000-0000C93C0000}"/>
    <cellStyle name="Input 2 8 3 5 5" xfId="22586" xr:uid="{00000000-0005-0000-0000-0000CA3C0000}"/>
    <cellStyle name="Input 2 8 3 5 5 2" xfId="22588" xr:uid="{00000000-0005-0000-0000-0000CB3C0000}"/>
    <cellStyle name="Input 2 8 3 5 5 3" xfId="22591" xr:uid="{00000000-0005-0000-0000-0000CC3C0000}"/>
    <cellStyle name="Input 2 8 3 5 6" xfId="22593" xr:uid="{00000000-0005-0000-0000-0000CD3C0000}"/>
    <cellStyle name="Input 2 8 3 5 7" xfId="22595" xr:uid="{00000000-0005-0000-0000-0000CE3C0000}"/>
    <cellStyle name="Input 2 8 3 6" xfId="22597" xr:uid="{00000000-0005-0000-0000-0000CF3C0000}"/>
    <cellStyle name="Input 2 8 3 6 2" xfId="22598" xr:uid="{00000000-0005-0000-0000-0000D03C0000}"/>
    <cellStyle name="Input 2 8 3 6 2 2" xfId="22600" xr:uid="{00000000-0005-0000-0000-0000D13C0000}"/>
    <cellStyle name="Input 2 8 3 6 2 3" xfId="7620" xr:uid="{00000000-0005-0000-0000-0000D23C0000}"/>
    <cellStyle name="Input 2 8 3 6 2 4" xfId="7671" xr:uid="{00000000-0005-0000-0000-0000D33C0000}"/>
    <cellStyle name="Input 2 8 3 6 3" xfId="22602" xr:uid="{00000000-0005-0000-0000-0000D43C0000}"/>
    <cellStyle name="Input 2 8 3 6 3 2" xfId="22604" xr:uid="{00000000-0005-0000-0000-0000D53C0000}"/>
    <cellStyle name="Input 2 8 3 6 3 3" xfId="7934" xr:uid="{00000000-0005-0000-0000-0000D63C0000}"/>
    <cellStyle name="Input 2 8 3 6 3 4" xfId="7953" xr:uid="{00000000-0005-0000-0000-0000D73C0000}"/>
    <cellStyle name="Input 2 8 3 6 4" xfId="22606" xr:uid="{00000000-0005-0000-0000-0000D83C0000}"/>
    <cellStyle name="Input 2 8 3 6 4 2" xfId="22608" xr:uid="{00000000-0005-0000-0000-0000D93C0000}"/>
    <cellStyle name="Input 2 8 3 6 4 3" xfId="7991" xr:uid="{00000000-0005-0000-0000-0000DA3C0000}"/>
    <cellStyle name="Input 2 8 3 6 5" xfId="22610" xr:uid="{00000000-0005-0000-0000-0000DB3C0000}"/>
    <cellStyle name="Input 2 8 3 6 5 2" xfId="22612" xr:uid="{00000000-0005-0000-0000-0000DC3C0000}"/>
    <cellStyle name="Input 2 8 3 6 5 3" xfId="8042" xr:uid="{00000000-0005-0000-0000-0000DD3C0000}"/>
    <cellStyle name="Input 2 8 3 6 6" xfId="22614" xr:uid="{00000000-0005-0000-0000-0000DE3C0000}"/>
    <cellStyle name="Input 2 8 3 6 7" xfId="22616" xr:uid="{00000000-0005-0000-0000-0000DF3C0000}"/>
    <cellStyle name="Input 2 8 3 7" xfId="22618" xr:uid="{00000000-0005-0000-0000-0000E03C0000}"/>
    <cellStyle name="Input 2 8 3 7 2" xfId="22620" xr:uid="{00000000-0005-0000-0000-0000E13C0000}"/>
    <cellStyle name="Input 2 8 3 7 2 2" xfId="22622" xr:uid="{00000000-0005-0000-0000-0000E23C0000}"/>
    <cellStyle name="Input 2 8 3 7 2 3" xfId="8667" xr:uid="{00000000-0005-0000-0000-0000E33C0000}"/>
    <cellStyle name="Input 2 8 3 7 2 4" xfId="8689" xr:uid="{00000000-0005-0000-0000-0000E43C0000}"/>
    <cellStyle name="Input 2 8 3 7 3" xfId="22626" xr:uid="{00000000-0005-0000-0000-0000E53C0000}"/>
    <cellStyle name="Input 2 8 3 7 3 2" xfId="22628" xr:uid="{00000000-0005-0000-0000-0000E63C0000}"/>
    <cellStyle name="Input 2 8 3 7 3 3" xfId="8835" xr:uid="{00000000-0005-0000-0000-0000E73C0000}"/>
    <cellStyle name="Input 2 8 3 7 3 4" xfId="8865" xr:uid="{00000000-0005-0000-0000-0000E83C0000}"/>
    <cellStyle name="Input 2 8 3 7 4" xfId="22629" xr:uid="{00000000-0005-0000-0000-0000E93C0000}"/>
    <cellStyle name="Input 2 8 3 7 4 2" xfId="22631" xr:uid="{00000000-0005-0000-0000-0000EA3C0000}"/>
    <cellStyle name="Input 2 8 3 7 4 3" xfId="8892" xr:uid="{00000000-0005-0000-0000-0000EB3C0000}"/>
    <cellStyle name="Input 2 8 3 7 5" xfId="22632" xr:uid="{00000000-0005-0000-0000-0000EC3C0000}"/>
    <cellStyle name="Input 2 8 3 7 5 2" xfId="22633" xr:uid="{00000000-0005-0000-0000-0000ED3C0000}"/>
    <cellStyle name="Input 2 8 3 7 5 3" xfId="8929" xr:uid="{00000000-0005-0000-0000-0000EE3C0000}"/>
    <cellStyle name="Input 2 8 3 7 6" xfId="22634" xr:uid="{00000000-0005-0000-0000-0000EF3C0000}"/>
    <cellStyle name="Input 2 8 3 7 7" xfId="22635" xr:uid="{00000000-0005-0000-0000-0000F03C0000}"/>
    <cellStyle name="Input 2 8 3 8" xfId="22637" xr:uid="{00000000-0005-0000-0000-0000F13C0000}"/>
    <cellStyle name="Input 2 8 3 8 2" xfId="22639" xr:uid="{00000000-0005-0000-0000-0000F23C0000}"/>
    <cellStyle name="Input 2 8 3 8 2 2" xfId="22641" xr:uid="{00000000-0005-0000-0000-0000F33C0000}"/>
    <cellStyle name="Input 2 8 3 8 2 3" xfId="9616" xr:uid="{00000000-0005-0000-0000-0000F43C0000}"/>
    <cellStyle name="Input 2 8 3 8 2 4" xfId="9646" xr:uid="{00000000-0005-0000-0000-0000F53C0000}"/>
    <cellStyle name="Input 2 8 3 8 3" xfId="22645" xr:uid="{00000000-0005-0000-0000-0000F63C0000}"/>
    <cellStyle name="Input 2 8 3 8 3 2" xfId="22647" xr:uid="{00000000-0005-0000-0000-0000F73C0000}"/>
    <cellStyle name="Input 2 8 3 8 3 3" xfId="9823" xr:uid="{00000000-0005-0000-0000-0000F83C0000}"/>
    <cellStyle name="Input 2 8 3 8 3 4" xfId="9832" xr:uid="{00000000-0005-0000-0000-0000F93C0000}"/>
    <cellStyle name="Input 2 8 3 8 4" xfId="22649" xr:uid="{00000000-0005-0000-0000-0000FA3C0000}"/>
    <cellStyle name="Input 2 8 3 8 4 2" xfId="22652" xr:uid="{00000000-0005-0000-0000-0000FB3C0000}"/>
    <cellStyle name="Input 2 8 3 8 4 3" xfId="9852" xr:uid="{00000000-0005-0000-0000-0000FC3C0000}"/>
    <cellStyle name="Input 2 8 3 8 5" xfId="22654" xr:uid="{00000000-0005-0000-0000-0000FD3C0000}"/>
    <cellStyle name="Input 2 8 3 8 5 2" xfId="22656" xr:uid="{00000000-0005-0000-0000-0000FE3C0000}"/>
    <cellStyle name="Input 2 8 3 8 5 3" xfId="9894" xr:uid="{00000000-0005-0000-0000-0000FF3C0000}"/>
    <cellStyle name="Input 2 8 3 8 6" xfId="22659" xr:uid="{00000000-0005-0000-0000-0000003D0000}"/>
    <cellStyle name="Input 2 8 3 8 7" xfId="22661" xr:uid="{00000000-0005-0000-0000-0000013D0000}"/>
    <cellStyle name="Input 2 8 3 9" xfId="22663" xr:uid="{00000000-0005-0000-0000-0000023D0000}"/>
    <cellStyle name="Input 2 8 3 9 2" xfId="22664" xr:uid="{00000000-0005-0000-0000-0000033D0000}"/>
    <cellStyle name="Input 2 8 3 9 2 2" xfId="22666" xr:uid="{00000000-0005-0000-0000-0000043D0000}"/>
    <cellStyle name="Input 2 8 3 9 2 3" xfId="10496" xr:uid="{00000000-0005-0000-0000-0000053D0000}"/>
    <cellStyle name="Input 2 8 3 9 2 4" xfId="10518" xr:uid="{00000000-0005-0000-0000-0000063D0000}"/>
    <cellStyle name="Input 2 8 3 9 3" xfId="22671" xr:uid="{00000000-0005-0000-0000-0000073D0000}"/>
    <cellStyle name="Input 2 8 3 9 3 2" xfId="22673" xr:uid="{00000000-0005-0000-0000-0000083D0000}"/>
    <cellStyle name="Input 2 8 3 9 3 3" xfId="10692" xr:uid="{00000000-0005-0000-0000-0000093D0000}"/>
    <cellStyle name="Input 2 8 3 9 3 4" xfId="10704" xr:uid="{00000000-0005-0000-0000-00000A3D0000}"/>
    <cellStyle name="Input 2 8 3 9 4" xfId="22675" xr:uid="{00000000-0005-0000-0000-00000B3D0000}"/>
    <cellStyle name="Input 2 8 3 9 4 2" xfId="22678" xr:uid="{00000000-0005-0000-0000-00000C3D0000}"/>
    <cellStyle name="Input 2 8 3 9 4 3" xfId="10732" xr:uid="{00000000-0005-0000-0000-00000D3D0000}"/>
    <cellStyle name="Input 2 8 3 9 5" xfId="22680" xr:uid="{00000000-0005-0000-0000-00000E3D0000}"/>
    <cellStyle name="Input 2 8 3 9 5 2" xfId="833" xr:uid="{00000000-0005-0000-0000-00000F3D0000}"/>
    <cellStyle name="Input 2 8 3 9 5 3" xfId="978" xr:uid="{00000000-0005-0000-0000-0000103D0000}"/>
    <cellStyle name="Input 2 8 3 9 6" xfId="22682" xr:uid="{00000000-0005-0000-0000-0000113D0000}"/>
    <cellStyle name="Input 2 8 3 9 7" xfId="22684" xr:uid="{00000000-0005-0000-0000-0000123D0000}"/>
    <cellStyle name="Input 2 8 4" xfId="22685" xr:uid="{00000000-0005-0000-0000-0000133D0000}"/>
    <cellStyle name="Input 2 8 4 2" xfId="17877" xr:uid="{00000000-0005-0000-0000-0000143D0000}"/>
    <cellStyle name="Input 2 8 4 2 2" xfId="12072" xr:uid="{00000000-0005-0000-0000-0000153D0000}"/>
    <cellStyle name="Input 2 8 4 2 3" xfId="12110" xr:uid="{00000000-0005-0000-0000-0000163D0000}"/>
    <cellStyle name="Input 2 8 4 2 4" xfId="22686" xr:uid="{00000000-0005-0000-0000-0000173D0000}"/>
    <cellStyle name="Input 2 8 4 3" xfId="17880" xr:uid="{00000000-0005-0000-0000-0000183D0000}"/>
    <cellStyle name="Input 2 8 4 3 2" xfId="12372" xr:uid="{00000000-0005-0000-0000-0000193D0000}"/>
    <cellStyle name="Input 2 8 4 3 3" xfId="12423" xr:uid="{00000000-0005-0000-0000-00001A3D0000}"/>
    <cellStyle name="Input 2 8 4 3 4" xfId="22687" xr:uid="{00000000-0005-0000-0000-00001B3D0000}"/>
    <cellStyle name="Input 2 8 4 4" xfId="22688" xr:uid="{00000000-0005-0000-0000-00001C3D0000}"/>
    <cellStyle name="Input 2 8 4 4 2" xfId="14729" xr:uid="{00000000-0005-0000-0000-00001D3D0000}"/>
    <cellStyle name="Input 2 8 4 4 3" xfId="14734" xr:uid="{00000000-0005-0000-0000-00001E3D0000}"/>
    <cellStyle name="Input 2 8 4 5" xfId="22691" xr:uid="{00000000-0005-0000-0000-00001F3D0000}"/>
    <cellStyle name="Input 2 8 4 5 2" xfId="22693" xr:uid="{00000000-0005-0000-0000-0000203D0000}"/>
    <cellStyle name="Input 2 8 4 5 3" xfId="22695" xr:uid="{00000000-0005-0000-0000-0000213D0000}"/>
    <cellStyle name="Input 2 8 4 6" xfId="22697" xr:uid="{00000000-0005-0000-0000-0000223D0000}"/>
    <cellStyle name="Input 2 8 4 7" xfId="11212" xr:uid="{00000000-0005-0000-0000-0000233D0000}"/>
    <cellStyle name="Input 2 8 5" xfId="22698" xr:uid="{00000000-0005-0000-0000-0000243D0000}"/>
    <cellStyle name="Input 2 8 5 2" xfId="542" xr:uid="{00000000-0005-0000-0000-0000253D0000}"/>
    <cellStyle name="Input 2 8 5 2 2" xfId="12972" xr:uid="{00000000-0005-0000-0000-0000263D0000}"/>
    <cellStyle name="Input 2 8 5 2 3" xfId="13014" xr:uid="{00000000-0005-0000-0000-0000273D0000}"/>
    <cellStyle name="Input 2 8 5 2 4" xfId="22699" xr:uid="{00000000-0005-0000-0000-0000283D0000}"/>
    <cellStyle name="Input 2 8 5 3" xfId="17898" xr:uid="{00000000-0005-0000-0000-0000293D0000}"/>
    <cellStyle name="Input 2 8 5 3 2" xfId="13215" xr:uid="{00000000-0005-0000-0000-00002A3D0000}"/>
    <cellStyle name="Input 2 8 5 3 3" xfId="13271" xr:uid="{00000000-0005-0000-0000-00002B3D0000}"/>
    <cellStyle name="Input 2 8 5 3 4" xfId="22700" xr:uid="{00000000-0005-0000-0000-00002C3D0000}"/>
    <cellStyle name="Input 2 8 5 4" xfId="22701" xr:uid="{00000000-0005-0000-0000-00002D3D0000}"/>
    <cellStyle name="Input 2 8 5 4 2" xfId="22702" xr:uid="{00000000-0005-0000-0000-00002E3D0000}"/>
    <cellStyle name="Input 2 8 5 4 3" xfId="22703" xr:uid="{00000000-0005-0000-0000-00002F3D0000}"/>
    <cellStyle name="Input 2 8 5 5" xfId="22704" xr:uid="{00000000-0005-0000-0000-0000303D0000}"/>
    <cellStyle name="Input 2 8 5 5 2" xfId="22705" xr:uid="{00000000-0005-0000-0000-0000313D0000}"/>
    <cellStyle name="Input 2 8 5 5 3" xfId="22707" xr:uid="{00000000-0005-0000-0000-0000323D0000}"/>
    <cellStyle name="Input 2 8 5 6" xfId="22709" xr:uid="{00000000-0005-0000-0000-0000333D0000}"/>
    <cellStyle name="Input 2 8 5 7" xfId="11219" xr:uid="{00000000-0005-0000-0000-0000343D0000}"/>
    <cellStyle name="Input 2 8 6" xfId="22710" xr:uid="{00000000-0005-0000-0000-0000353D0000}"/>
    <cellStyle name="Input 2 8 6 2" xfId="4509" xr:uid="{00000000-0005-0000-0000-0000363D0000}"/>
    <cellStyle name="Input 2 8 6 2 2" xfId="13671" xr:uid="{00000000-0005-0000-0000-0000373D0000}"/>
    <cellStyle name="Input 2 8 6 2 3" xfId="10159" xr:uid="{00000000-0005-0000-0000-0000383D0000}"/>
    <cellStyle name="Input 2 8 6 2 4" xfId="22711" xr:uid="{00000000-0005-0000-0000-0000393D0000}"/>
    <cellStyle name="Input 2 8 6 3" xfId="17908" xr:uid="{00000000-0005-0000-0000-00003A3D0000}"/>
    <cellStyle name="Input 2 8 6 3 2" xfId="13881" xr:uid="{00000000-0005-0000-0000-00003B3D0000}"/>
    <cellStyle name="Input 2 8 6 3 3" xfId="10166" xr:uid="{00000000-0005-0000-0000-00003C3D0000}"/>
    <cellStyle name="Input 2 8 6 3 4" xfId="22713" xr:uid="{00000000-0005-0000-0000-00003D3D0000}"/>
    <cellStyle name="Input 2 8 6 4" xfId="22714" xr:uid="{00000000-0005-0000-0000-00003E3D0000}"/>
    <cellStyle name="Input 2 8 6 4 2" xfId="3026" xr:uid="{00000000-0005-0000-0000-00003F3D0000}"/>
    <cellStyle name="Input 2 8 6 4 3" xfId="3030" xr:uid="{00000000-0005-0000-0000-0000403D0000}"/>
    <cellStyle name="Input 2 8 6 5" xfId="22715" xr:uid="{00000000-0005-0000-0000-0000413D0000}"/>
    <cellStyle name="Input 2 8 6 5 2" xfId="3043" xr:uid="{00000000-0005-0000-0000-0000423D0000}"/>
    <cellStyle name="Input 2 8 6 5 3" xfId="3047" xr:uid="{00000000-0005-0000-0000-0000433D0000}"/>
    <cellStyle name="Input 2 8 6 6" xfId="22717" xr:uid="{00000000-0005-0000-0000-0000443D0000}"/>
    <cellStyle name="Input 2 8 6 7" xfId="11226" xr:uid="{00000000-0005-0000-0000-0000453D0000}"/>
    <cellStyle name="Input 2 8 7" xfId="22719" xr:uid="{00000000-0005-0000-0000-0000463D0000}"/>
    <cellStyle name="Input 2 8 7 2" xfId="13" xr:uid="{00000000-0005-0000-0000-0000473D0000}"/>
    <cellStyle name="Input 2 8 7 2 2" xfId="10457" xr:uid="{00000000-0005-0000-0000-0000483D0000}"/>
    <cellStyle name="Input 2 8 7 2 3" xfId="10459" xr:uid="{00000000-0005-0000-0000-0000493D0000}"/>
    <cellStyle name="Input 2 8 7 2 4" xfId="10461" xr:uid="{00000000-0005-0000-0000-00004A3D0000}"/>
    <cellStyle name="Input 2 8 7 3" xfId="10464" xr:uid="{00000000-0005-0000-0000-00004B3D0000}"/>
    <cellStyle name="Input 2 8 7 3 2" xfId="10466" xr:uid="{00000000-0005-0000-0000-00004C3D0000}"/>
    <cellStyle name="Input 2 8 7 3 3" xfId="10468" xr:uid="{00000000-0005-0000-0000-00004D3D0000}"/>
    <cellStyle name="Input 2 8 7 3 4" xfId="10470" xr:uid="{00000000-0005-0000-0000-00004E3D0000}"/>
    <cellStyle name="Input 2 8 7 4" xfId="10472" xr:uid="{00000000-0005-0000-0000-00004F3D0000}"/>
    <cellStyle name="Input 2 8 7 4 2" xfId="10476" xr:uid="{00000000-0005-0000-0000-0000503D0000}"/>
    <cellStyle name="Input 2 8 7 4 3" xfId="10479" xr:uid="{00000000-0005-0000-0000-0000513D0000}"/>
    <cellStyle name="Input 2 8 7 5" xfId="10481" xr:uid="{00000000-0005-0000-0000-0000523D0000}"/>
    <cellStyle name="Input 2 8 7 5 2" xfId="10484" xr:uid="{00000000-0005-0000-0000-0000533D0000}"/>
    <cellStyle name="Input 2 8 7 5 3" xfId="10486" xr:uid="{00000000-0005-0000-0000-0000543D0000}"/>
    <cellStyle name="Input 2 8 7 6" xfId="10488" xr:uid="{00000000-0005-0000-0000-0000553D0000}"/>
    <cellStyle name="Input 2 8 7 7" xfId="10492" xr:uid="{00000000-0005-0000-0000-0000563D0000}"/>
    <cellStyle name="Input 2 8 8" xfId="4844" xr:uid="{00000000-0005-0000-0000-0000573D0000}"/>
    <cellStyle name="Input 2 8 8 2" xfId="22720" xr:uid="{00000000-0005-0000-0000-0000583D0000}"/>
    <cellStyle name="Input 2 8 8 2 2" xfId="22721" xr:uid="{00000000-0005-0000-0000-0000593D0000}"/>
    <cellStyle name="Input 2 8 8 2 3" xfId="22722" xr:uid="{00000000-0005-0000-0000-00005A3D0000}"/>
    <cellStyle name="Input 2 8 8 2 4" xfId="22723" xr:uid="{00000000-0005-0000-0000-00005B3D0000}"/>
    <cellStyle name="Input 2 8 8 3" xfId="22724" xr:uid="{00000000-0005-0000-0000-00005C3D0000}"/>
    <cellStyle name="Input 2 8 8 3 2" xfId="1180" xr:uid="{00000000-0005-0000-0000-00005D3D0000}"/>
    <cellStyle name="Input 2 8 8 3 3" xfId="22725" xr:uid="{00000000-0005-0000-0000-00005E3D0000}"/>
    <cellStyle name="Input 2 8 8 3 4" xfId="7" xr:uid="{00000000-0005-0000-0000-00005F3D0000}"/>
    <cellStyle name="Input 2 8 8 4" xfId="22726" xr:uid="{00000000-0005-0000-0000-0000603D0000}"/>
    <cellStyle name="Input 2 8 8 4 2" xfId="5109" xr:uid="{00000000-0005-0000-0000-0000613D0000}"/>
    <cellStyle name="Input 2 8 8 4 3" xfId="5113" xr:uid="{00000000-0005-0000-0000-0000623D0000}"/>
    <cellStyle name="Input 2 8 8 5" xfId="22727" xr:uid="{00000000-0005-0000-0000-0000633D0000}"/>
    <cellStyle name="Input 2 8 8 5 2" xfId="22730" xr:uid="{00000000-0005-0000-0000-0000643D0000}"/>
    <cellStyle name="Input 2 8 8 5 3" xfId="22731" xr:uid="{00000000-0005-0000-0000-0000653D0000}"/>
    <cellStyle name="Input 2 8 8 6" xfId="22732" xr:uid="{00000000-0005-0000-0000-0000663D0000}"/>
    <cellStyle name="Input 2 8 8 7" xfId="22735" xr:uid="{00000000-0005-0000-0000-0000673D0000}"/>
    <cellStyle name="Input 2 8 9" xfId="4846" xr:uid="{00000000-0005-0000-0000-0000683D0000}"/>
    <cellStyle name="Input 2 8 9 2" xfId="22737" xr:uid="{00000000-0005-0000-0000-0000693D0000}"/>
    <cellStyle name="Input 2 8 9 2 2" xfId="22738" xr:uid="{00000000-0005-0000-0000-00006A3D0000}"/>
    <cellStyle name="Input 2 8 9 2 3" xfId="22739" xr:uid="{00000000-0005-0000-0000-00006B3D0000}"/>
    <cellStyle name="Input 2 8 9 2 4" xfId="22740" xr:uid="{00000000-0005-0000-0000-00006C3D0000}"/>
    <cellStyle name="Input 2 8 9 3" xfId="22741" xr:uid="{00000000-0005-0000-0000-00006D3D0000}"/>
    <cellStyle name="Input 2 8 9 3 2" xfId="20045" xr:uid="{00000000-0005-0000-0000-00006E3D0000}"/>
    <cellStyle name="Input 2 8 9 3 3" xfId="22743" xr:uid="{00000000-0005-0000-0000-00006F3D0000}"/>
    <cellStyle name="Input 2 8 9 3 4" xfId="22745" xr:uid="{00000000-0005-0000-0000-0000703D0000}"/>
    <cellStyle name="Input 2 8 9 4" xfId="22747" xr:uid="{00000000-0005-0000-0000-0000713D0000}"/>
    <cellStyle name="Input 2 8 9 4 2" xfId="20051" xr:uid="{00000000-0005-0000-0000-0000723D0000}"/>
    <cellStyle name="Input 2 8 9 4 3" xfId="22749" xr:uid="{00000000-0005-0000-0000-0000733D0000}"/>
    <cellStyle name="Input 2 8 9 5" xfId="22751" xr:uid="{00000000-0005-0000-0000-0000743D0000}"/>
    <cellStyle name="Input 2 8 9 5 2" xfId="22755" xr:uid="{00000000-0005-0000-0000-0000753D0000}"/>
    <cellStyle name="Input 2 8 9 5 3" xfId="14087" xr:uid="{00000000-0005-0000-0000-0000763D0000}"/>
    <cellStyle name="Input 2 8 9 6" xfId="22757" xr:uid="{00000000-0005-0000-0000-0000773D0000}"/>
    <cellStyle name="Input 2 8 9 7" xfId="22761" xr:uid="{00000000-0005-0000-0000-0000783D0000}"/>
    <cellStyle name="Input 2 9" xfId="16571" xr:uid="{00000000-0005-0000-0000-0000793D0000}"/>
    <cellStyle name="Input 2 9 10" xfId="22765" xr:uid="{00000000-0005-0000-0000-00007A3D0000}"/>
    <cellStyle name="Input 2 9 10 2" xfId="22767" xr:uid="{00000000-0005-0000-0000-00007B3D0000}"/>
    <cellStyle name="Input 2 9 10 2 2" xfId="22768" xr:uid="{00000000-0005-0000-0000-00007C3D0000}"/>
    <cellStyle name="Input 2 9 10 2 3" xfId="22769" xr:uid="{00000000-0005-0000-0000-00007D3D0000}"/>
    <cellStyle name="Input 2 9 10 2 4" xfId="22770" xr:uid="{00000000-0005-0000-0000-00007E3D0000}"/>
    <cellStyle name="Input 2 9 10 3" xfId="22771" xr:uid="{00000000-0005-0000-0000-00007F3D0000}"/>
    <cellStyle name="Input 2 9 10 3 2" xfId="22772" xr:uid="{00000000-0005-0000-0000-0000803D0000}"/>
    <cellStyle name="Input 2 9 10 3 3" xfId="22773" xr:uid="{00000000-0005-0000-0000-0000813D0000}"/>
    <cellStyle name="Input 2 9 10 3 4" xfId="22774" xr:uid="{00000000-0005-0000-0000-0000823D0000}"/>
    <cellStyle name="Input 2 9 10 4" xfId="22775" xr:uid="{00000000-0005-0000-0000-0000833D0000}"/>
    <cellStyle name="Input 2 9 10 4 2" xfId="22776" xr:uid="{00000000-0005-0000-0000-0000843D0000}"/>
    <cellStyle name="Input 2 9 10 4 3" xfId="22777" xr:uid="{00000000-0005-0000-0000-0000853D0000}"/>
    <cellStyle name="Input 2 9 10 5" xfId="22778" xr:uid="{00000000-0005-0000-0000-0000863D0000}"/>
    <cellStyle name="Input 2 9 10 5 2" xfId="22779" xr:uid="{00000000-0005-0000-0000-0000873D0000}"/>
    <cellStyle name="Input 2 9 10 5 3" xfId="22780" xr:uid="{00000000-0005-0000-0000-0000883D0000}"/>
    <cellStyle name="Input 2 9 10 6" xfId="22781" xr:uid="{00000000-0005-0000-0000-0000893D0000}"/>
    <cellStyle name="Input 2 9 10 7" xfId="22782" xr:uid="{00000000-0005-0000-0000-00008A3D0000}"/>
    <cellStyle name="Input 2 9 11" xfId="22784" xr:uid="{00000000-0005-0000-0000-00008B3D0000}"/>
    <cellStyle name="Input 2 9 11 2" xfId="8897" xr:uid="{00000000-0005-0000-0000-00008C3D0000}"/>
    <cellStyle name="Input 2 9 11 2 2" xfId="22786" xr:uid="{00000000-0005-0000-0000-00008D3D0000}"/>
    <cellStyle name="Input 2 9 11 2 3" xfId="22787" xr:uid="{00000000-0005-0000-0000-00008E3D0000}"/>
    <cellStyle name="Input 2 9 11 2 4" xfId="22788" xr:uid="{00000000-0005-0000-0000-00008F3D0000}"/>
    <cellStyle name="Input 2 9 11 3" xfId="22789" xr:uid="{00000000-0005-0000-0000-0000903D0000}"/>
    <cellStyle name="Input 2 9 11 3 2" xfId="22790" xr:uid="{00000000-0005-0000-0000-0000913D0000}"/>
    <cellStyle name="Input 2 9 11 3 3" xfId="22791" xr:uid="{00000000-0005-0000-0000-0000923D0000}"/>
    <cellStyle name="Input 2 9 11 3 4" xfId="22792" xr:uid="{00000000-0005-0000-0000-0000933D0000}"/>
    <cellStyle name="Input 2 9 11 4" xfId="22793" xr:uid="{00000000-0005-0000-0000-0000943D0000}"/>
    <cellStyle name="Input 2 9 11 4 2" xfId="22794" xr:uid="{00000000-0005-0000-0000-0000953D0000}"/>
    <cellStyle name="Input 2 9 11 4 3" xfId="22795" xr:uid="{00000000-0005-0000-0000-0000963D0000}"/>
    <cellStyle name="Input 2 9 11 5" xfId="22796" xr:uid="{00000000-0005-0000-0000-0000973D0000}"/>
    <cellStyle name="Input 2 9 11 5 2" xfId="22797" xr:uid="{00000000-0005-0000-0000-0000983D0000}"/>
    <cellStyle name="Input 2 9 11 5 3" xfId="22798" xr:uid="{00000000-0005-0000-0000-0000993D0000}"/>
    <cellStyle name="Input 2 9 11 6" xfId="22799" xr:uid="{00000000-0005-0000-0000-00009A3D0000}"/>
    <cellStyle name="Input 2 9 11 7" xfId="22800" xr:uid="{00000000-0005-0000-0000-00009B3D0000}"/>
    <cellStyle name="Input 2 9 12" xfId="22801" xr:uid="{00000000-0005-0000-0000-00009C3D0000}"/>
    <cellStyle name="Input 2 9 12 2" xfId="8903" xr:uid="{00000000-0005-0000-0000-00009D3D0000}"/>
    <cellStyle name="Input 2 9 12 2 2" xfId="22802" xr:uid="{00000000-0005-0000-0000-00009E3D0000}"/>
    <cellStyle name="Input 2 9 12 2 3" xfId="22803" xr:uid="{00000000-0005-0000-0000-00009F3D0000}"/>
    <cellStyle name="Input 2 9 12 2 4" xfId="22804" xr:uid="{00000000-0005-0000-0000-0000A03D0000}"/>
    <cellStyle name="Input 2 9 12 3" xfId="22805" xr:uid="{00000000-0005-0000-0000-0000A13D0000}"/>
    <cellStyle name="Input 2 9 12 3 2" xfId="22806" xr:uid="{00000000-0005-0000-0000-0000A23D0000}"/>
    <cellStyle name="Input 2 9 12 3 3" xfId="22807" xr:uid="{00000000-0005-0000-0000-0000A33D0000}"/>
    <cellStyle name="Input 2 9 12 3 4" xfId="22808" xr:uid="{00000000-0005-0000-0000-0000A43D0000}"/>
    <cellStyle name="Input 2 9 12 4" xfId="22809" xr:uid="{00000000-0005-0000-0000-0000A53D0000}"/>
    <cellStyle name="Input 2 9 12 4 2" xfId="22810" xr:uid="{00000000-0005-0000-0000-0000A63D0000}"/>
    <cellStyle name="Input 2 9 12 4 3" xfId="22811" xr:uid="{00000000-0005-0000-0000-0000A73D0000}"/>
    <cellStyle name="Input 2 9 12 5" xfId="22812" xr:uid="{00000000-0005-0000-0000-0000A83D0000}"/>
    <cellStyle name="Input 2 9 12 5 2" xfId="22813" xr:uid="{00000000-0005-0000-0000-0000A93D0000}"/>
    <cellStyle name="Input 2 9 12 5 3" xfId="22815" xr:uid="{00000000-0005-0000-0000-0000AA3D0000}"/>
    <cellStyle name="Input 2 9 12 6" xfId="22816" xr:uid="{00000000-0005-0000-0000-0000AB3D0000}"/>
    <cellStyle name="Input 2 9 12 7" xfId="22817" xr:uid="{00000000-0005-0000-0000-0000AC3D0000}"/>
    <cellStyle name="Input 2 9 13" xfId="22818" xr:uid="{00000000-0005-0000-0000-0000AD3D0000}"/>
    <cellStyle name="Input 2 9 13 2" xfId="22819" xr:uid="{00000000-0005-0000-0000-0000AE3D0000}"/>
    <cellStyle name="Input 2 9 13 3" xfId="22820" xr:uid="{00000000-0005-0000-0000-0000AF3D0000}"/>
    <cellStyle name="Input 2 9 13 4" xfId="22821" xr:uid="{00000000-0005-0000-0000-0000B03D0000}"/>
    <cellStyle name="Input 2 9 14" xfId="22822" xr:uid="{00000000-0005-0000-0000-0000B13D0000}"/>
    <cellStyle name="Input 2 9 14 2" xfId="22824" xr:uid="{00000000-0005-0000-0000-0000B23D0000}"/>
    <cellStyle name="Input 2 9 14 3" xfId="22826" xr:uid="{00000000-0005-0000-0000-0000B33D0000}"/>
    <cellStyle name="Input 2 9 14 4" xfId="22828" xr:uid="{00000000-0005-0000-0000-0000B43D0000}"/>
    <cellStyle name="Input 2 9 15" xfId="22830" xr:uid="{00000000-0005-0000-0000-0000B53D0000}"/>
    <cellStyle name="Input 2 9 15 2" xfId="22833" xr:uid="{00000000-0005-0000-0000-0000B63D0000}"/>
    <cellStyle name="Input 2 9 15 3" xfId="22835" xr:uid="{00000000-0005-0000-0000-0000B73D0000}"/>
    <cellStyle name="Input 2 9 16" xfId="22837" xr:uid="{00000000-0005-0000-0000-0000B83D0000}"/>
    <cellStyle name="Input 2 9 16 2" xfId="22839" xr:uid="{00000000-0005-0000-0000-0000B93D0000}"/>
    <cellStyle name="Input 2 9 16 3" xfId="22841" xr:uid="{00000000-0005-0000-0000-0000BA3D0000}"/>
    <cellStyle name="Input 2 9 17" xfId="22843" xr:uid="{00000000-0005-0000-0000-0000BB3D0000}"/>
    <cellStyle name="Input 2 9 17 2" xfId="22844" xr:uid="{00000000-0005-0000-0000-0000BC3D0000}"/>
    <cellStyle name="Input 2 9 17 2 2" xfId="22848" xr:uid="{00000000-0005-0000-0000-0000BD3D0000}"/>
    <cellStyle name="Input 2 9 18" xfId="22850" xr:uid="{00000000-0005-0000-0000-0000BE3D0000}"/>
    <cellStyle name="Input 2 9 19" xfId="22851" xr:uid="{00000000-0005-0000-0000-0000BF3D0000}"/>
    <cellStyle name="Input 2 9 2" xfId="22852" xr:uid="{00000000-0005-0000-0000-0000C03D0000}"/>
    <cellStyle name="Input 2 9 2 10" xfId="14094" xr:uid="{00000000-0005-0000-0000-0000C13D0000}"/>
    <cellStyle name="Input 2 9 2 10 2" xfId="22853" xr:uid="{00000000-0005-0000-0000-0000C23D0000}"/>
    <cellStyle name="Input 2 9 2 10 2 2" xfId="22854" xr:uid="{00000000-0005-0000-0000-0000C33D0000}"/>
    <cellStyle name="Input 2 9 2 10 2 3" xfId="22856" xr:uid="{00000000-0005-0000-0000-0000C43D0000}"/>
    <cellStyle name="Input 2 9 2 10 2 4" xfId="22857" xr:uid="{00000000-0005-0000-0000-0000C53D0000}"/>
    <cellStyle name="Input 2 9 2 10 3" xfId="22859" xr:uid="{00000000-0005-0000-0000-0000C63D0000}"/>
    <cellStyle name="Input 2 9 2 10 3 2" xfId="22860" xr:uid="{00000000-0005-0000-0000-0000C73D0000}"/>
    <cellStyle name="Input 2 9 2 10 3 3" xfId="22862" xr:uid="{00000000-0005-0000-0000-0000C83D0000}"/>
    <cellStyle name="Input 2 9 2 10 3 4" xfId="22863" xr:uid="{00000000-0005-0000-0000-0000C93D0000}"/>
    <cellStyle name="Input 2 9 2 10 4" xfId="18632" xr:uid="{00000000-0005-0000-0000-0000CA3D0000}"/>
    <cellStyle name="Input 2 9 2 10 4 2" xfId="22865" xr:uid="{00000000-0005-0000-0000-0000CB3D0000}"/>
    <cellStyle name="Input 2 9 2 10 4 3" xfId="22868" xr:uid="{00000000-0005-0000-0000-0000CC3D0000}"/>
    <cellStyle name="Input 2 9 2 10 5" xfId="22869" xr:uid="{00000000-0005-0000-0000-0000CD3D0000}"/>
    <cellStyle name="Input 2 9 2 10 5 2" xfId="22870" xr:uid="{00000000-0005-0000-0000-0000CE3D0000}"/>
    <cellStyle name="Input 2 9 2 10 5 3" xfId="22873" xr:uid="{00000000-0005-0000-0000-0000CF3D0000}"/>
    <cellStyle name="Input 2 9 2 10 6" xfId="22874" xr:uid="{00000000-0005-0000-0000-0000D03D0000}"/>
    <cellStyle name="Input 2 9 2 10 7" xfId="17980" xr:uid="{00000000-0005-0000-0000-0000D13D0000}"/>
    <cellStyle name="Input 2 9 2 11" xfId="22875" xr:uid="{00000000-0005-0000-0000-0000D23D0000}"/>
    <cellStyle name="Input 2 9 2 11 2" xfId="22877" xr:uid="{00000000-0005-0000-0000-0000D33D0000}"/>
    <cellStyle name="Input 2 9 2 11 3" xfId="22879" xr:uid="{00000000-0005-0000-0000-0000D43D0000}"/>
    <cellStyle name="Input 2 9 2 11 4" xfId="22880" xr:uid="{00000000-0005-0000-0000-0000D53D0000}"/>
    <cellStyle name="Input 2 9 2 12" xfId="22881" xr:uid="{00000000-0005-0000-0000-0000D63D0000}"/>
    <cellStyle name="Input 2 9 2 12 2" xfId="22883" xr:uid="{00000000-0005-0000-0000-0000D73D0000}"/>
    <cellStyle name="Input 2 9 2 12 3" xfId="22885" xr:uid="{00000000-0005-0000-0000-0000D83D0000}"/>
    <cellStyle name="Input 2 9 2 12 4" xfId="22886" xr:uid="{00000000-0005-0000-0000-0000D93D0000}"/>
    <cellStyle name="Input 2 9 2 13" xfId="22887" xr:uid="{00000000-0005-0000-0000-0000DA3D0000}"/>
    <cellStyle name="Input 2 9 2 13 2" xfId="22888" xr:uid="{00000000-0005-0000-0000-0000DB3D0000}"/>
    <cellStyle name="Input 2 9 2 13 3" xfId="22890" xr:uid="{00000000-0005-0000-0000-0000DC3D0000}"/>
    <cellStyle name="Input 2 9 2 14" xfId="17129" xr:uid="{00000000-0005-0000-0000-0000DD3D0000}"/>
    <cellStyle name="Input 2 9 2 14 2" xfId="17131" xr:uid="{00000000-0005-0000-0000-0000DE3D0000}"/>
    <cellStyle name="Input 2 9 2 14 3" xfId="17134" xr:uid="{00000000-0005-0000-0000-0000DF3D0000}"/>
    <cellStyle name="Input 2 9 2 15" xfId="17139" xr:uid="{00000000-0005-0000-0000-0000E03D0000}"/>
    <cellStyle name="Input 2 9 2 16" xfId="17147" xr:uid="{00000000-0005-0000-0000-0000E13D0000}"/>
    <cellStyle name="Input 2 9 2 2" xfId="18023" xr:uid="{00000000-0005-0000-0000-0000E23D0000}"/>
    <cellStyle name="Input 2 9 2 2 2" xfId="22892" xr:uid="{00000000-0005-0000-0000-0000E33D0000}"/>
    <cellStyle name="Input 2 9 2 2 2 2" xfId="22893" xr:uid="{00000000-0005-0000-0000-0000E43D0000}"/>
    <cellStyle name="Input 2 9 2 2 2 3" xfId="22894" xr:uid="{00000000-0005-0000-0000-0000E53D0000}"/>
    <cellStyle name="Input 2 9 2 2 2 4" xfId="22895" xr:uid="{00000000-0005-0000-0000-0000E63D0000}"/>
    <cellStyle name="Input 2 9 2 2 3" xfId="22896" xr:uid="{00000000-0005-0000-0000-0000E73D0000}"/>
    <cellStyle name="Input 2 9 2 2 3 2" xfId="22897" xr:uid="{00000000-0005-0000-0000-0000E83D0000}"/>
    <cellStyle name="Input 2 9 2 2 3 3" xfId="22898" xr:uid="{00000000-0005-0000-0000-0000E93D0000}"/>
    <cellStyle name="Input 2 9 2 2 3 4" xfId="22899" xr:uid="{00000000-0005-0000-0000-0000EA3D0000}"/>
    <cellStyle name="Input 2 9 2 2 4" xfId="22900" xr:uid="{00000000-0005-0000-0000-0000EB3D0000}"/>
    <cellStyle name="Input 2 9 2 2 4 2" xfId="22901" xr:uid="{00000000-0005-0000-0000-0000EC3D0000}"/>
    <cellStyle name="Input 2 9 2 2 4 3" xfId="22902" xr:uid="{00000000-0005-0000-0000-0000ED3D0000}"/>
    <cellStyle name="Input 2 9 2 2 5" xfId="22903" xr:uid="{00000000-0005-0000-0000-0000EE3D0000}"/>
    <cellStyle name="Input 2 9 2 2 5 2" xfId="22904" xr:uid="{00000000-0005-0000-0000-0000EF3D0000}"/>
    <cellStyle name="Input 2 9 2 2 5 3" xfId="22905" xr:uid="{00000000-0005-0000-0000-0000F03D0000}"/>
    <cellStyle name="Input 2 9 2 2 6" xfId="22906" xr:uid="{00000000-0005-0000-0000-0000F13D0000}"/>
    <cellStyle name="Input 2 9 2 2 7" xfId="22908" xr:uid="{00000000-0005-0000-0000-0000F23D0000}"/>
    <cellStyle name="Input 2 9 2 3" xfId="18025" xr:uid="{00000000-0005-0000-0000-0000F33D0000}"/>
    <cellStyle name="Input 2 9 2 3 2" xfId="22910" xr:uid="{00000000-0005-0000-0000-0000F43D0000}"/>
    <cellStyle name="Input 2 9 2 3 2 2" xfId="22911" xr:uid="{00000000-0005-0000-0000-0000F53D0000}"/>
    <cellStyle name="Input 2 9 2 3 2 3" xfId="22912" xr:uid="{00000000-0005-0000-0000-0000F63D0000}"/>
    <cellStyle name="Input 2 9 2 3 2 4" xfId="22913" xr:uid="{00000000-0005-0000-0000-0000F73D0000}"/>
    <cellStyle name="Input 2 9 2 3 3" xfId="22914" xr:uid="{00000000-0005-0000-0000-0000F83D0000}"/>
    <cellStyle name="Input 2 9 2 3 3 2" xfId="22915" xr:uid="{00000000-0005-0000-0000-0000F93D0000}"/>
    <cellStyle name="Input 2 9 2 3 3 3" xfId="22916" xr:uid="{00000000-0005-0000-0000-0000FA3D0000}"/>
    <cellStyle name="Input 2 9 2 3 3 4" xfId="22917" xr:uid="{00000000-0005-0000-0000-0000FB3D0000}"/>
    <cellStyle name="Input 2 9 2 3 4" xfId="22918" xr:uid="{00000000-0005-0000-0000-0000FC3D0000}"/>
    <cellStyle name="Input 2 9 2 3 4 2" xfId="22919" xr:uid="{00000000-0005-0000-0000-0000FD3D0000}"/>
    <cellStyle name="Input 2 9 2 3 4 3" xfId="22920" xr:uid="{00000000-0005-0000-0000-0000FE3D0000}"/>
    <cellStyle name="Input 2 9 2 3 5" xfId="22921" xr:uid="{00000000-0005-0000-0000-0000FF3D0000}"/>
    <cellStyle name="Input 2 9 2 3 5 2" xfId="22922" xr:uid="{00000000-0005-0000-0000-0000003E0000}"/>
    <cellStyle name="Input 2 9 2 3 5 3" xfId="22923" xr:uid="{00000000-0005-0000-0000-0000013E0000}"/>
    <cellStyle name="Input 2 9 2 3 6" xfId="22924" xr:uid="{00000000-0005-0000-0000-0000023E0000}"/>
    <cellStyle name="Input 2 9 2 3 7" xfId="22925" xr:uid="{00000000-0005-0000-0000-0000033E0000}"/>
    <cellStyle name="Input 2 9 2 4" xfId="22926" xr:uid="{00000000-0005-0000-0000-0000043E0000}"/>
    <cellStyle name="Input 2 9 2 4 2" xfId="22928" xr:uid="{00000000-0005-0000-0000-0000053E0000}"/>
    <cellStyle name="Input 2 9 2 4 2 2" xfId="22929" xr:uid="{00000000-0005-0000-0000-0000063E0000}"/>
    <cellStyle name="Input 2 9 2 4 2 3" xfId="22930" xr:uid="{00000000-0005-0000-0000-0000073E0000}"/>
    <cellStyle name="Input 2 9 2 4 2 4" xfId="22931" xr:uid="{00000000-0005-0000-0000-0000083E0000}"/>
    <cellStyle name="Input 2 9 2 4 3" xfId="22932" xr:uid="{00000000-0005-0000-0000-0000093E0000}"/>
    <cellStyle name="Input 2 9 2 4 3 2" xfId="22933" xr:uid="{00000000-0005-0000-0000-00000A3E0000}"/>
    <cellStyle name="Input 2 9 2 4 3 3" xfId="22934" xr:uid="{00000000-0005-0000-0000-00000B3E0000}"/>
    <cellStyle name="Input 2 9 2 4 3 4" xfId="22935" xr:uid="{00000000-0005-0000-0000-00000C3E0000}"/>
    <cellStyle name="Input 2 9 2 4 4" xfId="22936" xr:uid="{00000000-0005-0000-0000-00000D3E0000}"/>
    <cellStyle name="Input 2 9 2 4 4 2" xfId="22937" xr:uid="{00000000-0005-0000-0000-00000E3E0000}"/>
    <cellStyle name="Input 2 9 2 4 4 3" xfId="22938" xr:uid="{00000000-0005-0000-0000-00000F3E0000}"/>
    <cellStyle name="Input 2 9 2 4 5" xfId="22939" xr:uid="{00000000-0005-0000-0000-0000103E0000}"/>
    <cellStyle name="Input 2 9 2 4 5 2" xfId="22940" xr:uid="{00000000-0005-0000-0000-0000113E0000}"/>
    <cellStyle name="Input 2 9 2 4 5 3" xfId="22941" xr:uid="{00000000-0005-0000-0000-0000123E0000}"/>
    <cellStyle name="Input 2 9 2 4 6" xfId="22942" xr:uid="{00000000-0005-0000-0000-0000133E0000}"/>
    <cellStyle name="Input 2 9 2 4 7" xfId="22945" xr:uid="{00000000-0005-0000-0000-0000143E0000}"/>
    <cellStyle name="Input 2 9 2 5" xfId="22948" xr:uid="{00000000-0005-0000-0000-0000153E0000}"/>
    <cellStyle name="Input 2 9 2 5 2" xfId="22950" xr:uid="{00000000-0005-0000-0000-0000163E0000}"/>
    <cellStyle name="Input 2 9 2 5 2 2" xfId="22951" xr:uid="{00000000-0005-0000-0000-0000173E0000}"/>
    <cellStyle name="Input 2 9 2 5 2 3" xfId="22955" xr:uid="{00000000-0005-0000-0000-0000183E0000}"/>
    <cellStyle name="Input 2 9 2 5 2 4" xfId="22959" xr:uid="{00000000-0005-0000-0000-0000193E0000}"/>
    <cellStyle name="Input 2 9 2 5 3" xfId="22962" xr:uid="{00000000-0005-0000-0000-00001A3E0000}"/>
    <cellStyle name="Input 2 9 2 5 3 2" xfId="22963" xr:uid="{00000000-0005-0000-0000-00001B3E0000}"/>
    <cellStyle name="Input 2 9 2 5 3 3" xfId="22966" xr:uid="{00000000-0005-0000-0000-00001C3E0000}"/>
    <cellStyle name="Input 2 9 2 5 3 4" xfId="22969" xr:uid="{00000000-0005-0000-0000-00001D3E0000}"/>
    <cellStyle name="Input 2 9 2 5 4" xfId="22972" xr:uid="{00000000-0005-0000-0000-00001E3E0000}"/>
    <cellStyle name="Input 2 9 2 5 4 2" xfId="22973" xr:uid="{00000000-0005-0000-0000-00001F3E0000}"/>
    <cellStyle name="Input 2 9 2 5 4 3" xfId="22975" xr:uid="{00000000-0005-0000-0000-0000203E0000}"/>
    <cellStyle name="Input 2 9 2 5 5" xfId="22977" xr:uid="{00000000-0005-0000-0000-0000213E0000}"/>
    <cellStyle name="Input 2 9 2 5 5 2" xfId="22978" xr:uid="{00000000-0005-0000-0000-0000223E0000}"/>
    <cellStyle name="Input 2 9 2 5 5 3" xfId="22979" xr:uid="{00000000-0005-0000-0000-0000233E0000}"/>
    <cellStyle name="Input 2 9 2 5 6" xfId="22980" xr:uid="{00000000-0005-0000-0000-0000243E0000}"/>
    <cellStyle name="Input 2 9 2 5 7" xfId="22983" xr:uid="{00000000-0005-0000-0000-0000253E0000}"/>
    <cellStyle name="Input 2 9 2 6" xfId="22988" xr:uid="{00000000-0005-0000-0000-0000263E0000}"/>
    <cellStyle name="Input 2 9 2 6 2" xfId="22989" xr:uid="{00000000-0005-0000-0000-0000273E0000}"/>
    <cellStyle name="Input 2 9 2 6 2 2" xfId="22303" xr:uid="{00000000-0005-0000-0000-0000283E0000}"/>
    <cellStyle name="Input 2 9 2 6 2 3" xfId="22990" xr:uid="{00000000-0005-0000-0000-0000293E0000}"/>
    <cellStyle name="Input 2 9 2 6 2 4" xfId="22991" xr:uid="{00000000-0005-0000-0000-00002A3E0000}"/>
    <cellStyle name="Input 2 9 2 6 3" xfId="22992" xr:uid="{00000000-0005-0000-0000-00002B3E0000}"/>
    <cellStyle name="Input 2 9 2 6 3 2" xfId="22993" xr:uid="{00000000-0005-0000-0000-00002C3E0000}"/>
    <cellStyle name="Input 2 9 2 6 3 3" xfId="22994" xr:uid="{00000000-0005-0000-0000-00002D3E0000}"/>
    <cellStyle name="Input 2 9 2 6 3 4" xfId="22995" xr:uid="{00000000-0005-0000-0000-00002E3E0000}"/>
    <cellStyle name="Input 2 9 2 6 4" xfId="22996" xr:uid="{00000000-0005-0000-0000-00002F3E0000}"/>
    <cellStyle name="Input 2 9 2 6 4 2" xfId="20409" xr:uid="{00000000-0005-0000-0000-0000303E0000}"/>
    <cellStyle name="Input 2 9 2 6 4 3" xfId="20586" xr:uid="{00000000-0005-0000-0000-0000313E0000}"/>
    <cellStyle name="Input 2 9 2 6 5" xfId="22997" xr:uid="{00000000-0005-0000-0000-0000323E0000}"/>
    <cellStyle name="Input 2 9 2 6 5 2" xfId="22998" xr:uid="{00000000-0005-0000-0000-0000333E0000}"/>
    <cellStyle name="Input 2 9 2 6 5 3" xfId="22999" xr:uid="{00000000-0005-0000-0000-0000343E0000}"/>
    <cellStyle name="Input 2 9 2 6 6" xfId="23000" xr:uid="{00000000-0005-0000-0000-0000353E0000}"/>
    <cellStyle name="Input 2 9 2 6 7" xfId="23003" xr:uid="{00000000-0005-0000-0000-0000363E0000}"/>
    <cellStyle name="Input 2 9 2 7" xfId="23007" xr:uid="{00000000-0005-0000-0000-0000373E0000}"/>
    <cellStyle name="Input 2 9 2 7 2" xfId="23008" xr:uid="{00000000-0005-0000-0000-0000383E0000}"/>
    <cellStyle name="Input 2 9 2 7 2 2" xfId="23009" xr:uid="{00000000-0005-0000-0000-0000393E0000}"/>
    <cellStyle name="Input 2 9 2 7 2 3" xfId="23010" xr:uid="{00000000-0005-0000-0000-00003A3E0000}"/>
    <cellStyle name="Input 2 9 2 7 2 4" xfId="23011" xr:uid="{00000000-0005-0000-0000-00003B3E0000}"/>
    <cellStyle name="Input 2 9 2 7 3" xfId="23012" xr:uid="{00000000-0005-0000-0000-00003C3E0000}"/>
    <cellStyle name="Input 2 9 2 7 3 2" xfId="23013" xr:uid="{00000000-0005-0000-0000-00003D3E0000}"/>
    <cellStyle name="Input 2 9 2 7 3 3" xfId="23014" xr:uid="{00000000-0005-0000-0000-00003E3E0000}"/>
    <cellStyle name="Input 2 9 2 7 3 4" xfId="23015" xr:uid="{00000000-0005-0000-0000-00003F3E0000}"/>
    <cellStyle name="Input 2 9 2 7 4" xfId="23016" xr:uid="{00000000-0005-0000-0000-0000403E0000}"/>
    <cellStyle name="Input 2 9 2 7 4 2" xfId="23018" xr:uid="{00000000-0005-0000-0000-0000413E0000}"/>
    <cellStyle name="Input 2 9 2 7 4 3" xfId="23019" xr:uid="{00000000-0005-0000-0000-0000423E0000}"/>
    <cellStyle name="Input 2 9 2 7 5" xfId="23020" xr:uid="{00000000-0005-0000-0000-0000433E0000}"/>
    <cellStyle name="Input 2 9 2 7 5 2" xfId="23022" xr:uid="{00000000-0005-0000-0000-0000443E0000}"/>
    <cellStyle name="Input 2 9 2 7 5 3" xfId="23023" xr:uid="{00000000-0005-0000-0000-0000453E0000}"/>
    <cellStyle name="Input 2 9 2 7 6" xfId="23024" xr:uid="{00000000-0005-0000-0000-0000463E0000}"/>
    <cellStyle name="Input 2 9 2 7 7" xfId="23028" xr:uid="{00000000-0005-0000-0000-0000473E0000}"/>
    <cellStyle name="Input 2 9 2 8" xfId="23032" xr:uid="{00000000-0005-0000-0000-0000483E0000}"/>
    <cellStyle name="Input 2 9 2 8 2" xfId="23035" xr:uid="{00000000-0005-0000-0000-0000493E0000}"/>
    <cellStyle name="Input 2 9 2 8 2 2" xfId="23038" xr:uid="{00000000-0005-0000-0000-00004A3E0000}"/>
    <cellStyle name="Input 2 9 2 8 2 3" xfId="23041" xr:uid="{00000000-0005-0000-0000-00004B3E0000}"/>
    <cellStyle name="Input 2 9 2 8 2 4" xfId="23044" xr:uid="{00000000-0005-0000-0000-00004C3E0000}"/>
    <cellStyle name="Input 2 9 2 8 3" xfId="23048" xr:uid="{00000000-0005-0000-0000-00004D3E0000}"/>
    <cellStyle name="Input 2 9 2 8 3 2" xfId="23051" xr:uid="{00000000-0005-0000-0000-00004E3E0000}"/>
    <cellStyle name="Input 2 9 2 8 3 3" xfId="23054" xr:uid="{00000000-0005-0000-0000-00004F3E0000}"/>
    <cellStyle name="Input 2 9 2 8 3 4" xfId="23057" xr:uid="{00000000-0005-0000-0000-0000503E0000}"/>
    <cellStyle name="Input 2 9 2 8 4" xfId="23062" xr:uid="{00000000-0005-0000-0000-0000513E0000}"/>
    <cellStyle name="Input 2 9 2 8 4 2" xfId="23066" xr:uid="{00000000-0005-0000-0000-0000523E0000}"/>
    <cellStyle name="Input 2 9 2 8 4 3" xfId="23068" xr:uid="{00000000-0005-0000-0000-0000533E0000}"/>
    <cellStyle name="Input 2 9 2 8 5" xfId="23071" xr:uid="{00000000-0005-0000-0000-0000543E0000}"/>
    <cellStyle name="Input 2 9 2 8 5 2" xfId="23075" xr:uid="{00000000-0005-0000-0000-0000553E0000}"/>
    <cellStyle name="Input 2 9 2 8 5 3" xfId="23077" xr:uid="{00000000-0005-0000-0000-0000563E0000}"/>
    <cellStyle name="Input 2 9 2 8 6" xfId="23080" xr:uid="{00000000-0005-0000-0000-0000573E0000}"/>
    <cellStyle name="Input 2 9 2 8 7" xfId="23084" xr:uid="{00000000-0005-0000-0000-0000583E0000}"/>
    <cellStyle name="Input 2 9 2 9" xfId="23086" xr:uid="{00000000-0005-0000-0000-0000593E0000}"/>
    <cellStyle name="Input 2 9 2 9 2" xfId="605" xr:uid="{00000000-0005-0000-0000-00005A3E0000}"/>
    <cellStyle name="Input 2 9 2 9 2 2" xfId="23088" xr:uid="{00000000-0005-0000-0000-00005B3E0000}"/>
    <cellStyle name="Input 2 9 2 9 2 3" xfId="23091" xr:uid="{00000000-0005-0000-0000-00005C3E0000}"/>
    <cellStyle name="Input 2 9 2 9 2 4" xfId="23094" xr:uid="{00000000-0005-0000-0000-00005D3E0000}"/>
    <cellStyle name="Input 2 9 2 9 3" xfId="613" xr:uid="{00000000-0005-0000-0000-00005E3E0000}"/>
    <cellStyle name="Input 2 9 2 9 3 2" xfId="23097" xr:uid="{00000000-0005-0000-0000-00005F3E0000}"/>
    <cellStyle name="Input 2 9 2 9 3 3" xfId="23100" xr:uid="{00000000-0005-0000-0000-0000603E0000}"/>
    <cellStyle name="Input 2 9 2 9 3 4" xfId="23103" xr:uid="{00000000-0005-0000-0000-0000613E0000}"/>
    <cellStyle name="Input 2 9 2 9 4" xfId="491" xr:uid="{00000000-0005-0000-0000-0000623E0000}"/>
    <cellStyle name="Input 2 9 2 9 4 2" xfId="23106" xr:uid="{00000000-0005-0000-0000-0000633E0000}"/>
    <cellStyle name="Input 2 9 2 9 4 3" xfId="23108" xr:uid="{00000000-0005-0000-0000-0000643E0000}"/>
    <cellStyle name="Input 2 9 2 9 5" xfId="23111" xr:uid="{00000000-0005-0000-0000-0000653E0000}"/>
    <cellStyle name="Input 2 9 2 9 5 2" xfId="23115" xr:uid="{00000000-0005-0000-0000-0000663E0000}"/>
    <cellStyle name="Input 2 9 2 9 5 3" xfId="23117" xr:uid="{00000000-0005-0000-0000-0000673E0000}"/>
    <cellStyle name="Input 2 9 2 9 6" xfId="23120" xr:uid="{00000000-0005-0000-0000-0000683E0000}"/>
    <cellStyle name="Input 2 9 2 9 7" xfId="23122" xr:uid="{00000000-0005-0000-0000-0000693E0000}"/>
    <cellStyle name="Input 2 9 20" xfId="22831" xr:uid="{00000000-0005-0000-0000-00006A3E0000}"/>
    <cellStyle name="Input 2 9 3" xfId="23124" xr:uid="{00000000-0005-0000-0000-00006B3E0000}"/>
    <cellStyle name="Input 2 9 3 10" xfId="23125" xr:uid="{00000000-0005-0000-0000-00006C3E0000}"/>
    <cellStyle name="Input 2 9 3 10 2" xfId="23126" xr:uid="{00000000-0005-0000-0000-00006D3E0000}"/>
    <cellStyle name="Input 2 9 3 10 2 2" xfId="23128" xr:uid="{00000000-0005-0000-0000-00006E3E0000}"/>
    <cellStyle name="Input 2 9 3 10 2 3" xfId="23129" xr:uid="{00000000-0005-0000-0000-00006F3E0000}"/>
    <cellStyle name="Input 2 9 3 10 2 4" xfId="23130" xr:uid="{00000000-0005-0000-0000-0000703E0000}"/>
    <cellStyle name="Input 2 9 3 10 3" xfId="23132" xr:uid="{00000000-0005-0000-0000-0000713E0000}"/>
    <cellStyle name="Input 2 9 3 10 3 2" xfId="18870" xr:uid="{00000000-0005-0000-0000-0000723E0000}"/>
    <cellStyle name="Input 2 9 3 10 3 3" xfId="18872" xr:uid="{00000000-0005-0000-0000-0000733E0000}"/>
    <cellStyle name="Input 2 9 3 10 3 4" xfId="23133" xr:uid="{00000000-0005-0000-0000-0000743E0000}"/>
    <cellStyle name="Input 2 9 3 10 4" xfId="23135" xr:uid="{00000000-0005-0000-0000-0000753E0000}"/>
    <cellStyle name="Input 2 9 3 10 4 2" xfId="18893" xr:uid="{00000000-0005-0000-0000-0000763E0000}"/>
    <cellStyle name="Input 2 9 3 10 4 3" xfId="23136" xr:uid="{00000000-0005-0000-0000-0000773E0000}"/>
    <cellStyle name="Input 2 9 3 10 5" xfId="23137" xr:uid="{00000000-0005-0000-0000-0000783E0000}"/>
    <cellStyle name="Input 2 9 3 10 5 2" xfId="11028" xr:uid="{00000000-0005-0000-0000-0000793E0000}"/>
    <cellStyle name="Input 2 9 3 10 5 3" xfId="11041" xr:uid="{00000000-0005-0000-0000-00007A3E0000}"/>
    <cellStyle name="Input 2 9 3 10 6" xfId="23138" xr:uid="{00000000-0005-0000-0000-00007B3E0000}"/>
    <cellStyle name="Input 2 9 3 10 7" xfId="18155" xr:uid="{00000000-0005-0000-0000-00007C3E0000}"/>
    <cellStyle name="Input 2 9 3 11" xfId="11427" xr:uid="{00000000-0005-0000-0000-00007D3E0000}"/>
    <cellStyle name="Input 2 9 3 11 2" xfId="23141" xr:uid="{00000000-0005-0000-0000-00007E3E0000}"/>
    <cellStyle name="Input 2 9 3 11 3" xfId="23142" xr:uid="{00000000-0005-0000-0000-00007F3E0000}"/>
    <cellStyle name="Input 2 9 3 11 4" xfId="23143" xr:uid="{00000000-0005-0000-0000-0000803E0000}"/>
    <cellStyle name="Input 2 9 3 12" xfId="11429" xr:uid="{00000000-0005-0000-0000-0000813E0000}"/>
    <cellStyle name="Input 2 9 3 12 2" xfId="23144" xr:uid="{00000000-0005-0000-0000-0000823E0000}"/>
    <cellStyle name="Input 2 9 3 12 3" xfId="23145" xr:uid="{00000000-0005-0000-0000-0000833E0000}"/>
    <cellStyle name="Input 2 9 3 12 4" xfId="23146" xr:uid="{00000000-0005-0000-0000-0000843E0000}"/>
    <cellStyle name="Input 2 9 3 13" xfId="11431" xr:uid="{00000000-0005-0000-0000-0000853E0000}"/>
    <cellStyle name="Input 2 9 3 13 2" xfId="23147" xr:uid="{00000000-0005-0000-0000-0000863E0000}"/>
    <cellStyle name="Input 2 9 3 13 3" xfId="23148" xr:uid="{00000000-0005-0000-0000-0000873E0000}"/>
    <cellStyle name="Input 2 9 3 14" xfId="17277" xr:uid="{00000000-0005-0000-0000-0000883E0000}"/>
    <cellStyle name="Input 2 9 3 14 2" xfId="17279" xr:uid="{00000000-0005-0000-0000-0000893E0000}"/>
    <cellStyle name="Input 2 9 3 14 3" xfId="17281" xr:uid="{00000000-0005-0000-0000-00008A3E0000}"/>
    <cellStyle name="Input 2 9 3 15" xfId="17285" xr:uid="{00000000-0005-0000-0000-00008B3E0000}"/>
    <cellStyle name="Input 2 9 3 16" xfId="17290" xr:uid="{00000000-0005-0000-0000-00008C3E0000}"/>
    <cellStyle name="Input 2 9 3 2" xfId="18058" xr:uid="{00000000-0005-0000-0000-00008D3E0000}"/>
    <cellStyle name="Input 2 9 3 2 2" xfId="23149" xr:uid="{00000000-0005-0000-0000-00008E3E0000}"/>
    <cellStyle name="Input 2 9 3 2 2 2" xfId="5381" xr:uid="{00000000-0005-0000-0000-00008F3E0000}"/>
    <cellStyle name="Input 2 9 3 2 2 3" xfId="5384" xr:uid="{00000000-0005-0000-0000-0000903E0000}"/>
    <cellStyle name="Input 2 9 3 2 2 4" xfId="23150" xr:uid="{00000000-0005-0000-0000-0000913E0000}"/>
    <cellStyle name="Input 2 9 3 2 3" xfId="23152" xr:uid="{00000000-0005-0000-0000-0000923E0000}"/>
    <cellStyle name="Input 2 9 3 2 3 2" xfId="2804" xr:uid="{00000000-0005-0000-0000-0000933E0000}"/>
    <cellStyle name="Input 2 9 3 2 3 3" xfId="2807" xr:uid="{00000000-0005-0000-0000-0000943E0000}"/>
    <cellStyle name="Input 2 9 3 2 3 4" xfId="2816" xr:uid="{00000000-0005-0000-0000-0000953E0000}"/>
    <cellStyle name="Input 2 9 3 2 4" xfId="2560" xr:uid="{00000000-0005-0000-0000-0000963E0000}"/>
    <cellStyle name="Input 2 9 3 2 4 2" xfId="23153" xr:uid="{00000000-0005-0000-0000-0000973E0000}"/>
    <cellStyle name="Input 2 9 3 2 4 3" xfId="23154" xr:uid="{00000000-0005-0000-0000-0000983E0000}"/>
    <cellStyle name="Input 2 9 3 2 5" xfId="23155" xr:uid="{00000000-0005-0000-0000-0000993E0000}"/>
    <cellStyle name="Input 2 9 3 2 5 2" xfId="23156" xr:uid="{00000000-0005-0000-0000-00009A3E0000}"/>
    <cellStyle name="Input 2 9 3 2 5 3" xfId="23158" xr:uid="{00000000-0005-0000-0000-00009B3E0000}"/>
    <cellStyle name="Input 2 9 3 2 6" xfId="23160" xr:uid="{00000000-0005-0000-0000-00009C3E0000}"/>
    <cellStyle name="Input 2 9 3 2 7" xfId="23163" xr:uid="{00000000-0005-0000-0000-00009D3E0000}"/>
    <cellStyle name="Input 2 9 3 3" xfId="18061" xr:uid="{00000000-0005-0000-0000-00009E3E0000}"/>
    <cellStyle name="Input 2 9 3 3 2" xfId="23166" xr:uid="{00000000-0005-0000-0000-00009F3E0000}"/>
    <cellStyle name="Input 2 9 3 3 2 2" xfId="1342" xr:uid="{00000000-0005-0000-0000-0000A03E0000}"/>
    <cellStyle name="Input 2 9 3 3 2 3" xfId="23167" xr:uid="{00000000-0005-0000-0000-0000A13E0000}"/>
    <cellStyle name="Input 2 9 3 3 2 4" xfId="23168" xr:uid="{00000000-0005-0000-0000-0000A23E0000}"/>
    <cellStyle name="Input 2 9 3 3 3" xfId="23170" xr:uid="{00000000-0005-0000-0000-0000A33E0000}"/>
    <cellStyle name="Input 2 9 3 3 3 2" xfId="23171" xr:uid="{00000000-0005-0000-0000-0000A43E0000}"/>
    <cellStyle name="Input 2 9 3 3 3 3" xfId="23172" xr:uid="{00000000-0005-0000-0000-0000A53E0000}"/>
    <cellStyle name="Input 2 9 3 3 3 4" xfId="23173" xr:uid="{00000000-0005-0000-0000-0000A63E0000}"/>
    <cellStyle name="Input 2 9 3 3 4" xfId="23175" xr:uid="{00000000-0005-0000-0000-0000A73E0000}"/>
    <cellStyle name="Input 2 9 3 3 4 2" xfId="23176" xr:uid="{00000000-0005-0000-0000-0000A83E0000}"/>
    <cellStyle name="Input 2 9 3 3 4 3" xfId="23177" xr:uid="{00000000-0005-0000-0000-0000A93E0000}"/>
    <cellStyle name="Input 2 9 3 3 5" xfId="23178" xr:uid="{00000000-0005-0000-0000-0000AA3E0000}"/>
    <cellStyle name="Input 2 9 3 3 5 2" xfId="23179" xr:uid="{00000000-0005-0000-0000-0000AB3E0000}"/>
    <cellStyle name="Input 2 9 3 3 5 3" xfId="23180" xr:uid="{00000000-0005-0000-0000-0000AC3E0000}"/>
    <cellStyle name="Input 2 9 3 3 6" xfId="23181" xr:uid="{00000000-0005-0000-0000-0000AD3E0000}"/>
    <cellStyle name="Input 2 9 3 3 7" xfId="23183" xr:uid="{00000000-0005-0000-0000-0000AE3E0000}"/>
    <cellStyle name="Input 2 9 3 4" xfId="23185" xr:uid="{00000000-0005-0000-0000-0000AF3E0000}"/>
    <cellStyle name="Input 2 9 3 4 2" xfId="23188" xr:uid="{00000000-0005-0000-0000-0000B03E0000}"/>
    <cellStyle name="Input 2 9 3 4 2 2" xfId="23189" xr:uid="{00000000-0005-0000-0000-0000B13E0000}"/>
    <cellStyle name="Input 2 9 3 4 2 3" xfId="67" xr:uid="{00000000-0005-0000-0000-0000B23E0000}"/>
    <cellStyle name="Input 2 9 3 4 2 4" xfId="23190" xr:uid="{00000000-0005-0000-0000-0000B33E0000}"/>
    <cellStyle name="Input 2 9 3 4 3" xfId="23192" xr:uid="{00000000-0005-0000-0000-0000B43E0000}"/>
    <cellStyle name="Input 2 9 3 4 3 2" xfId="23193" xr:uid="{00000000-0005-0000-0000-0000B53E0000}"/>
    <cellStyle name="Input 2 9 3 4 3 3" xfId="23194" xr:uid="{00000000-0005-0000-0000-0000B63E0000}"/>
    <cellStyle name="Input 2 9 3 4 3 4" xfId="23195" xr:uid="{00000000-0005-0000-0000-0000B73E0000}"/>
    <cellStyle name="Input 2 9 3 4 4" xfId="23197" xr:uid="{00000000-0005-0000-0000-0000B83E0000}"/>
    <cellStyle name="Input 2 9 3 4 4 2" xfId="23198" xr:uid="{00000000-0005-0000-0000-0000B93E0000}"/>
    <cellStyle name="Input 2 9 3 4 4 3" xfId="23199" xr:uid="{00000000-0005-0000-0000-0000BA3E0000}"/>
    <cellStyle name="Input 2 9 3 4 5" xfId="23200" xr:uid="{00000000-0005-0000-0000-0000BB3E0000}"/>
    <cellStyle name="Input 2 9 3 4 5 2" xfId="23201" xr:uid="{00000000-0005-0000-0000-0000BC3E0000}"/>
    <cellStyle name="Input 2 9 3 4 5 3" xfId="23202" xr:uid="{00000000-0005-0000-0000-0000BD3E0000}"/>
    <cellStyle name="Input 2 9 3 4 6" xfId="23203" xr:uid="{00000000-0005-0000-0000-0000BE3E0000}"/>
    <cellStyle name="Input 2 9 3 4 7" xfId="23204" xr:uid="{00000000-0005-0000-0000-0000BF3E0000}"/>
    <cellStyle name="Input 2 9 3 5" xfId="23205" xr:uid="{00000000-0005-0000-0000-0000C03E0000}"/>
    <cellStyle name="Input 2 9 3 5 2" xfId="23206" xr:uid="{00000000-0005-0000-0000-0000C13E0000}"/>
    <cellStyle name="Input 2 9 3 5 2 2" xfId="23207" xr:uid="{00000000-0005-0000-0000-0000C23E0000}"/>
    <cellStyle name="Input 2 9 3 5 2 3" xfId="23209" xr:uid="{00000000-0005-0000-0000-0000C33E0000}"/>
    <cellStyle name="Input 2 9 3 5 2 4" xfId="23211" xr:uid="{00000000-0005-0000-0000-0000C43E0000}"/>
    <cellStyle name="Input 2 9 3 5 3" xfId="23214" xr:uid="{00000000-0005-0000-0000-0000C53E0000}"/>
    <cellStyle name="Input 2 9 3 5 3 2" xfId="23215" xr:uid="{00000000-0005-0000-0000-0000C63E0000}"/>
    <cellStyle name="Input 2 9 3 5 3 3" xfId="23217" xr:uid="{00000000-0005-0000-0000-0000C73E0000}"/>
    <cellStyle name="Input 2 9 3 5 3 4" xfId="23219" xr:uid="{00000000-0005-0000-0000-0000C83E0000}"/>
    <cellStyle name="Input 2 9 3 5 4" xfId="23222" xr:uid="{00000000-0005-0000-0000-0000C93E0000}"/>
    <cellStyle name="Input 2 9 3 5 4 2" xfId="6867" xr:uid="{00000000-0005-0000-0000-0000CA3E0000}"/>
    <cellStyle name="Input 2 9 3 5 4 3" xfId="6872" xr:uid="{00000000-0005-0000-0000-0000CB3E0000}"/>
    <cellStyle name="Input 2 9 3 5 5" xfId="23223" xr:uid="{00000000-0005-0000-0000-0000CC3E0000}"/>
    <cellStyle name="Input 2 9 3 5 5 2" xfId="6883" xr:uid="{00000000-0005-0000-0000-0000CD3E0000}"/>
    <cellStyle name="Input 2 9 3 5 5 3" xfId="3021" xr:uid="{00000000-0005-0000-0000-0000CE3E0000}"/>
    <cellStyle name="Input 2 9 3 5 6" xfId="23224" xr:uid="{00000000-0005-0000-0000-0000CF3E0000}"/>
    <cellStyle name="Input 2 9 3 5 7" xfId="23226" xr:uid="{00000000-0005-0000-0000-0000D03E0000}"/>
    <cellStyle name="Input 2 9 3 6" xfId="23229" xr:uid="{00000000-0005-0000-0000-0000D13E0000}"/>
    <cellStyle name="Input 2 9 3 6 2" xfId="23230" xr:uid="{00000000-0005-0000-0000-0000D23E0000}"/>
    <cellStyle name="Input 2 9 3 6 2 2" xfId="23231" xr:uid="{00000000-0005-0000-0000-0000D33E0000}"/>
    <cellStyle name="Input 2 9 3 6 2 3" xfId="23233" xr:uid="{00000000-0005-0000-0000-0000D43E0000}"/>
    <cellStyle name="Input 2 9 3 6 2 4" xfId="23235" xr:uid="{00000000-0005-0000-0000-0000D53E0000}"/>
    <cellStyle name="Input 2 9 3 6 3" xfId="23238" xr:uid="{00000000-0005-0000-0000-0000D63E0000}"/>
    <cellStyle name="Input 2 9 3 6 3 2" xfId="23239" xr:uid="{00000000-0005-0000-0000-0000D73E0000}"/>
    <cellStyle name="Input 2 9 3 6 3 3" xfId="23241" xr:uid="{00000000-0005-0000-0000-0000D83E0000}"/>
    <cellStyle name="Input 2 9 3 6 3 4" xfId="23243" xr:uid="{00000000-0005-0000-0000-0000D93E0000}"/>
    <cellStyle name="Input 2 9 3 6 4" xfId="23246" xr:uid="{00000000-0005-0000-0000-0000DA3E0000}"/>
    <cellStyle name="Input 2 9 3 6 4 2" xfId="23247" xr:uid="{00000000-0005-0000-0000-0000DB3E0000}"/>
    <cellStyle name="Input 2 9 3 6 4 3" xfId="23249" xr:uid="{00000000-0005-0000-0000-0000DC3E0000}"/>
    <cellStyle name="Input 2 9 3 6 5" xfId="23251" xr:uid="{00000000-0005-0000-0000-0000DD3E0000}"/>
    <cellStyle name="Input 2 9 3 6 5 2" xfId="23252" xr:uid="{00000000-0005-0000-0000-0000DE3E0000}"/>
    <cellStyle name="Input 2 9 3 6 5 3" xfId="23254" xr:uid="{00000000-0005-0000-0000-0000DF3E0000}"/>
    <cellStyle name="Input 2 9 3 6 6" xfId="23256" xr:uid="{00000000-0005-0000-0000-0000E03E0000}"/>
    <cellStyle name="Input 2 9 3 6 7" xfId="23258" xr:uid="{00000000-0005-0000-0000-0000E13E0000}"/>
    <cellStyle name="Input 2 9 3 7" xfId="23261" xr:uid="{00000000-0005-0000-0000-0000E23E0000}"/>
    <cellStyle name="Input 2 9 3 7 2" xfId="23262" xr:uid="{00000000-0005-0000-0000-0000E33E0000}"/>
    <cellStyle name="Input 2 9 3 7 2 2" xfId="8363" xr:uid="{00000000-0005-0000-0000-0000E43E0000}"/>
    <cellStyle name="Input 2 9 3 7 2 3" xfId="8366" xr:uid="{00000000-0005-0000-0000-0000E53E0000}"/>
    <cellStyle name="Input 2 9 3 7 2 4" xfId="23263" xr:uid="{00000000-0005-0000-0000-0000E63E0000}"/>
    <cellStyle name="Input 2 9 3 7 3" xfId="23266" xr:uid="{00000000-0005-0000-0000-0000E73E0000}"/>
    <cellStyle name="Input 2 9 3 7 3 2" xfId="8373" xr:uid="{00000000-0005-0000-0000-0000E83E0000}"/>
    <cellStyle name="Input 2 9 3 7 3 3" xfId="8376" xr:uid="{00000000-0005-0000-0000-0000E93E0000}"/>
    <cellStyle name="Input 2 9 3 7 3 4" xfId="23267" xr:uid="{00000000-0005-0000-0000-0000EA3E0000}"/>
    <cellStyle name="Input 2 9 3 7 4" xfId="23270" xr:uid="{00000000-0005-0000-0000-0000EB3E0000}"/>
    <cellStyle name="Input 2 9 3 7 4 2" xfId="23271" xr:uid="{00000000-0005-0000-0000-0000EC3E0000}"/>
    <cellStyle name="Input 2 9 3 7 4 3" xfId="23273" xr:uid="{00000000-0005-0000-0000-0000ED3E0000}"/>
    <cellStyle name="Input 2 9 3 7 5" xfId="23275" xr:uid="{00000000-0005-0000-0000-0000EE3E0000}"/>
    <cellStyle name="Input 2 9 3 7 5 2" xfId="23276" xr:uid="{00000000-0005-0000-0000-0000EF3E0000}"/>
    <cellStyle name="Input 2 9 3 7 5 3" xfId="23279" xr:uid="{00000000-0005-0000-0000-0000F03E0000}"/>
    <cellStyle name="Input 2 9 3 7 6" xfId="23282" xr:uid="{00000000-0005-0000-0000-0000F13E0000}"/>
    <cellStyle name="Input 2 9 3 7 7" xfId="23284" xr:uid="{00000000-0005-0000-0000-0000F23E0000}"/>
    <cellStyle name="Input 2 9 3 8" xfId="23287" xr:uid="{00000000-0005-0000-0000-0000F33E0000}"/>
    <cellStyle name="Input 2 9 3 8 2" xfId="23289" xr:uid="{00000000-0005-0000-0000-0000F43E0000}"/>
    <cellStyle name="Input 2 9 3 8 2 2" xfId="23292" xr:uid="{00000000-0005-0000-0000-0000F53E0000}"/>
    <cellStyle name="Input 2 9 3 8 2 3" xfId="23297" xr:uid="{00000000-0005-0000-0000-0000F63E0000}"/>
    <cellStyle name="Input 2 9 3 8 2 4" xfId="23301" xr:uid="{00000000-0005-0000-0000-0000F73E0000}"/>
    <cellStyle name="Input 2 9 3 8 3" xfId="23305" xr:uid="{00000000-0005-0000-0000-0000F83E0000}"/>
    <cellStyle name="Input 2 9 3 8 3 2" xfId="23308" xr:uid="{00000000-0005-0000-0000-0000F93E0000}"/>
    <cellStyle name="Input 2 9 3 8 3 3" xfId="23313" xr:uid="{00000000-0005-0000-0000-0000FA3E0000}"/>
    <cellStyle name="Input 2 9 3 8 3 4" xfId="23317" xr:uid="{00000000-0005-0000-0000-0000FB3E0000}"/>
    <cellStyle name="Input 2 9 3 8 4" xfId="463" xr:uid="{00000000-0005-0000-0000-0000FC3E0000}"/>
    <cellStyle name="Input 2 9 3 8 4 2" xfId="23321" xr:uid="{00000000-0005-0000-0000-0000FD3E0000}"/>
    <cellStyle name="Input 2 9 3 8 4 3" xfId="23325" xr:uid="{00000000-0005-0000-0000-0000FE3E0000}"/>
    <cellStyle name="Input 2 9 3 8 5" xfId="23330" xr:uid="{00000000-0005-0000-0000-0000FF3E0000}"/>
    <cellStyle name="Input 2 9 3 8 5 2" xfId="23333" xr:uid="{00000000-0005-0000-0000-0000003F0000}"/>
    <cellStyle name="Input 2 9 3 8 5 3" xfId="23337" xr:uid="{00000000-0005-0000-0000-0000013F0000}"/>
    <cellStyle name="Input 2 9 3 8 6" xfId="23341" xr:uid="{00000000-0005-0000-0000-0000023F0000}"/>
    <cellStyle name="Input 2 9 3 8 7" xfId="23345" xr:uid="{00000000-0005-0000-0000-0000033F0000}"/>
    <cellStyle name="Input 2 9 3 9" xfId="23348" xr:uid="{00000000-0005-0000-0000-0000043F0000}"/>
    <cellStyle name="Input 2 9 3 9 2" xfId="73" xr:uid="{00000000-0005-0000-0000-0000053F0000}"/>
    <cellStyle name="Input 2 9 3 9 2 2" xfId="23350" xr:uid="{00000000-0005-0000-0000-0000063F0000}"/>
    <cellStyle name="Input 2 9 3 9 2 3" xfId="23354" xr:uid="{00000000-0005-0000-0000-0000073F0000}"/>
    <cellStyle name="Input 2 9 3 9 2 4" xfId="23358" xr:uid="{00000000-0005-0000-0000-0000083F0000}"/>
    <cellStyle name="Input 2 9 3 9 3" xfId="27" xr:uid="{00000000-0005-0000-0000-0000093F0000}"/>
    <cellStyle name="Input 2 9 3 9 3 2" xfId="23362" xr:uid="{00000000-0005-0000-0000-00000A3F0000}"/>
    <cellStyle name="Input 2 9 3 9 3 3" xfId="23366" xr:uid="{00000000-0005-0000-0000-00000B3F0000}"/>
    <cellStyle name="Input 2 9 3 9 3 4" xfId="23370" xr:uid="{00000000-0005-0000-0000-00000C3F0000}"/>
    <cellStyle name="Input 2 9 3 9 4" xfId="80" xr:uid="{00000000-0005-0000-0000-00000D3F0000}"/>
    <cellStyle name="Input 2 9 3 9 4 2" xfId="23374" xr:uid="{00000000-0005-0000-0000-00000E3F0000}"/>
    <cellStyle name="Input 2 9 3 9 4 3" xfId="23377" xr:uid="{00000000-0005-0000-0000-00000F3F0000}"/>
    <cellStyle name="Input 2 9 3 9 5" xfId="23382" xr:uid="{00000000-0005-0000-0000-0000103F0000}"/>
    <cellStyle name="Input 2 9 3 9 5 2" xfId="23385" xr:uid="{00000000-0005-0000-0000-0000113F0000}"/>
    <cellStyle name="Input 2 9 3 9 5 3" xfId="23388" xr:uid="{00000000-0005-0000-0000-0000123F0000}"/>
    <cellStyle name="Input 2 9 3 9 6" xfId="23392" xr:uid="{00000000-0005-0000-0000-0000133F0000}"/>
    <cellStyle name="Input 2 9 3 9 7" xfId="23394" xr:uid="{00000000-0005-0000-0000-0000143F0000}"/>
    <cellStyle name="Input 2 9 4" xfId="15541" xr:uid="{00000000-0005-0000-0000-0000153F0000}"/>
    <cellStyle name="Input 2 9 4 2" xfId="18103" xr:uid="{00000000-0005-0000-0000-0000163F0000}"/>
    <cellStyle name="Input 2 9 4 2 2" xfId="23396" xr:uid="{00000000-0005-0000-0000-0000173F0000}"/>
    <cellStyle name="Input 2 9 4 2 3" xfId="23397" xr:uid="{00000000-0005-0000-0000-0000183F0000}"/>
    <cellStyle name="Input 2 9 4 2 4" xfId="23398" xr:uid="{00000000-0005-0000-0000-0000193F0000}"/>
    <cellStyle name="Input 2 9 4 3" xfId="18106" xr:uid="{00000000-0005-0000-0000-00001A3F0000}"/>
    <cellStyle name="Input 2 9 4 3 2" xfId="23399" xr:uid="{00000000-0005-0000-0000-00001B3F0000}"/>
    <cellStyle name="Input 2 9 4 3 3" xfId="7792" xr:uid="{00000000-0005-0000-0000-00001C3F0000}"/>
    <cellStyle name="Input 2 9 4 3 4" xfId="23400" xr:uid="{00000000-0005-0000-0000-00001D3F0000}"/>
    <cellStyle name="Input 2 9 4 4" xfId="23401" xr:uid="{00000000-0005-0000-0000-00001E3F0000}"/>
    <cellStyle name="Input 2 9 4 4 2" xfId="23404" xr:uid="{00000000-0005-0000-0000-00001F3F0000}"/>
    <cellStyle name="Input 2 9 4 4 3" xfId="23405" xr:uid="{00000000-0005-0000-0000-0000203F0000}"/>
    <cellStyle name="Input 2 9 4 5" xfId="23406" xr:uid="{00000000-0005-0000-0000-0000213F0000}"/>
    <cellStyle name="Input 2 9 4 5 2" xfId="23407" xr:uid="{00000000-0005-0000-0000-0000223F0000}"/>
    <cellStyle name="Input 2 9 4 5 3" xfId="23408" xr:uid="{00000000-0005-0000-0000-0000233F0000}"/>
    <cellStyle name="Input 2 9 4 6" xfId="23409" xr:uid="{00000000-0005-0000-0000-0000243F0000}"/>
    <cellStyle name="Input 2 9 4 7" xfId="11239" xr:uid="{00000000-0005-0000-0000-0000253F0000}"/>
    <cellStyle name="Input 2 9 5" xfId="15543" xr:uid="{00000000-0005-0000-0000-0000263F0000}"/>
    <cellStyle name="Input 2 9 5 2" xfId="18137" xr:uid="{00000000-0005-0000-0000-0000273F0000}"/>
    <cellStyle name="Input 2 9 5 2 2" xfId="23410" xr:uid="{00000000-0005-0000-0000-0000283F0000}"/>
    <cellStyle name="Input 2 9 5 2 3" xfId="23411" xr:uid="{00000000-0005-0000-0000-0000293F0000}"/>
    <cellStyle name="Input 2 9 5 2 4" xfId="2720" xr:uid="{00000000-0005-0000-0000-00002A3F0000}"/>
    <cellStyle name="Input 2 9 5 3" xfId="5251" xr:uid="{00000000-0005-0000-0000-00002B3F0000}"/>
    <cellStyle name="Input 2 9 5 3 2" xfId="5796" xr:uid="{00000000-0005-0000-0000-00002C3F0000}"/>
    <cellStyle name="Input 2 9 5 3 3" xfId="3346" xr:uid="{00000000-0005-0000-0000-00002D3F0000}"/>
    <cellStyle name="Input 2 9 5 3 4" xfId="2748" xr:uid="{00000000-0005-0000-0000-00002E3F0000}"/>
    <cellStyle name="Input 2 9 5 4" xfId="5255" xr:uid="{00000000-0005-0000-0000-00002F3F0000}"/>
    <cellStyle name="Input 2 9 5 4 2" xfId="1138" xr:uid="{00000000-0005-0000-0000-0000303F0000}"/>
    <cellStyle name="Input 2 9 5 4 3" xfId="1150" xr:uid="{00000000-0005-0000-0000-0000313F0000}"/>
    <cellStyle name="Input 2 9 5 5" xfId="5798" xr:uid="{00000000-0005-0000-0000-0000323F0000}"/>
    <cellStyle name="Input 2 9 5 5 2" xfId="5803" xr:uid="{00000000-0005-0000-0000-0000333F0000}"/>
    <cellStyle name="Input 2 9 5 5 3" xfId="5808" xr:uid="{00000000-0005-0000-0000-0000343F0000}"/>
    <cellStyle name="Input 2 9 5 6" xfId="5810" xr:uid="{00000000-0005-0000-0000-0000353F0000}"/>
    <cellStyle name="Input 2 9 5 7" xfId="5813" xr:uid="{00000000-0005-0000-0000-0000363F0000}"/>
    <cellStyle name="Input 2 9 6" xfId="15545" xr:uid="{00000000-0005-0000-0000-0000373F0000}"/>
    <cellStyle name="Input 2 9 6 2" xfId="18172" xr:uid="{00000000-0005-0000-0000-0000383F0000}"/>
    <cellStyle name="Input 2 9 6 2 2" xfId="23412" xr:uid="{00000000-0005-0000-0000-0000393F0000}"/>
    <cellStyle name="Input 2 9 6 2 3" xfId="23413" xr:uid="{00000000-0005-0000-0000-00003A3F0000}"/>
    <cellStyle name="Input 2 9 6 2 4" xfId="23414" xr:uid="{00000000-0005-0000-0000-00003B3F0000}"/>
    <cellStyle name="Input 2 9 6 3" xfId="5263" xr:uid="{00000000-0005-0000-0000-00003C3F0000}"/>
    <cellStyle name="Input 2 9 6 3 2" xfId="5818" xr:uid="{00000000-0005-0000-0000-00003D3F0000}"/>
    <cellStyle name="Input 2 9 6 3 3" xfId="3746" xr:uid="{00000000-0005-0000-0000-00003E3F0000}"/>
    <cellStyle name="Input 2 9 6 3 4" xfId="3757" xr:uid="{00000000-0005-0000-0000-00003F3F0000}"/>
    <cellStyle name="Input 2 9 6 4" xfId="5267" xr:uid="{00000000-0005-0000-0000-0000403F0000}"/>
    <cellStyle name="Input 2 9 6 4 2" xfId="1668" xr:uid="{00000000-0005-0000-0000-0000413F0000}"/>
    <cellStyle name="Input 2 9 6 4 3" xfId="123" xr:uid="{00000000-0005-0000-0000-0000423F0000}"/>
    <cellStyle name="Input 2 9 6 5" xfId="5819" xr:uid="{00000000-0005-0000-0000-0000433F0000}"/>
    <cellStyle name="Input 2 9 6 5 2" xfId="175" xr:uid="{00000000-0005-0000-0000-0000443F0000}"/>
    <cellStyle name="Input 2 9 6 5 3" xfId="5823" xr:uid="{00000000-0005-0000-0000-0000453F0000}"/>
    <cellStyle name="Input 2 9 6 6" xfId="5824" xr:uid="{00000000-0005-0000-0000-0000463F0000}"/>
    <cellStyle name="Input 2 9 6 7" xfId="5830" xr:uid="{00000000-0005-0000-0000-0000473F0000}"/>
    <cellStyle name="Input 2 9 7" xfId="1472" xr:uid="{00000000-0005-0000-0000-0000483F0000}"/>
    <cellStyle name="Input 2 9 7 2" xfId="18205" xr:uid="{00000000-0005-0000-0000-0000493F0000}"/>
    <cellStyle name="Input 2 9 7 2 2" xfId="23415" xr:uid="{00000000-0005-0000-0000-00004A3F0000}"/>
    <cellStyle name="Input 2 9 7 2 3" xfId="23416" xr:uid="{00000000-0005-0000-0000-00004B3F0000}"/>
    <cellStyle name="Input 2 9 7 2 4" xfId="23417" xr:uid="{00000000-0005-0000-0000-00004C3F0000}"/>
    <cellStyle name="Input 2 9 7 3" xfId="5838" xr:uid="{00000000-0005-0000-0000-00004D3F0000}"/>
    <cellStyle name="Input 2 9 7 3 2" xfId="5840" xr:uid="{00000000-0005-0000-0000-00004E3F0000}"/>
    <cellStyle name="Input 2 9 7 3 3" xfId="5842" xr:uid="{00000000-0005-0000-0000-00004F3F0000}"/>
    <cellStyle name="Input 2 9 7 3 4" xfId="5844" xr:uid="{00000000-0005-0000-0000-0000503F0000}"/>
    <cellStyle name="Input 2 9 7 4" xfId="5846" xr:uid="{00000000-0005-0000-0000-0000513F0000}"/>
    <cellStyle name="Input 2 9 7 4 2" xfId="5848" xr:uid="{00000000-0005-0000-0000-0000523F0000}"/>
    <cellStyle name="Input 2 9 7 4 3" xfId="5850" xr:uid="{00000000-0005-0000-0000-0000533F0000}"/>
    <cellStyle name="Input 2 9 7 5" xfId="5852" xr:uid="{00000000-0005-0000-0000-0000543F0000}"/>
    <cellStyle name="Input 2 9 7 5 2" xfId="5856" xr:uid="{00000000-0005-0000-0000-0000553F0000}"/>
    <cellStyle name="Input 2 9 7 5 3" xfId="5858" xr:uid="{00000000-0005-0000-0000-0000563F0000}"/>
    <cellStyle name="Input 2 9 7 6" xfId="5859" xr:uid="{00000000-0005-0000-0000-0000573F0000}"/>
    <cellStyle name="Input 2 9 7 7" xfId="5869" xr:uid="{00000000-0005-0000-0000-0000583F0000}"/>
    <cellStyle name="Input 2 9 8" xfId="1500" xr:uid="{00000000-0005-0000-0000-0000593F0000}"/>
    <cellStyle name="Input 2 9 8 2" xfId="337" xr:uid="{00000000-0005-0000-0000-00005A3F0000}"/>
    <cellStyle name="Input 2 9 8 2 2" xfId="5994" xr:uid="{00000000-0005-0000-0000-00005B3F0000}"/>
    <cellStyle name="Input 2 9 8 2 3" xfId="7233" xr:uid="{00000000-0005-0000-0000-00005C3F0000}"/>
    <cellStyle name="Input 2 9 8 2 4" xfId="16003" xr:uid="{00000000-0005-0000-0000-00005D3F0000}"/>
    <cellStyle name="Input 2 9 8 3" xfId="342" xr:uid="{00000000-0005-0000-0000-00005E3F0000}"/>
    <cellStyle name="Input 2 9 8 3 2" xfId="5875" xr:uid="{00000000-0005-0000-0000-00005F3F0000}"/>
    <cellStyle name="Input 2 9 8 3 3" xfId="5877" xr:uid="{00000000-0005-0000-0000-0000603F0000}"/>
    <cellStyle name="Input 2 9 8 3 4" xfId="5879" xr:uid="{00000000-0005-0000-0000-0000613F0000}"/>
    <cellStyle name="Input 2 9 8 4" xfId="347" xr:uid="{00000000-0005-0000-0000-0000623F0000}"/>
    <cellStyle name="Input 2 9 8 4 2" xfId="355" xr:uid="{00000000-0005-0000-0000-0000633F0000}"/>
    <cellStyle name="Input 2 9 8 4 3" xfId="363" xr:uid="{00000000-0005-0000-0000-0000643F0000}"/>
    <cellStyle name="Input 2 9 8 5" xfId="366" xr:uid="{00000000-0005-0000-0000-0000653F0000}"/>
    <cellStyle name="Input 2 9 8 5 2" xfId="5882" xr:uid="{00000000-0005-0000-0000-0000663F0000}"/>
    <cellStyle name="Input 2 9 8 5 3" xfId="5884" xr:uid="{00000000-0005-0000-0000-0000673F0000}"/>
    <cellStyle name="Input 2 9 8 6" xfId="374" xr:uid="{00000000-0005-0000-0000-0000683F0000}"/>
    <cellStyle name="Input 2 9 8 7" xfId="384" xr:uid="{00000000-0005-0000-0000-0000693F0000}"/>
    <cellStyle name="Input 2 9 9" xfId="1514" xr:uid="{00000000-0005-0000-0000-00006A3F0000}"/>
    <cellStyle name="Input 2 9 9 2" xfId="405" xr:uid="{00000000-0005-0000-0000-00006B3F0000}"/>
    <cellStyle name="Input 2 9 9 2 2" xfId="6201" xr:uid="{00000000-0005-0000-0000-00006C3F0000}"/>
    <cellStyle name="Input 2 9 9 2 3" xfId="23418" xr:uid="{00000000-0005-0000-0000-00006D3F0000}"/>
    <cellStyle name="Input 2 9 9 2 4" xfId="23419" xr:uid="{00000000-0005-0000-0000-00006E3F0000}"/>
    <cellStyle name="Input 2 9 9 3" xfId="5891" xr:uid="{00000000-0005-0000-0000-00006F3F0000}"/>
    <cellStyle name="Input 2 9 9 3 2" xfId="5894" xr:uid="{00000000-0005-0000-0000-0000703F0000}"/>
    <cellStyle name="Input 2 9 9 3 3" xfId="5896" xr:uid="{00000000-0005-0000-0000-0000713F0000}"/>
    <cellStyle name="Input 2 9 9 3 4" xfId="5898" xr:uid="{00000000-0005-0000-0000-0000723F0000}"/>
    <cellStyle name="Input 2 9 9 4" xfId="5900" xr:uid="{00000000-0005-0000-0000-0000733F0000}"/>
    <cellStyle name="Input 2 9 9 4 2" xfId="5903" xr:uid="{00000000-0005-0000-0000-0000743F0000}"/>
    <cellStyle name="Input 2 9 9 4 3" xfId="5906" xr:uid="{00000000-0005-0000-0000-0000753F0000}"/>
    <cellStyle name="Input 2 9 9 5" xfId="5909" xr:uid="{00000000-0005-0000-0000-0000763F0000}"/>
    <cellStyle name="Input 2 9 9 5 2" xfId="5915" xr:uid="{00000000-0005-0000-0000-0000773F0000}"/>
    <cellStyle name="Input 2 9 9 5 3" xfId="5917" xr:uid="{00000000-0005-0000-0000-0000783F0000}"/>
    <cellStyle name="Input 2 9 9 6" xfId="5918" xr:uid="{00000000-0005-0000-0000-0000793F0000}"/>
    <cellStyle name="Input 2 9 9 7" xfId="5926" xr:uid="{00000000-0005-0000-0000-00007A3F0000}"/>
    <cellStyle name="Input 3" xfId="15010" xr:uid="{00000000-0005-0000-0000-00007B3F0000}"/>
    <cellStyle name="Input 3 2" xfId="15900" xr:uid="{00000000-0005-0000-0000-00007C3F0000}"/>
    <cellStyle name="Input 3 3" xfId="19515" xr:uid="{00000000-0005-0000-0000-00007D3F0000}"/>
    <cellStyle name="Input 3 4" xfId="19520" xr:uid="{00000000-0005-0000-0000-00007E3F0000}"/>
    <cellStyle name="Input 4" xfId="19530" xr:uid="{00000000-0005-0000-0000-00007F3F0000}"/>
    <cellStyle name="Input 4 2" xfId="15907" xr:uid="{00000000-0005-0000-0000-0000803F0000}"/>
    <cellStyle name="Input 4 3" xfId="19533" xr:uid="{00000000-0005-0000-0000-0000813F0000}"/>
    <cellStyle name="Input 4 4" xfId="19537" xr:uid="{00000000-0005-0000-0000-0000823F0000}"/>
    <cellStyle name="Input 5" xfId="19547" xr:uid="{00000000-0005-0000-0000-0000833F0000}"/>
    <cellStyle name="Input 5 2" xfId="19550" xr:uid="{00000000-0005-0000-0000-0000843F0000}"/>
    <cellStyle name="Input 5 3" xfId="19554" xr:uid="{00000000-0005-0000-0000-0000853F0000}"/>
    <cellStyle name="Input 5 4" xfId="19560" xr:uid="{00000000-0005-0000-0000-0000863F0000}"/>
    <cellStyle name="Input 6" xfId="19570" xr:uid="{00000000-0005-0000-0000-0000873F0000}"/>
    <cellStyle name="Input 6 2" xfId="19573" xr:uid="{00000000-0005-0000-0000-0000883F0000}"/>
    <cellStyle name="Input 6 3" xfId="19577" xr:uid="{00000000-0005-0000-0000-0000893F0000}"/>
    <cellStyle name="Input 6 4" xfId="19582" xr:uid="{00000000-0005-0000-0000-00008A3F0000}"/>
    <cellStyle name="Input 7" xfId="19590" xr:uid="{00000000-0005-0000-0000-00008B3F0000}"/>
    <cellStyle name="Ledger 17 x 11 in" xfId="23420" xr:uid="{00000000-0005-0000-0000-00008C3F0000}"/>
    <cellStyle name="Linked Cell 2" xfId="23421" xr:uid="{00000000-0005-0000-0000-00008D3F0000}"/>
    <cellStyle name="Linked Cell 2 2" xfId="23422" xr:uid="{00000000-0005-0000-0000-00008E3F0000}"/>
    <cellStyle name="Linked Cell 2 2 2" xfId="23424" xr:uid="{00000000-0005-0000-0000-00008F3F0000}"/>
    <cellStyle name="Linked Cell 2 2 2 2" xfId="23426" xr:uid="{00000000-0005-0000-0000-0000903F0000}"/>
    <cellStyle name="Linked Cell 2 2 2 2 2" xfId="6419" xr:uid="{00000000-0005-0000-0000-0000913F0000}"/>
    <cellStyle name="Linked Cell 2 2 2 2 2 2" xfId="2705" xr:uid="{00000000-0005-0000-0000-0000923F0000}"/>
    <cellStyle name="Linked Cell 2 2 2 2 2 2 2" xfId="23427" xr:uid="{00000000-0005-0000-0000-0000933F0000}"/>
    <cellStyle name="Linked Cell 2 2 2 2 3" xfId="6421" xr:uid="{00000000-0005-0000-0000-0000943F0000}"/>
    <cellStyle name="Linked Cell 2 2 2 3" xfId="23428" xr:uid="{00000000-0005-0000-0000-0000953F0000}"/>
    <cellStyle name="Linked Cell 2 2 3" xfId="23429" xr:uid="{00000000-0005-0000-0000-0000963F0000}"/>
    <cellStyle name="Linked Cell 2 2 4" xfId="23431" xr:uid="{00000000-0005-0000-0000-0000973F0000}"/>
    <cellStyle name="Linked Cell 2 2 5" xfId="4668" xr:uid="{00000000-0005-0000-0000-0000983F0000}"/>
    <cellStyle name="Linked Cell 2 2 6" xfId="4674" xr:uid="{00000000-0005-0000-0000-0000993F0000}"/>
    <cellStyle name="Linked Cell 2 2 7" xfId="23432" xr:uid="{00000000-0005-0000-0000-00009A3F0000}"/>
    <cellStyle name="Linked Cell 2 2 8" xfId="23433" xr:uid="{00000000-0005-0000-0000-00009B3F0000}"/>
    <cellStyle name="Linked Cell 2 3" xfId="23434" xr:uid="{00000000-0005-0000-0000-00009C3F0000}"/>
    <cellStyle name="Linked Cell 2 4" xfId="23436" xr:uid="{00000000-0005-0000-0000-00009D3F0000}"/>
    <cellStyle name="Linked Cell 2 5" xfId="23438" xr:uid="{00000000-0005-0000-0000-00009E3F0000}"/>
    <cellStyle name="Linked Cell 2 5 2" xfId="23440" xr:uid="{00000000-0005-0000-0000-00009F3F0000}"/>
    <cellStyle name="Linked Cell 2 5 2 2" xfId="3340" xr:uid="{00000000-0005-0000-0000-0000A03F0000}"/>
    <cellStyle name="Linked Cell 2 5 2 2 2" xfId="17082" xr:uid="{00000000-0005-0000-0000-0000A13F0000}"/>
    <cellStyle name="Linked Cell 2 5 3" xfId="23441" xr:uid="{00000000-0005-0000-0000-0000A23F0000}"/>
    <cellStyle name="Linked Cell 2 6" xfId="23442" xr:uid="{00000000-0005-0000-0000-0000A33F0000}"/>
    <cellStyle name="Linked Cell 2 7" xfId="23443" xr:uid="{00000000-0005-0000-0000-0000A43F0000}"/>
    <cellStyle name="Linked Cell 2 8" xfId="23444" xr:uid="{00000000-0005-0000-0000-0000A53F0000}"/>
    <cellStyle name="Linked Cell 2 9" xfId="23445" xr:uid="{00000000-0005-0000-0000-0000A63F0000}"/>
    <cellStyle name="Linked Cell 3" xfId="23446" xr:uid="{00000000-0005-0000-0000-0000A73F0000}"/>
    <cellStyle name="Linked Cell 4" xfId="23447" xr:uid="{00000000-0005-0000-0000-0000A83F0000}"/>
    <cellStyle name="Linked Cell 4 2" xfId="23448" xr:uid="{00000000-0005-0000-0000-0000A93F0000}"/>
    <cellStyle name="Linked Cell 5" xfId="18566" xr:uid="{00000000-0005-0000-0000-0000AA3F0000}"/>
    <cellStyle name="Linked Cell 6" xfId="23449" xr:uid="{00000000-0005-0000-0000-0000AB3F0000}"/>
    <cellStyle name="Linked Cell 7" xfId="23450" xr:uid="{00000000-0005-0000-0000-0000AC3F0000}"/>
    <cellStyle name="Migliaia (0)_results" xfId="23452" xr:uid="{00000000-0005-0000-0000-0000AD3F0000}"/>
    <cellStyle name="Migliaia_results" xfId="23453" xr:uid="{00000000-0005-0000-0000-0000AE3F0000}"/>
    <cellStyle name="Neutral 2" xfId="23454" xr:uid="{00000000-0005-0000-0000-0000AF3F0000}"/>
    <cellStyle name="Neutral 2 2" xfId="23455" xr:uid="{00000000-0005-0000-0000-0000B03F0000}"/>
    <cellStyle name="Neutral 2 2 2" xfId="23456" xr:uid="{00000000-0005-0000-0000-0000B13F0000}"/>
    <cellStyle name="Neutral 2 2 3" xfId="23457" xr:uid="{00000000-0005-0000-0000-0000B23F0000}"/>
    <cellStyle name="Neutral 2 2 4" xfId="23458" xr:uid="{00000000-0005-0000-0000-0000B33F0000}"/>
    <cellStyle name="Neutral 2 3" xfId="23459" xr:uid="{00000000-0005-0000-0000-0000B43F0000}"/>
    <cellStyle name="Neutral 2 4" xfId="23460" xr:uid="{00000000-0005-0000-0000-0000B53F0000}"/>
    <cellStyle name="Neutral 2 5" xfId="23461" xr:uid="{00000000-0005-0000-0000-0000B63F0000}"/>
    <cellStyle name="Neutral 2 5 2" xfId="23462" xr:uid="{00000000-0005-0000-0000-0000B73F0000}"/>
    <cellStyle name="Neutral 2 5 2 2" xfId="23463" xr:uid="{00000000-0005-0000-0000-0000B83F0000}"/>
    <cellStyle name="Neutral 2 5 2 2 2" xfId="23464" xr:uid="{00000000-0005-0000-0000-0000B93F0000}"/>
    <cellStyle name="Neutral 2 5 3" xfId="23466" xr:uid="{00000000-0005-0000-0000-0000BA3F0000}"/>
    <cellStyle name="Neutral 2 6" xfId="23467" xr:uid="{00000000-0005-0000-0000-0000BB3F0000}"/>
    <cellStyle name="Neutral 2 7" xfId="23468" xr:uid="{00000000-0005-0000-0000-0000BC3F0000}"/>
    <cellStyle name="Neutral 2 8" xfId="23469" xr:uid="{00000000-0005-0000-0000-0000BD3F0000}"/>
    <cellStyle name="Neutral 2 9" xfId="23471" xr:uid="{00000000-0005-0000-0000-0000BE3F0000}"/>
    <cellStyle name="Neutral 3" xfId="13899" xr:uid="{00000000-0005-0000-0000-0000BF3F0000}"/>
    <cellStyle name="Neutral 4" xfId="13901" xr:uid="{00000000-0005-0000-0000-0000C03F0000}"/>
    <cellStyle name="Neutral 5" xfId="13903" xr:uid="{00000000-0005-0000-0000-0000C13F0000}"/>
    <cellStyle name="Neutral 6" xfId="23473" xr:uid="{00000000-0005-0000-0000-0000C23F0000}"/>
    <cellStyle name="Neutral 7" xfId="23476" xr:uid="{00000000-0005-0000-0000-0000C33F0000}"/>
    <cellStyle name="Normal" xfId="0" builtinId="0"/>
    <cellStyle name="Normal - Style1" xfId="23479" xr:uid="{00000000-0005-0000-0000-0000C53F0000}"/>
    <cellStyle name="Normal - Style1 2" xfId="17239" xr:uid="{00000000-0005-0000-0000-0000C63F0000}"/>
    <cellStyle name="Normal 10" xfId="23480" xr:uid="{00000000-0005-0000-0000-0000C73F0000}"/>
    <cellStyle name="Normal 10 10" xfId="12397" xr:uid="{00000000-0005-0000-0000-0000C83F0000}"/>
    <cellStyle name="Normal 11" xfId="23482" xr:uid="{00000000-0005-0000-0000-0000C93F0000}"/>
    <cellStyle name="Normal 12" xfId="23483" xr:uid="{00000000-0005-0000-0000-0000CA3F0000}"/>
    <cellStyle name="Normal 13" xfId="23484" xr:uid="{00000000-0005-0000-0000-0000CB3F0000}"/>
    <cellStyle name="Normal 14" xfId="39116" xr:uid="{684DC5C9-4180-4E86-9971-5BD19693038F}"/>
    <cellStyle name="Normal 15" xfId="39117" xr:uid="{7622C1DB-75A0-434A-98FE-E46B111830DA}"/>
    <cellStyle name="Normal 16" xfId="39118" xr:uid="{A95CA4D5-A931-4889-A741-1A0CC4954FE6}"/>
    <cellStyle name="Normal 17" xfId="15977" xr:uid="{00000000-0005-0000-0000-0000CC3F0000}"/>
    <cellStyle name="Normal 2" xfId="23485" xr:uid="{00000000-0005-0000-0000-0000CD3F0000}"/>
    <cellStyle name="Normal 2 10" xfId="23487" xr:uid="{00000000-0005-0000-0000-0000CE3F0000}"/>
    <cellStyle name="Normal 2 11" xfId="23488" xr:uid="{00000000-0005-0000-0000-0000CF3F0000}"/>
    <cellStyle name="Normal 2 12" xfId="23489" xr:uid="{00000000-0005-0000-0000-0000D03F0000}"/>
    <cellStyle name="Normal 2 13" xfId="23490" xr:uid="{00000000-0005-0000-0000-0000D13F0000}"/>
    <cellStyle name="Normal 2 14" xfId="23491" xr:uid="{00000000-0005-0000-0000-0000D23F0000}"/>
    <cellStyle name="Normal 2 15" xfId="23492" xr:uid="{00000000-0005-0000-0000-0000D33F0000}"/>
    <cellStyle name="Normal 2 16" xfId="23494" xr:uid="{00000000-0005-0000-0000-0000D43F0000}"/>
    <cellStyle name="Normal 2 17" xfId="23496" xr:uid="{00000000-0005-0000-0000-0000D53F0000}"/>
    <cellStyle name="Normal 2 18" xfId="23498" xr:uid="{00000000-0005-0000-0000-0000D63F0000}"/>
    <cellStyle name="Normal 2 19" xfId="19653" xr:uid="{00000000-0005-0000-0000-0000D73F0000}"/>
    <cellStyle name="Normal 2 2" xfId="23500" xr:uid="{00000000-0005-0000-0000-0000D83F0000}"/>
    <cellStyle name="Normal 2 2 10" xfId="2977" xr:uid="{00000000-0005-0000-0000-0000D93F0000}"/>
    <cellStyle name="Normal 2 2 10 2" xfId="16180" xr:uid="{00000000-0005-0000-0000-0000DA3F0000}"/>
    <cellStyle name="Normal 2 2 10 2 2" xfId="16182" xr:uid="{00000000-0005-0000-0000-0000DB3F0000}"/>
    <cellStyle name="Normal 2 2 10 3" xfId="16188" xr:uid="{00000000-0005-0000-0000-0000DC3F0000}"/>
    <cellStyle name="Normal 2 2 11" xfId="23502" xr:uid="{00000000-0005-0000-0000-0000DD3F0000}"/>
    <cellStyle name="Normal 2 2 11 2" xfId="23504" xr:uid="{00000000-0005-0000-0000-0000DE3F0000}"/>
    <cellStyle name="Normal 2 2 12" xfId="120" xr:uid="{00000000-0005-0000-0000-0000DF3F0000}"/>
    <cellStyle name="Normal 2 2 2" xfId="23505" xr:uid="{00000000-0005-0000-0000-0000E03F0000}"/>
    <cellStyle name="Normal 2 2 2 10" xfId="22063" xr:uid="{00000000-0005-0000-0000-0000E13F0000}"/>
    <cellStyle name="Normal 2 2 2 2" xfId="23507" xr:uid="{00000000-0005-0000-0000-0000E23F0000}"/>
    <cellStyle name="Normal 2 2 2 2 2" xfId="23508" xr:uid="{00000000-0005-0000-0000-0000E33F0000}"/>
    <cellStyle name="Normal 2 2 2 2 2 2" xfId="23509" xr:uid="{00000000-0005-0000-0000-0000E43F0000}"/>
    <cellStyle name="Normal 2 2 2 2 3" xfId="23510" xr:uid="{00000000-0005-0000-0000-0000E53F0000}"/>
    <cellStyle name="Normal 2 2 2 3" xfId="15243" xr:uid="{00000000-0005-0000-0000-0000E63F0000}"/>
    <cellStyle name="Normal 2 2 2 3 2" xfId="23511" xr:uid="{00000000-0005-0000-0000-0000E73F0000}"/>
    <cellStyle name="Normal 2 2 2 3 2 2" xfId="23512" xr:uid="{00000000-0005-0000-0000-0000E83F0000}"/>
    <cellStyle name="Normal 2 2 2 3 3" xfId="23514" xr:uid="{00000000-0005-0000-0000-0000E93F0000}"/>
    <cellStyle name="Normal 2 2 2 4" xfId="15245" xr:uid="{00000000-0005-0000-0000-0000EA3F0000}"/>
    <cellStyle name="Normal 2 2 2 4 2" xfId="9130" xr:uid="{00000000-0005-0000-0000-0000EB3F0000}"/>
    <cellStyle name="Normal 2 2 2 4 2 2" xfId="23515" xr:uid="{00000000-0005-0000-0000-0000EC3F0000}"/>
    <cellStyle name="Normal 2 2 2 4 3" xfId="9132" xr:uid="{00000000-0005-0000-0000-0000ED3F0000}"/>
    <cellStyle name="Normal 2 2 2 5" xfId="15247" xr:uid="{00000000-0005-0000-0000-0000EE3F0000}"/>
    <cellStyle name="Normal 2 2 2 5 2" xfId="9138" xr:uid="{00000000-0005-0000-0000-0000EF3F0000}"/>
    <cellStyle name="Normal 2 2 2 5 2 2" xfId="23517" xr:uid="{00000000-0005-0000-0000-0000F03F0000}"/>
    <cellStyle name="Normal 2 2 2 5 3" xfId="9142" xr:uid="{00000000-0005-0000-0000-0000F13F0000}"/>
    <cellStyle name="Normal 2 2 2 6" xfId="23518" xr:uid="{00000000-0005-0000-0000-0000F23F0000}"/>
    <cellStyle name="Normal 2 2 2 6 2" xfId="9148" xr:uid="{00000000-0005-0000-0000-0000F33F0000}"/>
    <cellStyle name="Normal 2 2 2 6 2 2" xfId="23520" xr:uid="{00000000-0005-0000-0000-0000F43F0000}"/>
    <cellStyle name="Normal 2 2 2 6 3" xfId="23521" xr:uid="{00000000-0005-0000-0000-0000F53F0000}"/>
    <cellStyle name="Normal 2 2 2 7" xfId="23522" xr:uid="{00000000-0005-0000-0000-0000F63F0000}"/>
    <cellStyle name="Normal 2 2 2 7 2" xfId="7755" xr:uid="{00000000-0005-0000-0000-0000F73F0000}"/>
    <cellStyle name="Normal 2 2 2 7 2 2" xfId="23524" xr:uid="{00000000-0005-0000-0000-0000F83F0000}"/>
    <cellStyle name="Normal 2 2 2 7 3" xfId="7757" xr:uid="{00000000-0005-0000-0000-0000F93F0000}"/>
    <cellStyle name="Normal 2 2 2 8" xfId="23525" xr:uid="{00000000-0005-0000-0000-0000FA3F0000}"/>
    <cellStyle name="Normal 2 2 2 8 2" xfId="7765" xr:uid="{00000000-0005-0000-0000-0000FB3F0000}"/>
    <cellStyle name="Normal 2 2 2 8 2 2" xfId="23526" xr:uid="{00000000-0005-0000-0000-0000FC3F0000}"/>
    <cellStyle name="Normal 2 2 2 8 3" xfId="7767" xr:uid="{00000000-0005-0000-0000-0000FD3F0000}"/>
    <cellStyle name="Normal 2 2 2 9" xfId="23527" xr:uid="{00000000-0005-0000-0000-0000FE3F0000}"/>
    <cellStyle name="Normal 2 2 2 9 2" xfId="7776" xr:uid="{00000000-0005-0000-0000-0000FF3F0000}"/>
    <cellStyle name="Normal 2 2 3" xfId="23529" xr:uid="{00000000-0005-0000-0000-000000400000}"/>
    <cellStyle name="Normal 2 2 3 10" xfId="23127" xr:uid="{00000000-0005-0000-0000-000001400000}"/>
    <cellStyle name="Normal 2 2 3 2" xfId="23530" xr:uid="{00000000-0005-0000-0000-000002400000}"/>
    <cellStyle name="Normal 2 2 3 2 2" xfId="23531" xr:uid="{00000000-0005-0000-0000-000003400000}"/>
    <cellStyle name="Normal 2 2 3 2 2 2" xfId="18406" xr:uid="{00000000-0005-0000-0000-000004400000}"/>
    <cellStyle name="Normal 2 2 3 2 3" xfId="23532" xr:uid="{00000000-0005-0000-0000-000005400000}"/>
    <cellStyle name="Normal 2 2 3 3" xfId="15252" xr:uid="{00000000-0005-0000-0000-000006400000}"/>
    <cellStyle name="Normal 2 2 3 3 2" xfId="23533" xr:uid="{00000000-0005-0000-0000-000007400000}"/>
    <cellStyle name="Normal 2 2 3 3 2 2" xfId="20023" xr:uid="{00000000-0005-0000-0000-000008400000}"/>
    <cellStyle name="Normal 2 2 3 3 3" xfId="23534" xr:uid="{00000000-0005-0000-0000-000009400000}"/>
    <cellStyle name="Normal 2 2 3 4" xfId="15254" xr:uid="{00000000-0005-0000-0000-00000A400000}"/>
    <cellStyle name="Normal 2 2 3 4 2" xfId="23535" xr:uid="{00000000-0005-0000-0000-00000B400000}"/>
    <cellStyle name="Normal 2 2 3 4 2 2" xfId="15725" xr:uid="{00000000-0005-0000-0000-00000C400000}"/>
    <cellStyle name="Normal 2 2 3 4 3" xfId="23536" xr:uid="{00000000-0005-0000-0000-00000D400000}"/>
    <cellStyle name="Normal 2 2 3 5" xfId="23537" xr:uid="{00000000-0005-0000-0000-00000E400000}"/>
    <cellStyle name="Normal 2 2 3 5 2" xfId="4012" xr:uid="{00000000-0005-0000-0000-00000F400000}"/>
    <cellStyle name="Normal 2 2 3 5 2 2" xfId="4014" xr:uid="{00000000-0005-0000-0000-000010400000}"/>
    <cellStyle name="Normal 2 2 3 5 3" xfId="4023" xr:uid="{00000000-0005-0000-0000-000011400000}"/>
    <cellStyle name="Normal 2 2 3 6" xfId="23539" xr:uid="{00000000-0005-0000-0000-000012400000}"/>
    <cellStyle name="Normal 2 2 3 6 2" xfId="4059" xr:uid="{00000000-0005-0000-0000-000013400000}"/>
    <cellStyle name="Normal 2 2 3 6 2 2" xfId="4064" xr:uid="{00000000-0005-0000-0000-000014400000}"/>
    <cellStyle name="Normal 2 2 3 6 3" xfId="4068" xr:uid="{00000000-0005-0000-0000-000015400000}"/>
    <cellStyle name="Normal 2 2 3 7" xfId="23541" xr:uid="{00000000-0005-0000-0000-000016400000}"/>
    <cellStyle name="Normal 2 2 3 7 2" xfId="4101" xr:uid="{00000000-0005-0000-0000-000017400000}"/>
    <cellStyle name="Normal 2 2 3 7 2 2" xfId="4106" xr:uid="{00000000-0005-0000-0000-000018400000}"/>
    <cellStyle name="Normal 2 2 3 7 3" xfId="4116" xr:uid="{00000000-0005-0000-0000-000019400000}"/>
    <cellStyle name="Normal 2 2 3 8" xfId="23542" xr:uid="{00000000-0005-0000-0000-00001A400000}"/>
    <cellStyle name="Normal 2 2 3 8 2" xfId="4148" xr:uid="{00000000-0005-0000-0000-00001B400000}"/>
    <cellStyle name="Normal 2 2 3 8 2 2" xfId="23543" xr:uid="{00000000-0005-0000-0000-00001C400000}"/>
    <cellStyle name="Normal 2 2 3 8 3" xfId="4152" xr:uid="{00000000-0005-0000-0000-00001D400000}"/>
    <cellStyle name="Normal 2 2 3 9" xfId="23544" xr:uid="{00000000-0005-0000-0000-00001E400000}"/>
    <cellStyle name="Normal 2 2 3 9 2" xfId="1436" xr:uid="{00000000-0005-0000-0000-00001F400000}"/>
    <cellStyle name="Normal 2 2 4" xfId="23546" xr:uid="{00000000-0005-0000-0000-000020400000}"/>
    <cellStyle name="Normal 2 2 4 2" xfId="23547" xr:uid="{00000000-0005-0000-0000-000021400000}"/>
    <cellStyle name="Normal 2 2 4 2 2" xfId="23548" xr:uid="{00000000-0005-0000-0000-000022400000}"/>
    <cellStyle name="Normal 2 2 4 3" xfId="15258" xr:uid="{00000000-0005-0000-0000-000023400000}"/>
    <cellStyle name="Normal 2 2 5" xfId="23549" xr:uid="{00000000-0005-0000-0000-000024400000}"/>
    <cellStyle name="Normal 2 2 5 2" xfId="23550" xr:uid="{00000000-0005-0000-0000-000025400000}"/>
    <cellStyle name="Normal 2 2 5 2 2" xfId="23551" xr:uid="{00000000-0005-0000-0000-000026400000}"/>
    <cellStyle name="Normal 2 2 5 3" xfId="23552" xr:uid="{00000000-0005-0000-0000-000027400000}"/>
    <cellStyle name="Normal 2 2 6" xfId="23553" xr:uid="{00000000-0005-0000-0000-000028400000}"/>
    <cellStyle name="Normal 2 2 6 2" xfId="23554" xr:uid="{00000000-0005-0000-0000-000029400000}"/>
    <cellStyle name="Normal 2 2 6 2 2" xfId="23555" xr:uid="{00000000-0005-0000-0000-00002A400000}"/>
    <cellStyle name="Normal 2 2 6 3" xfId="23556" xr:uid="{00000000-0005-0000-0000-00002B400000}"/>
    <cellStyle name="Normal 2 2 7" xfId="23557" xr:uid="{00000000-0005-0000-0000-00002C400000}"/>
    <cellStyle name="Normal 2 2 7 2" xfId="23558" xr:uid="{00000000-0005-0000-0000-00002D400000}"/>
    <cellStyle name="Normal 2 2 7 2 2" xfId="23559" xr:uid="{00000000-0005-0000-0000-00002E400000}"/>
    <cellStyle name="Normal 2 2 7 3" xfId="23560" xr:uid="{00000000-0005-0000-0000-00002F400000}"/>
    <cellStyle name="Normal 2 2 8" xfId="23561" xr:uid="{00000000-0005-0000-0000-000030400000}"/>
    <cellStyle name="Normal 2 2 8 2" xfId="23562" xr:uid="{00000000-0005-0000-0000-000031400000}"/>
    <cellStyle name="Normal 2 2 8 2 2" xfId="9445" xr:uid="{00000000-0005-0000-0000-000032400000}"/>
    <cellStyle name="Normal 2 2 8 3" xfId="23563" xr:uid="{00000000-0005-0000-0000-000033400000}"/>
    <cellStyle name="Normal 2 2 9" xfId="23564" xr:uid="{00000000-0005-0000-0000-000034400000}"/>
    <cellStyle name="Normal 2 2 9 2" xfId="23565" xr:uid="{00000000-0005-0000-0000-000035400000}"/>
    <cellStyle name="Normal 2 2 9 2 2" xfId="9758" xr:uid="{00000000-0005-0000-0000-000036400000}"/>
    <cellStyle name="Normal 2 2 9 3" xfId="23566" xr:uid="{00000000-0005-0000-0000-000037400000}"/>
    <cellStyle name="Normal 2 20" xfId="23493" xr:uid="{00000000-0005-0000-0000-000038400000}"/>
    <cellStyle name="Normal 2 21" xfId="23495" xr:uid="{00000000-0005-0000-0000-000039400000}"/>
    <cellStyle name="Normal 2 22" xfId="23497" xr:uid="{00000000-0005-0000-0000-00003A400000}"/>
    <cellStyle name="Normal 2 23" xfId="23499" xr:uid="{00000000-0005-0000-0000-00003B400000}"/>
    <cellStyle name="Normal 2 24" xfId="19654" xr:uid="{00000000-0005-0000-0000-00003C400000}"/>
    <cellStyle name="Normal 2 25" xfId="19669" xr:uid="{00000000-0005-0000-0000-00003D400000}"/>
    <cellStyle name="Normal 2 26" xfId="19675" xr:uid="{00000000-0005-0000-0000-00003E400000}"/>
    <cellStyle name="Normal 2 27" xfId="23567" xr:uid="{00000000-0005-0000-0000-00003F400000}"/>
    <cellStyle name="Normal 2 28" xfId="23569" xr:uid="{00000000-0005-0000-0000-000040400000}"/>
    <cellStyle name="Normal 2 29" xfId="23572" xr:uid="{00000000-0005-0000-0000-000041400000}"/>
    <cellStyle name="Normal 2 3" xfId="23575" xr:uid="{00000000-0005-0000-0000-000042400000}"/>
    <cellStyle name="Normal 2 3 10" xfId="19755" xr:uid="{00000000-0005-0000-0000-000043400000}"/>
    <cellStyle name="Normal 2 3 10 2" xfId="5682" xr:uid="{00000000-0005-0000-0000-000044400000}"/>
    <cellStyle name="Normal 2 3 10 2 2" xfId="23577" xr:uid="{00000000-0005-0000-0000-000045400000}"/>
    <cellStyle name="Normal 2 3 10 3" xfId="23578" xr:uid="{00000000-0005-0000-0000-000046400000}"/>
    <cellStyle name="Normal 2 3 11" xfId="23579" xr:uid="{00000000-0005-0000-0000-000047400000}"/>
    <cellStyle name="Normal 2 3 11 2" xfId="5689" xr:uid="{00000000-0005-0000-0000-000048400000}"/>
    <cellStyle name="Normal 2 3 12" xfId="23580" xr:uid="{00000000-0005-0000-0000-000049400000}"/>
    <cellStyle name="Normal 2 3 2" xfId="23581" xr:uid="{00000000-0005-0000-0000-00004A400000}"/>
    <cellStyle name="Normal 2 3 2 10" xfId="22814" xr:uid="{00000000-0005-0000-0000-00004B400000}"/>
    <cellStyle name="Normal 2 3 2 2" xfId="23582" xr:uid="{00000000-0005-0000-0000-00004C400000}"/>
    <cellStyle name="Normal 2 3 2 2 2" xfId="23583" xr:uid="{00000000-0005-0000-0000-00004D400000}"/>
    <cellStyle name="Normal 2 3 2 2 2 2" xfId="23584" xr:uid="{00000000-0005-0000-0000-00004E400000}"/>
    <cellStyle name="Normal 2 3 2 2 3" xfId="23585" xr:uid="{00000000-0005-0000-0000-00004F400000}"/>
    <cellStyle name="Normal 2 3 2 3" xfId="15271" xr:uid="{00000000-0005-0000-0000-000050400000}"/>
    <cellStyle name="Normal 2 3 2 3 2" xfId="23586" xr:uid="{00000000-0005-0000-0000-000051400000}"/>
    <cellStyle name="Normal 2 3 2 3 2 2" xfId="23587" xr:uid="{00000000-0005-0000-0000-000052400000}"/>
    <cellStyle name="Normal 2 3 2 3 3" xfId="23588" xr:uid="{00000000-0005-0000-0000-000053400000}"/>
    <cellStyle name="Normal 2 3 2 4" xfId="15273" xr:uid="{00000000-0005-0000-0000-000054400000}"/>
    <cellStyle name="Normal 2 3 2 4 2" xfId="23589" xr:uid="{00000000-0005-0000-0000-000055400000}"/>
    <cellStyle name="Normal 2 3 2 4 2 2" xfId="23590" xr:uid="{00000000-0005-0000-0000-000056400000}"/>
    <cellStyle name="Normal 2 3 2 4 3" xfId="23591" xr:uid="{00000000-0005-0000-0000-000057400000}"/>
    <cellStyle name="Normal 2 3 2 5" xfId="15275" xr:uid="{00000000-0005-0000-0000-000058400000}"/>
    <cellStyle name="Normal 2 3 2 5 2" xfId="23592" xr:uid="{00000000-0005-0000-0000-000059400000}"/>
    <cellStyle name="Normal 2 3 2 5 2 2" xfId="23593" xr:uid="{00000000-0005-0000-0000-00005A400000}"/>
    <cellStyle name="Normal 2 3 2 5 3" xfId="23594" xr:uid="{00000000-0005-0000-0000-00005B400000}"/>
    <cellStyle name="Normal 2 3 2 6" xfId="23595" xr:uid="{00000000-0005-0000-0000-00005C400000}"/>
    <cellStyle name="Normal 2 3 2 6 2" xfId="23597" xr:uid="{00000000-0005-0000-0000-00005D400000}"/>
    <cellStyle name="Normal 2 3 2 6 2 2" xfId="23598" xr:uid="{00000000-0005-0000-0000-00005E400000}"/>
    <cellStyle name="Normal 2 3 2 6 3" xfId="23599" xr:uid="{00000000-0005-0000-0000-00005F400000}"/>
    <cellStyle name="Normal 2 3 2 7" xfId="23600" xr:uid="{00000000-0005-0000-0000-000060400000}"/>
    <cellStyle name="Normal 2 3 2 7 2" xfId="23602" xr:uid="{00000000-0005-0000-0000-000061400000}"/>
    <cellStyle name="Normal 2 3 2 7 2 2" xfId="23603" xr:uid="{00000000-0005-0000-0000-000062400000}"/>
    <cellStyle name="Normal 2 3 2 7 3" xfId="23604" xr:uid="{00000000-0005-0000-0000-000063400000}"/>
    <cellStyle name="Normal 2 3 2 8" xfId="23605" xr:uid="{00000000-0005-0000-0000-000064400000}"/>
    <cellStyle name="Normal 2 3 2 8 2" xfId="23606" xr:uid="{00000000-0005-0000-0000-000065400000}"/>
    <cellStyle name="Normal 2 3 2 8 2 2" xfId="23607" xr:uid="{00000000-0005-0000-0000-000066400000}"/>
    <cellStyle name="Normal 2 3 2 8 3" xfId="23608" xr:uid="{00000000-0005-0000-0000-000067400000}"/>
    <cellStyle name="Normal 2 3 2 9" xfId="23610" xr:uid="{00000000-0005-0000-0000-000068400000}"/>
    <cellStyle name="Normal 2 3 2 9 2" xfId="23611" xr:uid="{00000000-0005-0000-0000-000069400000}"/>
    <cellStyle name="Normal 2 3 3" xfId="23612" xr:uid="{00000000-0005-0000-0000-00006A400000}"/>
    <cellStyle name="Normal 2 3 3 10" xfId="23613" xr:uid="{00000000-0005-0000-0000-00006B400000}"/>
    <cellStyle name="Normal 2 3 3 2" xfId="23616" xr:uid="{00000000-0005-0000-0000-00006C400000}"/>
    <cellStyle name="Normal 2 3 3 2 2" xfId="17079" xr:uid="{00000000-0005-0000-0000-00006D400000}"/>
    <cellStyle name="Normal 2 3 3 2 2 2" xfId="20546" xr:uid="{00000000-0005-0000-0000-00006E400000}"/>
    <cellStyle name="Normal 2 3 3 2 3" xfId="40" xr:uid="{00000000-0005-0000-0000-00006F400000}"/>
    <cellStyle name="Normal 2 3 3 3" xfId="15279" xr:uid="{00000000-0005-0000-0000-000070400000}"/>
    <cellStyle name="Normal 2 3 3 3 2" xfId="23617" xr:uid="{00000000-0005-0000-0000-000071400000}"/>
    <cellStyle name="Normal 2 3 3 3 2 2" xfId="20571" xr:uid="{00000000-0005-0000-0000-000072400000}"/>
    <cellStyle name="Normal 2 3 3 3 3" xfId="23619" xr:uid="{00000000-0005-0000-0000-000073400000}"/>
    <cellStyle name="Normal 2 3 3 4" xfId="15281" xr:uid="{00000000-0005-0000-0000-000074400000}"/>
    <cellStyle name="Normal 2 3 3 4 2" xfId="23621" xr:uid="{00000000-0005-0000-0000-000075400000}"/>
    <cellStyle name="Normal 2 3 3 4 2 2" xfId="23623" xr:uid="{00000000-0005-0000-0000-000076400000}"/>
    <cellStyle name="Normal 2 3 3 4 3" xfId="23624" xr:uid="{00000000-0005-0000-0000-000077400000}"/>
    <cellStyle name="Normal 2 3 3 5" xfId="23626" xr:uid="{00000000-0005-0000-0000-000078400000}"/>
    <cellStyle name="Normal 2 3 3 5 2" xfId="6960" xr:uid="{00000000-0005-0000-0000-000079400000}"/>
    <cellStyle name="Normal 2 3 3 5 2 2" xfId="6067" xr:uid="{00000000-0005-0000-0000-00007A400000}"/>
    <cellStyle name="Normal 2 3 3 5 3" xfId="6962" xr:uid="{00000000-0005-0000-0000-00007B400000}"/>
    <cellStyle name="Normal 2 3 3 6" xfId="23628" xr:uid="{00000000-0005-0000-0000-00007C400000}"/>
    <cellStyle name="Normal 2 3 3 6 2" xfId="6969" xr:uid="{00000000-0005-0000-0000-00007D400000}"/>
    <cellStyle name="Normal 2 3 3 6 2 2" xfId="18817" xr:uid="{00000000-0005-0000-0000-00007E400000}"/>
    <cellStyle name="Normal 2 3 3 6 3" xfId="6972" xr:uid="{00000000-0005-0000-0000-00007F400000}"/>
    <cellStyle name="Normal 2 3 3 7" xfId="23630" xr:uid="{00000000-0005-0000-0000-000080400000}"/>
    <cellStyle name="Normal 2 3 3 7 2" xfId="6974" xr:uid="{00000000-0005-0000-0000-000081400000}"/>
    <cellStyle name="Normal 2 3 3 7 2 2" xfId="23631" xr:uid="{00000000-0005-0000-0000-000082400000}"/>
    <cellStyle name="Normal 2 3 3 7 3" xfId="6977" xr:uid="{00000000-0005-0000-0000-000083400000}"/>
    <cellStyle name="Normal 2 3 3 8" xfId="23632" xr:uid="{00000000-0005-0000-0000-000084400000}"/>
    <cellStyle name="Normal 2 3 3 8 2" xfId="6985" xr:uid="{00000000-0005-0000-0000-000085400000}"/>
    <cellStyle name="Normal 2 3 3 8 2 2" xfId="23633" xr:uid="{00000000-0005-0000-0000-000086400000}"/>
    <cellStyle name="Normal 2 3 3 8 3" xfId="23634" xr:uid="{00000000-0005-0000-0000-000087400000}"/>
    <cellStyle name="Normal 2 3 3 9" xfId="23635" xr:uid="{00000000-0005-0000-0000-000088400000}"/>
    <cellStyle name="Normal 2 3 3 9 2" xfId="3565" xr:uid="{00000000-0005-0000-0000-000089400000}"/>
    <cellStyle name="Normal 2 3 4" xfId="23636" xr:uid="{00000000-0005-0000-0000-00008A400000}"/>
    <cellStyle name="Normal 2 3 4 2" xfId="23637" xr:uid="{00000000-0005-0000-0000-00008B400000}"/>
    <cellStyle name="Normal 2 3 4 2 2" xfId="23638" xr:uid="{00000000-0005-0000-0000-00008C400000}"/>
    <cellStyle name="Normal 2 3 4 3" xfId="15284" xr:uid="{00000000-0005-0000-0000-00008D400000}"/>
    <cellStyle name="Normal 2 3 5" xfId="23486" xr:uid="{00000000-0005-0000-0000-00008E400000}"/>
    <cellStyle name="Normal 2 3 5 2" xfId="23501" xr:uid="{00000000-0005-0000-0000-00008F400000}"/>
    <cellStyle name="Normal 2 3 5 2 2" xfId="23506" xr:uid="{00000000-0005-0000-0000-000090400000}"/>
    <cellStyle name="Normal 2 3 5 3" xfId="23576" xr:uid="{00000000-0005-0000-0000-000091400000}"/>
    <cellStyle name="Normal 2 3 6" xfId="23639" xr:uid="{00000000-0005-0000-0000-000092400000}"/>
    <cellStyle name="Normal 2 3 6 2" xfId="3108" xr:uid="{00000000-0005-0000-0000-000093400000}"/>
    <cellStyle name="Normal 2 3 6 2 2" xfId="23641" xr:uid="{00000000-0005-0000-0000-000094400000}"/>
    <cellStyle name="Normal 2 3 6 3" xfId="3111" xr:uid="{00000000-0005-0000-0000-000095400000}"/>
    <cellStyle name="Normal 2 3 7" xfId="23643" xr:uid="{00000000-0005-0000-0000-000096400000}"/>
    <cellStyle name="Normal 2 3 7 2" xfId="23645" xr:uid="{00000000-0005-0000-0000-000097400000}"/>
    <cellStyle name="Normal 2 3 7 2 2" xfId="23647" xr:uid="{00000000-0005-0000-0000-000098400000}"/>
    <cellStyle name="Normal 2 3 7 3" xfId="23648" xr:uid="{00000000-0005-0000-0000-000099400000}"/>
    <cellStyle name="Normal 2 3 8" xfId="23650" xr:uid="{00000000-0005-0000-0000-00009A400000}"/>
    <cellStyle name="Normal 2 3 8 2" xfId="23652" xr:uid="{00000000-0005-0000-0000-00009B400000}"/>
    <cellStyle name="Normal 2 3 8 2 2" xfId="10361" xr:uid="{00000000-0005-0000-0000-00009C400000}"/>
    <cellStyle name="Normal 2 3 8 3" xfId="23654" xr:uid="{00000000-0005-0000-0000-00009D400000}"/>
    <cellStyle name="Normal 2 3 9" xfId="23656" xr:uid="{00000000-0005-0000-0000-00009E400000}"/>
    <cellStyle name="Normal 2 3 9 2" xfId="23658" xr:uid="{00000000-0005-0000-0000-00009F400000}"/>
    <cellStyle name="Normal 2 3 9 2 2" xfId="10612" xr:uid="{00000000-0005-0000-0000-0000A0400000}"/>
    <cellStyle name="Normal 2 3 9 3" xfId="23660" xr:uid="{00000000-0005-0000-0000-0000A1400000}"/>
    <cellStyle name="Normal 2 30" xfId="19670" xr:uid="{00000000-0005-0000-0000-0000A2400000}"/>
    <cellStyle name="Normal 2 31" xfId="19676" xr:uid="{00000000-0005-0000-0000-0000A3400000}"/>
    <cellStyle name="Normal 2 32" xfId="23568" xr:uid="{00000000-0005-0000-0000-0000A4400000}"/>
    <cellStyle name="Normal 2 33" xfId="23570" xr:uid="{00000000-0005-0000-0000-0000A5400000}"/>
    <cellStyle name="Normal 2 34" xfId="23573" xr:uid="{00000000-0005-0000-0000-0000A6400000}"/>
    <cellStyle name="Normal 2 35" xfId="23662" xr:uid="{00000000-0005-0000-0000-0000A7400000}"/>
    <cellStyle name="Normal 2 36" xfId="16598" xr:uid="{00000000-0005-0000-0000-0000A8400000}"/>
    <cellStyle name="Normal 2 37" xfId="16602" xr:uid="{00000000-0005-0000-0000-0000A9400000}"/>
    <cellStyle name="Normal 2 38" xfId="23665" xr:uid="{00000000-0005-0000-0000-0000AA400000}"/>
    <cellStyle name="Normal 2 38 2" xfId="12601" xr:uid="{00000000-0005-0000-0000-0000AB400000}"/>
    <cellStyle name="Normal 2 38 2 2" xfId="12603" xr:uid="{00000000-0005-0000-0000-0000AC400000}"/>
    <cellStyle name="Normal 2 38 2 2 2" xfId="12605" xr:uid="{00000000-0005-0000-0000-0000AD400000}"/>
    <cellStyle name="Normal 2 38 3" xfId="12633" xr:uid="{00000000-0005-0000-0000-0000AE400000}"/>
    <cellStyle name="Normal 2 39" xfId="23667" xr:uid="{00000000-0005-0000-0000-0000AF400000}"/>
    <cellStyle name="Normal 2 4" xfId="23669" xr:uid="{00000000-0005-0000-0000-0000B0400000}"/>
    <cellStyle name="Normal 2 4 10" xfId="23670" xr:uid="{00000000-0005-0000-0000-0000B1400000}"/>
    <cellStyle name="Normal 2 4 10 2" xfId="23671" xr:uid="{00000000-0005-0000-0000-0000B2400000}"/>
    <cellStyle name="Normal 2 4 10 2 2" xfId="11624" xr:uid="{00000000-0005-0000-0000-0000B3400000}"/>
    <cellStyle name="Normal 2 4 10 3" xfId="8775" xr:uid="{00000000-0005-0000-0000-0000B4400000}"/>
    <cellStyle name="Normal 2 4 11" xfId="23672" xr:uid="{00000000-0005-0000-0000-0000B5400000}"/>
    <cellStyle name="Normal 2 4 11 2" xfId="23673" xr:uid="{00000000-0005-0000-0000-0000B6400000}"/>
    <cellStyle name="Normal 2 4 12" xfId="23674" xr:uid="{00000000-0005-0000-0000-0000B7400000}"/>
    <cellStyle name="Normal 2 4 2" xfId="23675" xr:uid="{00000000-0005-0000-0000-0000B8400000}"/>
    <cellStyle name="Normal 2 4 2 10" xfId="23676" xr:uid="{00000000-0005-0000-0000-0000B9400000}"/>
    <cellStyle name="Normal 2 4 2 2" xfId="23677" xr:uid="{00000000-0005-0000-0000-0000BA400000}"/>
    <cellStyle name="Normal 2 4 2 2 2" xfId="23678" xr:uid="{00000000-0005-0000-0000-0000BB400000}"/>
    <cellStyle name="Normal 2 4 2 2 2 2" xfId="23679" xr:uid="{00000000-0005-0000-0000-0000BC400000}"/>
    <cellStyle name="Normal 2 4 2 2 3" xfId="23680" xr:uid="{00000000-0005-0000-0000-0000BD400000}"/>
    <cellStyle name="Normal 2 4 2 3" xfId="15297" xr:uid="{00000000-0005-0000-0000-0000BE400000}"/>
    <cellStyle name="Normal 2 4 2 3 2" xfId="13566" xr:uid="{00000000-0005-0000-0000-0000BF400000}"/>
    <cellStyle name="Normal 2 4 2 3 2 2" xfId="23681" xr:uid="{00000000-0005-0000-0000-0000C0400000}"/>
    <cellStyle name="Normal 2 4 2 3 3" xfId="23682" xr:uid="{00000000-0005-0000-0000-0000C1400000}"/>
    <cellStyle name="Normal 2 4 2 4" xfId="15299" xr:uid="{00000000-0005-0000-0000-0000C2400000}"/>
    <cellStyle name="Normal 2 4 2 4 2" xfId="13571" xr:uid="{00000000-0005-0000-0000-0000C3400000}"/>
    <cellStyle name="Normal 2 4 2 4 2 2" xfId="23683" xr:uid="{00000000-0005-0000-0000-0000C4400000}"/>
    <cellStyle name="Normal 2 4 2 4 3" xfId="23684" xr:uid="{00000000-0005-0000-0000-0000C5400000}"/>
    <cellStyle name="Normal 2 4 2 5" xfId="15301" xr:uid="{00000000-0005-0000-0000-0000C6400000}"/>
    <cellStyle name="Normal 2 4 2 5 2" xfId="23685" xr:uid="{00000000-0005-0000-0000-0000C7400000}"/>
    <cellStyle name="Normal 2 4 2 5 2 2" xfId="23686" xr:uid="{00000000-0005-0000-0000-0000C8400000}"/>
    <cellStyle name="Normal 2 4 2 5 3" xfId="23687" xr:uid="{00000000-0005-0000-0000-0000C9400000}"/>
    <cellStyle name="Normal 2 4 2 6" xfId="23688" xr:uid="{00000000-0005-0000-0000-0000CA400000}"/>
    <cellStyle name="Normal 2 4 2 6 2" xfId="23690" xr:uid="{00000000-0005-0000-0000-0000CB400000}"/>
    <cellStyle name="Normal 2 4 2 6 2 2" xfId="23691" xr:uid="{00000000-0005-0000-0000-0000CC400000}"/>
    <cellStyle name="Normal 2 4 2 6 3" xfId="23692" xr:uid="{00000000-0005-0000-0000-0000CD400000}"/>
    <cellStyle name="Normal 2 4 2 7" xfId="23693" xr:uid="{00000000-0005-0000-0000-0000CE400000}"/>
    <cellStyle name="Normal 2 4 2 7 2" xfId="23695" xr:uid="{00000000-0005-0000-0000-0000CF400000}"/>
    <cellStyle name="Normal 2 4 2 7 2 2" xfId="23697" xr:uid="{00000000-0005-0000-0000-0000D0400000}"/>
    <cellStyle name="Normal 2 4 2 7 3" xfId="23698" xr:uid="{00000000-0005-0000-0000-0000D1400000}"/>
    <cellStyle name="Normal 2 4 2 8" xfId="23700" xr:uid="{00000000-0005-0000-0000-0000D2400000}"/>
    <cellStyle name="Normal 2 4 2 8 2" xfId="23702" xr:uid="{00000000-0005-0000-0000-0000D3400000}"/>
    <cellStyle name="Normal 2 4 2 8 2 2" xfId="23705" xr:uid="{00000000-0005-0000-0000-0000D4400000}"/>
    <cellStyle name="Normal 2 4 2 8 3" xfId="23707" xr:uid="{00000000-0005-0000-0000-0000D5400000}"/>
    <cellStyle name="Normal 2 4 2 9" xfId="23709" xr:uid="{00000000-0005-0000-0000-0000D6400000}"/>
    <cellStyle name="Normal 2 4 2 9 2" xfId="23711" xr:uid="{00000000-0005-0000-0000-0000D7400000}"/>
    <cellStyle name="Normal 2 4 3" xfId="23714" xr:uid="{00000000-0005-0000-0000-0000D8400000}"/>
    <cellStyle name="Normal 2 4 3 10" xfId="23715" xr:uid="{00000000-0005-0000-0000-0000D9400000}"/>
    <cellStyle name="Normal 2 4 3 2" xfId="23717" xr:uid="{00000000-0005-0000-0000-0000DA400000}"/>
    <cellStyle name="Normal 2 4 3 2 2" xfId="23718" xr:uid="{00000000-0005-0000-0000-0000DB400000}"/>
    <cellStyle name="Normal 2 4 3 2 2 2" xfId="21172" xr:uid="{00000000-0005-0000-0000-0000DC400000}"/>
    <cellStyle name="Normal 2 4 3 2 3" xfId="23719" xr:uid="{00000000-0005-0000-0000-0000DD400000}"/>
    <cellStyle name="Normal 2 4 3 3" xfId="15306" xr:uid="{00000000-0005-0000-0000-0000DE400000}"/>
    <cellStyle name="Normal 2 4 3 3 2" xfId="13588" xr:uid="{00000000-0005-0000-0000-0000DF400000}"/>
    <cellStyle name="Normal 2 4 3 3 2 2" xfId="21198" xr:uid="{00000000-0005-0000-0000-0000E0400000}"/>
    <cellStyle name="Normal 2 4 3 3 3" xfId="23720" xr:uid="{00000000-0005-0000-0000-0000E1400000}"/>
    <cellStyle name="Normal 2 4 3 4" xfId="15308" xr:uid="{00000000-0005-0000-0000-0000E2400000}"/>
    <cellStyle name="Normal 2 4 3 4 2" xfId="13594" xr:uid="{00000000-0005-0000-0000-0000E3400000}"/>
    <cellStyle name="Normal 2 4 3 4 2 2" xfId="23722" xr:uid="{00000000-0005-0000-0000-0000E4400000}"/>
    <cellStyle name="Normal 2 4 3 4 3" xfId="23723" xr:uid="{00000000-0005-0000-0000-0000E5400000}"/>
    <cellStyle name="Normal 2 4 3 5" xfId="22847" xr:uid="{00000000-0005-0000-0000-0000E6400000}"/>
    <cellStyle name="Normal 2 4 3 5 2" xfId="23724" xr:uid="{00000000-0005-0000-0000-0000E7400000}"/>
    <cellStyle name="Normal 2 4 3 5 2 2" xfId="23725" xr:uid="{00000000-0005-0000-0000-0000E8400000}"/>
    <cellStyle name="Normal 2 4 3 5 3" xfId="22855" xr:uid="{00000000-0005-0000-0000-0000E9400000}"/>
    <cellStyle name="Normal 2 4 3 6" xfId="23727" xr:uid="{00000000-0005-0000-0000-0000EA400000}"/>
    <cellStyle name="Normal 2 4 3 6 2" xfId="23729" xr:uid="{00000000-0005-0000-0000-0000EB400000}"/>
    <cellStyle name="Normal 2 4 3 6 2 2" xfId="23730" xr:uid="{00000000-0005-0000-0000-0000EC400000}"/>
    <cellStyle name="Normal 2 4 3 6 3" xfId="22861" xr:uid="{00000000-0005-0000-0000-0000ED400000}"/>
    <cellStyle name="Normal 2 4 3 7" xfId="23731" xr:uid="{00000000-0005-0000-0000-0000EE400000}"/>
    <cellStyle name="Normal 2 4 3 7 2" xfId="23732" xr:uid="{00000000-0005-0000-0000-0000EF400000}"/>
    <cellStyle name="Normal 2 4 3 7 2 2" xfId="23734" xr:uid="{00000000-0005-0000-0000-0000F0400000}"/>
    <cellStyle name="Normal 2 4 3 7 3" xfId="22866" xr:uid="{00000000-0005-0000-0000-0000F1400000}"/>
    <cellStyle name="Normal 2 4 3 8" xfId="23735" xr:uid="{00000000-0005-0000-0000-0000F2400000}"/>
    <cellStyle name="Normal 2 4 3 8 2" xfId="23736" xr:uid="{00000000-0005-0000-0000-0000F3400000}"/>
    <cellStyle name="Normal 2 4 3 8 2 2" xfId="23738" xr:uid="{00000000-0005-0000-0000-0000F4400000}"/>
    <cellStyle name="Normal 2 4 3 8 3" xfId="22871" xr:uid="{00000000-0005-0000-0000-0000F5400000}"/>
    <cellStyle name="Normal 2 4 3 9" xfId="23739" xr:uid="{00000000-0005-0000-0000-0000F6400000}"/>
    <cellStyle name="Normal 2 4 3 9 2" xfId="23740" xr:uid="{00000000-0005-0000-0000-0000F7400000}"/>
    <cellStyle name="Normal 2 4 4" xfId="23742" xr:uid="{00000000-0005-0000-0000-0000F8400000}"/>
    <cellStyle name="Normal 2 4 4 2" xfId="8237" xr:uid="{00000000-0005-0000-0000-0000F9400000}"/>
    <cellStyle name="Normal 2 4 4 2 2" xfId="8240" xr:uid="{00000000-0005-0000-0000-0000FA400000}"/>
    <cellStyle name="Normal 2 4 4 3" xfId="8247" xr:uid="{00000000-0005-0000-0000-0000FB400000}"/>
    <cellStyle name="Normal 2 4 5" xfId="23743" xr:uid="{00000000-0005-0000-0000-0000FC400000}"/>
    <cellStyle name="Normal 2 4 5 2" xfId="23744" xr:uid="{00000000-0005-0000-0000-0000FD400000}"/>
    <cellStyle name="Normal 2 4 5 2 2" xfId="23746" xr:uid="{00000000-0005-0000-0000-0000FE400000}"/>
    <cellStyle name="Normal 2 4 5 3" xfId="23748" xr:uid="{00000000-0005-0000-0000-0000FF400000}"/>
    <cellStyle name="Normal 2 4 6" xfId="23749" xr:uid="{00000000-0005-0000-0000-000000410000}"/>
    <cellStyle name="Normal 2 4 6 2" xfId="23750" xr:uid="{00000000-0005-0000-0000-000001410000}"/>
    <cellStyle name="Normal 2 4 6 2 2" xfId="23752" xr:uid="{00000000-0005-0000-0000-000002410000}"/>
    <cellStyle name="Normal 2 4 6 3" xfId="23754" xr:uid="{00000000-0005-0000-0000-000003410000}"/>
    <cellStyle name="Normal 2 4 7" xfId="23755" xr:uid="{00000000-0005-0000-0000-000004410000}"/>
    <cellStyle name="Normal 2 4 7 2" xfId="23756" xr:uid="{00000000-0005-0000-0000-000005410000}"/>
    <cellStyle name="Normal 2 4 7 2 2" xfId="23757" xr:uid="{00000000-0005-0000-0000-000006410000}"/>
    <cellStyle name="Normal 2 4 7 3" xfId="23758" xr:uid="{00000000-0005-0000-0000-000007410000}"/>
    <cellStyle name="Normal 2 4 8" xfId="23759" xr:uid="{00000000-0005-0000-0000-000008410000}"/>
    <cellStyle name="Normal 2 4 8 2" xfId="23760" xr:uid="{00000000-0005-0000-0000-000009410000}"/>
    <cellStyle name="Normal 2 4 8 2 2" xfId="11188" xr:uid="{00000000-0005-0000-0000-00000A410000}"/>
    <cellStyle name="Normal 2 4 8 3" xfId="23761" xr:uid="{00000000-0005-0000-0000-00000B410000}"/>
    <cellStyle name="Normal 2 4 9" xfId="23762" xr:uid="{00000000-0005-0000-0000-00000C410000}"/>
    <cellStyle name="Normal 2 4 9 2" xfId="23763" xr:uid="{00000000-0005-0000-0000-00000D410000}"/>
    <cellStyle name="Normal 2 4 9 2 2" xfId="11476" xr:uid="{00000000-0005-0000-0000-00000E410000}"/>
    <cellStyle name="Normal 2 4 9 3" xfId="23764" xr:uid="{00000000-0005-0000-0000-00000F410000}"/>
    <cellStyle name="Normal 2 40" xfId="23663" xr:uid="{00000000-0005-0000-0000-000010410000}"/>
    <cellStyle name="Normal 2 41" xfId="16599" xr:uid="{00000000-0005-0000-0000-000011410000}"/>
    <cellStyle name="Normal 2 42" xfId="16603" xr:uid="{00000000-0005-0000-0000-000012410000}"/>
    <cellStyle name="Normal 2 5" xfId="23765" xr:uid="{00000000-0005-0000-0000-000013410000}"/>
    <cellStyle name="Normal 2 5 2" xfId="23766" xr:uid="{00000000-0005-0000-0000-000014410000}"/>
    <cellStyle name="Normal 2 6" xfId="23767" xr:uid="{00000000-0005-0000-0000-000015410000}"/>
    <cellStyle name="Normal 2 6 2" xfId="23768" xr:uid="{00000000-0005-0000-0000-000016410000}"/>
    <cellStyle name="Normal 2 7" xfId="23769" xr:uid="{00000000-0005-0000-0000-000017410000}"/>
    <cellStyle name="Normal 2 7 2" xfId="23770" xr:uid="{00000000-0005-0000-0000-000018410000}"/>
    <cellStyle name="Normal 2 8" xfId="23771" xr:uid="{00000000-0005-0000-0000-000019410000}"/>
    <cellStyle name="Normal 2 8 2" xfId="23772" xr:uid="{00000000-0005-0000-0000-00001A410000}"/>
    <cellStyle name="Normal 2 9" xfId="23773" xr:uid="{00000000-0005-0000-0000-00001B410000}"/>
    <cellStyle name="Normal 2 9 2" xfId="23774" xr:uid="{00000000-0005-0000-0000-00001C410000}"/>
    <cellStyle name="Normal 21" xfId="15975" xr:uid="{00000000-0005-0000-0000-00001D410000}"/>
    <cellStyle name="Normal 21 10" xfId="23775" xr:uid="{00000000-0005-0000-0000-00001E410000}"/>
    <cellStyle name="Normal 21 11" xfId="23776" xr:uid="{00000000-0005-0000-0000-00001F410000}"/>
    <cellStyle name="Normal 21 12" xfId="23777" xr:uid="{00000000-0005-0000-0000-000020410000}"/>
    <cellStyle name="Normal 21 13" xfId="23778" xr:uid="{00000000-0005-0000-0000-000021410000}"/>
    <cellStyle name="Normal 21 14" xfId="23779" xr:uid="{00000000-0005-0000-0000-000022410000}"/>
    <cellStyle name="Normal 21 2" xfId="16306" xr:uid="{00000000-0005-0000-0000-000023410000}"/>
    <cellStyle name="Normal 21 2 2" xfId="5671" xr:uid="{00000000-0005-0000-0000-000024410000}"/>
    <cellStyle name="Normal 21 2 2 2" xfId="7947" xr:uid="{00000000-0005-0000-0000-000025410000}"/>
    <cellStyle name="Normal 21 2 3" xfId="6260" xr:uid="{00000000-0005-0000-0000-000026410000}"/>
    <cellStyle name="Normal 21 3" xfId="23780" xr:uid="{00000000-0005-0000-0000-000027410000}"/>
    <cellStyle name="Normal 21 4" xfId="23781" xr:uid="{00000000-0005-0000-0000-000028410000}"/>
    <cellStyle name="Normal 21 5" xfId="23782" xr:uid="{00000000-0005-0000-0000-000029410000}"/>
    <cellStyle name="Normal 21 6" xfId="23783" xr:uid="{00000000-0005-0000-0000-00002A410000}"/>
    <cellStyle name="Normal 21 7" xfId="23784" xr:uid="{00000000-0005-0000-0000-00002B410000}"/>
    <cellStyle name="Normal 21 8" xfId="21178" xr:uid="{00000000-0005-0000-0000-00002C410000}"/>
    <cellStyle name="Normal 21 9" xfId="21180" xr:uid="{00000000-0005-0000-0000-00002D410000}"/>
    <cellStyle name="Normal 3" xfId="23640" xr:uid="{00000000-0005-0000-0000-00002E410000}"/>
    <cellStyle name="Normal 3 2" xfId="3107" xr:uid="{00000000-0005-0000-0000-00002F410000}"/>
    <cellStyle name="Normal 3 2 2" xfId="23642" xr:uid="{00000000-0005-0000-0000-000030410000}"/>
    <cellStyle name="Normal 3 2 2 2" xfId="23785" xr:uid="{00000000-0005-0000-0000-000031410000}"/>
    <cellStyle name="Normal 3 2 2 2 2" xfId="23786" xr:uid="{00000000-0005-0000-0000-000032410000}"/>
    <cellStyle name="Normal 3 2 2 2 2 2" xfId="23787" xr:uid="{00000000-0005-0000-0000-000033410000}"/>
    <cellStyle name="Normal 3 2 2 2 2 2 2" xfId="23788" xr:uid="{00000000-0005-0000-0000-000034410000}"/>
    <cellStyle name="Normal 3 2 2 2 3" xfId="23789" xr:uid="{00000000-0005-0000-0000-000035410000}"/>
    <cellStyle name="Normal 3 2 2 3" xfId="15434" xr:uid="{00000000-0005-0000-0000-000036410000}"/>
    <cellStyle name="Normal 3 2 3" xfId="23790" xr:uid="{00000000-0005-0000-0000-000037410000}"/>
    <cellStyle name="Normal 3 2 4" xfId="23791" xr:uid="{00000000-0005-0000-0000-000038410000}"/>
    <cellStyle name="Normal 3 2 5" xfId="23792" xr:uid="{00000000-0005-0000-0000-000039410000}"/>
    <cellStyle name="Normal 3 2 6" xfId="23793" xr:uid="{00000000-0005-0000-0000-00003A410000}"/>
    <cellStyle name="Normal 3 2 7" xfId="23794" xr:uid="{00000000-0005-0000-0000-00003B410000}"/>
    <cellStyle name="Normal 3 2 8" xfId="23795" xr:uid="{00000000-0005-0000-0000-00003C410000}"/>
    <cellStyle name="Normal 3 3" xfId="3110" xr:uid="{00000000-0005-0000-0000-00003D410000}"/>
    <cellStyle name="Normal 3 3 2" xfId="23796" xr:uid="{00000000-0005-0000-0000-00003E410000}"/>
    <cellStyle name="Normal 3 3 2 2" xfId="16635" xr:uid="{00000000-0005-0000-0000-00003F410000}"/>
    <cellStyle name="Normal 3 3 2 2 2" xfId="16637" xr:uid="{00000000-0005-0000-0000-000040410000}"/>
    <cellStyle name="Normal 3 3 3" xfId="23797" xr:uid="{00000000-0005-0000-0000-000041410000}"/>
    <cellStyle name="Normal 3 4" xfId="23798" xr:uid="{00000000-0005-0000-0000-000042410000}"/>
    <cellStyle name="Normal 3 5" xfId="23799" xr:uid="{00000000-0005-0000-0000-000043410000}"/>
    <cellStyle name="Normal 3 6" xfId="23800" xr:uid="{00000000-0005-0000-0000-000044410000}"/>
    <cellStyle name="Normal 3 7" xfId="23801" xr:uid="{00000000-0005-0000-0000-000045410000}"/>
    <cellStyle name="Normal 30" xfId="19759" xr:uid="{00000000-0005-0000-0000-000046410000}"/>
    <cellStyle name="Normal 30 10" xfId="23802" xr:uid="{00000000-0005-0000-0000-000047410000}"/>
    <cellStyle name="Normal 30 11" xfId="21239" xr:uid="{00000000-0005-0000-0000-000048410000}"/>
    <cellStyle name="Normal 30 12" xfId="21242" xr:uid="{00000000-0005-0000-0000-000049410000}"/>
    <cellStyle name="Normal 30 13" xfId="23804" xr:uid="{00000000-0005-0000-0000-00004A410000}"/>
    <cellStyle name="Normal 30 14" xfId="23805" xr:uid="{00000000-0005-0000-0000-00004B410000}"/>
    <cellStyle name="Normal 30 2" xfId="5019" xr:uid="{00000000-0005-0000-0000-00004C410000}"/>
    <cellStyle name="Normal 30 2 2" xfId="8124" xr:uid="{00000000-0005-0000-0000-00004D410000}"/>
    <cellStyle name="Normal 30 2 2 2" xfId="4028" xr:uid="{00000000-0005-0000-0000-00004E410000}"/>
    <cellStyle name="Normal 30 2 3" xfId="8127" xr:uid="{00000000-0005-0000-0000-00004F410000}"/>
    <cellStyle name="Normal 30 3" xfId="8680" xr:uid="{00000000-0005-0000-0000-000050410000}"/>
    <cellStyle name="Normal 30 4" xfId="8682" xr:uid="{00000000-0005-0000-0000-000051410000}"/>
    <cellStyle name="Normal 30 5" xfId="23806" xr:uid="{00000000-0005-0000-0000-000052410000}"/>
    <cellStyle name="Normal 30 6" xfId="23808" xr:uid="{00000000-0005-0000-0000-000053410000}"/>
    <cellStyle name="Normal 30 7" xfId="23810" xr:uid="{00000000-0005-0000-0000-000054410000}"/>
    <cellStyle name="Normal 30 8" xfId="23812" xr:uid="{00000000-0005-0000-0000-000055410000}"/>
    <cellStyle name="Normal 30 9" xfId="23813" xr:uid="{00000000-0005-0000-0000-000056410000}"/>
    <cellStyle name="Normal 32" xfId="4340" xr:uid="{00000000-0005-0000-0000-000057410000}"/>
    <cellStyle name="Normal 35" xfId="39119" xr:uid="{C924396D-CA23-49C1-BBEF-B0D41339F989}"/>
    <cellStyle name="Normal 4" xfId="23644" xr:uid="{00000000-0005-0000-0000-000058410000}"/>
    <cellStyle name="Normal 4 2" xfId="23646" xr:uid="{00000000-0005-0000-0000-000059410000}"/>
    <cellStyle name="Normal 4 3" xfId="23649" xr:uid="{00000000-0005-0000-0000-00005A410000}"/>
    <cellStyle name="Normal 4 3 2" xfId="10175" xr:uid="{00000000-0005-0000-0000-00005B410000}"/>
    <cellStyle name="Normal 4 3 2 2" xfId="23814" xr:uid="{00000000-0005-0000-0000-00005C410000}"/>
    <cellStyle name="Normal 4 3 2 2 2" xfId="23815" xr:uid="{00000000-0005-0000-0000-00005D410000}"/>
    <cellStyle name="Normal 4 3 3" xfId="10177" xr:uid="{00000000-0005-0000-0000-00005E410000}"/>
    <cellStyle name="Normal 5" xfId="23651" xr:uid="{00000000-0005-0000-0000-00005F410000}"/>
    <cellStyle name="Normal 5 2" xfId="23653" xr:uid="{00000000-0005-0000-0000-000060410000}"/>
    <cellStyle name="Normal 5 2 2" xfId="10362" xr:uid="{00000000-0005-0000-0000-000061410000}"/>
    <cellStyle name="Normal 5 2 2 2" xfId="10364" xr:uid="{00000000-0005-0000-0000-000062410000}"/>
    <cellStyle name="Normal 5 2 2 2 2" xfId="23816" xr:uid="{00000000-0005-0000-0000-000063410000}"/>
    <cellStyle name="Normal 5 2 2 2 2 2" xfId="23817" xr:uid="{00000000-0005-0000-0000-000064410000}"/>
    <cellStyle name="Normal 5 2 2 2 2 2 2" xfId="23818" xr:uid="{00000000-0005-0000-0000-000065410000}"/>
    <cellStyle name="Normal 5 2 2 2 3" xfId="23819" xr:uid="{00000000-0005-0000-0000-000066410000}"/>
    <cellStyle name="Normal 5 2 2 3" xfId="6162" xr:uid="{00000000-0005-0000-0000-000067410000}"/>
    <cellStyle name="Normal 5 2 2 4" xfId="6165" xr:uid="{00000000-0005-0000-0000-000068410000}"/>
    <cellStyle name="Normal 5 2 3" xfId="10366" xr:uid="{00000000-0005-0000-0000-000069410000}"/>
    <cellStyle name="Normal 5 2 4" xfId="10371" xr:uid="{00000000-0005-0000-0000-00006A410000}"/>
    <cellStyle name="Normal 5 2 5" xfId="10375" xr:uid="{00000000-0005-0000-0000-00006B410000}"/>
    <cellStyle name="Normal 5 2 6" xfId="10377" xr:uid="{00000000-0005-0000-0000-00006C410000}"/>
    <cellStyle name="Normal 5 2 7" xfId="23820" xr:uid="{00000000-0005-0000-0000-00006D410000}"/>
    <cellStyle name="Normal 5 2 8" xfId="23821" xr:uid="{00000000-0005-0000-0000-00006E410000}"/>
    <cellStyle name="Normal 5 3" xfId="23655" xr:uid="{00000000-0005-0000-0000-00006F410000}"/>
    <cellStyle name="Normal 5 3 2" xfId="10386" xr:uid="{00000000-0005-0000-0000-000070410000}"/>
    <cellStyle name="Normal 5 3 2 2" xfId="10390" xr:uid="{00000000-0005-0000-0000-000071410000}"/>
    <cellStyle name="Normal 5 3 2 2 2" xfId="23822" xr:uid="{00000000-0005-0000-0000-000072410000}"/>
    <cellStyle name="Normal 5 3 3" xfId="10393" xr:uid="{00000000-0005-0000-0000-000073410000}"/>
    <cellStyle name="Normal 5 4" xfId="23823" xr:uid="{00000000-0005-0000-0000-000074410000}"/>
    <cellStyle name="Normal 5 5" xfId="23824" xr:uid="{00000000-0005-0000-0000-000075410000}"/>
    <cellStyle name="Normal 5 6" xfId="23825" xr:uid="{00000000-0005-0000-0000-000076410000}"/>
    <cellStyle name="Normal 5 7" xfId="9801" xr:uid="{00000000-0005-0000-0000-000077410000}"/>
    <cellStyle name="Normal 6" xfId="23657" xr:uid="{00000000-0005-0000-0000-000078410000}"/>
    <cellStyle name="Normal 6 2" xfId="23659" xr:uid="{00000000-0005-0000-0000-000079410000}"/>
    <cellStyle name="Normal 6 2 2" xfId="10613" xr:uid="{00000000-0005-0000-0000-00007A410000}"/>
    <cellStyle name="Normal 6 2 2 2" xfId="10615" xr:uid="{00000000-0005-0000-0000-00007B410000}"/>
    <cellStyle name="Normal 6 2 2 2 2" xfId="23826" xr:uid="{00000000-0005-0000-0000-00007C410000}"/>
    <cellStyle name="Normal 6 2 2 2 2 2" xfId="23829" xr:uid="{00000000-0005-0000-0000-00007D410000}"/>
    <cellStyle name="Normal 6 2 2 2 2 2 2" xfId="23832" xr:uid="{00000000-0005-0000-0000-00007E410000}"/>
    <cellStyle name="Normal 6 2 2 2 3" xfId="23833" xr:uid="{00000000-0005-0000-0000-00007F410000}"/>
    <cellStyle name="Normal 6 2 2 3" xfId="10619" xr:uid="{00000000-0005-0000-0000-000080410000}"/>
    <cellStyle name="Normal 6 2 2 4" xfId="10621" xr:uid="{00000000-0005-0000-0000-000081410000}"/>
    <cellStyle name="Normal 6 2 3" xfId="10623" xr:uid="{00000000-0005-0000-0000-000082410000}"/>
    <cellStyle name="Normal 6 2 4" xfId="10628" xr:uid="{00000000-0005-0000-0000-000083410000}"/>
    <cellStyle name="Normal 6 2 5" xfId="10633" xr:uid="{00000000-0005-0000-0000-000084410000}"/>
    <cellStyle name="Normal 6 2 6" xfId="10635" xr:uid="{00000000-0005-0000-0000-000085410000}"/>
    <cellStyle name="Normal 6 2 7" xfId="23835" xr:uid="{00000000-0005-0000-0000-000086410000}"/>
    <cellStyle name="Normal 6 2 8" xfId="23836" xr:uid="{00000000-0005-0000-0000-000087410000}"/>
    <cellStyle name="Normal 6 3" xfId="23661" xr:uid="{00000000-0005-0000-0000-000088410000}"/>
    <cellStyle name="Normal 6 3 2" xfId="10645" xr:uid="{00000000-0005-0000-0000-000089410000}"/>
    <cellStyle name="Normal 6 3 2 2" xfId="10647" xr:uid="{00000000-0005-0000-0000-00008A410000}"/>
    <cellStyle name="Normal 6 3 2 2 2" xfId="23837" xr:uid="{00000000-0005-0000-0000-00008B410000}"/>
    <cellStyle name="Normal 6 3 3" xfId="10654" xr:uid="{00000000-0005-0000-0000-00008C410000}"/>
    <cellStyle name="Normal 6 4" xfId="23726" xr:uid="{00000000-0005-0000-0000-00008D410000}"/>
    <cellStyle name="Normal 6 5" xfId="23839" xr:uid="{00000000-0005-0000-0000-00008E410000}"/>
    <cellStyle name="Normal 6 6" xfId="23840" xr:uid="{00000000-0005-0000-0000-00008F410000}"/>
    <cellStyle name="Normal 6 7" xfId="9808" xr:uid="{00000000-0005-0000-0000-000090410000}"/>
    <cellStyle name="Normal 7" xfId="23841" xr:uid="{00000000-0005-0000-0000-000091410000}"/>
    <cellStyle name="Normal 7 2" xfId="34" xr:uid="{00000000-0005-0000-0000-000092410000}"/>
    <cellStyle name="Normal 8" xfId="23842" xr:uid="{00000000-0005-0000-0000-000093410000}"/>
    <cellStyle name="Normal 8 2" xfId="3542" xr:uid="{00000000-0005-0000-0000-000094410000}"/>
    <cellStyle name="Normal 9" xfId="23843" xr:uid="{00000000-0005-0000-0000-000095410000}"/>
    <cellStyle name="Normale_RESULTS" xfId="23844" xr:uid="{00000000-0005-0000-0000-000096410000}"/>
    <cellStyle name="Note 2" xfId="23845" xr:uid="{00000000-0005-0000-0000-000097410000}"/>
    <cellStyle name="Note 2 10" xfId="23846" xr:uid="{00000000-0005-0000-0000-000098410000}"/>
    <cellStyle name="Note 2 10 10" xfId="14533" xr:uid="{00000000-0005-0000-0000-000099410000}"/>
    <cellStyle name="Note 2 10 10 2" xfId="14536" xr:uid="{00000000-0005-0000-0000-00009A410000}"/>
    <cellStyle name="Note 2 10 10 2 2" xfId="23847" xr:uid="{00000000-0005-0000-0000-00009B410000}"/>
    <cellStyle name="Note 2 10 10 2 3" xfId="23848" xr:uid="{00000000-0005-0000-0000-00009C410000}"/>
    <cellStyle name="Note 2 10 10 2 4" xfId="23849" xr:uid="{00000000-0005-0000-0000-00009D410000}"/>
    <cellStyle name="Note 2 10 10 3" xfId="14540" xr:uid="{00000000-0005-0000-0000-00009E410000}"/>
    <cellStyle name="Note 2 10 10 3 2" xfId="23850" xr:uid="{00000000-0005-0000-0000-00009F410000}"/>
    <cellStyle name="Note 2 10 10 3 3" xfId="23851" xr:uid="{00000000-0005-0000-0000-0000A0410000}"/>
    <cellStyle name="Note 2 10 10 3 4" xfId="23852" xr:uid="{00000000-0005-0000-0000-0000A1410000}"/>
    <cellStyle name="Note 2 10 10 4" xfId="23854" xr:uid="{00000000-0005-0000-0000-0000A2410000}"/>
    <cellStyle name="Note 2 10 10 4 2" xfId="23856" xr:uid="{00000000-0005-0000-0000-0000A3410000}"/>
    <cellStyle name="Note 2 10 10 4 3" xfId="23857" xr:uid="{00000000-0005-0000-0000-0000A4410000}"/>
    <cellStyle name="Note 2 10 10 5" xfId="23858" xr:uid="{00000000-0005-0000-0000-0000A5410000}"/>
    <cellStyle name="Note 2 10 10 5 2" xfId="13533" xr:uid="{00000000-0005-0000-0000-0000A6410000}"/>
    <cellStyle name="Note 2 10 10 5 3" xfId="13538" xr:uid="{00000000-0005-0000-0000-0000A7410000}"/>
    <cellStyle name="Note 2 10 10 6" xfId="23860" xr:uid="{00000000-0005-0000-0000-0000A8410000}"/>
    <cellStyle name="Note 2 10 10 7" xfId="23861" xr:uid="{00000000-0005-0000-0000-0000A9410000}"/>
    <cellStyle name="Note 2 10 11" xfId="14543" xr:uid="{00000000-0005-0000-0000-0000AA410000}"/>
    <cellStyle name="Note 2 10 11 2" xfId="23863" xr:uid="{00000000-0005-0000-0000-0000AB410000}"/>
    <cellStyle name="Note 2 10 11 2 2" xfId="23867" xr:uid="{00000000-0005-0000-0000-0000AC410000}"/>
    <cellStyle name="Note 2 10 11 2 3" xfId="23868" xr:uid="{00000000-0005-0000-0000-0000AD410000}"/>
    <cellStyle name="Note 2 10 11 2 4" xfId="23869" xr:uid="{00000000-0005-0000-0000-0000AE410000}"/>
    <cellStyle name="Note 2 10 11 3" xfId="23871" xr:uid="{00000000-0005-0000-0000-0000AF410000}"/>
    <cellStyle name="Note 2 10 11 3 2" xfId="23874" xr:uid="{00000000-0005-0000-0000-0000B0410000}"/>
    <cellStyle name="Note 2 10 11 3 3" xfId="23875" xr:uid="{00000000-0005-0000-0000-0000B1410000}"/>
    <cellStyle name="Note 2 10 11 3 4" xfId="23876" xr:uid="{00000000-0005-0000-0000-0000B2410000}"/>
    <cellStyle name="Note 2 10 11 4" xfId="23878" xr:uid="{00000000-0005-0000-0000-0000B3410000}"/>
    <cellStyle name="Note 2 10 11 4 2" xfId="23880" xr:uid="{00000000-0005-0000-0000-0000B4410000}"/>
    <cellStyle name="Note 2 10 11 4 3" xfId="23881" xr:uid="{00000000-0005-0000-0000-0000B5410000}"/>
    <cellStyle name="Note 2 10 11 5" xfId="23882" xr:uid="{00000000-0005-0000-0000-0000B6410000}"/>
    <cellStyle name="Note 2 10 11 5 2" xfId="13776" xr:uid="{00000000-0005-0000-0000-0000B7410000}"/>
    <cellStyle name="Note 2 10 11 5 3" xfId="13782" xr:uid="{00000000-0005-0000-0000-0000B8410000}"/>
    <cellStyle name="Note 2 10 11 6" xfId="23884" xr:uid="{00000000-0005-0000-0000-0000B9410000}"/>
    <cellStyle name="Note 2 10 11 7" xfId="23885" xr:uid="{00000000-0005-0000-0000-0000BA410000}"/>
    <cellStyle name="Note 2 10 12" xfId="14547" xr:uid="{00000000-0005-0000-0000-0000BB410000}"/>
    <cellStyle name="Note 2 10 12 2" xfId="23887" xr:uid="{00000000-0005-0000-0000-0000BC410000}"/>
    <cellStyle name="Note 2 10 12 2 2" xfId="23888" xr:uid="{00000000-0005-0000-0000-0000BD410000}"/>
    <cellStyle name="Note 2 10 12 2 3" xfId="23889" xr:uid="{00000000-0005-0000-0000-0000BE410000}"/>
    <cellStyle name="Note 2 10 12 2 4" xfId="23890" xr:uid="{00000000-0005-0000-0000-0000BF410000}"/>
    <cellStyle name="Note 2 10 12 3" xfId="23892" xr:uid="{00000000-0005-0000-0000-0000C0410000}"/>
    <cellStyle name="Note 2 10 12 3 2" xfId="23893" xr:uid="{00000000-0005-0000-0000-0000C1410000}"/>
    <cellStyle name="Note 2 10 12 3 3" xfId="23894" xr:uid="{00000000-0005-0000-0000-0000C2410000}"/>
    <cellStyle name="Note 2 10 12 3 4" xfId="23895" xr:uid="{00000000-0005-0000-0000-0000C3410000}"/>
    <cellStyle name="Note 2 10 12 4" xfId="23896" xr:uid="{00000000-0005-0000-0000-0000C4410000}"/>
    <cellStyle name="Note 2 10 12 4 2" xfId="23897" xr:uid="{00000000-0005-0000-0000-0000C5410000}"/>
    <cellStyle name="Note 2 10 12 4 3" xfId="23898" xr:uid="{00000000-0005-0000-0000-0000C6410000}"/>
    <cellStyle name="Note 2 10 12 5" xfId="23899" xr:uid="{00000000-0005-0000-0000-0000C7410000}"/>
    <cellStyle name="Note 2 10 12 5 2" xfId="13915" xr:uid="{00000000-0005-0000-0000-0000C8410000}"/>
    <cellStyle name="Note 2 10 12 5 3" xfId="13917" xr:uid="{00000000-0005-0000-0000-0000C9410000}"/>
    <cellStyle name="Note 2 10 12 6" xfId="2329" xr:uid="{00000000-0005-0000-0000-0000CA410000}"/>
    <cellStyle name="Note 2 10 12 7" xfId="2332" xr:uid="{00000000-0005-0000-0000-0000CB410000}"/>
    <cellStyle name="Note 2 10 13" xfId="17331" xr:uid="{00000000-0005-0000-0000-0000CC410000}"/>
    <cellStyle name="Note 2 10 13 2" xfId="17336" xr:uid="{00000000-0005-0000-0000-0000CD410000}"/>
    <cellStyle name="Note 2 10 13 3" xfId="17339" xr:uid="{00000000-0005-0000-0000-0000CE410000}"/>
    <cellStyle name="Note 2 10 13 4" xfId="17341" xr:uid="{00000000-0005-0000-0000-0000CF410000}"/>
    <cellStyle name="Note 2 10 14" xfId="16497" xr:uid="{00000000-0005-0000-0000-0000D0410000}"/>
    <cellStyle name="Note 2 10 14 2" xfId="17343" xr:uid="{00000000-0005-0000-0000-0000D1410000}"/>
    <cellStyle name="Note 2 10 14 3" xfId="6958" xr:uid="{00000000-0005-0000-0000-0000D2410000}"/>
    <cellStyle name="Note 2 10 14 4" xfId="1479" xr:uid="{00000000-0005-0000-0000-0000D3410000}"/>
    <cellStyle name="Note 2 10 15" xfId="16502" xr:uid="{00000000-0005-0000-0000-0000D4410000}"/>
    <cellStyle name="Note 2 10 15 2" xfId="1073" xr:uid="{00000000-0005-0000-0000-0000D5410000}"/>
    <cellStyle name="Note 2 10 15 3" xfId="6068" xr:uid="{00000000-0005-0000-0000-0000D6410000}"/>
    <cellStyle name="Note 2 10 16" xfId="16506" xr:uid="{00000000-0005-0000-0000-0000D7410000}"/>
    <cellStyle name="Note 2 10 16 2" xfId="17344" xr:uid="{00000000-0005-0000-0000-0000D8410000}"/>
    <cellStyle name="Note 2 10 16 3" xfId="6076" xr:uid="{00000000-0005-0000-0000-0000D9410000}"/>
    <cellStyle name="Note 2 10 17" xfId="17348" xr:uid="{00000000-0005-0000-0000-0000DA410000}"/>
    <cellStyle name="Note 2 10 18" xfId="17351" xr:uid="{00000000-0005-0000-0000-0000DB410000}"/>
    <cellStyle name="Note 2 10 19" xfId="23900" xr:uid="{00000000-0005-0000-0000-0000DC410000}"/>
    <cellStyle name="Note 2 10 2" xfId="14450" xr:uid="{00000000-0005-0000-0000-0000DD410000}"/>
    <cellStyle name="Note 2 10 2 10" xfId="23902" xr:uid="{00000000-0005-0000-0000-0000DE410000}"/>
    <cellStyle name="Note 2 10 2 10 2" xfId="23903" xr:uid="{00000000-0005-0000-0000-0000DF410000}"/>
    <cellStyle name="Note 2 10 2 10 2 2" xfId="23905" xr:uid="{00000000-0005-0000-0000-0000E0410000}"/>
    <cellStyle name="Note 2 10 2 10 2 3" xfId="23906" xr:uid="{00000000-0005-0000-0000-0000E1410000}"/>
    <cellStyle name="Note 2 10 2 10 2 4" xfId="23908" xr:uid="{00000000-0005-0000-0000-0000E2410000}"/>
    <cellStyle name="Note 2 10 2 10 3" xfId="23910" xr:uid="{00000000-0005-0000-0000-0000E3410000}"/>
    <cellStyle name="Note 2 10 2 10 3 2" xfId="23911" xr:uid="{00000000-0005-0000-0000-0000E4410000}"/>
    <cellStyle name="Note 2 10 2 10 3 3" xfId="23912" xr:uid="{00000000-0005-0000-0000-0000E5410000}"/>
    <cellStyle name="Note 2 10 2 10 3 4" xfId="23914" xr:uid="{00000000-0005-0000-0000-0000E6410000}"/>
    <cellStyle name="Note 2 10 2 10 4" xfId="23916" xr:uid="{00000000-0005-0000-0000-0000E7410000}"/>
    <cellStyle name="Note 2 10 2 10 4 2" xfId="23917" xr:uid="{00000000-0005-0000-0000-0000E8410000}"/>
    <cellStyle name="Note 2 10 2 10 4 3" xfId="23918" xr:uid="{00000000-0005-0000-0000-0000E9410000}"/>
    <cellStyle name="Note 2 10 2 10 5" xfId="18741" xr:uid="{00000000-0005-0000-0000-0000EA410000}"/>
    <cellStyle name="Note 2 10 2 10 5 2" xfId="18743" xr:uid="{00000000-0005-0000-0000-0000EB410000}"/>
    <cellStyle name="Note 2 10 2 10 5 3" xfId="18744" xr:uid="{00000000-0005-0000-0000-0000EC410000}"/>
    <cellStyle name="Note 2 10 2 10 6" xfId="18750" xr:uid="{00000000-0005-0000-0000-0000ED410000}"/>
    <cellStyle name="Note 2 10 2 10 7" xfId="18756" xr:uid="{00000000-0005-0000-0000-0000EE410000}"/>
    <cellStyle name="Note 2 10 2 11" xfId="23920" xr:uid="{00000000-0005-0000-0000-0000EF410000}"/>
    <cellStyle name="Note 2 10 2 11 2" xfId="23921" xr:uid="{00000000-0005-0000-0000-0000F0410000}"/>
    <cellStyle name="Note 2 10 2 11 3" xfId="23922" xr:uid="{00000000-0005-0000-0000-0000F1410000}"/>
    <cellStyle name="Note 2 10 2 11 4" xfId="23923" xr:uid="{00000000-0005-0000-0000-0000F2410000}"/>
    <cellStyle name="Note 2 10 2 12" xfId="6810" xr:uid="{00000000-0005-0000-0000-0000F3410000}"/>
    <cellStyle name="Note 2 10 2 12 2" xfId="10074" xr:uid="{00000000-0005-0000-0000-0000F4410000}"/>
    <cellStyle name="Note 2 10 2 12 3" xfId="10076" xr:uid="{00000000-0005-0000-0000-0000F5410000}"/>
    <cellStyle name="Note 2 10 2 12 4" xfId="23924" xr:uid="{00000000-0005-0000-0000-0000F6410000}"/>
    <cellStyle name="Note 2 10 2 13" xfId="23157" xr:uid="{00000000-0005-0000-0000-0000F7410000}"/>
    <cellStyle name="Note 2 10 2 13 2" xfId="10080" xr:uid="{00000000-0005-0000-0000-0000F8410000}"/>
    <cellStyle name="Note 2 10 2 13 3" xfId="10082" xr:uid="{00000000-0005-0000-0000-0000F9410000}"/>
    <cellStyle name="Note 2 10 2 14" xfId="23159" xr:uid="{00000000-0005-0000-0000-0000FA410000}"/>
    <cellStyle name="Note 2 10 2 14 2" xfId="10086" xr:uid="{00000000-0005-0000-0000-0000FB410000}"/>
    <cellStyle name="Note 2 10 2 14 3" xfId="23925" xr:uid="{00000000-0005-0000-0000-0000FC410000}"/>
    <cellStyle name="Note 2 10 2 15" xfId="3982" xr:uid="{00000000-0005-0000-0000-0000FD410000}"/>
    <cellStyle name="Note 2 10 2 16" xfId="3984" xr:uid="{00000000-0005-0000-0000-0000FE410000}"/>
    <cellStyle name="Note 2 10 2 2" xfId="8016" xr:uid="{00000000-0005-0000-0000-0000FF410000}"/>
    <cellStyle name="Note 2 10 2 2 2" xfId="8019" xr:uid="{00000000-0005-0000-0000-000000420000}"/>
    <cellStyle name="Note 2 10 2 2 2 2" xfId="14471" xr:uid="{00000000-0005-0000-0000-000001420000}"/>
    <cellStyle name="Note 2 10 2 2 2 3" xfId="23696" xr:uid="{00000000-0005-0000-0000-000002420000}"/>
    <cellStyle name="Note 2 10 2 2 2 4" xfId="23699" xr:uid="{00000000-0005-0000-0000-000003420000}"/>
    <cellStyle name="Note 2 10 2 2 3" xfId="8021" xr:uid="{00000000-0005-0000-0000-000004420000}"/>
    <cellStyle name="Note 2 10 2 2 3 2" xfId="14477" xr:uid="{00000000-0005-0000-0000-000005420000}"/>
    <cellStyle name="Note 2 10 2 2 3 3" xfId="23703" xr:uid="{00000000-0005-0000-0000-000006420000}"/>
    <cellStyle name="Note 2 10 2 2 3 4" xfId="23708" xr:uid="{00000000-0005-0000-0000-000007420000}"/>
    <cellStyle name="Note 2 10 2 2 4" xfId="19826" xr:uid="{00000000-0005-0000-0000-000008420000}"/>
    <cellStyle name="Note 2 10 2 2 4 2" xfId="23926" xr:uid="{00000000-0005-0000-0000-000009420000}"/>
    <cellStyle name="Note 2 10 2 2 4 3" xfId="23712" xr:uid="{00000000-0005-0000-0000-00000A420000}"/>
    <cellStyle name="Note 2 10 2 2 5" xfId="19829" xr:uid="{00000000-0005-0000-0000-00000B420000}"/>
    <cellStyle name="Note 2 10 2 2 5 2" xfId="23928" xr:uid="{00000000-0005-0000-0000-00000C420000}"/>
    <cellStyle name="Note 2 10 2 2 5 3" xfId="23932" xr:uid="{00000000-0005-0000-0000-00000D420000}"/>
    <cellStyle name="Note 2 10 2 2 6" xfId="19832" xr:uid="{00000000-0005-0000-0000-00000E420000}"/>
    <cellStyle name="Note 2 10 2 2 7" xfId="19835" xr:uid="{00000000-0005-0000-0000-00000F420000}"/>
    <cellStyle name="Note 2 10 2 3" xfId="8024" xr:uid="{00000000-0005-0000-0000-000010420000}"/>
    <cellStyle name="Note 2 10 2 3 2" xfId="8027" xr:uid="{00000000-0005-0000-0000-000011420000}"/>
    <cellStyle name="Note 2 10 2 3 2 2" xfId="8031" xr:uid="{00000000-0005-0000-0000-000012420000}"/>
    <cellStyle name="Note 2 10 2 3 2 3" xfId="23733" xr:uid="{00000000-0005-0000-0000-000013420000}"/>
    <cellStyle name="Note 2 10 2 3 2 4" xfId="22867" xr:uid="{00000000-0005-0000-0000-000014420000}"/>
    <cellStyle name="Note 2 10 2 3 3" xfId="23935" xr:uid="{00000000-0005-0000-0000-000015420000}"/>
    <cellStyle name="Note 2 10 2 3 3 2" xfId="14500" xr:uid="{00000000-0005-0000-0000-000016420000}"/>
    <cellStyle name="Note 2 10 2 3 3 3" xfId="23737" xr:uid="{00000000-0005-0000-0000-000017420000}"/>
    <cellStyle name="Note 2 10 2 3 3 4" xfId="22872" xr:uid="{00000000-0005-0000-0000-000018420000}"/>
    <cellStyle name="Note 2 10 2 3 4" xfId="19837" xr:uid="{00000000-0005-0000-0000-000019420000}"/>
    <cellStyle name="Note 2 10 2 3 4 2" xfId="23936" xr:uid="{00000000-0005-0000-0000-00001A420000}"/>
    <cellStyle name="Note 2 10 2 3 4 3" xfId="23741" xr:uid="{00000000-0005-0000-0000-00001B420000}"/>
    <cellStyle name="Note 2 10 2 3 5" xfId="19840" xr:uid="{00000000-0005-0000-0000-00001C420000}"/>
    <cellStyle name="Note 2 10 2 3 5 2" xfId="23937" xr:uid="{00000000-0005-0000-0000-00001D420000}"/>
    <cellStyle name="Note 2 10 2 3 5 3" xfId="23938" xr:uid="{00000000-0005-0000-0000-00001E420000}"/>
    <cellStyle name="Note 2 10 2 3 6" xfId="19843" xr:uid="{00000000-0005-0000-0000-00001F420000}"/>
    <cellStyle name="Note 2 10 2 3 7" xfId="20601" xr:uid="{00000000-0005-0000-0000-000020420000}"/>
    <cellStyle name="Note 2 10 2 4" xfId="8034" xr:uid="{00000000-0005-0000-0000-000021420000}"/>
    <cellStyle name="Note 2 10 2 4 2" xfId="23939" xr:uid="{00000000-0005-0000-0000-000022420000}"/>
    <cellStyle name="Note 2 10 2 4 2 2" xfId="14519" xr:uid="{00000000-0005-0000-0000-000023420000}"/>
    <cellStyle name="Note 2 10 2 4 2 3" xfId="23942" xr:uid="{00000000-0005-0000-0000-000024420000}"/>
    <cellStyle name="Note 2 10 2 4 2 4" xfId="23943" xr:uid="{00000000-0005-0000-0000-000025420000}"/>
    <cellStyle name="Note 2 10 2 4 3" xfId="23944" xr:uid="{00000000-0005-0000-0000-000026420000}"/>
    <cellStyle name="Note 2 10 2 4 3 2" xfId="14526" xr:uid="{00000000-0005-0000-0000-000027420000}"/>
    <cellStyle name="Note 2 10 2 4 3 3" xfId="23945" xr:uid="{00000000-0005-0000-0000-000028420000}"/>
    <cellStyle name="Note 2 10 2 4 3 4" xfId="23946" xr:uid="{00000000-0005-0000-0000-000029420000}"/>
    <cellStyle name="Note 2 10 2 4 4" xfId="19849" xr:uid="{00000000-0005-0000-0000-00002A420000}"/>
    <cellStyle name="Note 2 10 2 4 4 2" xfId="23947" xr:uid="{00000000-0005-0000-0000-00002B420000}"/>
    <cellStyle name="Note 2 10 2 4 4 3" xfId="23948" xr:uid="{00000000-0005-0000-0000-00002C420000}"/>
    <cellStyle name="Note 2 10 2 4 5" xfId="19852" xr:uid="{00000000-0005-0000-0000-00002D420000}"/>
    <cellStyle name="Note 2 10 2 4 5 2" xfId="23855" xr:uid="{00000000-0005-0000-0000-00002E420000}"/>
    <cellStyle name="Note 2 10 2 4 5 3" xfId="23859" xr:uid="{00000000-0005-0000-0000-00002F420000}"/>
    <cellStyle name="Note 2 10 2 4 6" xfId="19855" xr:uid="{00000000-0005-0000-0000-000030420000}"/>
    <cellStyle name="Note 2 10 2 4 7" xfId="23949" xr:uid="{00000000-0005-0000-0000-000031420000}"/>
    <cellStyle name="Note 2 10 2 5" xfId="8036" xr:uid="{00000000-0005-0000-0000-000032420000}"/>
    <cellStyle name="Note 2 10 2 5 2" xfId="23950" xr:uid="{00000000-0005-0000-0000-000033420000}"/>
    <cellStyle name="Note 2 10 2 5 2 2" xfId="14558" xr:uid="{00000000-0005-0000-0000-000034420000}"/>
    <cellStyle name="Note 2 10 2 5 2 3" xfId="23953" xr:uid="{00000000-0005-0000-0000-000035420000}"/>
    <cellStyle name="Note 2 10 2 5 2 4" xfId="23954" xr:uid="{00000000-0005-0000-0000-000036420000}"/>
    <cellStyle name="Note 2 10 2 5 3" xfId="23955" xr:uid="{00000000-0005-0000-0000-000037420000}"/>
    <cellStyle name="Note 2 10 2 5 3 2" xfId="14565" xr:uid="{00000000-0005-0000-0000-000038420000}"/>
    <cellStyle name="Note 2 10 2 5 3 3" xfId="4206" xr:uid="{00000000-0005-0000-0000-000039420000}"/>
    <cellStyle name="Note 2 10 2 5 3 4" xfId="4253" xr:uid="{00000000-0005-0000-0000-00003A420000}"/>
    <cellStyle name="Note 2 10 2 5 4" xfId="19859" xr:uid="{00000000-0005-0000-0000-00003B420000}"/>
    <cellStyle name="Note 2 10 2 5 4 2" xfId="23957" xr:uid="{00000000-0005-0000-0000-00003C420000}"/>
    <cellStyle name="Note 2 10 2 5 4 3" xfId="23958" xr:uid="{00000000-0005-0000-0000-00003D420000}"/>
    <cellStyle name="Note 2 10 2 5 5" xfId="20610" xr:uid="{00000000-0005-0000-0000-00003E420000}"/>
    <cellStyle name="Note 2 10 2 5 5 2" xfId="18497" xr:uid="{00000000-0005-0000-0000-00003F420000}"/>
    <cellStyle name="Note 2 10 2 5 5 3" xfId="18507" xr:uid="{00000000-0005-0000-0000-000040420000}"/>
    <cellStyle name="Note 2 10 2 5 6" xfId="20613" xr:uid="{00000000-0005-0000-0000-000041420000}"/>
    <cellStyle name="Note 2 10 2 5 7" xfId="23959" xr:uid="{00000000-0005-0000-0000-000042420000}"/>
    <cellStyle name="Note 2 10 2 6" xfId="7609" xr:uid="{00000000-0005-0000-0000-000043420000}"/>
    <cellStyle name="Note 2 10 2 6 2" xfId="23960" xr:uid="{00000000-0005-0000-0000-000044420000}"/>
    <cellStyle name="Note 2 10 2 6 2 2" xfId="14600" xr:uid="{00000000-0005-0000-0000-000045420000}"/>
    <cellStyle name="Note 2 10 2 6 2 3" xfId="23962" xr:uid="{00000000-0005-0000-0000-000046420000}"/>
    <cellStyle name="Note 2 10 2 6 2 4" xfId="23963" xr:uid="{00000000-0005-0000-0000-000047420000}"/>
    <cellStyle name="Note 2 10 2 6 3" xfId="23964" xr:uid="{00000000-0005-0000-0000-000048420000}"/>
    <cellStyle name="Note 2 10 2 6 3 2" xfId="14607" xr:uid="{00000000-0005-0000-0000-000049420000}"/>
    <cellStyle name="Note 2 10 2 6 3 3" xfId="23966" xr:uid="{00000000-0005-0000-0000-00004A420000}"/>
    <cellStyle name="Note 2 10 2 6 3 4" xfId="23967" xr:uid="{00000000-0005-0000-0000-00004B420000}"/>
    <cellStyle name="Note 2 10 2 6 4" xfId="19864" xr:uid="{00000000-0005-0000-0000-00004C420000}"/>
    <cellStyle name="Note 2 10 2 6 4 2" xfId="21583" xr:uid="{00000000-0005-0000-0000-00004D420000}"/>
    <cellStyle name="Note 2 10 2 6 4 3" xfId="21585" xr:uid="{00000000-0005-0000-0000-00004E420000}"/>
    <cellStyle name="Note 2 10 2 6 5" xfId="23968" xr:uid="{00000000-0005-0000-0000-00004F420000}"/>
    <cellStyle name="Note 2 10 2 6 5 2" xfId="21587" xr:uid="{00000000-0005-0000-0000-000050420000}"/>
    <cellStyle name="Note 2 10 2 6 5 3" xfId="21589" xr:uid="{00000000-0005-0000-0000-000051420000}"/>
    <cellStyle name="Note 2 10 2 6 6" xfId="23969" xr:uid="{00000000-0005-0000-0000-000052420000}"/>
    <cellStyle name="Note 2 10 2 6 7" xfId="23970" xr:uid="{00000000-0005-0000-0000-000053420000}"/>
    <cellStyle name="Note 2 10 2 7" xfId="7612" xr:uid="{00000000-0005-0000-0000-000054420000}"/>
    <cellStyle name="Note 2 10 2 7 2" xfId="23971" xr:uid="{00000000-0005-0000-0000-000055420000}"/>
    <cellStyle name="Note 2 10 2 7 2 2" xfId="14628" xr:uid="{00000000-0005-0000-0000-000056420000}"/>
    <cellStyle name="Note 2 10 2 7 2 3" xfId="23973" xr:uid="{00000000-0005-0000-0000-000057420000}"/>
    <cellStyle name="Note 2 10 2 7 2 4" xfId="23974" xr:uid="{00000000-0005-0000-0000-000058420000}"/>
    <cellStyle name="Note 2 10 2 7 3" xfId="23975" xr:uid="{00000000-0005-0000-0000-000059420000}"/>
    <cellStyle name="Note 2 10 2 7 3 2" xfId="14635" xr:uid="{00000000-0005-0000-0000-00005A420000}"/>
    <cellStyle name="Note 2 10 2 7 3 3" xfId="23977" xr:uid="{00000000-0005-0000-0000-00005B420000}"/>
    <cellStyle name="Note 2 10 2 7 3 4" xfId="23978" xr:uid="{00000000-0005-0000-0000-00005C420000}"/>
    <cellStyle name="Note 2 10 2 7 4" xfId="19869" xr:uid="{00000000-0005-0000-0000-00005D420000}"/>
    <cellStyle name="Note 2 10 2 7 4 2" xfId="21598" xr:uid="{00000000-0005-0000-0000-00005E420000}"/>
    <cellStyle name="Note 2 10 2 7 4 3" xfId="21600" xr:uid="{00000000-0005-0000-0000-00005F420000}"/>
    <cellStyle name="Note 2 10 2 7 5" xfId="23979" xr:uid="{00000000-0005-0000-0000-000060420000}"/>
    <cellStyle name="Note 2 10 2 7 5 2" xfId="21602" xr:uid="{00000000-0005-0000-0000-000061420000}"/>
    <cellStyle name="Note 2 10 2 7 5 3" xfId="21604" xr:uid="{00000000-0005-0000-0000-000062420000}"/>
    <cellStyle name="Note 2 10 2 7 6" xfId="23980" xr:uid="{00000000-0005-0000-0000-000063420000}"/>
    <cellStyle name="Note 2 10 2 7 7" xfId="23981" xr:uid="{00000000-0005-0000-0000-000064420000}"/>
    <cellStyle name="Note 2 10 2 8" xfId="23982" xr:uid="{00000000-0005-0000-0000-000065420000}"/>
    <cellStyle name="Note 2 10 2 8 2" xfId="22520" xr:uid="{00000000-0005-0000-0000-000066420000}"/>
    <cellStyle name="Note 2 10 2 8 2 2" xfId="14655" xr:uid="{00000000-0005-0000-0000-000067420000}"/>
    <cellStyle name="Note 2 10 2 8 2 3" xfId="23984" xr:uid="{00000000-0005-0000-0000-000068420000}"/>
    <cellStyle name="Note 2 10 2 8 2 4" xfId="23985" xr:uid="{00000000-0005-0000-0000-000069420000}"/>
    <cellStyle name="Note 2 10 2 8 3" xfId="22523" xr:uid="{00000000-0005-0000-0000-00006A420000}"/>
    <cellStyle name="Note 2 10 2 8 3 2" xfId="14662" xr:uid="{00000000-0005-0000-0000-00006B420000}"/>
    <cellStyle name="Note 2 10 2 8 3 3" xfId="19657" xr:uid="{00000000-0005-0000-0000-00006C420000}"/>
    <cellStyle name="Note 2 10 2 8 3 4" xfId="19667" xr:uid="{00000000-0005-0000-0000-00006D420000}"/>
    <cellStyle name="Note 2 10 2 8 4" xfId="23986" xr:uid="{00000000-0005-0000-0000-00006E420000}"/>
    <cellStyle name="Note 2 10 2 8 4 2" xfId="21613" xr:uid="{00000000-0005-0000-0000-00006F420000}"/>
    <cellStyle name="Note 2 10 2 8 4 3" xfId="21615" xr:uid="{00000000-0005-0000-0000-000070420000}"/>
    <cellStyle name="Note 2 10 2 8 5" xfId="23987" xr:uid="{00000000-0005-0000-0000-000071420000}"/>
    <cellStyle name="Note 2 10 2 8 5 2" xfId="21617" xr:uid="{00000000-0005-0000-0000-000072420000}"/>
    <cellStyle name="Note 2 10 2 8 5 3" xfId="21619" xr:uid="{00000000-0005-0000-0000-000073420000}"/>
    <cellStyle name="Note 2 10 2 8 6" xfId="23988" xr:uid="{00000000-0005-0000-0000-000074420000}"/>
    <cellStyle name="Note 2 10 2 8 7" xfId="23989" xr:uid="{00000000-0005-0000-0000-000075420000}"/>
    <cellStyle name="Note 2 10 2 9" xfId="23990" xr:uid="{00000000-0005-0000-0000-000076420000}"/>
    <cellStyle name="Note 2 10 2 9 2" xfId="22534" xr:uid="{00000000-0005-0000-0000-000077420000}"/>
    <cellStyle name="Note 2 10 2 9 2 2" xfId="14681" xr:uid="{00000000-0005-0000-0000-000078420000}"/>
    <cellStyle name="Note 2 10 2 9 2 3" xfId="23992" xr:uid="{00000000-0005-0000-0000-000079420000}"/>
    <cellStyle name="Note 2 10 2 9 2 4" xfId="23993" xr:uid="{00000000-0005-0000-0000-00007A420000}"/>
    <cellStyle name="Note 2 10 2 9 3" xfId="22536" xr:uid="{00000000-0005-0000-0000-00007B420000}"/>
    <cellStyle name="Note 2 10 2 9 3 2" xfId="14688" xr:uid="{00000000-0005-0000-0000-00007C420000}"/>
    <cellStyle name="Note 2 10 2 9 3 3" xfId="19673" xr:uid="{00000000-0005-0000-0000-00007D420000}"/>
    <cellStyle name="Note 2 10 2 9 3 4" xfId="23994" xr:uid="{00000000-0005-0000-0000-00007E420000}"/>
    <cellStyle name="Note 2 10 2 9 4" xfId="23995" xr:uid="{00000000-0005-0000-0000-00007F420000}"/>
    <cellStyle name="Note 2 10 2 9 4 2" xfId="23996" xr:uid="{00000000-0005-0000-0000-000080420000}"/>
    <cellStyle name="Note 2 10 2 9 4 3" xfId="23997" xr:uid="{00000000-0005-0000-0000-000081420000}"/>
    <cellStyle name="Note 2 10 2 9 5" xfId="23998" xr:uid="{00000000-0005-0000-0000-000082420000}"/>
    <cellStyle name="Note 2 10 2 9 5 2" xfId="23999" xr:uid="{00000000-0005-0000-0000-000083420000}"/>
    <cellStyle name="Note 2 10 2 9 5 3" xfId="24001" xr:uid="{00000000-0005-0000-0000-000084420000}"/>
    <cellStyle name="Note 2 10 2 9 6" xfId="24003" xr:uid="{00000000-0005-0000-0000-000085420000}"/>
    <cellStyle name="Note 2 10 2 9 7" xfId="1999" xr:uid="{00000000-0005-0000-0000-000086420000}"/>
    <cellStyle name="Note 2 10 20" xfId="16503" xr:uid="{00000000-0005-0000-0000-000087420000}"/>
    <cellStyle name="Note 2 10 3" xfId="14452" xr:uid="{00000000-0005-0000-0000-000088420000}"/>
    <cellStyle name="Note 2 10 3 10" xfId="24004" xr:uid="{00000000-0005-0000-0000-000089420000}"/>
    <cellStyle name="Note 2 10 3 10 2" xfId="24005" xr:uid="{00000000-0005-0000-0000-00008A420000}"/>
    <cellStyle name="Note 2 10 3 10 2 2" xfId="24006" xr:uid="{00000000-0005-0000-0000-00008B420000}"/>
    <cellStyle name="Note 2 10 3 10 2 3" xfId="24008" xr:uid="{00000000-0005-0000-0000-00008C420000}"/>
    <cellStyle name="Note 2 10 3 10 2 4" xfId="24011" xr:uid="{00000000-0005-0000-0000-00008D420000}"/>
    <cellStyle name="Note 2 10 3 10 3" xfId="24014" xr:uid="{00000000-0005-0000-0000-00008E420000}"/>
    <cellStyle name="Note 2 10 3 10 3 2" xfId="24015" xr:uid="{00000000-0005-0000-0000-00008F420000}"/>
    <cellStyle name="Note 2 10 3 10 3 3" xfId="24018" xr:uid="{00000000-0005-0000-0000-000090420000}"/>
    <cellStyle name="Note 2 10 3 10 3 4" xfId="24022" xr:uid="{00000000-0005-0000-0000-000091420000}"/>
    <cellStyle name="Note 2 10 3 10 4" xfId="24025" xr:uid="{00000000-0005-0000-0000-000092420000}"/>
    <cellStyle name="Note 2 10 3 10 4 2" xfId="24026" xr:uid="{00000000-0005-0000-0000-000093420000}"/>
    <cellStyle name="Note 2 10 3 10 4 3" xfId="24028" xr:uid="{00000000-0005-0000-0000-000094420000}"/>
    <cellStyle name="Note 2 10 3 10 5" xfId="24032" xr:uid="{00000000-0005-0000-0000-000095420000}"/>
    <cellStyle name="Note 2 10 3 10 5 2" xfId="24033" xr:uid="{00000000-0005-0000-0000-000096420000}"/>
    <cellStyle name="Note 2 10 3 10 5 3" xfId="7412" xr:uid="{00000000-0005-0000-0000-000097420000}"/>
    <cellStyle name="Note 2 10 3 10 6" xfId="14400" xr:uid="{00000000-0005-0000-0000-000098420000}"/>
    <cellStyle name="Note 2 10 3 10 7" xfId="15108" xr:uid="{00000000-0005-0000-0000-000099420000}"/>
    <cellStyle name="Note 2 10 3 11" xfId="24035" xr:uid="{00000000-0005-0000-0000-00009A420000}"/>
    <cellStyle name="Note 2 10 3 11 2" xfId="24036" xr:uid="{00000000-0005-0000-0000-00009B420000}"/>
    <cellStyle name="Note 2 10 3 11 3" xfId="24037" xr:uid="{00000000-0005-0000-0000-00009C420000}"/>
    <cellStyle name="Note 2 10 3 11 4" xfId="24038" xr:uid="{00000000-0005-0000-0000-00009D420000}"/>
    <cellStyle name="Note 2 10 3 12" xfId="24039" xr:uid="{00000000-0005-0000-0000-00009E420000}"/>
    <cellStyle name="Note 2 10 3 12 2" xfId="24040" xr:uid="{00000000-0005-0000-0000-00009F420000}"/>
    <cellStyle name="Note 2 10 3 12 3" xfId="24041" xr:uid="{00000000-0005-0000-0000-0000A0420000}"/>
    <cellStyle name="Note 2 10 3 12 4" xfId="24042" xr:uid="{00000000-0005-0000-0000-0000A1420000}"/>
    <cellStyle name="Note 2 10 3 13" xfId="24043" xr:uid="{00000000-0005-0000-0000-0000A2420000}"/>
    <cellStyle name="Note 2 10 3 13 2" xfId="24044" xr:uid="{00000000-0005-0000-0000-0000A3420000}"/>
    <cellStyle name="Note 2 10 3 13 3" xfId="24045" xr:uid="{00000000-0005-0000-0000-0000A4420000}"/>
    <cellStyle name="Note 2 10 3 14" xfId="24046" xr:uid="{00000000-0005-0000-0000-0000A5420000}"/>
    <cellStyle name="Note 2 10 3 14 2" xfId="24047" xr:uid="{00000000-0005-0000-0000-0000A6420000}"/>
    <cellStyle name="Note 2 10 3 14 3" xfId="24048" xr:uid="{00000000-0005-0000-0000-0000A7420000}"/>
    <cellStyle name="Note 2 10 3 15" xfId="24049" xr:uid="{00000000-0005-0000-0000-0000A8420000}"/>
    <cellStyle name="Note 2 10 3 16" xfId="24050" xr:uid="{00000000-0005-0000-0000-0000A9420000}"/>
    <cellStyle name="Note 2 10 3 2" xfId="8060" xr:uid="{00000000-0005-0000-0000-0000AA420000}"/>
    <cellStyle name="Note 2 10 3 2 2" xfId="8063" xr:uid="{00000000-0005-0000-0000-0000AB420000}"/>
    <cellStyle name="Note 2 10 3 2 2 2" xfId="8432" xr:uid="{00000000-0005-0000-0000-0000AC420000}"/>
    <cellStyle name="Note 2 10 3 2 2 3" xfId="24051" xr:uid="{00000000-0005-0000-0000-0000AD420000}"/>
    <cellStyle name="Note 2 10 3 2 2 4" xfId="24052" xr:uid="{00000000-0005-0000-0000-0000AE420000}"/>
    <cellStyle name="Note 2 10 3 2 3" xfId="8065" xr:uid="{00000000-0005-0000-0000-0000AF420000}"/>
    <cellStyle name="Note 2 10 3 2 3 2" xfId="14766" xr:uid="{00000000-0005-0000-0000-0000B0420000}"/>
    <cellStyle name="Note 2 10 3 2 3 3" xfId="24053" xr:uid="{00000000-0005-0000-0000-0000B1420000}"/>
    <cellStyle name="Note 2 10 3 2 3 4" xfId="24054" xr:uid="{00000000-0005-0000-0000-0000B2420000}"/>
    <cellStyle name="Note 2 10 3 2 4" xfId="24055" xr:uid="{00000000-0005-0000-0000-0000B3420000}"/>
    <cellStyle name="Note 2 10 3 2 4 2" xfId="24056" xr:uid="{00000000-0005-0000-0000-0000B4420000}"/>
    <cellStyle name="Note 2 10 3 2 4 3" xfId="24057" xr:uid="{00000000-0005-0000-0000-0000B5420000}"/>
    <cellStyle name="Note 2 10 3 2 5" xfId="24058" xr:uid="{00000000-0005-0000-0000-0000B6420000}"/>
    <cellStyle name="Note 2 10 3 2 5 2" xfId="24059" xr:uid="{00000000-0005-0000-0000-0000B7420000}"/>
    <cellStyle name="Note 2 10 3 2 5 3" xfId="24060" xr:uid="{00000000-0005-0000-0000-0000B8420000}"/>
    <cellStyle name="Note 2 10 3 2 6" xfId="24061" xr:uid="{00000000-0005-0000-0000-0000B9420000}"/>
    <cellStyle name="Note 2 10 3 2 7" xfId="24062" xr:uid="{00000000-0005-0000-0000-0000BA420000}"/>
    <cellStyle name="Note 2 10 3 3" xfId="8068" xr:uid="{00000000-0005-0000-0000-0000BB420000}"/>
    <cellStyle name="Note 2 10 3 3 2" xfId="8071" xr:uid="{00000000-0005-0000-0000-0000BC420000}"/>
    <cellStyle name="Note 2 10 3 3 2 2" xfId="8075" xr:uid="{00000000-0005-0000-0000-0000BD420000}"/>
    <cellStyle name="Note 2 10 3 3 2 3" xfId="24063" xr:uid="{00000000-0005-0000-0000-0000BE420000}"/>
    <cellStyle name="Note 2 10 3 3 2 4" xfId="24064" xr:uid="{00000000-0005-0000-0000-0000BF420000}"/>
    <cellStyle name="Note 2 10 3 3 3" xfId="24065" xr:uid="{00000000-0005-0000-0000-0000C0420000}"/>
    <cellStyle name="Note 2 10 3 3 3 2" xfId="14785" xr:uid="{00000000-0005-0000-0000-0000C1420000}"/>
    <cellStyle name="Note 2 10 3 3 3 3" xfId="24066" xr:uid="{00000000-0005-0000-0000-0000C2420000}"/>
    <cellStyle name="Note 2 10 3 3 3 4" xfId="24067" xr:uid="{00000000-0005-0000-0000-0000C3420000}"/>
    <cellStyle name="Note 2 10 3 3 4" xfId="24068" xr:uid="{00000000-0005-0000-0000-0000C4420000}"/>
    <cellStyle name="Note 2 10 3 3 4 2" xfId="24069" xr:uid="{00000000-0005-0000-0000-0000C5420000}"/>
    <cellStyle name="Note 2 10 3 3 4 3" xfId="24070" xr:uid="{00000000-0005-0000-0000-0000C6420000}"/>
    <cellStyle name="Note 2 10 3 3 5" xfId="24071" xr:uid="{00000000-0005-0000-0000-0000C7420000}"/>
    <cellStyle name="Note 2 10 3 3 5 2" xfId="24072" xr:uid="{00000000-0005-0000-0000-0000C8420000}"/>
    <cellStyle name="Note 2 10 3 3 5 3" xfId="24073" xr:uid="{00000000-0005-0000-0000-0000C9420000}"/>
    <cellStyle name="Note 2 10 3 3 6" xfId="24074" xr:uid="{00000000-0005-0000-0000-0000CA420000}"/>
    <cellStyle name="Note 2 10 3 3 7" xfId="24075" xr:uid="{00000000-0005-0000-0000-0000CB420000}"/>
    <cellStyle name="Note 2 10 3 4" xfId="8079" xr:uid="{00000000-0005-0000-0000-0000CC420000}"/>
    <cellStyle name="Note 2 10 3 4 2" xfId="24076" xr:uid="{00000000-0005-0000-0000-0000CD420000}"/>
    <cellStyle name="Note 2 10 3 4 2 2" xfId="14805" xr:uid="{00000000-0005-0000-0000-0000CE420000}"/>
    <cellStyle name="Note 2 10 3 4 2 3" xfId="24079" xr:uid="{00000000-0005-0000-0000-0000CF420000}"/>
    <cellStyle name="Note 2 10 3 4 2 4" xfId="24080" xr:uid="{00000000-0005-0000-0000-0000D0420000}"/>
    <cellStyle name="Note 2 10 3 4 3" xfId="24081" xr:uid="{00000000-0005-0000-0000-0000D1420000}"/>
    <cellStyle name="Note 2 10 3 4 3 2" xfId="14812" xr:uid="{00000000-0005-0000-0000-0000D2420000}"/>
    <cellStyle name="Note 2 10 3 4 3 3" xfId="24082" xr:uid="{00000000-0005-0000-0000-0000D3420000}"/>
    <cellStyle name="Note 2 10 3 4 3 4" xfId="24083" xr:uid="{00000000-0005-0000-0000-0000D4420000}"/>
    <cellStyle name="Note 2 10 3 4 4" xfId="24084" xr:uid="{00000000-0005-0000-0000-0000D5420000}"/>
    <cellStyle name="Note 2 10 3 4 4 2" xfId="24085" xr:uid="{00000000-0005-0000-0000-0000D6420000}"/>
    <cellStyle name="Note 2 10 3 4 4 3" xfId="24086" xr:uid="{00000000-0005-0000-0000-0000D7420000}"/>
    <cellStyle name="Note 2 10 3 4 5" xfId="24087" xr:uid="{00000000-0005-0000-0000-0000D8420000}"/>
    <cellStyle name="Note 2 10 3 4 5 2" xfId="24088" xr:uid="{00000000-0005-0000-0000-0000D9420000}"/>
    <cellStyle name="Note 2 10 3 4 5 3" xfId="24090" xr:uid="{00000000-0005-0000-0000-0000DA420000}"/>
    <cellStyle name="Note 2 10 3 4 6" xfId="24092" xr:uid="{00000000-0005-0000-0000-0000DB420000}"/>
    <cellStyle name="Note 2 10 3 4 7" xfId="24093" xr:uid="{00000000-0005-0000-0000-0000DC420000}"/>
    <cellStyle name="Note 2 10 3 5" xfId="8081" xr:uid="{00000000-0005-0000-0000-0000DD420000}"/>
    <cellStyle name="Note 2 10 3 5 2" xfId="24094" xr:uid="{00000000-0005-0000-0000-0000DE420000}"/>
    <cellStyle name="Note 2 10 3 5 2 2" xfId="14841" xr:uid="{00000000-0005-0000-0000-0000DF420000}"/>
    <cellStyle name="Note 2 10 3 5 2 3" xfId="24097" xr:uid="{00000000-0005-0000-0000-0000E0420000}"/>
    <cellStyle name="Note 2 10 3 5 2 4" xfId="24098" xr:uid="{00000000-0005-0000-0000-0000E1420000}"/>
    <cellStyle name="Note 2 10 3 5 3" xfId="24099" xr:uid="{00000000-0005-0000-0000-0000E2420000}"/>
    <cellStyle name="Note 2 10 3 5 3 2" xfId="14851" xr:uid="{00000000-0005-0000-0000-0000E3420000}"/>
    <cellStyle name="Note 2 10 3 5 3 3" xfId="24101" xr:uid="{00000000-0005-0000-0000-0000E4420000}"/>
    <cellStyle name="Note 2 10 3 5 3 4" xfId="24102" xr:uid="{00000000-0005-0000-0000-0000E5420000}"/>
    <cellStyle name="Note 2 10 3 5 4" xfId="24104" xr:uid="{00000000-0005-0000-0000-0000E6420000}"/>
    <cellStyle name="Note 2 10 3 5 4 2" xfId="24106" xr:uid="{00000000-0005-0000-0000-0000E7420000}"/>
    <cellStyle name="Note 2 10 3 5 4 3" xfId="24107" xr:uid="{00000000-0005-0000-0000-0000E8420000}"/>
    <cellStyle name="Note 2 10 3 5 5" xfId="24108" xr:uid="{00000000-0005-0000-0000-0000E9420000}"/>
    <cellStyle name="Note 2 10 3 5 5 2" xfId="21662" xr:uid="{00000000-0005-0000-0000-0000EA420000}"/>
    <cellStyle name="Note 2 10 3 5 5 3" xfId="21667" xr:uid="{00000000-0005-0000-0000-0000EB420000}"/>
    <cellStyle name="Note 2 10 3 5 6" xfId="24110" xr:uid="{00000000-0005-0000-0000-0000EC420000}"/>
    <cellStyle name="Note 2 10 3 5 7" xfId="24111" xr:uid="{00000000-0005-0000-0000-0000ED420000}"/>
    <cellStyle name="Note 2 10 3 6" xfId="24112" xr:uid="{00000000-0005-0000-0000-0000EE420000}"/>
    <cellStyle name="Note 2 10 3 6 2" xfId="24114" xr:uid="{00000000-0005-0000-0000-0000EF420000}"/>
    <cellStyle name="Note 2 10 3 6 2 2" xfId="14877" xr:uid="{00000000-0005-0000-0000-0000F0420000}"/>
    <cellStyle name="Note 2 10 3 6 2 3" xfId="24116" xr:uid="{00000000-0005-0000-0000-0000F1420000}"/>
    <cellStyle name="Note 2 10 3 6 2 4" xfId="24117" xr:uid="{00000000-0005-0000-0000-0000F2420000}"/>
    <cellStyle name="Note 2 10 3 6 3" xfId="24118" xr:uid="{00000000-0005-0000-0000-0000F3420000}"/>
    <cellStyle name="Note 2 10 3 6 3 2" xfId="14884" xr:uid="{00000000-0005-0000-0000-0000F4420000}"/>
    <cellStyle name="Note 2 10 3 6 3 3" xfId="24120" xr:uid="{00000000-0005-0000-0000-0000F5420000}"/>
    <cellStyle name="Note 2 10 3 6 3 4" xfId="24121" xr:uid="{00000000-0005-0000-0000-0000F6420000}"/>
    <cellStyle name="Note 2 10 3 6 4" xfId="24122" xr:uid="{00000000-0005-0000-0000-0000F7420000}"/>
    <cellStyle name="Note 2 10 3 6 4 2" xfId="24124" xr:uid="{00000000-0005-0000-0000-0000F8420000}"/>
    <cellStyle name="Note 2 10 3 6 4 3" xfId="24125" xr:uid="{00000000-0005-0000-0000-0000F9420000}"/>
    <cellStyle name="Note 2 10 3 6 5" xfId="24126" xr:uid="{00000000-0005-0000-0000-0000FA420000}"/>
    <cellStyle name="Note 2 10 3 6 5 2" xfId="24127" xr:uid="{00000000-0005-0000-0000-0000FB420000}"/>
    <cellStyle name="Note 2 10 3 6 5 3" xfId="24128" xr:uid="{00000000-0005-0000-0000-0000FC420000}"/>
    <cellStyle name="Note 2 10 3 6 6" xfId="24129" xr:uid="{00000000-0005-0000-0000-0000FD420000}"/>
    <cellStyle name="Note 2 10 3 6 7" xfId="24130" xr:uid="{00000000-0005-0000-0000-0000FE420000}"/>
    <cellStyle name="Note 2 10 3 7" xfId="24131" xr:uid="{00000000-0005-0000-0000-0000FF420000}"/>
    <cellStyle name="Note 2 10 3 7 2" xfId="24133" xr:uid="{00000000-0005-0000-0000-000000430000}"/>
    <cellStyle name="Note 2 10 3 7 2 2" xfId="14899" xr:uid="{00000000-0005-0000-0000-000001430000}"/>
    <cellStyle name="Note 2 10 3 7 2 3" xfId="24135" xr:uid="{00000000-0005-0000-0000-000002430000}"/>
    <cellStyle name="Note 2 10 3 7 2 4" xfId="24136" xr:uid="{00000000-0005-0000-0000-000003430000}"/>
    <cellStyle name="Note 2 10 3 7 3" xfId="24137" xr:uid="{00000000-0005-0000-0000-000004430000}"/>
    <cellStyle name="Note 2 10 3 7 3 2" xfId="14905" xr:uid="{00000000-0005-0000-0000-000005430000}"/>
    <cellStyle name="Note 2 10 3 7 3 3" xfId="24139" xr:uid="{00000000-0005-0000-0000-000006430000}"/>
    <cellStyle name="Note 2 10 3 7 3 4" xfId="24140" xr:uid="{00000000-0005-0000-0000-000007430000}"/>
    <cellStyle name="Note 2 10 3 7 4" xfId="24141" xr:uid="{00000000-0005-0000-0000-000008430000}"/>
    <cellStyle name="Note 2 10 3 7 4 2" xfId="24142" xr:uid="{00000000-0005-0000-0000-000009430000}"/>
    <cellStyle name="Note 2 10 3 7 4 3" xfId="24143" xr:uid="{00000000-0005-0000-0000-00000A430000}"/>
    <cellStyle name="Note 2 10 3 7 5" xfId="24144" xr:uid="{00000000-0005-0000-0000-00000B430000}"/>
    <cellStyle name="Note 2 10 3 7 5 2" xfId="24145" xr:uid="{00000000-0005-0000-0000-00000C430000}"/>
    <cellStyle name="Note 2 10 3 7 5 3" xfId="24146" xr:uid="{00000000-0005-0000-0000-00000D430000}"/>
    <cellStyle name="Note 2 10 3 7 6" xfId="24147" xr:uid="{00000000-0005-0000-0000-00000E430000}"/>
    <cellStyle name="Note 2 10 3 7 7" xfId="24148" xr:uid="{00000000-0005-0000-0000-00000F430000}"/>
    <cellStyle name="Note 2 10 3 8" xfId="24149" xr:uid="{00000000-0005-0000-0000-000010430000}"/>
    <cellStyle name="Note 2 10 3 8 2" xfId="24151" xr:uid="{00000000-0005-0000-0000-000011430000}"/>
    <cellStyle name="Note 2 10 3 8 2 2" xfId="14924" xr:uid="{00000000-0005-0000-0000-000012430000}"/>
    <cellStyle name="Note 2 10 3 8 2 3" xfId="24153" xr:uid="{00000000-0005-0000-0000-000013430000}"/>
    <cellStyle name="Note 2 10 3 8 2 4" xfId="24154" xr:uid="{00000000-0005-0000-0000-000014430000}"/>
    <cellStyle name="Note 2 10 3 8 3" xfId="24155" xr:uid="{00000000-0005-0000-0000-000015430000}"/>
    <cellStyle name="Note 2 10 3 8 3 2" xfId="14928" xr:uid="{00000000-0005-0000-0000-000016430000}"/>
    <cellStyle name="Note 2 10 3 8 3 3" xfId="24157" xr:uid="{00000000-0005-0000-0000-000017430000}"/>
    <cellStyle name="Note 2 10 3 8 3 4" xfId="24158" xr:uid="{00000000-0005-0000-0000-000018430000}"/>
    <cellStyle name="Note 2 10 3 8 4" xfId="24159" xr:uid="{00000000-0005-0000-0000-000019430000}"/>
    <cellStyle name="Note 2 10 3 8 4 2" xfId="24160" xr:uid="{00000000-0005-0000-0000-00001A430000}"/>
    <cellStyle name="Note 2 10 3 8 4 3" xfId="24161" xr:uid="{00000000-0005-0000-0000-00001B430000}"/>
    <cellStyle name="Note 2 10 3 8 5" xfId="24162" xr:uid="{00000000-0005-0000-0000-00001C430000}"/>
    <cellStyle name="Note 2 10 3 8 5 2" xfId="24163" xr:uid="{00000000-0005-0000-0000-00001D430000}"/>
    <cellStyle name="Note 2 10 3 8 5 3" xfId="24164" xr:uid="{00000000-0005-0000-0000-00001E430000}"/>
    <cellStyle name="Note 2 10 3 8 6" xfId="24165" xr:uid="{00000000-0005-0000-0000-00001F430000}"/>
    <cellStyle name="Note 2 10 3 8 7" xfId="24166" xr:uid="{00000000-0005-0000-0000-000020430000}"/>
    <cellStyle name="Note 2 10 3 9" xfId="24167" xr:uid="{00000000-0005-0000-0000-000021430000}"/>
    <cellStyle name="Note 2 10 3 9 2" xfId="24169" xr:uid="{00000000-0005-0000-0000-000022430000}"/>
    <cellStyle name="Note 2 10 3 9 2 2" xfId="14953" xr:uid="{00000000-0005-0000-0000-000023430000}"/>
    <cellStyle name="Note 2 10 3 9 2 3" xfId="24170" xr:uid="{00000000-0005-0000-0000-000024430000}"/>
    <cellStyle name="Note 2 10 3 9 2 4" xfId="24173" xr:uid="{00000000-0005-0000-0000-000025430000}"/>
    <cellStyle name="Note 2 10 3 9 3" xfId="24176" xr:uid="{00000000-0005-0000-0000-000026430000}"/>
    <cellStyle name="Note 2 10 3 9 3 2" xfId="14969" xr:uid="{00000000-0005-0000-0000-000027430000}"/>
    <cellStyle name="Note 2 10 3 9 3 3" xfId="24177" xr:uid="{00000000-0005-0000-0000-000028430000}"/>
    <cellStyle name="Note 2 10 3 9 3 4" xfId="24180" xr:uid="{00000000-0005-0000-0000-000029430000}"/>
    <cellStyle name="Note 2 10 3 9 4" xfId="24183" xr:uid="{00000000-0005-0000-0000-00002A430000}"/>
    <cellStyle name="Note 2 10 3 9 4 2" xfId="24184" xr:uid="{00000000-0005-0000-0000-00002B430000}"/>
    <cellStyle name="Note 2 10 3 9 4 3" xfId="24187" xr:uid="{00000000-0005-0000-0000-00002C430000}"/>
    <cellStyle name="Note 2 10 3 9 5" xfId="24190" xr:uid="{00000000-0005-0000-0000-00002D430000}"/>
    <cellStyle name="Note 2 10 3 9 5 2" xfId="24191" xr:uid="{00000000-0005-0000-0000-00002E430000}"/>
    <cellStyle name="Note 2 10 3 9 5 3" xfId="24195" xr:uid="{00000000-0005-0000-0000-00002F430000}"/>
    <cellStyle name="Note 2 10 3 9 6" xfId="24199" xr:uid="{00000000-0005-0000-0000-000030430000}"/>
    <cellStyle name="Note 2 10 3 9 7" xfId="24200" xr:uid="{00000000-0005-0000-0000-000031430000}"/>
    <cellStyle name="Note 2 10 4" xfId="14454" xr:uid="{00000000-0005-0000-0000-000032430000}"/>
    <cellStyle name="Note 2 10 4 2" xfId="8103" xr:uid="{00000000-0005-0000-0000-000033430000}"/>
    <cellStyle name="Note 2 10 4 2 2" xfId="8106" xr:uid="{00000000-0005-0000-0000-000034430000}"/>
    <cellStyle name="Note 2 10 4 2 3" xfId="8108" xr:uid="{00000000-0005-0000-0000-000035430000}"/>
    <cellStyle name="Note 2 10 4 2 4" xfId="24201" xr:uid="{00000000-0005-0000-0000-000036430000}"/>
    <cellStyle name="Note 2 10 4 3" xfId="8111" xr:uid="{00000000-0005-0000-0000-000037430000}"/>
    <cellStyle name="Note 2 10 4 3 2" xfId="8115" xr:uid="{00000000-0005-0000-0000-000038430000}"/>
    <cellStyle name="Note 2 10 4 3 3" xfId="14177" xr:uid="{00000000-0005-0000-0000-000039430000}"/>
    <cellStyle name="Note 2 10 4 3 4" xfId="14179" xr:uid="{00000000-0005-0000-0000-00003A430000}"/>
    <cellStyle name="Note 2 10 4 4" xfId="8117" xr:uid="{00000000-0005-0000-0000-00003B430000}"/>
    <cellStyle name="Note 2 10 4 4 2" xfId="24202" xr:uid="{00000000-0005-0000-0000-00003C430000}"/>
    <cellStyle name="Note 2 10 4 4 3" xfId="24203" xr:uid="{00000000-0005-0000-0000-00003D430000}"/>
    <cellStyle name="Note 2 10 4 5" xfId="8119" xr:uid="{00000000-0005-0000-0000-00003E430000}"/>
    <cellStyle name="Note 2 10 4 5 2" xfId="24204" xr:uid="{00000000-0005-0000-0000-00003F430000}"/>
    <cellStyle name="Note 2 10 4 5 3" xfId="24205" xr:uid="{00000000-0005-0000-0000-000040430000}"/>
    <cellStyle name="Note 2 10 4 6" xfId="24206" xr:uid="{00000000-0005-0000-0000-000041430000}"/>
    <cellStyle name="Note 2 10 4 7" xfId="24207" xr:uid="{00000000-0005-0000-0000-000042430000}"/>
    <cellStyle name="Note 2 10 5" xfId="14457" xr:uid="{00000000-0005-0000-0000-000043430000}"/>
    <cellStyle name="Note 2 10 5 2" xfId="8143" xr:uid="{00000000-0005-0000-0000-000044430000}"/>
    <cellStyle name="Note 2 10 5 2 2" xfId="8146" xr:uid="{00000000-0005-0000-0000-000045430000}"/>
    <cellStyle name="Note 2 10 5 2 3" xfId="8149" xr:uid="{00000000-0005-0000-0000-000046430000}"/>
    <cellStyle name="Note 2 10 5 2 4" xfId="10122" xr:uid="{00000000-0005-0000-0000-000047430000}"/>
    <cellStyle name="Note 2 10 5 3" xfId="8152" xr:uid="{00000000-0005-0000-0000-000048430000}"/>
    <cellStyle name="Note 2 10 5 3 2" xfId="8155" xr:uid="{00000000-0005-0000-0000-000049430000}"/>
    <cellStyle name="Note 2 10 5 3 3" xfId="24208" xr:uid="{00000000-0005-0000-0000-00004A430000}"/>
    <cellStyle name="Note 2 10 5 3 4" xfId="22292" xr:uid="{00000000-0005-0000-0000-00004B430000}"/>
    <cellStyle name="Note 2 10 5 4" xfId="8157" xr:uid="{00000000-0005-0000-0000-00004C430000}"/>
    <cellStyle name="Note 2 10 5 4 2" xfId="10138" xr:uid="{00000000-0005-0000-0000-00004D430000}"/>
    <cellStyle name="Note 2 10 5 4 3" xfId="24209" xr:uid="{00000000-0005-0000-0000-00004E430000}"/>
    <cellStyle name="Note 2 10 5 5" xfId="8159" xr:uid="{00000000-0005-0000-0000-00004F430000}"/>
    <cellStyle name="Note 2 10 5 5 2" xfId="24210" xr:uid="{00000000-0005-0000-0000-000050430000}"/>
    <cellStyle name="Note 2 10 5 5 3" xfId="24211" xr:uid="{00000000-0005-0000-0000-000051430000}"/>
    <cellStyle name="Note 2 10 5 6" xfId="24212" xr:uid="{00000000-0005-0000-0000-000052430000}"/>
    <cellStyle name="Note 2 10 5 7" xfId="24213" xr:uid="{00000000-0005-0000-0000-000053430000}"/>
    <cellStyle name="Note 2 10 6" xfId="14460" xr:uid="{00000000-0005-0000-0000-000054430000}"/>
    <cellStyle name="Note 2 10 6 2" xfId="8183" xr:uid="{00000000-0005-0000-0000-000055430000}"/>
    <cellStyle name="Note 2 10 6 2 2" xfId="8186" xr:uid="{00000000-0005-0000-0000-000056430000}"/>
    <cellStyle name="Note 2 10 6 2 3" xfId="8189" xr:uid="{00000000-0005-0000-0000-000057430000}"/>
    <cellStyle name="Note 2 10 6 2 4" xfId="24214" xr:uid="{00000000-0005-0000-0000-000058430000}"/>
    <cellStyle name="Note 2 10 6 3" xfId="8192" xr:uid="{00000000-0005-0000-0000-000059430000}"/>
    <cellStyle name="Note 2 10 6 3 2" xfId="8195" xr:uid="{00000000-0005-0000-0000-00005A430000}"/>
    <cellStyle name="Note 2 10 6 3 3" xfId="24215" xr:uid="{00000000-0005-0000-0000-00005B430000}"/>
    <cellStyle name="Note 2 10 6 3 4" xfId="24218" xr:uid="{00000000-0005-0000-0000-00005C430000}"/>
    <cellStyle name="Note 2 10 6 4" xfId="8202" xr:uid="{00000000-0005-0000-0000-00005D430000}"/>
    <cellStyle name="Note 2 10 6 4 2" xfId="24219" xr:uid="{00000000-0005-0000-0000-00005E430000}"/>
    <cellStyle name="Note 2 10 6 4 3" xfId="24220" xr:uid="{00000000-0005-0000-0000-00005F430000}"/>
    <cellStyle name="Note 2 10 6 5" xfId="8205" xr:uid="{00000000-0005-0000-0000-000060430000}"/>
    <cellStyle name="Note 2 10 6 5 2" xfId="24221" xr:uid="{00000000-0005-0000-0000-000061430000}"/>
    <cellStyle name="Note 2 10 6 5 3" xfId="24222" xr:uid="{00000000-0005-0000-0000-000062430000}"/>
    <cellStyle name="Note 2 10 6 6" xfId="21892" xr:uid="{00000000-0005-0000-0000-000063430000}"/>
    <cellStyle name="Note 2 10 6 7" xfId="21894" xr:uid="{00000000-0005-0000-0000-000064430000}"/>
    <cellStyle name="Note 2 10 7" xfId="14462" xr:uid="{00000000-0005-0000-0000-000065430000}"/>
    <cellStyle name="Note 2 10 7 2" xfId="24224" xr:uid="{00000000-0005-0000-0000-000066430000}"/>
    <cellStyle name="Note 2 10 7 2 2" xfId="24227" xr:uid="{00000000-0005-0000-0000-000067430000}"/>
    <cellStyle name="Note 2 10 7 2 3" xfId="24232" xr:uid="{00000000-0005-0000-0000-000068430000}"/>
    <cellStyle name="Note 2 10 7 2 4" xfId="20381" xr:uid="{00000000-0005-0000-0000-000069430000}"/>
    <cellStyle name="Note 2 10 7 3" xfId="24235" xr:uid="{00000000-0005-0000-0000-00006A430000}"/>
    <cellStyle name="Note 2 10 7 3 2" xfId="24238" xr:uid="{00000000-0005-0000-0000-00006B430000}"/>
    <cellStyle name="Note 2 10 7 3 3" xfId="24243" xr:uid="{00000000-0005-0000-0000-00006C430000}"/>
    <cellStyle name="Note 2 10 7 3 4" xfId="20389" xr:uid="{00000000-0005-0000-0000-00006D430000}"/>
    <cellStyle name="Note 2 10 7 4" xfId="11970" xr:uid="{00000000-0005-0000-0000-00006E430000}"/>
    <cellStyle name="Note 2 10 7 4 2" xfId="24245" xr:uid="{00000000-0005-0000-0000-00006F430000}"/>
    <cellStyle name="Note 2 10 7 4 3" xfId="24248" xr:uid="{00000000-0005-0000-0000-000070430000}"/>
    <cellStyle name="Note 2 10 7 5" xfId="11974" xr:uid="{00000000-0005-0000-0000-000071430000}"/>
    <cellStyle name="Note 2 10 7 5 2" xfId="24250" xr:uid="{00000000-0005-0000-0000-000072430000}"/>
    <cellStyle name="Note 2 10 7 5 3" xfId="24253" xr:uid="{00000000-0005-0000-0000-000073430000}"/>
    <cellStyle name="Note 2 10 7 6" xfId="11978" xr:uid="{00000000-0005-0000-0000-000074430000}"/>
    <cellStyle name="Note 2 10 7 7" xfId="21899" xr:uid="{00000000-0005-0000-0000-000075430000}"/>
    <cellStyle name="Note 2 10 8" xfId="24255" xr:uid="{00000000-0005-0000-0000-000076430000}"/>
    <cellStyle name="Note 2 10 8 2" xfId="24258" xr:uid="{00000000-0005-0000-0000-000077430000}"/>
    <cellStyle name="Note 2 10 8 2 2" xfId="24261" xr:uid="{00000000-0005-0000-0000-000078430000}"/>
    <cellStyle name="Note 2 10 8 2 3" xfId="24265" xr:uid="{00000000-0005-0000-0000-000079430000}"/>
    <cellStyle name="Note 2 10 8 2 4" xfId="24268" xr:uid="{00000000-0005-0000-0000-00007A430000}"/>
    <cellStyle name="Note 2 10 8 3" xfId="24271" xr:uid="{00000000-0005-0000-0000-00007B430000}"/>
    <cellStyle name="Note 2 10 8 3 2" xfId="24274" xr:uid="{00000000-0005-0000-0000-00007C430000}"/>
    <cellStyle name="Note 2 10 8 3 3" xfId="24278" xr:uid="{00000000-0005-0000-0000-00007D430000}"/>
    <cellStyle name="Note 2 10 8 3 4" xfId="24281" xr:uid="{00000000-0005-0000-0000-00007E430000}"/>
    <cellStyle name="Note 2 10 8 4" xfId="11983" xr:uid="{00000000-0005-0000-0000-00007F430000}"/>
    <cellStyle name="Note 2 10 8 4 2" xfId="24283" xr:uid="{00000000-0005-0000-0000-000080430000}"/>
    <cellStyle name="Note 2 10 8 4 3" xfId="24286" xr:uid="{00000000-0005-0000-0000-000081430000}"/>
    <cellStyle name="Note 2 10 8 5" xfId="11988" xr:uid="{00000000-0005-0000-0000-000082430000}"/>
    <cellStyle name="Note 2 10 8 5 2" xfId="24288" xr:uid="{00000000-0005-0000-0000-000083430000}"/>
    <cellStyle name="Note 2 10 8 5 3" xfId="24291" xr:uid="{00000000-0005-0000-0000-000084430000}"/>
    <cellStyle name="Note 2 10 8 6" xfId="4278" xr:uid="{00000000-0005-0000-0000-000085430000}"/>
    <cellStyle name="Note 2 10 8 7" xfId="1810" xr:uid="{00000000-0005-0000-0000-000086430000}"/>
    <cellStyle name="Note 2 10 9" xfId="23294" xr:uid="{00000000-0005-0000-0000-000087430000}"/>
    <cellStyle name="Note 2 10 9 2" xfId="24295" xr:uid="{00000000-0005-0000-0000-000088430000}"/>
    <cellStyle name="Note 2 10 9 2 2" xfId="24298" xr:uid="{00000000-0005-0000-0000-000089430000}"/>
    <cellStyle name="Note 2 10 9 2 3" xfId="24302" xr:uid="{00000000-0005-0000-0000-00008A430000}"/>
    <cellStyle name="Note 2 10 9 2 4" xfId="24305" xr:uid="{00000000-0005-0000-0000-00008B430000}"/>
    <cellStyle name="Note 2 10 9 3" xfId="24309" xr:uid="{00000000-0005-0000-0000-00008C430000}"/>
    <cellStyle name="Note 2 10 9 3 2" xfId="24312" xr:uid="{00000000-0005-0000-0000-00008D430000}"/>
    <cellStyle name="Note 2 10 9 3 3" xfId="24316" xr:uid="{00000000-0005-0000-0000-00008E430000}"/>
    <cellStyle name="Note 2 10 9 3 4" xfId="24319" xr:uid="{00000000-0005-0000-0000-00008F430000}"/>
    <cellStyle name="Note 2 10 9 4" xfId="11997" xr:uid="{00000000-0005-0000-0000-000090430000}"/>
    <cellStyle name="Note 2 10 9 4 2" xfId="24321" xr:uid="{00000000-0005-0000-0000-000091430000}"/>
    <cellStyle name="Note 2 10 9 4 3" xfId="24324" xr:uid="{00000000-0005-0000-0000-000092430000}"/>
    <cellStyle name="Note 2 10 9 5" xfId="12002" xr:uid="{00000000-0005-0000-0000-000093430000}"/>
    <cellStyle name="Note 2 10 9 5 2" xfId="24326" xr:uid="{00000000-0005-0000-0000-000094430000}"/>
    <cellStyle name="Note 2 10 9 5 3" xfId="24329" xr:uid="{00000000-0005-0000-0000-000095430000}"/>
    <cellStyle name="Note 2 10 9 6" xfId="4555" xr:uid="{00000000-0005-0000-0000-000096430000}"/>
    <cellStyle name="Note 2 10 9 7" xfId="4580" xr:uid="{00000000-0005-0000-0000-000097430000}"/>
    <cellStyle name="Note 2 11" xfId="24331" xr:uid="{00000000-0005-0000-0000-000098430000}"/>
    <cellStyle name="Note 2 11 10" xfId="14695" xr:uid="{00000000-0005-0000-0000-000099430000}"/>
    <cellStyle name="Note 2 11 10 2" xfId="14698" xr:uid="{00000000-0005-0000-0000-00009A430000}"/>
    <cellStyle name="Note 2 11 10 2 2" xfId="135" xr:uid="{00000000-0005-0000-0000-00009B430000}"/>
    <cellStyle name="Note 2 11 10 2 3" xfId="147" xr:uid="{00000000-0005-0000-0000-00009C430000}"/>
    <cellStyle name="Note 2 11 10 2 4" xfId="92" xr:uid="{00000000-0005-0000-0000-00009D430000}"/>
    <cellStyle name="Note 2 11 10 3" xfId="14701" xr:uid="{00000000-0005-0000-0000-00009E430000}"/>
    <cellStyle name="Note 2 11 10 3 2" xfId="24332" xr:uid="{00000000-0005-0000-0000-00009F430000}"/>
    <cellStyle name="Note 2 11 10 3 3" xfId="24333" xr:uid="{00000000-0005-0000-0000-0000A0430000}"/>
    <cellStyle name="Note 2 11 10 3 4" xfId="24334" xr:uid="{00000000-0005-0000-0000-0000A1430000}"/>
    <cellStyle name="Note 2 11 10 4" xfId="24000" xr:uid="{00000000-0005-0000-0000-0000A2430000}"/>
    <cellStyle name="Note 2 11 10 4 2" xfId="24335" xr:uid="{00000000-0005-0000-0000-0000A3430000}"/>
    <cellStyle name="Note 2 11 10 4 3" xfId="24336" xr:uid="{00000000-0005-0000-0000-0000A4430000}"/>
    <cellStyle name="Note 2 11 10 5" xfId="24002" xr:uid="{00000000-0005-0000-0000-0000A5430000}"/>
    <cellStyle name="Note 2 11 10 5 2" xfId="24337" xr:uid="{00000000-0005-0000-0000-0000A6430000}"/>
    <cellStyle name="Note 2 11 10 5 3" xfId="24338" xr:uid="{00000000-0005-0000-0000-0000A7430000}"/>
    <cellStyle name="Note 2 11 10 6" xfId="24339" xr:uid="{00000000-0005-0000-0000-0000A8430000}"/>
    <cellStyle name="Note 2 11 10 7" xfId="24340" xr:uid="{00000000-0005-0000-0000-0000A9430000}"/>
    <cellStyle name="Note 2 11 11" xfId="14705" xr:uid="{00000000-0005-0000-0000-0000AA430000}"/>
    <cellStyle name="Note 2 11 11 2" xfId="24342" xr:uid="{00000000-0005-0000-0000-0000AB430000}"/>
    <cellStyle name="Note 2 11 11 2 2" xfId="7230" xr:uid="{00000000-0005-0000-0000-0000AC430000}"/>
    <cellStyle name="Note 2 11 11 2 3" xfId="24343" xr:uid="{00000000-0005-0000-0000-0000AD430000}"/>
    <cellStyle name="Note 2 11 11 2 4" xfId="24344" xr:uid="{00000000-0005-0000-0000-0000AE430000}"/>
    <cellStyle name="Note 2 11 11 3" xfId="24345" xr:uid="{00000000-0005-0000-0000-0000AF430000}"/>
    <cellStyle name="Note 2 11 11 3 2" xfId="24346" xr:uid="{00000000-0005-0000-0000-0000B0430000}"/>
    <cellStyle name="Note 2 11 11 3 3" xfId="24347" xr:uid="{00000000-0005-0000-0000-0000B1430000}"/>
    <cellStyle name="Note 2 11 11 3 4" xfId="24348" xr:uid="{00000000-0005-0000-0000-0000B2430000}"/>
    <cellStyle name="Note 2 11 11 4" xfId="24349" xr:uid="{00000000-0005-0000-0000-0000B3430000}"/>
    <cellStyle name="Note 2 11 11 4 2" xfId="24350" xr:uid="{00000000-0005-0000-0000-0000B4430000}"/>
    <cellStyle name="Note 2 11 11 4 3" xfId="24351" xr:uid="{00000000-0005-0000-0000-0000B5430000}"/>
    <cellStyle name="Note 2 11 11 5" xfId="24352" xr:uid="{00000000-0005-0000-0000-0000B6430000}"/>
    <cellStyle name="Note 2 11 11 5 2" xfId="24353" xr:uid="{00000000-0005-0000-0000-0000B7430000}"/>
    <cellStyle name="Note 2 11 11 5 3" xfId="24354" xr:uid="{00000000-0005-0000-0000-0000B8430000}"/>
    <cellStyle name="Note 2 11 11 6" xfId="24355" xr:uid="{00000000-0005-0000-0000-0000B9430000}"/>
    <cellStyle name="Note 2 11 11 7" xfId="24356" xr:uid="{00000000-0005-0000-0000-0000BA430000}"/>
    <cellStyle name="Note 2 11 12" xfId="14707" xr:uid="{00000000-0005-0000-0000-0000BB430000}"/>
    <cellStyle name="Note 2 11 12 2" xfId="24357" xr:uid="{00000000-0005-0000-0000-0000BC430000}"/>
    <cellStyle name="Note 2 11 12 2 2" xfId="24358" xr:uid="{00000000-0005-0000-0000-0000BD430000}"/>
    <cellStyle name="Note 2 11 12 2 3" xfId="24359" xr:uid="{00000000-0005-0000-0000-0000BE430000}"/>
    <cellStyle name="Note 2 11 12 2 4" xfId="24360" xr:uid="{00000000-0005-0000-0000-0000BF430000}"/>
    <cellStyle name="Note 2 11 12 3" xfId="24361" xr:uid="{00000000-0005-0000-0000-0000C0430000}"/>
    <cellStyle name="Note 2 11 12 3 2" xfId="24362" xr:uid="{00000000-0005-0000-0000-0000C1430000}"/>
    <cellStyle name="Note 2 11 12 3 3" xfId="24363" xr:uid="{00000000-0005-0000-0000-0000C2430000}"/>
    <cellStyle name="Note 2 11 12 3 4" xfId="24364" xr:uid="{00000000-0005-0000-0000-0000C3430000}"/>
    <cellStyle name="Note 2 11 12 4" xfId="2001" xr:uid="{00000000-0005-0000-0000-0000C4430000}"/>
    <cellStyle name="Note 2 11 12 4 2" xfId="24365" xr:uid="{00000000-0005-0000-0000-0000C5430000}"/>
    <cellStyle name="Note 2 11 12 4 3" xfId="24366" xr:uid="{00000000-0005-0000-0000-0000C6430000}"/>
    <cellStyle name="Note 2 11 12 5" xfId="24367" xr:uid="{00000000-0005-0000-0000-0000C7430000}"/>
    <cellStyle name="Note 2 11 12 5 2" xfId="24368" xr:uid="{00000000-0005-0000-0000-0000C8430000}"/>
    <cellStyle name="Note 2 11 12 5 3" xfId="24369" xr:uid="{00000000-0005-0000-0000-0000C9430000}"/>
    <cellStyle name="Note 2 11 12 6" xfId="24370" xr:uid="{00000000-0005-0000-0000-0000CA430000}"/>
    <cellStyle name="Note 2 11 12 7" xfId="24371" xr:uid="{00000000-0005-0000-0000-0000CB430000}"/>
    <cellStyle name="Note 2 11 13" xfId="24372" xr:uid="{00000000-0005-0000-0000-0000CC430000}"/>
    <cellStyle name="Note 2 11 13 2" xfId="24375" xr:uid="{00000000-0005-0000-0000-0000CD430000}"/>
    <cellStyle name="Note 2 11 13 3" xfId="24376" xr:uid="{00000000-0005-0000-0000-0000CE430000}"/>
    <cellStyle name="Note 2 11 13 4" xfId="24377" xr:uid="{00000000-0005-0000-0000-0000CF430000}"/>
    <cellStyle name="Note 2 11 14" xfId="24378" xr:uid="{00000000-0005-0000-0000-0000D0430000}"/>
    <cellStyle name="Note 2 11 14 2" xfId="24382" xr:uid="{00000000-0005-0000-0000-0000D1430000}"/>
    <cellStyle name="Note 2 11 14 3" xfId="24383" xr:uid="{00000000-0005-0000-0000-0000D2430000}"/>
    <cellStyle name="Note 2 11 14 4" xfId="24384" xr:uid="{00000000-0005-0000-0000-0000D3430000}"/>
    <cellStyle name="Note 2 11 15" xfId="24385" xr:uid="{00000000-0005-0000-0000-0000D4430000}"/>
    <cellStyle name="Note 2 11 15 2" xfId="24388" xr:uid="{00000000-0005-0000-0000-0000D5430000}"/>
    <cellStyle name="Note 2 11 15 3" xfId="24389" xr:uid="{00000000-0005-0000-0000-0000D6430000}"/>
    <cellStyle name="Note 2 11 16" xfId="24390" xr:uid="{00000000-0005-0000-0000-0000D7430000}"/>
    <cellStyle name="Note 2 11 16 2" xfId="24391" xr:uid="{00000000-0005-0000-0000-0000D8430000}"/>
    <cellStyle name="Note 2 11 16 3" xfId="24392" xr:uid="{00000000-0005-0000-0000-0000D9430000}"/>
    <cellStyle name="Note 2 11 17" xfId="24393" xr:uid="{00000000-0005-0000-0000-0000DA430000}"/>
    <cellStyle name="Note 2 11 18" xfId="24394" xr:uid="{00000000-0005-0000-0000-0000DB430000}"/>
    <cellStyle name="Note 2 11 19" xfId="24395" xr:uid="{00000000-0005-0000-0000-0000DC430000}"/>
    <cellStyle name="Note 2 11 2" xfId="24396" xr:uid="{00000000-0005-0000-0000-0000DD430000}"/>
    <cellStyle name="Note 2 11 2 10" xfId="24397" xr:uid="{00000000-0005-0000-0000-0000DE430000}"/>
    <cellStyle name="Note 2 11 2 10 2" xfId="15864" xr:uid="{00000000-0005-0000-0000-0000DF430000}"/>
    <cellStyle name="Note 2 11 2 10 2 2" xfId="24398" xr:uid="{00000000-0005-0000-0000-0000E0430000}"/>
    <cellStyle name="Note 2 11 2 10 2 3" xfId="24399" xr:uid="{00000000-0005-0000-0000-0000E1430000}"/>
    <cellStyle name="Note 2 11 2 10 2 4" xfId="24400" xr:uid="{00000000-0005-0000-0000-0000E2430000}"/>
    <cellStyle name="Note 2 11 2 10 3" xfId="15868" xr:uid="{00000000-0005-0000-0000-0000E3430000}"/>
    <cellStyle name="Note 2 11 2 10 3 2" xfId="24401" xr:uid="{00000000-0005-0000-0000-0000E4430000}"/>
    <cellStyle name="Note 2 11 2 10 3 3" xfId="24402" xr:uid="{00000000-0005-0000-0000-0000E5430000}"/>
    <cellStyle name="Note 2 11 2 10 3 4" xfId="24403" xr:uid="{00000000-0005-0000-0000-0000E6430000}"/>
    <cellStyle name="Note 2 11 2 10 4" xfId="24404" xr:uid="{00000000-0005-0000-0000-0000E7430000}"/>
    <cellStyle name="Note 2 11 2 10 4 2" xfId="24405" xr:uid="{00000000-0005-0000-0000-0000E8430000}"/>
    <cellStyle name="Note 2 11 2 10 4 3" xfId="24406" xr:uid="{00000000-0005-0000-0000-0000E9430000}"/>
    <cellStyle name="Note 2 11 2 10 5" xfId="21855" xr:uid="{00000000-0005-0000-0000-0000EA430000}"/>
    <cellStyle name="Note 2 11 2 10 5 2" xfId="21857" xr:uid="{00000000-0005-0000-0000-0000EB430000}"/>
    <cellStyle name="Note 2 11 2 10 5 3" xfId="21860" xr:uid="{00000000-0005-0000-0000-0000EC430000}"/>
    <cellStyle name="Note 2 11 2 10 6" xfId="21865" xr:uid="{00000000-0005-0000-0000-0000ED430000}"/>
    <cellStyle name="Note 2 11 2 10 7" xfId="21873" xr:uid="{00000000-0005-0000-0000-0000EE430000}"/>
    <cellStyle name="Note 2 11 2 11" xfId="24407" xr:uid="{00000000-0005-0000-0000-0000EF430000}"/>
    <cellStyle name="Note 2 11 2 11 2" xfId="15888" xr:uid="{00000000-0005-0000-0000-0000F0430000}"/>
    <cellStyle name="Note 2 11 2 11 3" xfId="15892" xr:uid="{00000000-0005-0000-0000-0000F1430000}"/>
    <cellStyle name="Note 2 11 2 11 4" xfId="24409" xr:uid="{00000000-0005-0000-0000-0000F2430000}"/>
    <cellStyle name="Note 2 11 2 12" xfId="8385" xr:uid="{00000000-0005-0000-0000-0000F3430000}"/>
    <cellStyle name="Note 2 11 2 12 2" xfId="10901" xr:uid="{00000000-0005-0000-0000-0000F4430000}"/>
    <cellStyle name="Note 2 11 2 12 3" xfId="10905" xr:uid="{00000000-0005-0000-0000-0000F5430000}"/>
    <cellStyle name="Note 2 11 2 12 4" xfId="24411" xr:uid="{00000000-0005-0000-0000-0000F6430000}"/>
    <cellStyle name="Note 2 11 2 13" xfId="23277" xr:uid="{00000000-0005-0000-0000-0000F7430000}"/>
    <cellStyle name="Note 2 11 2 13 2" xfId="10912" xr:uid="{00000000-0005-0000-0000-0000F8430000}"/>
    <cellStyle name="Note 2 11 2 13 3" xfId="10916" xr:uid="{00000000-0005-0000-0000-0000F9430000}"/>
    <cellStyle name="Note 2 11 2 14" xfId="23280" xr:uid="{00000000-0005-0000-0000-0000FA430000}"/>
    <cellStyle name="Note 2 11 2 14 2" xfId="10923" xr:uid="{00000000-0005-0000-0000-0000FB430000}"/>
    <cellStyle name="Note 2 11 2 14 3" xfId="15950" xr:uid="{00000000-0005-0000-0000-0000FC430000}"/>
    <cellStyle name="Note 2 11 2 15" xfId="24413" xr:uid="{00000000-0005-0000-0000-0000FD430000}"/>
    <cellStyle name="Note 2 11 2 16" xfId="24415" xr:uid="{00000000-0005-0000-0000-0000FE430000}"/>
    <cellStyle name="Note 2 11 2 2" xfId="8908" xr:uid="{00000000-0005-0000-0000-0000FF430000}"/>
    <cellStyle name="Note 2 11 2 2 2" xfId="8910" xr:uid="{00000000-0005-0000-0000-000000440000}"/>
    <cellStyle name="Note 2 11 2 2 2 2" xfId="15215" xr:uid="{00000000-0005-0000-0000-000001440000}"/>
    <cellStyle name="Note 2 11 2 2 2 3" xfId="24417" xr:uid="{00000000-0005-0000-0000-000002440000}"/>
    <cellStyle name="Note 2 11 2 2 2 4" xfId="3628" xr:uid="{00000000-0005-0000-0000-000003440000}"/>
    <cellStyle name="Note 2 11 2 2 3" xfId="8912" xr:uid="{00000000-0005-0000-0000-000004440000}"/>
    <cellStyle name="Note 2 11 2 2 3 2" xfId="15221" xr:uid="{00000000-0005-0000-0000-000005440000}"/>
    <cellStyle name="Note 2 11 2 2 3 3" xfId="24418" xr:uid="{00000000-0005-0000-0000-000006440000}"/>
    <cellStyle name="Note 2 11 2 2 3 4" xfId="3652" xr:uid="{00000000-0005-0000-0000-000007440000}"/>
    <cellStyle name="Note 2 11 2 2 4" xfId="22825" xr:uid="{00000000-0005-0000-0000-000008440000}"/>
    <cellStyle name="Note 2 11 2 2 4 2" xfId="24419" xr:uid="{00000000-0005-0000-0000-000009440000}"/>
    <cellStyle name="Note 2 11 2 2 4 3" xfId="24420" xr:uid="{00000000-0005-0000-0000-00000A440000}"/>
    <cellStyle name="Note 2 11 2 2 5" xfId="22827" xr:uid="{00000000-0005-0000-0000-00000B440000}"/>
    <cellStyle name="Note 2 11 2 2 5 2" xfId="24421" xr:uid="{00000000-0005-0000-0000-00000C440000}"/>
    <cellStyle name="Note 2 11 2 2 5 3" xfId="24423" xr:uid="{00000000-0005-0000-0000-00000D440000}"/>
    <cellStyle name="Note 2 11 2 2 6" xfId="22829" xr:uid="{00000000-0005-0000-0000-00000E440000}"/>
    <cellStyle name="Note 2 11 2 2 7" xfId="24425" xr:uid="{00000000-0005-0000-0000-00000F440000}"/>
    <cellStyle name="Note 2 11 2 3" xfId="8914" xr:uid="{00000000-0005-0000-0000-000010440000}"/>
    <cellStyle name="Note 2 11 2 3 2" xfId="8916" xr:uid="{00000000-0005-0000-0000-000011440000}"/>
    <cellStyle name="Note 2 11 2 3 2 2" xfId="8919" xr:uid="{00000000-0005-0000-0000-000012440000}"/>
    <cellStyle name="Note 2 11 2 3 2 3" xfId="24426" xr:uid="{00000000-0005-0000-0000-000013440000}"/>
    <cellStyle name="Note 2 11 2 3 2 4" xfId="3897" xr:uid="{00000000-0005-0000-0000-000014440000}"/>
    <cellStyle name="Note 2 11 2 3 3" xfId="24427" xr:uid="{00000000-0005-0000-0000-000015440000}"/>
    <cellStyle name="Note 2 11 2 3 3 2" xfId="15248" xr:uid="{00000000-0005-0000-0000-000016440000}"/>
    <cellStyle name="Note 2 11 2 3 3 3" xfId="23519" xr:uid="{00000000-0005-0000-0000-000017440000}"/>
    <cellStyle name="Note 2 11 2 3 3 4" xfId="23523" xr:uid="{00000000-0005-0000-0000-000018440000}"/>
    <cellStyle name="Note 2 11 2 3 4" xfId="22834" xr:uid="{00000000-0005-0000-0000-000019440000}"/>
    <cellStyle name="Note 2 11 2 3 4 2" xfId="23538" xr:uid="{00000000-0005-0000-0000-00001A440000}"/>
    <cellStyle name="Note 2 11 2 3 4 3" xfId="23540" xr:uid="{00000000-0005-0000-0000-00001B440000}"/>
    <cellStyle name="Note 2 11 2 3 5" xfId="22836" xr:uid="{00000000-0005-0000-0000-00001C440000}"/>
    <cellStyle name="Note 2 11 2 3 5 2" xfId="24428" xr:uid="{00000000-0005-0000-0000-00001D440000}"/>
    <cellStyle name="Note 2 11 2 3 5 3" xfId="24429" xr:uid="{00000000-0005-0000-0000-00001E440000}"/>
    <cellStyle name="Note 2 11 2 3 6" xfId="24430" xr:uid="{00000000-0005-0000-0000-00001F440000}"/>
    <cellStyle name="Note 2 11 2 3 7" xfId="24431" xr:uid="{00000000-0005-0000-0000-000020440000}"/>
    <cellStyle name="Note 2 11 2 4" xfId="8921" xr:uid="{00000000-0005-0000-0000-000021440000}"/>
    <cellStyle name="Note 2 11 2 4 2" xfId="24432" xr:uid="{00000000-0005-0000-0000-000022440000}"/>
    <cellStyle name="Note 2 11 2 4 2 2" xfId="15269" xr:uid="{00000000-0005-0000-0000-000023440000}"/>
    <cellStyle name="Note 2 11 2 4 2 3" xfId="24434" xr:uid="{00000000-0005-0000-0000-000024440000}"/>
    <cellStyle name="Note 2 11 2 4 2 4" xfId="253" xr:uid="{00000000-0005-0000-0000-000025440000}"/>
    <cellStyle name="Note 2 11 2 4 3" xfId="24435" xr:uid="{00000000-0005-0000-0000-000026440000}"/>
    <cellStyle name="Note 2 11 2 4 3 2" xfId="15276" xr:uid="{00000000-0005-0000-0000-000027440000}"/>
    <cellStyle name="Note 2 11 2 4 3 3" xfId="23596" xr:uid="{00000000-0005-0000-0000-000028440000}"/>
    <cellStyle name="Note 2 11 2 4 3 4" xfId="23601" xr:uid="{00000000-0005-0000-0000-000029440000}"/>
    <cellStyle name="Note 2 11 2 4 4" xfId="22840" xr:uid="{00000000-0005-0000-0000-00002A440000}"/>
    <cellStyle name="Note 2 11 2 4 4 2" xfId="23627" xr:uid="{00000000-0005-0000-0000-00002B440000}"/>
    <cellStyle name="Note 2 11 2 4 4 3" xfId="23629" xr:uid="{00000000-0005-0000-0000-00002C440000}"/>
    <cellStyle name="Note 2 11 2 4 5" xfId="22842" xr:uid="{00000000-0005-0000-0000-00002D440000}"/>
    <cellStyle name="Note 2 11 2 4 5 2" xfId="24436" xr:uid="{00000000-0005-0000-0000-00002E440000}"/>
    <cellStyle name="Note 2 11 2 4 5 3" xfId="24437" xr:uid="{00000000-0005-0000-0000-00002F440000}"/>
    <cellStyle name="Note 2 11 2 4 6" xfId="24438" xr:uid="{00000000-0005-0000-0000-000030440000}"/>
    <cellStyle name="Note 2 11 2 4 7" xfId="24439" xr:uid="{00000000-0005-0000-0000-000031440000}"/>
    <cellStyle name="Note 2 11 2 5" xfId="8923" xr:uid="{00000000-0005-0000-0000-000032440000}"/>
    <cellStyle name="Note 2 11 2 5 2" xfId="24440" xr:uid="{00000000-0005-0000-0000-000033440000}"/>
    <cellStyle name="Note 2 11 2 5 2 2" xfId="15295" xr:uid="{00000000-0005-0000-0000-000034440000}"/>
    <cellStyle name="Note 2 11 2 5 2 3" xfId="24443" xr:uid="{00000000-0005-0000-0000-000035440000}"/>
    <cellStyle name="Note 2 11 2 5 2 4" xfId="3931" xr:uid="{00000000-0005-0000-0000-000036440000}"/>
    <cellStyle name="Note 2 11 2 5 3" xfId="24444" xr:uid="{00000000-0005-0000-0000-000037440000}"/>
    <cellStyle name="Note 2 11 2 5 3 2" xfId="15302" xr:uid="{00000000-0005-0000-0000-000038440000}"/>
    <cellStyle name="Note 2 11 2 5 3 3" xfId="23689" xr:uid="{00000000-0005-0000-0000-000039440000}"/>
    <cellStyle name="Note 2 11 2 5 3 4" xfId="23694" xr:uid="{00000000-0005-0000-0000-00003A440000}"/>
    <cellStyle name="Note 2 11 2 5 4" xfId="22845" xr:uid="{00000000-0005-0000-0000-00003B440000}"/>
    <cellStyle name="Note 2 11 2 5 4 2" xfId="22849" xr:uid="{00000000-0005-0000-0000-00003C440000}"/>
    <cellStyle name="Note 2 11 2 5 4 3" xfId="23728" xr:uid="{00000000-0005-0000-0000-00003D440000}"/>
    <cellStyle name="Note 2 11 2 5 5" xfId="24446" xr:uid="{00000000-0005-0000-0000-00003E440000}"/>
    <cellStyle name="Note 2 11 2 5 5 2" xfId="8263" xr:uid="{00000000-0005-0000-0000-00003F440000}"/>
    <cellStyle name="Note 2 11 2 5 5 3" xfId="24447" xr:uid="{00000000-0005-0000-0000-000040440000}"/>
    <cellStyle name="Note 2 11 2 5 6" xfId="24448" xr:uid="{00000000-0005-0000-0000-000041440000}"/>
    <cellStyle name="Note 2 11 2 5 7" xfId="6374" xr:uid="{00000000-0005-0000-0000-000042440000}"/>
    <cellStyle name="Note 2 11 2 6" xfId="24449" xr:uid="{00000000-0005-0000-0000-000043440000}"/>
    <cellStyle name="Note 2 11 2 6 2" xfId="2521" xr:uid="{00000000-0005-0000-0000-000044440000}"/>
    <cellStyle name="Note 2 11 2 6 2 2" xfId="15320" xr:uid="{00000000-0005-0000-0000-000045440000}"/>
    <cellStyle name="Note 2 11 2 6 2 3" xfId="24451" xr:uid="{00000000-0005-0000-0000-000046440000}"/>
    <cellStyle name="Note 2 11 2 6 2 4" xfId="1018" xr:uid="{00000000-0005-0000-0000-000047440000}"/>
    <cellStyle name="Note 2 11 2 6 3" xfId="2524" xr:uid="{00000000-0005-0000-0000-000048440000}"/>
    <cellStyle name="Note 2 11 2 6 3 2" xfId="2527" xr:uid="{00000000-0005-0000-0000-000049440000}"/>
    <cellStyle name="Note 2 11 2 6 3 3" xfId="2542" xr:uid="{00000000-0005-0000-0000-00004A440000}"/>
    <cellStyle name="Note 2 11 2 6 3 4" xfId="24452" xr:uid="{00000000-0005-0000-0000-00004B440000}"/>
    <cellStyle name="Note 2 11 2 6 4" xfId="2545" xr:uid="{00000000-0005-0000-0000-00004C440000}"/>
    <cellStyle name="Note 2 11 2 6 4 2" xfId="24453" xr:uid="{00000000-0005-0000-0000-00004D440000}"/>
    <cellStyle name="Note 2 11 2 6 4 3" xfId="24454" xr:uid="{00000000-0005-0000-0000-00004E440000}"/>
    <cellStyle name="Note 2 11 2 6 5" xfId="2548" xr:uid="{00000000-0005-0000-0000-00004F440000}"/>
    <cellStyle name="Note 2 11 2 6 5 2" xfId="24455" xr:uid="{00000000-0005-0000-0000-000050440000}"/>
    <cellStyle name="Note 2 11 2 6 5 3" xfId="24456" xr:uid="{00000000-0005-0000-0000-000051440000}"/>
    <cellStyle name="Note 2 11 2 6 6" xfId="2550" xr:uid="{00000000-0005-0000-0000-000052440000}"/>
    <cellStyle name="Note 2 11 2 6 7" xfId="2552" xr:uid="{00000000-0005-0000-0000-000053440000}"/>
    <cellStyle name="Note 2 11 2 7" xfId="24457" xr:uid="{00000000-0005-0000-0000-000054440000}"/>
    <cellStyle name="Note 2 11 2 7 2" xfId="24459" xr:uid="{00000000-0005-0000-0000-000055440000}"/>
    <cellStyle name="Note 2 11 2 7 2 2" xfId="15338" xr:uid="{00000000-0005-0000-0000-000056440000}"/>
    <cellStyle name="Note 2 11 2 7 2 3" xfId="24461" xr:uid="{00000000-0005-0000-0000-000057440000}"/>
    <cellStyle name="Note 2 11 2 7 2 4" xfId="1926" xr:uid="{00000000-0005-0000-0000-000058440000}"/>
    <cellStyle name="Note 2 11 2 7 3" xfId="24462" xr:uid="{00000000-0005-0000-0000-000059440000}"/>
    <cellStyle name="Note 2 11 2 7 3 2" xfId="15343" xr:uid="{00000000-0005-0000-0000-00005A440000}"/>
    <cellStyle name="Note 2 11 2 7 3 3" xfId="24464" xr:uid="{00000000-0005-0000-0000-00005B440000}"/>
    <cellStyle name="Note 2 11 2 7 3 4" xfId="24465" xr:uid="{00000000-0005-0000-0000-00005C440000}"/>
    <cellStyle name="Note 2 11 2 7 4" xfId="24466" xr:uid="{00000000-0005-0000-0000-00005D440000}"/>
    <cellStyle name="Note 2 11 2 7 4 2" xfId="24467" xr:uid="{00000000-0005-0000-0000-00005E440000}"/>
    <cellStyle name="Note 2 11 2 7 4 3" xfId="24468" xr:uid="{00000000-0005-0000-0000-00005F440000}"/>
    <cellStyle name="Note 2 11 2 7 5" xfId="24469" xr:uid="{00000000-0005-0000-0000-000060440000}"/>
    <cellStyle name="Note 2 11 2 7 5 2" xfId="24470" xr:uid="{00000000-0005-0000-0000-000061440000}"/>
    <cellStyle name="Note 2 11 2 7 5 3" xfId="24471" xr:uid="{00000000-0005-0000-0000-000062440000}"/>
    <cellStyle name="Note 2 11 2 7 6" xfId="24472" xr:uid="{00000000-0005-0000-0000-000063440000}"/>
    <cellStyle name="Note 2 11 2 7 7" xfId="6382" xr:uid="{00000000-0005-0000-0000-000064440000}"/>
    <cellStyle name="Note 2 11 2 8" xfId="24473" xr:uid="{00000000-0005-0000-0000-000065440000}"/>
    <cellStyle name="Note 2 11 2 8 2" xfId="23161" xr:uid="{00000000-0005-0000-0000-000066440000}"/>
    <cellStyle name="Note 2 11 2 8 2 2" xfId="10894" xr:uid="{00000000-0005-0000-0000-000067440000}"/>
    <cellStyle name="Note 2 11 2 8 2 3" xfId="10933" xr:uid="{00000000-0005-0000-0000-000068440000}"/>
    <cellStyle name="Note 2 11 2 8 2 4" xfId="3990" xr:uid="{00000000-0005-0000-0000-000069440000}"/>
    <cellStyle name="Note 2 11 2 8 3" xfId="23164" xr:uid="{00000000-0005-0000-0000-00006A440000}"/>
    <cellStyle name="Note 2 11 2 8 3 2" xfId="15356" xr:uid="{00000000-0005-0000-0000-00006B440000}"/>
    <cellStyle name="Note 2 11 2 8 3 3" xfId="24475" xr:uid="{00000000-0005-0000-0000-00006C440000}"/>
    <cellStyle name="Note 2 11 2 8 3 4" xfId="24476" xr:uid="{00000000-0005-0000-0000-00006D440000}"/>
    <cellStyle name="Note 2 11 2 8 4" xfId="24477" xr:uid="{00000000-0005-0000-0000-00006E440000}"/>
    <cellStyle name="Note 2 11 2 8 4 2" xfId="24478" xr:uid="{00000000-0005-0000-0000-00006F440000}"/>
    <cellStyle name="Note 2 11 2 8 4 3" xfId="24479" xr:uid="{00000000-0005-0000-0000-000070440000}"/>
    <cellStyle name="Note 2 11 2 8 5" xfId="24480" xr:uid="{00000000-0005-0000-0000-000071440000}"/>
    <cellStyle name="Note 2 11 2 8 5 2" xfId="24481" xr:uid="{00000000-0005-0000-0000-000072440000}"/>
    <cellStyle name="Note 2 11 2 8 5 3" xfId="24482" xr:uid="{00000000-0005-0000-0000-000073440000}"/>
    <cellStyle name="Note 2 11 2 8 6" xfId="24483" xr:uid="{00000000-0005-0000-0000-000074440000}"/>
    <cellStyle name="Note 2 11 2 8 7" xfId="6388" xr:uid="{00000000-0005-0000-0000-000075440000}"/>
    <cellStyle name="Note 2 11 2 9" xfId="24484" xr:uid="{00000000-0005-0000-0000-000076440000}"/>
    <cellStyle name="Note 2 11 2 9 2" xfId="23182" xr:uid="{00000000-0005-0000-0000-000077440000}"/>
    <cellStyle name="Note 2 11 2 9 2 2" xfId="15370" xr:uid="{00000000-0005-0000-0000-000078440000}"/>
    <cellStyle name="Note 2 11 2 9 2 3" xfId="24486" xr:uid="{00000000-0005-0000-0000-000079440000}"/>
    <cellStyle name="Note 2 11 2 9 2 4" xfId="24487" xr:uid="{00000000-0005-0000-0000-00007A440000}"/>
    <cellStyle name="Note 2 11 2 9 3" xfId="23184" xr:uid="{00000000-0005-0000-0000-00007B440000}"/>
    <cellStyle name="Note 2 11 2 9 3 2" xfId="15375" xr:uid="{00000000-0005-0000-0000-00007C440000}"/>
    <cellStyle name="Note 2 11 2 9 3 3" xfId="24488" xr:uid="{00000000-0005-0000-0000-00007D440000}"/>
    <cellStyle name="Note 2 11 2 9 3 4" xfId="24489" xr:uid="{00000000-0005-0000-0000-00007E440000}"/>
    <cellStyle name="Note 2 11 2 9 4" xfId="24490" xr:uid="{00000000-0005-0000-0000-00007F440000}"/>
    <cellStyle name="Note 2 11 2 9 4 2" xfId="24491" xr:uid="{00000000-0005-0000-0000-000080440000}"/>
    <cellStyle name="Note 2 11 2 9 4 3" xfId="24492" xr:uid="{00000000-0005-0000-0000-000081440000}"/>
    <cellStyle name="Note 2 11 2 9 5" xfId="24493" xr:uid="{00000000-0005-0000-0000-000082440000}"/>
    <cellStyle name="Note 2 11 2 9 5 2" xfId="24494" xr:uid="{00000000-0005-0000-0000-000083440000}"/>
    <cellStyle name="Note 2 11 2 9 5 3" xfId="24495" xr:uid="{00000000-0005-0000-0000-000084440000}"/>
    <cellStyle name="Note 2 11 2 9 6" xfId="24496" xr:uid="{00000000-0005-0000-0000-000085440000}"/>
    <cellStyle name="Note 2 11 2 9 7" xfId="24497" xr:uid="{00000000-0005-0000-0000-000086440000}"/>
    <cellStyle name="Note 2 11 20" xfId="24386" xr:uid="{00000000-0005-0000-0000-000087440000}"/>
    <cellStyle name="Note 2 11 3" xfId="24498" xr:uid="{00000000-0005-0000-0000-000088440000}"/>
    <cellStyle name="Note 2 11 3 10" xfId="24499" xr:uid="{00000000-0005-0000-0000-000089440000}"/>
    <cellStyle name="Note 2 11 3 10 2" xfId="24500" xr:uid="{00000000-0005-0000-0000-00008A440000}"/>
    <cellStyle name="Note 2 11 3 10 2 2" xfId="9976" xr:uid="{00000000-0005-0000-0000-00008B440000}"/>
    <cellStyle name="Note 2 11 3 10 2 3" xfId="9981" xr:uid="{00000000-0005-0000-0000-00008C440000}"/>
    <cellStyle name="Note 2 11 3 10 2 4" xfId="9986" xr:uid="{00000000-0005-0000-0000-00008D440000}"/>
    <cellStyle name="Note 2 11 3 10 3" xfId="24501" xr:uid="{00000000-0005-0000-0000-00008E440000}"/>
    <cellStyle name="Note 2 11 3 10 3 2" xfId="10020" xr:uid="{00000000-0005-0000-0000-00008F440000}"/>
    <cellStyle name="Note 2 11 3 10 3 3" xfId="10023" xr:uid="{00000000-0005-0000-0000-000090440000}"/>
    <cellStyle name="Note 2 11 3 10 3 4" xfId="10026" xr:uid="{00000000-0005-0000-0000-000091440000}"/>
    <cellStyle name="Note 2 11 3 10 4" xfId="24502" xr:uid="{00000000-0005-0000-0000-000092440000}"/>
    <cellStyle name="Note 2 11 3 10 4 2" xfId="10062" xr:uid="{00000000-0005-0000-0000-000093440000}"/>
    <cellStyle name="Note 2 11 3 10 4 3" xfId="10065" xr:uid="{00000000-0005-0000-0000-000094440000}"/>
    <cellStyle name="Note 2 11 3 10 5" xfId="24503" xr:uid="{00000000-0005-0000-0000-000095440000}"/>
    <cellStyle name="Note 2 11 3 10 5 2" xfId="24504" xr:uid="{00000000-0005-0000-0000-000096440000}"/>
    <cellStyle name="Note 2 11 3 10 5 3" xfId="12075" xr:uid="{00000000-0005-0000-0000-000097440000}"/>
    <cellStyle name="Note 2 11 3 10 6" xfId="24507" xr:uid="{00000000-0005-0000-0000-000098440000}"/>
    <cellStyle name="Note 2 11 3 10 7" xfId="24508" xr:uid="{00000000-0005-0000-0000-000099440000}"/>
    <cellStyle name="Note 2 11 3 11" xfId="24509" xr:uid="{00000000-0005-0000-0000-00009A440000}"/>
    <cellStyle name="Note 2 11 3 11 2" xfId="24510" xr:uid="{00000000-0005-0000-0000-00009B440000}"/>
    <cellStyle name="Note 2 11 3 11 3" xfId="24511" xr:uid="{00000000-0005-0000-0000-00009C440000}"/>
    <cellStyle name="Note 2 11 3 11 4" xfId="24512" xr:uid="{00000000-0005-0000-0000-00009D440000}"/>
    <cellStyle name="Note 2 11 3 12" xfId="24513" xr:uid="{00000000-0005-0000-0000-00009E440000}"/>
    <cellStyle name="Note 2 11 3 12 2" xfId="24514" xr:uid="{00000000-0005-0000-0000-00009F440000}"/>
    <cellStyle name="Note 2 11 3 12 3" xfId="24515" xr:uid="{00000000-0005-0000-0000-0000A0440000}"/>
    <cellStyle name="Note 2 11 3 12 4" xfId="24516" xr:uid="{00000000-0005-0000-0000-0000A1440000}"/>
    <cellStyle name="Note 2 11 3 13" xfId="24517" xr:uid="{00000000-0005-0000-0000-0000A2440000}"/>
    <cellStyle name="Note 2 11 3 13 2" xfId="24518" xr:uid="{00000000-0005-0000-0000-0000A3440000}"/>
    <cellStyle name="Note 2 11 3 13 3" xfId="24519" xr:uid="{00000000-0005-0000-0000-0000A4440000}"/>
    <cellStyle name="Note 2 11 3 14" xfId="24520" xr:uid="{00000000-0005-0000-0000-0000A5440000}"/>
    <cellStyle name="Note 2 11 3 14 2" xfId="24521" xr:uid="{00000000-0005-0000-0000-0000A6440000}"/>
    <cellStyle name="Note 2 11 3 14 3" xfId="24522" xr:uid="{00000000-0005-0000-0000-0000A7440000}"/>
    <cellStyle name="Note 2 11 3 15" xfId="24523" xr:uid="{00000000-0005-0000-0000-0000A8440000}"/>
    <cellStyle name="Note 2 11 3 16" xfId="24524" xr:uid="{00000000-0005-0000-0000-0000A9440000}"/>
    <cellStyle name="Note 2 11 3 2" xfId="269" xr:uid="{00000000-0005-0000-0000-0000AA440000}"/>
    <cellStyle name="Note 2 11 3 2 2" xfId="277" xr:uid="{00000000-0005-0000-0000-0000AB440000}"/>
    <cellStyle name="Note 2 11 3 2 2 2" xfId="288" xr:uid="{00000000-0005-0000-0000-0000AC440000}"/>
    <cellStyle name="Note 2 11 3 2 2 3" xfId="24526" xr:uid="{00000000-0005-0000-0000-0000AD440000}"/>
    <cellStyle name="Note 2 11 3 2 2 4" xfId="4649" xr:uid="{00000000-0005-0000-0000-0000AE440000}"/>
    <cellStyle name="Note 2 11 3 2 3" xfId="304" xr:uid="{00000000-0005-0000-0000-0000AF440000}"/>
    <cellStyle name="Note 2 11 3 2 3 2" xfId="15411" xr:uid="{00000000-0005-0000-0000-0000B0440000}"/>
    <cellStyle name="Note 2 11 3 2 3 3" xfId="2211" xr:uid="{00000000-0005-0000-0000-0000B1440000}"/>
    <cellStyle name="Note 2 11 3 2 3 4" xfId="2215" xr:uid="{00000000-0005-0000-0000-0000B2440000}"/>
    <cellStyle name="Note 2 11 3 2 4" xfId="24527" xr:uid="{00000000-0005-0000-0000-0000B3440000}"/>
    <cellStyle name="Note 2 11 3 2 4 2" xfId="24528" xr:uid="{00000000-0005-0000-0000-0000B4440000}"/>
    <cellStyle name="Note 2 11 3 2 4 3" xfId="24529" xr:uid="{00000000-0005-0000-0000-0000B5440000}"/>
    <cellStyle name="Note 2 11 3 2 5" xfId="24530" xr:uid="{00000000-0005-0000-0000-0000B6440000}"/>
    <cellStyle name="Note 2 11 3 2 5 2" xfId="24531" xr:uid="{00000000-0005-0000-0000-0000B7440000}"/>
    <cellStyle name="Note 2 11 3 2 5 3" xfId="24532" xr:uid="{00000000-0005-0000-0000-0000B8440000}"/>
    <cellStyle name="Note 2 11 3 2 6" xfId="24533" xr:uid="{00000000-0005-0000-0000-0000B9440000}"/>
    <cellStyle name="Note 2 11 3 2 7" xfId="24534" xr:uid="{00000000-0005-0000-0000-0000BA440000}"/>
    <cellStyle name="Note 2 11 3 3" xfId="307" xr:uid="{00000000-0005-0000-0000-0000BB440000}"/>
    <cellStyle name="Note 2 11 3 3 2" xfId="8938" xr:uid="{00000000-0005-0000-0000-0000BC440000}"/>
    <cellStyle name="Note 2 11 3 3 2 2" xfId="8942" xr:uid="{00000000-0005-0000-0000-0000BD440000}"/>
    <cellStyle name="Note 2 11 3 3 2 3" xfId="24535" xr:uid="{00000000-0005-0000-0000-0000BE440000}"/>
    <cellStyle name="Note 2 11 3 3 2 4" xfId="4790" xr:uid="{00000000-0005-0000-0000-0000BF440000}"/>
    <cellStyle name="Note 2 11 3 3 3" xfId="24536" xr:uid="{00000000-0005-0000-0000-0000C0440000}"/>
    <cellStyle name="Note 2 11 3 3 3 2" xfId="15437" xr:uid="{00000000-0005-0000-0000-0000C1440000}"/>
    <cellStyle name="Note 2 11 3 3 3 3" xfId="24537" xr:uid="{00000000-0005-0000-0000-0000C2440000}"/>
    <cellStyle name="Note 2 11 3 3 3 4" xfId="24538" xr:uid="{00000000-0005-0000-0000-0000C3440000}"/>
    <cellStyle name="Note 2 11 3 3 4" xfId="24539" xr:uid="{00000000-0005-0000-0000-0000C4440000}"/>
    <cellStyle name="Note 2 11 3 3 4 2" xfId="24540" xr:uid="{00000000-0005-0000-0000-0000C5440000}"/>
    <cellStyle name="Note 2 11 3 3 4 3" xfId="24541" xr:uid="{00000000-0005-0000-0000-0000C6440000}"/>
    <cellStyle name="Note 2 11 3 3 5" xfId="24542" xr:uid="{00000000-0005-0000-0000-0000C7440000}"/>
    <cellStyle name="Note 2 11 3 3 5 2" xfId="24543" xr:uid="{00000000-0005-0000-0000-0000C8440000}"/>
    <cellStyle name="Note 2 11 3 3 5 3" xfId="1020" xr:uid="{00000000-0005-0000-0000-0000C9440000}"/>
    <cellStyle name="Note 2 11 3 3 6" xfId="24544" xr:uid="{00000000-0005-0000-0000-0000CA440000}"/>
    <cellStyle name="Note 2 11 3 3 7" xfId="24545" xr:uid="{00000000-0005-0000-0000-0000CB440000}"/>
    <cellStyle name="Note 2 11 3 4" xfId="312" xr:uid="{00000000-0005-0000-0000-0000CC440000}"/>
    <cellStyle name="Note 2 11 3 4 2" xfId="24546" xr:uid="{00000000-0005-0000-0000-0000CD440000}"/>
    <cellStyle name="Note 2 11 3 4 2 2" xfId="15457" xr:uid="{00000000-0005-0000-0000-0000CE440000}"/>
    <cellStyle name="Note 2 11 3 4 2 3" xfId="24548" xr:uid="{00000000-0005-0000-0000-0000CF440000}"/>
    <cellStyle name="Note 2 11 3 4 2 4" xfId="524" xr:uid="{00000000-0005-0000-0000-0000D0440000}"/>
    <cellStyle name="Note 2 11 3 4 3" xfId="24549" xr:uid="{00000000-0005-0000-0000-0000D1440000}"/>
    <cellStyle name="Note 2 11 3 4 3 2" xfId="15466" xr:uid="{00000000-0005-0000-0000-0000D2440000}"/>
    <cellStyle name="Note 2 11 3 4 3 3" xfId="24550" xr:uid="{00000000-0005-0000-0000-0000D3440000}"/>
    <cellStyle name="Note 2 11 3 4 3 4" xfId="24551" xr:uid="{00000000-0005-0000-0000-0000D4440000}"/>
    <cellStyle name="Note 2 11 3 4 4" xfId="24552" xr:uid="{00000000-0005-0000-0000-0000D5440000}"/>
    <cellStyle name="Note 2 11 3 4 4 2" xfId="24553" xr:uid="{00000000-0005-0000-0000-0000D6440000}"/>
    <cellStyle name="Note 2 11 3 4 4 3" xfId="24554" xr:uid="{00000000-0005-0000-0000-0000D7440000}"/>
    <cellStyle name="Note 2 11 3 4 5" xfId="24555" xr:uid="{00000000-0005-0000-0000-0000D8440000}"/>
    <cellStyle name="Note 2 11 3 4 5 2" xfId="24556" xr:uid="{00000000-0005-0000-0000-0000D9440000}"/>
    <cellStyle name="Note 2 11 3 4 5 3" xfId="24557" xr:uid="{00000000-0005-0000-0000-0000DA440000}"/>
    <cellStyle name="Note 2 11 3 4 6" xfId="24558" xr:uid="{00000000-0005-0000-0000-0000DB440000}"/>
    <cellStyle name="Note 2 11 3 4 7" xfId="24559" xr:uid="{00000000-0005-0000-0000-0000DC440000}"/>
    <cellStyle name="Note 2 11 3 5" xfId="317" xr:uid="{00000000-0005-0000-0000-0000DD440000}"/>
    <cellStyle name="Note 2 11 3 5 2" xfId="24560" xr:uid="{00000000-0005-0000-0000-0000DE440000}"/>
    <cellStyle name="Note 2 11 3 5 2 2" xfId="15484" xr:uid="{00000000-0005-0000-0000-0000DF440000}"/>
    <cellStyle name="Note 2 11 3 5 2 3" xfId="1309" xr:uid="{00000000-0005-0000-0000-0000E0440000}"/>
    <cellStyle name="Note 2 11 3 5 2 4" xfId="1312" xr:uid="{00000000-0005-0000-0000-0000E1440000}"/>
    <cellStyle name="Note 2 11 3 5 3" xfId="24563" xr:uid="{00000000-0005-0000-0000-0000E2440000}"/>
    <cellStyle name="Note 2 11 3 5 3 2" xfId="5376" xr:uid="{00000000-0005-0000-0000-0000E3440000}"/>
    <cellStyle name="Note 2 11 3 5 3 3" xfId="24565" xr:uid="{00000000-0005-0000-0000-0000E4440000}"/>
    <cellStyle name="Note 2 11 3 5 3 4" xfId="24566" xr:uid="{00000000-0005-0000-0000-0000E5440000}"/>
    <cellStyle name="Note 2 11 3 5 4" xfId="24567" xr:uid="{00000000-0005-0000-0000-0000E6440000}"/>
    <cellStyle name="Note 2 11 3 5 4 2" xfId="24569" xr:uid="{00000000-0005-0000-0000-0000E7440000}"/>
    <cellStyle name="Note 2 11 3 5 4 3" xfId="24570" xr:uid="{00000000-0005-0000-0000-0000E8440000}"/>
    <cellStyle name="Note 2 11 3 5 5" xfId="24571" xr:uid="{00000000-0005-0000-0000-0000E9440000}"/>
    <cellStyle name="Note 2 11 3 5 5 2" xfId="24572" xr:uid="{00000000-0005-0000-0000-0000EA440000}"/>
    <cellStyle name="Note 2 11 3 5 5 3" xfId="24573" xr:uid="{00000000-0005-0000-0000-0000EB440000}"/>
    <cellStyle name="Note 2 11 3 5 6" xfId="24574" xr:uid="{00000000-0005-0000-0000-0000EC440000}"/>
    <cellStyle name="Note 2 11 3 5 7" xfId="6396" xr:uid="{00000000-0005-0000-0000-0000ED440000}"/>
    <cellStyle name="Note 2 11 3 6" xfId="322" xr:uid="{00000000-0005-0000-0000-0000EE440000}"/>
    <cellStyle name="Note 2 11 3 6 2" xfId="24575" xr:uid="{00000000-0005-0000-0000-0000EF440000}"/>
    <cellStyle name="Note 2 11 3 6 2 2" xfId="15503" xr:uid="{00000000-0005-0000-0000-0000F0440000}"/>
    <cellStyle name="Note 2 11 3 6 2 3" xfId="1425" xr:uid="{00000000-0005-0000-0000-0000F1440000}"/>
    <cellStyle name="Note 2 11 3 6 2 4" xfId="855" xr:uid="{00000000-0005-0000-0000-0000F2440000}"/>
    <cellStyle name="Note 2 11 3 6 3" xfId="24577" xr:uid="{00000000-0005-0000-0000-0000F3440000}"/>
    <cellStyle name="Note 2 11 3 6 3 2" xfId="15508" xr:uid="{00000000-0005-0000-0000-0000F4440000}"/>
    <cellStyle name="Note 2 11 3 6 3 3" xfId="314" xr:uid="{00000000-0005-0000-0000-0000F5440000}"/>
    <cellStyle name="Note 2 11 3 6 3 4" xfId="320" xr:uid="{00000000-0005-0000-0000-0000F6440000}"/>
    <cellStyle name="Note 2 11 3 6 4" xfId="24579" xr:uid="{00000000-0005-0000-0000-0000F7440000}"/>
    <cellStyle name="Note 2 11 3 6 4 2" xfId="24581" xr:uid="{00000000-0005-0000-0000-0000F8440000}"/>
    <cellStyle name="Note 2 11 3 6 4 3" xfId="1429" xr:uid="{00000000-0005-0000-0000-0000F9440000}"/>
    <cellStyle name="Note 2 11 3 6 5" xfId="1778" xr:uid="{00000000-0005-0000-0000-0000FA440000}"/>
    <cellStyle name="Note 2 11 3 6 5 2" xfId="1780" xr:uid="{00000000-0005-0000-0000-0000FB440000}"/>
    <cellStyle name="Note 2 11 3 6 5 3" xfId="24582" xr:uid="{00000000-0005-0000-0000-0000FC440000}"/>
    <cellStyle name="Note 2 11 3 6 6" xfId="4" xr:uid="{00000000-0005-0000-0000-0000FD440000}"/>
    <cellStyle name="Note 2 11 3 6 7" xfId="58" xr:uid="{00000000-0005-0000-0000-0000FE440000}"/>
    <cellStyle name="Note 2 11 3 7" xfId="327" xr:uid="{00000000-0005-0000-0000-0000FF440000}"/>
    <cellStyle name="Note 2 11 3 7 2" xfId="24583" xr:uid="{00000000-0005-0000-0000-000000450000}"/>
    <cellStyle name="Note 2 11 3 7 2 2" xfId="15523" xr:uid="{00000000-0005-0000-0000-000001450000}"/>
    <cellStyle name="Note 2 11 3 7 2 3" xfId="1456" xr:uid="{00000000-0005-0000-0000-000002450000}"/>
    <cellStyle name="Note 2 11 3 7 2 4" xfId="2279" xr:uid="{00000000-0005-0000-0000-000003450000}"/>
    <cellStyle name="Note 2 11 3 7 3" xfId="24585" xr:uid="{00000000-0005-0000-0000-000004450000}"/>
    <cellStyle name="Note 2 11 3 7 3 2" xfId="15528" xr:uid="{00000000-0005-0000-0000-000005450000}"/>
    <cellStyle name="Note 2 11 3 7 3 3" xfId="24587" xr:uid="{00000000-0005-0000-0000-000006450000}"/>
    <cellStyle name="Note 2 11 3 7 3 4" xfId="24588" xr:uid="{00000000-0005-0000-0000-000007450000}"/>
    <cellStyle name="Note 2 11 3 7 4" xfId="24589" xr:uid="{00000000-0005-0000-0000-000008450000}"/>
    <cellStyle name="Note 2 11 3 7 4 2" xfId="24590" xr:uid="{00000000-0005-0000-0000-000009450000}"/>
    <cellStyle name="Note 2 11 3 7 4 3" xfId="24591" xr:uid="{00000000-0005-0000-0000-00000A450000}"/>
    <cellStyle name="Note 2 11 3 7 5" xfId="24592" xr:uid="{00000000-0005-0000-0000-00000B450000}"/>
    <cellStyle name="Note 2 11 3 7 5 2" xfId="24593" xr:uid="{00000000-0005-0000-0000-00000C450000}"/>
    <cellStyle name="Note 2 11 3 7 5 3" xfId="24594" xr:uid="{00000000-0005-0000-0000-00000D450000}"/>
    <cellStyle name="Note 2 11 3 7 6" xfId="24595" xr:uid="{00000000-0005-0000-0000-00000E450000}"/>
    <cellStyle name="Note 2 11 3 7 7" xfId="6401" xr:uid="{00000000-0005-0000-0000-00000F450000}"/>
    <cellStyle name="Note 2 11 3 8" xfId="24596" xr:uid="{00000000-0005-0000-0000-000010450000}"/>
    <cellStyle name="Note 2 11 3 8 2" xfId="24598" xr:uid="{00000000-0005-0000-0000-000011450000}"/>
    <cellStyle name="Note 2 11 3 8 2 2" xfId="15546" xr:uid="{00000000-0005-0000-0000-000012450000}"/>
    <cellStyle name="Note 2 11 3 8 2 3" xfId="1470" xr:uid="{00000000-0005-0000-0000-000013450000}"/>
    <cellStyle name="Note 2 11 3 8 2 4" xfId="1498" xr:uid="{00000000-0005-0000-0000-000014450000}"/>
    <cellStyle name="Note 2 11 3 8 3" xfId="24600" xr:uid="{00000000-0005-0000-0000-000015450000}"/>
    <cellStyle name="Note 2 11 3 8 3 2" xfId="15550" xr:uid="{00000000-0005-0000-0000-000016450000}"/>
    <cellStyle name="Note 2 11 3 8 3 3" xfId="24602" xr:uid="{00000000-0005-0000-0000-000017450000}"/>
    <cellStyle name="Note 2 11 3 8 3 4" xfId="7235" xr:uid="{00000000-0005-0000-0000-000018450000}"/>
    <cellStyle name="Note 2 11 3 8 4" xfId="24603" xr:uid="{00000000-0005-0000-0000-000019450000}"/>
    <cellStyle name="Note 2 11 3 8 4 2" xfId="24604" xr:uid="{00000000-0005-0000-0000-00001A450000}"/>
    <cellStyle name="Note 2 11 3 8 4 3" xfId="24605" xr:uid="{00000000-0005-0000-0000-00001B450000}"/>
    <cellStyle name="Note 2 11 3 8 5" xfId="24606" xr:uid="{00000000-0005-0000-0000-00001C450000}"/>
    <cellStyle name="Note 2 11 3 8 5 2" xfId="24607" xr:uid="{00000000-0005-0000-0000-00001D450000}"/>
    <cellStyle name="Note 2 11 3 8 5 3" xfId="24608" xr:uid="{00000000-0005-0000-0000-00001E450000}"/>
    <cellStyle name="Note 2 11 3 8 6" xfId="24609" xr:uid="{00000000-0005-0000-0000-00001F450000}"/>
    <cellStyle name="Note 2 11 3 8 7" xfId="6408" xr:uid="{00000000-0005-0000-0000-000020450000}"/>
    <cellStyle name="Note 2 11 3 9" xfId="24610" xr:uid="{00000000-0005-0000-0000-000021450000}"/>
    <cellStyle name="Note 2 11 3 9 2" xfId="24612" xr:uid="{00000000-0005-0000-0000-000022450000}"/>
    <cellStyle name="Note 2 11 3 9 2 2" xfId="15568" xr:uid="{00000000-0005-0000-0000-000023450000}"/>
    <cellStyle name="Note 2 11 3 9 2 3" xfId="24613" xr:uid="{00000000-0005-0000-0000-000024450000}"/>
    <cellStyle name="Note 2 11 3 9 2 4" xfId="7263" xr:uid="{00000000-0005-0000-0000-000025450000}"/>
    <cellStyle name="Note 2 11 3 9 3" xfId="24614" xr:uid="{00000000-0005-0000-0000-000026450000}"/>
    <cellStyle name="Note 2 11 3 9 3 2" xfId="15575" xr:uid="{00000000-0005-0000-0000-000027450000}"/>
    <cellStyle name="Note 2 11 3 9 3 3" xfId="24615" xr:uid="{00000000-0005-0000-0000-000028450000}"/>
    <cellStyle name="Note 2 11 3 9 3 4" xfId="7268" xr:uid="{00000000-0005-0000-0000-000029450000}"/>
    <cellStyle name="Note 2 11 3 9 4" xfId="24616" xr:uid="{00000000-0005-0000-0000-00002A450000}"/>
    <cellStyle name="Note 2 11 3 9 4 2" xfId="24617" xr:uid="{00000000-0005-0000-0000-00002B450000}"/>
    <cellStyle name="Note 2 11 3 9 4 3" xfId="24618" xr:uid="{00000000-0005-0000-0000-00002C450000}"/>
    <cellStyle name="Note 2 11 3 9 5" xfId="24619" xr:uid="{00000000-0005-0000-0000-00002D450000}"/>
    <cellStyle name="Note 2 11 3 9 5 2" xfId="24620" xr:uid="{00000000-0005-0000-0000-00002E450000}"/>
    <cellStyle name="Note 2 11 3 9 5 3" xfId="24621" xr:uid="{00000000-0005-0000-0000-00002F450000}"/>
    <cellStyle name="Note 2 11 3 9 6" xfId="24622" xr:uid="{00000000-0005-0000-0000-000030450000}"/>
    <cellStyle name="Note 2 11 3 9 7" xfId="24623" xr:uid="{00000000-0005-0000-0000-000031450000}"/>
    <cellStyle name="Note 2 11 4" xfId="24624" xr:uid="{00000000-0005-0000-0000-000032450000}"/>
    <cellStyle name="Note 2 11 4 2" xfId="8964" xr:uid="{00000000-0005-0000-0000-000033450000}"/>
    <cellStyle name="Note 2 11 4 2 2" xfId="8967" xr:uid="{00000000-0005-0000-0000-000034450000}"/>
    <cellStyle name="Note 2 11 4 2 3" xfId="8970" xr:uid="{00000000-0005-0000-0000-000035450000}"/>
    <cellStyle name="Note 2 11 4 2 4" xfId="24625" xr:uid="{00000000-0005-0000-0000-000036450000}"/>
    <cellStyle name="Note 2 11 4 3" xfId="8973" xr:uid="{00000000-0005-0000-0000-000037450000}"/>
    <cellStyle name="Note 2 11 4 3 2" xfId="8977" xr:uid="{00000000-0005-0000-0000-000038450000}"/>
    <cellStyle name="Note 2 11 4 3 3" xfId="14222" xr:uid="{00000000-0005-0000-0000-000039450000}"/>
    <cellStyle name="Note 2 11 4 3 4" xfId="14225" xr:uid="{00000000-0005-0000-0000-00003A450000}"/>
    <cellStyle name="Note 2 11 4 4" xfId="8979" xr:uid="{00000000-0005-0000-0000-00003B450000}"/>
    <cellStyle name="Note 2 11 4 4 2" xfId="19472" xr:uid="{00000000-0005-0000-0000-00003C450000}"/>
    <cellStyle name="Note 2 11 4 4 3" xfId="24627" xr:uid="{00000000-0005-0000-0000-00003D450000}"/>
    <cellStyle name="Note 2 11 4 5" xfId="8981" xr:uid="{00000000-0005-0000-0000-00003E450000}"/>
    <cellStyle name="Note 2 11 4 5 2" xfId="19476" xr:uid="{00000000-0005-0000-0000-00003F450000}"/>
    <cellStyle name="Note 2 11 4 5 3" xfId="24629" xr:uid="{00000000-0005-0000-0000-000040450000}"/>
    <cellStyle name="Note 2 11 4 6" xfId="24631" xr:uid="{00000000-0005-0000-0000-000041450000}"/>
    <cellStyle name="Note 2 11 4 7" xfId="24633" xr:uid="{00000000-0005-0000-0000-000042450000}"/>
    <cellStyle name="Note 2 11 5" xfId="24635" xr:uid="{00000000-0005-0000-0000-000043450000}"/>
    <cellStyle name="Note 2 11 5 2" xfId="9015" xr:uid="{00000000-0005-0000-0000-000044450000}"/>
    <cellStyle name="Note 2 11 5 2 2" xfId="9017" xr:uid="{00000000-0005-0000-0000-000045450000}"/>
    <cellStyle name="Note 2 11 5 2 3" xfId="9020" xr:uid="{00000000-0005-0000-0000-000046450000}"/>
    <cellStyle name="Note 2 11 5 2 4" xfId="24636" xr:uid="{00000000-0005-0000-0000-000047450000}"/>
    <cellStyle name="Note 2 11 5 3" xfId="9023" xr:uid="{00000000-0005-0000-0000-000048450000}"/>
    <cellStyle name="Note 2 11 5 3 2" xfId="9025" xr:uid="{00000000-0005-0000-0000-000049450000}"/>
    <cellStyle name="Note 2 11 5 3 3" xfId="24638" xr:uid="{00000000-0005-0000-0000-00004A450000}"/>
    <cellStyle name="Note 2 11 5 3 4" xfId="24640" xr:uid="{00000000-0005-0000-0000-00004B450000}"/>
    <cellStyle name="Note 2 11 5 4" xfId="9028" xr:uid="{00000000-0005-0000-0000-00004C450000}"/>
    <cellStyle name="Note 2 11 5 4 2" xfId="24642" xr:uid="{00000000-0005-0000-0000-00004D450000}"/>
    <cellStyle name="Note 2 11 5 4 3" xfId="24644" xr:uid="{00000000-0005-0000-0000-00004E450000}"/>
    <cellStyle name="Note 2 11 5 5" xfId="9030" xr:uid="{00000000-0005-0000-0000-00004F450000}"/>
    <cellStyle name="Note 2 11 5 5 2" xfId="24646" xr:uid="{00000000-0005-0000-0000-000050450000}"/>
    <cellStyle name="Note 2 11 5 5 3" xfId="24648" xr:uid="{00000000-0005-0000-0000-000051450000}"/>
    <cellStyle name="Note 2 11 5 6" xfId="24650" xr:uid="{00000000-0005-0000-0000-000052450000}"/>
    <cellStyle name="Note 2 11 5 7" xfId="24652" xr:uid="{00000000-0005-0000-0000-000053450000}"/>
    <cellStyle name="Note 2 11 6" xfId="24654" xr:uid="{00000000-0005-0000-0000-000054450000}"/>
    <cellStyle name="Note 2 11 6 2" xfId="9073" xr:uid="{00000000-0005-0000-0000-000055450000}"/>
    <cellStyle name="Note 2 11 6 2 2" xfId="9076" xr:uid="{00000000-0005-0000-0000-000056450000}"/>
    <cellStyle name="Note 2 11 6 2 3" xfId="9081" xr:uid="{00000000-0005-0000-0000-000057450000}"/>
    <cellStyle name="Note 2 11 6 2 4" xfId="24655" xr:uid="{00000000-0005-0000-0000-000058450000}"/>
    <cellStyle name="Note 2 11 6 3" xfId="9085" xr:uid="{00000000-0005-0000-0000-000059450000}"/>
    <cellStyle name="Note 2 11 6 3 2" xfId="9088" xr:uid="{00000000-0005-0000-0000-00005A450000}"/>
    <cellStyle name="Note 2 11 6 3 3" xfId="24656" xr:uid="{00000000-0005-0000-0000-00005B450000}"/>
    <cellStyle name="Note 2 11 6 3 4" xfId="24660" xr:uid="{00000000-0005-0000-0000-00005C450000}"/>
    <cellStyle name="Note 2 11 6 4" xfId="9093" xr:uid="{00000000-0005-0000-0000-00005D450000}"/>
    <cellStyle name="Note 2 11 6 4 2" xfId="13041" xr:uid="{00000000-0005-0000-0000-00005E450000}"/>
    <cellStyle name="Note 2 11 6 4 3" xfId="13044" xr:uid="{00000000-0005-0000-0000-00005F450000}"/>
    <cellStyle name="Note 2 11 6 5" xfId="9096" xr:uid="{00000000-0005-0000-0000-000060450000}"/>
    <cellStyle name="Note 2 11 6 5 2" xfId="13051" xr:uid="{00000000-0005-0000-0000-000061450000}"/>
    <cellStyle name="Note 2 11 6 5 3" xfId="13054" xr:uid="{00000000-0005-0000-0000-000062450000}"/>
    <cellStyle name="Note 2 11 6 6" xfId="24661" xr:uid="{00000000-0005-0000-0000-000063450000}"/>
    <cellStyle name="Note 2 11 6 7" xfId="24663" xr:uid="{00000000-0005-0000-0000-000064450000}"/>
    <cellStyle name="Note 2 11 7" xfId="24664" xr:uid="{00000000-0005-0000-0000-000065450000}"/>
    <cellStyle name="Note 2 11 7 2" xfId="24667" xr:uid="{00000000-0005-0000-0000-000066450000}"/>
    <cellStyle name="Note 2 11 7 2 2" xfId="24672" xr:uid="{00000000-0005-0000-0000-000067450000}"/>
    <cellStyle name="Note 2 11 7 2 3" xfId="24677" xr:uid="{00000000-0005-0000-0000-000068450000}"/>
    <cellStyle name="Note 2 11 7 2 4" xfId="24680" xr:uid="{00000000-0005-0000-0000-000069450000}"/>
    <cellStyle name="Note 2 11 7 3" xfId="24683" xr:uid="{00000000-0005-0000-0000-00006A450000}"/>
    <cellStyle name="Note 2 11 7 3 2" xfId="24687" xr:uid="{00000000-0005-0000-0000-00006B450000}"/>
    <cellStyle name="Note 2 11 7 3 3" xfId="24692" xr:uid="{00000000-0005-0000-0000-00006C450000}"/>
    <cellStyle name="Note 2 11 7 3 4" xfId="2100" xr:uid="{00000000-0005-0000-0000-00006D450000}"/>
    <cellStyle name="Note 2 11 7 4" xfId="12024" xr:uid="{00000000-0005-0000-0000-00006E450000}"/>
    <cellStyle name="Note 2 11 7 4 2" xfId="24695" xr:uid="{00000000-0005-0000-0000-00006F450000}"/>
    <cellStyle name="Note 2 11 7 4 3" xfId="24698" xr:uid="{00000000-0005-0000-0000-000070450000}"/>
    <cellStyle name="Note 2 11 7 5" xfId="12028" xr:uid="{00000000-0005-0000-0000-000071450000}"/>
    <cellStyle name="Note 2 11 7 5 2" xfId="24701" xr:uid="{00000000-0005-0000-0000-000072450000}"/>
    <cellStyle name="Note 2 11 7 5 3" xfId="24704" xr:uid="{00000000-0005-0000-0000-000073450000}"/>
    <cellStyle name="Note 2 11 7 6" xfId="12032" xr:uid="{00000000-0005-0000-0000-000074450000}"/>
    <cellStyle name="Note 2 11 7 7" xfId="24706" xr:uid="{00000000-0005-0000-0000-000075450000}"/>
    <cellStyle name="Note 2 11 8" xfId="24708" xr:uid="{00000000-0005-0000-0000-000076450000}"/>
    <cellStyle name="Note 2 11 8 2" xfId="24711" xr:uid="{00000000-0005-0000-0000-000077450000}"/>
    <cellStyle name="Note 2 11 8 2 2" xfId="24715" xr:uid="{00000000-0005-0000-0000-000078450000}"/>
    <cellStyle name="Note 2 11 8 2 3" xfId="24719" xr:uid="{00000000-0005-0000-0000-000079450000}"/>
    <cellStyle name="Note 2 11 8 2 4" xfId="24721" xr:uid="{00000000-0005-0000-0000-00007A450000}"/>
    <cellStyle name="Note 2 11 8 3" xfId="24724" xr:uid="{00000000-0005-0000-0000-00007B450000}"/>
    <cellStyle name="Note 2 11 8 3 2" xfId="24729" xr:uid="{00000000-0005-0000-0000-00007C450000}"/>
    <cellStyle name="Note 2 11 8 3 3" xfId="24734" xr:uid="{00000000-0005-0000-0000-00007D450000}"/>
    <cellStyle name="Note 2 11 8 3 4" xfId="24736" xr:uid="{00000000-0005-0000-0000-00007E450000}"/>
    <cellStyle name="Note 2 11 8 4" xfId="12038" xr:uid="{00000000-0005-0000-0000-00007F450000}"/>
    <cellStyle name="Note 2 11 8 4 2" xfId="24739" xr:uid="{00000000-0005-0000-0000-000080450000}"/>
    <cellStyle name="Note 2 11 8 4 3" xfId="24742" xr:uid="{00000000-0005-0000-0000-000081450000}"/>
    <cellStyle name="Note 2 11 8 5" xfId="12042" xr:uid="{00000000-0005-0000-0000-000082450000}"/>
    <cellStyle name="Note 2 11 8 5 2" xfId="24745" xr:uid="{00000000-0005-0000-0000-000083450000}"/>
    <cellStyle name="Note 2 11 8 5 3" xfId="24748" xr:uid="{00000000-0005-0000-0000-000084450000}"/>
    <cellStyle name="Note 2 11 8 6" xfId="5138" xr:uid="{00000000-0005-0000-0000-000085450000}"/>
    <cellStyle name="Note 2 11 8 7" xfId="5161" xr:uid="{00000000-0005-0000-0000-000086450000}"/>
    <cellStyle name="Note 2 11 9" xfId="23310" xr:uid="{00000000-0005-0000-0000-000087450000}"/>
    <cellStyle name="Note 2 11 9 2" xfId="24752" xr:uid="{00000000-0005-0000-0000-000088450000}"/>
    <cellStyle name="Note 2 11 9 2 2" xfId="24756" xr:uid="{00000000-0005-0000-0000-000089450000}"/>
    <cellStyle name="Note 2 11 9 2 3" xfId="24760" xr:uid="{00000000-0005-0000-0000-00008A450000}"/>
    <cellStyle name="Note 2 11 9 2 4" xfId="24763" xr:uid="{00000000-0005-0000-0000-00008B450000}"/>
    <cellStyle name="Note 2 11 9 3" xfId="24767" xr:uid="{00000000-0005-0000-0000-00008C450000}"/>
    <cellStyle name="Note 2 11 9 3 2" xfId="24771" xr:uid="{00000000-0005-0000-0000-00008D450000}"/>
    <cellStyle name="Note 2 11 9 3 3" xfId="24776" xr:uid="{00000000-0005-0000-0000-00008E450000}"/>
    <cellStyle name="Note 2 11 9 3 4" xfId="24778" xr:uid="{00000000-0005-0000-0000-00008F450000}"/>
    <cellStyle name="Note 2 11 9 4" xfId="12051" xr:uid="{00000000-0005-0000-0000-000090450000}"/>
    <cellStyle name="Note 2 11 9 4 2" xfId="24781" xr:uid="{00000000-0005-0000-0000-000091450000}"/>
    <cellStyle name="Note 2 11 9 4 3" xfId="24784" xr:uid="{00000000-0005-0000-0000-000092450000}"/>
    <cellStyle name="Note 2 11 9 5" xfId="12055" xr:uid="{00000000-0005-0000-0000-000093450000}"/>
    <cellStyle name="Note 2 11 9 5 2" xfId="24787" xr:uid="{00000000-0005-0000-0000-000094450000}"/>
    <cellStyle name="Note 2 11 9 5 3" xfId="24790" xr:uid="{00000000-0005-0000-0000-000095450000}"/>
    <cellStyle name="Note 2 11 9 6" xfId="5391" xr:uid="{00000000-0005-0000-0000-000096450000}"/>
    <cellStyle name="Note 2 11 9 7" xfId="5419" xr:uid="{00000000-0005-0000-0000-000097450000}"/>
    <cellStyle name="Note 2 12" xfId="24792" xr:uid="{00000000-0005-0000-0000-000098450000}"/>
    <cellStyle name="Note 2 12 10" xfId="10585" xr:uid="{00000000-0005-0000-0000-000099450000}"/>
    <cellStyle name="Note 2 12 10 2" xfId="24794" xr:uid="{00000000-0005-0000-0000-00009A450000}"/>
    <cellStyle name="Note 2 12 10 2 2" xfId="24795" xr:uid="{00000000-0005-0000-0000-00009B450000}"/>
    <cellStyle name="Note 2 12 10 2 3" xfId="24797" xr:uid="{00000000-0005-0000-0000-00009C450000}"/>
    <cellStyle name="Note 2 12 10 2 4" xfId="24799" xr:uid="{00000000-0005-0000-0000-00009D450000}"/>
    <cellStyle name="Note 2 12 10 3" xfId="24801" xr:uid="{00000000-0005-0000-0000-00009E450000}"/>
    <cellStyle name="Note 2 12 10 3 2" xfId="24802" xr:uid="{00000000-0005-0000-0000-00009F450000}"/>
    <cellStyle name="Note 2 12 10 3 3" xfId="24804" xr:uid="{00000000-0005-0000-0000-0000A0450000}"/>
    <cellStyle name="Note 2 12 10 3 4" xfId="24806" xr:uid="{00000000-0005-0000-0000-0000A1450000}"/>
    <cellStyle name="Note 2 12 10 4" xfId="24809" xr:uid="{00000000-0005-0000-0000-0000A2450000}"/>
    <cellStyle name="Note 2 12 10 4 2" xfId="22052" xr:uid="{00000000-0005-0000-0000-0000A3450000}"/>
    <cellStyle name="Note 2 12 10 4 3" xfId="24810" xr:uid="{00000000-0005-0000-0000-0000A4450000}"/>
    <cellStyle name="Note 2 12 10 5" xfId="24812" xr:uid="{00000000-0005-0000-0000-0000A5450000}"/>
    <cellStyle name="Note 2 12 10 5 2" xfId="22059" xr:uid="{00000000-0005-0000-0000-0000A6450000}"/>
    <cellStyle name="Note 2 12 10 5 3" xfId="24813" xr:uid="{00000000-0005-0000-0000-0000A7450000}"/>
    <cellStyle name="Note 2 12 10 6" xfId="24815" xr:uid="{00000000-0005-0000-0000-0000A8450000}"/>
    <cellStyle name="Note 2 12 10 7" xfId="24817" xr:uid="{00000000-0005-0000-0000-0000A9450000}"/>
    <cellStyle name="Note 2 12 11" xfId="10587" xr:uid="{00000000-0005-0000-0000-0000AA450000}"/>
    <cellStyle name="Note 2 12 11 2" xfId="24819" xr:uid="{00000000-0005-0000-0000-0000AB450000}"/>
    <cellStyle name="Note 2 12 11 2 2" xfId="24821" xr:uid="{00000000-0005-0000-0000-0000AC450000}"/>
    <cellStyle name="Note 2 12 11 2 3" xfId="24822" xr:uid="{00000000-0005-0000-0000-0000AD450000}"/>
    <cellStyle name="Note 2 12 11 2 4" xfId="24823" xr:uid="{00000000-0005-0000-0000-0000AE450000}"/>
    <cellStyle name="Note 2 12 11 3" xfId="24824" xr:uid="{00000000-0005-0000-0000-0000AF450000}"/>
    <cellStyle name="Note 2 12 11 3 2" xfId="24825" xr:uid="{00000000-0005-0000-0000-0000B0450000}"/>
    <cellStyle name="Note 2 12 11 3 3" xfId="24827" xr:uid="{00000000-0005-0000-0000-0000B1450000}"/>
    <cellStyle name="Note 2 12 11 3 4" xfId="24829" xr:uid="{00000000-0005-0000-0000-0000B2450000}"/>
    <cellStyle name="Note 2 12 11 4" xfId="24831" xr:uid="{00000000-0005-0000-0000-0000B3450000}"/>
    <cellStyle name="Note 2 12 11 4 2" xfId="22076" xr:uid="{00000000-0005-0000-0000-0000B4450000}"/>
    <cellStyle name="Note 2 12 11 4 3" xfId="24832" xr:uid="{00000000-0005-0000-0000-0000B5450000}"/>
    <cellStyle name="Note 2 12 11 5" xfId="24833" xr:uid="{00000000-0005-0000-0000-0000B6450000}"/>
    <cellStyle name="Note 2 12 11 5 2" xfId="22081" xr:uid="{00000000-0005-0000-0000-0000B7450000}"/>
    <cellStyle name="Note 2 12 11 5 3" xfId="24834" xr:uid="{00000000-0005-0000-0000-0000B8450000}"/>
    <cellStyle name="Note 2 12 11 6" xfId="24835" xr:uid="{00000000-0005-0000-0000-0000B9450000}"/>
    <cellStyle name="Note 2 12 11 7" xfId="24837" xr:uid="{00000000-0005-0000-0000-0000BA450000}"/>
    <cellStyle name="Note 2 12 12" xfId="24839" xr:uid="{00000000-0005-0000-0000-0000BB450000}"/>
    <cellStyle name="Note 2 12 12 2" xfId="20001" xr:uid="{00000000-0005-0000-0000-0000BC450000}"/>
    <cellStyle name="Note 2 12 12 2 2" xfId="20004" xr:uid="{00000000-0005-0000-0000-0000BD450000}"/>
    <cellStyle name="Note 2 12 12 2 3" xfId="20006" xr:uid="{00000000-0005-0000-0000-0000BE450000}"/>
    <cellStyle name="Note 2 12 12 2 4" xfId="20008" xr:uid="{00000000-0005-0000-0000-0000BF450000}"/>
    <cellStyle name="Note 2 12 12 3" xfId="20014" xr:uid="{00000000-0005-0000-0000-0000C0450000}"/>
    <cellStyle name="Note 2 12 12 3 2" xfId="20016" xr:uid="{00000000-0005-0000-0000-0000C1450000}"/>
    <cellStyle name="Note 2 12 12 3 3" xfId="20021" xr:uid="{00000000-0005-0000-0000-0000C2450000}"/>
    <cellStyle name="Note 2 12 12 3 4" xfId="20026" xr:uid="{00000000-0005-0000-0000-0000C3450000}"/>
    <cellStyle name="Note 2 12 12 4" xfId="15715" xr:uid="{00000000-0005-0000-0000-0000C4450000}"/>
    <cellStyle name="Note 2 12 12 4 2" xfId="15717" xr:uid="{00000000-0005-0000-0000-0000C5450000}"/>
    <cellStyle name="Note 2 12 12 4 3" xfId="15722" xr:uid="{00000000-0005-0000-0000-0000C6450000}"/>
    <cellStyle name="Note 2 12 12 5" xfId="15737" xr:uid="{00000000-0005-0000-0000-0000C7450000}"/>
    <cellStyle name="Note 2 12 12 5 2" xfId="15739" xr:uid="{00000000-0005-0000-0000-0000C8450000}"/>
    <cellStyle name="Note 2 12 12 5 3" xfId="15742" xr:uid="{00000000-0005-0000-0000-0000C9450000}"/>
    <cellStyle name="Note 2 12 12 6" xfId="15748" xr:uid="{00000000-0005-0000-0000-0000CA450000}"/>
    <cellStyle name="Note 2 12 12 7" xfId="15761" xr:uid="{00000000-0005-0000-0000-0000CB450000}"/>
    <cellStyle name="Note 2 12 13" xfId="24840" xr:uid="{00000000-0005-0000-0000-0000CC450000}"/>
    <cellStyle name="Note 2 12 13 2" xfId="20209" xr:uid="{00000000-0005-0000-0000-0000CD450000}"/>
    <cellStyle name="Note 2 12 13 3" xfId="20241" xr:uid="{00000000-0005-0000-0000-0000CE450000}"/>
    <cellStyle name="Note 2 12 13 4" xfId="24841" xr:uid="{00000000-0005-0000-0000-0000CF450000}"/>
    <cellStyle name="Note 2 12 14" xfId="6602" xr:uid="{00000000-0005-0000-0000-0000D0450000}"/>
    <cellStyle name="Note 2 12 14 2" xfId="6606" xr:uid="{00000000-0005-0000-0000-0000D1450000}"/>
    <cellStyle name="Note 2 12 14 3" xfId="3780" xr:uid="{00000000-0005-0000-0000-0000D2450000}"/>
    <cellStyle name="Note 2 12 14 4" xfId="3788" xr:uid="{00000000-0005-0000-0000-0000D3450000}"/>
    <cellStyle name="Note 2 12 15" xfId="6611" xr:uid="{00000000-0005-0000-0000-0000D4450000}"/>
    <cellStyle name="Note 2 12 15 2" xfId="6616" xr:uid="{00000000-0005-0000-0000-0000D5450000}"/>
    <cellStyle name="Note 2 12 15 3" xfId="3799" xr:uid="{00000000-0005-0000-0000-0000D6450000}"/>
    <cellStyle name="Note 2 12 16" xfId="6618" xr:uid="{00000000-0005-0000-0000-0000D7450000}"/>
    <cellStyle name="Note 2 12 16 2" xfId="6625" xr:uid="{00000000-0005-0000-0000-0000D8450000}"/>
    <cellStyle name="Note 2 12 16 3" xfId="6628" xr:uid="{00000000-0005-0000-0000-0000D9450000}"/>
    <cellStyle name="Note 2 12 17" xfId="6630" xr:uid="{00000000-0005-0000-0000-0000DA450000}"/>
    <cellStyle name="Note 2 12 18" xfId="1651" xr:uid="{00000000-0005-0000-0000-0000DB450000}"/>
    <cellStyle name="Note 2 12 19" xfId="716" xr:uid="{00000000-0005-0000-0000-0000DC450000}"/>
    <cellStyle name="Note 2 12 2" xfId="24842" xr:uid="{00000000-0005-0000-0000-0000DD450000}"/>
    <cellStyle name="Note 2 12 2 10" xfId="9435" xr:uid="{00000000-0005-0000-0000-0000DE450000}"/>
    <cellStyle name="Note 2 12 2 10 2" xfId="9438" xr:uid="{00000000-0005-0000-0000-0000DF450000}"/>
    <cellStyle name="Note 2 12 2 10 2 2" xfId="9442" xr:uid="{00000000-0005-0000-0000-0000E0450000}"/>
    <cellStyle name="Note 2 12 2 10 2 3" xfId="4849" xr:uid="{00000000-0005-0000-0000-0000E1450000}"/>
    <cellStyle name="Note 2 12 2 10 2 4" xfId="741" xr:uid="{00000000-0005-0000-0000-0000E2450000}"/>
    <cellStyle name="Note 2 12 2 10 3" xfId="9446" xr:uid="{00000000-0005-0000-0000-0000E3450000}"/>
    <cellStyle name="Note 2 12 2 10 3 2" xfId="9448" xr:uid="{00000000-0005-0000-0000-0000E4450000}"/>
    <cellStyle name="Note 2 12 2 10 3 3" xfId="5548" xr:uid="{00000000-0005-0000-0000-0000E5450000}"/>
    <cellStyle name="Note 2 12 2 10 3 4" xfId="835" xr:uid="{00000000-0005-0000-0000-0000E6450000}"/>
    <cellStyle name="Note 2 12 2 10 4" xfId="9450" xr:uid="{00000000-0005-0000-0000-0000E7450000}"/>
    <cellStyle name="Note 2 12 2 10 4 2" xfId="9452" xr:uid="{00000000-0005-0000-0000-0000E8450000}"/>
    <cellStyle name="Note 2 12 2 10 4 3" xfId="5556" xr:uid="{00000000-0005-0000-0000-0000E9450000}"/>
    <cellStyle name="Note 2 12 2 10 5" xfId="9455" xr:uid="{00000000-0005-0000-0000-0000EA450000}"/>
    <cellStyle name="Note 2 12 2 10 5 2" xfId="9457" xr:uid="{00000000-0005-0000-0000-0000EB450000}"/>
    <cellStyle name="Note 2 12 2 10 5 3" xfId="5563" xr:uid="{00000000-0005-0000-0000-0000EC450000}"/>
    <cellStyle name="Note 2 12 2 10 6" xfId="9460" xr:uid="{00000000-0005-0000-0000-0000ED450000}"/>
    <cellStyle name="Note 2 12 2 10 7" xfId="9462" xr:uid="{00000000-0005-0000-0000-0000EE450000}"/>
    <cellStyle name="Note 2 12 2 11" xfId="9466" xr:uid="{00000000-0005-0000-0000-0000EF450000}"/>
    <cellStyle name="Note 2 12 2 11 2" xfId="9471" xr:uid="{00000000-0005-0000-0000-0000F0450000}"/>
    <cellStyle name="Note 2 12 2 11 3" xfId="9477" xr:uid="{00000000-0005-0000-0000-0000F1450000}"/>
    <cellStyle name="Note 2 12 2 11 4" xfId="9481" xr:uid="{00000000-0005-0000-0000-0000F2450000}"/>
    <cellStyle name="Note 2 12 2 12" xfId="9205" xr:uid="{00000000-0005-0000-0000-0000F3450000}"/>
    <cellStyle name="Note 2 12 2 12 2" xfId="9493" xr:uid="{00000000-0005-0000-0000-0000F4450000}"/>
    <cellStyle name="Note 2 12 2 12 3" xfId="9502" xr:uid="{00000000-0005-0000-0000-0000F5450000}"/>
    <cellStyle name="Note 2 12 2 12 4" xfId="9511" xr:uid="{00000000-0005-0000-0000-0000F6450000}"/>
    <cellStyle name="Note 2 12 2 13" xfId="2533" xr:uid="{00000000-0005-0000-0000-0000F7450000}"/>
    <cellStyle name="Note 2 12 2 13 2" xfId="2540" xr:uid="{00000000-0005-0000-0000-0000F8450000}"/>
    <cellStyle name="Note 2 12 2 13 3" xfId="4877" xr:uid="{00000000-0005-0000-0000-0000F9450000}"/>
    <cellStyle name="Note 2 12 2 14" xfId="4902" xr:uid="{00000000-0005-0000-0000-0000FA450000}"/>
    <cellStyle name="Note 2 12 2 14 2" xfId="4439" xr:uid="{00000000-0005-0000-0000-0000FB450000}"/>
    <cellStyle name="Note 2 12 2 14 3" xfId="4929" xr:uid="{00000000-0005-0000-0000-0000FC450000}"/>
    <cellStyle name="Note 2 12 2 15" xfId="4960" xr:uid="{00000000-0005-0000-0000-0000FD450000}"/>
    <cellStyle name="Note 2 12 2 16" xfId="5013" xr:uid="{00000000-0005-0000-0000-0000FE450000}"/>
    <cellStyle name="Note 2 12 2 2" xfId="9877" xr:uid="{00000000-0005-0000-0000-0000FF450000}"/>
    <cellStyle name="Note 2 12 2 2 2" xfId="9881" xr:uid="{00000000-0005-0000-0000-000000460000}"/>
    <cellStyle name="Note 2 12 2 2 2 2" xfId="14897" xr:uid="{00000000-0005-0000-0000-000001460000}"/>
    <cellStyle name="Note 2 12 2 2 2 3" xfId="14901" xr:uid="{00000000-0005-0000-0000-000002460000}"/>
    <cellStyle name="Note 2 12 2 2 2 4" xfId="14907" xr:uid="{00000000-0005-0000-0000-000003460000}"/>
    <cellStyle name="Note 2 12 2 2 3" xfId="9884" xr:uid="{00000000-0005-0000-0000-000004460000}"/>
    <cellStyle name="Note 2 12 2 2 3 2" xfId="14918" xr:uid="{00000000-0005-0000-0000-000005460000}"/>
    <cellStyle name="Note 2 12 2 2 3 3" xfId="14926" xr:uid="{00000000-0005-0000-0000-000006460000}"/>
    <cellStyle name="Note 2 12 2 2 3 4" xfId="14930" xr:uid="{00000000-0005-0000-0000-000007460000}"/>
    <cellStyle name="Note 2 12 2 2 4" xfId="14939" xr:uid="{00000000-0005-0000-0000-000008460000}"/>
    <cellStyle name="Note 2 12 2 2 4 2" xfId="14941" xr:uid="{00000000-0005-0000-0000-000009460000}"/>
    <cellStyle name="Note 2 12 2 2 4 3" xfId="14957" xr:uid="{00000000-0005-0000-0000-00000A460000}"/>
    <cellStyle name="Note 2 12 2 2 5" xfId="24844" xr:uid="{00000000-0005-0000-0000-00000B460000}"/>
    <cellStyle name="Note 2 12 2 2 5 2" xfId="24845" xr:uid="{00000000-0005-0000-0000-00000C460000}"/>
    <cellStyle name="Note 2 12 2 2 5 3" xfId="24846" xr:uid="{00000000-0005-0000-0000-00000D460000}"/>
    <cellStyle name="Note 2 12 2 2 6" xfId="24847" xr:uid="{00000000-0005-0000-0000-00000E460000}"/>
    <cellStyle name="Note 2 12 2 2 7" xfId="24849" xr:uid="{00000000-0005-0000-0000-00000F460000}"/>
    <cellStyle name="Note 2 12 2 3" xfId="9886" xr:uid="{00000000-0005-0000-0000-000010460000}"/>
    <cellStyle name="Note 2 12 2 3 2" xfId="9249" xr:uid="{00000000-0005-0000-0000-000011460000}"/>
    <cellStyle name="Note 2 12 2 3 2 2" xfId="9253" xr:uid="{00000000-0005-0000-0000-000012460000}"/>
    <cellStyle name="Note 2 12 2 3 2 3" xfId="9257" xr:uid="{00000000-0005-0000-0000-000013460000}"/>
    <cellStyle name="Note 2 12 2 3 2 4" xfId="9261" xr:uid="{00000000-0005-0000-0000-000014460000}"/>
    <cellStyle name="Note 2 12 2 3 3" xfId="9265" xr:uid="{00000000-0005-0000-0000-000015460000}"/>
    <cellStyle name="Note 2 12 2 3 3 2" xfId="9269" xr:uid="{00000000-0005-0000-0000-000016460000}"/>
    <cellStyle name="Note 2 12 2 3 3 3" xfId="9273" xr:uid="{00000000-0005-0000-0000-000017460000}"/>
    <cellStyle name="Note 2 12 2 3 3 4" xfId="19357" xr:uid="{00000000-0005-0000-0000-000018460000}"/>
    <cellStyle name="Note 2 12 2 3 4" xfId="9277" xr:uid="{00000000-0005-0000-0000-000019460000}"/>
    <cellStyle name="Note 2 12 2 3 4 2" xfId="9280" xr:uid="{00000000-0005-0000-0000-00001A460000}"/>
    <cellStyle name="Note 2 12 2 3 4 3" xfId="9284" xr:uid="{00000000-0005-0000-0000-00001B460000}"/>
    <cellStyle name="Note 2 12 2 3 5" xfId="9288" xr:uid="{00000000-0005-0000-0000-00001C460000}"/>
    <cellStyle name="Note 2 12 2 3 5 2" xfId="19386" xr:uid="{00000000-0005-0000-0000-00001D460000}"/>
    <cellStyle name="Note 2 12 2 3 5 3" xfId="19393" xr:uid="{00000000-0005-0000-0000-00001E460000}"/>
    <cellStyle name="Note 2 12 2 3 6" xfId="9291" xr:uid="{00000000-0005-0000-0000-00001F460000}"/>
    <cellStyle name="Note 2 12 2 3 7" xfId="9295" xr:uid="{00000000-0005-0000-0000-000020460000}"/>
    <cellStyle name="Note 2 12 2 4" xfId="9888" xr:uid="{00000000-0005-0000-0000-000021460000}"/>
    <cellStyle name="Note 2 12 2 4 2" xfId="15011" xr:uid="{00000000-0005-0000-0000-000022460000}"/>
    <cellStyle name="Note 2 12 2 4 2 2" xfId="15901" xr:uid="{00000000-0005-0000-0000-000023460000}"/>
    <cellStyle name="Note 2 12 2 4 2 3" xfId="19516" xr:uid="{00000000-0005-0000-0000-000024460000}"/>
    <cellStyle name="Note 2 12 2 4 2 4" xfId="19521" xr:uid="{00000000-0005-0000-0000-000025460000}"/>
    <cellStyle name="Note 2 12 2 4 3" xfId="19531" xr:uid="{00000000-0005-0000-0000-000026460000}"/>
    <cellStyle name="Note 2 12 2 4 3 2" xfId="15908" xr:uid="{00000000-0005-0000-0000-000027460000}"/>
    <cellStyle name="Note 2 12 2 4 3 3" xfId="19534" xr:uid="{00000000-0005-0000-0000-000028460000}"/>
    <cellStyle name="Note 2 12 2 4 3 4" xfId="19538" xr:uid="{00000000-0005-0000-0000-000029460000}"/>
    <cellStyle name="Note 2 12 2 4 4" xfId="19548" xr:uid="{00000000-0005-0000-0000-00002A460000}"/>
    <cellStyle name="Note 2 12 2 4 4 2" xfId="19551" xr:uid="{00000000-0005-0000-0000-00002B460000}"/>
    <cellStyle name="Note 2 12 2 4 4 3" xfId="19555" xr:uid="{00000000-0005-0000-0000-00002C460000}"/>
    <cellStyle name="Note 2 12 2 4 5" xfId="19571" xr:uid="{00000000-0005-0000-0000-00002D460000}"/>
    <cellStyle name="Note 2 12 2 4 5 2" xfId="19574" xr:uid="{00000000-0005-0000-0000-00002E460000}"/>
    <cellStyle name="Note 2 12 2 4 5 3" xfId="19578" xr:uid="{00000000-0005-0000-0000-00002F460000}"/>
    <cellStyle name="Note 2 12 2 4 6" xfId="19591" xr:uid="{00000000-0005-0000-0000-000030460000}"/>
    <cellStyle name="Note 2 12 2 4 7" xfId="19610" xr:uid="{00000000-0005-0000-0000-000031460000}"/>
    <cellStyle name="Note 2 12 2 5" xfId="9890" xr:uid="{00000000-0005-0000-0000-000032460000}"/>
    <cellStyle name="Note 2 12 2 5 2" xfId="15033" xr:uid="{00000000-0005-0000-0000-000033460000}"/>
    <cellStyle name="Note 2 12 2 5 2 2" xfId="15922" xr:uid="{00000000-0005-0000-0000-000034460000}"/>
    <cellStyle name="Note 2 12 2 5 2 3" xfId="19679" xr:uid="{00000000-0005-0000-0000-000035460000}"/>
    <cellStyle name="Note 2 12 2 5 2 4" xfId="19681" xr:uid="{00000000-0005-0000-0000-000036460000}"/>
    <cellStyle name="Note 2 12 2 5 3" xfId="19684" xr:uid="{00000000-0005-0000-0000-000037460000}"/>
    <cellStyle name="Note 2 12 2 5 3 2" xfId="15927" xr:uid="{00000000-0005-0000-0000-000038460000}"/>
    <cellStyle name="Note 2 12 2 5 3 3" xfId="19687" xr:uid="{00000000-0005-0000-0000-000039460000}"/>
    <cellStyle name="Note 2 12 2 5 3 4" xfId="24851" xr:uid="{00000000-0005-0000-0000-00003A460000}"/>
    <cellStyle name="Note 2 12 2 5 4" xfId="19690" xr:uid="{00000000-0005-0000-0000-00003B460000}"/>
    <cellStyle name="Note 2 12 2 5 4 2" xfId="19693" xr:uid="{00000000-0005-0000-0000-00003C460000}"/>
    <cellStyle name="Note 2 12 2 5 4 3" xfId="19695" xr:uid="{00000000-0005-0000-0000-00003D460000}"/>
    <cellStyle name="Note 2 12 2 5 5" xfId="19697" xr:uid="{00000000-0005-0000-0000-00003E460000}"/>
    <cellStyle name="Note 2 12 2 5 5 2" xfId="19699" xr:uid="{00000000-0005-0000-0000-00003F460000}"/>
    <cellStyle name="Note 2 12 2 5 5 3" xfId="24852" xr:uid="{00000000-0005-0000-0000-000040460000}"/>
    <cellStyle name="Note 2 12 2 5 6" xfId="11101" xr:uid="{00000000-0005-0000-0000-000041460000}"/>
    <cellStyle name="Note 2 12 2 5 7" xfId="6581" xr:uid="{00000000-0005-0000-0000-000042460000}"/>
    <cellStyle name="Note 2 12 2 6" xfId="24853" xr:uid="{00000000-0005-0000-0000-000043460000}"/>
    <cellStyle name="Note 2 12 2 6 2" xfId="15060" xr:uid="{00000000-0005-0000-0000-000044460000}"/>
    <cellStyle name="Note 2 12 2 6 2 2" xfId="15940" xr:uid="{00000000-0005-0000-0000-000045460000}"/>
    <cellStyle name="Note 2 12 2 6 2 3" xfId="19705" xr:uid="{00000000-0005-0000-0000-000046460000}"/>
    <cellStyle name="Note 2 12 2 6 2 4" xfId="19707" xr:uid="{00000000-0005-0000-0000-000047460000}"/>
    <cellStyle name="Note 2 12 2 6 3" xfId="19710" xr:uid="{00000000-0005-0000-0000-000048460000}"/>
    <cellStyle name="Note 2 12 2 6 3 2" xfId="15945" xr:uid="{00000000-0005-0000-0000-000049460000}"/>
    <cellStyle name="Note 2 12 2 6 3 3" xfId="19713" xr:uid="{00000000-0005-0000-0000-00004A460000}"/>
    <cellStyle name="Note 2 12 2 6 3 4" xfId="24855" xr:uid="{00000000-0005-0000-0000-00004B460000}"/>
    <cellStyle name="Note 2 12 2 6 4" xfId="19716" xr:uid="{00000000-0005-0000-0000-00004C460000}"/>
    <cellStyle name="Note 2 12 2 6 4 2" xfId="19719" xr:uid="{00000000-0005-0000-0000-00004D460000}"/>
    <cellStyle name="Note 2 12 2 6 4 3" xfId="19721" xr:uid="{00000000-0005-0000-0000-00004E460000}"/>
    <cellStyle name="Note 2 12 2 6 5" xfId="19723" xr:uid="{00000000-0005-0000-0000-00004F460000}"/>
    <cellStyle name="Note 2 12 2 6 5 2" xfId="19725" xr:uid="{00000000-0005-0000-0000-000050460000}"/>
    <cellStyle name="Note 2 12 2 6 5 3" xfId="24856" xr:uid="{00000000-0005-0000-0000-000051460000}"/>
    <cellStyle name="Note 2 12 2 6 6" xfId="11107" xr:uid="{00000000-0005-0000-0000-000052460000}"/>
    <cellStyle name="Note 2 12 2 6 7" xfId="38" xr:uid="{00000000-0005-0000-0000-000053460000}"/>
    <cellStyle name="Note 2 12 2 7" xfId="24857" xr:uid="{00000000-0005-0000-0000-000054460000}"/>
    <cellStyle name="Note 2 12 2 7 2" xfId="15091" xr:uid="{00000000-0005-0000-0000-000055460000}"/>
    <cellStyle name="Note 2 12 2 7 2 2" xfId="15956" xr:uid="{00000000-0005-0000-0000-000056460000}"/>
    <cellStyle name="Note 2 12 2 7 2 3" xfId="19731" xr:uid="{00000000-0005-0000-0000-000057460000}"/>
    <cellStyle name="Note 2 12 2 7 2 4" xfId="19733" xr:uid="{00000000-0005-0000-0000-000058460000}"/>
    <cellStyle name="Note 2 12 2 7 3" xfId="19735" xr:uid="{00000000-0005-0000-0000-000059460000}"/>
    <cellStyle name="Note 2 12 2 7 3 2" xfId="15961" xr:uid="{00000000-0005-0000-0000-00005A460000}"/>
    <cellStyle name="Note 2 12 2 7 3 3" xfId="19738" xr:uid="{00000000-0005-0000-0000-00005B460000}"/>
    <cellStyle name="Note 2 12 2 7 3 4" xfId="24859" xr:uid="{00000000-0005-0000-0000-00005C460000}"/>
    <cellStyle name="Note 2 12 2 7 4" xfId="19740" xr:uid="{00000000-0005-0000-0000-00005D460000}"/>
    <cellStyle name="Note 2 12 2 7 4 2" xfId="19742" xr:uid="{00000000-0005-0000-0000-00005E460000}"/>
    <cellStyle name="Note 2 12 2 7 4 3" xfId="19744" xr:uid="{00000000-0005-0000-0000-00005F460000}"/>
    <cellStyle name="Note 2 12 2 7 5" xfId="8862" xr:uid="{00000000-0005-0000-0000-000060460000}"/>
    <cellStyle name="Note 2 12 2 7 5 2" xfId="19746" xr:uid="{00000000-0005-0000-0000-000061460000}"/>
    <cellStyle name="Note 2 12 2 7 5 3" xfId="24860" xr:uid="{00000000-0005-0000-0000-000062460000}"/>
    <cellStyle name="Note 2 12 2 7 6" xfId="11112" xr:uid="{00000000-0005-0000-0000-000063460000}"/>
    <cellStyle name="Note 2 12 2 7 7" xfId="3544" xr:uid="{00000000-0005-0000-0000-000064460000}"/>
    <cellStyle name="Note 2 12 2 8" xfId="24861" xr:uid="{00000000-0005-0000-0000-000065460000}"/>
    <cellStyle name="Note 2 12 2 8 2" xfId="9574" xr:uid="{00000000-0005-0000-0000-000066460000}"/>
    <cellStyle name="Note 2 12 2 8 2 2" xfId="9579" xr:uid="{00000000-0005-0000-0000-000067460000}"/>
    <cellStyle name="Note 2 12 2 8 2 3" xfId="9582" xr:uid="{00000000-0005-0000-0000-000068460000}"/>
    <cellStyle name="Note 2 12 2 8 2 4" xfId="9585" xr:uid="{00000000-0005-0000-0000-000069460000}"/>
    <cellStyle name="Note 2 12 2 8 3" xfId="9588" xr:uid="{00000000-0005-0000-0000-00006A460000}"/>
    <cellStyle name="Note 2 12 2 8 3 2" xfId="9594" xr:uid="{00000000-0005-0000-0000-00006B460000}"/>
    <cellStyle name="Note 2 12 2 8 3 3" xfId="9598" xr:uid="{00000000-0005-0000-0000-00006C460000}"/>
    <cellStyle name="Note 2 12 2 8 3 4" xfId="24863" xr:uid="{00000000-0005-0000-0000-00006D460000}"/>
    <cellStyle name="Note 2 12 2 8 4" xfId="9601" xr:uid="{00000000-0005-0000-0000-00006E460000}"/>
    <cellStyle name="Note 2 12 2 8 4 2" xfId="9604" xr:uid="{00000000-0005-0000-0000-00006F460000}"/>
    <cellStyle name="Note 2 12 2 8 4 3" xfId="9607" xr:uid="{00000000-0005-0000-0000-000070460000}"/>
    <cellStyle name="Note 2 12 2 8 5" xfId="9610" xr:uid="{00000000-0005-0000-0000-000071460000}"/>
    <cellStyle name="Note 2 12 2 8 5 2" xfId="19748" xr:uid="{00000000-0005-0000-0000-000072460000}"/>
    <cellStyle name="Note 2 12 2 8 5 3" xfId="24864" xr:uid="{00000000-0005-0000-0000-000073460000}"/>
    <cellStyle name="Note 2 12 2 8 6" xfId="9614" xr:uid="{00000000-0005-0000-0000-000074460000}"/>
    <cellStyle name="Note 2 12 2 8 7" xfId="6593" xr:uid="{00000000-0005-0000-0000-000075460000}"/>
    <cellStyle name="Note 2 12 2 9" xfId="24865" xr:uid="{00000000-0005-0000-0000-000076460000}"/>
    <cellStyle name="Note 2 12 2 9 2" xfId="3014" xr:uid="{00000000-0005-0000-0000-000077460000}"/>
    <cellStyle name="Note 2 12 2 9 2 2" xfId="15980" xr:uid="{00000000-0005-0000-0000-000078460000}"/>
    <cellStyle name="Note 2 12 2 9 2 3" xfId="19757" xr:uid="{00000000-0005-0000-0000-000079460000}"/>
    <cellStyle name="Note 2 12 2 9 2 4" xfId="19760" xr:uid="{00000000-0005-0000-0000-00007A460000}"/>
    <cellStyle name="Note 2 12 2 9 3" xfId="19762" xr:uid="{00000000-0005-0000-0000-00007B460000}"/>
    <cellStyle name="Note 2 12 2 9 3 2" xfId="4239" xr:uid="{00000000-0005-0000-0000-00007C460000}"/>
    <cellStyle name="Note 2 12 2 9 3 3" xfId="4251" xr:uid="{00000000-0005-0000-0000-00007D460000}"/>
    <cellStyle name="Note 2 12 2 9 3 4" xfId="2792" xr:uid="{00000000-0005-0000-0000-00007E460000}"/>
    <cellStyle name="Note 2 12 2 9 4" xfId="19764" xr:uid="{00000000-0005-0000-0000-00007F460000}"/>
    <cellStyle name="Note 2 12 2 9 4 2" xfId="19766" xr:uid="{00000000-0005-0000-0000-000080460000}"/>
    <cellStyle name="Note 2 12 2 9 4 3" xfId="19768" xr:uid="{00000000-0005-0000-0000-000081460000}"/>
    <cellStyle name="Note 2 12 2 9 5" xfId="19770" xr:uid="{00000000-0005-0000-0000-000082460000}"/>
    <cellStyle name="Note 2 12 2 9 5 2" xfId="19772" xr:uid="{00000000-0005-0000-0000-000083460000}"/>
    <cellStyle name="Note 2 12 2 9 5 3" xfId="24867" xr:uid="{00000000-0005-0000-0000-000084460000}"/>
    <cellStyle name="Note 2 12 2 9 6" xfId="11118" xr:uid="{00000000-0005-0000-0000-000085460000}"/>
    <cellStyle name="Note 2 12 2 9 7" xfId="19775" xr:uid="{00000000-0005-0000-0000-000086460000}"/>
    <cellStyle name="Note 2 12 20" xfId="6612" xr:uid="{00000000-0005-0000-0000-000087460000}"/>
    <cellStyle name="Note 2 12 3" xfId="24868" xr:uid="{00000000-0005-0000-0000-000088460000}"/>
    <cellStyle name="Note 2 12 3 10" xfId="9982" xr:uid="{00000000-0005-0000-0000-000089460000}"/>
    <cellStyle name="Note 2 12 3 10 2" xfId="14285" xr:uid="{00000000-0005-0000-0000-00008A460000}"/>
    <cellStyle name="Note 2 12 3 10 2 2" xfId="4320" xr:uid="{00000000-0005-0000-0000-00008B460000}"/>
    <cellStyle name="Note 2 12 3 10 2 3" xfId="20643" xr:uid="{00000000-0005-0000-0000-00008C460000}"/>
    <cellStyle name="Note 2 12 3 10 2 4" xfId="20651" xr:uid="{00000000-0005-0000-0000-00008D460000}"/>
    <cellStyle name="Note 2 12 3 10 3" xfId="14291" xr:uid="{00000000-0005-0000-0000-00008E460000}"/>
    <cellStyle name="Note 2 12 3 10 3 2" xfId="6499" xr:uid="{00000000-0005-0000-0000-00008F460000}"/>
    <cellStyle name="Note 2 12 3 10 3 3" xfId="20666" xr:uid="{00000000-0005-0000-0000-000090460000}"/>
    <cellStyle name="Note 2 12 3 10 3 4" xfId="20674" xr:uid="{00000000-0005-0000-0000-000091460000}"/>
    <cellStyle name="Note 2 12 3 10 4" xfId="14297" xr:uid="{00000000-0005-0000-0000-000092460000}"/>
    <cellStyle name="Note 2 12 3 10 4 2" xfId="20687" xr:uid="{00000000-0005-0000-0000-000093460000}"/>
    <cellStyle name="Note 2 12 3 10 4 3" xfId="20695" xr:uid="{00000000-0005-0000-0000-000094460000}"/>
    <cellStyle name="Note 2 12 3 10 5" xfId="14302" xr:uid="{00000000-0005-0000-0000-000095460000}"/>
    <cellStyle name="Note 2 12 3 10 5 2" xfId="20715" xr:uid="{00000000-0005-0000-0000-000096460000}"/>
    <cellStyle name="Note 2 12 3 10 5 3" xfId="20727" xr:uid="{00000000-0005-0000-0000-000097460000}"/>
    <cellStyle name="Note 2 12 3 10 6" xfId="14306" xr:uid="{00000000-0005-0000-0000-000098460000}"/>
    <cellStyle name="Note 2 12 3 10 7" xfId="20786" xr:uid="{00000000-0005-0000-0000-000099460000}"/>
    <cellStyle name="Note 2 12 3 11" xfId="9987" xr:uid="{00000000-0005-0000-0000-00009A460000}"/>
    <cellStyle name="Note 2 12 3 11 2" xfId="15157" xr:uid="{00000000-0005-0000-0000-00009B460000}"/>
    <cellStyle name="Note 2 12 3 11 3" xfId="20833" xr:uid="{00000000-0005-0000-0000-00009C460000}"/>
    <cellStyle name="Note 2 12 3 11 4" xfId="20839" xr:uid="{00000000-0005-0000-0000-00009D460000}"/>
    <cellStyle name="Note 2 12 3 12" xfId="1264" xr:uid="{00000000-0005-0000-0000-00009E460000}"/>
    <cellStyle name="Note 2 12 3 12 2" xfId="1271" xr:uid="{00000000-0005-0000-0000-00009F460000}"/>
    <cellStyle name="Note 2 12 3 12 3" xfId="20850" xr:uid="{00000000-0005-0000-0000-0000A0460000}"/>
    <cellStyle name="Note 2 12 3 12 4" xfId="20853" xr:uid="{00000000-0005-0000-0000-0000A1460000}"/>
    <cellStyle name="Note 2 12 3 13" xfId="5164" xr:uid="{00000000-0005-0000-0000-0000A2460000}"/>
    <cellStyle name="Note 2 12 3 13 2" xfId="4392" xr:uid="{00000000-0005-0000-0000-0000A3460000}"/>
    <cellStyle name="Note 2 12 3 13 3" xfId="4408" xr:uid="{00000000-0005-0000-0000-0000A4460000}"/>
    <cellStyle name="Note 2 12 3 14" xfId="5174" xr:uid="{00000000-0005-0000-0000-0000A5460000}"/>
    <cellStyle name="Note 2 12 3 14 2" xfId="4427" xr:uid="{00000000-0005-0000-0000-0000A6460000}"/>
    <cellStyle name="Note 2 12 3 14 3" xfId="4446" xr:uid="{00000000-0005-0000-0000-0000A7460000}"/>
    <cellStyle name="Note 2 12 3 15" xfId="5181" xr:uid="{00000000-0005-0000-0000-0000A8460000}"/>
    <cellStyle name="Note 2 12 3 16" xfId="5734" xr:uid="{00000000-0005-0000-0000-0000A9460000}"/>
    <cellStyle name="Note 2 12 3 2" xfId="9915" xr:uid="{00000000-0005-0000-0000-0000AA460000}"/>
    <cellStyle name="Note 2 12 3 2 2" xfId="9919" xr:uid="{00000000-0005-0000-0000-0000AB460000}"/>
    <cellStyle name="Note 2 12 3 2 2 2" xfId="15521" xr:uid="{00000000-0005-0000-0000-0000AC460000}"/>
    <cellStyle name="Note 2 12 3 2 2 3" xfId="15525" xr:uid="{00000000-0005-0000-0000-0000AD460000}"/>
    <cellStyle name="Note 2 12 3 2 2 4" xfId="15530" xr:uid="{00000000-0005-0000-0000-0000AE460000}"/>
    <cellStyle name="Note 2 12 3 2 3" xfId="9923" xr:uid="{00000000-0005-0000-0000-0000AF460000}"/>
    <cellStyle name="Note 2 12 3 2 3 2" xfId="15539" xr:uid="{00000000-0005-0000-0000-0000B0460000}"/>
    <cellStyle name="Note 2 12 3 2 3 3" xfId="2313" xr:uid="{00000000-0005-0000-0000-0000B1460000}"/>
    <cellStyle name="Note 2 12 3 2 3 4" xfId="15552" xr:uid="{00000000-0005-0000-0000-0000B2460000}"/>
    <cellStyle name="Note 2 12 3 2 4" xfId="15561" xr:uid="{00000000-0005-0000-0000-0000B3460000}"/>
    <cellStyle name="Note 2 12 3 2 4 2" xfId="15564" xr:uid="{00000000-0005-0000-0000-0000B4460000}"/>
    <cellStyle name="Note 2 12 3 2 4 3" xfId="15570" xr:uid="{00000000-0005-0000-0000-0000B5460000}"/>
    <cellStyle name="Note 2 12 3 2 5" xfId="24870" xr:uid="{00000000-0005-0000-0000-0000B6460000}"/>
    <cellStyle name="Note 2 12 3 2 5 2" xfId="24871" xr:uid="{00000000-0005-0000-0000-0000B7460000}"/>
    <cellStyle name="Note 2 12 3 2 5 3" xfId="24872" xr:uid="{00000000-0005-0000-0000-0000B8460000}"/>
    <cellStyle name="Note 2 12 3 2 6" xfId="24873" xr:uid="{00000000-0005-0000-0000-0000B9460000}"/>
    <cellStyle name="Note 2 12 3 2 7" xfId="24820" xr:uid="{00000000-0005-0000-0000-0000BA460000}"/>
    <cellStyle name="Note 2 12 3 3" xfId="9926" xr:uid="{00000000-0005-0000-0000-0000BB460000}"/>
    <cellStyle name="Note 2 12 3 3 2" xfId="15592" xr:uid="{00000000-0005-0000-0000-0000BC460000}"/>
    <cellStyle name="Note 2 12 3 3 2 2" xfId="16065" xr:uid="{00000000-0005-0000-0000-0000BD460000}"/>
    <cellStyle name="Note 2 12 3 3 2 3" xfId="19912" xr:uid="{00000000-0005-0000-0000-0000BE460000}"/>
    <cellStyle name="Note 2 12 3 3 2 4" xfId="19917" xr:uid="{00000000-0005-0000-0000-0000BF460000}"/>
    <cellStyle name="Note 2 12 3 3 3" xfId="19927" xr:uid="{00000000-0005-0000-0000-0000C0460000}"/>
    <cellStyle name="Note 2 12 3 3 3 2" xfId="16071" xr:uid="{00000000-0005-0000-0000-0000C1460000}"/>
    <cellStyle name="Note 2 12 3 3 3 3" xfId="19932" xr:uid="{00000000-0005-0000-0000-0000C2460000}"/>
    <cellStyle name="Note 2 12 3 3 3 4" xfId="19937" xr:uid="{00000000-0005-0000-0000-0000C3460000}"/>
    <cellStyle name="Note 2 12 3 3 4" xfId="19947" xr:uid="{00000000-0005-0000-0000-0000C4460000}"/>
    <cellStyle name="Note 2 12 3 3 4 2" xfId="19949" xr:uid="{00000000-0005-0000-0000-0000C5460000}"/>
    <cellStyle name="Note 2 12 3 3 4 3" xfId="19954" xr:uid="{00000000-0005-0000-0000-0000C6460000}"/>
    <cellStyle name="Note 2 12 3 3 5" xfId="19969" xr:uid="{00000000-0005-0000-0000-0000C7460000}"/>
    <cellStyle name="Note 2 12 3 3 5 2" xfId="19971" xr:uid="{00000000-0005-0000-0000-0000C8460000}"/>
    <cellStyle name="Note 2 12 3 3 5 3" xfId="18840" xr:uid="{00000000-0005-0000-0000-0000C9460000}"/>
    <cellStyle name="Note 2 12 3 3 6" xfId="19983" xr:uid="{00000000-0005-0000-0000-0000CA460000}"/>
    <cellStyle name="Note 2 12 3 3 7" xfId="20002" xr:uid="{00000000-0005-0000-0000-0000CB460000}"/>
    <cellStyle name="Note 2 12 3 4" xfId="9929" xr:uid="{00000000-0005-0000-0000-0000CC460000}"/>
    <cellStyle name="Note 2 12 3 4 2" xfId="5144" xr:uid="{00000000-0005-0000-0000-0000CD460000}"/>
    <cellStyle name="Note 2 12 3 4 2 2" xfId="16094" xr:uid="{00000000-0005-0000-0000-0000CE460000}"/>
    <cellStyle name="Note 2 12 3 4 2 3" xfId="20099" xr:uid="{00000000-0005-0000-0000-0000CF460000}"/>
    <cellStyle name="Note 2 12 3 4 2 4" xfId="20107" xr:uid="{00000000-0005-0000-0000-0000D0460000}"/>
    <cellStyle name="Note 2 12 3 4 3" xfId="20121" xr:uid="{00000000-0005-0000-0000-0000D1460000}"/>
    <cellStyle name="Note 2 12 3 4 3 2" xfId="16100" xr:uid="{00000000-0005-0000-0000-0000D2460000}"/>
    <cellStyle name="Note 2 12 3 4 3 3" xfId="20126" xr:uid="{00000000-0005-0000-0000-0000D3460000}"/>
    <cellStyle name="Note 2 12 3 4 3 4" xfId="20131" xr:uid="{00000000-0005-0000-0000-0000D4460000}"/>
    <cellStyle name="Note 2 12 3 4 4" xfId="20141" xr:uid="{00000000-0005-0000-0000-0000D5460000}"/>
    <cellStyle name="Note 2 12 3 4 4 2" xfId="20143" xr:uid="{00000000-0005-0000-0000-0000D6460000}"/>
    <cellStyle name="Note 2 12 3 4 4 3" xfId="20148" xr:uid="{00000000-0005-0000-0000-0000D7460000}"/>
    <cellStyle name="Note 2 12 3 4 5" xfId="20165" xr:uid="{00000000-0005-0000-0000-0000D8460000}"/>
    <cellStyle name="Note 2 12 3 4 5 2" xfId="20167" xr:uid="{00000000-0005-0000-0000-0000D9460000}"/>
    <cellStyle name="Note 2 12 3 4 5 3" xfId="20172" xr:uid="{00000000-0005-0000-0000-0000DA460000}"/>
    <cellStyle name="Note 2 12 3 4 6" xfId="20188" xr:uid="{00000000-0005-0000-0000-0000DB460000}"/>
    <cellStyle name="Note 2 12 3 4 7" xfId="20210" xr:uid="{00000000-0005-0000-0000-0000DC460000}"/>
    <cellStyle name="Note 2 12 3 5" xfId="9931" xr:uid="{00000000-0005-0000-0000-0000DD460000}"/>
    <cellStyle name="Note 2 12 3 5 2" xfId="15628" xr:uid="{00000000-0005-0000-0000-0000DE460000}"/>
    <cellStyle name="Note 2 12 3 5 2 2" xfId="16114" xr:uid="{00000000-0005-0000-0000-0000DF460000}"/>
    <cellStyle name="Note 2 12 3 5 2 3" xfId="20263" xr:uid="{00000000-0005-0000-0000-0000E0460000}"/>
    <cellStyle name="Note 2 12 3 5 2 4" xfId="20265" xr:uid="{00000000-0005-0000-0000-0000E1460000}"/>
    <cellStyle name="Note 2 12 3 5 3" xfId="20268" xr:uid="{00000000-0005-0000-0000-0000E2460000}"/>
    <cellStyle name="Note 2 12 3 5 3 2" xfId="16119" xr:uid="{00000000-0005-0000-0000-0000E3460000}"/>
    <cellStyle name="Note 2 12 3 5 3 3" xfId="20271" xr:uid="{00000000-0005-0000-0000-0000E4460000}"/>
    <cellStyle name="Note 2 12 3 5 3 4" xfId="24874" xr:uid="{00000000-0005-0000-0000-0000E5460000}"/>
    <cellStyle name="Note 2 12 3 5 4" xfId="20274" xr:uid="{00000000-0005-0000-0000-0000E6460000}"/>
    <cellStyle name="Note 2 12 3 5 4 2" xfId="20277" xr:uid="{00000000-0005-0000-0000-0000E7460000}"/>
    <cellStyle name="Note 2 12 3 5 4 3" xfId="20279" xr:uid="{00000000-0005-0000-0000-0000E8460000}"/>
    <cellStyle name="Note 2 12 3 5 5" xfId="20281" xr:uid="{00000000-0005-0000-0000-0000E9460000}"/>
    <cellStyle name="Note 2 12 3 5 5 2" xfId="24875" xr:uid="{00000000-0005-0000-0000-0000EA460000}"/>
    <cellStyle name="Note 2 12 3 5 5 3" xfId="24876" xr:uid="{00000000-0005-0000-0000-0000EB460000}"/>
    <cellStyle name="Note 2 12 3 5 6" xfId="11126" xr:uid="{00000000-0005-0000-0000-0000EC460000}"/>
    <cellStyle name="Note 2 12 3 5 7" xfId="6607" xr:uid="{00000000-0005-0000-0000-0000ED460000}"/>
    <cellStyle name="Note 2 12 3 6" xfId="24877" xr:uid="{00000000-0005-0000-0000-0000EE460000}"/>
    <cellStyle name="Note 2 12 3 6 2" xfId="15658" xr:uid="{00000000-0005-0000-0000-0000EF460000}"/>
    <cellStyle name="Note 2 12 3 6 2 2" xfId="16130" xr:uid="{00000000-0005-0000-0000-0000F0460000}"/>
    <cellStyle name="Note 2 12 3 6 2 3" xfId="9538" xr:uid="{00000000-0005-0000-0000-0000F1460000}"/>
    <cellStyle name="Note 2 12 3 6 2 4" xfId="9541" xr:uid="{00000000-0005-0000-0000-0000F2460000}"/>
    <cellStyle name="Note 2 12 3 6 3" xfId="20287" xr:uid="{00000000-0005-0000-0000-0000F3460000}"/>
    <cellStyle name="Note 2 12 3 6 3 2" xfId="16135" xr:uid="{00000000-0005-0000-0000-0000F4460000}"/>
    <cellStyle name="Note 2 12 3 6 3 3" xfId="9547" xr:uid="{00000000-0005-0000-0000-0000F5460000}"/>
    <cellStyle name="Note 2 12 3 6 3 4" xfId="9549" xr:uid="{00000000-0005-0000-0000-0000F6460000}"/>
    <cellStyle name="Note 2 12 3 6 4" xfId="20291" xr:uid="{00000000-0005-0000-0000-0000F7460000}"/>
    <cellStyle name="Note 2 12 3 6 4 2" xfId="20294" xr:uid="{00000000-0005-0000-0000-0000F8460000}"/>
    <cellStyle name="Note 2 12 3 6 4 3" xfId="9554" xr:uid="{00000000-0005-0000-0000-0000F9460000}"/>
    <cellStyle name="Note 2 12 3 6 5" xfId="20296" xr:uid="{00000000-0005-0000-0000-0000FA460000}"/>
    <cellStyle name="Note 2 12 3 6 5 2" xfId="24879" xr:uid="{00000000-0005-0000-0000-0000FB460000}"/>
    <cellStyle name="Note 2 12 3 6 5 3" xfId="9558" xr:uid="{00000000-0005-0000-0000-0000FC460000}"/>
    <cellStyle name="Note 2 12 3 6 6" xfId="11130" xr:uid="{00000000-0005-0000-0000-0000FD460000}"/>
    <cellStyle name="Note 2 12 3 6 7" xfId="6617" xr:uid="{00000000-0005-0000-0000-0000FE460000}"/>
    <cellStyle name="Note 2 12 3 7" xfId="24880" xr:uid="{00000000-0005-0000-0000-0000FF460000}"/>
    <cellStyle name="Note 2 12 3 7 2" xfId="15689" xr:uid="{00000000-0005-0000-0000-000000470000}"/>
    <cellStyle name="Note 2 12 3 7 2 2" xfId="16145" xr:uid="{00000000-0005-0000-0000-000001470000}"/>
    <cellStyle name="Note 2 12 3 7 2 3" xfId="20301" xr:uid="{00000000-0005-0000-0000-000002470000}"/>
    <cellStyle name="Note 2 12 3 7 2 4" xfId="20303" xr:uid="{00000000-0005-0000-0000-000003470000}"/>
    <cellStyle name="Note 2 12 3 7 3" xfId="20305" xr:uid="{00000000-0005-0000-0000-000004470000}"/>
    <cellStyle name="Note 2 12 3 7 3 2" xfId="16151" xr:uid="{00000000-0005-0000-0000-000005470000}"/>
    <cellStyle name="Note 2 12 3 7 3 3" xfId="20308" xr:uid="{00000000-0005-0000-0000-000006470000}"/>
    <cellStyle name="Note 2 12 3 7 3 4" xfId="24882" xr:uid="{00000000-0005-0000-0000-000007470000}"/>
    <cellStyle name="Note 2 12 3 7 4" xfId="20310" xr:uid="{00000000-0005-0000-0000-000008470000}"/>
    <cellStyle name="Note 2 12 3 7 4 2" xfId="20312" xr:uid="{00000000-0005-0000-0000-000009470000}"/>
    <cellStyle name="Note 2 12 3 7 4 3" xfId="20314" xr:uid="{00000000-0005-0000-0000-00000A470000}"/>
    <cellStyle name="Note 2 12 3 7 5" xfId="20316" xr:uid="{00000000-0005-0000-0000-00000B470000}"/>
    <cellStyle name="Note 2 12 3 7 5 2" xfId="24883" xr:uid="{00000000-0005-0000-0000-00000C470000}"/>
    <cellStyle name="Note 2 12 3 7 5 3" xfId="24884" xr:uid="{00000000-0005-0000-0000-00000D470000}"/>
    <cellStyle name="Note 2 12 3 7 6" xfId="11135" xr:uid="{00000000-0005-0000-0000-00000E470000}"/>
    <cellStyle name="Note 2 12 3 7 7" xfId="6626" xr:uid="{00000000-0005-0000-0000-00000F470000}"/>
    <cellStyle name="Note 2 12 3 8" xfId="24885" xr:uid="{00000000-0005-0000-0000-000010470000}"/>
    <cellStyle name="Note 2 12 3 8 2" xfId="15711" xr:uid="{00000000-0005-0000-0000-000011470000}"/>
    <cellStyle name="Note 2 12 3 8 2 2" xfId="14252" xr:uid="{00000000-0005-0000-0000-000012470000}"/>
    <cellStyle name="Note 2 12 3 8 2 3" xfId="14256" xr:uid="{00000000-0005-0000-0000-000013470000}"/>
    <cellStyle name="Note 2 12 3 8 2 4" xfId="8471" xr:uid="{00000000-0005-0000-0000-000014470000}"/>
    <cellStyle name="Note 2 12 3 8 3" xfId="20321" xr:uid="{00000000-0005-0000-0000-000015470000}"/>
    <cellStyle name="Note 2 12 3 8 3 2" xfId="16163" xr:uid="{00000000-0005-0000-0000-000016470000}"/>
    <cellStyle name="Note 2 12 3 8 3 3" xfId="20324" xr:uid="{00000000-0005-0000-0000-000017470000}"/>
    <cellStyle name="Note 2 12 3 8 3 4" xfId="8474" xr:uid="{00000000-0005-0000-0000-000018470000}"/>
    <cellStyle name="Note 2 12 3 8 4" xfId="20326" xr:uid="{00000000-0005-0000-0000-000019470000}"/>
    <cellStyle name="Note 2 12 3 8 4 2" xfId="20328" xr:uid="{00000000-0005-0000-0000-00001A470000}"/>
    <cellStyle name="Note 2 12 3 8 4 3" xfId="20330" xr:uid="{00000000-0005-0000-0000-00001B470000}"/>
    <cellStyle name="Note 2 12 3 8 5" xfId="20332" xr:uid="{00000000-0005-0000-0000-00001C470000}"/>
    <cellStyle name="Note 2 12 3 8 5 2" xfId="24887" xr:uid="{00000000-0005-0000-0000-00001D470000}"/>
    <cellStyle name="Note 2 12 3 8 5 3" xfId="24888" xr:uid="{00000000-0005-0000-0000-00001E470000}"/>
    <cellStyle name="Note 2 12 3 8 6" xfId="11139" xr:uid="{00000000-0005-0000-0000-00001F470000}"/>
    <cellStyle name="Note 2 12 3 8 7" xfId="6638" xr:uid="{00000000-0005-0000-0000-000020470000}"/>
    <cellStyle name="Note 2 12 3 9" xfId="24889" xr:uid="{00000000-0005-0000-0000-000021470000}"/>
    <cellStyle name="Note 2 12 3 9 2" xfId="20338" xr:uid="{00000000-0005-0000-0000-000022470000}"/>
    <cellStyle name="Note 2 12 3 9 2 2" xfId="16178" xr:uid="{00000000-0005-0000-0000-000023470000}"/>
    <cellStyle name="Note 2 12 3 9 2 3" xfId="20340" xr:uid="{00000000-0005-0000-0000-000024470000}"/>
    <cellStyle name="Note 2 12 3 9 2 4" xfId="8494" xr:uid="{00000000-0005-0000-0000-000025470000}"/>
    <cellStyle name="Note 2 12 3 9 3" xfId="20342" xr:uid="{00000000-0005-0000-0000-000026470000}"/>
    <cellStyle name="Note 2 12 3 9 3 2" xfId="16186" xr:uid="{00000000-0005-0000-0000-000027470000}"/>
    <cellStyle name="Note 2 12 3 9 3 3" xfId="20344" xr:uid="{00000000-0005-0000-0000-000028470000}"/>
    <cellStyle name="Note 2 12 3 9 3 4" xfId="8497" xr:uid="{00000000-0005-0000-0000-000029470000}"/>
    <cellStyle name="Note 2 12 3 9 4" xfId="20346" xr:uid="{00000000-0005-0000-0000-00002A470000}"/>
    <cellStyle name="Note 2 12 3 9 4 2" xfId="20348" xr:uid="{00000000-0005-0000-0000-00002B470000}"/>
    <cellStyle name="Note 2 12 3 9 4 3" xfId="20350" xr:uid="{00000000-0005-0000-0000-00002C470000}"/>
    <cellStyle name="Note 2 12 3 9 5" xfId="20352" xr:uid="{00000000-0005-0000-0000-00002D470000}"/>
    <cellStyle name="Note 2 12 3 9 5 2" xfId="24891" xr:uid="{00000000-0005-0000-0000-00002E470000}"/>
    <cellStyle name="Note 2 12 3 9 5 3" xfId="24892" xr:uid="{00000000-0005-0000-0000-00002F470000}"/>
    <cellStyle name="Note 2 12 3 9 6" xfId="20354" xr:uid="{00000000-0005-0000-0000-000030470000}"/>
    <cellStyle name="Note 2 12 3 9 7" xfId="20356" xr:uid="{00000000-0005-0000-0000-000031470000}"/>
    <cellStyle name="Note 2 12 4" xfId="24893" xr:uid="{00000000-0005-0000-0000-000032470000}"/>
    <cellStyle name="Note 2 12 4 2" xfId="9966" xr:uid="{00000000-0005-0000-0000-000033470000}"/>
    <cellStyle name="Note 2 12 4 2 2" xfId="9971" xr:uid="{00000000-0005-0000-0000-000034470000}"/>
    <cellStyle name="Note 2 12 4 2 3" xfId="9975" xr:uid="{00000000-0005-0000-0000-000035470000}"/>
    <cellStyle name="Note 2 12 4 2 4" xfId="15145" xr:uid="{00000000-0005-0000-0000-000036470000}"/>
    <cellStyle name="Note 2 12 4 3" xfId="9980" xr:uid="{00000000-0005-0000-0000-000037470000}"/>
    <cellStyle name="Note 2 12 4 3 2" xfId="15149" xr:uid="{00000000-0005-0000-0000-000038470000}"/>
    <cellStyle name="Note 2 12 4 3 3" xfId="15153" xr:uid="{00000000-0005-0000-0000-000039470000}"/>
    <cellStyle name="Note 2 12 4 3 4" xfId="20466" xr:uid="{00000000-0005-0000-0000-00003A470000}"/>
    <cellStyle name="Note 2 12 4 4" xfId="9985" xr:uid="{00000000-0005-0000-0000-00003B470000}"/>
    <cellStyle name="Note 2 12 4 4 2" xfId="14287" xr:uid="{00000000-0005-0000-0000-00003C470000}"/>
    <cellStyle name="Note 2 12 4 4 3" xfId="14293" xr:uid="{00000000-0005-0000-0000-00003D470000}"/>
    <cellStyle name="Note 2 12 4 5" xfId="9990" xr:uid="{00000000-0005-0000-0000-00003E470000}"/>
    <cellStyle name="Note 2 12 4 5 2" xfId="15159" xr:uid="{00000000-0005-0000-0000-00003F470000}"/>
    <cellStyle name="Note 2 12 4 5 3" xfId="20834" xr:uid="{00000000-0005-0000-0000-000040470000}"/>
    <cellStyle name="Note 2 12 4 6" xfId="1262" xr:uid="{00000000-0005-0000-0000-000041470000}"/>
    <cellStyle name="Note 2 12 4 7" xfId="5167" xr:uid="{00000000-0005-0000-0000-000042470000}"/>
    <cellStyle name="Note 2 12 5" xfId="24895" xr:uid="{00000000-0005-0000-0000-000043470000}"/>
    <cellStyle name="Note 2 12 5 2" xfId="10012" xr:uid="{00000000-0005-0000-0000-000044470000}"/>
    <cellStyle name="Note 2 12 5 2 2" xfId="10016" xr:uid="{00000000-0005-0000-0000-000045470000}"/>
    <cellStyle name="Note 2 12 5 2 3" xfId="10019" xr:uid="{00000000-0005-0000-0000-000046470000}"/>
    <cellStyle name="Note 2 12 5 2 4" xfId="16805" xr:uid="{00000000-0005-0000-0000-000047470000}"/>
    <cellStyle name="Note 2 12 5 3" xfId="10022" xr:uid="{00000000-0005-0000-0000-000048470000}"/>
    <cellStyle name="Note 2 12 5 3 2" xfId="16850" xr:uid="{00000000-0005-0000-0000-000049470000}"/>
    <cellStyle name="Note 2 12 5 3 3" xfId="21060" xr:uid="{00000000-0005-0000-0000-00004A470000}"/>
    <cellStyle name="Note 2 12 5 3 4" xfId="21084" xr:uid="{00000000-0005-0000-0000-00004B470000}"/>
    <cellStyle name="Note 2 12 5 4" xfId="10025" xr:uid="{00000000-0005-0000-0000-00004C470000}"/>
    <cellStyle name="Note 2 12 5 4 2" xfId="16880" xr:uid="{00000000-0005-0000-0000-00004D470000}"/>
    <cellStyle name="Note 2 12 5 4 3" xfId="21302" xr:uid="{00000000-0005-0000-0000-00004E470000}"/>
    <cellStyle name="Note 2 12 5 5" xfId="10028" xr:uid="{00000000-0005-0000-0000-00004F470000}"/>
    <cellStyle name="Note 2 12 5 5 2" xfId="16916" xr:uid="{00000000-0005-0000-0000-000050470000}"/>
    <cellStyle name="Note 2 12 5 5 3" xfId="21450" xr:uid="{00000000-0005-0000-0000-000051470000}"/>
    <cellStyle name="Note 2 12 5 6" xfId="24896" xr:uid="{00000000-0005-0000-0000-000052470000}"/>
    <cellStyle name="Note 2 12 5 7" xfId="24897" xr:uid="{00000000-0005-0000-0000-000053470000}"/>
    <cellStyle name="Note 2 12 6" xfId="24899" xr:uid="{00000000-0005-0000-0000-000054470000}"/>
    <cellStyle name="Note 2 12 6 2" xfId="10053" xr:uid="{00000000-0005-0000-0000-000055470000}"/>
    <cellStyle name="Note 2 12 6 2 2" xfId="10058" xr:uid="{00000000-0005-0000-0000-000056470000}"/>
    <cellStyle name="Note 2 12 6 2 3" xfId="10061" xr:uid="{00000000-0005-0000-0000-000057470000}"/>
    <cellStyle name="Note 2 12 6 2 4" xfId="17489" xr:uid="{00000000-0005-0000-0000-000058470000}"/>
    <cellStyle name="Note 2 12 6 3" xfId="10064" xr:uid="{00000000-0005-0000-0000-000059470000}"/>
    <cellStyle name="Note 2 12 6 3 2" xfId="17530" xr:uid="{00000000-0005-0000-0000-00005A470000}"/>
    <cellStyle name="Note 2 12 6 3 3" xfId="21713" xr:uid="{00000000-0005-0000-0000-00005B470000}"/>
    <cellStyle name="Note 2 12 6 3 4" xfId="21735" xr:uid="{00000000-0005-0000-0000-00005C470000}"/>
    <cellStyle name="Note 2 12 6 4" xfId="10067" xr:uid="{00000000-0005-0000-0000-00005D470000}"/>
    <cellStyle name="Note 2 12 6 4 2" xfId="17564" xr:uid="{00000000-0005-0000-0000-00005E470000}"/>
    <cellStyle name="Note 2 12 6 4 3" xfId="21968" xr:uid="{00000000-0005-0000-0000-00005F470000}"/>
    <cellStyle name="Note 2 12 6 5" xfId="10069" xr:uid="{00000000-0005-0000-0000-000060470000}"/>
    <cellStyle name="Note 2 12 6 5 2" xfId="17612" xr:uid="{00000000-0005-0000-0000-000061470000}"/>
    <cellStyle name="Note 2 12 6 5 3" xfId="22102" xr:uid="{00000000-0005-0000-0000-000062470000}"/>
    <cellStyle name="Note 2 12 6 6" xfId="24900" xr:uid="{00000000-0005-0000-0000-000063470000}"/>
    <cellStyle name="Note 2 12 6 7" xfId="24901" xr:uid="{00000000-0005-0000-0000-000064470000}"/>
    <cellStyle name="Note 2 12 7" xfId="24903" xr:uid="{00000000-0005-0000-0000-000065470000}"/>
    <cellStyle name="Note 2 12 7 2" xfId="24906" xr:uid="{00000000-0005-0000-0000-000066470000}"/>
    <cellStyle name="Note 2 12 7 2 2" xfId="17785" xr:uid="{00000000-0005-0000-0000-000067470000}"/>
    <cellStyle name="Note 2 12 7 2 3" xfId="24908" xr:uid="{00000000-0005-0000-0000-000068470000}"/>
    <cellStyle name="Note 2 12 7 2 4" xfId="24910" xr:uid="{00000000-0005-0000-0000-000069470000}"/>
    <cellStyle name="Note 2 12 7 3" xfId="24505" xr:uid="{00000000-0005-0000-0000-00006A470000}"/>
    <cellStyle name="Note 2 12 7 3 2" xfId="10210" xr:uid="{00000000-0005-0000-0000-00006B470000}"/>
    <cellStyle name="Note 2 12 7 3 3" xfId="10221" xr:uid="{00000000-0005-0000-0000-00006C470000}"/>
    <cellStyle name="Note 2 12 7 3 4" xfId="10230" xr:uid="{00000000-0005-0000-0000-00006D470000}"/>
    <cellStyle name="Note 2 12 7 4" xfId="12076" xr:uid="{00000000-0005-0000-0000-00006E470000}"/>
    <cellStyle name="Note 2 12 7 4 2" xfId="17845" xr:uid="{00000000-0005-0000-0000-00006F470000}"/>
    <cellStyle name="Note 2 12 7 4 3" xfId="22538" xr:uid="{00000000-0005-0000-0000-000070470000}"/>
    <cellStyle name="Note 2 12 7 5" xfId="12079" xr:uid="{00000000-0005-0000-0000-000071470000}"/>
    <cellStyle name="Note 2 12 7 5 2" xfId="17881" xr:uid="{00000000-0005-0000-0000-000072470000}"/>
    <cellStyle name="Note 2 12 7 5 3" xfId="22689" xr:uid="{00000000-0005-0000-0000-000073470000}"/>
    <cellStyle name="Note 2 12 7 6" xfId="12081" xr:uid="{00000000-0005-0000-0000-000074470000}"/>
    <cellStyle name="Note 2 12 7 7" xfId="24912" xr:uid="{00000000-0005-0000-0000-000075470000}"/>
    <cellStyle name="Note 2 12 8" xfId="24914" xr:uid="{00000000-0005-0000-0000-000076470000}"/>
    <cellStyle name="Note 2 12 8 2" xfId="24916" xr:uid="{00000000-0005-0000-0000-000077470000}"/>
    <cellStyle name="Note 2 12 8 2 2" xfId="17994" xr:uid="{00000000-0005-0000-0000-000078470000}"/>
    <cellStyle name="Note 2 12 8 2 3" xfId="24918" xr:uid="{00000000-0005-0000-0000-000079470000}"/>
    <cellStyle name="Note 2 12 8 2 4" xfId="24920" xr:uid="{00000000-0005-0000-0000-00007A470000}"/>
    <cellStyle name="Note 2 12 8 3" xfId="24922" xr:uid="{00000000-0005-0000-0000-00007B470000}"/>
    <cellStyle name="Note 2 12 8 3 2" xfId="18026" xr:uid="{00000000-0005-0000-0000-00007C470000}"/>
    <cellStyle name="Note 2 12 8 3 3" xfId="22927" xr:uid="{00000000-0005-0000-0000-00007D470000}"/>
    <cellStyle name="Note 2 12 8 3 4" xfId="22949" xr:uid="{00000000-0005-0000-0000-00007E470000}"/>
    <cellStyle name="Note 2 12 8 4" xfId="12084" xr:uid="{00000000-0005-0000-0000-00007F470000}"/>
    <cellStyle name="Note 2 12 8 4 2" xfId="18062" xr:uid="{00000000-0005-0000-0000-000080470000}"/>
    <cellStyle name="Note 2 12 8 4 3" xfId="23186" xr:uid="{00000000-0005-0000-0000-000081470000}"/>
    <cellStyle name="Note 2 12 8 5" xfId="12087" xr:uid="{00000000-0005-0000-0000-000082470000}"/>
    <cellStyle name="Note 2 12 8 5 2" xfId="18107" xr:uid="{00000000-0005-0000-0000-000083470000}"/>
    <cellStyle name="Note 2 12 8 5 3" xfId="23402" xr:uid="{00000000-0005-0000-0000-000084470000}"/>
    <cellStyle name="Note 2 12 8 6" xfId="5246" xr:uid="{00000000-0005-0000-0000-000085470000}"/>
    <cellStyle name="Note 2 12 8 7" xfId="5258" xr:uid="{00000000-0005-0000-0000-000086470000}"/>
    <cellStyle name="Note 2 12 9" xfId="23323" xr:uid="{00000000-0005-0000-0000-000087470000}"/>
    <cellStyle name="Note 2 12 9 2" xfId="15768" xr:uid="{00000000-0005-0000-0000-000088470000}"/>
    <cellStyle name="Note 2 12 9 2 2" xfId="15771" xr:uid="{00000000-0005-0000-0000-000089470000}"/>
    <cellStyle name="Note 2 12 9 2 3" xfId="15773" xr:uid="{00000000-0005-0000-0000-00008A470000}"/>
    <cellStyle name="Note 2 12 9 2 4" xfId="15775" xr:uid="{00000000-0005-0000-0000-00008B470000}"/>
    <cellStyle name="Note 2 12 9 3" xfId="15779" xr:uid="{00000000-0005-0000-0000-00008C470000}"/>
    <cellStyle name="Note 2 12 9 3 2" xfId="15782" xr:uid="{00000000-0005-0000-0000-00008D470000}"/>
    <cellStyle name="Note 2 12 9 3 3" xfId="15784" xr:uid="{00000000-0005-0000-0000-00008E470000}"/>
    <cellStyle name="Note 2 12 9 3 4" xfId="24924" xr:uid="{00000000-0005-0000-0000-00008F470000}"/>
    <cellStyle name="Note 2 12 9 4" xfId="12094" xr:uid="{00000000-0005-0000-0000-000090470000}"/>
    <cellStyle name="Note 2 12 9 4 2" xfId="15786" xr:uid="{00000000-0005-0000-0000-000091470000}"/>
    <cellStyle name="Note 2 12 9 4 3" xfId="15789" xr:uid="{00000000-0005-0000-0000-000092470000}"/>
    <cellStyle name="Note 2 12 9 5" xfId="12098" xr:uid="{00000000-0005-0000-0000-000093470000}"/>
    <cellStyle name="Note 2 12 9 5 2" xfId="24925" xr:uid="{00000000-0005-0000-0000-000094470000}"/>
    <cellStyle name="Note 2 12 9 5 3" xfId="24927" xr:uid="{00000000-0005-0000-0000-000095470000}"/>
    <cellStyle name="Note 2 12 9 6" xfId="5288" xr:uid="{00000000-0005-0000-0000-000096470000}"/>
    <cellStyle name="Note 2 12 9 7" xfId="5298" xr:uid="{00000000-0005-0000-0000-000097470000}"/>
    <cellStyle name="Note 2 13" xfId="24928" xr:uid="{00000000-0005-0000-0000-000098470000}"/>
    <cellStyle name="Note 2 13 10" xfId="24930" xr:uid="{00000000-0005-0000-0000-000099470000}"/>
    <cellStyle name="Note 2 13 10 2" xfId="24931" xr:uid="{00000000-0005-0000-0000-00009A470000}"/>
    <cellStyle name="Note 2 13 10 2 2" xfId="24932" xr:uid="{00000000-0005-0000-0000-00009B470000}"/>
    <cellStyle name="Note 2 13 10 2 3" xfId="24934" xr:uid="{00000000-0005-0000-0000-00009C470000}"/>
    <cellStyle name="Note 2 13 10 2 4" xfId="24936" xr:uid="{00000000-0005-0000-0000-00009D470000}"/>
    <cellStyle name="Note 2 13 10 3" xfId="24939" xr:uid="{00000000-0005-0000-0000-00009E470000}"/>
    <cellStyle name="Note 2 13 10 3 2" xfId="24940" xr:uid="{00000000-0005-0000-0000-00009F470000}"/>
    <cellStyle name="Note 2 13 10 3 3" xfId="24944" xr:uid="{00000000-0005-0000-0000-0000A0470000}"/>
    <cellStyle name="Note 2 13 10 3 4" xfId="24946" xr:uid="{00000000-0005-0000-0000-0000A1470000}"/>
    <cellStyle name="Note 2 13 10 4" xfId="16890" xr:uid="{00000000-0005-0000-0000-0000A2470000}"/>
    <cellStyle name="Note 2 13 10 4 2" xfId="12324" xr:uid="{00000000-0005-0000-0000-0000A3470000}"/>
    <cellStyle name="Note 2 13 10 4 3" xfId="12329" xr:uid="{00000000-0005-0000-0000-0000A4470000}"/>
    <cellStyle name="Note 2 13 10 5" xfId="16892" xr:uid="{00000000-0005-0000-0000-0000A5470000}"/>
    <cellStyle name="Note 2 13 10 5 2" xfId="12340" xr:uid="{00000000-0005-0000-0000-0000A6470000}"/>
    <cellStyle name="Note 2 13 10 5 3" xfId="12345" xr:uid="{00000000-0005-0000-0000-0000A7470000}"/>
    <cellStyle name="Note 2 13 10 6" xfId="16894" xr:uid="{00000000-0005-0000-0000-0000A8470000}"/>
    <cellStyle name="Note 2 13 10 7" xfId="24950" xr:uid="{00000000-0005-0000-0000-0000A9470000}"/>
    <cellStyle name="Note 2 13 11" xfId="24953" xr:uid="{00000000-0005-0000-0000-0000AA470000}"/>
    <cellStyle name="Note 2 13 11 2" xfId="24954" xr:uid="{00000000-0005-0000-0000-0000AB470000}"/>
    <cellStyle name="Note 2 13 11 2 2" xfId="24955" xr:uid="{00000000-0005-0000-0000-0000AC470000}"/>
    <cellStyle name="Note 2 13 11 2 3" xfId="24957" xr:uid="{00000000-0005-0000-0000-0000AD470000}"/>
    <cellStyle name="Note 2 13 11 2 4" xfId="24959" xr:uid="{00000000-0005-0000-0000-0000AE470000}"/>
    <cellStyle name="Note 2 13 11 3" xfId="24963" xr:uid="{00000000-0005-0000-0000-0000AF470000}"/>
    <cellStyle name="Note 2 13 11 3 2" xfId="350" xr:uid="{00000000-0005-0000-0000-0000B0470000}"/>
    <cellStyle name="Note 2 13 11 3 3" xfId="372" xr:uid="{00000000-0005-0000-0000-0000B1470000}"/>
    <cellStyle name="Note 2 13 11 3 4" xfId="379" xr:uid="{00000000-0005-0000-0000-0000B2470000}"/>
    <cellStyle name="Note 2 13 11 4" xfId="16900" xr:uid="{00000000-0005-0000-0000-0000B3470000}"/>
    <cellStyle name="Note 2 13 11 4 2" xfId="12379" xr:uid="{00000000-0005-0000-0000-0000B4470000}"/>
    <cellStyle name="Note 2 13 11 4 3" xfId="12382" xr:uid="{00000000-0005-0000-0000-0000B5470000}"/>
    <cellStyle name="Note 2 13 11 5" xfId="16902" xr:uid="{00000000-0005-0000-0000-0000B6470000}"/>
    <cellStyle name="Note 2 13 11 5 2" xfId="12391" xr:uid="{00000000-0005-0000-0000-0000B7470000}"/>
    <cellStyle name="Note 2 13 11 5 3" xfId="12394" xr:uid="{00000000-0005-0000-0000-0000B8470000}"/>
    <cellStyle name="Note 2 13 11 6" xfId="24964" xr:uid="{00000000-0005-0000-0000-0000B9470000}"/>
    <cellStyle name="Note 2 13 11 7" xfId="24966" xr:uid="{00000000-0005-0000-0000-0000BA470000}"/>
    <cellStyle name="Note 2 13 12" xfId="24968" xr:uid="{00000000-0005-0000-0000-0000BB470000}"/>
    <cellStyle name="Note 2 13 12 2" xfId="23033" xr:uid="{00000000-0005-0000-0000-0000BC470000}"/>
    <cellStyle name="Note 2 13 12 2 2" xfId="23034" xr:uid="{00000000-0005-0000-0000-0000BD470000}"/>
    <cellStyle name="Note 2 13 12 2 3" xfId="23047" xr:uid="{00000000-0005-0000-0000-0000BE470000}"/>
    <cellStyle name="Note 2 13 12 2 4" xfId="23060" xr:uid="{00000000-0005-0000-0000-0000BF470000}"/>
    <cellStyle name="Note 2 13 12 3" xfId="23087" xr:uid="{00000000-0005-0000-0000-0000C0470000}"/>
    <cellStyle name="Note 2 13 12 3 2" xfId="606" xr:uid="{00000000-0005-0000-0000-0000C1470000}"/>
    <cellStyle name="Note 2 13 12 3 3" xfId="614" xr:uid="{00000000-0005-0000-0000-0000C2470000}"/>
    <cellStyle name="Note 2 13 12 3 4" xfId="493" xr:uid="{00000000-0005-0000-0000-0000C3470000}"/>
    <cellStyle name="Note 2 13 12 4" xfId="16906" xr:uid="{00000000-0005-0000-0000-0000C4470000}"/>
    <cellStyle name="Note 2 13 12 4 2" xfId="12430" xr:uid="{00000000-0005-0000-0000-0000C5470000}"/>
    <cellStyle name="Note 2 13 12 4 3" xfId="12435" xr:uid="{00000000-0005-0000-0000-0000C6470000}"/>
    <cellStyle name="Note 2 13 12 5" xfId="16909" xr:uid="{00000000-0005-0000-0000-0000C7470000}"/>
    <cellStyle name="Note 2 13 12 5 2" xfId="12447" xr:uid="{00000000-0005-0000-0000-0000C8470000}"/>
    <cellStyle name="Note 2 13 12 5 3" xfId="12452" xr:uid="{00000000-0005-0000-0000-0000C9470000}"/>
    <cellStyle name="Note 2 13 12 6" xfId="24969" xr:uid="{00000000-0005-0000-0000-0000CA470000}"/>
    <cellStyle name="Note 2 13 12 7" xfId="24972" xr:uid="{00000000-0005-0000-0000-0000CB470000}"/>
    <cellStyle name="Note 2 13 13" xfId="24975" xr:uid="{00000000-0005-0000-0000-0000CC470000}"/>
    <cellStyle name="Note 2 13 13 2" xfId="23288" xr:uid="{00000000-0005-0000-0000-0000CD470000}"/>
    <cellStyle name="Note 2 13 13 3" xfId="23349" xr:uid="{00000000-0005-0000-0000-0000CE470000}"/>
    <cellStyle name="Note 2 13 13 4" xfId="21436" xr:uid="{00000000-0005-0000-0000-0000CF470000}"/>
    <cellStyle name="Note 2 13 14" xfId="16206" xr:uid="{00000000-0005-0000-0000-0000D0470000}"/>
    <cellStyle name="Note 2 13 14 2" xfId="11241" xr:uid="{00000000-0005-0000-0000-0000D1470000}"/>
    <cellStyle name="Note 2 13 14 3" xfId="11243" xr:uid="{00000000-0005-0000-0000-0000D2470000}"/>
    <cellStyle name="Note 2 13 14 4" xfId="21444" xr:uid="{00000000-0005-0000-0000-0000D3470000}"/>
    <cellStyle name="Note 2 13 15" xfId="16208" xr:uid="{00000000-0005-0000-0000-0000D4470000}"/>
    <cellStyle name="Note 2 13 15 2" xfId="5816" xr:uid="{00000000-0005-0000-0000-0000D5470000}"/>
    <cellStyle name="Note 2 13 15 3" xfId="11247" xr:uid="{00000000-0005-0000-0000-0000D6470000}"/>
    <cellStyle name="Note 2 13 16" xfId="24976" xr:uid="{00000000-0005-0000-0000-0000D7470000}"/>
    <cellStyle name="Note 2 13 16 2" xfId="5835" xr:uid="{00000000-0005-0000-0000-0000D8470000}"/>
    <cellStyle name="Note 2 13 16 3" xfId="24978" xr:uid="{00000000-0005-0000-0000-0000D9470000}"/>
    <cellStyle name="Note 2 13 17" xfId="24979" xr:uid="{00000000-0005-0000-0000-0000DA470000}"/>
    <cellStyle name="Note 2 13 18" xfId="24981" xr:uid="{00000000-0005-0000-0000-0000DB470000}"/>
    <cellStyle name="Note 2 13 19" xfId="24983" xr:uid="{00000000-0005-0000-0000-0000DC470000}"/>
    <cellStyle name="Note 2 13 2" xfId="24985" xr:uid="{00000000-0005-0000-0000-0000DD470000}"/>
    <cellStyle name="Note 2 13 2 10" xfId="13624" xr:uid="{00000000-0005-0000-0000-0000DE470000}"/>
    <cellStyle name="Note 2 13 2 10 2" xfId="13625" xr:uid="{00000000-0005-0000-0000-0000DF470000}"/>
    <cellStyle name="Note 2 13 2 10 2 2" xfId="13628" xr:uid="{00000000-0005-0000-0000-0000E0470000}"/>
    <cellStyle name="Note 2 13 2 10 2 3" xfId="13631" xr:uid="{00000000-0005-0000-0000-0000E1470000}"/>
    <cellStyle name="Note 2 13 2 10 2 4" xfId="13634" xr:uid="{00000000-0005-0000-0000-0000E2470000}"/>
    <cellStyle name="Note 2 13 2 10 3" xfId="13637" xr:uid="{00000000-0005-0000-0000-0000E3470000}"/>
    <cellStyle name="Note 2 13 2 10 3 2" xfId="13640" xr:uid="{00000000-0005-0000-0000-0000E4470000}"/>
    <cellStyle name="Note 2 13 2 10 3 3" xfId="13643" xr:uid="{00000000-0005-0000-0000-0000E5470000}"/>
    <cellStyle name="Note 2 13 2 10 3 4" xfId="13647" xr:uid="{00000000-0005-0000-0000-0000E6470000}"/>
    <cellStyle name="Note 2 13 2 10 4" xfId="13648" xr:uid="{00000000-0005-0000-0000-0000E7470000}"/>
    <cellStyle name="Note 2 13 2 10 4 2" xfId="13651" xr:uid="{00000000-0005-0000-0000-0000E8470000}"/>
    <cellStyle name="Note 2 13 2 10 4 3" xfId="13654" xr:uid="{00000000-0005-0000-0000-0000E9470000}"/>
    <cellStyle name="Note 2 13 2 10 5" xfId="13657" xr:uid="{00000000-0005-0000-0000-0000EA470000}"/>
    <cellStyle name="Note 2 13 2 10 5 2" xfId="13661" xr:uid="{00000000-0005-0000-0000-0000EB470000}"/>
    <cellStyle name="Note 2 13 2 10 5 3" xfId="13663" xr:uid="{00000000-0005-0000-0000-0000EC470000}"/>
    <cellStyle name="Note 2 13 2 10 6" xfId="13664" xr:uid="{00000000-0005-0000-0000-0000ED470000}"/>
    <cellStyle name="Note 2 13 2 10 7" xfId="13668" xr:uid="{00000000-0005-0000-0000-0000EE470000}"/>
    <cellStyle name="Note 2 13 2 11" xfId="13672" xr:uid="{00000000-0005-0000-0000-0000EF470000}"/>
    <cellStyle name="Note 2 13 2 11 2" xfId="13673" xr:uid="{00000000-0005-0000-0000-0000F0470000}"/>
    <cellStyle name="Note 2 13 2 11 3" xfId="13682" xr:uid="{00000000-0005-0000-0000-0000F1470000}"/>
    <cellStyle name="Note 2 13 2 11 4" xfId="13690" xr:uid="{00000000-0005-0000-0000-0000F2470000}"/>
    <cellStyle name="Note 2 13 2 12" xfId="10161" xr:uid="{00000000-0005-0000-0000-0000F3470000}"/>
    <cellStyle name="Note 2 13 2 12 2" xfId="12685" xr:uid="{00000000-0005-0000-0000-0000F4470000}"/>
    <cellStyle name="Note 2 13 2 12 3" xfId="12689" xr:uid="{00000000-0005-0000-0000-0000F5470000}"/>
    <cellStyle name="Note 2 13 2 12 4" xfId="13712" xr:uid="{00000000-0005-0000-0000-0000F6470000}"/>
    <cellStyle name="Note 2 13 2 13" xfId="22712" xr:uid="{00000000-0005-0000-0000-0000F7470000}"/>
    <cellStyle name="Note 2 13 2 13 2" xfId="12697" xr:uid="{00000000-0005-0000-0000-0000F8470000}"/>
    <cellStyle name="Note 2 13 2 13 3" xfId="12700" xr:uid="{00000000-0005-0000-0000-0000F9470000}"/>
    <cellStyle name="Note 2 13 2 14" xfId="24987" xr:uid="{00000000-0005-0000-0000-0000FA470000}"/>
    <cellStyle name="Note 2 13 2 14 2" xfId="12707" xr:uid="{00000000-0005-0000-0000-0000FB470000}"/>
    <cellStyle name="Note 2 13 2 14 3" xfId="24988" xr:uid="{00000000-0005-0000-0000-0000FC470000}"/>
    <cellStyle name="Note 2 13 2 15" xfId="24989" xr:uid="{00000000-0005-0000-0000-0000FD470000}"/>
    <cellStyle name="Note 2 13 2 16" xfId="24990" xr:uid="{00000000-0005-0000-0000-0000FE470000}"/>
    <cellStyle name="Note 2 13 2 2" xfId="10743" xr:uid="{00000000-0005-0000-0000-0000FF470000}"/>
    <cellStyle name="Note 2 13 2 2 2" xfId="10745" xr:uid="{00000000-0005-0000-0000-000000480000}"/>
    <cellStyle name="Note 2 13 2 2 2 2" xfId="16420" xr:uid="{00000000-0005-0000-0000-000001480000}"/>
    <cellStyle name="Note 2 13 2 2 2 3" xfId="24991" xr:uid="{00000000-0005-0000-0000-000002480000}"/>
    <cellStyle name="Note 2 13 2 2 2 4" xfId="24993" xr:uid="{00000000-0005-0000-0000-000003480000}"/>
    <cellStyle name="Note 2 13 2 2 3" xfId="3528" xr:uid="{00000000-0005-0000-0000-000004480000}"/>
    <cellStyle name="Note 2 13 2 2 3 2" xfId="10847" xr:uid="{00000000-0005-0000-0000-000005480000}"/>
    <cellStyle name="Note 2 13 2 2 3 3" xfId="24995" xr:uid="{00000000-0005-0000-0000-000006480000}"/>
    <cellStyle name="Note 2 13 2 2 3 4" xfId="24996" xr:uid="{00000000-0005-0000-0000-000007480000}"/>
    <cellStyle name="Note 2 13 2 2 4" xfId="3531" xr:uid="{00000000-0005-0000-0000-000008480000}"/>
    <cellStyle name="Note 2 13 2 2 4 2" xfId="10860" xr:uid="{00000000-0005-0000-0000-000009480000}"/>
    <cellStyle name="Note 2 13 2 2 4 3" xfId="24997" xr:uid="{00000000-0005-0000-0000-00000A480000}"/>
    <cellStyle name="Note 2 13 2 2 5" xfId="19660" xr:uid="{00000000-0005-0000-0000-00000B480000}"/>
    <cellStyle name="Note 2 13 2 2 5 2" xfId="19662" xr:uid="{00000000-0005-0000-0000-00000C480000}"/>
    <cellStyle name="Note 2 13 2 2 5 3" xfId="24998" xr:uid="{00000000-0005-0000-0000-00000D480000}"/>
    <cellStyle name="Note 2 13 2 2 6" xfId="24999" xr:uid="{00000000-0005-0000-0000-00000E480000}"/>
    <cellStyle name="Note 2 13 2 2 7" xfId="25000" xr:uid="{00000000-0005-0000-0000-00000F480000}"/>
    <cellStyle name="Note 2 13 2 3" xfId="10747" xr:uid="{00000000-0005-0000-0000-000010480000}"/>
    <cellStyle name="Note 2 13 2 3 2" xfId="13502" xr:uid="{00000000-0005-0000-0000-000011480000}"/>
    <cellStyle name="Note 2 13 2 3 2 2" xfId="13504" xr:uid="{00000000-0005-0000-0000-000012480000}"/>
    <cellStyle name="Note 2 13 2 3 2 3" xfId="13507" xr:uid="{00000000-0005-0000-0000-000013480000}"/>
    <cellStyle name="Note 2 13 2 3 2 4" xfId="13511" xr:uid="{00000000-0005-0000-0000-000014480000}"/>
    <cellStyle name="Note 2 13 2 3 3" xfId="3535" xr:uid="{00000000-0005-0000-0000-000015480000}"/>
    <cellStyle name="Note 2 13 2 3 3 2" xfId="13513" xr:uid="{00000000-0005-0000-0000-000016480000}"/>
    <cellStyle name="Note 2 13 2 3 3 3" xfId="13517" xr:uid="{00000000-0005-0000-0000-000017480000}"/>
    <cellStyle name="Note 2 13 2 3 3 4" xfId="25001" xr:uid="{00000000-0005-0000-0000-000018480000}"/>
    <cellStyle name="Note 2 13 2 3 4" xfId="3538" xr:uid="{00000000-0005-0000-0000-000019480000}"/>
    <cellStyle name="Note 2 13 2 3 4 2" xfId="13518" xr:uid="{00000000-0005-0000-0000-00001A480000}"/>
    <cellStyle name="Note 2 13 2 3 4 3" xfId="13522" xr:uid="{00000000-0005-0000-0000-00001B480000}"/>
    <cellStyle name="Note 2 13 2 3 5" xfId="13524" xr:uid="{00000000-0005-0000-0000-00001C480000}"/>
    <cellStyle name="Note 2 13 2 3 5 2" xfId="25002" xr:uid="{00000000-0005-0000-0000-00001D480000}"/>
    <cellStyle name="Note 2 13 2 3 5 3" xfId="25004" xr:uid="{00000000-0005-0000-0000-00001E480000}"/>
    <cellStyle name="Note 2 13 2 3 6" xfId="13526" xr:uid="{00000000-0005-0000-0000-00001F480000}"/>
    <cellStyle name="Note 2 13 2 3 7" xfId="25005" xr:uid="{00000000-0005-0000-0000-000020480000}"/>
    <cellStyle name="Note 2 13 2 4" xfId="10749" xr:uid="{00000000-0005-0000-0000-000021480000}"/>
    <cellStyle name="Note 2 13 2 4 2" xfId="25006" xr:uid="{00000000-0005-0000-0000-000022480000}"/>
    <cellStyle name="Note 2 13 2 4 2 2" xfId="16464" xr:uid="{00000000-0005-0000-0000-000023480000}"/>
    <cellStyle name="Note 2 13 2 4 2 3" xfId="25008" xr:uid="{00000000-0005-0000-0000-000024480000}"/>
    <cellStyle name="Note 2 13 2 4 2 4" xfId="25009" xr:uid="{00000000-0005-0000-0000-000025480000}"/>
    <cellStyle name="Note 2 13 2 4 3" xfId="25010" xr:uid="{00000000-0005-0000-0000-000026480000}"/>
    <cellStyle name="Note 2 13 2 4 3 2" xfId="16469" xr:uid="{00000000-0005-0000-0000-000027480000}"/>
    <cellStyle name="Note 2 13 2 4 3 3" xfId="25011" xr:uid="{00000000-0005-0000-0000-000028480000}"/>
    <cellStyle name="Note 2 13 2 4 3 4" xfId="25012" xr:uid="{00000000-0005-0000-0000-000029480000}"/>
    <cellStyle name="Note 2 13 2 4 4" xfId="25013" xr:uid="{00000000-0005-0000-0000-00002A480000}"/>
    <cellStyle name="Note 2 13 2 4 4 2" xfId="25014" xr:uid="{00000000-0005-0000-0000-00002B480000}"/>
    <cellStyle name="Note 2 13 2 4 4 3" xfId="25015" xr:uid="{00000000-0005-0000-0000-00002C480000}"/>
    <cellStyle name="Note 2 13 2 4 5" xfId="25016" xr:uid="{00000000-0005-0000-0000-00002D480000}"/>
    <cellStyle name="Note 2 13 2 4 5 2" xfId="25017" xr:uid="{00000000-0005-0000-0000-00002E480000}"/>
    <cellStyle name="Note 2 13 2 4 5 3" xfId="25018" xr:uid="{00000000-0005-0000-0000-00002F480000}"/>
    <cellStyle name="Note 2 13 2 4 6" xfId="25019" xr:uid="{00000000-0005-0000-0000-000030480000}"/>
    <cellStyle name="Note 2 13 2 4 7" xfId="25020" xr:uid="{00000000-0005-0000-0000-000031480000}"/>
    <cellStyle name="Note 2 13 2 5" xfId="10234" xr:uid="{00000000-0005-0000-0000-000032480000}"/>
    <cellStyle name="Note 2 13 2 5 2" xfId="22336" xr:uid="{00000000-0005-0000-0000-000033480000}"/>
    <cellStyle name="Note 2 13 2 5 2 2" xfId="16492" xr:uid="{00000000-0005-0000-0000-000034480000}"/>
    <cellStyle name="Note 2 13 2 5 2 3" xfId="25021" xr:uid="{00000000-0005-0000-0000-000035480000}"/>
    <cellStyle name="Note 2 13 2 5 2 4" xfId="25022" xr:uid="{00000000-0005-0000-0000-000036480000}"/>
    <cellStyle name="Note 2 13 2 5 3" xfId="22339" xr:uid="{00000000-0005-0000-0000-000037480000}"/>
    <cellStyle name="Note 2 13 2 5 3 2" xfId="16507" xr:uid="{00000000-0005-0000-0000-000038480000}"/>
    <cellStyle name="Note 2 13 2 5 3 3" xfId="17349" xr:uid="{00000000-0005-0000-0000-000039480000}"/>
    <cellStyle name="Note 2 13 2 5 3 4" xfId="17352" xr:uid="{00000000-0005-0000-0000-00003A480000}"/>
    <cellStyle name="Note 2 13 2 5 4" xfId="22341" xr:uid="{00000000-0005-0000-0000-00003B480000}"/>
    <cellStyle name="Note 2 13 2 5 4 2" xfId="25024" xr:uid="{00000000-0005-0000-0000-00003C480000}"/>
    <cellStyle name="Note 2 13 2 5 4 3" xfId="25026" xr:uid="{00000000-0005-0000-0000-00003D480000}"/>
    <cellStyle name="Note 2 13 2 5 5" xfId="25028" xr:uid="{00000000-0005-0000-0000-00003E480000}"/>
    <cellStyle name="Note 2 13 2 5 5 2" xfId="25029" xr:uid="{00000000-0005-0000-0000-00003F480000}"/>
    <cellStyle name="Note 2 13 2 5 5 3" xfId="25030" xr:uid="{00000000-0005-0000-0000-000040480000}"/>
    <cellStyle name="Note 2 13 2 5 6" xfId="11370" xr:uid="{00000000-0005-0000-0000-000041480000}"/>
    <cellStyle name="Note 2 13 2 5 7" xfId="11372" xr:uid="{00000000-0005-0000-0000-000042480000}"/>
    <cellStyle name="Note 2 13 2 6" xfId="10237" xr:uid="{00000000-0005-0000-0000-000043480000}"/>
    <cellStyle name="Note 2 13 2 6 2" xfId="22343" xr:uid="{00000000-0005-0000-0000-000044480000}"/>
    <cellStyle name="Note 2 13 2 6 2 2" xfId="16540" xr:uid="{00000000-0005-0000-0000-000045480000}"/>
    <cellStyle name="Note 2 13 2 6 2 3" xfId="25031" xr:uid="{00000000-0005-0000-0000-000046480000}"/>
    <cellStyle name="Note 2 13 2 6 2 4" xfId="25032" xr:uid="{00000000-0005-0000-0000-000047480000}"/>
    <cellStyle name="Note 2 13 2 6 3" xfId="22345" xr:uid="{00000000-0005-0000-0000-000048480000}"/>
    <cellStyle name="Note 2 13 2 6 3 2" xfId="1353" xr:uid="{00000000-0005-0000-0000-000049480000}"/>
    <cellStyle name="Note 2 13 2 6 3 3" xfId="1358" xr:uid="{00000000-0005-0000-0000-00004A480000}"/>
    <cellStyle name="Note 2 13 2 6 3 4" xfId="1380" xr:uid="{00000000-0005-0000-0000-00004B480000}"/>
    <cellStyle name="Note 2 13 2 6 4" xfId="22347" xr:uid="{00000000-0005-0000-0000-00004C480000}"/>
    <cellStyle name="Note 2 13 2 6 4 2" xfId="6016" xr:uid="{00000000-0005-0000-0000-00004D480000}"/>
    <cellStyle name="Note 2 13 2 6 4 3" xfId="25034" xr:uid="{00000000-0005-0000-0000-00004E480000}"/>
    <cellStyle name="Note 2 13 2 6 5" xfId="25035" xr:uid="{00000000-0005-0000-0000-00004F480000}"/>
    <cellStyle name="Note 2 13 2 6 5 2" xfId="6022" xr:uid="{00000000-0005-0000-0000-000050480000}"/>
    <cellStyle name="Note 2 13 2 6 5 3" xfId="25036" xr:uid="{00000000-0005-0000-0000-000051480000}"/>
    <cellStyle name="Note 2 13 2 6 6" xfId="11376" xr:uid="{00000000-0005-0000-0000-000052480000}"/>
    <cellStyle name="Note 2 13 2 6 7" xfId="11378" xr:uid="{00000000-0005-0000-0000-000053480000}"/>
    <cellStyle name="Note 2 13 2 7" xfId="22349" xr:uid="{00000000-0005-0000-0000-000054480000}"/>
    <cellStyle name="Note 2 13 2 7 2" xfId="22351" xr:uid="{00000000-0005-0000-0000-000055480000}"/>
    <cellStyle name="Note 2 13 2 7 2 2" xfId="16545" xr:uid="{00000000-0005-0000-0000-000056480000}"/>
    <cellStyle name="Note 2 13 2 7 2 3" xfId="25037" xr:uid="{00000000-0005-0000-0000-000057480000}"/>
    <cellStyle name="Note 2 13 2 7 2 4" xfId="25038" xr:uid="{00000000-0005-0000-0000-000058480000}"/>
    <cellStyle name="Note 2 13 2 7 3" xfId="22353" xr:uid="{00000000-0005-0000-0000-000059480000}"/>
    <cellStyle name="Note 2 13 2 7 3 2" xfId="16547" xr:uid="{00000000-0005-0000-0000-00005A480000}"/>
    <cellStyle name="Note 2 13 2 7 3 3" xfId="25039" xr:uid="{00000000-0005-0000-0000-00005B480000}"/>
    <cellStyle name="Note 2 13 2 7 3 4" xfId="25040" xr:uid="{00000000-0005-0000-0000-00005C480000}"/>
    <cellStyle name="Note 2 13 2 7 4" xfId="25041" xr:uid="{00000000-0005-0000-0000-00005D480000}"/>
    <cellStyle name="Note 2 13 2 7 4 2" xfId="25042" xr:uid="{00000000-0005-0000-0000-00005E480000}"/>
    <cellStyle name="Note 2 13 2 7 4 3" xfId="25043" xr:uid="{00000000-0005-0000-0000-00005F480000}"/>
    <cellStyle name="Note 2 13 2 7 5" xfId="25044" xr:uid="{00000000-0005-0000-0000-000060480000}"/>
    <cellStyle name="Note 2 13 2 7 5 2" xfId="25045" xr:uid="{00000000-0005-0000-0000-000061480000}"/>
    <cellStyle name="Note 2 13 2 7 5 3" xfId="25046" xr:uid="{00000000-0005-0000-0000-000062480000}"/>
    <cellStyle name="Note 2 13 2 7 6" xfId="11382" xr:uid="{00000000-0005-0000-0000-000063480000}"/>
    <cellStyle name="Note 2 13 2 7 7" xfId="11384" xr:uid="{00000000-0005-0000-0000-000064480000}"/>
    <cellStyle name="Note 2 13 2 8" xfId="22355" xr:uid="{00000000-0005-0000-0000-000065480000}"/>
    <cellStyle name="Note 2 13 2 8 2" xfId="13746" xr:uid="{00000000-0005-0000-0000-000066480000}"/>
    <cellStyle name="Note 2 13 2 8 2 2" xfId="13749" xr:uid="{00000000-0005-0000-0000-000067480000}"/>
    <cellStyle name="Note 2 13 2 8 2 3" xfId="13751" xr:uid="{00000000-0005-0000-0000-000068480000}"/>
    <cellStyle name="Note 2 13 2 8 2 4" xfId="13753" xr:uid="{00000000-0005-0000-0000-000069480000}"/>
    <cellStyle name="Note 2 13 2 8 3" xfId="13756" xr:uid="{00000000-0005-0000-0000-00006A480000}"/>
    <cellStyle name="Note 2 13 2 8 3 2" xfId="13759" xr:uid="{00000000-0005-0000-0000-00006B480000}"/>
    <cellStyle name="Note 2 13 2 8 3 3" xfId="13761" xr:uid="{00000000-0005-0000-0000-00006C480000}"/>
    <cellStyle name="Note 2 13 2 8 3 4" xfId="25047" xr:uid="{00000000-0005-0000-0000-00006D480000}"/>
    <cellStyle name="Note 2 13 2 8 4" xfId="13763" xr:uid="{00000000-0005-0000-0000-00006E480000}"/>
    <cellStyle name="Note 2 13 2 8 4 2" xfId="13765" xr:uid="{00000000-0005-0000-0000-00006F480000}"/>
    <cellStyle name="Note 2 13 2 8 4 3" xfId="13767" xr:uid="{00000000-0005-0000-0000-000070480000}"/>
    <cellStyle name="Note 2 13 2 8 5" xfId="13769" xr:uid="{00000000-0005-0000-0000-000071480000}"/>
    <cellStyle name="Note 2 13 2 8 5 2" xfId="25048" xr:uid="{00000000-0005-0000-0000-000072480000}"/>
    <cellStyle name="Note 2 13 2 8 5 3" xfId="25049" xr:uid="{00000000-0005-0000-0000-000073480000}"/>
    <cellStyle name="Note 2 13 2 8 6" xfId="11388" xr:uid="{00000000-0005-0000-0000-000074480000}"/>
    <cellStyle name="Note 2 13 2 8 7" xfId="11390" xr:uid="{00000000-0005-0000-0000-000075480000}"/>
    <cellStyle name="Note 2 13 2 9" xfId="22357" xr:uid="{00000000-0005-0000-0000-000076480000}"/>
    <cellStyle name="Note 2 13 2 9 2" xfId="25050" xr:uid="{00000000-0005-0000-0000-000077480000}"/>
    <cellStyle name="Note 2 13 2 9 2 2" xfId="16585" xr:uid="{00000000-0005-0000-0000-000078480000}"/>
    <cellStyle name="Note 2 13 2 9 2 3" xfId="25051" xr:uid="{00000000-0005-0000-0000-000079480000}"/>
    <cellStyle name="Note 2 13 2 9 2 4" xfId="25052" xr:uid="{00000000-0005-0000-0000-00007A480000}"/>
    <cellStyle name="Note 2 13 2 9 3" xfId="25053" xr:uid="{00000000-0005-0000-0000-00007B480000}"/>
    <cellStyle name="Note 2 13 2 9 3 2" xfId="16590" xr:uid="{00000000-0005-0000-0000-00007C480000}"/>
    <cellStyle name="Note 2 13 2 9 3 3" xfId="25054" xr:uid="{00000000-0005-0000-0000-00007D480000}"/>
    <cellStyle name="Note 2 13 2 9 3 4" xfId="25055" xr:uid="{00000000-0005-0000-0000-00007E480000}"/>
    <cellStyle name="Note 2 13 2 9 4" xfId="23423" xr:uid="{00000000-0005-0000-0000-00007F480000}"/>
    <cellStyle name="Note 2 13 2 9 4 2" xfId="23425" xr:uid="{00000000-0005-0000-0000-000080480000}"/>
    <cellStyle name="Note 2 13 2 9 4 3" xfId="23430" xr:uid="{00000000-0005-0000-0000-000081480000}"/>
    <cellStyle name="Note 2 13 2 9 5" xfId="23435" xr:uid="{00000000-0005-0000-0000-000082480000}"/>
    <cellStyle name="Note 2 13 2 9 5 2" xfId="23666" xr:uid="{00000000-0005-0000-0000-000083480000}"/>
    <cellStyle name="Note 2 13 2 9 5 3" xfId="23668" xr:uid="{00000000-0005-0000-0000-000084480000}"/>
    <cellStyle name="Note 2 13 2 9 6" xfId="23437" xr:uid="{00000000-0005-0000-0000-000085480000}"/>
    <cellStyle name="Note 2 13 2 9 7" xfId="23439" xr:uid="{00000000-0005-0000-0000-000086480000}"/>
    <cellStyle name="Note 2 13 20" xfId="16209" xr:uid="{00000000-0005-0000-0000-000087480000}"/>
    <cellStyle name="Note 2 13 3" xfId="25056" xr:uid="{00000000-0005-0000-0000-000088480000}"/>
    <cellStyle name="Note 2 13 3 10" xfId="2665" xr:uid="{00000000-0005-0000-0000-000089480000}"/>
    <cellStyle name="Note 2 13 3 10 2" xfId="25058" xr:uid="{00000000-0005-0000-0000-00008A480000}"/>
    <cellStyle name="Note 2 13 3 10 2 2" xfId="25060" xr:uid="{00000000-0005-0000-0000-00008B480000}"/>
    <cellStyle name="Note 2 13 3 10 2 3" xfId="25062" xr:uid="{00000000-0005-0000-0000-00008C480000}"/>
    <cellStyle name="Note 2 13 3 10 2 4" xfId="25064" xr:uid="{00000000-0005-0000-0000-00008D480000}"/>
    <cellStyle name="Note 2 13 3 10 3" xfId="25066" xr:uid="{00000000-0005-0000-0000-00008E480000}"/>
    <cellStyle name="Note 2 13 3 10 3 2" xfId="25069" xr:uid="{00000000-0005-0000-0000-00008F480000}"/>
    <cellStyle name="Note 2 13 3 10 3 3" xfId="25071" xr:uid="{00000000-0005-0000-0000-000090480000}"/>
    <cellStyle name="Note 2 13 3 10 3 4" xfId="25073" xr:uid="{00000000-0005-0000-0000-000091480000}"/>
    <cellStyle name="Note 2 13 3 10 4" xfId="25074" xr:uid="{00000000-0005-0000-0000-000092480000}"/>
    <cellStyle name="Note 2 13 3 10 4 2" xfId="25077" xr:uid="{00000000-0005-0000-0000-000093480000}"/>
    <cellStyle name="Note 2 13 3 10 4 3" xfId="25079" xr:uid="{00000000-0005-0000-0000-000094480000}"/>
    <cellStyle name="Note 2 13 3 10 5" xfId="19153" xr:uid="{00000000-0005-0000-0000-000095480000}"/>
    <cellStyle name="Note 2 13 3 10 5 2" xfId="19071" xr:uid="{00000000-0005-0000-0000-000096480000}"/>
    <cellStyle name="Note 2 13 3 10 5 3" xfId="25081" xr:uid="{00000000-0005-0000-0000-000097480000}"/>
    <cellStyle name="Note 2 13 3 10 6" xfId="19156" xr:uid="{00000000-0005-0000-0000-000098480000}"/>
    <cellStyle name="Note 2 13 3 10 7" xfId="19159" xr:uid="{00000000-0005-0000-0000-000099480000}"/>
    <cellStyle name="Note 2 13 3 11" xfId="2674" xr:uid="{00000000-0005-0000-0000-00009A480000}"/>
    <cellStyle name="Note 2 13 3 11 2" xfId="25082" xr:uid="{00000000-0005-0000-0000-00009B480000}"/>
    <cellStyle name="Note 2 13 3 11 3" xfId="25084" xr:uid="{00000000-0005-0000-0000-00009C480000}"/>
    <cellStyle name="Note 2 13 3 11 4" xfId="25087" xr:uid="{00000000-0005-0000-0000-00009D480000}"/>
    <cellStyle name="Note 2 13 3 12" xfId="25090" xr:uid="{00000000-0005-0000-0000-00009E480000}"/>
    <cellStyle name="Note 2 13 3 12 2" xfId="25091" xr:uid="{00000000-0005-0000-0000-00009F480000}"/>
    <cellStyle name="Note 2 13 3 12 3" xfId="25093" xr:uid="{00000000-0005-0000-0000-0000A0480000}"/>
    <cellStyle name="Note 2 13 3 12 4" xfId="25095" xr:uid="{00000000-0005-0000-0000-0000A1480000}"/>
    <cellStyle name="Note 2 13 3 13" xfId="25096" xr:uid="{00000000-0005-0000-0000-0000A2480000}"/>
    <cellStyle name="Note 2 13 3 13 2" xfId="25097" xr:uid="{00000000-0005-0000-0000-0000A3480000}"/>
    <cellStyle name="Note 2 13 3 13 3" xfId="25099" xr:uid="{00000000-0005-0000-0000-0000A4480000}"/>
    <cellStyle name="Note 2 13 3 14" xfId="25101" xr:uid="{00000000-0005-0000-0000-0000A5480000}"/>
    <cellStyle name="Note 2 13 3 14 2" xfId="25102" xr:uid="{00000000-0005-0000-0000-0000A6480000}"/>
    <cellStyle name="Note 2 13 3 14 3" xfId="25104" xr:uid="{00000000-0005-0000-0000-0000A7480000}"/>
    <cellStyle name="Note 2 13 3 15" xfId="25105" xr:uid="{00000000-0005-0000-0000-0000A8480000}"/>
    <cellStyle name="Note 2 13 3 16" xfId="25106" xr:uid="{00000000-0005-0000-0000-0000A9480000}"/>
    <cellStyle name="Note 2 13 3 2" xfId="1067" xr:uid="{00000000-0005-0000-0000-0000AA480000}"/>
    <cellStyle name="Note 2 13 3 2 2" xfId="10761" xr:uid="{00000000-0005-0000-0000-0000AB480000}"/>
    <cellStyle name="Note 2 13 3 2 2 2" xfId="16651" xr:uid="{00000000-0005-0000-0000-0000AC480000}"/>
    <cellStyle name="Note 2 13 3 2 2 3" xfId="25107" xr:uid="{00000000-0005-0000-0000-0000AD480000}"/>
    <cellStyle name="Note 2 13 3 2 2 4" xfId="25108" xr:uid="{00000000-0005-0000-0000-0000AE480000}"/>
    <cellStyle name="Note 2 13 3 2 3" xfId="10764" xr:uid="{00000000-0005-0000-0000-0000AF480000}"/>
    <cellStyle name="Note 2 13 3 2 3 2" xfId="11657" xr:uid="{00000000-0005-0000-0000-0000B0480000}"/>
    <cellStyle name="Note 2 13 3 2 3 3" xfId="2409" xr:uid="{00000000-0005-0000-0000-0000B1480000}"/>
    <cellStyle name="Note 2 13 3 2 3 4" xfId="2419" xr:uid="{00000000-0005-0000-0000-0000B2480000}"/>
    <cellStyle name="Note 2 13 3 2 4" xfId="3499" xr:uid="{00000000-0005-0000-0000-0000B3480000}"/>
    <cellStyle name="Note 2 13 3 2 4 2" xfId="11671" xr:uid="{00000000-0005-0000-0000-0000B4480000}"/>
    <cellStyle name="Note 2 13 3 2 4 3" xfId="25110" xr:uid="{00000000-0005-0000-0000-0000B5480000}"/>
    <cellStyle name="Note 2 13 3 2 5" xfId="3502" xr:uid="{00000000-0005-0000-0000-0000B6480000}"/>
    <cellStyle name="Note 2 13 3 2 5 2" xfId="15189" xr:uid="{00000000-0005-0000-0000-0000B7480000}"/>
    <cellStyle name="Note 2 13 3 2 5 3" xfId="15195" xr:uid="{00000000-0005-0000-0000-0000B8480000}"/>
    <cellStyle name="Note 2 13 3 2 6" xfId="25111" xr:uid="{00000000-0005-0000-0000-0000B9480000}"/>
    <cellStyle name="Note 2 13 3 2 7" xfId="25112" xr:uid="{00000000-0005-0000-0000-0000BA480000}"/>
    <cellStyle name="Note 2 13 3 3" xfId="1656" xr:uid="{00000000-0005-0000-0000-0000BB480000}"/>
    <cellStyle name="Note 2 13 3 3 2" xfId="25113" xr:uid="{00000000-0005-0000-0000-0000BC480000}"/>
    <cellStyle name="Note 2 13 3 3 2 2" xfId="16660" xr:uid="{00000000-0005-0000-0000-0000BD480000}"/>
    <cellStyle name="Note 2 13 3 3 2 3" xfId="25114" xr:uid="{00000000-0005-0000-0000-0000BE480000}"/>
    <cellStyle name="Note 2 13 3 3 2 4" xfId="25115" xr:uid="{00000000-0005-0000-0000-0000BF480000}"/>
    <cellStyle name="Note 2 13 3 3 3" xfId="25116" xr:uid="{00000000-0005-0000-0000-0000C0480000}"/>
    <cellStyle name="Note 2 13 3 3 3 2" xfId="16668" xr:uid="{00000000-0005-0000-0000-0000C1480000}"/>
    <cellStyle name="Note 2 13 3 3 3 3" xfId="25117" xr:uid="{00000000-0005-0000-0000-0000C2480000}"/>
    <cellStyle name="Note 2 13 3 3 3 4" xfId="25118" xr:uid="{00000000-0005-0000-0000-0000C3480000}"/>
    <cellStyle name="Note 2 13 3 3 4" xfId="25119" xr:uid="{00000000-0005-0000-0000-0000C4480000}"/>
    <cellStyle name="Note 2 13 3 3 4 2" xfId="25120" xr:uid="{00000000-0005-0000-0000-0000C5480000}"/>
    <cellStyle name="Note 2 13 3 3 4 3" xfId="25122" xr:uid="{00000000-0005-0000-0000-0000C6480000}"/>
    <cellStyle name="Note 2 13 3 3 5" xfId="25123" xr:uid="{00000000-0005-0000-0000-0000C7480000}"/>
    <cellStyle name="Note 2 13 3 3 5 2" xfId="25124" xr:uid="{00000000-0005-0000-0000-0000C8480000}"/>
    <cellStyle name="Note 2 13 3 3 5 3" xfId="25126" xr:uid="{00000000-0005-0000-0000-0000C9480000}"/>
    <cellStyle name="Note 2 13 3 3 6" xfId="25127" xr:uid="{00000000-0005-0000-0000-0000CA480000}"/>
    <cellStyle name="Note 2 13 3 3 7" xfId="25128" xr:uid="{00000000-0005-0000-0000-0000CB480000}"/>
    <cellStyle name="Note 2 13 3 4" xfId="10768" xr:uid="{00000000-0005-0000-0000-0000CC480000}"/>
    <cellStyle name="Note 2 13 3 4 2" xfId="18865" xr:uid="{00000000-0005-0000-0000-0000CD480000}"/>
    <cellStyle name="Note 2 13 3 4 2 2" xfId="16694" xr:uid="{00000000-0005-0000-0000-0000CE480000}"/>
    <cellStyle name="Note 2 13 3 4 2 3" xfId="25129" xr:uid="{00000000-0005-0000-0000-0000CF480000}"/>
    <cellStyle name="Note 2 13 3 4 2 4" xfId="25130" xr:uid="{00000000-0005-0000-0000-0000D0480000}"/>
    <cellStyle name="Note 2 13 3 4 3" xfId="25131" xr:uid="{00000000-0005-0000-0000-0000D1480000}"/>
    <cellStyle name="Note 2 13 3 4 3 2" xfId="16699" xr:uid="{00000000-0005-0000-0000-0000D2480000}"/>
    <cellStyle name="Note 2 13 3 4 3 3" xfId="25132" xr:uid="{00000000-0005-0000-0000-0000D3480000}"/>
    <cellStyle name="Note 2 13 3 4 3 4" xfId="25133" xr:uid="{00000000-0005-0000-0000-0000D4480000}"/>
    <cellStyle name="Note 2 13 3 4 4" xfId="25134" xr:uid="{00000000-0005-0000-0000-0000D5480000}"/>
    <cellStyle name="Note 2 13 3 4 4 2" xfId="25135" xr:uid="{00000000-0005-0000-0000-0000D6480000}"/>
    <cellStyle name="Note 2 13 3 4 4 3" xfId="25136" xr:uid="{00000000-0005-0000-0000-0000D7480000}"/>
    <cellStyle name="Note 2 13 3 4 5" xfId="25137" xr:uid="{00000000-0005-0000-0000-0000D8480000}"/>
    <cellStyle name="Note 2 13 3 4 5 2" xfId="25138" xr:uid="{00000000-0005-0000-0000-0000D9480000}"/>
    <cellStyle name="Note 2 13 3 4 5 3" xfId="25139" xr:uid="{00000000-0005-0000-0000-0000DA480000}"/>
    <cellStyle name="Note 2 13 3 4 6" xfId="25140" xr:uid="{00000000-0005-0000-0000-0000DB480000}"/>
    <cellStyle name="Note 2 13 3 4 7" xfId="25141" xr:uid="{00000000-0005-0000-0000-0000DC480000}"/>
    <cellStyle name="Note 2 13 3 5" xfId="10771" xr:uid="{00000000-0005-0000-0000-0000DD480000}"/>
    <cellStyle name="Note 2 13 3 5 2" xfId="22361" xr:uid="{00000000-0005-0000-0000-0000DE480000}"/>
    <cellStyle name="Note 2 13 3 5 2 2" xfId="16719" xr:uid="{00000000-0005-0000-0000-0000DF480000}"/>
    <cellStyle name="Note 2 13 3 5 2 3" xfId="25142" xr:uid="{00000000-0005-0000-0000-0000E0480000}"/>
    <cellStyle name="Note 2 13 3 5 2 4" xfId="25143" xr:uid="{00000000-0005-0000-0000-0000E1480000}"/>
    <cellStyle name="Note 2 13 3 5 3" xfId="22364" xr:uid="{00000000-0005-0000-0000-0000E2480000}"/>
    <cellStyle name="Note 2 13 3 5 3 2" xfId="16724" xr:uid="{00000000-0005-0000-0000-0000E3480000}"/>
    <cellStyle name="Note 2 13 3 5 3 3" xfId="25144" xr:uid="{00000000-0005-0000-0000-0000E4480000}"/>
    <cellStyle name="Note 2 13 3 5 3 4" xfId="25145" xr:uid="{00000000-0005-0000-0000-0000E5480000}"/>
    <cellStyle name="Note 2 13 3 5 4" xfId="22366" xr:uid="{00000000-0005-0000-0000-0000E6480000}"/>
    <cellStyle name="Note 2 13 3 5 4 2" xfId="25146" xr:uid="{00000000-0005-0000-0000-0000E7480000}"/>
    <cellStyle name="Note 2 13 3 5 4 3" xfId="25147" xr:uid="{00000000-0005-0000-0000-0000E8480000}"/>
    <cellStyle name="Note 2 13 3 5 5" xfId="25148" xr:uid="{00000000-0005-0000-0000-0000E9480000}"/>
    <cellStyle name="Note 2 13 3 5 5 2" xfId="25149" xr:uid="{00000000-0005-0000-0000-0000EA480000}"/>
    <cellStyle name="Note 2 13 3 5 5 3" xfId="25150" xr:uid="{00000000-0005-0000-0000-0000EB480000}"/>
    <cellStyle name="Note 2 13 3 5 6" xfId="11397" xr:uid="{00000000-0005-0000-0000-0000EC480000}"/>
    <cellStyle name="Note 2 13 3 5 7" xfId="11399" xr:uid="{00000000-0005-0000-0000-0000ED480000}"/>
    <cellStyle name="Note 2 13 3 6" xfId="22368" xr:uid="{00000000-0005-0000-0000-0000EE480000}"/>
    <cellStyle name="Note 2 13 3 6 2" xfId="22370" xr:uid="{00000000-0005-0000-0000-0000EF480000}"/>
    <cellStyle name="Note 2 13 3 6 2 2" xfId="16746" xr:uid="{00000000-0005-0000-0000-0000F0480000}"/>
    <cellStyle name="Note 2 13 3 6 2 3" xfId="25151" xr:uid="{00000000-0005-0000-0000-0000F1480000}"/>
    <cellStyle name="Note 2 13 3 6 2 4" xfId="25152" xr:uid="{00000000-0005-0000-0000-0000F2480000}"/>
    <cellStyle name="Note 2 13 3 6 3" xfId="22372" xr:uid="{00000000-0005-0000-0000-0000F3480000}"/>
    <cellStyle name="Note 2 13 3 6 3 2" xfId="16751" xr:uid="{00000000-0005-0000-0000-0000F4480000}"/>
    <cellStyle name="Note 2 13 3 6 3 3" xfId="25153" xr:uid="{00000000-0005-0000-0000-0000F5480000}"/>
    <cellStyle name="Note 2 13 3 6 3 4" xfId="25154" xr:uid="{00000000-0005-0000-0000-0000F6480000}"/>
    <cellStyle name="Note 2 13 3 6 4" xfId="22374" xr:uid="{00000000-0005-0000-0000-0000F7480000}"/>
    <cellStyle name="Note 2 13 3 6 4 2" xfId="25155" xr:uid="{00000000-0005-0000-0000-0000F8480000}"/>
    <cellStyle name="Note 2 13 3 6 4 3" xfId="25156" xr:uid="{00000000-0005-0000-0000-0000F9480000}"/>
    <cellStyle name="Note 2 13 3 6 5" xfId="25157" xr:uid="{00000000-0005-0000-0000-0000FA480000}"/>
    <cellStyle name="Note 2 13 3 6 5 2" xfId="25158" xr:uid="{00000000-0005-0000-0000-0000FB480000}"/>
    <cellStyle name="Note 2 13 3 6 5 3" xfId="25159" xr:uid="{00000000-0005-0000-0000-0000FC480000}"/>
    <cellStyle name="Note 2 13 3 6 6" xfId="11403" xr:uid="{00000000-0005-0000-0000-0000FD480000}"/>
    <cellStyle name="Note 2 13 3 6 7" xfId="11405" xr:uid="{00000000-0005-0000-0000-0000FE480000}"/>
    <cellStyle name="Note 2 13 3 7" xfId="22376" xr:uid="{00000000-0005-0000-0000-0000FF480000}"/>
    <cellStyle name="Note 2 13 3 7 2" xfId="22378" xr:uid="{00000000-0005-0000-0000-000000490000}"/>
    <cellStyle name="Note 2 13 3 7 2 2" xfId="16767" xr:uid="{00000000-0005-0000-0000-000001490000}"/>
    <cellStyle name="Note 2 13 3 7 2 3" xfId="25160" xr:uid="{00000000-0005-0000-0000-000002490000}"/>
    <cellStyle name="Note 2 13 3 7 2 4" xfId="14410" xr:uid="{00000000-0005-0000-0000-000003490000}"/>
    <cellStyle name="Note 2 13 3 7 3" xfId="22380" xr:uid="{00000000-0005-0000-0000-000004490000}"/>
    <cellStyle name="Note 2 13 3 7 3 2" xfId="16771" xr:uid="{00000000-0005-0000-0000-000005490000}"/>
    <cellStyle name="Note 2 13 3 7 3 3" xfId="25161" xr:uid="{00000000-0005-0000-0000-000006490000}"/>
    <cellStyle name="Note 2 13 3 7 3 4" xfId="14417" xr:uid="{00000000-0005-0000-0000-000007490000}"/>
    <cellStyle name="Note 2 13 3 7 4" xfId="583" xr:uid="{00000000-0005-0000-0000-000008490000}"/>
    <cellStyle name="Note 2 13 3 7 4 2" xfId="589" xr:uid="{00000000-0005-0000-0000-000009490000}"/>
    <cellStyle name="Note 2 13 3 7 4 3" xfId="25162" xr:uid="{00000000-0005-0000-0000-00000A490000}"/>
    <cellStyle name="Note 2 13 3 7 5" xfId="25163" xr:uid="{00000000-0005-0000-0000-00000B490000}"/>
    <cellStyle name="Note 2 13 3 7 5 2" xfId="15816" xr:uid="{00000000-0005-0000-0000-00000C490000}"/>
    <cellStyle name="Note 2 13 3 7 5 3" xfId="15822" xr:uid="{00000000-0005-0000-0000-00000D490000}"/>
    <cellStyle name="Note 2 13 3 7 6" xfId="11409" xr:uid="{00000000-0005-0000-0000-00000E490000}"/>
    <cellStyle name="Note 2 13 3 7 7" xfId="11411" xr:uid="{00000000-0005-0000-0000-00000F490000}"/>
    <cellStyle name="Note 2 13 3 8" xfId="22382" xr:uid="{00000000-0005-0000-0000-000010490000}"/>
    <cellStyle name="Note 2 13 3 8 2" xfId="22384" xr:uid="{00000000-0005-0000-0000-000011490000}"/>
    <cellStyle name="Note 2 13 3 8 2 2" xfId="16786" xr:uid="{00000000-0005-0000-0000-000012490000}"/>
    <cellStyle name="Note 2 13 3 8 2 3" xfId="25164" xr:uid="{00000000-0005-0000-0000-000013490000}"/>
    <cellStyle name="Note 2 13 3 8 2 4" xfId="9310" xr:uid="{00000000-0005-0000-0000-000014490000}"/>
    <cellStyle name="Note 2 13 3 8 3" xfId="22386" xr:uid="{00000000-0005-0000-0000-000015490000}"/>
    <cellStyle name="Note 2 13 3 8 3 2" xfId="16791" xr:uid="{00000000-0005-0000-0000-000016490000}"/>
    <cellStyle name="Note 2 13 3 8 3 3" xfId="25165" xr:uid="{00000000-0005-0000-0000-000017490000}"/>
    <cellStyle name="Note 2 13 3 8 3 4" xfId="9318" xr:uid="{00000000-0005-0000-0000-000018490000}"/>
    <cellStyle name="Note 2 13 3 8 4" xfId="25166" xr:uid="{00000000-0005-0000-0000-000019490000}"/>
    <cellStyle name="Note 2 13 3 8 4 2" xfId="25167" xr:uid="{00000000-0005-0000-0000-00001A490000}"/>
    <cellStyle name="Note 2 13 3 8 4 3" xfId="25168" xr:uid="{00000000-0005-0000-0000-00001B490000}"/>
    <cellStyle name="Note 2 13 3 8 5" xfId="25169" xr:uid="{00000000-0005-0000-0000-00001C490000}"/>
    <cellStyle name="Note 2 13 3 8 5 2" xfId="25170" xr:uid="{00000000-0005-0000-0000-00001D490000}"/>
    <cellStyle name="Note 2 13 3 8 5 3" xfId="25171" xr:uid="{00000000-0005-0000-0000-00001E490000}"/>
    <cellStyle name="Note 2 13 3 8 6" xfId="11414" xr:uid="{00000000-0005-0000-0000-00001F490000}"/>
    <cellStyle name="Note 2 13 3 8 7" xfId="11416" xr:uid="{00000000-0005-0000-0000-000020490000}"/>
    <cellStyle name="Note 2 13 3 9" xfId="22388" xr:uid="{00000000-0005-0000-0000-000021490000}"/>
    <cellStyle name="Note 2 13 3 9 2" xfId="25172" xr:uid="{00000000-0005-0000-0000-000022490000}"/>
    <cellStyle name="Note 2 13 3 9 2 2" xfId="16810" xr:uid="{00000000-0005-0000-0000-000023490000}"/>
    <cellStyle name="Note 2 13 3 9 2 3" xfId="25173" xr:uid="{00000000-0005-0000-0000-000024490000}"/>
    <cellStyle name="Note 2 13 3 9 2 4" xfId="9340" xr:uid="{00000000-0005-0000-0000-000025490000}"/>
    <cellStyle name="Note 2 13 3 9 3" xfId="25174" xr:uid="{00000000-0005-0000-0000-000026490000}"/>
    <cellStyle name="Note 2 13 3 9 3 2" xfId="16815" xr:uid="{00000000-0005-0000-0000-000027490000}"/>
    <cellStyle name="Note 2 13 3 9 3 3" xfId="25175" xr:uid="{00000000-0005-0000-0000-000028490000}"/>
    <cellStyle name="Note 2 13 3 9 3 4" xfId="9345" xr:uid="{00000000-0005-0000-0000-000029490000}"/>
    <cellStyle name="Note 2 13 3 9 4" xfId="25176" xr:uid="{00000000-0005-0000-0000-00002A490000}"/>
    <cellStyle name="Note 2 13 3 9 4 2" xfId="25177" xr:uid="{00000000-0005-0000-0000-00002B490000}"/>
    <cellStyle name="Note 2 13 3 9 4 3" xfId="25178" xr:uid="{00000000-0005-0000-0000-00002C490000}"/>
    <cellStyle name="Note 2 13 3 9 5" xfId="25179" xr:uid="{00000000-0005-0000-0000-00002D490000}"/>
    <cellStyle name="Note 2 13 3 9 5 2" xfId="25180" xr:uid="{00000000-0005-0000-0000-00002E490000}"/>
    <cellStyle name="Note 2 13 3 9 5 3" xfId="25181" xr:uid="{00000000-0005-0000-0000-00002F490000}"/>
    <cellStyle name="Note 2 13 3 9 6" xfId="25182" xr:uid="{00000000-0005-0000-0000-000030490000}"/>
    <cellStyle name="Note 2 13 3 9 7" xfId="25183" xr:uid="{00000000-0005-0000-0000-000031490000}"/>
    <cellStyle name="Note 2 13 4" xfId="25184" xr:uid="{00000000-0005-0000-0000-000032490000}"/>
    <cellStyle name="Note 2 13 4 2" xfId="10815" xr:uid="{00000000-0005-0000-0000-000033490000}"/>
    <cellStyle name="Note 2 13 4 2 2" xfId="10819" xr:uid="{00000000-0005-0000-0000-000034490000}"/>
    <cellStyle name="Note 2 13 4 2 3" xfId="10822" xr:uid="{00000000-0005-0000-0000-000035490000}"/>
    <cellStyle name="Note 2 13 4 2 4" xfId="25186" xr:uid="{00000000-0005-0000-0000-000036490000}"/>
    <cellStyle name="Note 2 13 4 3" xfId="10825" xr:uid="{00000000-0005-0000-0000-000037490000}"/>
    <cellStyle name="Note 2 13 4 3 2" xfId="14361" xr:uid="{00000000-0005-0000-0000-000038490000}"/>
    <cellStyle name="Note 2 13 4 3 3" xfId="14363" xr:uid="{00000000-0005-0000-0000-000039490000}"/>
    <cellStyle name="Note 2 13 4 3 4" xfId="14365" xr:uid="{00000000-0005-0000-0000-00003A490000}"/>
    <cellStyle name="Note 2 13 4 4" xfId="10828" xr:uid="{00000000-0005-0000-0000-00003B490000}"/>
    <cellStyle name="Note 2 13 4 4 2" xfId="25187" xr:uid="{00000000-0005-0000-0000-00003C490000}"/>
    <cellStyle name="Note 2 13 4 4 3" xfId="7942" xr:uid="{00000000-0005-0000-0000-00003D490000}"/>
    <cellStyle name="Note 2 13 4 5" xfId="10832" xr:uid="{00000000-0005-0000-0000-00003E490000}"/>
    <cellStyle name="Note 2 13 4 5 2" xfId="22392" xr:uid="{00000000-0005-0000-0000-00003F490000}"/>
    <cellStyle name="Note 2 13 4 5 3" xfId="22395" xr:uid="{00000000-0005-0000-0000-000040490000}"/>
    <cellStyle name="Note 2 13 4 6" xfId="22402" xr:uid="{00000000-0005-0000-0000-000041490000}"/>
    <cellStyle name="Note 2 13 4 7" xfId="22407" xr:uid="{00000000-0005-0000-0000-000042490000}"/>
    <cellStyle name="Note 2 13 5" xfId="25188" xr:uid="{00000000-0005-0000-0000-000043490000}"/>
    <cellStyle name="Note 2 13 5 2" xfId="5786" xr:uid="{00000000-0005-0000-0000-000044490000}"/>
    <cellStyle name="Note 2 13 5 2 2" xfId="5789" xr:uid="{00000000-0005-0000-0000-000045490000}"/>
    <cellStyle name="Note 2 13 5 2 3" xfId="1803" xr:uid="{00000000-0005-0000-0000-000046490000}"/>
    <cellStyle name="Note 2 13 5 2 4" xfId="25189" xr:uid="{00000000-0005-0000-0000-000047490000}"/>
    <cellStyle name="Note 2 13 5 3" xfId="5793" xr:uid="{00000000-0005-0000-0000-000048490000}"/>
    <cellStyle name="Note 2 13 5 3 2" xfId="5408" xr:uid="{00000000-0005-0000-0000-000049490000}"/>
    <cellStyle name="Note 2 13 5 3 3" xfId="5416" xr:uid="{00000000-0005-0000-0000-00004A490000}"/>
    <cellStyle name="Note 2 13 5 3 4" xfId="25190" xr:uid="{00000000-0005-0000-0000-00004B490000}"/>
    <cellStyle name="Note 2 13 5 4" xfId="5426" xr:uid="{00000000-0005-0000-0000-00004C490000}"/>
    <cellStyle name="Note 2 13 5 4 2" xfId="25191" xr:uid="{00000000-0005-0000-0000-00004D490000}"/>
    <cellStyle name="Note 2 13 5 4 3" xfId="25193" xr:uid="{00000000-0005-0000-0000-00004E490000}"/>
    <cellStyle name="Note 2 13 5 5" xfId="5431" xr:uid="{00000000-0005-0000-0000-00004F490000}"/>
    <cellStyle name="Note 2 13 5 5 2" xfId="22417" xr:uid="{00000000-0005-0000-0000-000050490000}"/>
    <cellStyle name="Note 2 13 5 5 3" xfId="22420" xr:uid="{00000000-0005-0000-0000-000051490000}"/>
    <cellStyle name="Note 2 13 5 6" xfId="22425" xr:uid="{00000000-0005-0000-0000-000052490000}"/>
    <cellStyle name="Note 2 13 5 7" xfId="22433" xr:uid="{00000000-0005-0000-0000-000053490000}"/>
    <cellStyle name="Note 2 13 6" xfId="25195" xr:uid="{00000000-0005-0000-0000-000054490000}"/>
    <cellStyle name="Note 2 13 6 2" xfId="10875" xr:uid="{00000000-0005-0000-0000-000055490000}"/>
    <cellStyle name="Note 2 13 6 2 2" xfId="10878" xr:uid="{00000000-0005-0000-0000-000056490000}"/>
    <cellStyle name="Note 2 13 6 2 3" xfId="10881" xr:uid="{00000000-0005-0000-0000-000057490000}"/>
    <cellStyle name="Note 2 13 6 2 4" xfId="25196" xr:uid="{00000000-0005-0000-0000-000058490000}"/>
    <cellStyle name="Note 2 13 6 3" xfId="10885" xr:uid="{00000000-0005-0000-0000-000059490000}"/>
    <cellStyle name="Note 2 13 6 3 2" xfId="25199" xr:uid="{00000000-0005-0000-0000-00005A490000}"/>
    <cellStyle name="Note 2 13 6 3 3" xfId="25202" xr:uid="{00000000-0005-0000-0000-00005B490000}"/>
    <cellStyle name="Note 2 13 6 3 4" xfId="25205" xr:uid="{00000000-0005-0000-0000-00005C490000}"/>
    <cellStyle name="Note 2 13 6 4" xfId="10887" xr:uid="{00000000-0005-0000-0000-00005D490000}"/>
    <cellStyle name="Note 2 13 6 4 2" xfId="25209" xr:uid="{00000000-0005-0000-0000-00005E490000}"/>
    <cellStyle name="Note 2 13 6 4 3" xfId="25213" xr:uid="{00000000-0005-0000-0000-00005F490000}"/>
    <cellStyle name="Note 2 13 6 5" xfId="10890" xr:uid="{00000000-0005-0000-0000-000060490000}"/>
    <cellStyle name="Note 2 13 6 5 2" xfId="22454" xr:uid="{00000000-0005-0000-0000-000061490000}"/>
    <cellStyle name="Note 2 13 6 5 3" xfId="22459" xr:uid="{00000000-0005-0000-0000-000062490000}"/>
    <cellStyle name="Note 2 13 6 6" xfId="22465" xr:uid="{00000000-0005-0000-0000-000063490000}"/>
    <cellStyle name="Note 2 13 6 7" xfId="22474" xr:uid="{00000000-0005-0000-0000-000064490000}"/>
    <cellStyle name="Note 2 13 7" xfId="25215" xr:uid="{00000000-0005-0000-0000-000065490000}"/>
    <cellStyle name="Note 2 13 7 2" xfId="16454" xr:uid="{00000000-0005-0000-0000-000066490000}"/>
    <cellStyle name="Note 2 13 7 2 2" xfId="25217" xr:uid="{00000000-0005-0000-0000-000067490000}"/>
    <cellStyle name="Note 2 13 7 2 3" xfId="25219" xr:uid="{00000000-0005-0000-0000-000068490000}"/>
    <cellStyle name="Note 2 13 7 2 4" xfId="25221" xr:uid="{00000000-0005-0000-0000-000069490000}"/>
    <cellStyle name="Note 2 13 7 3" xfId="16457" xr:uid="{00000000-0005-0000-0000-00006A490000}"/>
    <cellStyle name="Note 2 13 7 3 2" xfId="25223" xr:uid="{00000000-0005-0000-0000-00006B490000}"/>
    <cellStyle name="Note 2 13 7 3 3" xfId="25225" xr:uid="{00000000-0005-0000-0000-00006C490000}"/>
    <cellStyle name="Note 2 13 7 3 4" xfId="25227" xr:uid="{00000000-0005-0000-0000-00006D490000}"/>
    <cellStyle name="Note 2 13 7 4" xfId="12113" xr:uid="{00000000-0005-0000-0000-00006E490000}"/>
    <cellStyle name="Note 2 13 7 4 2" xfId="25230" xr:uid="{00000000-0005-0000-0000-00006F490000}"/>
    <cellStyle name="Note 2 13 7 4 3" xfId="25232" xr:uid="{00000000-0005-0000-0000-000070490000}"/>
    <cellStyle name="Note 2 13 7 5" xfId="12116" xr:uid="{00000000-0005-0000-0000-000071490000}"/>
    <cellStyle name="Note 2 13 7 5 2" xfId="25236" xr:uid="{00000000-0005-0000-0000-000072490000}"/>
    <cellStyle name="Note 2 13 7 5 3" xfId="14166" xr:uid="{00000000-0005-0000-0000-000073490000}"/>
    <cellStyle name="Note 2 13 7 6" xfId="12119" xr:uid="{00000000-0005-0000-0000-000074490000}"/>
    <cellStyle name="Note 2 13 7 7" xfId="25238" xr:uid="{00000000-0005-0000-0000-000075490000}"/>
    <cellStyle name="Note 2 13 8" xfId="25240" xr:uid="{00000000-0005-0000-0000-000076490000}"/>
    <cellStyle name="Note 2 13 8 2" xfId="16479" xr:uid="{00000000-0005-0000-0000-000077490000}"/>
    <cellStyle name="Note 2 13 8 2 2" xfId="25242" xr:uid="{00000000-0005-0000-0000-000078490000}"/>
    <cellStyle name="Note 2 13 8 2 3" xfId="25243" xr:uid="{00000000-0005-0000-0000-000079490000}"/>
    <cellStyle name="Note 2 13 8 2 4" xfId="25244" xr:uid="{00000000-0005-0000-0000-00007A490000}"/>
    <cellStyle name="Note 2 13 8 3" xfId="16482" xr:uid="{00000000-0005-0000-0000-00007B490000}"/>
    <cellStyle name="Note 2 13 8 3 2" xfId="25245" xr:uid="{00000000-0005-0000-0000-00007C490000}"/>
    <cellStyle name="Note 2 13 8 3 3" xfId="25246" xr:uid="{00000000-0005-0000-0000-00007D490000}"/>
    <cellStyle name="Note 2 13 8 3 4" xfId="25247" xr:uid="{00000000-0005-0000-0000-00007E490000}"/>
    <cellStyle name="Note 2 13 8 4" xfId="12123" xr:uid="{00000000-0005-0000-0000-00007F490000}"/>
    <cellStyle name="Note 2 13 8 4 2" xfId="25248" xr:uid="{00000000-0005-0000-0000-000080490000}"/>
    <cellStyle name="Note 2 13 8 4 3" xfId="25250" xr:uid="{00000000-0005-0000-0000-000081490000}"/>
    <cellStyle name="Note 2 13 8 5" xfId="12126" xr:uid="{00000000-0005-0000-0000-000082490000}"/>
    <cellStyle name="Note 2 13 8 5 2" xfId="25251" xr:uid="{00000000-0005-0000-0000-000083490000}"/>
    <cellStyle name="Note 2 13 8 5 3" xfId="25254" xr:uid="{00000000-0005-0000-0000-000084490000}"/>
    <cellStyle name="Note 2 13 8 6" xfId="5513" xr:uid="{00000000-0005-0000-0000-000085490000}"/>
    <cellStyle name="Note 2 13 8 7" xfId="5523" xr:uid="{00000000-0005-0000-0000-000086490000}"/>
    <cellStyle name="Note 2 13 9" xfId="23335" xr:uid="{00000000-0005-0000-0000-000087490000}"/>
    <cellStyle name="Note 2 13 9 2" xfId="16527" xr:uid="{00000000-0005-0000-0000-000088490000}"/>
    <cellStyle name="Note 2 13 9 2 2" xfId="17366" xr:uid="{00000000-0005-0000-0000-000089490000}"/>
    <cellStyle name="Note 2 13 9 2 3" xfId="25255" xr:uid="{00000000-0005-0000-0000-00008A490000}"/>
    <cellStyle name="Note 2 13 9 2 4" xfId="25256" xr:uid="{00000000-0005-0000-0000-00008B490000}"/>
    <cellStyle name="Note 2 13 9 3" xfId="16531" xr:uid="{00000000-0005-0000-0000-00008C490000}"/>
    <cellStyle name="Note 2 13 9 3 2" xfId="17370" xr:uid="{00000000-0005-0000-0000-00008D490000}"/>
    <cellStyle name="Note 2 13 9 3 3" xfId="25257" xr:uid="{00000000-0005-0000-0000-00008E490000}"/>
    <cellStyle name="Note 2 13 9 3 4" xfId="25259" xr:uid="{00000000-0005-0000-0000-00008F490000}"/>
    <cellStyle name="Note 2 13 9 4" xfId="12131" xr:uid="{00000000-0005-0000-0000-000090490000}"/>
    <cellStyle name="Note 2 13 9 4 2" xfId="24379" xr:uid="{00000000-0005-0000-0000-000091490000}"/>
    <cellStyle name="Note 2 13 9 4 3" xfId="24387" xr:uid="{00000000-0005-0000-0000-000092490000}"/>
    <cellStyle name="Note 2 13 9 5" xfId="12134" xr:uid="{00000000-0005-0000-0000-000093490000}"/>
    <cellStyle name="Note 2 13 9 5 2" xfId="25261" xr:uid="{00000000-0005-0000-0000-000094490000}"/>
    <cellStyle name="Note 2 13 9 5 3" xfId="25266" xr:uid="{00000000-0005-0000-0000-000095490000}"/>
    <cellStyle name="Note 2 13 9 6" xfId="5550" xr:uid="{00000000-0005-0000-0000-000096490000}"/>
    <cellStyle name="Note 2 13 9 7" xfId="5558" xr:uid="{00000000-0005-0000-0000-000097490000}"/>
    <cellStyle name="Note 2 14" xfId="25268" xr:uid="{00000000-0005-0000-0000-000098490000}"/>
    <cellStyle name="Note 2 14 10" xfId="25270" xr:uid="{00000000-0005-0000-0000-000099490000}"/>
    <cellStyle name="Note 2 14 10 2" xfId="25271" xr:uid="{00000000-0005-0000-0000-00009A490000}"/>
    <cellStyle name="Note 2 14 10 2 2" xfId="25272" xr:uid="{00000000-0005-0000-0000-00009B490000}"/>
    <cellStyle name="Note 2 14 10 2 3" xfId="25274" xr:uid="{00000000-0005-0000-0000-00009C490000}"/>
    <cellStyle name="Note 2 14 10 2 4" xfId="25276" xr:uid="{00000000-0005-0000-0000-00009D490000}"/>
    <cellStyle name="Note 2 14 10 3" xfId="25277" xr:uid="{00000000-0005-0000-0000-00009E490000}"/>
    <cellStyle name="Note 2 14 10 3 2" xfId="25278" xr:uid="{00000000-0005-0000-0000-00009F490000}"/>
    <cellStyle name="Note 2 14 10 3 3" xfId="25280" xr:uid="{00000000-0005-0000-0000-0000A0490000}"/>
    <cellStyle name="Note 2 14 10 3 4" xfId="25282" xr:uid="{00000000-0005-0000-0000-0000A1490000}"/>
    <cellStyle name="Note 2 14 10 4" xfId="25283" xr:uid="{00000000-0005-0000-0000-0000A2490000}"/>
    <cellStyle name="Note 2 14 10 4 2" xfId="25284" xr:uid="{00000000-0005-0000-0000-0000A3490000}"/>
    <cellStyle name="Note 2 14 10 4 3" xfId="25286" xr:uid="{00000000-0005-0000-0000-0000A4490000}"/>
    <cellStyle name="Note 2 14 10 5" xfId="25287" xr:uid="{00000000-0005-0000-0000-0000A5490000}"/>
    <cellStyle name="Note 2 14 10 5 2" xfId="25288" xr:uid="{00000000-0005-0000-0000-0000A6490000}"/>
    <cellStyle name="Note 2 14 10 5 3" xfId="25290" xr:uid="{00000000-0005-0000-0000-0000A7490000}"/>
    <cellStyle name="Note 2 14 10 6" xfId="25291" xr:uid="{00000000-0005-0000-0000-0000A8490000}"/>
    <cellStyle name="Note 2 14 10 7" xfId="25292" xr:uid="{00000000-0005-0000-0000-0000A9490000}"/>
    <cellStyle name="Note 2 14 11" xfId="25293" xr:uid="{00000000-0005-0000-0000-0000AA490000}"/>
    <cellStyle name="Note 2 14 11 2" xfId="25294" xr:uid="{00000000-0005-0000-0000-0000AB490000}"/>
    <cellStyle name="Note 2 14 11 2 2" xfId="25295" xr:uid="{00000000-0005-0000-0000-0000AC490000}"/>
    <cellStyle name="Note 2 14 11 2 3" xfId="25297" xr:uid="{00000000-0005-0000-0000-0000AD490000}"/>
    <cellStyle name="Note 2 14 11 2 4" xfId="25299" xr:uid="{00000000-0005-0000-0000-0000AE490000}"/>
    <cellStyle name="Note 2 14 11 3" xfId="25300" xr:uid="{00000000-0005-0000-0000-0000AF490000}"/>
    <cellStyle name="Note 2 14 11 3 2" xfId="25301" xr:uid="{00000000-0005-0000-0000-0000B0490000}"/>
    <cellStyle name="Note 2 14 11 3 3" xfId="25303" xr:uid="{00000000-0005-0000-0000-0000B1490000}"/>
    <cellStyle name="Note 2 14 11 3 4" xfId="25305" xr:uid="{00000000-0005-0000-0000-0000B2490000}"/>
    <cellStyle name="Note 2 14 11 4" xfId="25306" xr:uid="{00000000-0005-0000-0000-0000B3490000}"/>
    <cellStyle name="Note 2 14 11 4 2" xfId="25307" xr:uid="{00000000-0005-0000-0000-0000B4490000}"/>
    <cellStyle name="Note 2 14 11 4 3" xfId="25309" xr:uid="{00000000-0005-0000-0000-0000B5490000}"/>
    <cellStyle name="Note 2 14 11 5" xfId="25310" xr:uid="{00000000-0005-0000-0000-0000B6490000}"/>
    <cellStyle name="Note 2 14 11 5 2" xfId="25311" xr:uid="{00000000-0005-0000-0000-0000B7490000}"/>
    <cellStyle name="Note 2 14 11 5 3" xfId="25313" xr:uid="{00000000-0005-0000-0000-0000B8490000}"/>
    <cellStyle name="Note 2 14 11 6" xfId="25314" xr:uid="{00000000-0005-0000-0000-0000B9490000}"/>
    <cellStyle name="Note 2 14 11 7" xfId="25315" xr:uid="{00000000-0005-0000-0000-0000BA490000}"/>
    <cellStyle name="Note 2 14 12" xfId="5401" xr:uid="{00000000-0005-0000-0000-0000BB490000}"/>
    <cellStyle name="Note 2 14 12 2" xfId="25316" xr:uid="{00000000-0005-0000-0000-0000BC490000}"/>
    <cellStyle name="Note 2 14 12 2 2" xfId="11170" xr:uid="{00000000-0005-0000-0000-0000BD490000}"/>
    <cellStyle name="Note 2 14 12 2 3" xfId="11177" xr:uid="{00000000-0005-0000-0000-0000BE490000}"/>
    <cellStyle name="Note 2 14 12 2 4" xfId="11181" xr:uid="{00000000-0005-0000-0000-0000BF490000}"/>
    <cellStyle name="Note 2 14 12 3" xfId="25317" xr:uid="{00000000-0005-0000-0000-0000C0490000}"/>
    <cellStyle name="Note 2 14 12 3 2" xfId="11198" xr:uid="{00000000-0005-0000-0000-0000C1490000}"/>
    <cellStyle name="Note 2 14 12 3 3" xfId="11201" xr:uid="{00000000-0005-0000-0000-0000C2490000}"/>
    <cellStyle name="Note 2 14 12 3 4" xfId="11205" xr:uid="{00000000-0005-0000-0000-0000C3490000}"/>
    <cellStyle name="Note 2 14 12 4" xfId="25318" xr:uid="{00000000-0005-0000-0000-0000C4490000}"/>
    <cellStyle name="Note 2 14 12 4 2" xfId="11228" xr:uid="{00000000-0005-0000-0000-0000C5490000}"/>
    <cellStyle name="Note 2 14 12 4 3" xfId="11232" xr:uid="{00000000-0005-0000-0000-0000C6490000}"/>
    <cellStyle name="Note 2 14 12 5" xfId="25320" xr:uid="{00000000-0005-0000-0000-0000C7490000}"/>
    <cellStyle name="Note 2 14 12 5 2" xfId="11251" xr:uid="{00000000-0005-0000-0000-0000C8490000}"/>
    <cellStyle name="Note 2 14 12 5 3" xfId="11255" xr:uid="{00000000-0005-0000-0000-0000C9490000}"/>
    <cellStyle name="Note 2 14 12 6" xfId="25322" xr:uid="{00000000-0005-0000-0000-0000CA490000}"/>
    <cellStyle name="Note 2 14 12 7" xfId="25324" xr:uid="{00000000-0005-0000-0000-0000CB490000}"/>
    <cellStyle name="Note 2 14 13" xfId="6505" xr:uid="{00000000-0005-0000-0000-0000CC490000}"/>
    <cellStyle name="Note 2 14 13 2" xfId="25325" xr:uid="{00000000-0005-0000-0000-0000CD490000}"/>
    <cellStyle name="Note 2 14 13 3" xfId="25326" xr:uid="{00000000-0005-0000-0000-0000CE490000}"/>
    <cellStyle name="Note 2 14 13 4" xfId="1981" xr:uid="{00000000-0005-0000-0000-0000CF490000}"/>
    <cellStyle name="Note 2 14 14" xfId="20716" xr:uid="{00000000-0005-0000-0000-0000D0490000}"/>
    <cellStyle name="Note 2 14 14 2" xfId="20718" xr:uid="{00000000-0005-0000-0000-0000D1490000}"/>
    <cellStyle name="Note 2 14 14 3" xfId="20720" xr:uid="{00000000-0005-0000-0000-0000D2490000}"/>
    <cellStyle name="Note 2 14 14 4" xfId="20723" xr:uid="{00000000-0005-0000-0000-0000D3490000}"/>
    <cellStyle name="Note 2 14 15" xfId="20728" xr:uid="{00000000-0005-0000-0000-0000D4490000}"/>
    <cellStyle name="Note 2 14 15 2" xfId="20730" xr:uid="{00000000-0005-0000-0000-0000D5490000}"/>
    <cellStyle name="Note 2 14 15 3" xfId="20732" xr:uid="{00000000-0005-0000-0000-0000D6490000}"/>
    <cellStyle name="Note 2 14 16" xfId="20734" xr:uid="{00000000-0005-0000-0000-0000D7490000}"/>
    <cellStyle name="Note 2 14 16 2" xfId="20736" xr:uid="{00000000-0005-0000-0000-0000D8490000}"/>
    <cellStyle name="Note 2 14 16 3" xfId="20738" xr:uid="{00000000-0005-0000-0000-0000D9490000}"/>
    <cellStyle name="Note 2 14 17" xfId="20740" xr:uid="{00000000-0005-0000-0000-0000DA490000}"/>
    <cellStyle name="Note 2 14 18" xfId="20744" xr:uid="{00000000-0005-0000-0000-0000DB490000}"/>
    <cellStyle name="Note 2 14 19" xfId="20748" xr:uid="{00000000-0005-0000-0000-0000DC490000}"/>
    <cellStyle name="Note 2 14 2" xfId="22543" xr:uid="{00000000-0005-0000-0000-0000DD490000}"/>
    <cellStyle name="Note 2 14 2 10" xfId="25327" xr:uid="{00000000-0005-0000-0000-0000DE490000}"/>
    <cellStyle name="Note 2 14 2 10 2" xfId="25328" xr:uid="{00000000-0005-0000-0000-0000DF490000}"/>
    <cellStyle name="Note 2 14 2 10 2 2" xfId="25329" xr:uid="{00000000-0005-0000-0000-0000E0490000}"/>
    <cellStyle name="Note 2 14 2 10 2 3" xfId="25330" xr:uid="{00000000-0005-0000-0000-0000E1490000}"/>
    <cellStyle name="Note 2 14 2 10 2 4" xfId="25331" xr:uid="{00000000-0005-0000-0000-0000E2490000}"/>
    <cellStyle name="Note 2 14 2 10 3" xfId="25332" xr:uid="{00000000-0005-0000-0000-0000E3490000}"/>
    <cellStyle name="Note 2 14 2 10 3 2" xfId="25333" xr:uid="{00000000-0005-0000-0000-0000E4490000}"/>
    <cellStyle name="Note 2 14 2 10 3 3" xfId="25334" xr:uid="{00000000-0005-0000-0000-0000E5490000}"/>
    <cellStyle name="Note 2 14 2 10 3 4" xfId="25335" xr:uid="{00000000-0005-0000-0000-0000E6490000}"/>
    <cellStyle name="Note 2 14 2 10 4" xfId="25336" xr:uid="{00000000-0005-0000-0000-0000E7490000}"/>
    <cellStyle name="Note 2 14 2 10 4 2" xfId="25337" xr:uid="{00000000-0005-0000-0000-0000E8490000}"/>
    <cellStyle name="Note 2 14 2 10 4 3" xfId="25338" xr:uid="{00000000-0005-0000-0000-0000E9490000}"/>
    <cellStyle name="Note 2 14 2 10 5" xfId="25339" xr:uid="{00000000-0005-0000-0000-0000EA490000}"/>
    <cellStyle name="Note 2 14 2 10 5 2" xfId="25340" xr:uid="{00000000-0005-0000-0000-0000EB490000}"/>
    <cellStyle name="Note 2 14 2 10 5 3" xfId="25341" xr:uid="{00000000-0005-0000-0000-0000EC490000}"/>
    <cellStyle name="Note 2 14 2 10 6" xfId="25342" xr:uid="{00000000-0005-0000-0000-0000ED490000}"/>
    <cellStyle name="Note 2 14 2 10 7" xfId="25343" xr:uid="{00000000-0005-0000-0000-0000EE490000}"/>
    <cellStyle name="Note 2 14 2 11" xfId="25345" xr:uid="{00000000-0005-0000-0000-0000EF490000}"/>
    <cellStyle name="Note 2 14 2 11 2" xfId="25346" xr:uid="{00000000-0005-0000-0000-0000F0490000}"/>
    <cellStyle name="Note 2 14 2 11 3" xfId="25347" xr:uid="{00000000-0005-0000-0000-0000F1490000}"/>
    <cellStyle name="Note 2 14 2 11 4" xfId="25348" xr:uid="{00000000-0005-0000-0000-0000F2490000}"/>
    <cellStyle name="Note 2 14 2 12" xfId="25349" xr:uid="{00000000-0005-0000-0000-0000F3490000}"/>
    <cellStyle name="Note 2 14 2 12 2" xfId="4216" xr:uid="{00000000-0005-0000-0000-0000F4490000}"/>
    <cellStyle name="Note 2 14 2 12 3" xfId="13410" xr:uid="{00000000-0005-0000-0000-0000F5490000}"/>
    <cellStyle name="Note 2 14 2 12 4" xfId="2622" xr:uid="{00000000-0005-0000-0000-0000F6490000}"/>
    <cellStyle name="Note 2 14 2 13" xfId="25350" xr:uid="{00000000-0005-0000-0000-0000F7490000}"/>
    <cellStyle name="Note 2 14 2 13 2" xfId="4227" xr:uid="{00000000-0005-0000-0000-0000F8490000}"/>
    <cellStyle name="Note 2 14 2 13 3" xfId="13413" xr:uid="{00000000-0005-0000-0000-0000F9490000}"/>
    <cellStyle name="Note 2 14 2 14" xfId="25351" xr:uid="{00000000-0005-0000-0000-0000FA490000}"/>
    <cellStyle name="Note 2 14 2 14 2" xfId="13416" xr:uid="{00000000-0005-0000-0000-0000FB490000}"/>
    <cellStyle name="Note 2 14 2 14 3" xfId="25352" xr:uid="{00000000-0005-0000-0000-0000FC490000}"/>
    <cellStyle name="Note 2 14 2 15" xfId="4785" xr:uid="{00000000-0005-0000-0000-0000FD490000}"/>
    <cellStyle name="Note 2 14 2 16" xfId="4787" xr:uid="{00000000-0005-0000-0000-0000FE490000}"/>
    <cellStyle name="Note 2 14 2 2" xfId="11557" xr:uid="{00000000-0005-0000-0000-0000FF490000}"/>
    <cellStyle name="Note 2 14 2 2 2" xfId="11559" xr:uid="{00000000-0005-0000-0000-0000004A0000}"/>
    <cellStyle name="Note 2 14 2 2 2 2" xfId="17112" xr:uid="{00000000-0005-0000-0000-0000014A0000}"/>
    <cellStyle name="Note 2 14 2 2 2 3" xfId="25353" xr:uid="{00000000-0005-0000-0000-0000024A0000}"/>
    <cellStyle name="Note 2 14 2 2 2 4" xfId="25354" xr:uid="{00000000-0005-0000-0000-0000034A0000}"/>
    <cellStyle name="Note 2 14 2 2 3" xfId="11561" xr:uid="{00000000-0005-0000-0000-0000044A0000}"/>
    <cellStyle name="Note 2 14 2 2 3 2" xfId="17120" xr:uid="{00000000-0005-0000-0000-0000054A0000}"/>
    <cellStyle name="Note 2 14 2 2 3 3" xfId="25355" xr:uid="{00000000-0005-0000-0000-0000064A0000}"/>
    <cellStyle name="Note 2 14 2 2 3 4" xfId="25356" xr:uid="{00000000-0005-0000-0000-0000074A0000}"/>
    <cellStyle name="Note 2 14 2 2 4" xfId="25357" xr:uid="{00000000-0005-0000-0000-0000084A0000}"/>
    <cellStyle name="Note 2 14 2 2 4 2" xfId="25358" xr:uid="{00000000-0005-0000-0000-0000094A0000}"/>
    <cellStyle name="Note 2 14 2 2 4 3" xfId="25359" xr:uid="{00000000-0005-0000-0000-00000A4A0000}"/>
    <cellStyle name="Note 2 14 2 2 5" xfId="25360" xr:uid="{00000000-0005-0000-0000-00000B4A0000}"/>
    <cellStyle name="Note 2 14 2 2 5 2" xfId="526" xr:uid="{00000000-0005-0000-0000-00000C4A0000}"/>
    <cellStyle name="Note 2 14 2 2 5 3" xfId="539" xr:uid="{00000000-0005-0000-0000-00000D4A0000}"/>
    <cellStyle name="Note 2 14 2 2 6" xfId="109" xr:uid="{00000000-0005-0000-0000-00000E4A0000}"/>
    <cellStyle name="Note 2 14 2 2 7" xfId="25361" xr:uid="{00000000-0005-0000-0000-00000F4A0000}"/>
    <cellStyle name="Note 2 14 2 3" xfId="11563" xr:uid="{00000000-0005-0000-0000-0000104A0000}"/>
    <cellStyle name="Note 2 14 2 3 2" xfId="25362" xr:uid="{00000000-0005-0000-0000-0000114A0000}"/>
    <cellStyle name="Note 2 14 2 3 2 2" xfId="17137" xr:uid="{00000000-0005-0000-0000-0000124A0000}"/>
    <cellStyle name="Note 2 14 2 3 2 3" xfId="25363" xr:uid="{00000000-0005-0000-0000-0000134A0000}"/>
    <cellStyle name="Note 2 14 2 3 2 4" xfId="25364" xr:uid="{00000000-0005-0000-0000-0000144A0000}"/>
    <cellStyle name="Note 2 14 2 3 3" xfId="25365" xr:uid="{00000000-0005-0000-0000-0000154A0000}"/>
    <cellStyle name="Note 2 14 2 3 3 2" xfId="17145" xr:uid="{00000000-0005-0000-0000-0000164A0000}"/>
    <cellStyle name="Note 2 14 2 3 3 3" xfId="25366" xr:uid="{00000000-0005-0000-0000-0000174A0000}"/>
    <cellStyle name="Note 2 14 2 3 3 4" xfId="25367" xr:uid="{00000000-0005-0000-0000-0000184A0000}"/>
    <cellStyle name="Note 2 14 2 3 4" xfId="25368" xr:uid="{00000000-0005-0000-0000-0000194A0000}"/>
    <cellStyle name="Note 2 14 2 3 4 2" xfId="25370" xr:uid="{00000000-0005-0000-0000-00001A4A0000}"/>
    <cellStyle name="Note 2 14 2 3 4 3" xfId="25371" xr:uid="{00000000-0005-0000-0000-00001B4A0000}"/>
    <cellStyle name="Note 2 14 2 3 5" xfId="25372" xr:uid="{00000000-0005-0000-0000-00001C4A0000}"/>
    <cellStyle name="Note 2 14 2 3 5 2" xfId="25374" xr:uid="{00000000-0005-0000-0000-00001D4A0000}"/>
    <cellStyle name="Note 2 14 2 3 5 3" xfId="25377" xr:uid="{00000000-0005-0000-0000-00001E4A0000}"/>
    <cellStyle name="Note 2 14 2 3 6" xfId="25380" xr:uid="{00000000-0005-0000-0000-00001F4A0000}"/>
    <cellStyle name="Note 2 14 2 3 7" xfId="25382" xr:uid="{00000000-0005-0000-0000-0000204A0000}"/>
    <cellStyle name="Note 2 14 2 4" xfId="11565" xr:uid="{00000000-0005-0000-0000-0000214A0000}"/>
    <cellStyle name="Note 2 14 2 4 2" xfId="25383" xr:uid="{00000000-0005-0000-0000-0000224A0000}"/>
    <cellStyle name="Note 2 14 2 4 2 2" xfId="17180" xr:uid="{00000000-0005-0000-0000-0000234A0000}"/>
    <cellStyle name="Note 2 14 2 4 2 3" xfId="25384" xr:uid="{00000000-0005-0000-0000-0000244A0000}"/>
    <cellStyle name="Note 2 14 2 4 2 4" xfId="25385" xr:uid="{00000000-0005-0000-0000-0000254A0000}"/>
    <cellStyle name="Note 2 14 2 4 3" xfId="25386" xr:uid="{00000000-0005-0000-0000-0000264A0000}"/>
    <cellStyle name="Note 2 14 2 4 3 2" xfId="17188" xr:uid="{00000000-0005-0000-0000-0000274A0000}"/>
    <cellStyle name="Note 2 14 2 4 3 3" xfId="25387" xr:uid="{00000000-0005-0000-0000-0000284A0000}"/>
    <cellStyle name="Note 2 14 2 4 3 4" xfId="25388" xr:uid="{00000000-0005-0000-0000-0000294A0000}"/>
    <cellStyle name="Note 2 14 2 4 4" xfId="25389" xr:uid="{00000000-0005-0000-0000-00002A4A0000}"/>
    <cellStyle name="Note 2 14 2 4 4 2" xfId="25391" xr:uid="{00000000-0005-0000-0000-00002B4A0000}"/>
    <cellStyle name="Note 2 14 2 4 4 3" xfId="25392" xr:uid="{00000000-0005-0000-0000-00002C4A0000}"/>
    <cellStyle name="Note 2 14 2 4 5" xfId="25393" xr:uid="{00000000-0005-0000-0000-00002D4A0000}"/>
    <cellStyle name="Note 2 14 2 4 5 2" xfId="25395" xr:uid="{00000000-0005-0000-0000-00002E4A0000}"/>
    <cellStyle name="Note 2 14 2 4 5 3" xfId="25396" xr:uid="{00000000-0005-0000-0000-00002F4A0000}"/>
    <cellStyle name="Note 2 14 2 4 6" xfId="25397" xr:uid="{00000000-0005-0000-0000-0000304A0000}"/>
    <cellStyle name="Note 2 14 2 4 7" xfId="25399" xr:uid="{00000000-0005-0000-0000-0000314A0000}"/>
    <cellStyle name="Note 2 14 2 5" xfId="22559" xr:uid="{00000000-0005-0000-0000-0000324A0000}"/>
    <cellStyle name="Note 2 14 2 5 2" xfId="22561" xr:uid="{00000000-0005-0000-0000-0000334A0000}"/>
    <cellStyle name="Note 2 14 2 5 2 2" xfId="17210" xr:uid="{00000000-0005-0000-0000-0000344A0000}"/>
    <cellStyle name="Note 2 14 2 5 2 3" xfId="25400" xr:uid="{00000000-0005-0000-0000-0000354A0000}"/>
    <cellStyle name="Note 2 14 2 5 2 4" xfId="25401" xr:uid="{00000000-0005-0000-0000-0000364A0000}"/>
    <cellStyle name="Note 2 14 2 5 3" xfId="22563" xr:uid="{00000000-0005-0000-0000-0000374A0000}"/>
    <cellStyle name="Note 2 14 2 5 3 2" xfId="17215" xr:uid="{00000000-0005-0000-0000-0000384A0000}"/>
    <cellStyle name="Note 2 14 2 5 3 3" xfId="25402" xr:uid="{00000000-0005-0000-0000-0000394A0000}"/>
    <cellStyle name="Note 2 14 2 5 3 4" xfId="25403" xr:uid="{00000000-0005-0000-0000-00003A4A0000}"/>
    <cellStyle name="Note 2 14 2 5 4" xfId="22565" xr:uid="{00000000-0005-0000-0000-00003B4A0000}"/>
    <cellStyle name="Note 2 14 2 5 4 2" xfId="25404" xr:uid="{00000000-0005-0000-0000-00003C4A0000}"/>
    <cellStyle name="Note 2 14 2 5 4 3" xfId="25405" xr:uid="{00000000-0005-0000-0000-00003D4A0000}"/>
    <cellStyle name="Note 2 14 2 5 5" xfId="2040" xr:uid="{00000000-0005-0000-0000-00003E4A0000}"/>
    <cellStyle name="Note 2 14 2 5 5 2" xfId="2044" xr:uid="{00000000-0005-0000-0000-00003F4A0000}"/>
    <cellStyle name="Note 2 14 2 5 5 3" xfId="25406" xr:uid="{00000000-0005-0000-0000-0000404A0000}"/>
    <cellStyle name="Note 2 14 2 5 6" xfId="25407" xr:uid="{00000000-0005-0000-0000-0000414A0000}"/>
    <cellStyle name="Note 2 14 2 5 7" xfId="25408" xr:uid="{00000000-0005-0000-0000-0000424A0000}"/>
    <cellStyle name="Note 2 14 2 6" xfId="22568" xr:uid="{00000000-0005-0000-0000-0000434A0000}"/>
    <cellStyle name="Note 2 14 2 6 2" xfId="22570" xr:uid="{00000000-0005-0000-0000-0000444A0000}"/>
    <cellStyle name="Note 2 14 2 6 2 2" xfId="17237" xr:uid="{00000000-0005-0000-0000-0000454A0000}"/>
    <cellStyle name="Note 2 14 2 6 2 3" xfId="25409" xr:uid="{00000000-0005-0000-0000-0000464A0000}"/>
    <cellStyle name="Note 2 14 2 6 2 4" xfId="25410" xr:uid="{00000000-0005-0000-0000-0000474A0000}"/>
    <cellStyle name="Note 2 14 2 6 3" xfId="22573" xr:uid="{00000000-0005-0000-0000-0000484A0000}"/>
    <cellStyle name="Note 2 14 2 6 3 2" xfId="17242" xr:uid="{00000000-0005-0000-0000-0000494A0000}"/>
    <cellStyle name="Note 2 14 2 6 3 3" xfId="25411" xr:uid="{00000000-0005-0000-0000-00004A4A0000}"/>
    <cellStyle name="Note 2 14 2 6 3 4" xfId="25412" xr:uid="{00000000-0005-0000-0000-00004B4A0000}"/>
    <cellStyle name="Note 2 14 2 6 4" xfId="22576" xr:uid="{00000000-0005-0000-0000-00004C4A0000}"/>
    <cellStyle name="Note 2 14 2 6 4 2" xfId="25413" xr:uid="{00000000-0005-0000-0000-00004D4A0000}"/>
    <cellStyle name="Note 2 14 2 6 4 3" xfId="25414" xr:uid="{00000000-0005-0000-0000-00004E4A0000}"/>
    <cellStyle name="Note 2 14 2 6 5" xfId="25415" xr:uid="{00000000-0005-0000-0000-00004F4A0000}"/>
    <cellStyle name="Note 2 14 2 6 5 2" xfId="25417" xr:uid="{00000000-0005-0000-0000-0000504A0000}"/>
    <cellStyle name="Note 2 14 2 6 5 3" xfId="25418" xr:uid="{00000000-0005-0000-0000-0000514A0000}"/>
    <cellStyle name="Note 2 14 2 6 6" xfId="25419" xr:uid="{00000000-0005-0000-0000-0000524A0000}"/>
    <cellStyle name="Note 2 14 2 6 7" xfId="25420" xr:uid="{00000000-0005-0000-0000-0000534A0000}"/>
    <cellStyle name="Note 2 14 2 7" xfId="22579" xr:uid="{00000000-0005-0000-0000-0000544A0000}"/>
    <cellStyle name="Note 2 14 2 7 2" xfId="22581" xr:uid="{00000000-0005-0000-0000-0000554A0000}"/>
    <cellStyle name="Note 2 14 2 7 2 2" xfId="17259" xr:uid="{00000000-0005-0000-0000-0000564A0000}"/>
    <cellStyle name="Note 2 14 2 7 2 3" xfId="25421" xr:uid="{00000000-0005-0000-0000-0000574A0000}"/>
    <cellStyle name="Note 2 14 2 7 2 4" xfId="25422" xr:uid="{00000000-0005-0000-0000-0000584A0000}"/>
    <cellStyle name="Note 2 14 2 7 3" xfId="22584" xr:uid="{00000000-0005-0000-0000-0000594A0000}"/>
    <cellStyle name="Note 2 14 2 7 3 2" xfId="17263" xr:uid="{00000000-0005-0000-0000-00005A4A0000}"/>
    <cellStyle name="Note 2 14 2 7 3 3" xfId="25423" xr:uid="{00000000-0005-0000-0000-00005B4A0000}"/>
    <cellStyle name="Note 2 14 2 7 3 4" xfId="25424" xr:uid="{00000000-0005-0000-0000-00005C4A0000}"/>
    <cellStyle name="Note 2 14 2 7 4" xfId="25425" xr:uid="{00000000-0005-0000-0000-00005D4A0000}"/>
    <cellStyle name="Note 2 14 2 7 4 2" xfId="25426" xr:uid="{00000000-0005-0000-0000-00005E4A0000}"/>
    <cellStyle name="Note 2 14 2 7 4 3" xfId="25427" xr:uid="{00000000-0005-0000-0000-00005F4A0000}"/>
    <cellStyle name="Note 2 14 2 7 5" xfId="25428" xr:uid="{00000000-0005-0000-0000-0000604A0000}"/>
    <cellStyle name="Note 2 14 2 7 5 2" xfId="25429" xr:uid="{00000000-0005-0000-0000-0000614A0000}"/>
    <cellStyle name="Note 2 14 2 7 5 3" xfId="25430" xr:uid="{00000000-0005-0000-0000-0000624A0000}"/>
    <cellStyle name="Note 2 14 2 7 6" xfId="25431" xr:uid="{00000000-0005-0000-0000-0000634A0000}"/>
    <cellStyle name="Note 2 14 2 7 7" xfId="25432" xr:uid="{00000000-0005-0000-0000-0000644A0000}"/>
    <cellStyle name="Note 2 14 2 8" xfId="22587" xr:uid="{00000000-0005-0000-0000-0000654A0000}"/>
    <cellStyle name="Note 2 14 2 8 2" xfId="22589" xr:uid="{00000000-0005-0000-0000-0000664A0000}"/>
    <cellStyle name="Note 2 14 2 8 2 2" xfId="17283" xr:uid="{00000000-0005-0000-0000-0000674A0000}"/>
    <cellStyle name="Note 2 14 2 8 2 3" xfId="25433" xr:uid="{00000000-0005-0000-0000-0000684A0000}"/>
    <cellStyle name="Note 2 14 2 8 2 4" xfId="25434" xr:uid="{00000000-0005-0000-0000-0000694A0000}"/>
    <cellStyle name="Note 2 14 2 8 3" xfId="22592" xr:uid="{00000000-0005-0000-0000-00006A4A0000}"/>
    <cellStyle name="Note 2 14 2 8 3 2" xfId="17288" xr:uid="{00000000-0005-0000-0000-00006B4A0000}"/>
    <cellStyle name="Note 2 14 2 8 3 3" xfId="25435" xr:uid="{00000000-0005-0000-0000-00006C4A0000}"/>
    <cellStyle name="Note 2 14 2 8 3 4" xfId="25436" xr:uid="{00000000-0005-0000-0000-00006D4A0000}"/>
    <cellStyle name="Note 2 14 2 8 4" xfId="25437" xr:uid="{00000000-0005-0000-0000-00006E4A0000}"/>
    <cellStyle name="Note 2 14 2 8 4 2" xfId="25438" xr:uid="{00000000-0005-0000-0000-00006F4A0000}"/>
    <cellStyle name="Note 2 14 2 8 4 3" xfId="25439" xr:uid="{00000000-0005-0000-0000-0000704A0000}"/>
    <cellStyle name="Note 2 14 2 8 5" xfId="25440" xr:uid="{00000000-0005-0000-0000-0000714A0000}"/>
    <cellStyle name="Note 2 14 2 8 5 2" xfId="25441" xr:uid="{00000000-0005-0000-0000-0000724A0000}"/>
    <cellStyle name="Note 2 14 2 8 5 3" xfId="25442" xr:uid="{00000000-0005-0000-0000-0000734A0000}"/>
    <cellStyle name="Note 2 14 2 8 6" xfId="25443" xr:uid="{00000000-0005-0000-0000-0000744A0000}"/>
    <cellStyle name="Note 2 14 2 8 7" xfId="25444" xr:uid="{00000000-0005-0000-0000-0000754A0000}"/>
    <cellStyle name="Note 2 14 2 9" xfId="22594" xr:uid="{00000000-0005-0000-0000-0000764A0000}"/>
    <cellStyle name="Note 2 14 2 9 2" xfId="25445" xr:uid="{00000000-0005-0000-0000-0000774A0000}"/>
    <cellStyle name="Note 2 14 2 9 2 2" xfId="17307" xr:uid="{00000000-0005-0000-0000-0000784A0000}"/>
    <cellStyle name="Note 2 14 2 9 2 3" xfId="25447" xr:uid="{00000000-0005-0000-0000-0000794A0000}"/>
    <cellStyle name="Note 2 14 2 9 2 4" xfId="25448" xr:uid="{00000000-0005-0000-0000-00007A4A0000}"/>
    <cellStyle name="Note 2 14 2 9 3" xfId="25449" xr:uid="{00000000-0005-0000-0000-00007B4A0000}"/>
    <cellStyle name="Note 2 14 2 9 3 2" xfId="17311" xr:uid="{00000000-0005-0000-0000-00007C4A0000}"/>
    <cellStyle name="Note 2 14 2 9 3 3" xfId="25450" xr:uid="{00000000-0005-0000-0000-00007D4A0000}"/>
    <cellStyle name="Note 2 14 2 9 3 4" xfId="25451" xr:uid="{00000000-0005-0000-0000-00007E4A0000}"/>
    <cellStyle name="Note 2 14 2 9 4" xfId="25452" xr:uid="{00000000-0005-0000-0000-00007F4A0000}"/>
    <cellStyle name="Note 2 14 2 9 4 2" xfId="25453" xr:uid="{00000000-0005-0000-0000-0000804A0000}"/>
    <cellStyle name="Note 2 14 2 9 4 3" xfId="25454" xr:uid="{00000000-0005-0000-0000-0000814A0000}"/>
    <cellStyle name="Note 2 14 2 9 5" xfId="25455" xr:uid="{00000000-0005-0000-0000-0000824A0000}"/>
    <cellStyle name="Note 2 14 2 9 5 2" xfId="25457" xr:uid="{00000000-0005-0000-0000-0000834A0000}"/>
    <cellStyle name="Note 2 14 2 9 5 3" xfId="25458" xr:uid="{00000000-0005-0000-0000-0000844A0000}"/>
    <cellStyle name="Note 2 14 2 9 6" xfId="25459" xr:uid="{00000000-0005-0000-0000-0000854A0000}"/>
    <cellStyle name="Note 2 14 2 9 7" xfId="25461" xr:uid="{00000000-0005-0000-0000-0000864A0000}"/>
    <cellStyle name="Note 2 14 3" xfId="25463" xr:uid="{00000000-0005-0000-0000-0000874A0000}"/>
    <cellStyle name="Note 2 14 3 10" xfId="13735" xr:uid="{00000000-0005-0000-0000-0000884A0000}"/>
    <cellStyle name="Note 2 14 3 10 2" xfId="25465" xr:uid="{00000000-0005-0000-0000-0000894A0000}"/>
    <cellStyle name="Note 2 14 3 10 2 2" xfId="25466" xr:uid="{00000000-0005-0000-0000-00008A4A0000}"/>
    <cellStyle name="Note 2 14 3 10 2 3" xfId="12678" xr:uid="{00000000-0005-0000-0000-00008B4A0000}"/>
    <cellStyle name="Note 2 14 3 10 2 4" xfId="12719" xr:uid="{00000000-0005-0000-0000-00008C4A0000}"/>
    <cellStyle name="Note 2 14 3 10 3" xfId="25468" xr:uid="{00000000-0005-0000-0000-00008D4A0000}"/>
    <cellStyle name="Note 2 14 3 10 3 2" xfId="25470" xr:uid="{00000000-0005-0000-0000-00008E4A0000}"/>
    <cellStyle name="Note 2 14 3 10 3 3" xfId="25472" xr:uid="{00000000-0005-0000-0000-00008F4A0000}"/>
    <cellStyle name="Note 2 14 3 10 3 4" xfId="25475" xr:uid="{00000000-0005-0000-0000-0000904A0000}"/>
    <cellStyle name="Note 2 14 3 10 4" xfId="25478" xr:uid="{00000000-0005-0000-0000-0000914A0000}"/>
    <cellStyle name="Note 2 14 3 10 4 2" xfId="25480" xr:uid="{00000000-0005-0000-0000-0000924A0000}"/>
    <cellStyle name="Note 2 14 3 10 4 3" xfId="25482" xr:uid="{00000000-0005-0000-0000-0000934A0000}"/>
    <cellStyle name="Note 2 14 3 10 5" xfId="25485" xr:uid="{00000000-0005-0000-0000-0000944A0000}"/>
    <cellStyle name="Note 2 14 3 10 5 2" xfId="25486" xr:uid="{00000000-0005-0000-0000-0000954A0000}"/>
    <cellStyle name="Note 2 14 3 10 5 3" xfId="25487" xr:uid="{00000000-0005-0000-0000-0000964A0000}"/>
    <cellStyle name="Note 2 14 3 10 6" xfId="25489" xr:uid="{00000000-0005-0000-0000-0000974A0000}"/>
    <cellStyle name="Note 2 14 3 10 7" xfId="25490" xr:uid="{00000000-0005-0000-0000-0000984A0000}"/>
    <cellStyle name="Note 2 14 3 11" xfId="25491" xr:uid="{00000000-0005-0000-0000-0000994A0000}"/>
    <cellStyle name="Note 2 14 3 11 2" xfId="25492" xr:uid="{00000000-0005-0000-0000-00009A4A0000}"/>
    <cellStyle name="Note 2 14 3 11 3" xfId="25493" xr:uid="{00000000-0005-0000-0000-00009B4A0000}"/>
    <cellStyle name="Note 2 14 3 11 4" xfId="25495" xr:uid="{00000000-0005-0000-0000-00009C4A0000}"/>
    <cellStyle name="Note 2 14 3 12" xfId="25497" xr:uid="{00000000-0005-0000-0000-00009D4A0000}"/>
    <cellStyle name="Note 2 14 3 12 2" xfId="25498" xr:uid="{00000000-0005-0000-0000-00009E4A0000}"/>
    <cellStyle name="Note 2 14 3 12 3" xfId="25499" xr:uid="{00000000-0005-0000-0000-00009F4A0000}"/>
    <cellStyle name="Note 2 14 3 12 4" xfId="25500" xr:uid="{00000000-0005-0000-0000-0000A04A0000}"/>
    <cellStyle name="Note 2 14 3 13" xfId="25501" xr:uid="{00000000-0005-0000-0000-0000A14A0000}"/>
    <cellStyle name="Note 2 14 3 13 2" xfId="7253" xr:uid="{00000000-0005-0000-0000-0000A24A0000}"/>
    <cellStyle name="Note 2 14 3 13 3" xfId="7255" xr:uid="{00000000-0005-0000-0000-0000A34A0000}"/>
    <cellStyle name="Note 2 14 3 14" xfId="25502" xr:uid="{00000000-0005-0000-0000-0000A44A0000}"/>
    <cellStyle name="Note 2 14 3 14 2" xfId="25503" xr:uid="{00000000-0005-0000-0000-0000A54A0000}"/>
    <cellStyle name="Note 2 14 3 14 3" xfId="25504" xr:uid="{00000000-0005-0000-0000-0000A64A0000}"/>
    <cellStyle name="Note 2 14 3 15" xfId="25505" xr:uid="{00000000-0005-0000-0000-0000A74A0000}"/>
    <cellStyle name="Note 2 14 3 16" xfId="25506" xr:uid="{00000000-0005-0000-0000-0000A84A0000}"/>
    <cellStyle name="Note 2 14 3 2" xfId="11579" xr:uid="{00000000-0005-0000-0000-0000A94A0000}"/>
    <cellStyle name="Note 2 14 3 2 2" xfId="11581" xr:uid="{00000000-0005-0000-0000-0000AA4A0000}"/>
    <cellStyle name="Note 2 14 3 2 2 2" xfId="17382" xr:uid="{00000000-0005-0000-0000-0000AB4A0000}"/>
    <cellStyle name="Note 2 14 3 2 2 3" xfId="25507" xr:uid="{00000000-0005-0000-0000-0000AC4A0000}"/>
    <cellStyle name="Note 2 14 3 2 2 4" xfId="19177" xr:uid="{00000000-0005-0000-0000-0000AD4A0000}"/>
    <cellStyle name="Note 2 14 3 2 3" xfId="11583" xr:uid="{00000000-0005-0000-0000-0000AE4A0000}"/>
    <cellStyle name="Note 2 14 3 2 3 2" xfId="17387" xr:uid="{00000000-0005-0000-0000-0000AF4A0000}"/>
    <cellStyle name="Note 2 14 3 2 3 3" xfId="2505" xr:uid="{00000000-0005-0000-0000-0000B04A0000}"/>
    <cellStyle name="Note 2 14 3 2 3 4" xfId="19193" xr:uid="{00000000-0005-0000-0000-0000B14A0000}"/>
    <cellStyle name="Note 2 14 3 2 4" xfId="25508" xr:uid="{00000000-0005-0000-0000-0000B24A0000}"/>
    <cellStyle name="Note 2 14 3 2 4 2" xfId="25509" xr:uid="{00000000-0005-0000-0000-0000B34A0000}"/>
    <cellStyle name="Note 2 14 3 2 4 3" xfId="2829" xr:uid="{00000000-0005-0000-0000-0000B44A0000}"/>
    <cellStyle name="Note 2 14 3 2 5" xfId="25510" xr:uid="{00000000-0005-0000-0000-0000B54A0000}"/>
    <cellStyle name="Note 2 14 3 2 5 2" xfId="673" xr:uid="{00000000-0005-0000-0000-0000B64A0000}"/>
    <cellStyle name="Note 2 14 3 2 5 3" xfId="681" xr:uid="{00000000-0005-0000-0000-0000B74A0000}"/>
    <cellStyle name="Note 2 14 3 2 6" xfId="25511" xr:uid="{00000000-0005-0000-0000-0000B84A0000}"/>
    <cellStyle name="Note 2 14 3 2 7" xfId="25512" xr:uid="{00000000-0005-0000-0000-0000B94A0000}"/>
    <cellStyle name="Note 2 14 3 3" xfId="11585" xr:uid="{00000000-0005-0000-0000-0000BA4A0000}"/>
    <cellStyle name="Note 2 14 3 3 2" xfId="25513" xr:uid="{00000000-0005-0000-0000-0000BB4A0000}"/>
    <cellStyle name="Note 2 14 3 3 2 2" xfId="3970" xr:uid="{00000000-0005-0000-0000-0000BC4A0000}"/>
    <cellStyle name="Note 2 14 3 3 2 3" xfId="3974" xr:uid="{00000000-0005-0000-0000-0000BD4A0000}"/>
    <cellStyle name="Note 2 14 3 3 2 4" xfId="3977" xr:uid="{00000000-0005-0000-0000-0000BE4A0000}"/>
    <cellStyle name="Note 2 14 3 3 3" xfId="25514" xr:uid="{00000000-0005-0000-0000-0000BF4A0000}"/>
    <cellStyle name="Note 2 14 3 3 3 2" xfId="3986" xr:uid="{00000000-0005-0000-0000-0000C04A0000}"/>
    <cellStyle name="Note 2 14 3 3 3 3" xfId="3993" xr:uid="{00000000-0005-0000-0000-0000C14A0000}"/>
    <cellStyle name="Note 2 14 3 3 3 4" xfId="3996" xr:uid="{00000000-0005-0000-0000-0000C24A0000}"/>
    <cellStyle name="Note 2 14 3 3 4" xfId="25515" xr:uid="{00000000-0005-0000-0000-0000C34A0000}"/>
    <cellStyle name="Note 2 14 3 3 4 2" xfId="25517" xr:uid="{00000000-0005-0000-0000-0000C44A0000}"/>
    <cellStyle name="Note 2 14 3 3 4 3" xfId="25518" xr:uid="{00000000-0005-0000-0000-0000C54A0000}"/>
    <cellStyle name="Note 2 14 3 3 5" xfId="25519" xr:uid="{00000000-0005-0000-0000-0000C64A0000}"/>
    <cellStyle name="Note 2 14 3 3 5 2" xfId="25521" xr:uid="{00000000-0005-0000-0000-0000C74A0000}"/>
    <cellStyle name="Note 2 14 3 3 5 3" xfId="25522" xr:uid="{00000000-0005-0000-0000-0000C84A0000}"/>
    <cellStyle name="Note 2 14 3 3 6" xfId="25523" xr:uid="{00000000-0005-0000-0000-0000C94A0000}"/>
    <cellStyle name="Note 2 14 3 3 7" xfId="25525" xr:uid="{00000000-0005-0000-0000-0000CA4A0000}"/>
    <cellStyle name="Note 2 14 3 4" xfId="11587" xr:uid="{00000000-0005-0000-0000-0000CB4A0000}"/>
    <cellStyle name="Note 2 14 3 4 2" xfId="25526" xr:uid="{00000000-0005-0000-0000-0000CC4A0000}"/>
    <cellStyle name="Note 2 14 3 4 2 2" xfId="2272" xr:uid="{00000000-0005-0000-0000-0000CD4A0000}"/>
    <cellStyle name="Note 2 14 3 4 2 3" xfId="4540" xr:uid="{00000000-0005-0000-0000-0000CE4A0000}"/>
    <cellStyle name="Note 2 14 3 4 2 4" xfId="4841" xr:uid="{00000000-0005-0000-0000-0000CF4A0000}"/>
    <cellStyle name="Note 2 14 3 4 3" xfId="4544" xr:uid="{00000000-0005-0000-0000-0000D04A0000}"/>
    <cellStyle name="Note 2 14 3 4 3 2" xfId="2679" xr:uid="{00000000-0005-0000-0000-0000D14A0000}"/>
    <cellStyle name="Note 2 14 3 4 3 3" xfId="64" xr:uid="{00000000-0005-0000-0000-0000D24A0000}"/>
    <cellStyle name="Note 2 14 3 4 3 4" xfId="4852" xr:uid="{00000000-0005-0000-0000-0000D34A0000}"/>
    <cellStyle name="Note 2 14 3 4 4" xfId="7258" xr:uid="{00000000-0005-0000-0000-0000D44A0000}"/>
    <cellStyle name="Note 2 14 3 4 4 2" xfId="7261" xr:uid="{00000000-0005-0000-0000-0000D54A0000}"/>
    <cellStyle name="Note 2 14 3 4 4 3" xfId="7265" xr:uid="{00000000-0005-0000-0000-0000D64A0000}"/>
    <cellStyle name="Note 2 14 3 4 5" xfId="7279" xr:uid="{00000000-0005-0000-0000-0000D74A0000}"/>
    <cellStyle name="Note 2 14 3 4 5 2" xfId="7282" xr:uid="{00000000-0005-0000-0000-0000D84A0000}"/>
    <cellStyle name="Note 2 14 3 4 5 3" xfId="7284" xr:uid="{00000000-0005-0000-0000-0000D94A0000}"/>
    <cellStyle name="Note 2 14 3 4 6" xfId="7294" xr:uid="{00000000-0005-0000-0000-0000DA4A0000}"/>
    <cellStyle name="Note 2 14 3 4 7" xfId="7333" xr:uid="{00000000-0005-0000-0000-0000DB4A0000}"/>
    <cellStyle name="Note 2 14 3 5" xfId="22599" xr:uid="{00000000-0005-0000-0000-0000DC4A0000}"/>
    <cellStyle name="Note 2 14 3 5 2" xfId="22601" xr:uid="{00000000-0005-0000-0000-0000DD4A0000}"/>
    <cellStyle name="Note 2 14 3 5 2 2" xfId="2931" xr:uid="{00000000-0005-0000-0000-0000DE4A0000}"/>
    <cellStyle name="Note 2 14 3 5 2 3" xfId="2971" xr:uid="{00000000-0005-0000-0000-0000DF4A0000}"/>
    <cellStyle name="Note 2 14 3 5 2 4" xfId="2979" xr:uid="{00000000-0005-0000-0000-0000E04A0000}"/>
    <cellStyle name="Note 2 14 3 5 3" xfId="7621" xr:uid="{00000000-0005-0000-0000-0000E14A0000}"/>
    <cellStyle name="Note 2 14 3 5 3 2" xfId="2849" xr:uid="{00000000-0005-0000-0000-0000E24A0000}"/>
    <cellStyle name="Note 2 14 3 5 3 3" xfId="2866" xr:uid="{00000000-0005-0000-0000-0000E34A0000}"/>
    <cellStyle name="Note 2 14 3 5 3 4" xfId="2876" xr:uid="{00000000-0005-0000-0000-0000E44A0000}"/>
    <cellStyle name="Note 2 14 3 5 4" xfId="7672" xr:uid="{00000000-0005-0000-0000-0000E54A0000}"/>
    <cellStyle name="Note 2 14 3 5 4 2" xfId="7676" xr:uid="{00000000-0005-0000-0000-0000E64A0000}"/>
    <cellStyle name="Note 2 14 3 5 4 3" xfId="7684" xr:uid="{00000000-0005-0000-0000-0000E74A0000}"/>
    <cellStyle name="Note 2 14 3 5 5" xfId="7704" xr:uid="{00000000-0005-0000-0000-0000E84A0000}"/>
    <cellStyle name="Note 2 14 3 5 5 2" xfId="7708" xr:uid="{00000000-0005-0000-0000-0000E94A0000}"/>
    <cellStyle name="Note 2 14 3 5 5 3" xfId="7716" xr:uid="{00000000-0005-0000-0000-0000EA4A0000}"/>
    <cellStyle name="Note 2 14 3 5 6" xfId="7741" xr:uid="{00000000-0005-0000-0000-0000EB4A0000}"/>
    <cellStyle name="Note 2 14 3 5 7" xfId="7795" xr:uid="{00000000-0005-0000-0000-0000EC4A0000}"/>
    <cellStyle name="Note 2 14 3 6" xfId="22603" xr:uid="{00000000-0005-0000-0000-0000ED4A0000}"/>
    <cellStyle name="Note 2 14 3 6 2" xfId="22605" xr:uid="{00000000-0005-0000-0000-0000EE4A0000}"/>
    <cellStyle name="Note 2 14 3 6 2 2" xfId="5657" xr:uid="{00000000-0005-0000-0000-0000EF4A0000}"/>
    <cellStyle name="Note 2 14 3 6 2 3" xfId="5662" xr:uid="{00000000-0005-0000-0000-0000F04A0000}"/>
    <cellStyle name="Note 2 14 3 6 2 4" xfId="6249" xr:uid="{00000000-0005-0000-0000-0000F14A0000}"/>
    <cellStyle name="Note 2 14 3 6 3" xfId="7935" xr:uid="{00000000-0005-0000-0000-0000F24A0000}"/>
    <cellStyle name="Note 2 14 3 6 3 2" xfId="5667" xr:uid="{00000000-0005-0000-0000-0000F34A0000}"/>
    <cellStyle name="Note 2 14 3 6 3 3" xfId="5672" xr:uid="{00000000-0005-0000-0000-0000F44A0000}"/>
    <cellStyle name="Note 2 14 3 6 3 4" xfId="6261" xr:uid="{00000000-0005-0000-0000-0000F54A0000}"/>
    <cellStyle name="Note 2 14 3 6 4" xfId="7954" xr:uid="{00000000-0005-0000-0000-0000F64A0000}"/>
    <cellStyle name="Note 2 14 3 6 4 2" xfId="7957" xr:uid="{00000000-0005-0000-0000-0000F74A0000}"/>
    <cellStyle name="Note 2 14 3 6 4 3" xfId="7960" xr:uid="{00000000-0005-0000-0000-0000F84A0000}"/>
    <cellStyle name="Note 2 14 3 6 5" xfId="7963" xr:uid="{00000000-0005-0000-0000-0000F94A0000}"/>
    <cellStyle name="Note 2 14 3 6 5 2" xfId="7966" xr:uid="{00000000-0005-0000-0000-0000FA4A0000}"/>
    <cellStyle name="Note 2 14 3 6 5 3" xfId="7969" xr:uid="{00000000-0005-0000-0000-0000FB4A0000}"/>
    <cellStyle name="Note 2 14 3 6 6" xfId="7973" xr:uid="{00000000-0005-0000-0000-0000FC4A0000}"/>
    <cellStyle name="Note 2 14 3 6 7" xfId="7980" xr:uid="{00000000-0005-0000-0000-0000FD4A0000}"/>
    <cellStyle name="Note 2 14 3 7" xfId="22607" xr:uid="{00000000-0005-0000-0000-0000FE4A0000}"/>
    <cellStyle name="Note 2 14 3 7 2" xfId="22609" xr:uid="{00000000-0005-0000-0000-0000FF4A0000}"/>
    <cellStyle name="Note 2 14 3 7 2 2" xfId="6329" xr:uid="{00000000-0005-0000-0000-0000004B0000}"/>
    <cellStyle name="Note 2 14 3 7 2 3" xfId="6784" xr:uid="{00000000-0005-0000-0000-0000014B0000}"/>
    <cellStyle name="Note 2 14 3 7 2 4" xfId="2574" xr:uid="{00000000-0005-0000-0000-0000024B0000}"/>
    <cellStyle name="Note 2 14 3 7 3" xfId="7992" xr:uid="{00000000-0005-0000-0000-0000034B0000}"/>
    <cellStyle name="Note 2 14 3 7 3 2" xfId="6334" xr:uid="{00000000-0005-0000-0000-0000044B0000}"/>
    <cellStyle name="Note 2 14 3 7 3 3" xfId="4856" xr:uid="{00000000-0005-0000-0000-0000054B0000}"/>
    <cellStyle name="Note 2 14 3 7 3 4" xfId="4863" xr:uid="{00000000-0005-0000-0000-0000064B0000}"/>
    <cellStyle name="Note 2 14 3 7 4" xfId="7998" xr:uid="{00000000-0005-0000-0000-0000074B0000}"/>
    <cellStyle name="Note 2 14 3 7 4 2" xfId="8000" xr:uid="{00000000-0005-0000-0000-0000084B0000}"/>
    <cellStyle name="Note 2 14 3 7 4 3" xfId="8003" xr:uid="{00000000-0005-0000-0000-0000094B0000}"/>
    <cellStyle name="Note 2 14 3 7 5" xfId="8008" xr:uid="{00000000-0005-0000-0000-00000A4B0000}"/>
    <cellStyle name="Note 2 14 3 7 5 2" xfId="8010" xr:uid="{00000000-0005-0000-0000-00000B4B0000}"/>
    <cellStyle name="Note 2 14 3 7 5 3" xfId="8012" xr:uid="{00000000-0005-0000-0000-00000C4B0000}"/>
    <cellStyle name="Note 2 14 3 7 6" xfId="8017" xr:uid="{00000000-0005-0000-0000-00000D4B0000}"/>
    <cellStyle name="Note 2 14 3 7 7" xfId="8025" xr:uid="{00000000-0005-0000-0000-00000E4B0000}"/>
    <cellStyle name="Note 2 14 3 8" xfId="22611" xr:uid="{00000000-0005-0000-0000-00000F4B0000}"/>
    <cellStyle name="Note 2 14 3 8 2" xfId="22613" xr:uid="{00000000-0005-0000-0000-0000104B0000}"/>
    <cellStyle name="Note 2 14 3 8 2 2" xfId="6934" xr:uid="{00000000-0005-0000-0000-0000114B0000}"/>
    <cellStyle name="Note 2 14 3 8 2 3" xfId="6937" xr:uid="{00000000-0005-0000-0000-0000124B0000}"/>
    <cellStyle name="Note 2 14 3 8 2 4" xfId="6940" xr:uid="{00000000-0005-0000-0000-0000134B0000}"/>
    <cellStyle name="Note 2 14 3 8 3" xfId="8043" xr:uid="{00000000-0005-0000-0000-0000144B0000}"/>
    <cellStyle name="Note 2 14 3 8 3 2" xfId="6951" xr:uid="{00000000-0005-0000-0000-0000154B0000}"/>
    <cellStyle name="Note 2 14 3 8 3 3" xfId="4906" xr:uid="{00000000-0005-0000-0000-0000164B0000}"/>
    <cellStyle name="Note 2 14 3 8 3 4" xfId="4912" xr:uid="{00000000-0005-0000-0000-0000174B0000}"/>
    <cellStyle name="Note 2 14 3 8 4" xfId="8045" xr:uid="{00000000-0005-0000-0000-0000184B0000}"/>
    <cellStyle name="Note 2 14 3 8 4 2" xfId="8047" xr:uid="{00000000-0005-0000-0000-0000194B0000}"/>
    <cellStyle name="Note 2 14 3 8 4 3" xfId="8049" xr:uid="{00000000-0005-0000-0000-00001A4B0000}"/>
    <cellStyle name="Note 2 14 3 8 5" xfId="8053" xr:uid="{00000000-0005-0000-0000-00001B4B0000}"/>
    <cellStyle name="Note 2 14 3 8 5 2" xfId="8055" xr:uid="{00000000-0005-0000-0000-00001C4B0000}"/>
    <cellStyle name="Note 2 14 3 8 5 3" xfId="8057" xr:uid="{00000000-0005-0000-0000-00001D4B0000}"/>
    <cellStyle name="Note 2 14 3 8 6" xfId="8061" xr:uid="{00000000-0005-0000-0000-00001E4B0000}"/>
    <cellStyle name="Note 2 14 3 8 7" xfId="8069" xr:uid="{00000000-0005-0000-0000-00001F4B0000}"/>
    <cellStyle name="Note 2 14 3 9" xfId="22615" xr:uid="{00000000-0005-0000-0000-0000204B0000}"/>
    <cellStyle name="Note 2 14 3 9 2" xfId="25527" xr:uid="{00000000-0005-0000-0000-0000214B0000}"/>
    <cellStyle name="Note 2 14 3 9 2 2" xfId="7146" xr:uid="{00000000-0005-0000-0000-0000224B0000}"/>
    <cellStyle name="Note 2 14 3 9 2 3" xfId="7149" xr:uid="{00000000-0005-0000-0000-0000234B0000}"/>
    <cellStyle name="Note 2 14 3 9 2 4" xfId="2594" xr:uid="{00000000-0005-0000-0000-0000244B0000}"/>
    <cellStyle name="Note 2 14 3 9 3" xfId="8086" xr:uid="{00000000-0005-0000-0000-0000254B0000}"/>
    <cellStyle name="Note 2 14 3 9 3 2" xfId="7165" xr:uid="{00000000-0005-0000-0000-0000264B0000}"/>
    <cellStyle name="Note 2 14 3 9 3 3" xfId="4971" xr:uid="{00000000-0005-0000-0000-0000274B0000}"/>
    <cellStyle name="Note 2 14 3 9 3 4" xfId="4976" xr:uid="{00000000-0005-0000-0000-0000284B0000}"/>
    <cellStyle name="Note 2 14 3 9 4" xfId="8088" xr:uid="{00000000-0005-0000-0000-0000294B0000}"/>
    <cellStyle name="Note 2 14 3 9 4 2" xfId="8090" xr:uid="{00000000-0005-0000-0000-00002A4B0000}"/>
    <cellStyle name="Note 2 14 3 9 4 3" xfId="8092" xr:uid="{00000000-0005-0000-0000-00002B4B0000}"/>
    <cellStyle name="Note 2 14 3 9 5" xfId="8096" xr:uid="{00000000-0005-0000-0000-00002C4B0000}"/>
    <cellStyle name="Note 2 14 3 9 5 2" xfId="8098" xr:uid="{00000000-0005-0000-0000-00002D4B0000}"/>
    <cellStyle name="Note 2 14 3 9 5 3" xfId="8100" xr:uid="{00000000-0005-0000-0000-00002E4B0000}"/>
    <cellStyle name="Note 2 14 3 9 6" xfId="8104" xr:uid="{00000000-0005-0000-0000-00002F4B0000}"/>
    <cellStyle name="Note 2 14 3 9 7" xfId="8112" xr:uid="{00000000-0005-0000-0000-0000304B0000}"/>
    <cellStyle name="Note 2 14 4" xfId="25528" xr:uid="{00000000-0005-0000-0000-0000314B0000}"/>
    <cellStyle name="Note 2 14 4 2" xfId="11607" xr:uid="{00000000-0005-0000-0000-0000324B0000}"/>
    <cellStyle name="Note 2 14 4 2 2" xfId="11610" xr:uid="{00000000-0005-0000-0000-0000334B0000}"/>
    <cellStyle name="Note 2 14 4 2 3" xfId="11613" xr:uid="{00000000-0005-0000-0000-0000344B0000}"/>
    <cellStyle name="Note 2 14 4 2 4" xfId="25529" xr:uid="{00000000-0005-0000-0000-0000354B0000}"/>
    <cellStyle name="Note 2 14 4 3" xfId="11616" xr:uid="{00000000-0005-0000-0000-0000364B0000}"/>
    <cellStyle name="Note 2 14 4 3 2" xfId="20972" xr:uid="{00000000-0005-0000-0000-0000374B0000}"/>
    <cellStyle name="Note 2 14 4 3 3" xfId="25531" xr:uid="{00000000-0005-0000-0000-0000384B0000}"/>
    <cellStyle name="Note 2 14 4 3 4" xfId="25533" xr:uid="{00000000-0005-0000-0000-0000394B0000}"/>
    <cellStyle name="Note 2 14 4 4" xfId="11618" xr:uid="{00000000-0005-0000-0000-00003A4B0000}"/>
    <cellStyle name="Note 2 14 4 4 2" xfId="20976" xr:uid="{00000000-0005-0000-0000-00003B4B0000}"/>
    <cellStyle name="Note 2 14 4 4 3" xfId="8464" xr:uid="{00000000-0005-0000-0000-00003C4B0000}"/>
    <cellStyle name="Note 2 14 4 5" xfId="22621" xr:uid="{00000000-0005-0000-0000-00003D4B0000}"/>
    <cellStyle name="Note 2 14 4 5 2" xfId="22623" xr:uid="{00000000-0005-0000-0000-00003E4B0000}"/>
    <cellStyle name="Note 2 14 4 5 3" xfId="8668" xr:uid="{00000000-0005-0000-0000-00003F4B0000}"/>
    <cellStyle name="Note 2 14 4 6" xfId="22627" xr:uid="{00000000-0005-0000-0000-0000404B0000}"/>
    <cellStyle name="Note 2 14 4 7" xfId="22630" xr:uid="{00000000-0005-0000-0000-0000414B0000}"/>
    <cellStyle name="Note 2 14 5" xfId="25536" xr:uid="{00000000-0005-0000-0000-0000424B0000}"/>
    <cellStyle name="Note 2 14 5 2" xfId="11635" xr:uid="{00000000-0005-0000-0000-0000434B0000}"/>
    <cellStyle name="Note 2 14 5 2 2" xfId="11637" xr:uid="{00000000-0005-0000-0000-0000444B0000}"/>
    <cellStyle name="Note 2 14 5 2 3" xfId="11639" xr:uid="{00000000-0005-0000-0000-0000454B0000}"/>
    <cellStyle name="Note 2 14 5 2 4" xfId="25537" xr:uid="{00000000-0005-0000-0000-0000464B0000}"/>
    <cellStyle name="Note 2 14 5 3" xfId="11641" xr:uid="{00000000-0005-0000-0000-0000474B0000}"/>
    <cellStyle name="Note 2 14 5 3 2" xfId="25538" xr:uid="{00000000-0005-0000-0000-0000484B0000}"/>
    <cellStyle name="Note 2 14 5 3 3" xfId="25539" xr:uid="{00000000-0005-0000-0000-0000494B0000}"/>
    <cellStyle name="Note 2 14 5 3 4" xfId="25540" xr:uid="{00000000-0005-0000-0000-00004A4B0000}"/>
    <cellStyle name="Note 2 14 5 4" xfId="11643" xr:uid="{00000000-0005-0000-0000-00004B4B0000}"/>
    <cellStyle name="Note 2 14 5 4 2" xfId="14402" xr:uid="{00000000-0005-0000-0000-00004C4B0000}"/>
    <cellStyle name="Note 2 14 5 4 3" xfId="9302" xr:uid="{00000000-0005-0000-0000-00004D4B0000}"/>
    <cellStyle name="Note 2 14 5 5" xfId="22640" xr:uid="{00000000-0005-0000-0000-00004E4B0000}"/>
    <cellStyle name="Note 2 14 5 5 2" xfId="22642" xr:uid="{00000000-0005-0000-0000-00004F4B0000}"/>
    <cellStyle name="Note 2 14 5 5 3" xfId="9617" xr:uid="{00000000-0005-0000-0000-0000504B0000}"/>
    <cellStyle name="Note 2 14 5 6" xfId="22646" xr:uid="{00000000-0005-0000-0000-0000514B0000}"/>
    <cellStyle name="Note 2 14 5 7" xfId="22650" xr:uid="{00000000-0005-0000-0000-0000524B0000}"/>
    <cellStyle name="Note 2 14 6" xfId="25541" xr:uid="{00000000-0005-0000-0000-0000534B0000}"/>
    <cellStyle name="Note 2 14 6 2" xfId="11687" xr:uid="{00000000-0005-0000-0000-0000544B0000}"/>
    <cellStyle name="Note 2 14 6 2 2" xfId="11690" xr:uid="{00000000-0005-0000-0000-0000554B0000}"/>
    <cellStyle name="Note 2 14 6 2 3" xfId="11693" xr:uid="{00000000-0005-0000-0000-0000564B0000}"/>
    <cellStyle name="Note 2 14 6 2 4" xfId="25542" xr:uid="{00000000-0005-0000-0000-0000574B0000}"/>
    <cellStyle name="Note 2 14 6 3" xfId="11697" xr:uid="{00000000-0005-0000-0000-0000584B0000}"/>
    <cellStyle name="Note 2 14 6 3 2" xfId="25544" xr:uid="{00000000-0005-0000-0000-0000594B0000}"/>
    <cellStyle name="Note 2 14 6 3 3" xfId="25546" xr:uid="{00000000-0005-0000-0000-00005A4B0000}"/>
    <cellStyle name="Note 2 14 6 3 4" xfId="25548" xr:uid="{00000000-0005-0000-0000-00005B4B0000}"/>
    <cellStyle name="Note 2 14 6 4" xfId="11699" xr:uid="{00000000-0005-0000-0000-00005C4B0000}"/>
    <cellStyle name="Note 2 14 6 4 2" xfId="17701" xr:uid="{00000000-0005-0000-0000-00005D4B0000}"/>
    <cellStyle name="Note 2 14 6 4 3" xfId="10249" xr:uid="{00000000-0005-0000-0000-00005E4B0000}"/>
    <cellStyle name="Note 2 14 6 5" xfId="22665" xr:uid="{00000000-0005-0000-0000-00005F4B0000}"/>
    <cellStyle name="Note 2 14 6 5 2" xfId="22667" xr:uid="{00000000-0005-0000-0000-0000604B0000}"/>
    <cellStyle name="Note 2 14 6 5 3" xfId="10497" xr:uid="{00000000-0005-0000-0000-0000614B0000}"/>
    <cellStyle name="Note 2 14 6 6" xfId="22672" xr:uid="{00000000-0005-0000-0000-0000624B0000}"/>
    <cellStyle name="Note 2 14 6 7" xfId="22676" xr:uid="{00000000-0005-0000-0000-0000634B0000}"/>
    <cellStyle name="Note 2 14 7" xfId="25550" xr:uid="{00000000-0005-0000-0000-0000644B0000}"/>
    <cellStyle name="Note 2 14 7 2" xfId="16684" xr:uid="{00000000-0005-0000-0000-0000654B0000}"/>
    <cellStyle name="Note 2 14 7 2 2" xfId="25552" xr:uid="{00000000-0005-0000-0000-0000664B0000}"/>
    <cellStyle name="Note 2 14 7 2 3" xfId="25554" xr:uid="{00000000-0005-0000-0000-0000674B0000}"/>
    <cellStyle name="Note 2 14 7 2 4" xfId="25556" xr:uid="{00000000-0005-0000-0000-0000684B0000}"/>
    <cellStyle name="Note 2 14 7 3" xfId="16687" xr:uid="{00000000-0005-0000-0000-0000694B0000}"/>
    <cellStyle name="Note 2 14 7 3 2" xfId="25558" xr:uid="{00000000-0005-0000-0000-00006A4B0000}"/>
    <cellStyle name="Note 2 14 7 3 3" xfId="25560" xr:uid="{00000000-0005-0000-0000-00006B4B0000}"/>
    <cellStyle name="Note 2 14 7 3 4" xfId="25562" xr:uid="{00000000-0005-0000-0000-00006C4B0000}"/>
    <cellStyle name="Note 2 14 7 4" xfId="25564" xr:uid="{00000000-0005-0000-0000-00006D4B0000}"/>
    <cellStyle name="Note 2 14 7 4 2" xfId="25567" xr:uid="{00000000-0005-0000-0000-00006E4B0000}"/>
    <cellStyle name="Note 2 14 7 4 3" xfId="11072" xr:uid="{00000000-0005-0000-0000-00006F4B0000}"/>
    <cellStyle name="Note 2 14 7 5" xfId="21252" xr:uid="{00000000-0005-0000-0000-0000704B0000}"/>
    <cellStyle name="Note 2 14 7 5 2" xfId="25571" xr:uid="{00000000-0005-0000-0000-0000714B0000}"/>
    <cellStyle name="Note 2 14 7 5 3" xfId="11347" xr:uid="{00000000-0005-0000-0000-0000724B0000}"/>
    <cellStyle name="Note 2 14 7 6" xfId="21255" xr:uid="{00000000-0005-0000-0000-0000734B0000}"/>
    <cellStyle name="Note 2 14 7 7" xfId="21256" xr:uid="{00000000-0005-0000-0000-0000744B0000}"/>
    <cellStyle name="Note 2 14 8" xfId="25573" xr:uid="{00000000-0005-0000-0000-0000754B0000}"/>
    <cellStyle name="Note 2 14 8 2" xfId="16709" xr:uid="{00000000-0005-0000-0000-0000764B0000}"/>
    <cellStyle name="Note 2 14 8 2 2" xfId="25575" xr:uid="{00000000-0005-0000-0000-0000774B0000}"/>
    <cellStyle name="Note 2 14 8 2 3" xfId="25576" xr:uid="{00000000-0005-0000-0000-0000784B0000}"/>
    <cellStyle name="Note 2 14 8 2 4" xfId="25577" xr:uid="{00000000-0005-0000-0000-0000794B0000}"/>
    <cellStyle name="Note 2 14 8 3" xfId="16712" xr:uid="{00000000-0005-0000-0000-00007A4B0000}"/>
    <cellStyle name="Note 2 14 8 3 2" xfId="25578" xr:uid="{00000000-0005-0000-0000-00007B4B0000}"/>
    <cellStyle name="Note 2 14 8 3 3" xfId="25579" xr:uid="{00000000-0005-0000-0000-00007C4B0000}"/>
    <cellStyle name="Note 2 14 8 3 4" xfId="25580" xr:uid="{00000000-0005-0000-0000-00007D4B0000}"/>
    <cellStyle name="Note 2 14 8 4" xfId="25581" xr:uid="{00000000-0005-0000-0000-00007E4B0000}"/>
    <cellStyle name="Note 2 14 8 4 2" xfId="25583" xr:uid="{00000000-0005-0000-0000-00007F4B0000}"/>
    <cellStyle name="Note 2 14 8 4 3" xfId="11864" xr:uid="{00000000-0005-0000-0000-0000804B0000}"/>
    <cellStyle name="Note 2 14 8 5" xfId="21262" xr:uid="{00000000-0005-0000-0000-0000814B0000}"/>
    <cellStyle name="Note 2 14 8 5 2" xfId="25585" xr:uid="{00000000-0005-0000-0000-0000824B0000}"/>
    <cellStyle name="Note 2 14 8 5 3" xfId="12180" xr:uid="{00000000-0005-0000-0000-0000834B0000}"/>
    <cellStyle name="Note 2 14 8 6" xfId="1043" xr:uid="{00000000-0005-0000-0000-0000844B0000}"/>
    <cellStyle name="Note 2 14 8 7" xfId="1058" xr:uid="{00000000-0005-0000-0000-0000854B0000}"/>
    <cellStyle name="Note 2 14 9" xfId="25589" xr:uid="{00000000-0005-0000-0000-0000864B0000}"/>
    <cellStyle name="Note 2 14 9 2" xfId="16735" xr:uid="{00000000-0005-0000-0000-0000874B0000}"/>
    <cellStyle name="Note 2 14 9 2 2" xfId="25591" xr:uid="{00000000-0005-0000-0000-0000884B0000}"/>
    <cellStyle name="Note 2 14 9 2 3" xfId="25592" xr:uid="{00000000-0005-0000-0000-0000894B0000}"/>
    <cellStyle name="Note 2 14 9 2 4" xfId="25593" xr:uid="{00000000-0005-0000-0000-00008A4B0000}"/>
    <cellStyle name="Note 2 14 9 3" xfId="16739" xr:uid="{00000000-0005-0000-0000-00008B4B0000}"/>
    <cellStyle name="Note 2 14 9 3 2" xfId="25594" xr:uid="{00000000-0005-0000-0000-00008C4B0000}"/>
    <cellStyle name="Note 2 14 9 3 3" xfId="25595" xr:uid="{00000000-0005-0000-0000-00008D4B0000}"/>
    <cellStyle name="Note 2 14 9 3 4" xfId="25596" xr:uid="{00000000-0005-0000-0000-00008E4B0000}"/>
    <cellStyle name="Note 2 14 9 4" xfId="25597" xr:uid="{00000000-0005-0000-0000-00008F4B0000}"/>
    <cellStyle name="Note 2 14 9 4 2" xfId="25599" xr:uid="{00000000-0005-0000-0000-0000904B0000}"/>
    <cellStyle name="Note 2 14 9 4 3" xfId="12841" xr:uid="{00000000-0005-0000-0000-0000914B0000}"/>
    <cellStyle name="Note 2 14 9 5" xfId="21267" xr:uid="{00000000-0005-0000-0000-0000924B0000}"/>
    <cellStyle name="Note 2 14 9 5 2" xfId="25602" xr:uid="{00000000-0005-0000-0000-0000934B0000}"/>
    <cellStyle name="Note 2 14 9 5 3" xfId="13087" xr:uid="{00000000-0005-0000-0000-0000944B0000}"/>
    <cellStyle name="Note 2 14 9 6" xfId="1090" xr:uid="{00000000-0005-0000-0000-0000954B0000}"/>
    <cellStyle name="Note 2 14 9 7" xfId="654" xr:uid="{00000000-0005-0000-0000-0000964B0000}"/>
    <cellStyle name="Note 2 15" xfId="25605" xr:uid="{00000000-0005-0000-0000-0000974B0000}"/>
    <cellStyle name="Note 2 15 10" xfId="14818" xr:uid="{00000000-0005-0000-0000-0000984B0000}"/>
    <cellStyle name="Note 2 15 10 2" xfId="14820" xr:uid="{00000000-0005-0000-0000-0000994B0000}"/>
    <cellStyle name="Note 2 15 10 2 2" xfId="25608" xr:uid="{00000000-0005-0000-0000-00009A4B0000}"/>
    <cellStyle name="Note 2 15 10 2 3" xfId="25609" xr:uid="{00000000-0005-0000-0000-00009B4B0000}"/>
    <cellStyle name="Note 2 15 10 2 4" xfId="25610" xr:uid="{00000000-0005-0000-0000-00009C4B0000}"/>
    <cellStyle name="Note 2 15 10 3" xfId="14823" xr:uid="{00000000-0005-0000-0000-00009D4B0000}"/>
    <cellStyle name="Note 2 15 10 3 2" xfId="25611" xr:uid="{00000000-0005-0000-0000-00009E4B0000}"/>
    <cellStyle name="Note 2 15 10 3 3" xfId="25612" xr:uid="{00000000-0005-0000-0000-00009F4B0000}"/>
    <cellStyle name="Note 2 15 10 3 4" xfId="25613" xr:uid="{00000000-0005-0000-0000-0000A04B0000}"/>
    <cellStyle name="Note 2 15 10 4" xfId="24089" xr:uid="{00000000-0005-0000-0000-0000A14B0000}"/>
    <cellStyle name="Note 2 15 10 4 2" xfId="25614" xr:uid="{00000000-0005-0000-0000-0000A24B0000}"/>
    <cellStyle name="Note 2 15 10 4 3" xfId="25615" xr:uid="{00000000-0005-0000-0000-0000A34B0000}"/>
    <cellStyle name="Note 2 15 10 5" xfId="24091" xr:uid="{00000000-0005-0000-0000-0000A44B0000}"/>
    <cellStyle name="Note 2 15 10 5 2" xfId="25616" xr:uid="{00000000-0005-0000-0000-0000A54B0000}"/>
    <cellStyle name="Note 2 15 10 5 3" xfId="25617" xr:uid="{00000000-0005-0000-0000-0000A64B0000}"/>
    <cellStyle name="Note 2 15 10 6" xfId="25618" xr:uid="{00000000-0005-0000-0000-0000A74B0000}"/>
    <cellStyle name="Note 2 15 10 7" xfId="25619" xr:uid="{00000000-0005-0000-0000-0000A84B0000}"/>
    <cellStyle name="Note 2 15 11" xfId="14825" xr:uid="{00000000-0005-0000-0000-0000A94B0000}"/>
    <cellStyle name="Note 2 15 11 2" xfId="25620" xr:uid="{00000000-0005-0000-0000-0000AA4B0000}"/>
    <cellStyle name="Note 2 15 11 3" xfId="25621" xr:uid="{00000000-0005-0000-0000-0000AB4B0000}"/>
    <cellStyle name="Note 2 15 11 4" xfId="25622" xr:uid="{00000000-0005-0000-0000-0000AC4B0000}"/>
    <cellStyle name="Note 2 15 12" xfId="14828" xr:uid="{00000000-0005-0000-0000-0000AD4B0000}"/>
    <cellStyle name="Note 2 15 12 2" xfId="25623" xr:uid="{00000000-0005-0000-0000-0000AE4B0000}"/>
    <cellStyle name="Note 2 15 12 3" xfId="25624" xr:uid="{00000000-0005-0000-0000-0000AF4B0000}"/>
    <cellStyle name="Note 2 15 12 4" xfId="25625" xr:uid="{00000000-0005-0000-0000-0000B04B0000}"/>
    <cellStyle name="Note 2 15 13" xfId="25626" xr:uid="{00000000-0005-0000-0000-0000B14B0000}"/>
    <cellStyle name="Note 2 15 13 2" xfId="25628" xr:uid="{00000000-0005-0000-0000-0000B24B0000}"/>
    <cellStyle name="Note 2 15 13 3" xfId="25629" xr:uid="{00000000-0005-0000-0000-0000B34B0000}"/>
    <cellStyle name="Note 2 15 14" xfId="5608" xr:uid="{00000000-0005-0000-0000-0000B44B0000}"/>
    <cellStyle name="Note 2 15 14 2" xfId="6003" xr:uid="{00000000-0005-0000-0000-0000B54B0000}"/>
    <cellStyle name="Note 2 15 14 3" xfId="6008" xr:uid="{00000000-0005-0000-0000-0000B64B0000}"/>
    <cellStyle name="Note 2 15 15" xfId="1330" xr:uid="{00000000-0005-0000-0000-0000B74B0000}"/>
    <cellStyle name="Note 2 15 16" xfId="1352" xr:uid="{00000000-0005-0000-0000-0000B84B0000}"/>
    <cellStyle name="Note 2 15 17" xfId="1357" xr:uid="{00000000-0005-0000-0000-0000B94B0000}"/>
    <cellStyle name="Note 2 15 2" xfId="14737" xr:uid="{00000000-0005-0000-0000-0000BA4B0000}"/>
    <cellStyle name="Note 2 15 2 2" xfId="12528" xr:uid="{00000000-0005-0000-0000-0000BB4B0000}"/>
    <cellStyle name="Note 2 15 2 2 2" xfId="12531" xr:uid="{00000000-0005-0000-0000-0000BC4B0000}"/>
    <cellStyle name="Note 2 15 2 2 3" xfId="12533" xr:uid="{00000000-0005-0000-0000-0000BD4B0000}"/>
    <cellStyle name="Note 2 15 2 2 4" xfId="25630" xr:uid="{00000000-0005-0000-0000-0000BE4B0000}"/>
    <cellStyle name="Note 2 15 2 3" xfId="12536" xr:uid="{00000000-0005-0000-0000-0000BF4B0000}"/>
    <cellStyle name="Note 2 15 2 3 2" xfId="25631" xr:uid="{00000000-0005-0000-0000-0000C04B0000}"/>
    <cellStyle name="Note 2 15 2 3 3" xfId="25632" xr:uid="{00000000-0005-0000-0000-0000C14B0000}"/>
    <cellStyle name="Note 2 15 2 3 4" xfId="25633" xr:uid="{00000000-0005-0000-0000-0000C24B0000}"/>
    <cellStyle name="Note 2 15 2 4" xfId="12540" xr:uid="{00000000-0005-0000-0000-0000C34B0000}"/>
    <cellStyle name="Note 2 15 2 4 2" xfId="22273" xr:uid="{00000000-0005-0000-0000-0000C44B0000}"/>
    <cellStyle name="Note 2 15 2 4 3" xfId="22280" xr:uid="{00000000-0005-0000-0000-0000C54B0000}"/>
    <cellStyle name="Note 2 15 2 5" xfId="22694" xr:uid="{00000000-0005-0000-0000-0000C64B0000}"/>
    <cellStyle name="Note 2 15 2 5 2" xfId="25635" xr:uid="{00000000-0005-0000-0000-0000C74B0000}"/>
    <cellStyle name="Note 2 15 2 5 3" xfId="25636" xr:uid="{00000000-0005-0000-0000-0000C84B0000}"/>
    <cellStyle name="Note 2 15 2 6" xfId="22696" xr:uid="{00000000-0005-0000-0000-0000C94B0000}"/>
    <cellStyle name="Note 2 15 2 7" xfId="25637" xr:uid="{00000000-0005-0000-0000-0000CA4B0000}"/>
    <cellStyle name="Note 2 15 3" xfId="14742" xr:uid="{00000000-0005-0000-0000-0000CB4B0000}"/>
    <cellStyle name="Note 2 15 3 2" xfId="12557" xr:uid="{00000000-0005-0000-0000-0000CC4B0000}"/>
    <cellStyle name="Note 2 15 3 2 2" xfId="12560" xr:uid="{00000000-0005-0000-0000-0000CD4B0000}"/>
    <cellStyle name="Note 2 15 3 2 3" xfId="12562" xr:uid="{00000000-0005-0000-0000-0000CE4B0000}"/>
    <cellStyle name="Note 2 15 3 2 4" xfId="25638" xr:uid="{00000000-0005-0000-0000-0000CF4B0000}"/>
    <cellStyle name="Note 2 15 3 3" xfId="12565" xr:uid="{00000000-0005-0000-0000-0000D04B0000}"/>
    <cellStyle name="Note 2 15 3 3 2" xfId="25639" xr:uid="{00000000-0005-0000-0000-0000D14B0000}"/>
    <cellStyle name="Note 2 15 3 3 3" xfId="25640" xr:uid="{00000000-0005-0000-0000-0000D24B0000}"/>
    <cellStyle name="Note 2 15 3 3 4" xfId="25641" xr:uid="{00000000-0005-0000-0000-0000D34B0000}"/>
    <cellStyle name="Note 2 15 3 4" xfId="12569" xr:uid="{00000000-0005-0000-0000-0000D44B0000}"/>
    <cellStyle name="Note 2 15 3 4 2" xfId="25643" xr:uid="{00000000-0005-0000-0000-0000D54B0000}"/>
    <cellStyle name="Note 2 15 3 4 3" xfId="25644" xr:uid="{00000000-0005-0000-0000-0000D64B0000}"/>
    <cellStyle name="Note 2 15 3 5" xfId="25645" xr:uid="{00000000-0005-0000-0000-0000D74B0000}"/>
    <cellStyle name="Note 2 15 3 5 2" xfId="25646" xr:uid="{00000000-0005-0000-0000-0000D84B0000}"/>
    <cellStyle name="Note 2 15 3 5 3" xfId="25647" xr:uid="{00000000-0005-0000-0000-0000D94B0000}"/>
    <cellStyle name="Note 2 15 3 6" xfId="25648" xr:uid="{00000000-0005-0000-0000-0000DA4B0000}"/>
    <cellStyle name="Note 2 15 3 7" xfId="25649" xr:uid="{00000000-0005-0000-0000-0000DB4B0000}"/>
    <cellStyle name="Note 2 15 4" xfId="14746" xr:uid="{00000000-0005-0000-0000-0000DC4B0000}"/>
    <cellStyle name="Note 2 15 4 2" xfId="12586" xr:uid="{00000000-0005-0000-0000-0000DD4B0000}"/>
    <cellStyle name="Note 2 15 4 2 2" xfId="12591" xr:uid="{00000000-0005-0000-0000-0000DE4B0000}"/>
    <cellStyle name="Note 2 15 4 2 3" xfId="12593" xr:uid="{00000000-0005-0000-0000-0000DF4B0000}"/>
    <cellStyle name="Note 2 15 4 2 4" xfId="25650" xr:uid="{00000000-0005-0000-0000-0000E04B0000}"/>
    <cellStyle name="Note 2 15 4 3" xfId="12596" xr:uid="{00000000-0005-0000-0000-0000E14B0000}"/>
    <cellStyle name="Note 2 15 4 3 2" xfId="25651" xr:uid="{00000000-0005-0000-0000-0000E24B0000}"/>
    <cellStyle name="Note 2 15 4 3 3" xfId="25652" xr:uid="{00000000-0005-0000-0000-0000E34B0000}"/>
    <cellStyle name="Note 2 15 4 3 4" xfId="23830" xr:uid="{00000000-0005-0000-0000-0000E44B0000}"/>
    <cellStyle name="Note 2 15 4 4" xfId="12599" xr:uid="{00000000-0005-0000-0000-0000E54B0000}"/>
    <cellStyle name="Note 2 15 4 4 2" xfId="25653" xr:uid="{00000000-0005-0000-0000-0000E64B0000}"/>
    <cellStyle name="Note 2 15 4 4 3" xfId="25654" xr:uid="{00000000-0005-0000-0000-0000E74B0000}"/>
    <cellStyle name="Note 2 15 4 5" xfId="25655" xr:uid="{00000000-0005-0000-0000-0000E84B0000}"/>
    <cellStyle name="Note 2 15 4 5 2" xfId="25656" xr:uid="{00000000-0005-0000-0000-0000E94B0000}"/>
    <cellStyle name="Note 2 15 4 5 3" xfId="25657" xr:uid="{00000000-0005-0000-0000-0000EA4B0000}"/>
    <cellStyle name="Note 2 15 4 6" xfId="25658" xr:uid="{00000000-0005-0000-0000-0000EB4B0000}"/>
    <cellStyle name="Note 2 15 4 7" xfId="25659" xr:uid="{00000000-0005-0000-0000-0000EC4B0000}"/>
    <cellStyle name="Note 2 15 5" xfId="14749" xr:uid="{00000000-0005-0000-0000-0000ED4B0000}"/>
    <cellStyle name="Note 2 15 5 2" xfId="12618" xr:uid="{00000000-0005-0000-0000-0000EE4B0000}"/>
    <cellStyle name="Note 2 15 5 2 2" xfId="12623" xr:uid="{00000000-0005-0000-0000-0000EF4B0000}"/>
    <cellStyle name="Note 2 15 5 2 3" xfId="12625" xr:uid="{00000000-0005-0000-0000-0000F04B0000}"/>
    <cellStyle name="Note 2 15 5 2 4" xfId="22878" xr:uid="{00000000-0005-0000-0000-0000F14B0000}"/>
    <cellStyle name="Note 2 15 5 3" xfId="12628" xr:uid="{00000000-0005-0000-0000-0000F24B0000}"/>
    <cellStyle name="Note 2 15 5 3 2" xfId="25660" xr:uid="{00000000-0005-0000-0000-0000F34B0000}"/>
    <cellStyle name="Note 2 15 5 3 3" xfId="25661" xr:uid="{00000000-0005-0000-0000-0000F44B0000}"/>
    <cellStyle name="Note 2 15 5 3 4" xfId="22884" xr:uid="{00000000-0005-0000-0000-0000F54B0000}"/>
    <cellStyle name="Note 2 15 5 4" xfId="12631" xr:uid="{00000000-0005-0000-0000-0000F64B0000}"/>
    <cellStyle name="Note 2 15 5 4 2" xfId="25662" xr:uid="{00000000-0005-0000-0000-0000F74B0000}"/>
    <cellStyle name="Note 2 15 5 4 3" xfId="25664" xr:uid="{00000000-0005-0000-0000-0000F84B0000}"/>
    <cellStyle name="Note 2 15 5 5" xfId="14273" xr:uid="{00000000-0005-0000-0000-0000F94B0000}"/>
    <cellStyle name="Note 2 15 5 5 2" xfId="14275" xr:uid="{00000000-0005-0000-0000-0000FA4B0000}"/>
    <cellStyle name="Note 2 15 5 5 3" xfId="25666" xr:uid="{00000000-0005-0000-0000-0000FB4B0000}"/>
    <cellStyle name="Note 2 15 5 6" xfId="25668" xr:uid="{00000000-0005-0000-0000-0000FC4B0000}"/>
    <cellStyle name="Note 2 15 5 7" xfId="25669" xr:uid="{00000000-0005-0000-0000-0000FD4B0000}"/>
    <cellStyle name="Note 2 15 6" xfId="14752" xr:uid="{00000000-0005-0000-0000-0000FE4B0000}"/>
    <cellStyle name="Note 2 15 6 2" xfId="12663" xr:uid="{00000000-0005-0000-0000-0000FF4B0000}"/>
    <cellStyle name="Note 2 15 6 2 2" xfId="12667" xr:uid="{00000000-0005-0000-0000-0000004C0000}"/>
    <cellStyle name="Note 2 15 6 2 3" xfId="12670" xr:uid="{00000000-0005-0000-0000-0000014C0000}"/>
    <cellStyle name="Note 2 15 6 2 4" xfId="25671" xr:uid="{00000000-0005-0000-0000-0000024C0000}"/>
    <cellStyle name="Note 2 15 6 3" xfId="12673" xr:uid="{00000000-0005-0000-0000-0000034C0000}"/>
    <cellStyle name="Note 2 15 6 3 2" xfId="25674" xr:uid="{00000000-0005-0000-0000-0000044C0000}"/>
    <cellStyle name="Note 2 15 6 3 3" xfId="25676" xr:uid="{00000000-0005-0000-0000-0000054C0000}"/>
    <cellStyle name="Note 2 15 6 3 4" xfId="25678" xr:uid="{00000000-0005-0000-0000-0000064C0000}"/>
    <cellStyle name="Note 2 15 6 4" xfId="12675" xr:uid="{00000000-0005-0000-0000-0000074C0000}"/>
    <cellStyle name="Note 2 15 6 4 2" xfId="25682" xr:uid="{00000000-0005-0000-0000-0000084C0000}"/>
    <cellStyle name="Note 2 15 6 4 3" xfId="25685" xr:uid="{00000000-0005-0000-0000-0000094C0000}"/>
    <cellStyle name="Note 2 15 6 5" xfId="25687" xr:uid="{00000000-0005-0000-0000-00000A4C0000}"/>
    <cellStyle name="Note 2 15 6 5 2" xfId="25689" xr:uid="{00000000-0005-0000-0000-00000B4C0000}"/>
    <cellStyle name="Note 2 15 6 5 3" xfId="25692" xr:uid="{00000000-0005-0000-0000-00000C4C0000}"/>
    <cellStyle name="Note 2 15 6 6" xfId="25694" xr:uid="{00000000-0005-0000-0000-00000D4C0000}"/>
    <cellStyle name="Note 2 15 6 7" xfId="25695" xr:uid="{00000000-0005-0000-0000-00000E4C0000}"/>
    <cellStyle name="Note 2 15 7" xfId="14755" xr:uid="{00000000-0005-0000-0000-00000F4C0000}"/>
    <cellStyle name="Note 2 15 7 2" xfId="25698" xr:uid="{00000000-0005-0000-0000-0000104C0000}"/>
    <cellStyle name="Note 2 15 7 2 2" xfId="25701" xr:uid="{00000000-0005-0000-0000-0000114C0000}"/>
    <cellStyle name="Note 2 15 7 2 3" xfId="25704" xr:uid="{00000000-0005-0000-0000-0000124C0000}"/>
    <cellStyle name="Note 2 15 7 2 4" xfId="25707" xr:uid="{00000000-0005-0000-0000-0000134C0000}"/>
    <cellStyle name="Note 2 15 7 3" xfId="25709" xr:uid="{00000000-0005-0000-0000-0000144C0000}"/>
    <cellStyle name="Note 2 15 7 3 2" xfId="25712" xr:uid="{00000000-0005-0000-0000-0000154C0000}"/>
    <cellStyle name="Note 2 15 7 3 3" xfId="25715" xr:uid="{00000000-0005-0000-0000-0000164C0000}"/>
    <cellStyle name="Note 2 15 7 3 4" xfId="25718" xr:uid="{00000000-0005-0000-0000-0000174C0000}"/>
    <cellStyle name="Note 2 15 7 4" xfId="25720" xr:uid="{00000000-0005-0000-0000-0000184C0000}"/>
    <cellStyle name="Note 2 15 7 4 2" xfId="25724" xr:uid="{00000000-0005-0000-0000-0000194C0000}"/>
    <cellStyle name="Note 2 15 7 4 3" xfId="25727" xr:uid="{00000000-0005-0000-0000-00001A4C0000}"/>
    <cellStyle name="Note 2 15 7 5" xfId="21279" xr:uid="{00000000-0005-0000-0000-00001B4C0000}"/>
    <cellStyle name="Note 2 15 7 5 2" xfId="25730" xr:uid="{00000000-0005-0000-0000-00001C4C0000}"/>
    <cellStyle name="Note 2 15 7 5 3" xfId="25733" xr:uid="{00000000-0005-0000-0000-00001D4C0000}"/>
    <cellStyle name="Note 2 15 7 6" xfId="21282" xr:uid="{00000000-0005-0000-0000-00001E4C0000}"/>
    <cellStyle name="Note 2 15 7 7" xfId="21283" xr:uid="{00000000-0005-0000-0000-00001F4C0000}"/>
    <cellStyle name="Note 2 15 8" xfId="25735" xr:uid="{00000000-0005-0000-0000-0000204C0000}"/>
    <cellStyle name="Note 2 15 8 2" xfId="25738" xr:uid="{00000000-0005-0000-0000-0000214C0000}"/>
    <cellStyle name="Note 2 15 8 2 2" xfId="25740" xr:uid="{00000000-0005-0000-0000-0000224C0000}"/>
    <cellStyle name="Note 2 15 8 2 3" xfId="25741" xr:uid="{00000000-0005-0000-0000-0000234C0000}"/>
    <cellStyle name="Note 2 15 8 2 4" xfId="25742" xr:uid="{00000000-0005-0000-0000-0000244C0000}"/>
    <cellStyle name="Note 2 15 8 3" xfId="25743" xr:uid="{00000000-0005-0000-0000-0000254C0000}"/>
    <cellStyle name="Note 2 15 8 3 2" xfId="25745" xr:uid="{00000000-0005-0000-0000-0000264C0000}"/>
    <cellStyle name="Note 2 15 8 3 3" xfId="25746" xr:uid="{00000000-0005-0000-0000-0000274C0000}"/>
    <cellStyle name="Note 2 15 8 3 4" xfId="25747" xr:uid="{00000000-0005-0000-0000-0000284C0000}"/>
    <cellStyle name="Note 2 15 8 4" xfId="25748" xr:uid="{00000000-0005-0000-0000-0000294C0000}"/>
    <cellStyle name="Note 2 15 8 4 2" xfId="25750" xr:uid="{00000000-0005-0000-0000-00002A4C0000}"/>
    <cellStyle name="Note 2 15 8 4 3" xfId="25752" xr:uid="{00000000-0005-0000-0000-00002B4C0000}"/>
    <cellStyle name="Note 2 15 8 5" xfId="21287" xr:uid="{00000000-0005-0000-0000-00002C4C0000}"/>
    <cellStyle name="Note 2 15 8 5 2" xfId="25753" xr:uid="{00000000-0005-0000-0000-00002D4C0000}"/>
    <cellStyle name="Note 2 15 8 5 3" xfId="25755" xr:uid="{00000000-0005-0000-0000-00002E4C0000}"/>
    <cellStyle name="Note 2 15 8 6" xfId="6994" xr:uid="{00000000-0005-0000-0000-00002F4C0000}"/>
    <cellStyle name="Note 2 15 8 7" xfId="6999" xr:uid="{00000000-0005-0000-0000-0000304C0000}"/>
    <cellStyle name="Note 2 15 9" xfId="25757" xr:uid="{00000000-0005-0000-0000-0000314C0000}"/>
    <cellStyle name="Note 2 15 9 2" xfId="25760" xr:uid="{00000000-0005-0000-0000-0000324C0000}"/>
    <cellStyle name="Note 2 15 9 2 2" xfId="25762" xr:uid="{00000000-0005-0000-0000-0000334C0000}"/>
    <cellStyle name="Note 2 15 9 2 3" xfId="25763" xr:uid="{00000000-0005-0000-0000-0000344C0000}"/>
    <cellStyle name="Note 2 15 9 2 4" xfId="25764" xr:uid="{00000000-0005-0000-0000-0000354C0000}"/>
    <cellStyle name="Note 2 15 9 3" xfId="25766" xr:uid="{00000000-0005-0000-0000-0000364C0000}"/>
    <cellStyle name="Note 2 15 9 3 2" xfId="25768" xr:uid="{00000000-0005-0000-0000-0000374C0000}"/>
    <cellStyle name="Note 2 15 9 3 3" xfId="25769" xr:uid="{00000000-0005-0000-0000-0000384C0000}"/>
    <cellStyle name="Note 2 15 9 3 4" xfId="25770" xr:uid="{00000000-0005-0000-0000-0000394C0000}"/>
    <cellStyle name="Note 2 15 9 4" xfId="25771" xr:uid="{00000000-0005-0000-0000-00003A4C0000}"/>
    <cellStyle name="Note 2 15 9 4 2" xfId="25773" xr:uid="{00000000-0005-0000-0000-00003B4C0000}"/>
    <cellStyle name="Note 2 15 9 4 3" xfId="25775" xr:uid="{00000000-0005-0000-0000-00003C4C0000}"/>
    <cellStyle name="Note 2 15 9 5" xfId="21291" xr:uid="{00000000-0005-0000-0000-00003D4C0000}"/>
    <cellStyle name="Note 2 15 9 5 2" xfId="25776" xr:uid="{00000000-0005-0000-0000-00003E4C0000}"/>
    <cellStyle name="Note 2 15 9 5 3" xfId="25778" xr:uid="{00000000-0005-0000-0000-00003F4C0000}"/>
    <cellStyle name="Note 2 15 9 6" xfId="7020" xr:uid="{00000000-0005-0000-0000-0000404C0000}"/>
    <cellStyle name="Note 2 15 9 7" xfId="7025" xr:uid="{00000000-0005-0000-0000-0000414C0000}"/>
    <cellStyle name="Note 2 16" xfId="17159" xr:uid="{00000000-0005-0000-0000-0000424C0000}"/>
    <cellStyle name="Note 2 16 10" xfId="14983" xr:uid="{00000000-0005-0000-0000-0000434C0000}"/>
    <cellStyle name="Note 2 16 10 2" xfId="14989" xr:uid="{00000000-0005-0000-0000-0000444C0000}"/>
    <cellStyle name="Note 2 16 10 2 2" xfId="25779" xr:uid="{00000000-0005-0000-0000-0000454C0000}"/>
    <cellStyle name="Note 2 16 10 2 3" xfId="25783" xr:uid="{00000000-0005-0000-0000-0000464C0000}"/>
    <cellStyle name="Note 2 16 10 2 4" xfId="25787" xr:uid="{00000000-0005-0000-0000-0000474C0000}"/>
    <cellStyle name="Note 2 16 10 3" xfId="14992" xr:uid="{00000000-0005-0000-0000-0000484C0000}"/>
    <cellStyle name="Note 2 16 10 3 2" xfId="25790" xr:uid="{00000000-0005-0000-0000-0000494C0000}"/>
    <cellStyle name="Note 2 16 10 3 3" xfId="25794" xr:uid="{00000000-0005-0000-0000-00004A4C0000}"/>
    <cellStyle name="Note 2 16 10 3 4" xfId="25798" xr:uid="{00000000-0005-0000-0000-00004B4C0000}"/>
    <cellStyle name="Note 2 16 10 4" xfId="24192" xr:uid="{00000000-0005-0000-0000-00004C4C0000}"/>
    <cellStyle name="Note 2 16 10 4 2" xfId="25801" xr:uid="{00000000-0005-0000-0000-00004D4C0000}"/>
    <cellStyle name="Note 2 16 10 4 3" xfId="127" xr:uid="{00000000-0005-0000-0000-00004E4C0000}"/>
    <cellStyle name="Note 2 16 10 5" xfId="24196" xr:uid="{00000000-0005-0000-0000-00004F4C0000}"/>
    <cellStyle name="Note 2 16 10 5 2" xfId="25805" xr:uid="{00000000-0005-0000-0000-0000504C0000}"/>
    <cellStyle name="Note 2 16 10 5 3" xfId="25809" xr:uid="{00000000-0005-0000-0000-0000514C0000}"/>
    <cellStyle name="Note 2 16 10 6" xfId="22952" xr:uid="{00000000-0005-0000-0000-0000524C0000}"/>
    <cellStyle name="Note 2 16 10 7" xfId="22956" xr:uid="{00000000-0005-0000-0000-0000534C0000}"/>
    <cellStyle name="Note 2 16 11" xfId="14996" xr:uid="{00000000-0005-0000-0000-0000544C0000}"/>
    <cellStyle name="Note 2 16 11 2" xfId="25812" xr:uid="{00000000-0005-0000-0000-0000554C0000}"/>
    <cellStyle name="Note 2 16 11 3" xfId="25815" xr:uid="{00000000-0005-0000-0000-0000564C0000}"/>
    <cellStyle name="Note 2 16 11 4" xfId="25818" xr:uid="{00000000-0005-0000-0000-0000574C0000}"/>
    <cellStyle name="Note 2 16 12" xfId="15000" xr:uid="{00000000-0005-0000-0000-0000584C0000}"/>
    <cellStyle name="Note 2 16 12 2" xfId="25821" xr:uid="{00000000-0005-0000-0000-0000594C0000}"/>
    <cellStyle name="Note 2 16 12 3" xfId="25824" xr:uid="{00000000-0005-0000-0000-00005A4C0000}"/>
    <cellStyle name="Note 2 16 12 4" xfId="25827" xr:uid="{00000000-0005-0000-0000-00005B4C0000}"/>
    <cellStyle name="Note 2 16 13" xfId="25829" xr:uid="{00000000-0005-0000-0000-00005C4C0000}"/>
    <cellStyle name="Note 2 16 13 2" xfId="25833" xr:uid="{00000000-0005-0000-0000-00005D4C0000}"/>
    <cellStyle name="Note 2 16 13 3" xfId="25835" xr:uid="{00000000-0005-0000-0000-00005E4C0000}"/>
    <cellStyle name="Note 2 16 14" xfId="25837" xr:uid="{00000000-0005-0000-0000-00005F4C0000}"/>
    <cellStyle name="Note 2 16 14 2" xfId="25841" xr:uid="{00000000-0005-0000-0000-0000604C0000}"/>
    <cellStyle name="Note 2 16 14 3" xfId="25843" xr:uid="{00000000-0005-0000-0000-0000614C0000}"/>
    <cellStyle name="Note 2 16 15" xfId="25845" xr:uid="{00000000-0005-0000-0000-0000624C0000}"/>
    <cellStyle name="Note 2 16 16" xfId="25848" xr:uid="{00000000-0005-0000-0000-0000634C0000}"/>
    <cellStyle name="Note 2 16 17" xfId="25850" xr:uid="{00000000-0005-0000-0000-0000644C0000}"/>
    <cellStyle name="Note 2 16 2" xfId="25851" xr:uid="{00000000-0005-0000-0000-0000654C0000}"/>
    <cellStyle name="Note 2 16 2 2" xfId="13313" xr:uid="{00000000-0005-0000-0000-0000664C0000}"/>
    <cellStyle name="Note 2 16 2 2 2" xfId="13316" xr:uid="{00000000-0005-0000-0000-0000674C0000}"/>
    <cellStyle name="Note 2 16 2 2 3" xfId="13318" xr:uid="{00000000-0005-0000-0000-0000684C0000}"/>
    <cellStyle name="Note 2 16 2 2 4" xfId="25853" xr:uid="{00000000-0005-0000-0000-0000694C0000}"/>
    <cellStyle name="Note 2 16 2 3" xfId="13320" xr:uid="{00000000-0005-0000-0000-00006A4C0000}"/>
    <cellStyle name="Note 2 16 2 3 2" xfId="25854" xr:uid="{00000000-0005-0000-0000-00006B4C0000}"/>
    <cellStyle name="Note 2 16 2 3 3" xfId="25855" xr:uid="{00000000-0005-0000-0000-00006C4C0000}"/>
    <cellStyle name="Note 2 16 2 3 4" xfId="25856" xr:uid="{00000000-0005-0000-0000-00006D4C0000}"/>
    <cellStyle name="Note 2 16 2 4" xfId="13323" xr:uid="{00000000-0005-0000-0000-00006E4C0000}"/>
    <cellStyle name="Note 2 16 2 4 2" xfId="25857" xr:uid="{00000000-0005-0000-0000-00006F4C0000}"/>
    <cellStyle name="Note 2 16 2 4 3" xfId="25858" xr:uid="{00000000-0005-0000-0000-0000704C0000}"/>
    <cellStyle name="Note 2 16 2 5" xfId="22706" xr:uid="{00000000-0005-0000-0000-0000714C0000}"/>
    <cellStyle name="Note 2 16 2 5 2" xfId="25859" xr:uid="{00000000-0005-0000-0000-0000724C0000}"/>
    <cellStyle name="Note 2 16 2 5 3" xfId="25860" xr:uid="{00000000-0005-0000-0000-0000734C0000}"/>
    <cellStyle name="Note 2 16 2 6" xfId="22708" xr:uid="{00000000-0005-0000-0000-0000744C0000}"/>
    <cellStyle name="Note 2 16 2 7" xfId="25861" xr:uid="{00000000-0005-0000-0000-0000754C0000}"/>
    <cellStyle name="Note 2 16 3" xfId="25862" xr:uid="{00000000-0005-0000-0000-0000764C0000}"/>
    <cellStyle name="Note 2 16 3 2" xfId="13332" xr:uid="{00000000-0005-0000-0000-0000774C0000}"/>
    <cellStyle name="Note 2 16 3 2 2" xfId="13335" xr:uid="{00000000-0005-0000-0000-0000784C0000}"/>
    <cellStyle name="Note 2 16 3 2 3" xfId="13338" xr:uid="{00000000-0005-0000-0000-0000794C0000}"/>
    <cellStyle name="Note 2 16 3 2 4" xfId="25864" xr:uid="{00000000-0005-0000-0000-00007A4C0000}"/>
    <cellStyle name="Note 2 16 3 3" xfId="13341" xr:uid="{00000000-0005-0000-0000-00007B4C0000}"/>
    <cellStyle name="Note 2 16 3 3 2" xfId="25866" xr:uid="{00000000-0005-0000-0000-00007C4C0000}"/>
    <cellStyle name="Note 2 16 3 3 3" xfId="25869" xr:uid="{00000000-0005-0000-0000-00007D4C0000}"/>
    <cellStyle name="Note 2 16 3 3 4" xfId="25871" xr:uid="{00000000-0005-0000-0000-00007E4C0000}"/>
    <cellStyle name="Note 2 16 3 4" xfId="13344" xr:uid="{00000000-0005-0000-0000-00007F4C0000}"/>
    <cellStyle name="Note 2 16 3 4 2" xfId="25873" xr:uid="{00000000-0005-0000-0000-0000804C0000}"/>
    <cellStyle name="Note 2 16 3 4 3" xfId="25875" xr:uid="{00000000-0005-0000-0000-0000814C0000}"/>
    <cellStyle name="Note 2 16 3 5" xfId="25876" xr:uid="{00000000-0005-0000-0000-0000824C0000}"/>
    <cellStyle name="Note 2 16 3 5 2" xfId="25877" xr:uid="{00000000-0005-0000-0000-0000834C0000}"/>
    <cellStyle name="Note 2 16 3 5 3" xfId="25879" xr:uid="{00000000-0005-0000-0000-0000844C0000}"/>
    <cellStyle name="Note 2 16 3 6" xfId="25880" xr:uid="{00000000-0005-0000-0000-0000854C0000}"/>
    <cellStyle name="Note 2 16 3 7" xfId="25881" xr:uid="{00000000-0005-0000-0000-0000864C0000}"/>
    <cellStyle name="Note 2 16 4" xfId="25882" xr:uid="{00000000-0005-0000-0000-0000874C0000}"/>
    <cellStyle name="Note 2 16 4 2" xfId="13356" xr:uid="{00000000-0005-0000-0000-0000884C0000}"/>
    <cellStyle name="Note 2 16 4 2 2" xfId="13360" xr:uid="{00000000-0005-0000-0000-0000894C0000}"/>
    <cellStyle name="Note 2 16 4 2 3" xfId="13362" xr:uid="{00000000-0005-0000-0000-00008A4C0000}"/>
    <cellStyle name="Note 2 16 4 2 4" xfId="25884" xr:uid="{00000000-0005-0000-0000-00008B4C0000}"/>
    <cellStyle name="Note 2 16 4 3" xfId="13364" xr:uid="{00000000-0005-0000-0000-00008C4C0000}"/>
    <cellStyle name="Note 2 16 4 3 2" xfId="25885" xr:uid="{00000000-0005-0000-0000-00008D4C0000}"/>
    <cellStyle name="Note 2 16 4 3 3" xfId="25886" xr:uid="{00000000-0005-0000-0000-00008E4C0000}"/>
    <cellStyle name="Note 2 16 4 3 4" xfId="25887" xr:uid="{00000000-0005-0000-0000-00008F4C0000}"/>
    <cellStyle name="Note 2 16 4 4" xfId="13367" xr:uid="{00000000-0005-0000-0000-0000904C0000}"/>
    <cellStyle name="Note 2 16 4 4 2" xfId="25888" xr:uid="{00000000-0005-0000-0000-0000914C0000}"/>
    <cellStyle name="Note 2 16 4 4 3" xfId="25889" xr:uid="{00000000-0005-0000-0000-0000924C0000}"/>
    <cellStyle name="Note 2 16 4 5" xfId="25890" xr:uid="{00000000-0005-0000-0000-0000934C0000}"/>
    <cellStyle name="Note 2 16 4 5 2" xfId="25891" xr:uid="{00000000-0005-0000-0000-0000944C0000}"/>
    <cellStyle name="Note 2 16 4 5 3" xfId="25892" xr:uid="{00000000-0005-0000-0000-0000954C0000}"/>
    <cellStyle name="Note 2 16 4 6" xfId="25893" xr:uid="{00000000-0005-0000-0000-0000964C0000}"/>
    <cellStyle name="Note 2 16 4 7" xfId="25894" xr:uid="{00000000-0005-0000-0000-0000974C0000}"/>
    <cellStyle name="Note 2 16 5" xfId="25895" xr:uid="{00000000-0005-0000-0000-0000984C0000}"/>
    <cellStyle name="Note 2 16 5 2" xfId="13375" xr:uid="{00000000-0005-0000-0000-0000994C0000}"/>
    <cellStyle name="Note 2 16 5 2 2" xfId="13379" xr:uid="{00000000-0005-0000-0000-00009A4C0000}"/>
    <cellStyle name="Note 2 16 5 2 3" xfId="3900" xr:uid="{00000000-0005-0000-0000-00009B4C0000}"/>
    <cellStyle name="Note 2 16 5 2 4" xfId="3906" xr:uid="{00000000-0005-0000-0000-00009C4C0000}"/>
    <cellStyle name="Note 2 16 5 3" xfId="13381" xr:uid="{00000000-0005-0000-0000-00009D4C0000}"/>
    <cellStyle name="Note 2 16 5 3 2" xfId="25897" xr:uid="{00000000-0005-0000-0000-00009E4C0000}"/>
    <cellStyle name="Note 2 16 5 3 3" xfId="2121" xr:uid="{00000000-0005-0000-0000-00009F4C0000}"/>
    <cellStyle name="Note 2 16 5 3 4" xfId="2133" xr:uid="{00000000-0005-0000-0000-0000A04C0000}"/>
    <cellStyle name="Note 2 16 5 4" xfId="13384" xr:uid="{00000000-0005-0000-0000-0000A14C0000}"/>
    <cellStyle name="Note 2 16 5 4 2" xfId="25898" xr:uid="{00000000-0005-0000-0000-0000A24C0000}"/>
    <cellStyle name="Note 2 16 5 4 3" xfId="3937" xr:uid="{00000000-0005-0000-0000-0000A34C0000}"/>
    <cellStyle name="Note 2 16 5 5" xfId="25900" xr:uid="{00000000-0005-0000-0000-0000A44C0000}"/>
    <cellStyle name="Note 2 16 5 5 2" xfId="25901" xr:uid="{00000000-0005-0000-0000-0000A54C0000}"/>
    <cellStyle name="Note 2 16 5 5 3" xfId="3173" xr:uid="{00000000-0005-0000-0000-0000A64C0000}"/>
    <cellStyle name="Note 2 16 5 6" xfId="25903" xr:uid="{00000000-0005-0000-0000-0000A74C0000}"/>
    <cellStyle name="Note 2 16 5 7" xfId="25904" xr:uid="{00000000-0005-0000-0000-0000A84C0000}"/>
    <cellStyle name="Note 2 16 6" xfId="25906" xr:uid="{00000000-0005-0000-0000-0000A94C0000}"/>
    <cellStyle name="Note 2 16 6 2" xfId="13396" xr:uid="{00000000-0005-0000-0000-0000AA4C0000}"/>
    <cellStyle name="Note 2 16 6 2 2" xfId="13400" xr:uid="{00000000-0005-0000-0000-0000AB4C0000}"/>
    <cellStyle name="Note 2 16 6 2 3" xfId="4799" xr:uid="{00000000-0005-0000-0000-0000AC4C0000}"/>
    <cellStyle name="Note 2 16 6 2 4" xfId="4805" xr:uid="{00000000-0005-0000-0000-0000AD4C0000}"/>
    <cellStyle name="Note 2 16 6 3" xfId="13403" xr:uid="{00000000-0005-0000-0000-0000AE4C0000}"/>
    <cellStyle name="Note 2 16 6 3 2" xfId="25909" xr:uid="{00000000-0005-0000-0000-0000AF4C0000}"/>
    <cellStyle name="Note 2 16 6 3 3" xfId="4815" xr:uid="{00000000-0005-0000-0000-0000B04C0000}"/>
    <cellStyle name="Note 2 16 6 3 4" xfId="4821" xr:uid="{00000000-0005-0000-0000-0000B14C0000}"/>
    <cellStyle name="Note 2 16 6 4" xfId="13405" xr:uid="{00000000-0005-0000-0000-0000B24C0000}"/>
    <cellStyle name="Note 2 16 6 4 2" xfId="25913" xr:uid="{00000000-0005-0000-0000-0000B34C0000}"/>
    <cellStyle name="Note 2 16 6 4 3" xfId="4828" xr:uid="{00000000-0005-0000-0000-0000B44C0000}"/>
    <cellStyle name="Note 2 16 6 5" xfId="25915" xr:uid="{00000000-0005-0000-0000-0000B54C0000}"/>
    <cellStyle name="Note 2 16 6 5 2" xfId="25917" xr:uid="{00000000-0005-0000-0000-0000B64C0000}"/>
    <cellStyle name="Note 2 16 6 5 3" xfId="3216" xr:uid="{00000000-0005-0000-0000-0000B74C0000}"/>
    <cellStyle name="Note 2 16 6 6" xfId="25919" xr:uid="{00000000-0005-0000-0000-0000B84C0000}"/>
    <cellStyle name="Note 2 16 6 7" xfId="25920" xr:uid="{00000000-0005-0000-0000-0000B94C0000}"/>
    <cellStyle name="Note 2 16 7" xfId="25922" xr:uid="{00000000-0005-0000-0000-0000BA4C0000}"/>
    <cellStyle name="Note 2 16 7 2" xfId="25926" xr:uid="{00000000-0005-0000-0000-0000BB4C0000}"/>
    <cellStyle name="Note 2 16 7 2 2" xfId="25929" xr:uid="{00000000-0005-0000-0000-0000BC4C0000}"/>
    <cellStyle name="Note 2 16 7 2 3" xfId="5614" xr:uid="{00000000-0005-0000-0000-0000BD4C0000}"/>
    <cellStyle name="Note 2 16 7 2 4" xfId="5619" xr:uid="{00000000-0005-0000-0000-0000BE4C0000}"/>
    <cellStyle name="Note 2 16 7 3" xfId="25931" xr:uid="{00000000-0005-0000-0000-0000BF4C0000}"/>
    <cellStyle name="Note 2 16 7 3 2" xfId="25934" xr:uid="{00000000-0005-0000-0000-0000C04C0000}"/>
    <cellStyle name="Note 2 16 7 3 3" xfId="2321" xr:uid="{00000000-0005-0000-0000-0000C14C0000}"/>
    <cellStyle name="Note 2 16 7 3 4" xfId="5633" xr:uid="{00000000-0005-0000-0000-0000C24C0000}"/>
    <cellStyle name="Note 2 16 7 4" xfId="25936" xr:uid="{00000000-0005-0000-0000-0000C34C0000}"/>
    <cellStyle name="Note 2 16 7 4 2" xfId="25940" xr:uid="{00000000-0005-0000-0000-0000C44C0000}"/>
    <cellStyle name="Note 2 16 7 4 3" xfId="3054" xr:uid="{00000000-0005-0000-0000-0000C54C0000}"/>
    <cellStyle name="Note 2 16 7 5" xfId="21305" xr:uid="{00000000-0005-0000-0000-0000C64C0000}"/>
    <cellStyle name="Note 2 16 7 5 2" xfId="25943" xr:uid="{00000000-0005-0000-0000-0000C74C0000}"/>
    <cellStyle name="Note 2 16 7 5 3" xfId="3090" xr:uid="{00000000-0005-0000-0000-0000C84C0000}"/>
    <cellStyle name="Note 2 16 7 6" xfId="21308" xr:uid="{00000000-0005-0000-0000-0000C94C0000}"/>
    <cellStyle name="Note 2 16 7 7" xfId="21309" xr:uid="{00000000-0005-0000-0000-0000CA4C0000}"/>
    <cellStyle name="Note 2 16 8" xfId="25945" xr:uid="{00000000-0005-0000-0000-0000CB4C0000}"/>
    <cellStyle name="Note 2 16 8 2" xfId="25948" xr:uid="{00000000-0005-0000-0000-0000CC4C0000}"/>
    <cellStyle name="Note 2 16 8 2 2" xfId="25950" xr:uid="{00000000-0005-0000-0000-0000CD4C0000}"/>
    <cellStyle name="Note 2 16 8 2 3" xfId="6218" xr:uid="{00000000-0005-0000-0000-0000CE4C0000}"/>
    <cellStyle name="Note 2 16 8 2 4" xfId="6223" xr:uid="{00000000-0005-0000-0000-0000CF4C0000}"/>
    <cellStyle name="Note 2 16 8 3" xfId="25952" xr:uid="{00000000-0005-0000-0000-0000D04C0000}"/>
    <cellStyle name="Note 2 16 8 3 2" xfId="25954" xr:uid="{00000000-0005-0000-0000-0000D14C0000}"/>
    <cellStyle name="Note 2 16 8 3 3" xfId="5062" xr:uid="{00000000-0005-0000-0000-0000D24C0000}"/>
    <cellStyle name="Note 2 16 8 3 4" xfId="5077" xr:uid="{00000000-0005-0000-0000-0000D34C0000}"/>
    <cellStyle name="Note 2 16 8 4" xfId="25957" xr:uid="{00000000-0005-0000-0000-0000D44C0000}"/>
    <cellStyle name="Note 2 16 8 4 2" xfId="25959" xr:uid="{00000000-0005-0000-0000-0000D54C0000}"/>
    <cellStyle name="Note 2 16 8 4 3" xfId="5124" xr:uid="{00000000-0005-0000-0000-0000D64C0000}"/>
    <cellStyle name="Note 2 16 8 5" xfId="21315" xr:uid="{00000000-0005-0000-0000-0000D74C0000}"/>
    <cellStyle name="Note 2 16 8 5 2" xfId="16375" xr:uid="{00000000-0005-0000-0000-0000D84C0000}"/>
    <cellStyle name="Note 2 16 8 5 3" xfId="3268" xr:uid="{00000000-0005-0000-0000-0000D94C0000}"/>
    <cellStyle name="Note 2 16 8 6" xfId="7172" xr:uid="{00000000-0005-0000-0000-0000DA4C0000}"/>
    <cellStyle name="Note 2 16 8 7" xfId="6369" xr:uid="{00000000-0005-0000-0000-0000DB4C0000}"/>
    <cellStyle name="Note 2 16 9" xfId="25963" xr:uid="{00000000-0005-0000-0000-0000DC4C0000}"/>
    <cellStyle name="Note 2 16 9 2" xfId="25967" xr:uid="{00000000-0005-0000-0000-0000DD4C0000}"/>
    <cellStyle name="Note 2 16 9 2 2" xfId="25969" xr:uid="{00000000-0005-0000-0000-0000DE4C0000}"/>
    <cellStyle name="Note 2 16 9 2 3" xfId="6745" xr:uid="{00000000-0005-0000-0000-0000DF4C0000}"/>
    <cellStyle name="Note 2 16 9 2 4" xfId="6750" xr:uid="{00000000-0005-0000-0000-0000E04C0000}"/>
    <cellStyle name="Note 2 16 9 3" xfId="25972" xr:uid="{00000000-0005-0000-0000-0000E14C0000}"/>
    <cellStyle name="Note 2 16 9 3 2" xfId="25974" xr:uid="{00000000-0005-0000-0000-0000E24C0000}"/>
    <cellStyle name="Note 2 16 9 3 3" xfId="6757" xr:uid="{00000000-0005-0000-0000-0000E34C0000}"/>
    <cellStyle name="Note 2 16 9 3 4" xfId="6759" xr:uid="{00000000-0005-0000-0000-0000E44C0000}"/>
    <cellStyle name="Note 2 16 9 4" xfId="25975" xr:uid="{00000000-0005-0000-0000-0000E54C0000}"/>
    <cellStyle name="Note 2 16 9 4 2" xfId="25978" xr:uid="{00000000-0005-0000-0000-0000E64C0000}"/>
    <cellStyle name="Note 2 16 9 4 3" xfId="6770" xr:uid="{00000000-0005-0000-0000-0000E74C0000}"/>
    <cellStyle name="Note 2 16 9 5" xfId="21319" xr:uid="{00000000-0005-0000-0000-0000E84C0000}"/>
    <cellStyle name="Note 2 16 9 5 2" xfId="25980" xr:uid="{00000000-0005-0000-0000-0000E94C0000}"/>
    <cellStyle name="Note 2 16 9 5 3" xfId="3351" xr:uid="{00000000-0005-0000-0000-0000EA4C0000}"/>
    <cellStyle name="Note 2 16 9 6" xfId="2293" xr:uid="{00000000-0005-0000-0000-0000EB4C0000}"/>
    <cellStyle name="Note 2 16 9 7" xfId="2299" xr:uid="{00000000-0005-0000-0000-0000EC4C0000}"/>
    <cellStyle name="Note 2 17" xfId="17163" xr:uid="{00000000-0005-0000-0000-0000ED4C0000}"/>
    <cellStyle name="Note 2 17 2" xfId="25982" xr:uid="{00000000-0005-0000-0000-0000EE4C0000}"/>
    <cellStyle name="Note 2 17 2 2" xfId="13936" xr:uid="{00000000-0005-0000-0000-0000EF4C0000}"/>
    <cellStyle name="Note 2 17 2 3" xfId="13940" xr:uid="{00000000-0005-0000-0000-0000F04C0000}"/>
    <cellStyle name="Note 2 17 2 4" xfId="3038" xr:uid="{00000000-0005-0000-0000-0000F14C0000}"/>
    <cellStyle name="Note 2 17 3" xfId="25984" xr:uid="{00000000-0005-0000-0000-0000F24C0000}"/>
    <cellStyle name="Note 2 17 3 2" xfId="13958" xr:uid="{00000000-0005-0000-0000-0000F34C0000}"/>
    <cellStyle name="Note 2 17 3 3" xfId="13971" xr:uid="{00000000-0005-0000-0000-0000F44C0000}"/>
    <cellStyle name="Note 2 17 3 4" xfId="3057" xr:uid="{00000000-0005-0000-0000-0000F54C0000}"/>
    <cellStyle name="Note 2 17 4" xfId="25986" xr:uid="{00000000-0005-0000-0000-0000F64C0000}"/>
    <cellStyle name="Note 2 17 4 2" xfId="13984" xr:uid="{00000000-0005-0000-0000-0000F74C0000}"/>
    <cellStyle name="Note 2 17 4 3" xfId="13991" xr:uid="{00000000-0005-0000-0000-0000F84C0000}"/>
    <cellStyle name="Note 2 17 5" xfId="25988" xr:uid="{00000000-0005-0000-0000-0000F94C0000}"/>
    <cellStyle name="Note 2 17 5 2" xfId="14005" xr:uid="{00000000-0005-0000-0000-0000FA4C0000}"/>
    <cellStyle name="Note 2 17 5 3" xfId="14011" xr:uid="{00000000-0005-0000-0000-0000FB4C0000}"/>
    <cellStyle name="Note 2 17 6" xfId="25990" xr:uid="{00000000-0005-0000-0000-0000FC4C0000}"/>
    <cellStyle name="Note 2 17 7" xfId="25992" xr:uid="{00000000-0005-0000-0000-0000FD4C0000}"/>
    <cellStyle name="Note 2 17 8" xfId="25995" xr:uid="{00000000-0005-0000-0000-0000FE4C0000}"/>
    <cellStyle name="Note 2 18" xfId="25375" xr:uid="{00000000-0005-0000-0000-0000FF4C0000}"/>
    <cellStyle name="Note 2 18 2" xfId="25998" xr:uid="{00000000-0005-0000-0000-0000004D0000}"/>
    <cellStyle name="Note 2 18 2 2" xfId="16390" xr:uid="{00000000-0005-0000-0000-0000014D0000}"/>
    <cellStyle name="Note 2 18 2 3" xfId="16393" xr:uid="{00000000-0005-0000-0000-0000024D0000}"/>
    <cellStyle name="Note 2 18 2 4" xfId="26000" xr:uid="{00000000-0005-0000-0000-0000034D0000}"/>
    <cellStyle name="Note 2 18 3" xfId="26002" xr:uid="{00000000-0005-0000-0000-0000044D0000}"/>
    <cellStyle name="Note 2 18 3 2" xfId="16399" xr:uid="{00000000-0005-0000-0000-0000054D0000}"/>
    <cellStyle name="Note 2 18 3 3" xfId="16402" xr:uid="{00000000-0005-0000-0000-0000064D0000}"/>
    <cellStyle name="Note 2 18 3 4" xfId="26005" xr:uid="{00000000-0005-0000-0000-0000074D0000}"/>
    <cellStyle name="Note 2 18 4" xfId="26007" xr:uid="{00000000-0005-0000-0000-0000084D0000}"/>
    <cellStyle name="Note 2 18 4 2" xfId="16406" xr:uid="{00000000-0005-0000-0000-0000094D0000}"/>
    <cellStyle name="Note 2 18 4 3" xfId="26010" xr:uid="{00000000-0005-0000-0000-00000A4D0000}"/>
    <cellStyle name="Note 2 18 5" xfId="26012" xr:uid="{00000000-0005-0000-0000-00000B4D0000}"/>
    <cellStyle name="Note 2 18 5 2" xfId="3236" xr:uid="{00000000-0005-0000-0000-00000C4D0000}"/>
    <cellStyle name="Note 2 18 5 3" xfId="3243" xr:uid="{00000000-0005-0000-0000-00000D4D0000}"/>
    <cellStyle name="Note 2 18 6" xfId="26015" xr:uid="{00000000-0005-0000-0000-00000E4D0000}"/>
    <cellStyle name="Note 2 18 7" xfId="26017" xr:uid="{00000000-0005-0000-0000-00000F4D0000}"/>
    <cellStyle name="Note 2 18 8" xfId="26019" xr:uid="{00000000-0005-0000-0000-0000104D0000}"/>
    <cellStyle name="Note 2 19" xfId="25378" xr:uid="{00000000-0005-0000-0000-0000114D0000}"/>
    <cellStyle name="Note 2 19 2" xfId="5121" xr:uid="{00000000-0005-0000-0000-0000124D0000}"/>
    <cellStyle name="Note 2 19 2 2" xfId="5126" xr:uid="{00000000-0005-0000-0000-0000134D0000}"/>
    <cellStyle name="Note 2 19 2 3" xfId="5130" xr:uid="{00000000-0005-0000-0000-0000144D0000}"/>
    <cellStyle name="Note 2 19 2 4" xfId="5134" xr:uid="{00000000-0005-0000-0000-0000154D0000}"/>
    <cellStyle name="Note 2 19 3" xfId="3260" xr:uid="{00000000-0005-0000-0000-0000164D0000}"/>
    <cellStyle name="Note 2 19 3 2" xfId="3266" xr:uid="{00000000-0005-0000-0000-0000174D0000}"/>
    <cellStyle name="Note 2 19 3 3" xfId="3273" xr:uid="{00000000-0005-0000-0000-0000184D0000}"/>
    <cellStyle name="Note 2 19 3 4" xfId="3281" xr:uid="{00000000-0005-0000-0000-0000194D0000}"/>
    <cellStyle name="Note 2 19 4" xfId="2725" xr:uid="{00000000-0005-0000-0000-00001A4D0000}"/>
    <cellStyle name="Note 2 19 4 2" xfId="3290" xr:uid="{00000000-0005-0000-0000-00001B4D0000}"/>
    <cellStyle name="Note 2 19 4 3" xfId="3296" xr:uid="{00000000-0005-0000-0000-00001C4D0000}"/>
    <cellStyle name="Note 2 19 5" xfId="2734" xr:uid="{00000000-0005-0000-0000-00001D4D0000}"/>
    <cellStyle name="Note 2 19 5 2" xfId="3309" xr:uid="{00000000-0005-0000-0000-00001E4D0000}"/>
    <cellStyle name="Note 2 19 5 3" xfId="3316" xr:uid="{00000000-0005-0000-0000-00001F4D0000}"/>
    <cellStyle name="Note 2 19 6" xfId="2741" xr:uid="{00000000-0005-0000-0000-0000204D0000}"/>
    <cellStyle name="Note 2 19 7" xfId="3334" xr:uid="{00000000-0005-0000-0000-0000214D0000}"/>
    <cellStyle name="Note 2 19 8" xfId="26021" xr:uid="{00000000-0005-0000-0000-0000224D0000}"/>
    <cellStyle name="Note 2 2" xfId="26023" xr:uid="{00000000-0005-0000-0000-0000234D0000}"/>
    <cellStyle name="Note 2 2 10" xfId="26024" xr:uid="{00000000-0005-0000-0000-0000244D0000}"/>
    <cellStyle name="Note 2 2 10 2" xfId="26025" xr:uid="{00000000-0005-0000-0000-0000254D0000}"/>
    <cellStyle name="Note 2 2 10 2 2" xfId="105" xr:uid="{00000000-0005-0000-0000-0000264D0000}"/>
    <cellStyle name="Note 2 2 10 2 3" xfId="137" xr:uid="{00000000-0005-0000-0000-0000274D0000}"/>
    <cellStyle name="Note 2 2 10 2 4" xfId="149" xr:uid="{00000000-0005-0000-0000-0000284D0000}"/>
    <cellStyle name="Note 2 2 10 3" xfId="26026" xr:uid="{00000000-0005-0000-0000-0000294D0000}"/>
    <cellStyle name="Note 2 2 10 3 2" xfId="26027" xr:uid="{00000000-0005-0000-0000-00002A4D0000}"/>
    <cellStyle name="Note 2 2 10 3 3" xfId="26028" xr:uid="{00000000-0005-0000-0000-00002B4D0000}"/>
    <cellStyle name="Note 2 2 10 3 4" xfId="26029" xr:uid="{00000000-0005-0000-0000-00002C4D0000}"/>
    <cellStyle name="Note 2 2 10 4" xfId="26030" xr:uid="{00000000-0005-0000-0000-00002D4D0000}"/>
    <cellStyle name="Note 2 2 10 4 2" xfId="26031" xr:uid="{00000000-0005-0000-0000-00002E4D0000}"/>
    <cellStyle name="Note 2 2 10 4 3" xfId="7300" xr:uid="{00000000-0005-0000-0000-00002F4D0000}"/>
    <cellStyle name="Note 2 2 10 5" xfId="26032" xr:uid="{00000000-0005-0000-0000-0000304D0000}"/>
    <cellStyle name="Note 2 2 10 5 2" xfId="26033" xr:uid="{00000000-0005-0000-0000-0000314D0000}"/>
    <cellStyle name="Note 2 2 10 5 3" xfId="26035" xr:uid="{00000000-0005-0000-0000-0000324D0000}"/>
    <cellStyle name="Note 2 2 10 6" xfId="25467" xr:uid="{00000000-0005-0000-0000-0000334D0000}"/>
    <cellStyle name="Note 2 2 10 6 2" xfId="26036" xr:uid="{00000000-0005-0000-0000-0000344D0000}"/>
    <cellStyle name="Note 2 2 10 7" xfId="12679" xr:uid="{00000000-0005-0000-0000-0000354D0000}"/>
    <cellStyle name="Note 2 2 10 8" xfId="12720" xr:uid="{00000000-0005-0000-0000-0000364D0000}"/>
    <cellStyle name="Note 2 2 10 9" xfId="12743" xr:uid="{00000000-0005-0000-0000-0000374D0000}"/>
    <cellStyle name="Note 2 2 11" xfId="26038" xr:uid="{00000000-0005-0000-0000-0000384D0000}"/>
    <cellStyle name="Note 2 2 11 2" xfId="8825" xr:uid="{00000000-0005-0000-0000-0000394D0000}"/>
    <cellStyle name="Note 2 2 11 2 2" xfId="13967" xr:uid="{00000000-0005-0000-0000-00003A4D0000}"/>
    <cellStyle name="Note 2 2 11 2 3" xfId="26040" xr:uid="{00000000-0005-0000-0000-00003B4D0000}"/>
    <cellStyle name="Note 2 2 11 2 4" xfId="26043" xr:uid="{00000000-0005-0000-0000-00003C4D0000}"/>
    <cellStyle name="Note 2 2 11 3" xfId="26046" xr:uid="{00000000-0005-0000-0000-00003D4D0000}"/>
    <cellStyle name="Note 2 2 11 3 2" xfId="26047" xr:uid="{00000000-0005-0000-0000-00003E4D0000}"/>
    <cellStyle name="Note 2 2 11 3 3" xfId="26049" xr:uid="{00000000-0005-0000-0000-00003F4D0000}"/>
    <cellStyle name="Note 2 2 11 3 4" xfId="26051" xr:uid="{00000000-0005-0000-0000-0000404D0000}"/>
    <cellStyle name="Note 2 2 11 4" xfId="26052" xr:uid="{00000000-0005-0000-0000-0000414D0000}"/>
    <cellStyle name="Note 2 2 11 4 2" xfId="26053" xr:uid="{00000000-0005-0000-0000-0000424D0000}"/>
    <cellStyle name="Note 2 2 11 4 3" xfId="26054" xr:uid="{00000000-0005-0000-0000-0000434D0000}"/>
    <cellStyle name="Note 2 2 11 5" xfId="26055" xr:uid="{00000000-0005-0000-0000-0000444D0000}"/>
    <cellStyle name="Note 2 2 11 5 2" xfId="26056" xr:uid="{00000000-0005-0000-0000-0000454D0000}"/>
    <cellStyle name="Note 2 2 11 5 3" xfId="26057" xr:uid="{00000000-0005-0000-0000-0000464D0000}"/>
    <cellStyle name="Note 2 2 11 6" xfId="25471" xr:uid="{00000000-0005-0000-0000-0000474D0000}"/>
    <cellStyle name="Note 2 2 11 6 2" xfId="26058" xr:uid="{00000000-0005-0000-0000-0000484D0000}"/>
    <cellStyle name="Note 2 2 11 7" xfId="25473" xr:uid="{00000000-0005-0000-0000-0000494D0000}"/>
    <cellStyle name="Note 2 2 11 8" xfId="25476" xr:uid="{00000000-0005-0000-0000-00004A4D0000}"/>
    <cellStyle name="Note 2 2 11 9" xfId="26059" xr:uid="{00000000-0005-0000-0000-00004B4D0000}"/>
    <cellStyle name="Note 2 2 12" xfId="26061" xr:uid="{00000000-0005-0000-0000-00004C4D0000}"/>
    <cellStyle name="Note 2 2 12 2" xfId="8829" xr:uid="{00000000-0005-0000-0000-00004D4D0000}"/>
    <cellStyle name="Note 2 2 12 2 2" xfId="13989" xr:uid="{00000000-0005-0000-0000-00004E4D0000}"/>
    <cellStyle name="Note 2 2 12 2 3" xfId="26062" xr:uid="{00000000-0005-0000-0000-00004F4D0000}"/>
    <cellStyle name="Note 2 2 12 2 4" xfId="19130" xr:uid="{00000000-0005-0000-0000-0000504D0000}"/>
    <cellStyle name="Note 2 2 12 3" xfId="26063" xr:uid="{00000000-0005-0000-0000-0000514D0000}"/>
    <cellStyle name="Note 2 2 12 3 2" xfId="26064" xr:uid="{00000000-0005-0000-0000-0000524D0000}"/>
    <cellStyle name="Note 2 2 12 3 3" xfId="26065" xr:uid="{00000000-0005-0000-0000-0000534D0000}"/>
    <cellStyle name="Note 2 2 12 3 4" xfId="19144" xr:uid="{00000000-0005-0000-0000-0000544D0000}"/>
    <cellStyle name="Note 2 2 12 4" xfId="26066" xr:uid="{00000000-0005-0000-0000-0000554D0000}"/>
    <cellStyle name="Note 2 2 12 4 2" xfId="25067" xr:uid="{00000000-0005-0000-0000-0000564D0000}"/>
    <cellStyle name="Note 2 2 12 4 3" xfId="25075" xr:uid="{00000000-0005-0000-0000-0000574D0000}"/>
    <cellStyle name="Note 2 2 12 5" xfId="26067" xr:uid="{00000000-0005-0000-0000-0000584D0000}"/>
    <cellStyle name="Note 2 2 12 5 2" xfId="25085" xr:uid="{00000000-0005-0000-0000-0000594D0000}"/>
    <cellStyle name="Note 2 2 12 5 3" xfId="25088" xr:uid="{00000000-0005-0000-0000-00005A4D0000}"/>
    <cellStyle name="Note 2 2 12 6" xfId="25481" xr:uid="{00000000-0005-0000-0000-00005B4D0000}"/>
    <cellStyle name="Note 2 2 12 7" xfId="25483" xr:uid="{00000000-0005-0000-0000-00005C4D0000}"/>
    <cellStyle name="Note 2 2 12 8" xfId="26068" xr:uid="{00000000-0005-0000-0000-00005D4D0000}"/>
    <cellStyle name="Note 2 2 12 9" xfId="26070" xr:uid="{00000000-0005-0000-0000-00005E4D0000}"/>
    <cellStyle name="Note 2 2 13" xfId="26072" xr:uid="{00000000-0005-0000-0000-00005F4D0000}"/>
    <cellStyle name="Note 2 2 13 2" xfId="26073" xr:uid="{00000000-0005-0000-0000-0000604D0000}"/>
    <cellStyle name="Note 2 2 13 3" xfId="26074" xr:uid="{00000000-0005-0000-0000-0000614D0000}"/>
    <cellStyle name="Note 2 2 13 4" xfId="26075" xr:uid="{00000000-0005-0000-0000-0000624D0000}"/>
    <cellStyle name="Note 2 2 13 5" xfId="26076" xr:uid="{00000000-0005-0000-0000-0000634D0000}"/>
    <cellStyle name="Note 2 2 14" xfId="26077" xr:uid="{00000000-0005-0000-0000-0000644D0000}"/>
    <cellStyle name="Note 2 2 14 2" xfId="26078" xr:uid="{00000000-0005-0000-0000-0000654D0000}"/>
    <cellStyle name="Note 2 2 14 3" xfId="26079" xr:uid="{00000000-0005-0000-0000-0000664D0000}"/>
    <cellStyle name="Note 2 2 14 4" xfId="26080" xr:uid="{00000000-0005-0000-0000-0000674D0000}"/>
    <cellStyle name="Note 2 2 14 5" xfId="26081" xr:uid="{00000000-0005-0000-0000-0000684D0000}"/>
    <cellStyle name="Note 2 2 15" xfId="26082" xr:uid="{00000000-0005-0000-0000-0000694D0000}"/>
    <cellStyle name="Note 2 2 15 2" xfId="26084" xr:uid="{00000000-0005-0000-0000-00006A4D0000}"/>
    <cellStyle name="Note 2 2 15 3" xfId="26085" xr:uid="{00000000-0005-0000-0000-00006B4D0000}"/>
    <cellStyle name="Note 2 2 15 4" xfId="26086" xr:uid="{00000000-0005-0000-0000-00006C4D0000}"/>
    <cellStyle name="Note 2 2 16" xfId="26087" xr:uid="{00000000-0005-0000-0000-00006D4D0000}"/>
    <cellStyle name="Note 2 2 16 2" xfId="26089" xr:uid="{00000000-0005-0000-0000-00006E4D0000}"/>
    <cellStyle name="Note 2 2 16 3" xfId="26090" xr:uid="{00000000-0005-0000-0000-00006F4D0000}"/>
    <cellStyle name="Note 2 2 16 4" xfId="26091" xr:uid="{00000000-0005-0000-0000-0000704D0000}"/>
    <cellStyle name="Note 2 2 17" xfId="26092" xr:uid="{00000000-0005-0000-0000-0000714D0000}"/>
    <cellStyle name="Note 2 2 17 2" xfId="26094" xr:uid="{00000000-0005-0000-0000-0000724D0000}"/>
    <cellStyle name="Note 2 2 17 2 2" xfId="26095" xr:uid="{00000000-0005-0000-0000-0000734D0000}"/>
    <cellStyle name="Note 2 2 17 3" xfId="26098" xr:uid="{00000000-0005-0000-0000-0000744D0000}"/>
    <cellStyle name="Note 2 2 18" xfId="26099" xr:uid="{00000000-0005-0000-0000-0000754D0000}"/>
    <cellStyle name="Note 2 2 18 2" xfId="26102" xr:uid="{00000000-0005-0000-0000-0000764D0000}"/>
    <cellStyle name="Note 2 2 19" xfId="26103" xr:uid="{00000000-0005-0000-0000-0000774D0000}"/>
    <cellStyle name="Note 2 2 19 2" xfId="153" xr:uid="{00000000-0005-0000-0000-0000784D0000}"/>
    <cellStyle name="Note 2 2 2" xfId="26106" xr:uid="{00000000-0005-0000-0000-0000794D0000}"/>
    <cellStyle name="Note 2 2 2 10" xfId="3159" xr:uid="{00000000-0005-0000-0000-00007A4D0000}"/>
    <cellStyle name="Note 2 2 2 10 2" xfId="994" xr:uid="{00000000-0005-0000-0000-00007B4D0000}"/>
    <cellStyle name="Note 2 2 2 10 2 2" xfId="1000" xr:uid="{00000000-0005-0000-0000-00007C4D0000}"/>
    <cellStyle name="Note 2 2 2 10 2 3" xfId="1007" xr:uid="{00000000-0005-0000-0000-00007D4D0000}"/>
    <cellStyle name="Note 2 2 2 10 2 4" xfId="1014" xr:uid="{00000000-0005-0000-0000-00007E4D0000}"/>
    <cellStyle name="Note 2 2 2 10 3" xfId="1027" xr:uid="{00000000-0005-0000-0000-00007F4D0000}"/>
    <cellStyle name="Note 2 2 2 10 3 2" xfId="1036" xr:uid="{00000000-0005-0000-0000-0000804D0000}"/>
    <cellStyle name="Note 2 2 2 10 3 3" xfId="1051" xr:uid="{00000000-0005-0000-0000-0000814D0000}"/>
    <cellStyle name="Note 2 2 2 10 3 4" xfId="1065" xr:uid="{00000000-0005-0000-0000-0000824D0000}"/>
    <cellStyle name="Note 2 2 2 10 4" xfId="1079" xr:uid="{00000000-0005-0000-0000-0000834D0000}"/>
    <cellStyle name="Note 2 2 2 10 4 2" xfId="1085" xr:uid="{00000000-0005-0000-0000-0000844D0000}"/>
    <cellStyle name="Note 2 2 2 10 4 3" xfId="1097" xr:uid="{00000000-0005-0000-0000-0000854D0000}"/>
    <cellStyle name="Note 2 2 2 10 5" xfId="26107" xr:uid="{00000000-0005-0000-0000-0000864D0000}"/>
    <cellStyle name="Note 2 2 2 10 5 2" xfId="21958" xr:uid="{00000000-0005-0000-0000-0000874D0000}"/>
    <cellStyle name="Note 2 2 2 10 5 3" xfId="21959" xr:uid="{00000000-0005-0000-0000-0000884D0000}"/>
    <cellStyle name="Note 2 2 2 10 6" xfId="26110" xr:uid="{00000000-0005-0000-0000-0000894D0000}"/>
    <cellStyle name="Note 2 2 2 10 7" xfId="20949" xr:uid="{00000000-0005-0000-0000-00008A4D0000}"/>
    <cellStyle name="Note 2 2 2 10 8" xfId="20953" xr:uid="{00000000-0005-0000-0000-00008B4D0000}"/>
    <cellStyle name="Note 2 2 2 11" xfId="3161" xr:uid="{00000000-0005-0000-0000-00008C4D0000}"/>
    <cellStyle name="Note 2 2 2 11 2" xfId="1228" xr:uid="{00000000-0005-0000-0000-00008D4D0000}"/>
    <cellStyle name="Note 2 2 2 11 3" xfId="1237" xr:uid="{00000000-0005-0000-0000-00008E4D0000}"/>
    <cellStyle name="Note 2 2 2 11 4" xfId="1242" xr:uid="{00000000-0005-0000-0000-00008F4D0000}"/>
    <cellStyle name="Note 2 2 2 11 5" xfId="26113" xr:uid="{00000000-0005-0000-0000-0000904D0000}"/>
    <cellStyle name="Note 2 2 2 12" xfId="26115" xr:uid="{00000000-0005-0000-0000-0000914D0000}"/>
    <cellStyle name="Note 2 2 2 12 2" xfId="26116" xr:uid="{00000000-0005-0000-0000-0000924D0000}"/>
    <cellStyle name="Note 2 2 2 12 3" xfId="26117" xr:uid="{00000000-0005-0000-0000-0000934D0000}"/>
    <cellStyle name="Note 2 2 2 12 4" xfId="26118" xr:uid="{00000000-0005-0000-0000-0000944D0000}"/>
    <cellStyle name="Note 2 2 2 12 5" xfId="26119" xr:uid="{00000000-0005-0000-0000-0000954D0000}"/>
    <cellStyle name="Note 2 2 2 13" xfId="26121" xr:uid="{00000000-0005-0000-0000-0000964D0000}"/>
    <cellStyle name="Note 2 2 2 13 2" xfId="26122" xr:uid="{00000000-0005-0000-0000-0000974D0000}"/>
    <cellStyle name="Note 2 2 2 13 3" xfId="26123" xr:uid="{00000000-0005-0000-0000-0000984D0000}"/>
    <cellStyle name="Note 2 2 2 13 4" xfId="26124" xr:uid="{00000000-0005-0000-0000-0000994D0000}"/>
    <cellStyle name="Note 2 2 2 14" xfId="26125" xr:uid="{00000000-0005-0000-0000-00009A4D0000}"/>
    <cellStyle name="Note 2 2 2 14 2" xfId="26126" xr:uid="{00000000-0005-0000-0000-00009B4D0000}"/>
    <cellStyle name="Note 2 2 2 14 3" xfId="26127" xr:uid="{00000000-0005-0000-0000-00009C4D0000}"/>
    <cellStyle name="Note 2 2 2 14 4" xfId="714" xr:uid="{00000000-0005-0000-0000-00009D4D0000}"/>
    <cellStyle name="Note 2 2 2 15" xfId="26128" xr:uid="{00000000-0005-0000-0000-00009E4D0000}"/>
    <cellStyle name="Note 2 2 2 15 2" xfId="26130" xr:uid="{00000000-0005-0000-0000-00009F4D0000}"/>
    <cellStyle name="Note 2 2 2 15 2 2" xfId="26131" xr:uid="{00000000-0005-0000-0000-0000A04D0000}"/>
    <cellStyle name="Note 2 2 2 15 3" xfId="26132" xr:uid="{00000000-0005-0000-0000-0000A14D0000}"/>
    <cellStyle name="Note 2 2 2 16" xfId="26133" xr:uid="{00000000-0005-0000-0000-0000A24D0000}"/>
    <cellStyle name="Note 2 2 2 16 2" xfId="15482" xr:uid="{00000000-0005-0000-0000-0000A34D0000}"/>
    <cellStyle name="Note 2 2 2 17" xfId="26135" xr:uid="{00000000-0005-0000-0000-0000A44D0000}"/>
    <cellStyle name="Note 2 2 2 17 2" xfId="5370" xr:uid="{00000000-0005-0000-0000-0000A54D0000}"/>
    <cellStyle name="Note 2 2 2 18" xfId="26137" xr:uid="{00000000-0005-0000-0000-0000A64D0000}"/>
    <cellStyle name="Note 2 2 2 19" xfId="26139" xr:uid="{00000000-0005-0000-0000-0000A74D0000}"/>
    <cellStyle name="Note 2 2 2 2" xfId="26141" xr:uid="{00000000-0005-0000-0000-0000A84D0000}"/>
    <cellStyle name="Note 2 2 2 2 10" xfId="26143" xr:uid="{00000000-0005-0000-0000-0000A94D0000}"/>
    <cellStyle name="Note 2 2 2 2 11" xfId="26144" xr:uid="{00000000-0005-0000-0000-0000AA4D0000}"/>
    <cellStyle name="Note 2 2 2 2 12" xfId="3659" xr:uid="{00000000-0005-0000-0000-0000AB4D0000}"/>
    <cellStyle name="Note 2 2 2 2 13" xfId="5863" xr:uid="{00000000-0005-0000-0000-0000AC4D0000}"/>
    <cellStyle name="Note 2 2 2 2 14" xfId="5866" xr:uid="{00000000-0005-0000-0000-0000AD4D0000}"/>
    <cellStyle name="Note 2 2 2 2 15" xfId="21210" xr:uid="{00000000-0005-0000-0000-0000AE4D0000}"/>
    <cellStyle name="Note 2 2 2 2 16" xfId="21224" xr:uid="{00000000-0005-0000-0000-0000AF4D0000}"/>
    <cellStyle name="Note 2 2 2 2 17" xfId="20762" xr:uid="{00000000-0005-0000-0000-0000B04D0000}"/>
    <cellStyle name="Note 2 2 2 2 18" xfId="20766" xr:uid="{00000000-0005-0000-0000-0000B14D0000}"/>
    <cellStyle name="Note 2 2 2 2 19" xfId="20769" xr:uid="{00000000-0005-0000-0000-0000B24D0000}"/>
    <cellStyle name="Note 2 2 2 2 2" xfId="16870" xr:uid="{00000000-0005-0000-0000-0000B34D0000}"/>
    <cellStyle name="Note 2 2 2 2 2 10" xfId="18219" xr:uid="{00000000-0005-0000-0000-0000B44D0000}"/>
    <cellStyle name="Note 2 2 2 2 2 2" xfId="16872" xr:uid="{00000000-0005-0000-0000-0000B54D0000}"/>
    <cellStyle name="Note 2 2 2 2 2 2 2" xfId="12117" xr:uid="{00000000-0005-0000-0000-0000B64D0000}"/>
    <cellStyle name="Note 2 2 2 2 2 2 2 2" xfId="25234" xr:uid="{00000000-0005-0000-0000-0000B74D0000}"/>
    <cellStyle name="Note 2 2 2 2 2 2 2 2 2" xfId="7458" xr:uid="{00000000-0005-0000-0000-0000B84D0000}"/>
    <cellStyle name="Note 2 2 2 2 2 2 2 2 2 2" xfId="17327" xr:uid="{00000000-0005-0000-0000-0000B94D0000}"/>
    <cellStyle name="Note 2 2 2 2 2 2 2 2 2 2 2" xfId="17375" xr:uid="{00000000-0005-0000-0000-0000BA4D0000}"/>
    <cellStyle name="Note 2 2 2 2 2 2 2 2 2 2 2 2" xfId="17377" xr:uid="{00000000-0005-0000-0000-0000BB4D0000}"/>
    <cellStyle name="Note 2 2 2 2 2 2 2 2 2 2 2 2 2" xfId="17379" xr:uid="{00000000-0005-0000-0000-0000BC4D0000}"/>
    <cellStyle name="Note 2 2 2 2 2 2 2 2 2 2 3" xfId="17394" xr:uid="{00000000-0005-0000-0000-0000BD4D0000}"/>
    <cellStyle name="Note 2 2 2 2 2 2 2 2 2 3" xfId="17504" xr:uid="{00000000-0005-0000-0000-0000BE4D0000}"/>
    <cellStyle name="Note 2 2 2 2 2 2 2 2 3" xfId="7463" xr:uid="{00000000-0005-0000-0000-0000BF4D0000}"/>
    <cellStyle name="Note 2 2 2 2 2 2 2 3" xfId="14165" xr:uid="{00000000-0005-0000-0000-0000C04D0000}"/>
    <cellStyle name="Note 2 2 2 2 2 2 2 4" xfId="14171" xr:uid="{00000000-0005-0000-0000-0000C14D0000}"/>
    <cellStyle name="Note 2 2 2 2 2 2 3" xfId="12120" xr:uid="{00000000-0005-0000-0000-0000C24D0000}"/>
    <cellStyle name="Note 2 2 2 2 2 3" xfId="16874" xr:uid="{00000000-0005-0000-0000-0000C34D0000}"/>
    <cellStyle name="Note 2 2 2 2 2 3 2" xfId="12127" xr:uid="{00000000-0005-0000-0000-0000C44D0000}"/>
    <cellStyle name="Note 2 2 2 2 2 3 2 2" xfId="25252" xr:uid="{00000000-0005-0000-0000-0000C54D0000}"/>
    <cellStyle name="Note 2 2 2 2 2 4" xfId="26145" xr:uid="{00000000-0005-0000-0000-0000C64D0000}"/>
    <cellStyle name="Note 2 2 2 2 2 4 2" xfId="12135" xr:uid="{00000000-0005-0000-0000-0000C74D0000}"/>
    <cellStyle name="Note 2 2 2 2 2 4 2 2" xfId="25262" xr:uid="{00000000-0005-0000-0000-0000C84D0000}"/>
    <cellStyle name="Note 2 2 2 2 2 5" xfId="26147" xr:uid="{00000000-0005-0000-0000-0000C94D0000}"/>
    <cellStyle name="Note 2 2 2 2 2 6" xfId="25965" xr:uid="{00000000-0005-0000-0000-0000CA4D0000}"/>
    <cellStyle name="Note 2 2 2 2 2 7" xfId="25970" xr:uid="{00000000-0005-0000-0000-0000CB4D0000}"/>
    <cellStyle name="Note 2 2 2 2 2 8" xfId="25976" xr:uid="{00000000-0005-0000-0000-0000CC4D0000}"/>
    <cellStyle name="Note 2 2 2 2 2 9" xfId="21320" xr:uid="{00000000-0005-0000-0000-0000CD4D0000}"/>
    <cellStyle name="Note 2 2 2 2 20" xfId="21211" xr:uid="{00000000-0005-0000-0000-0000CE4D0000}"/>
    <cellStyle name="Note 2 2 2 2 21" xfId="21225" xr:uid="{00000000-0005-0000-0000-0000CF4D0000}"/>
    <cellStyle name="Note 2 2 2 2 22" xfId="20763" xr:uid="{00000000-0005-0000-0000-0000D04D0000}"/>
    <cellStyle name="Note 2 2 2 2 23" xfId="20767" xr:uid="{00000000-0005-0000-0000-0000D14D0000}"/>
    <cellStyle name="Note 2 2 2 2 24" xfId="20770" xr:uid="{00000000-0005-0000-0000-0000D24D0000}"/>
    <cellStyle name="Note 2 2 2 2 25" xfId="21244" xr:uid="{00000000-0005-0000-0000-0000D34D0000}"/>
    <cellStyle name="Note 2 2 2 2 26" xfId="21248" xr:uid="{00000000-0005-0000-0000-0000D44D0000}"/>
    <cellStyle name="Note 2 2 2 2 27" xfId="26149" xr:uid="{00000000-0005-0000-0000-0000D54D0000}"/>
    <cellStyle name="Note 2 2 2 2 28" xfId="26150" xr:uid="{00000000-0005-0000-0000-0000D64D0000}"/>
    <cellStyle name="Note 2 2 2 2 29" xfId="26152" xr:uid="{00000000-0005-0000-0000-0000D74D0000}"/>
    <cellStyle name="Note 2 2 2 2 3" xfId="16877" xr:uid="{00000000-0005-0000-0000-0000D84D0000}"/>
    <cellStyle name="Note 2 2 2 2 3 2" xfId="21250" xr:uid="{00000000-0005-0000-0000-0000D94D0000}"/>
    <cellStyle name="Note 2 2 2 2 3 2 2" xfId="21253" xr:uid="{00000000-0005-0000-0000-0000DA4D0000}"/>
    <cellStyle name="Note 2 2 2 2 3 2 2 2" xfId="25569" xr:uid="{00000000-0005-0000-0000-0000DB4D0000}"/>
    <cellStyle name="Note 2 2 2 2 3 2 2 2 2" xfId="26154" xr:uid="{00000000-0005-0000-0000-0000DC4D0000}"/>
    <cellStyle name="Note 2 2 2 2 3 2 2 2 2 2" xfId="10663" xr:uid="{00000000-0005-0000-0000-0000DD4D0000}"/>
    <cellStyle name="Note 2 2 2 2 3 2 2 2 2 2 2" xfId="24762" xr:uid="{00000000-0005-0000-0000-0000DE4D0000}"/>
    <cellStyle name="Note 2 2 2 2 3 2 2 2 3" xfId="26156" xr:uid="{00000000-0005-0000-0000-0000DF4D0000}"/>
    <cellStyle name="Note 2 2 2 2 3 2 2 3" xfId="11346" xr:uid="{00000000-0005-0000-0000-0000E04D0000}"/>
    <cellStyle name="Note 2 2 2 2 3 3" xfId="21260" xr:uid="{00000000-0005-0000-0000-0000E14D0000}"/>
    <cellStyle name="Note 2 2 2 2 3 3 2" xfId="21263" xr:uid="{00000000-0005-0000-0000-0000E24D0000}"/>
    <cellStyle name="Note 2 2 2 2 3 3 2 2" xfId="25586" xr:uid="{00000000-0005-0000-0000-0000E34D0000}"/>
    <cellStyle name="Note 2 2 2 2 3 4" xfId="21265" xr:uid="{00000000-0005-0000-0000-0000E44D0000}"/>
    <cellStyle name="Note 2 2 2 2 3 5" xfId="21269" xr:uid="{00000000-0005-0000-0000-0000E54D0000}"/>
    <cellStyle name="Note 2 2 2 2 3 6" xfId="21271" xr:uid="{00000000-0005-0000-0000-0000E64D0000}"/>
    <cellStyle name="Note 2 2 2 2 30" xfId="21245" xr:uid="{00000000-0005-0000-0000-0000E74D0000}"/>
    <cellStyle name="Note 2 2 2 2 4" xfId="16881" xr:uid="{00000000-0005-0000-0000-0000E84D0000}"/>
    <cellStyle name="Note 2 2 2 2 4 2" xfId="4607" xr:uid="{00000000-0005-0000-0000-0000E94D0000}"/>
    <cellStyle name="Note 2 2 2 2 4 2 2" xfId="21280" xr:uid="{00000000-0005-0000-0000-0000EA4D0000}"/>
    <cellStyle name="Note 2 2 2 2 4 3" xfId="7658" xr:uid="{00000000-0005-0000-0000-0000EB4D0000}"/>
    <cellStyle name="Note 2 2 2 2 4 4" xfId="21289" xr:uid="{00000000-0005-0000-0000-0000EC4D0000}"/>
    <cellStyle name="Note 2 2 2 2 5" xfId="21303" xr:uid="{00000000-0005-0000-0000-0000ED4D0000}"/>
    <cellStyle name="Note 2 2 2 2 5 2" xfId="6720" xr:uid="{00000000-0005-0000-0000-0000EE4D0000}"/>
    <cellStyle name="Note 2 2 2 2 5 2 2" xfId="21306" xr:uid="{00000000-0005-0000-0000-0000EF4D0000}"/>
    <cellStyle name="Note 2 2 2 2 5 3" xfId="21313" xr:uid="{00000000-0005-0000-0000-0000F04D0000}"/>
    <cellStyle name="Note 2 2 2 2 5 4" xfId="21317" xr:uid="{00000000-0005-0000-0000-0000F14D0000}"/>
    <cellStyle name="Note 2 2 2 2 6" xfId="21333" xr:uid="{00000000-0005-0000-0000-0000F24D0000}"/>
    <cellStyle name="Note 2 2 2 2 6 2" xfId="21335" xr:uid="{00000000-0005-0000-0000-0000F34D0000}"/>
    <cellStyle name="Note 2 2 2 2 6 2 2" xfId="21337" xr:uid="{00000000-0005-0000-0000-0000F44D0000}"/>
    <cellStyle name="Note 2 2 2 2 6 2 2 2" xfId="26158" xr:uid="{00000000-0005-0000-0000-0000F54D0000}"/>
    <cellStyle name="Note 2 2 2 2 6 3" xfId="21342" xr:uid="{00000000-0005-0000-0000-0000F64D0000}"/>
    <cellStyle name="Note 2 2 2 2 6 4" xfId="21345" xr:uid="{00000000-0005-0000-0000-0000F74D0000}"/>
    <cellStyle name="Note 2 2 2 2 7" xfId="21359" xr:uid="{00000000-0005-0000-0000-0000F84D0000}"/>
    <cellStyle name="Note 2 2 2 2 7 2" xfId="21361" xr:uid="{00000000-0005-0000-0000-0000F94D0000}"/>
    <cellStyle name="Note 2 2 2 2 8" xfId="21379" xr:uid="{00000000-0005-0000-0000-0000FA4D0000}"/>
    <cellStyle name="Note 2 2 2 2 8 2" xfId="21381" xr:uid="{00000000-0005-0000-0000-0000FB4D0000}"/>
    <cellStyle name="Note 2 2 2 2 9" xfId="21398" xr:uid="{00000000-0005-0000-0000-0000FC4D0000}"/>
    <cellStyle name="Note 2 2 2 2 9 2" xfId="21400" xr:uid="{00000000-0005-0000-0000-0000FD4D0000}"/>
    <cellStyle name="Note 2 2 2 20" xfId="26129" xr:uid="{00000000-0005-0000-0000-0000FE4D0000}"/>
    <cellStyle name="Note 2 2 2 21" xfId="26134" xr:uid="{00000000-0005-0000-0000-0000FF4D0000}"/>
    <cellStyle name="Note 2 2 2 22" xfId="26136" xr:uid="{00000000-0005-0000-0000-0000004E0000}"/>
    <cellStyle name="Note 2 2 2 23" xfId="26138" xr:uid="{00000000-0005-0000-0000-0000014E0000}"/>
    <cellStyle name="Note 2 2 2 24" xfId="26140" xr:uid="{00000000-0005-0000-0000-0000024E0000}"/>
    <cellStyle name="Note 2 2 2 25" xfId="26161" xr:uid="{00000000-0005-0000-0000-0000034E0000}"/>
    <cellStyle name="Note 2 2 2 26" xfId="26163" xr:uid="{00000000-0005-0000-0000-0000044E0000}"/>
    <cellStyle name="Note 2 2 2 27" xfId="13616" xr:uid="{00000000-0005-0000-0000-0000054E0000}"/>
    <cellStyle name="Note 2 2 2 28" xfId="13619" xr:uid="{00000000-0005-0000-0000-0000064E0000}"/>
    <cellStyle name="Note 2 2 2 29" xfId="26165" xr:uid="{00000000-0005-0000-0000-0000074E0000}"/>
    <cellStyle name="Note 2 2 2 3" xfId="26166" xr:uid="{00000000-0005-0000-0000-0000084E0000}"/>
    <cellStyle name="Note 2 2 2 3 10" xfId="20935" xr:uid="{00000000-0005-0000-0000-0000094E0000}"/>
    <cellStyle name="Note 2 2 2 3 2" xfId="16904" xr:uid="{00000000-0005-0000-0000-00000A4E0000}"/>
    <cellStyle name="Note 2 2 2 3 2 2" xfId="16907" xr:uid="{00000000-0005-0000-0000-00000B4E0000}"/>
    <cellStyle name="Note 2 2 2 3 2 2 2" xfId="12431" xr:uid="{00000000-0005-0000-0000-00000C4E0000}"/>
    <cellStyle name="Note 2 2 2 3 2 2 2 2" xfId="26169" xr:uid="{00000000-0005-0000-0000-00000D4E0000}"/>
    <cellStyle name="Note 2 2 2 3 2 2 2 2 2" xfId="9862" xr:uid="{00000000-0005-0000-0000-00000E4E0000}"/>
    <cellStyle name="Note 2 2 2 3 2 2 2 2 2 2" xfId="9865" xr:uid="{00000000-0005-0000-0000-00000F4E0000}"/>
    <cellStyle name="Note 2 2 2 3 2 2 2 2 2 2 2" xfId="26172" xr:uid="{00000000-0005-0000-0000-0000104E0000}"/>
    <cellStyle name="Note 2 2 2 3 2 2 2 2 2 2 2 2" xfId="26174" xr:uid="{00000000-0005-0000-0000-0000114E0000}"/>
    <cellStyle name="Note 2 2 2 3 2 2 2 2 2 2 2 2 2" xfId="9034" xr:uid="{00000000-0005-0000-0000-0000124E0000}"/>
    <cellStyle name="Note 2 2 2 3 2 2 2 2 2 2 3" xfId="26175" xr:uid="{00000000-0005-0000-0000-0000134E0000}"/>
    <cellStyle name="Note 2 2 2 3 2 2 2 2 2 3" xfId="9867" xr:uid="{00000000-0005-0000-0000-0000144E0000}"/>
    <cellStyle name="Note 2 2 2 3 2 2 2 2 3" xfId="9870" xr:uid="{00000000-0005-0000-0000-0000154E0000}"/>
    <cellStyle name="Note 2 2 2 3 2 2 2 3" xfId="395" xr:uid="{00000000-0005-0000-0000-0000164E0000}"/>
    <cellStyle name="Note 2 2 2 3 2 2 2 4" xfId="401" xr:uid="{00000000-0005-0000-0000-0000174E0000}"/>
    <cellStyle name="Note 2 2 2 3 2 2 3" xfId="12436" xr:uid="{00000000-0005-0000-0000-0000184E0000}"/>
    <cellStyle name="Note 2 2 2 3 2 3" xfId="16910" xr:uid="{00000000-0005-0000-0000-0000194E0000}"/>
    <cellStyle name="Note 2 2 2 3 2 3 2" xfId="12448" xr:uid="{00000000-0005-0000-0000-00001A4E0000}"/>
    <cellStyle name="Note 2 2 2 3 2 3 2 2" xfId="17148" xr:uid="{00000000-0005-0000-0000-00001B4E0000}"/>
    <cellStyle name="Note 2 2 2 3 2 4" xfId="24970" xr:uid="{00000000-0005-0000-0000-00001C4E0000}"/>
    <cellStyle name="Note 2 2 2 3 2 4 2" xfId="12464" xr:uid="{00000000-0005-0000-0000-00001D4E0000}"/>
    <cellStyle name="Note 2 2 2 3 2 4 2 2" xfId="17398" xr:uid="{00000000-0005-0000-0000-00001E4E0000}"/>
    <cellStyle name="Note 2 2 2 3 2 5" xfId="24973" xr:uid="{00000000-0005-0000-0000-00001F4E0000}"/>
    <cellStyle name="Note 2 2 2 3 2 6" xfId="26176" xr:uid="{00000000-0005-0000-0000-0000204E0000}"/>
    <cellStyle name="Note 2 2 2 3 2 7" xfId="26178" xr:uid="{00000000-0005-0000-0000-0000214E0000}"/>
    <cellStyle name="Note 2 2 2 3 2 8" xfId="26180" xr:uid="{00000000-0005-0000-0000-0000224E0000}"/>
    <cellStyle name="Note 2 2 2 3 3" xfId="16913" xr:uid="{00000000-0005-0000-0000-0000234E0000}"/>
    <cellStyle name="Note 2 2 2 3 3 2" xfId="21437" xr:uid="{00000000-0005-0000-0000-0000244E0000}"/>
    <cellStyle name="Note 2 2 2 3 3 2 2" xfId="26181" xr:uid="{00000000-0005-0000-0000-0000254E0000}"/>
    <cellStyle name="Note 2 2 2 3 3 2 2 2" xfId="26184" xr:uid="{00000000-0005-0000-0000-0000264E0000}"/>
    <cellStyle name="Note 2 2 2 3 3 2 2 2 2" xfId="26188" xr:uid="{00000000-0005-0000-0000-0000274E0000}"/>
    <cellStyle name="Note 2 2 2 3 3 2 2 2 2 2" xfId="26194" xr:uid="{00000000-0005-0000-0000-0000284E0000}"/>
    <cellStyle name="Note 2 2 2 3 3 2 2 2 2 2 2" xfId="26197" xr:uid="{00000000-0005-0000-0000-0000294E0000}"/>
    <cellStyle name="Note 2 2 2 3 3 2 2 2 3" xfId="26199" xr:uid="{00000000-0005-0000-0000-00002A4E0000}"/>
    <cellStyle name="Note 2 2 2 3 3 2 2 3" xfId="26204" xr:uid="{00000000-0005-0000-0000-00002B4E0000}"/>
    <cellStyle name="Note 2 2 2 3 3 3" xfId="21439" xr:uid="{00000000-0005-0000-0000-00002C4E0000}"/>
    <cellStyle name="Note 2 2 2 3 3 3 2" xfId="26208" xr:uid="{00000000-0005-0000-0000-00002D4E0000}"/>
    <cellStyle name="Note 2 2 2 3 3 3 2 2" xfId="17740" xr:uid="{00000000-0005-0000-0000-00002E4E0000}"/>
    <cellStyle name="Note 2 2 2 3 3 4" xfId="21441" xr:uid="{00000000-0005-0000-0000-00002F4E0000}"/>
    <cellStyle name="Note 2 2 2 3 4" xfId="16917" xr:uid="{00000000-0005-0000-0000-0000304E0000}"/>
    <cellStyle name="Note 2 2 2 3 4 2" xfId="21445" xr:uid="{00000000-0005-0000-0000-0000314E0000}"/>
    <cellStyle name="Note 2 2 2 3 4 2 2" xfId="26211" xr:uid="{00000000-0005-0000-0000-0000324E0000}"/>
    <cellStyle name="Note 2 2 2 3 4 3" xfId="7665" xr:uid="{00000000-0005-0000-0000-0000334E0000}"/>
    <cellStyle name="Note 2 2 2 3 5" xfId="21451" xr:uid="{00000000-0005-0000-0000-0000344E0000}"/>
    <cellStyle name="Note 2 2 2 3 5 2" xfId="21454" xr:uid="{00000000-0005-0000-0000-0000354E0000}"/>
    <cellStyle name="Note 2 2 2 3 5 2 2" xfId="26213" xr:uid="{00000000-0005-0000-0000-0000364E0000}"/>
    <cellStyle name="Note 2 2 2 3 5 3" xfId="21457" xr:uid="{00000000-0005-0000-0000-0000374E0000}"/>
    <cellStyle name="Note 2 2 2 3 6" xfId="21460" xr:uid="{00000000-0005-0000-0000-0000384E0000}"/>
    <cellStyle name="Note 2 2 2 3 6 2" xfId="21463" xr:uid="{00000000-0005-0000-0000-0000394E0000}"/>
    <cellStyle name="Note 2 2 2 3 6 2 2" xfId="26216" xr:uid="{00000000-0005-0000-0000-00003A4E0000}"/>
    <cellStyle name="Note 2 2 2 3 6 2 2 2" xfId="26219" xr:uid="{00000000-0005-0000-0000-00003B4E0000}"/>
    <cellStyle name="Note 2 2 2 3 6 3" xfId="21466" xr:uid="{00000000-0005-0000-0000-00003C4E0000}"/>
    <cellStyle name="Note 2 2 2 3 7" xfId="21468" xr:uid="{00000000-0005-0000-0000-00003D4E0000}"/>
    <cellStyle name="Note 2 2 2 3 8" xfId="11159" xr:uid="{00000000-0005-0000-0000-00003E4E0000}"/>
    <cellStyle name="Note 2 2 2 3 9" xfId="6674" xr:uid="{00000000-0005-0000-0000-00003F4E0000}"/>
    <cellStyle name="Note 2 2 2 30" xfId="26162" xr:uid="{00000000-0005-0000-0000-0000404E0000}"/>
    <cellStyle name="Note 2 2 2 31" xfId="26164" xr:uid="{00000000-0005-0000-0000-0000414E0000}"/>
    <cellStyle name="Note 2 2 2 32" xfId="13617" xr:uid="{00000000-0005-0000-0000-0000424E0000}"/>
    <cellStyle name="Note 2 2 2 4" xfId="26221" xr:uid="{00000000-0005-0000-0000-0000434E0000}"/>
    <cellStyle name="Note 2 2 2 4 10" xfId="16174" xr:uid="{00000000-0005-0000-0000-0000444E0000}"/>
    <cellStyle name="Note 2 2 2 4 2" xfId="16935" xr:uid="{00000000-0005-0000-0000-0000454E0000}"/>
    <cellStyle name="Note 2 2 2 4 2 2" xfId="16937" xr:uid="{00000000-0005-0000-0000-0000464E0000}"/>
    <cellStyle name="Note 2 2 2 4 2 2 2" xfId="7438" xr:uid="{00000000-0005-0000-0000-0000474E0000}"/>
    <cellStyle name="Note 2 2 2 4 2 2 2 2" xfId="7445" xr:uid="{00000000-0005-0000-0000-0000484E0000}"/>
    <cellStyle name="Note 2 2 2 4 2 2 2 2 2" xfId="16029" xr:uid="{00000000-0005-0000-0000-0000494E0000}"/>
    <cellStyle name="Note 2 2 2 4 2 2 2 2 2 2" xfId="16032" xr:uid="{00000000-0005-0000-0000-00004A4E0000}"/>
    <cellStyle name="Note 2 2 2 4 2 2 2 2 2 2 2" xfId="16034" xr:uid="{00000000-0005-0000-0000-00004B4E0000}"/>
    <cellStyle name="Note 2 2 2 4 2 2 2 2 2 2 2 2" xfId="13048" xr:uid="{00000000-0005-0000-0000-00004C4E0000}"/>
    <cellStyle name="Note 2 2 2 4 2 2 2 2 2 3" xfId="16038" xr:uid="{00000000-0005-0000-0000-00004D4E0000}"/>
    <cellStyle name="Note 2 2 2 4 2 2 2 2 3" xfId="16058" xr:uid="{00000000-0005-0000-0000-00004E4E0000}"/>
    <cellStyle name="Note 2 2 2 4 2 2 2 3" xfId="3873" xr:uid="{00000000-0005-0000-0000-00004F4E0000}"/>
    <cellStyle name="Note 2 2 2 4 2 2 3" xfId="7449" xr:uid="{00000000-0005-0000-0000-0000504E0000}"/>
    <cellStyle name="Note 2 2 2 4 2 2 4" xfId="7459" xr:uid="{00000000-0005-0000-0000-0000514E0000}"/>
    <cellStyle name="Note 2 2 2 4 2 3" xfId="16939" xr:uid="{00000000-0005-0000-0000-0000524E0000}"/>
    <cellStyle name="Note 2 2 2 4 2 3 2" xfId="7514" xr:uid="{00000000-0005-0000-0000-0000534E0000}"/>
    <cellStyle name="Note 2 2 2 4 2 4" xfId="26223" xr:uid="{00000000-0005-0000-0000-0000544E0000}"/>
    <cellStyle name="Note 2 2 2 4 3" xfId="16942" xr:uid="{00000000-0005-0000-0000-0000554E0000}"/>
    <cellStyle name="Note 2 2 2 4 3 2" xfId="21470" xr:uid="{00000000-0005-0000-0000-0000564E0000}"/>
    <cellStyle name="Note 2 2 2 4 3 2 2" xfId="7874" xr:uid="{00000000-0005-0000-0000-0000574E0000}"/>
    <cellStyle name="Note 2 2 2 4 3 2 2 2" xfId="7880" xr:uid="{00000000-0005-0000-0000-0000584E0000}"/>
    <cellStyle name="Note 2 2 2 4 3 3" xfId="1442" xr:uid="{00000000-0005-0000-0000-0000594E0000}"/>
    <cellStyle name="Note 2 2 2 4 3 4" xfId="6546" xr:uid="{00000000-0005-0000-0000-00005A4E0000}"/>
    <cellStyle name="Note 2 2 2 4 4" xfId="16945" xr:uid="{00000000-0005-0000-0000-00005B4E0000}"/>
    <cellStyle name="Note 2 2 2 4 4 2" xfId="20626" xr:uid="{00000000-0005-0000-0000-00005C4E0000}"/>
    <cellStyle name="Note 2 2 2 4 4 2 2" xfId="26224" xr:uid="{00000000-0005-0000-0000-00005D4E0000}"/>
    <cellStyle name="Note 2 2 2 4 4 2 2 2" xfId="26226" xr:uid="{00000000-0005-0000-0000-00005E4E0000}"/>
    <cellStyle name="Note 2 2 2 4 4 3" xfId="21473" xr:uid="{00000000-0005-0000-0000-00005F4E0000}"/>
    <cellStyle name="Note 2 2 2 4 5" xfId="21478" xr:uid="{00000000-0005-0000-0000-0000604E0000}"/>
    <cellStyle name="Note 2 2 2 4 5 2" xfId="20608" xr:uid="{00000000-0005-0000-0000-0000614E0000}"/>
    <cellStyle name="Note 2 2 2 4 5 2 2" xfId="20611" xr:uid="{00000000-0005-0000-0000-0000624E0000}"/>
    <cellStyle name="Note 2 2 2 4 5 2 2 2" xfId="18498" xr:uid="{00000000-0005-0000-0000-0000634E0000}"/>
    <cellStyle name="Note 2 2 2 4 5 3" xfId="20617" xr:uid="{00000000-0005-0000-0000-0000644E0000}"/>
    <cellStyle name="Note 2 2 2 4 6" xfId="21481" xr:uid="{00000000-0005-0000-0000-0000654E0000}"/>
    <cellStyle name="Note 2 2 2 4 6 2" xfId="21484" xr:uid="{00000000-0005-0000-0000-0000664E0000}"/>
    <cellStyle name="Note 2 2 2 4 6 2 2" xfId="24109" xr:uid="{00000000-0005-0000-0000-0000674E0000}"/>
    <cellStyle name="Note 2 2 2 4 6 2 2 2" xfId="21663" xr:uid="{00000000-0005-0000-0000-0000684E0000}"/>
    <cellStyle name="Note 2 2 2 4 7" xfId="21488" xr:uid="{00000000-0005-0000-0000-0000694E0000}"/>
    <cellStyle name="Note 2 2 2 4 7 2" xfId="26227" xr:uid="{00000000-0005-0000-0000-00006A4E0000}"/>
    <cellStyle name="Note 2 2 2 4 7 2 2" xfId="26228" xr:uid="{00000000-0005-0000-0000-00006B4E0000}"/>
    <cellStyle name="Note 2 2 2 4 8" xfId="11163" xr:uid="{00000000-0005-0000-0000-00006C4E0000}"/>
    <cellStyle name="Note 2 2 2 4 9" xfId="6683" xr:uid="{00000000-0005-0000-0000-00006D4E0000}"/>
    <cellStyle name="Note 2 2 2 5" xfId="21758" xr:uid="{00000000-0005-0000-0000-00006E4E0000}"/>
    <cellStyle name="Note 2 2 2 5 2" xfId="16958" xr:uid="{00000000-0005-0000-0000-00006F4E0000}"/>
    <cellStyle name="Note 2 2 2 5 2 2" xfId="16960" xr:uid="{00000000-0005-0000-0000-0000704E0000}"/>
    <cellStyle name="Note 2 2 2 5 2 2 2" xfId="8571" xr:uid="{00000000-0005-0000-0000-0000714E0000}"/>
    <cellStyle name="Note 2 2 2 5 2 2 2 2" xfId="8573" xr:uid="{00000000-0005-0000-0000-0000724E0000}"/>
    <cellStyle name="Note 2 2 2 5 2 2 2 2 2" xfId="6695" xr:uid="{00000000-0005-0000-0000-0000734E0000}"/>
    <cellStyle name="Note 2 2 2 5 2 2 2 2 2 2" xfId="26229" xr:uid="{00000000-0005-0000-0000-0000744E0000}"/>
    <cellStyle name="Note 2 2 2 5 2 2 2 3" xfId="3116" xr:uid="{00000000-0005-0000-0000-0000754E0000}"/>
    <cellStyle name="Note 2 2 2 5 2 2 3" xfId="8575" xr:uid="{00000000-0005-0000-0000-0000764E0000}"/>
    <cellStyle name="Note 2 2 2 5 2 3" xfId="16962" xr:uid="{00000000-0005-0000-0000-0000774E0000}"/>
    <cellStyle name="Note 2 2 2 5 2 4" xfId="26230" xr:uid="{00000000-0005-0000-0000-0000784E0000}"/>
    <cellStyle name="Note 2 2 2 5 3" xfId="16965" xr:uid="{00000000-0005-0000-0000-0000794E0000}"/>
    <cellStyle name="Note 2 2 2 5 3 2" xfId="21490" xr:uid="{00000000-0005-0000-0000-00007A4E0000}"/>
    <cellStyle name="Note 2 2 2 5 3 2 2" xfId="8818" xr:uid="{00000000-0005-0000-0000-00007B4E0000}"/>
    <cellStyle name="Note 2 2 2 5 3 2 2 2" xfId="4493" xr:uid="{00000000-0005-0000-0000-00007C4E0000}"/>
    <cellStyle name="Note 2 2 2 5 3 3" xfId="21492" xr:uid="{00000000-0005-0000-0000-00007D4E0000}"/>
    <cellStyle name="Note 2 2 2 5 3 4" xfId="21494" xr:uid="{00000000-0005-0000-0000-00007E4E0000}"/>
    <cellStyle name="Note 2 2 2 5 4" xfId="16968" xr:uid="{00000000-0005-0000-0000-00007F4E0000}"/>
    <cellStyle name="Note 2 2 2 5 4 2" xfId="20641" xr:uid="{00000000-0005-0000-0000-0000804E0000}"/>
    <cellStyle name="Note 2 2 2 5 4 3" xfId="1742" xr:uid="{00000000-0005-0000-0000-0000814E0000}"/>
    <cellStyle name="Note 2 2 2 5 5" xfId="21496" xr:uid="{00000000-0005-0000-0000-0000824E0000}"/>
    <cellStyle name="Note 2 2 2 5 5 2" xfId="20649" xr:uid="{00000000-0005-0000-0000-0000834E0000}"/>
    <cellStyle name="Note 2 2 2 5 5 3" xfId="21499" xr:uid="{00000000-0005-0000-0000-0000844E0000}"/>
    <cellStyle name="Note 2 2 2 5 6" xfId="21501" xr:uid="{00000000-0005-0000-0000-0000854E0000}"/>
    <cellStyle name="Note 2 2 2 5 6 2" xfId="21505" xr:uid="{00000000-0005-0000-0000-0000864E0000}"/>
    <cellStyle name="Note 2 2 2 5 7" xfId="21507" xr:uid="{00000000-0005-0000-0000-0000874E0000}"/>
    <cellStyle name="Note 2 2 2 5 8" xfId="11168" xr:uid="{00000000-0005-0000-0000-0000884E0000}"/>
    <cellStyle name="Note 2 2 2 6" xfId="21760" xr:uid="{00000000-0005-0000-0000-0000894E0000}"/>
    <cellStyle name="Note 2 2 2 6 2" xfId="16981" xr:uid="{00000000-0005-0000-0000-00008A4E0000}"/>
    <cellStyle name="Note 2 2 2 6 2 2" xfId="16983" xr:uid="{00000000-0005-0000-0000-00008B4E0000}"/>
    <cellStyle name="Note 2 2 2 6 2 3" xfId="16985" xr:uid="{00000000-0005-0000-0000-00008C4E0000}"/>
    <cellStyle name="Note 2 2 2 6 2 4" xfId="26231" xr:uid="{00000000-0005-0000-0000-00008D4E0000}"/>
    <cellStyle name="Note 2 2 2 6 3" xfId="16988" xr:uid="{00000000-0005-0000-0000-00008E4E0000}"/>
    <cellStyle name="Note 2 2 2 6 3 2" xfId="21511" xr:uid="{00000000-0005-0000-0000-00008F4E0000}"/>
    <cellStyle name="Note 2 2 2 6 3 3" xfId="21513" xr:uid="{00000000-0005-0000-0000-0000904E0000}"/>
    <cellStyle name="Note 2 2 2 6 3 4" xfId="21515" xr:uid="{00000000-0005-0000-0000-0000914E0000}"/>
    <cellStyle name="Note 2 2 2 6 4" xfId="16991" xr:uid="{00000000-0005-0000-0000-0000924E0000}"/>
    <cellStyle name="Note 2 2 2 6 4 2" xfId="20664" xr:uid="{00000000-0005-0000-0000-0000934E0000}"/>
    <cellStyle name="Note 2 2 2 6 4 3" xfId="21518" xr:uid="{00000000-0005-0000-0000-0000944E0000}"/>
    <cellStyle name="Note 2 2 2 6 5" xfId="21520" xr:uid="{00000000-0005-0000-0000-0000954E0000}"/>
    <cellStyle name="Note 2 2 2 6 5 2" xfId="20672" xr:uid="{00000000-0005-0000-0000-0000964E0000}"/>
    <cellStyle name="Note 2 2 2 6 5 3" xfId="21523" xr:uid="{00000000-0005-0000-0000-0000974E0000}"/>
    <cellStyle name="Note 2 2 2 6 6" xfId="21525" xr:uid="{00000000-0005-0000-0000-0000984E0000}"/>
    <cellStyle name="Note 2 2 2 6 6 2" xfId="21529" xr:uid="{00000000-0005-0000-0000-0000994E0000}"/>
    <cellStyle name="Note 2 2 2 6 7" xfId="21533" xr:uid="{00000000-0005-0000-0000-00009A4E0000}"/>
    <cellStyle name="Note 2 2 2 6 8" xfId="11175" xr:uid="{00000000-0005-0000-0000-00009B4E0000}"/>
    <cellStyle name="Note 2 2 2 7" xfId="21762" xr:uid="{00000000-0005-0000-0000-00009C4E0000}"/>
    <cellStyle name="Note 2 2 2 7 2" xfId="4735" xr:uid="{00000000-0005-0000-0000-00009D4E0000}"/>
    <cellStyle name="Note 2 2 2 7 2 2" xfId="26232" xr:uid="{00000000-0005-0000-0000-00009E4E0000}"/>
    <cellStyle name="Note 2 2 2 7 2 3" xfId="26233" xr:uid="{00000000-0005-0000-0000-00009F4E0000}"/>
    <cellStyle name="Note 2 2 2 7 2 4" xfId="26234" xr:uid="{00000000-0005-0000-0000-0000A04E0000}"/>
    <cellStyle name="Note 2 2 2 7 3" xfId="21536" xr:uid="{00000000-0005-0000-0000-0000A14E0000}"/>
    <cellStyle name="Note 2 2 2 7 3 2" xfId="21538" xr:uid="{00000000-0005-0000-0000-0000A24E0000}"/>
    <cellStyle name="Note 2 2 2 7 3 3" xfId="21540" xr:uid="{00000000-0005-0000-0000-0000A34E0000}"/>
    <cellStyle name="Note 2 2 2 7 3 4" xfId="21542" xr:uid="{00000000-0005-0000-0000-0000A44E0000}"/>
    <cellStyle name="Note 2 2 2 7 4" xfId="21544" xr:uid="{00000000-0005-0000-0000-0000A54E0000}"/>
    <cellStyle name="Note 2 2 2 7 4 2" xfId="20693" xr:uid="{00000000-0005-0000-0000-0000A64E0000}"/>
    <cellStyle name="Note 2 2 2 7 4 3" xfId="21547" xr:uid="{00000000-0005-0000-0000-0000A74E0000}"/>
    <cellStyle name="Note 2 2 2 7 5" xfId="21549" xr:uid="{00000000-0005-0000-0000-0000A84E0000}"/>
    <cellStyle name="Note 2 2 2 7 5 2" xfId="20700" xr:uid="{00000000-0005-0000-0000-0000A94E0000}"/>
    <cellStyle name="Note 2 2 2 7 5 3" xfId="21552" xr:uid="{00000000-0005-0000-0000-0000AA4E0000}"/>
    <cellStyle name="Note 2 2 2 7 6" xfId="21554" xr:uid="{00000000-0005-0000-0000-0000AB4E0000}"/>
    <cellStyle name="Note 2 2 2 7 6 2" xfId="21559" xr:uid="{00000000-0005-0000-0000-0000AC4E0000}"/>
    <cellStyle name="Note 2 2 2 7 7" xfId="21563" xr:uid="{00000000-0005-0000-0000-0000AD4E0000}"/>
    <cellStyle name="Note 2 2 2 7 8" xfId="21567" xr:uid="{00000000-0005-0000-0000-0000AE4E0000}"/>
    <cellStyle name="Note 2 2 2 8" xfId="26235" xr:uid="{00000000-0005-0000-0000-0000AF4E0000}"/>
    <cellStyle name="Note 2 2 2 8 2" xfId="4764" xr:uid="{00000000-0005-0000-0000-0000B04E0000}"/>
    <cellStyle name="Note 2 2 2 8 2 2" xfId="25319" xr:uid="{00000000-0005-0000-0000-0000B14E0000}"/>
    <cellStyle name="Note 2 2 2 8 2 3" xfId="25321" xr:uid="{00000000-0005-0000-0000-0000B24E0000}"/>
    <cellStyle name="Note 2 2 2 8 2 4" xfId="25323" xr:uid="{00000000-0005-0000-0000-0000B34E0000}"/>
    <cellStyle name="Note 2 2 2 8 3" xfId="1976" xr:uid="{00000000-0005-0000-0000-0000B44E0000}"/>
    <cellStyle name="Note 2 2 2 8 3 2" xfId="1980" xr:uid="{00000000-0005-0000-0000-0000B54E0000}"/>
    <cellStyle name="Note 2 2 2 8 3 3" xfId="2009" xr:uid="{00000000-0005-0000-0000-0000B64E0000}"/>
    <cellStyle name="Note 2 2 2 8 3 4" xfId="2014" xr:uid="{00000000-0005-0000-0000-0000B74E0000}"/>
    <cellStyle name="Note 2 2 2 8 4" xfId="2021" xr:uid="{00000000-0005-0000-0000-0000B84E0000}"/>
    <cellStyle name="Note 2 2 2 8 4 2" xfId="20725" xr:uid="{00000000-0005-0000-0000-0000B94E0000}"/>
    <cellStyle name="Note 2 2 2 8 4 3" xfId="21571" xr:uid="{00000000-0005-0000-0000-0000BA4E0000}"/>
    <cellStyle name="Note 2 2 2 8 5" xfId="2026" xr:uid="{00000000-0005-0000-0000-0000BB4E0000}"/>
    <cellStyle name="Note 2 2 2 8 5 2" xfId="2032" xr:uid="{00000000-0005-0000-0000-0000BC4E0000}"/>
    <cellStyle name="Note 2 2 2 8 5 3" xfId="2050" xr:uid="{00000000-0005-0000-0000-0000BD4E0000}"/>
    <cellStyle name="Note 2 2 2 8 6" xfId="1554" xr:uid="{00000000-0005-0000-0000-0000BE4E0000}"/>
    <cellStyle name="Note 2 2 2 8 6 2" xfId="21576" xr:uid="{00000000-0005-0000-0000-0000BF4E0000}"/>
    <cellStyle name="Note 2 2 2 8 7" xfId="2058" xr:uid="{00000000-0005-0000-0000-0000C04E0000}"/>
    <cellStyle name="Note 2 2 2 8 8" xfId="2067" xr:uid="{00000000-0005-0000-0000-0000C14E0000}"/>
    <cellStyle name="Note 2 2 2 9" xfId="10540" xr:uid="{00000000-0005-0000-0000-0000C24E0000}"/>
    <cellStyle name="Note 2 2 2 9 2" xfId="26236" xr:uid="{00000000-0005-0000-0000-0000C34E0000}"/>
    <cellStyle name="Note 2 2 2 9 2 2" xfId="26237" xr:uid="{00000000-0005-0000-0000-0000C44E0000}"/>
    <cellStyle name="Note 2 2 2 9 2 3" xfId="26238" xr:uid="{00000000-0005-0000-0000-0000C54E0000}"/>
    <cellStyle name="Note 2 2 2 9 2 4" xfId="26239" xr:uid="{00000000-0005-0000-0000-0000C64E0000}"/>
    <cellStyle name="Note 2 2 2 9 3" xfId="26241" xr:uid="{00000000-0005-0000-0000-0000C74E0000}"/>
    <cellStyle name="Note 2 2 2 9 3 2" xfId="26242" xr:uid="{00000000-0005-0000-0000-0000C84E0000}"/>
    <cellStyle name="Note 2 2 2 9 3 3" xfId="26243" xr:uid="{00000000-0005-0000-0000-0000C94E0000}"/>
    <cellStyle name="Note 2 2 2 9 3 4" xfId="26244" xr:uid="{00000000-0005-0000-0000-0000CA4E0000}"/>
    <cellStyle name="Note 2 2 2 9 4" xfId="26245" xr:uid="{00000000-0005-0000-0000-0000CB4E0000}"/>
    <cellStyle name="Note 2 2 2 9 4 2" xfId="20757" xr:uid="{00000000-0005-0000-0000-0000CC4E0000}"/>
    <cellStyle name="Note 2 2 2 9 4 3" xfId="1806" xr:uid="{00000000-0005-0000-0000-0000CD4E0000}"/>
    <cellStyle name="Note 2 2 2 9 5" xfId="26246" xr:uid="{00000000-0005-0000-0000-0000CE4E0000}"/>
    <cellStyle name="Note 2 2 2 9 5 2" xfId="20772" xr:uid="{00000000-0005-0000-0000-0000CF4E0000}"/>
    <cellStyle name="Note 2 2 2 9 5 3" xfId="21246" xr:uid="{00000000-0005-0000-0000-0000D04E0000}"/>
    <cellStyle name="Note 2 2 2 9 6" xfId="26247" xr:uid="{00000000-0005-0000-0000-0000D14E0000}"/>
    <cellStyle name="Note 2 2 2 9 6 2" xfId="26249" xr:uid="{00000000-0005-0000-0000-0000D24E0000}"/>
    <cellStyle name="Note 2 2 2 9 7" xfId="26250" xr:uid="{00000000-0005-0000-0000-0000D34E0000}"/>
    <cellStyle name="Note 2 2 2 9 8" xfId="26252" xr:uid="{00000000-0005-0000-0000-0000D44E0000}"/>
    <cellStyle name="Note 2 2 20" xfId="26083" xr:uid="{00000000-0005-0000-0000-0000D54E0000}"/>
    <cellStyle name="Note 2 2 21" xfId="26088" xr:uid="{00000000-0005-0000-0000-0000D64E0000}"/>
    <cellStyle name="Note 2 2 22" xfId="26093" xr:uid="{00000000-0005-0000-0000-0000D74E0000}"/>
    <cellStyle name="Note 2 2 23" xfId="26100" xr:uid="{00000000-0005-0000-0000-0000D84E0000}"/>
    <cellStyle name="Note 2 2 24" xfId="26104" xr:uid="{00000000-0005-0000-0000-0000D94E0000}"/>
    <cellStyle name="Note 2 2 25" xfId="26253" xr:uid="{00000000-0005-0000-0000-0000DA4E0000}"/>
    <cellStyle name="Note 2 2 26" xfId="26255" xr:uid="{00000000-0005-0000-0000-0000DB4E0000}"/>
    <cellStyle name="Note 2 2 27" xfId="26257" xr:uid="{00000000-0005-0000-0000-0000DC4E0000}"/>
    <cellStyle name="Note 2 2 28" xfId="26259" xr:uid="{00000000-0005-0000-0000-0000DD4E0000}"/>
    <cellStyle name="Note 2 2 29" xfId="26261" xr:uid="{00000000-0005-0000-0000-0000DE4E0000}"/>
    <cellStyle name="Note 2 2 3" xfId="26263" xr:uid="{00000000-0005-0000-0000-0000DF4E0000}"/>
    <cellStyle name="Note 2 2 3 10" xfId="26264" xr:uid="{00000000-0005-0000-0000-0000E04E0000}"/>
    <cellStyle name="Note 2 2 3 10 2" xfId="26265" xr:uid="{00000000-0005-0000-0000-0000E14E0000}"/>
    <cellStyle name="Note 2 2 3 10 2 2" xfId="18787" xr:uid="{00000000-0005-0000-0000-0000E24E0000}"/>
    <cellStyle name="Note 2 2 3 10 2 3" xfId="22571" xr:uid="{00000000-0005-0000-0000-0000E34E0000}"/>
    <cellStyle name="Note 2 2 3 10 2 4" xfId="22574" xr:uid="{00000000-0005-0000-0000-0000E44E0000}"/>
    <cellStyle name="Note 2 2 3 10 3" xfId="26266" xr:uid="{00000000-0005-0000-0000-0000E54E0000}"/>
    <cellStyle name="Note 2 2 3 10 3 2" xfId="18792" xr:uid="{00000000-0005-0000-0000-0000E64E0000}"/>
    <cellStyle name="Note 2 2 3 10 3 3" xfId="22582" xr:uid="{00000000-0005-0000-0000-0000E74E0000}"/>
    <cellStyle name="Note 2 2 3 10 3 4" xfId="22585" xr:uid="{00000000-0005-0000-0000-0000E84E0000}"/>
    <cellStyle name="Note 2 2 3 10 4" xfId="26267" xr:uid="{00000000-0005-0000-0000-0000E94E0000}"/>
    <cellStyle name="Note 2 2 3 10 4 2" xfId="26268" xr:uid="{00000000-0005-0000-0000-0000EA4E0000}"/>
    <cellStyle name="Note 2 2 3 10 4 3" xfId="22590" xr:uid="{00000000-0005-0000-0000-0000EB4E0000}"/>
    <cellStyle name="Note 2 2 3 10 5" xfId="26269" xr:uid="{00000000-0005-0000-0000-0000EC4E0000}"/>
    <cellStyle name="Note 2 2 3 10 5 2" xfId="26271" xr:uid="{00000000-0005-0000-0000-0000ED4E0000}"/>
    <cellStyle name="Note 2 2 3 10 5 3" xfId="25446" xr:uid="{00000000-0005-0000-0000-0000EE4E0000}"/>
    <cellStyle name="Note 2 2 3 10 6" xfId="26273" xr:uid="{00000000-0005-0000-0000-0000EF4E0000}"/>
    <cellStyle name="Note 2 2 3 10 7" xfId="21630" xr:uid="{00000000-0005-0000-0000-0000F04E0000}"/>
    <cellStyle name="Note 2 2 3 10 8" xfId="21633" xr:uid="{00000000-0005-0000-0000-0000F14E0000}"/>
    <cellStyle name="Note 2 2 3 11" xfId="26275" xr:uid="{00000000-0005-0000-0000-0000F24E0000}"/>
    <cellStyle name="Note 2 2 3 11 2" xfId="26276" xr:uid="{00000000-0005-0000-0000-0000F34E0000}"/>
    <cellStyle name="Note 2 2 3 11 3" xfId="26277" xr:uid="{00000000-0005-0000-0000-0000F44E0000}"/>
    <cellStyle name="Note 2 2 3 11 4" xfId="26278" xr:uid="{00000000-0005-0000-0000-0000F54E0000}"/>
    <cellStyle name="Note 2 2 3 11 5" xfId="26279" xr:uid="{00000000-0005-0000-0000-0000F64E0000}"/>
    <cellStyle name="Note 2 2 3 12" xfId="26281" xr:uid="{00000000-0005-0000-0000-0000F74E0000}"/>
    <cellStyle name="Note 2 2 3 12 2" xfId="20980" xr:uid="{00000000-0005-0000-0000-0000F84E0000}"/>
    <cellStyle name="Note 2 2 3 12 3" xfId="26282" xr:uid="{00000000-0005-0000-0000-0000F94E0000}"/>
    <cellStyle name="Note 2 2 3 12 4" xfId="26283" xr:uid="{00000000-0005-0000-0000-0000FA4E0000}"/>
    <cellStyle name="Note 2 2 3 12 5" xfId="26284" xr:uid="{00000000-0005-0000-0000-0000FB4E0000}"/>
    <cellStyle name="Note 2 2 3 13" xfId="26286" xr:uid="{00000000-0005-0000-0000-0000FC4E0000}"/>
    <cellStyle name="Note 2 2 3 13 2" xfId="26287" xr:uid="{00000000-0005-0000-0000-0000FD4E0000}"/>
    <cellStyle name="Note 2 2 3 13 3" xfId="26288" xr:uid="{00000000-0005-0000-0000-0000FE4E0000}"/>
    <cellStyle name="Note 2 2 3 13 4" xfId="26289" xr:uid="{00000000-0005-0000-0000-0000FF4E0000}"/>
    <cellStyle name="Note 2 2 3 14" xfId="26290" xr:uid="{00000000-0005-0000-0000-0000004F0000}"/>
    <cellStyle name="Note 2 2 3 14 2" xfId="26291" xr:uid="{00000000-0005-0000-0000-0000014F0000}"/>
    <cellStyle name="Note 2 2 3 14 3" xfId="26292" xr:uid="{00000000-0005-0000-0000-0000024F0000}"/>
    <cellStyle name="Note 2 2 3 14 4" xfId="1641" xr:uid="{00000000-0005-0000-0000-0000034F0000}"/>
    <cellStyle name="Note 2 2 3 15" xfId="26293" xr:uid="{00000000-0005-0000-0000-0000044F0000}"/>
    <cellStyle name="Note 2 2 3 15 2" xfId="26295" xr:uid="{00000000-0005-0000-0000-0000054F0000}"/>
    <cellStyle name="Note 2 2 3 15 2 2" xfId="26296" xr:uid="{00000000-0005-0000-0000-0000064F0000}"/>
    <cellStyle name="Note 2 2 3 15 3" xfId="26298" xr:uid="{00000000-0005-0000-0000-0000074F0000}"/>
    <cellStyle name="Note 2 2 3 16" xfId="26299" xr:uid="{00000000-0005-0000-0000-0000084F0000}"/>
    <cellStyle name="Note 2 2 3 16 2" xfId="26301" xr:uid="{00000000-0005-0000-0000-0000094F0000}"/>
    <cellStyle name="Note 2 2 3 17" xfId="26302" xr:uid="{00000000-0005-0000-0000-00000A4F0000}"/>
    <cellStyle name="Note 2 2 3 17 2" xfId="26304" xr:uid="{00000000-0005-0000-0000-00000B4F0000}"/>
    <cellStyle name="Note 2 2 3 18" xfId="26305" xr:uid="{00000000-0005-0000-0000-00000C4F0000}"/>
    <cellStyle name="Note 2 2 3 19" xfId="26307" xr:uid="{00000000-0005-0000-0000-00000D4F0000}"/>
    <cellStyle name="Note 2 2 3 2" xfId="26309" xr:uid="{00000000-0005-0000-0000-00000E4F0000}"/>
    <cellStyle name="Note 2 2 3 2 10" xfId="26311" xr:uid="{00000000-0005-0000-0000-00000F4F0000}"/>
    <cellStyle name="Note 2 2 3 2 11" xfId="26312" xr:uid="{00000000-0005-0000-0000-0000104F0000}"/>
    <cellStyle name="Note 2 2 3 2 12" xfId="26313" xr:uid="{00000000-0005-0000-0000-0000114F0000}"/>
    <cellStyle name="Note 2 2 3 2 13" xfId="23622" xr:uid="{00000000-0005-0000-0000-0000124F0000}"/>
    <cellStyle name="Note 2 2 3 2 14" xfId="23625" xr:uid="{00000000-0005-0000-0000-0000134F0000}"/>
    <cellStyle name="Note 2 2 3 2 15" xfId="21889" xr:uid="{00000000-0005-0000-0000-0000144F0000}"/>
    <cellStyle name="Note 2 2 3 2 16" xfId="21902" xr:uid="{00000000-0005-0000-0000-0000154F0000}"/>
    <cellStyle name="Note 2 2 3 2 17" xfId="21908" xr:uid="{00000000-0005-0000-0000-0000164F0000}"/>
    <cellStyle name="Note 2 2 3 2 18" xfId="21914" xr:uid="{00000000-0005-0000-0000-0000174F0000}"/>
    <cellStyle name="Note 2 2 3 2 19" xfId="21920" xr:uid="{00000000-0005-0000-0000-0000184F0000}"/>
    <cellStyle name="Note 2 2 3 2 2" xfId="17553" xr:uid="{00000000-0005-0000-0000-0000194F0000}"/>
    <cellStyle name="Note 2 2 3 2 2 2" xfId="17555" xr:uid="{00000000-0005-0000-0000-00001A4F0000}"/>
    <cellStyle name="Note 2 2 3 2 2 3" xfId="17558" xr:uid="{00000000-0005-0000-0000-00001B4F0000}"/>
    <cellStyle name="Note 2 2 3 2 2 4" xfId="18465" xr:uid="{00000000-0005-0000-0000-00001C4F0000}"/>
    <cellStyle name="Note 2 2 3 2 2 5" xfId="1035" xr:uid="{00000000-0005-0000-0000-00001D4F0000}"/>
    <cellStyle name="Note 2 2 3 2 20" xfId="21890" xr:uid="{00000000-0005-0000-0000-00001E4F0000}"/>
    <cellStyle name="Note 2 2 3 2 21" xfId="21903" xr:uid="{00000000-0005-0000-0000-00001F4F0000}"/>
    <cellStyle name="Note 2 2 3 2 22" xfId="21909" xr:uid="{00000000-0005-0000-0000-0000204F0000}"/>
    <cellStyle name="Note 2 2 3 2 23" xfId="21915" xr:uid="{00000000-0005-0000-0000-0000214F0000}"/>
    <cellStyle name="Note 2 2 3 2 24" xfId="21921" xr:uid="{00000000-0005-0000-0000-0000224F0000}"/>
    <cellStyle name="Note 2 2 3 2 25" xfId="21926" xr:uid="{00000000-0005-0000-0000-0000234F0000}"/>
    <cellStyle name="Note 2 2 3 2 26" xfId="21929" xr:uid="{00000000-0005-0000-0000-0000244F0000}"/>
    <cellStyle name="Note 2 2 3 2 27" xfId="26314" xr:uid="{00000000-0005-0000-0000-0000254F0000}"/>
    <cellStyle name="Note 2 2 3 2 28" xfId="26315" xr:uid="{00000000-0005-0000-0000-0000264F0000}"/>
    <cellStyle name="Note 2 2 3 2 29" xfId="26316" xr:uid="{00000000-0005-0000-0000-0000274F0000}"/>
    <cellStyle name="Note 2 2 3 2 3" xfId="17561" xr:uid="{00000000-0005-0000-0000-0000284F0000}"/>
    <cellStyle name="Note 2 2 3 2 3 2" xfId="21931" xr:uid="{00000000-0005-0000-0000-0000294F0000}"/>
    <cellStyle name="Note 2 2 3 2 3 3" xfId="18470" xr:uid="{00000000-0005-0000-0000-00002A4F0000}"/>
    <cellStyle name="Note 2 2 3 2 3 4" xfId="18473" xr:uid="{00000000-0005-0000-0000-00002B4F0000}"/>
    <cellStyle name="Note 2 2 3 2 3 5" xfId="1084" xr:uid="{00000000-0005-0000-0000-00002C4F0000}"/>
    <cellStyle name="Note 2 2 3 2 30" xfId="21927" xr:uid="{00000000-0005-0000-0000-00002D4F0000}"/>
    <cellStyle name="Note 2 2 3 2 4" xfId="17565" xr:uid="{00000000-0005-0000-0000-00002E4F0000}"/>
    <cellStyle name="Note 2 2 3 2 4 2" xfId="21943" xr:uid="{00000000-0005-0000-0000-00002F4F0000}"/>
    <cellStyle name="Note 2 2 3 2 4 3" xfId="18476" xr:uid="{00000000-0005-0000-0000-0000304F0000}"/>
    <cellStyle name="Note 2 2 3 2 4 4" xfId="18479" xr:uid="{00000000-0005-0000-0000-0000314F0000}"/>
    <cellStyle name="Note 2 2 3 2 5" xfId="21969" xr:uid="{00000000-0005-0000-0000-0000324F0000}"/>
    <cellStyle name="Note 2 2 3 2 5 2" xfId="21971" xr:uid="{00000000-0005-0000-0000-0000334F0000}"/>
    <cellStyle name="Note 2 2 3 2 5 3" xfId="21977" xr:uid="{00000000-0005-0000-0000-0000344F0000}"/>
    <cellStyle name="Note 2 2 3 2 5 4" xfId="21979" xr:uid="{00000000-0005-0000-0000-0000354F0000}"/>
    <cellStyle name="Note 2 2 3 2 6" xfId="21991" xr:uid="{00000000-0005-0000-0000-0000364F0000}"/>
    <cellStyle name="Note 2 2 3 2 6 2" xfId="21993" xr:uid="{00000000-0005-0000-0000-0000374F0000}"/>
    <cellStyle name="Note 2 2 3 2 6 2 2" xfId="21995" xr:uid="{00000000-0005-0000-0000-0000384F0000}"/>
    <cellStyle name="Note 2 2 3 2 6 3" xfId="21998" xr:uid="{00000000-0005-0000-0000-0000394F0000}"/>
    <cellStyle name="Note 2 2 3 2 7" xfId="22012" xr:uid="{00000000-0005-0000-0000-00003A4F0000}"/>
    <cellStyle name="Note 2 2 3 2 7 2" xfId="22014" xr:uid="{00000000-0005-0000-0000-00003B4F0000}"/>
    <cellStyle name="Note 2 2 3 2 8" xfId="22032" xr:uid="{00000000-0005-0000-0000-00003C4F0000}"/>
    <cellStyle name="Note 2 2 3 2 8 2" xfId="8606" xr:uid="{00000000-0005-0000-0000-00003D4F0000}"/>
    <cellStyle name="Note 2 2 3 2 9" xfId="22046" xr:uid="{00000000-0005-0000-0000-00003E4F0000}"/>
    <cellStyle name="Note 2 2 3 20" xfId="26294" xr:uid="{00000000-0005-0000-0000-00003F4F0000}"/>
    <cellStyle name="Note 2 2 3 21" xfId="26300" xr:uid="{00000000-0005-0000-0000-0000404F0000}"/>
    <cellStyle name="Note 2 2 3 22" xfId="26303" xr:uid="{00000000-0005-0000-0000-0000414F0000}"/>
    <cellStyle name="Note 2 2 3 23" xfId="26306" xr:uid="{00000000-0005-0000-0000-0000424F0000}"/>
    <cellStyle name="Note 2 2 3 24" xfId="26308" xr:uid="{00000000-0005-0000-0000-0000434F0000}"/>
    <cellStyle name="Note 2 2 3 25" xfId="26317" xr:uid="{00000000-0005-0000-0000-0000444F0000}"/>
    <cellStyle name="Note 2 2 3 26" xfId="23864" xr:uid="{00000000-0005-0000-0000-0000454F0000}"/>
    <cellStyle name="Note 2 2 3 27" xfId="23872" xr:uid="{00000000-0005-0000-0000-0000464F0000}"/>
    <cellStyle name="Note 2 2 3 28" xfId="23879" xr:uid="{00000000-0005-0000-0000-0000474F0000}"/>
    <cellStyle name="Note 2 2 3 29" xfId="23883" xr:uid="{00000000-0005-0000-0000-0000484F0000}"/>
    <cellStyle name="Note 2 2 3 3" xfId="26319" xr:uid="{00000000-0005-0000-0000-0000494F0000}"/>
    <cellStyle name="Note 2 2 3 3 2" xfId="17599" xr:uid="{00000000-0005-0000-0000-00004A4F0000}"/>
    <cellStyle name="Note 2 2 3 3 2 2" xfId="17602" xr:uid="{00000000-0005-0000-0000-00004B4F0000}"/>
    <cellStyle name="Note 2 2 3 3 2 3" xfId="17605" xr:uid="{00000000-0005-0000-0000-00004C4F0000}"/>
    <cellStyle name="Note 2 2 3 3 2 4" xfId="26320" xr:uid="{00000000-0005-0000-0000-00004D4F0000}"/>
    <cellStyle name="Note 2 2 3 3 3" xfId="17608" xr:uid="{00000000-0005-0000-0000-00004E4F0000}"/>
    <cellStyle name="Note 2 2 3 3 3 2" xfId="22090" xr:uid="{00000000-0005-0000-0000-00004F4F0000}"/>
    <cellStyle name="Note 2 2 3 3 3 3" xfId="22092" xr:uid="{00000000-0005-0000-0000-0000504F0000}"/>
    <cellStyle name="Note 2 2 3 3 3 4" xfId="22094" xr:uid="{00000000-0005-0000-0000-0000514F0000}"/>
    <cellStyle name="Note 2 2 3 3 4" xfId="17613" xr:uid="{00000000-0005-0000-0000-0000524F0000}"/>
    <cellStyle name="Note 2 2 3 3 4 2" xfId="22096" xr:uid="{00000000-0005-0000-0000-0000534F0000}"/>
    <cellStyle name="Note 2 2 3 3 4 3" xfId="22098" xr:uid="{00000000-0005-0000-0000-0000544F0000}"/>
    <cellStyle name="Note 2 2 3 3 5" xfId="22103" xr:uid="{00000000-0005-0000-0000-0000554F0000}"/>
    <cellStyle name="Note 2 2 3 3 5 2" xfId="22105" xr:uid="{00000000-0005-0000-0000-0000564F0000}"/>
    <cellStyle name="Note 2 2 3 3 5 3" xfId="22107" xr:uid="{00000000-0005-0000-0000-0000574F0000}"/>
    <cellStyle name="Note 2 2 3 3 6" xfId="22110" xr:uid="{00000000-0005-0000-0000-0000584F0000}"/>
    <cellStyle name="Note 2 2 3 3 6 2" xfId="22112" xr:uid="{00000000-0005-0000-0000-0000594F0000}"/>
    <cellStyle name="Note 2 2 3 3 6 2 2" xfId="26322" xr:uid="{00000000-0005-0000-0000-00005A4F0000}"/>
    <cellStyle name="Note 2 2 3 3 7" xfId="22115" xr:uid="{00000000-0005-0000-0000-00005B4F0000}"/>
    <cellStyle name="Note 2 2 3 3 8" xfId="11186" xr:uid="{00000000-0005-0000-0000-00005C4F0000}"/>
    <cellStyle name="Note 2 2 3 3 9" xfId="5343" xr:uid="{00000000-0005-0000-0000-00005D4F0000}"/>
    <cellStyle name="Note 2 2 3 30" xfId="26318" xr:uid="{00000000-0005-0000-0000-00005E4F0000}"/>
    <cellStyle name="Note 2 2 3 31" xfId="23865" xr:uid="{00000000-0005-0000-0000-00005F4F0000}"/>
    <cellStyle name="Note 2 2 3 32" xfId="23873" xr:uid="{00000000-0005-0000-0000-0000604F0000}"/>
    <cellStyle name="Note 2 2 3 4" xfId="26323" xr:uid="{00000000-0005-0000-0000-0000614F0000}"/>
    <cellStyle name="Note 2 2 3 4 2" xfId="17634" xr:uid="{00000000-0005-0000-0000-0000624F0000}"/>
    <cellStyle name="Note 2 2 3 4 2 2" xfId="17636" xr:uid="{00000000-0005-0000-0000-0000634F0000}"/>
    <cellStyle name="Note 2 2 3 4 2 2 2" xfId="26324" xr:uid="{00000000-0005-0000-0000-0000644F0000}"/>
    <cellStyle name="Note 2 2 3 4 2 2 2 2" xfId="10603" xr:uid="{00000000-0005-0000-0000-0000654F0000}"/>
    <cellStyle name="Note 2 2 3 4 2 2 2 2 2" xfId="24679" xr:uid="{00000000-0005-0000-0000-0000664F0000}"/>
    <cellStyle name="Note 2 2 3 4 2 2 2 2 2 2" xfId="26327" xr:uid="{00000000-0005-0000-0000-0000674F0000}"/>
    <cellStyle name="Note 2 2 3 4 2 2 2 2 2 2 2" xfId="8160" xr:uid="{00000000-0005-0000-0000-0000684F0000}"/>
    <cellStyle name="Note 2 2 3 4 2 2 2 2 3" xfId="26328" xr:uid="{00000000-0005-0000-0000-0000694F0000}"/>
    <cellStyle name="Note 2 2 3 4 2 2 2 3" xfId="2094" xr:uid="{00000000-0005-0000-0000-00006A4F0000}"/>
    <cellStyle name="Note 2 2 3 4 2 2 3" xfId="26329" xr:uid="{00000000-0005-0000-0000-00006B4F0000}"/>
    <cellStyle name="Note 2 2 3 4 2 3" xfId="17638" xr:uid="{00000000-0005-0000-0000-00006C4F0000}"/>
    <cellStyle name="Note 2 2 3 4 2 3 2" xfId="26330" xr:uid="{00000000-0005-0000-0000-00006D4F0000}"/>
    <cellStyle name="Note 2 2 3 4 2 4" xfId="26331" xr:uid="{00000000-0005-0000-0000-00006E4F0000}"/>
    <cellStyle name="Note 2 2 3 4 3" xfId="11804" xr:uid="{00000000-0005-0000-0000-00006F4F0000}"/>
    <cellStyle name="Note 2 2 3 4 3 2" xfId="22117" xr:uid="{00000000-0005-0000-0000-0000704F0000}"/>
    <cellStyle name="Note 2 2 3 4 3 2 2" xfId="26333" xr:uid="{00000000-0005-0000-0000-0000714F0000}"/>
    <cellStyle name="Note 2 2 3 4 3 2 2 2" xfId="11466" xr:uid="{00000000-0005-0000-0000-0000724F0000}"/>
    <cellStyle name="Note 2 2 3 4 3 3" xfId="11814" xr:uid="{00000000-0005-0000-0000-0000734F0000}"/>
    <cellStyle name="Note 2 2 3 4 3 4" xfId="11817" xr:uid="{00000000-0005-0000-0000-0000744F0000}"/>
    <cellStyle name="Note 2 2 3 4 4" xfId="17641" xr:uid="{00000000-0005-0000-0000-0000754F0000}"/>
    <cellStyle name="Note 2 2 3 4 4 2" xfId="22119" xr:uid="{00000000-0005-0000-0000-0000764F0000}"/>
    <cellStyle name="Note 2 2 3 4 4 3" xfId="11823" xr:uid="{00000000-0005-0000-0000-0000774F0000}"/>
    <cellStyle name="Note 2 2 3 4 5" xfId="22122" xr:uid="{00000000-0005-0000-0000-0000784F0000}"/>
    <cellStyle name="Note 2 2 3 4 5 2" xfId="22124" xr:uid="{00000000-0005-0000-0000-0000794F0000}"/>
    <cellStyle name="Note 2 2 3 4 5 3" xfId="11830" xr:uid="{00000000-0005-0000-0000-00007A4F0000}"/>
    <cellStyle name="Note 2 2 3 4 6" xfId="22127" xr:uid="{00000000-0005-0000-0000-00007B4F0000}"/>
    <cellStyle name="Note 2 2 3 4 6 2" xfId="22129" xr:uid="{00000000-0005-0000-0000-00007C4F0000}"/>
    <cellStyle name="Note 2 2 3 4 7" xfId="22131" xr:uid="{00000000-0005-0000-0000-00007D4F0000}"/>
    <cellStyle name="Note 2 2 3 4 8" xfId="11191" xr:uid="{00000000-0005-0000-0000-00007E4F0000}"/>
    <cellStyle name="Note 2 2 3 5" xfId="21765" xr:uid="{00000000-0005-0000-0000-00007F4F0000}"/>
    <cellStyle name="Note 2 2 3 5 2" xfId="17658" xr:uid="{00000000-0005-0000-0000-0000804F0000}"/>
    <cellStyle name="Note 2 2 3 5 2 2" xfId="17660" xr:uid="{00000000-0005-0000-0000-0000814F0000}"/>
    <cellStyle name="Note 2 2 3 5 2 3" xfId="17662" xr:uid="{00000000-0005-0000-0000-0000824F0000}"/>
    <cellStyle name="Note 2 2 3 5 2 4" xfId="26334" xr:uid="{00000000-0005-0000-0000-0000834F0000}"/>
    <cellStyle name="Note 2 2 3 5 3" xfId="17665" xr:uid="{00000000-0005-0000-0000-0000844F0000}"/>
    <cellStyle name="Note 2 2 3 5 3 2" xfId="22134" xr:uid="{00000000-0005-0000-0000-0000854F0000}"/>
    <cellStyle name="Note 2 2 3 5 3 3" xfId="22136" xr:uid="{00000000-0005-0000-0000-0000864F0000}"/>
    <cellStyle name="Note 2 2 3 5 3 4" xfId="22138" xr:uid="{00000000-0005-0000-0000-0000874F0000}"/>
    <cellStyle name="Note 2 2 3 5 4" xfId="17668" xr:uid="{00000000-0005-0000-0000-0000884F0000}"/>
    <cellStyle name="Note 2 2 3 5 4 2" xfId="15168" xr:uid="{00000000-0005-0000-0000-0000894F0000}"/>
    <cellStyle name="Note 2 2 3 5 4 3" xfId="15171" xr:uid="{00000000-0005-0000-0000-00008A4F0000}"/>
    <cellStyle name="Note 2 2 3 5 5" xfId="22141" xr:uid="{00000000-0005-0000-0000-00008B4F0000}"/>
    <cellStyle name="Note 2 2 3 5 5 2" xfId="15176" xr:uid="{00000000-0005-0000-0000-00008C4F0000}"/>
    <cellStyle name="Note 2 2 3 5 5 3" xfId="15179" xr:uid="{00000000-0005-0000-0000-00008D4F0000}"/>
    <cellStyle name="Note 2 2 3 5 6" xfId="22143" xr:uid="{00000000-0005-0000-0000-00008E4F0000}"/>
    <cellStyle name="Note 2 2 3 5 6 2" xfId="15184" xr:uid="{00000000-0005-0000-0000-00008F4F0000}"/>
    <cellStyle name="Note 2 2 3 5 7" xfId="22147" xr:uid="{00000000-0005-0000-0000-0000904F0000}"/>
    <cellStyle name="Note 2 2 3 5 8" xfId="11196" xr:uid="{00000000-0005-0000-0000-0000914F0000}"/>
    <cellStyle name="Note 2 2 3 6" xfId="21767" xr:uid="{00000000-0005-0000-0000-0000924F0000}"/>
    <cellStyle name="Note 2 2 3 6 2" xfId="17688" xr:uid="{00000000-0005-0000-0000-0000934F0000}"/>
    <cellStyle name="Note 2 2 3 6 2 2" xfId="17692" xr:uid="{00000000-0005-0000-0000-0000944F0000}"/>
    <cellStyle name="Note 2 2 3 6 2 3" xfId="17697" xr:uid="{00000000-0005-0000-0000-0000954F0000}"/>
    <cellStyle name="Note 2 2 3 6 2 4" xfId="18536" xr:uid="{00000000-0005-0000-0000-0000964F0000}"/>
    <cellStyle name="Note 2 2 3 6 3" xfId="1473" xr:uid="{00000000-0005-0000-0000-0000974F0000}"/>
    <cellStyle name="Note 2 2 3 6 3 2" xfId="248" xr:uid="{00000000-0005-0000-0000-0000984F0000}"/>
    <cellStyle name="Note 2 2 3 6 3 3" xfId="1489" xr:uid="{00000000-0005-0000-0000-0000994F0000}"/>
    <cellStyle name="Note 2 2 3 6 3 4" xfId="22151" xr:uid="{00000000-0005-0000-0000-00009A4F0000}"/>
    <cellStyle name="Note 2 2 3 6 4" xfId="1503" xr:uid="{00000000-0005-0000-0000-00009B4F0000}"/>
    <cellStyle name="Note 2 2 3 6 4 2" xfId="22154" xr:uid="{00000000-0005-0000-0000-00009C4F0000}"/>
    <cellStyle name="Note 2 2 3 6 4 3" xfId="22157" xr:uid="{00000000-0005-0000-0000-00009D4F0000}"/>
    <cellStyle name="Note 2 2 3 6 5" xfId="1519" xr:uid="{00000000-0005-0000-0000-00009E4F0000}"/>
    <cellStyle name="Note 2 2 3 6 5 2" xfId="22161" xr:uid="{00000000-0005-0000-0000-00009F4F0000}"/>
    <cellStyle name="Note 2 2 3 6 5 3" xfId="22164" xr:uid="{00000000-0005-0000-0000-0000A04F0000}"/>
    <cellStyle name="Note 2 2 3 6 6" xfId="1525" xr:uid="{00000000-0005-0000-0000-0000A14F0000}"/>
    <cellStyle name="Note 2 2 3 6 6 2" xfId="22167" xr:uid="{00000000-0005-0000-0000-0000A24F0000}"/>
    <cellStyle name="Note 2 2 3 6 7" xfId="1530" xr:uid="{00000000-0005-0000-0000-0000A34F0000}"/>
    <cellStyle name="Note 2 2 3 6 8" xfId="205" xr:uid="{00000000-0005-0000-0000-0000A44F0000}"/>
    <cellStyle name="Note 2 2 3 7" xfId="8990" xr:uid="{00000000-0005-0000-0000-0000A54F0000}"/>
    <cellStyle name="Note 2 2 3 7 2" xfId="6071" xr:uid="{00000000-0005-0000-0000-0000A64F0000}"/>
    <cellStyle name="Note 2 2 3 7 2 2" xfId="26336" xr:uid="{00000000-0005-0000-0000-0000A74F0000}"/>
    <cellStyle name="Note 2 2 3 7 2 3" xfId="26337" xr:uid="{00000000-0005-0000-0000-0000A84F0000}"/>
    <cellStyle name="Note 2 2 3 7 2 4" xfId="26338" xr:uid="{00000000-0005-0000-0000-0000A94F0000}"/>
    <cellStyle name="Note 2 2 3 7 3" xfId="22170" xr:uid="{00000000-0005-0000-0000-0000AA4F0000}"/>
    <cellStyle name="Note 2 2 3 7 3 2" xfId="22172" xr:uid="{00000000-0005-0000-0000-0000AB4F0000}"/>
    <cellStyle name="Note 2 2 3 7 3 3" xfId="22174" xr:uid="{00000000-0005-0000-0000-0000AC4F0000}"/>
    <cellStyle name="Note 2 2 3 7 3 4" xfId="22176" xr:uid="{00000000-0005-0000-0000-0000AD4F0000}"/>
    <cellStyle name="Note 2 2 3 7 4" xfId="22178" xr:uid="{00000000-0005-0000-0000-0000AE4F0000}"/>
    <cellStyle name="Note 2 2 3 7 4 2" xfId="22180" xr:uid="{00000000-0005-0000-0000-0000AF4F0000}"/>
    <cellStyle name="Note 2 2 3 7 4 3" xfId="22182" xr:uid="{00000000-0005-0000-0000-0000B04F0000}"/>
    <cellStyle name="Note 2 2 3 7 5" xfId="22185" xr:uid="{00000000-0005-0000-0000-0000B14F0000}"/>
    <cellStyle name="Note 2 2 3 7 5 2" xfId="22187" xr:uid="{00000000-0005-0000-0000-0000B24F0000}"/>
    <cellStyle name="Note 2 2 3 7 5 3" xfId="22189" xr:uid="{00000000-0005-0000-0000-0000B34F0000}"/>
    <cellStyle name="Note 2 2 3 7 6" xfId="22191" xr:uid="{00000000-0005-0000-0000-0000B44F0000}"/>
    <cellStyle name="Note 2 2 3 7 6 2" xfId="22195" xr:uid="{00000000-0005-0000-0000-0000B54F0000}"/>
    <cellStyle name="Note 2 2 3 7 7" xfId="22198" xr:uid="{00000000-0005-0000-0000-0000B64F0000}"/>
    <cellStyle name="Note 2 2 3 7 8" xfId="22202" xr:uid="{00000000-0005-0000-0000-0000B74F0000}"/>
    <cellStyle name="Note 2 2 3 8" xfId="8993" xr:uid="{00000000-0005-0000-0000-0000B84F0000}"/>
    <cellStyle name="Note 2 2 3 8 2" xfId="6081" xr:uid="{00000000-0005-0000-0000-0000B94F0000}"/>
    <cellStyle name="Note 2 2 3 8 2 2" xfId="14194" xr:uid="{00000000-0005-0000-0000-0000BA4F0000}"/>
    <cellStyle name="Note 2 2 3 8 2 3" xfId="14198" xr:uid="{00000000-0005-0000-0000-0000BB4F0000}"/>
    <cellStyle name="Note 2 2 3 8 2 4" xfId="14200" xr:uid="{00000000-0005-0000-0000-0000BC4F0000}"/>
    <cellStyle name="Note 2 2 3 8 3" xfId="1546" xr:uid="{00000000-0005-0000-0000-0000BD4F0000}"/>
    <cellStyle name="Note 2 2 3 8 3 2" xfId="1557" xr:uid="{00000000-0005-0000-0000-0000BE4F0000}"/>
    <cellStyle name="Note 2 2 3 8 3 3" xfId="2061" xr:uid="{00000000-0005-0000-0000-0000BF4F0000}"/>
    <cellStyle name="Note 2 2 3 8 3 4" xfId="2070" xr:uid="{00000000-0005-0000-0000-0000C04F0000}"/>
    <cellStyle name="Note 2 2 3 8 4" xfId="1565" xr:uid="{00000000-0005-0000-0000-0000C14F0000}"/>
    <cellStyle name="Note 2 2 3 8 4 2" xfId="14334" xr:uid="{00000000-0005-0000-0000-0000C24F0000}"/>
    <cellStyle name="Note 2 2 3 8 4 3" xfId="14339" xr:uid="{00000000-0005-0000-0000-0000C34F0000}"/>
    <cellStyle name="Note 2 2 3 8 5" xfId="2145" xr:uid="{00000000-0005-0000-0000-0000C44F0000}"/>
    <cellStyle name="Note 2 2 3 8 5 2" xfId="14387" xr:uid="{00000000-0005-0000-0000-0000C54F0000}"/>
    <cellStyle name="Note 2 2 3 8 5 3" xfId="14390" xr:uid="{00000000-0005-0000-0000-0000C64F0000}"/>
    <cellStyle name="Note 2 2 3 8 6" xfId="2150" xr:uid="{00000000-0005-0000-0000-0000C74F0000}"/>
    <cellStyle name="Note 2 2 3 8 6 2" xfId="22205" xr:uid="{00000000-0005-0000-0000-0000C84F0000}"/>
    <cellStyle name="Note 2 2 3 8 7" xfId="2155" xr:uid="{00000000-0005-0000-0000-0000C94F0000}"/>
    <cellStyle name="Note 2 2 3 8 8" xfId="2176" xr:uid="{00000000-0005-0000-0000-0000CA4F0000}"/>
    <cellStyle name="Note 2 2 3 9" xfId="8996" xr:uid="{00000000-0005-0000-0000-0000CB4F0000}"/>
    <cellStyle name="Note 2 2 3 9 2" xfId="26339" xr:uid="{00000000-0005-0000-0000-0000CC4F0000}"/>
    <cellStyle name="Note 2 2 3 9 2 2" xfId="39" xr:uid="{00000000-0005-0000-0000-0000CD4F0000}"/>
    <cellStyle name="Note 2 2 3 9 2 3" xfId="172" xr:uid="{00000000-0005-0000-0000-0000CE4F0000}"/>
    <cellStyle name="Note 2 2 3 9 2 4" xfId="178" xr:uid="{00000000-0005-0000-0000-0000CF4F0000}"/>
    <cellStyle name="Note 2 2 3 9 3" xfId="2182" xr:uid="{00000000-0005-0000-0000-0000D04F0000}"/>
    <cellStyle name="Note 2 2 3 9 3 2" xfId="26340" xr:uid="{00000000-0005-0000-0000-0000D14F0000}"/>
    <cellStyle name="Note 2 2 3 9 3 3" xfId="26341" xr:uid="{00000000-0005-0000-0000-0000D24F0000}"/>
    <cellStyle name="Note 2 2 3 9 3 4" xfId="26342" xr:uid="{00000000-0005-0000-0000-0000D34F0000}"/>
    <cellStyle name="Note 2 2 3 9 4" xfId="2185" xr:uid="{00000000-0005-0000-0000-0000D44F0000}"/>
    <cellStyle name="Note 2 2 3 9 4 2" xfId="15211" xr:uid="{00000000-0005-0000-0000-0000D54F0000}"/>
    <cellStyle name="Note 2 2 3 9 4 3" xfId="15213" xr:uid="{00000000-0005-0000-0000-0000D64F0000}"/>
    <cellStyle name="Note 2 2 3 9 5" xfId="2188" xr:uid="{00000000-0005-0000-0000-0000D74F0000}"/>
    <cellStyle name="Note 2 2 3 9 5 2" xfId="15217" xr:uid="{00000000-0005-0000-0000-0000D84F0000}"/>
    <cellStyle name="Note 2 2 3 9 5 3" xfId="15219" xr:uid="{00000000-0005-0000-0000-0000D94F0000}"/>
    <cellStyle name="Note 2 2 3 9 6" xfId="15223" xr:uid="{00000000-0005-0000-0000-0000DA4F0000}"/>
    <cellStyle name="Note 2 2 3 9 6 2" xfId="15226" xr:uid="{00000000-0005-0000-0000-0000DB4F0000}"/>
    <cellStyle name="Note 2 2 3 9 7" xfId="15229" xr:uid="{00000000-0005-0000-0000-0000DC4F0000}"/>
    <cellStyle name="Note 2 2 3 9 8" xfId="15236" xr:uid="{00000000-0005-0000-0000-0000DD4F0000}"/>
    <cellStyle name="Note 2 2 30" xfId="26254" xr:uid="{00000000-0005-0000-0000-0000DE4F0000}"/>
    <cellStyle name="Note 2 2 31" xfId="26256" xr:uid="{00000000-0005-0000-0000-0000DF4F0000}"/>
    <cellStyle name="Note 2 2 32" xfId="26258" xr:uid="{00000000-0005-0000-0000-0000E04F0000}"/>
    <cellStyle name="Note 2 2 33" xfId="26260" xr:uid="{00000000-0005-0000-0000-0000E14F0000}"/>
    <cellStyle name="Note 2 2 34" xfId="26262" xr:uid="{00000000-0005-0000-0000-0000E24F0000}"/>
    <cellStyle name="Note 2 2 4" xfId="26343" xr:uid="{00000000-0005-0000-0000-0000E34F0000}"/>
    <cellStyle name="Note 2 2 4 10" xfId="26345" xr:uid="{00000000-0005-0000-0000-0000E44F0000}"/>
    <cellStyle name="Note 2 2 4 11" xfId="26346" xr:uid="{00000000-0005-0000-0000-0000E54F0000}"/>
    <cellStyle name="Note 2 2 4 12" xfId="26347" xr:uid="{00000000-0005-0000-0000-0000E64F0000}"/>
    <cellStyle name="Note 2 2 4 13" xfId="26348" xr:uid="{00000000-0005-0000-0000-0000E74F0000}"/>
    <cellStyle name="Note 2 2 4 14" xfId="26349" xr:uid="{00000000-0005-0000-0000-0000E84F0000}"/>
    <cellStyle name="Note 2 2 4 15" xfId="26350" xr:uid="{00000000-0005-0000-0000-0000E94F0000}"/>
    <cellStyle name="Note 2 2 4 16" xfId="9135" xr:uid="{00000000-0005-0000-0000-0000EA4F0000}"/>
    <cellStyle name="Note 2 2 4 17" xfId="9139" xr:uid="{00000000-0005-0000-0000-0000EB4F0000}"/>
    <cellStyle name="Note 2 2 4 18" xfId="9143" xr:uid="{00000000-0005-0000-0000-0000EC4F0000}"/>
    <cellStyle name="Note 2 2 4 19" xfId="26352" xr:uid="{00000000-0005-0000-0000-0000ED4F0000}"/>
    <cellStyle name="Note 2 2 4 2" xfId="26354" xr:uid="{00000000-0005-0000-0000-0000EE4F0000}"/>
    <cellStyle name="Note 2 2 4 2 2" xfId="17837" xr:uid="{00000000-0005-0000-0000-0000EF4F0000}"/>
    <cellStyle name="Note 2 2 4 2 3" xfId="17842" xr:uid="{00000000-0005-0000-0000-0000F04F0000}"/>
    <cellStyle name="Note 2 2 4 2 4" xfId="17846" xr:uid="{00000000-0005-0000-0000-0000F14F0000}"/>
    <cellStyle name="Note 2 2 4 2 5" xfId="22539" xr:uid="{00000000-0005-0000-0000-0000F24F0000}"/>
    <cellStyle name="Note 2 2 4 2 6" xfId="22557" xr:uid="{00000000-0005-0000-0000-0000F34F0000}"/>
    <cellStyle name="Note 2 2 4 20" xfId="26351" xr:uid="{00000000-0005-0000-0000-0000F44F0000}"/>
    <cellStyle name="Note 2 2 4 21" xfId="9136" xr:uid="{00000000-0005-0000-0000-0000F54F0000}"/>
    <cellStyle name="Note 2 2 4 22" xfId="9140" xr:uid="{00000000-0005-0000-0000-0000F64F0000}"/>
    <cellStyle name="Note 2 2 4 23" xfId="9144" xr:uid="{00000000-0005-0000-0000-0000F74F0000}"/>
    <cellStyle name="Note 2 2 4 24" xfId="26353" xr:uid="{00000000-0005-0000-0000-0000F84F0000}"/>
    <cellStyle name="Note 2 2 4 25" xfId="26356" xr:uid="{00000000-0005-0000-0000-0000F94F0000}"/>
    <cellStyle name="Note 2 2 4 26" xfId="17346" xr:uid="{00000000-0005-0000-0000-0000FA4F0000}"/>
    <cellStyle name="Note 2 2 4 27" xfId="6078" xr:uid="{00000000-0005-0000-0000-0000FB4F0000}"/>
    <cellStyle name="Note 2 2 4 28" xfId="1550" xr:uid="{00000000-0005-0000-0000-0000FC4F0000}"/>
    <cellStyle name="Note 2 2 4 29" xfId="26358" xr:uid="{00000000-0005-0000-0000-0000FD4F0000}"/>
    <cellStyle name="Note 2 2 4 3" xfId="26359" xr:uid="{00000000-0005-0000-0000-0000FE4F0000}"/>
    <cellStyle name="Note 2 2 4 3 2" xfId="17873" xr:uid="{00000000-0005-0000-0000-0000FF4F0000}"/>
    <cellStyle name="Note 2 2 4 3 3" xfId="17878" xr:uid="{00000000-0005-0000-0000-000000500000}"/>
    <cellStyle name="Note 2 2 4 3 4" xfId="17882" xr:uid="{00000000-0005-0000-0000-000001500000}"/>
    <cellStyle name="Note 2 2 4 3 5" xfId="22690" xr:uid="{00000000-0005-0000-0000-000002500000}"/>
    <cellStyle name="Note 2 2 4 3 6" xfId="22692" xr:uid="{00000000-0005-0000-0000-000003500000}"/>
    <cellStyle name="Note 2 2 4 30" xfId="26357" xr:uid="{00000000-0005-0000-0000-000004500000}"/>
    <cellStyle name="Note 2 2 4 4" xfId="26360" xr:uid="{00000000-0005-0000-0000-000005500000}"/>
    <cellStyle name="Note 2 2 4 4 2" xfId="528" xr:uid="{00000000-0005-0000-0000-000006500000}"/>
    <cellStyle name="Note 2 2 4 4 3" xfId="541" xr:uid="{00000000-0005-0000-0000-000007500000}"/>
    <cellStyle name="Note 2 2 4 4 4" xfId="17899" xr:uid="{00000000-0005-0000-0000-000008500000}"/>
    <cellStyle name="Note 2 2 4 5" xfId="21771" xr:uid="{00000000-0005-0000-0000-000009500000}"/>
    <cellStyle name="Note 2 2 4 5 2" xfId="4506" xr:uid="{00000000-0005-0000-0000-00000A500000}"/>
    <cellStyle name="Note 2 2 4 5 3" xfId="4510" xr:uid="{00000000-0005-0000-0000-00000B500000}"/>
    <cellStyle name="Note 2 2 4 5 4" xfId="17909" xr:uid="{00000000-0005-0000-0000-00000C500000}"/>
    <cellStyle name="Note 2 2 4 6" xfId="21774" xr:uid="{00000000-0005-0000-0000-00000D500000}"/>
    <cellStyle name="Note 2 2 4 6 2" xfId="4516" xr:uid="{00000000-0005-0000-0000-00000E500000}"/>
    <cellStyle name="Note 2 2 4 6 2 2" xfId="10439" xr:uid="{00000000-0005-0000-0000-00000F500000}"/>
    <cellStyle name="Note 2 2 4 6 3" xfId="12" xr:uid="{00000000-0005-0000-0000-000010500000}"/>
    <cellStyle name="Note 2 2 4 7" xfId="8999" xr:uid="{00000000-0005-0000-0000-000011500000}"/>
    <cellStyle name="Note 2 2 4 7 2" xfId="4526" xr:uid="{00000000-0005-0000-0000-000012500000}"/>
    <cellStyle name="Note 2 2 4 8" xfId="9003" xr:uid="{00000000-0005-0000-0000-000013500000}"/>
    <cellStyle name="Note 2 2 4 8 2" xfId="6108" xr:uid="{00000000-0005-0000-0000-000014500000}"/>
    <cellStyle name="Note 2 2 4 9" xfId="9006" xr:uid="{00000000-0005-0000-0000-000015500000}"/>
    <cellStyle name="Note 2 2 5" xfId="26361" xr:uid="{00000000-0005-0000-0000-000016500000}"/>
    <cellStyle name="Note 2 2 5 10" xfId="26363" xr:uid="{00000000-0005-0000-0000-000017500000}"/>
    <cellStyle name="Note 2 2 5 11" xfId="26364" xr:uid="{00000000-0005-0000-0000-000018500000}"/>
    <cellStyle name="Note 2 2 5 12" xfId="19994" xr:uid="{00000000-0005-0000-0000-000019500000}"/>
    <cellStyle name="Note 2 2 5 13" xfId="19996" xr:uid="{00000000-0005-0000-0000-00001A500000}"/>
    <cellStyle name="Note 2 2 5 14" xfId="26365" xr:uid="{00000000-0005-0000-0000-00001B500000}"/>
    <cellStyle name="Note 2 2 5 15" xfId="26366" xr:uid="{00000000-0005-0000-0000-00001C500000}"/>
    <cellStyle name="Note 2 2 5 16" xfId="7782" xr:uid="{00000000-0005-0000-0000-00001D500000}"/>
    <cellStyle name="Note 2 2 5 17" xfId="7785" xr:uid="{00000000-0005-0000-0000-00001E500000}"/>
    <cellStyle name="Note 2 2 5 18" xfId="26368" xr:uid="{00000000-0005-0000-0000-00001F500000}"/>
    <cellStyle name="Note 2 2 5 19" xfId="26371" xr:uid="{00000000-0005-0000-0000-000020500000}"/>
    <cellStyle name="Note 2 2 5 2" xfId="26374" xr:uid="{00000000-0005-0000-0000-000021500000}"/>
    <cellStyle name="Note 2 2 5 2 2" xfId="18054" xr:uid="{00000000-0005-0000-0000-000022500000}"/>
    <cellStyle name="Note 2 2 5 2 3" xfId="18059" xr:uid="{00000000-0005-0000-0000-000023500000}"/>
    <cellStyle name="Note 2 2 5 2 4" xfId="18063" xr:uid="{00000000-0005-0000-0000-000024500000}"/>
    <cellStyle name="Note 2 2 5 2 5" xfId="23187" xr:uid="{00000000-0005-0000-0000-000025500000}"/>
    <cellStyle name="Note 2 2 5 20" xfId="26367" xr:uid="{00000000-0005-0000-0000-000026500000}"/>
    <cellStyle name="Note 2 2 5 21" xfId="7783" xr:uid="{00000000-0005-0000-0000-000027500000}"/>
    <cellStyle name="Note 2 2 5 22" xfId="7786" xr:uid="{00000000-0005-0000-0000-000028500000}"/>
    <cellStyle name="Note 2 2 5 23" xfId="26369" xr:uid="{00000000-0005-0000-0000-000029500000}"/>
    <cellStyle name="Note 2 2 5 24" xfId="26372" xr:uid="{00000000-0005-0000-0000-00002A500000}"/>
    <cellStyle name="Note 2 2 5 25" xfId="26375" xr:uid="{00000000-0005-0000-0000-00002B500000}"/>
    <cellStyle name="Note 2 2 5 26" xfId="26377" xr:uid="{00000000-0005-0000-0000-00002C500000}"/>
    <cellStyle name="Note 2 2 5 27" xfId="26378" xr:uid="{00000000-0005-0000-0000-00002D500000}"/>
    <cellStyle name="Note 2 2 5 28" xfId="26379" xr:uid="{00000000-0005-0000-0000-00002E500000}"/>
    <cellStyle name="Note 2 2 5 29" xfId="26381" xr:uid="{00000000-0005-0000-0000-00002F500000}"/>
    <cellStyle name="Note 2 2 5 3" xfId="26383" xr:uid="{00000000-0005-0000-0000-000030500000}"/>
    <cellStyle name="Note 2 2 5 3 2" xfId="18098" xr:uid="{00000000-0005-0000-0000-000031500000}"/>
    <cellStyle name="Note 2 2 5 3 3" xfId="18104" xr:uid="{00000000-0005-0000-0000-000032500000}"/>
    <cellStyle name="Note 2 2 5 3 4" xfId="18108" xr:uid="{00000000-0005-0000-0000-000033500000}"/>
    <cellStyle name="Note 2 2 5 3 5" xfId="23403" xr:uid="{00000000-0005-0000-0000-000034500000}"/>
    <cellStyle name="Note 2 2 5 30" xfId="26376" xr:uid="{00000000-0005-0000-0000-000035500000}"/>
    <cellStyle name="Note 2 2 5 4" xfId="26384" xr:uid="{00000000-0005-0000-0000-000036500000}"/>
    <cellStyle name="Note 2 2 5 4 2" xfId="18133" xr:uid="{00000000-0005-0000-0000-000037500000}"/>
    <cellStyle name="Note 2 2 5 4 3" xfId="18138" xr:uid="{00000000-0005-0000-0000-000038500000}"/>
    <cellStyle name="Note 2 2 5 4 4" xfId="5252" xr:uid="{00000000-0005-0000-0000-000039500000}"/>
    <cellStyle name="Note 2 2 5 5" xfId="21779" xr:uid="{00000000-0005-0000-0000-00003A500000}"/>
    <cellStyle name="Note 2 2 5 5 2" xfId="18168" xr:uid="{00000000-0005-0000-0000-00003B500000}"/>
    <cellStyle name="Note 2 2 5 5 3" xfId="18173" xr:uid="{00000000-0005-0000-0000-00003C500000}"/>
    <cellStyle name="Note 2 2 5 5 4" xfId="5264" xr:uid="{00000000-0005-0000-0000-00003D500000}"/>
    <cellStyle name="Note 2 2 5 6" xfId="918" xr:uid="{00000000-0005-0000-0000-00003E500000}"/>
    <cellStyle name="Note 2 2 5 6 2" xfId="18198" xr:uid="{00000000-0005-0000-0000-00003F500000}"/>
    <cellStyle name="Note 2 2 5 6 2 2" xfId="18200" xr:uid="{00000000-0005-0000-0000-000040500000}"/>
    <cellStyle name="Note 2 2 5 6 3" xfId="18206" xr:uid="{00000000-0005-0000-0000-000041500000}"/>
    <cellStyle name="Note 2 2 5 7" xfId="9009" xr:uid="{00000000-0005-0000-0000-000042500000}"/>
    <cellStyle name="Note 2 2 5 7 2" xfId="330" xr:uid="{00000000-0005-0000-0000-000043500000}"/>
    <cellStyle name="Note 2 2 5 8" xfId="9013" xr:uid="{00000000-0005-0000-0000-000044500000}"/>
    <cellStyle name="Note 2 2 5 8 2" xfId="399" xr:uid="{00000000-0005-0000-0000-000045500000}"/>
    <cellStyle name="Note 2 2 5 9" xfId="10550" xr:uid="{00000000-0005-0000-0000-000046500000}"/>
    <cellStyle name="Note 2 2 6" xfId="7394" xr:uid="{00000000-0005-0000-0000-000047500000}"/>
    <cellStyle name="Note 2 2 6 2" xfId="7398" xr:uid="{00000000-0005-0000-0000-000048500000}"/>
    <cellStyle name="Note 2 2 6 2 2" xfId="20365" xr:uid="{00000000-0005-0000-0000-000049500000}"/>
    <cellStyle name="Note 2 2 6 2 2 2" xfId="15070" xr:uid="{00000000-0005-0000-0000-00004A500000}"/>
    <cellStyle name="Note 2 2 6 2 2 2 2" xfId="15072" xr:uid="{00000000-0005-0000-0000-00004B500000}"/>
    <cellStyle name="Note 2 2 6 2 2 2 2 2" xfId="19517" xr:uid="{00000000-0005-0000-0000-00004C500000}"/>
    <cellStyle name="Note 2 2 6 2 2 2 2 2 2" xfId="4935" xr:uid="{00000000-0005-0000-0000-00004D500000}"/>
    <cellStyle name="Note 2 2 6 2 2 2 2 2 2 2" xfId="13497" xr:uid="{00000000-0005-0000-0000-00004E500000}"/>
    <cellStyle name="Note 2 2 6 2 2 2 2 3" xfId="19522" xr:uid="{00000000-0005-0000-0000-00004F500000}"/>
    <cellStyle name="Note 2 2 6 2 2 2 3" xfId="15074" xr:uid="{00000000-0005-0000-0000-000050500000}"/>
    <cellStyle name="Note 2 2 6 2 2 3" xfId="15079" xr:uid="{00000000-0005-0000-0000-000051500000}"/>
    <cellStyle name="Note 2 2 6 2 3" xfId="26385" xr:uid="{00000000-0005-0000-0000-000052500000}"/>
    <cellStyle name="Note 2 2 6 2 3 2" xfId="15099" xr:uid="{00000000-0005-0000-0000-000053500000}"/>
    <cellStyle name="Note 2 2 6 2 4" xfId="15787" xr:uid="{00000000-0005-0000-0000-000054500000}"/>
    <cellStyle name="Note 2 2 6 3" xfId="26386" xr:uid="{00000000-0005-0000-0000-000055500000}"/>
    <cellStyle name="Note 2 2 6 3 2" xfId="20370" xr:uid="{00000000-0005-0000-0000-000056500000}"/>
    <cellStyle name="Note 2 2 6 3 2 2" xfId="15669" xr:uid="{00000000-0005-0000-0000-000057500000}"/>
    <cellStyle name="Note 2 2 6 3 2 2 2" xfId="15672" xr:uid="{00000000-0005-0000-0000-000058500000}"/>
    <cellStyle name="Note 2 2 6 3 3" xfId="26387" xr:uid="{00000000-0005-0000-0000-000059500000}"/>
    <cellStyle name="Note 2 2 6 3 4" xfId="24926" xr:uid="{00000000-0005-0000-0000-00005A500000}"/>
    <cellStyle name="Note 2 2 6 4" xfId="26388" xr:uid="{00000000-0005-0000-0000-00005B500000}"/>
    <cellStyle name="Note 2 2 6 4 2" xfId="26389" xr:uid="{00000000-0005-0000-0000-00005C500000}"/>
    <cellStyle name="Note 2 2 6 4 3" xfId="26390" xr:uid="{00000000-0005-0000-0000-00005D500000}"/>
    <cellStyle name="Note 2 2 6 5" xfId="26391" xr:uid="{00000000-0005-0000-0000-00005E500000}"/>
    <cellStyle name="Note 2 2 6 5 2" xfId="26393" xr:uid="{00000000-0005-0000-0000-00005F500000}"/>
    <cellStyle name="Note 2 2 6 5 3" xfId="26394" xr:uid="{00000000-0005-0000-0000-000060500000}"/>
    <cellStyle name="Note 2 2 6 6" xfId="26395" xr:uid="{00000000-0005-0000-0000-000061500000}"/>
    <cellStyle name="Note 2 2 6 6 2" xfId="26397" xr:uid="{00000000-0005-0000-0000-000062500000}"/>
    <cellStyle name="Note 2 2 6 7" xfId="9018" xr:uid="{00000000-0005-0000-0000-000063500000}"/>
    <cellStyle name="Note 2 2 6 8" xfId="9021" xr:uid="{00000000-0005-0000-0000-000064500000}"/>
    <cellStyle name="Note 2 2 6 9" xfId="24637" xr:uid="{00000000-0005-0000-0000-000065500000}"/>
    <cellStyle name="Note 2 2 7" xfId="26398" xr:uid="{00000000-0005-0000-0000-000066500000}"/>
    <cellStyle name="Note 2 2 7 2" xfId="26402" xr:uid="{00000000-0005-0000-0000-000067500000}"/>
    <cellStyle name="Note 2 2 7 2 2" xfId="26404" xr:uid="{00000000-0005-0000-0000-000068500000}"/>
    <cellStyle name="Note 2 2 7 2 3" xfId="26405" xr:uid="{00000000-0005-0000-0000-000069500000}"/>
    <cellStyle name="Note 2 2 7 2 4" xfId="26406" xr:uid="{00000000-0005-0000-0000-00006A500000}"/>
    <cellStyle name="Note 2 2 7 3" xfId="26408" xr:uid="{00000000-0005-0000-0000-00006B500000}"/>
    <cellStyle name="Note 2 2 7 3 2" xfId="26410" xr:uid="{00000000-0005-0000-0000-00006C500000}"/>
    <cellStyle name="Note 2 2 7 3 3" xfId="26411" xr:uid="{00000000-0005-0000-0000-00006D500000}"/>
    <cellStyle name="Note 2 2 7 3 4" xfId="26412" xr:uid="{00000000-0005-0000-0000-00006E500000}"/>
    <cellStyle name="Note 2 2 7 4" xfId="26414" xr:uid="{00000000-0005-0000-0000-00006F500000}"/>
    <cellStyle name="Note 2 2 7 4 2" xfId="26416" xr:uid="{00000000-0005-0000-0000-000070500000}"/>
    <cellStyle name="Note 2 2 7 4 3" xfId="26417" xr:uid="{00000000-0005-0000-0000-000071500000}"/>
    <cellStyle name="Note 2 2 7 5" xfId="26418" xr:uid="{00000000-0005-0000-0000-000072500000}"/>
    <cellStyle name="Note 2 2 7 5 2" xfId="26420" xr:uid="{00000000-0005-0000-0000-000073500000}"/>
    <cellStyle name="Note 2 2 7 5 3" xfId="26421" xr:uid="{00000000-0005-0000-0000-000074500000}"/>
    <cellStyle name="Note 2 2 7 6" xfId="26422" xr:uid="{00000000-0005-0000-0000-000075500000}"/>
    <cellStyle name="Note 2 2 7 6 2" xfId="26424" xr:uid="{00000000-0005-0000-0000-000076500000}"/>
    <cellStyle name="Note 2 2 7 7" xfId="9026" xr:uid="{00000000-0005-0000-0000-000077500000}"/>
    <cellStyle name="Note 2 2 7 8" xfId="24639" xr:uid="{00000000-0005-0000-0000-000078500000}"/>
    <cellStyle name="Note 2 2 7 9" xfId="24641" xr:uid="{00000000-0005-0000-0000-000079500000}"/>
    <cellStyle name="Note 2 2 8" xfId="26425" xr:uid="{00000000-0005-0000-0000-00007A500000}"/>
    <cellStyle name="Note 2 2 8 2" xfId="26428" xr:uid="{00000000-0005-0000-0000-00007B500000}"/>
    <cellStyle name="Note 2 2 8 2 2" xfId="18643" xr:uid="{00000000-0005-0000-0000-00007C500000}"/>
    <cellStyle name="Note 2 2 8 2 3" xfId="18645" xr:uid="{00000000-0005-0000-0000-00007D500000}"/>
    <cellStyle name="Note 2 2 8 2 4" xfId="26430" xr:uid="{00000000-0005-0000-0000-00007E500000}"/>
    <cellStyle name="Note 2 2 8 3" xfId="18145" xr:uid="{00000000-0005-0000-0000-00007F500000}"/>
    <cellStyle name="Note 2 2 8 3 2" xfId="18677" xr:uid="{00000000-0005-0000-0000-000080500000}"/>
    <cellStyle name="Note 2 2 8 3 3" xfId="18680" xr:uid="{00000000-0005-0000-0000-000081500000}"/>
    <cellStyle name="Note 2 2 8 3 4" xfId="26432" xr:uid="{00000000-0005-0000-0000-000082500000}"/>
    <cellStyle name="Note 2 2 8 4" xfId="18148" xr:uid="{00000000-0005-0000-0000-000083500000}"/>
    <cellStyle name="Note 2 2 8 4 2" xfId="18709" xr:uid="{00000000-0005-0000-0000-000084500000}"/>
    <cellStyle name="Note 2 2 8 4 3" xfId="18711" xr:uid="{00000000-0005-0000-0000-000085500000}"/>
    <cellStyle name="Note 2 2 8 5" xfId="18151" xr:uid="{00000000-0005-0000-0000-000086500000}"/>
    <cellStyle name="Note 2 2 8 5 2" xfId="18736" xr:uid="{00000000-0005-0000-0000-000087500000}"/>
    <cellStyle name="Note 2 2 8 5 3" xfId="18738" xr:uid="{00000000-0005-0000-0000-000088500000}"/>
    <cellStyle name="Note 2 2 8 6" xfId="26435" xr:uid="{00000000-0005-0000-0000-000089500000}"/>
    <cellStyle name="Note 2 2 8 6 2" xfId="18770" xr:uid="{00000000-0005-0000-0000-00008A500000}"/>
    <cellStyle name="Note 2 2 8 7" xfId="24643" xr:uid="{00000000-0005-0000-0000-00008B500000}"/>
    <cellStyle name="Note 2 2 8 8" xfId="24645" xr:uid="{00000000-0005-0000-0000-00008C500000}"/>
    <cellStyle name="Note 2 2 8 9" xfId="26436" xr:uid="{00000000-0005-0000-0000-00008D500000}"/>
    <cellStyle name="Note 2 2 9" xfId="26437" xr:uid="{00000000-0005-0000-0000-00008E500000}"/>
    <cellStyle name="Note 2 2 9 2" xfId="23139" xr:uid="{00000000-0005-0000-0000-00008F500000}"/>
    <cellStyle name="Note 2 2 9 2 2" xfId="18941" xr:uid="{00000000-0005-0000-0000-000090500000}"/>
    <cellStyle name="Note 2 2 9 2 3" xfId="26439" xr:uid="{00000000-0005-0000-0000-000091500000}"/>
    <cellStyle name="Note 2 2 9 2 4" xfId="26440" xr:uid="{00000000-0005-0000-0000-000092500000}"/>
    <cellStyle name="Note 2 2 9 3" xfId="18156" xr:uid="{00000000-0005-0000-0000-000093500000}"/>
    <cellStyle name="Note 2 2 9 3 2" xfId="18959" xr:uid="{00000000-0005-0000-0000-000094500000}"/>
    <cellStyle name="Note 2 2 9 3 3" xfId="26442" xr:uid="{00000000-0005-0000-0000-000095500000}"/>
    <cellStyle name="Note 2 2 9 3 4" xfId="26443" xr:uid="{00000000-0005-0000-0000-000096500000}"/>
    <cellStyle name="Note 2 2 9 4" xfId="18159" xr:uid="{00000000-0005-0000-0000-000097500000}"/>
    <cellStyle name="Note 2 2 9 4 2" xfId="18976" xr:uid="{00000000-0005-0000-0000-000098500000}"/>
    <cellStyle name="Note 2 2 9 4 3" xfId="26445" xr:uid="{00000000-0005-0000-0000-000099500000}"/>
    <cellStyle name="Note 2 2 9 5" xfId="18161" xr:uid="{00000000-0005-0000-0000-00009A500000}"/>
    <cellStyle name="Note 2 2 9 5 2" xfId="18993" xr:uid="{00000000-0005-0000-0000-00009B500000}"/>
    <cellStyle name="Note 2 2 9 5 3" xfId="26446" xr:uid="{00000000-0005-0000-0000-00009C500000}"/>
    <cellStyle name="Note 2 2 9 6" xfId="26447" xr:uid="{00000000-0005-0000-0000-00009D500000}"/>
    <cellStyle name="Note 2 2 9 6 2" xfId="11260" xr:uid="{00000000-0005-0000-0000-00009E500000}"/>
    <cellStyle name="Note 2 2 9 7" xfId="24647" xr:uid="{00000000-0005-0000-0000-00009F500000}"/>
    <cellStyle name="Note 2 2 9 8" xfId="24649" xr:uid="{00000000-0005-0000-0000-0000A0500000}"/>
    <cellStyle name="Note 2 2 9 9" xfId="26448" xr:uid="{00000000-0005-0000-0000-0000A1500000}"/>
    <cellStyle name="Note 2 20" xfId="25606" xr:uid="{00000000-0005-0000-0000-0000A2500000}"/>
    <cellStyle name="Note 2 20 2" xfId="14738" xr:uid="{00000000-0005-0000-0000-0000A3500000}"/>
    <cellStyle name="Note 2 20 2 2" xfId="12529" xr:uid="{00000000-0005-0000-0000-0000A4500000}"/>
    <cellStyle name="Note 2 20 2 3" xfId="12537" xr:uid="{00000000-0005-0000-0000-0000A5500000}"/>
    <cellStyle name="Note 2 20 2 4" xfId="12541" xr:uid="{00000000-0005-0000-0000-0000A6500000}"/>
    <cellStyle name="Note 2 20 3" xfId="14743" xr:uid="{00000000-0005-0000-0000-0000A7500000}"/>
    <cellStyle name="Note 2 20 3 2" xfId="12558" xr:uid="{00000000-0005-0000-0000-0000A8500000}"/>
    <cellStyle name="Note 2 20 3 3" xfId="12566" xr:uid="{00000000-0005-0000-0000-0000A9500000}"/>
    <cellStyle name="Note 2 20 3 4" xfId="12570" xr:uid="{00000000-0005-0000-0000-0000AA500000}"/>
    <cellStyle name="Note 2 20 4" xfId="14747" xr:uid="{00000000-0005-0000-0000-0000AB500000}"/>
    <cellStyle name="Note 2 20 4 2" xfId="12587" xr:uid="{00000000-0005-0000-0000-0000AC500000}"/>
    <cellStyle name="Note 2 20 4 3" xfId="12597" xr:uid="{00000000-0005-0000-0000-0000AD500000}"/>
    <cellStyle name="Note 2 20 5" xfId="14750" xr:uid="{00000000-0005-0000-0000-0000AE500000}"/>
    <cellStyle name="Note 2 20 5 2" xfId="12619" xr:uid="{00000000-0005-0000-0000-0000AF500000}"/>
    <cellStyle name="Note 2 20 5 3" xfId="12629" xr:uid="{00000000-0005-0000-0000-0000B0500000}"/>
    <cellStyle name="Note 2 20 6" xfId="14753" xr:uid="{00000000-0005-0000-0000-0000B1500000}"/>
    <cellStyle name="Note 2 20 7" xfId="14756" xr:uid="{00000000-0005-0000-0000-0000B2500000}"/>
    <cellStyle name="Note 2 20 8" xfId="25736" xr:uid="{00000000-0005-0000-0000-0000B3500000}"/>
    <cellStyle name="Note 2 21" xfId="17160" xr:uid="{00000000-0005-0000-0000-0000B4500000}"/>
    <cellStyle name="Note 2 21 2" xfId="25852" xr:uid="{00000000-0005-0000-0000-0000B5500000}"/>
    <cellStyle name="Note 2 21 2 2" xfId="13314" xr:uid="{00000000-0005-0000-0000-0000B6500000}"/>
    <cellStyle name="Note 2 21 2 3" xfId="13321" xr:uid="{00000000-0005-0000-0000-0000B7500000}"/>
    <cellStyle name="Note 2 21 2 4" xfId="13324" xr:uid="{00000000-0005-0000-0000-0000B8500000}"/>
    <cellStyle name="Note 2 21 3" xfId="25863" xr:uid="{00000000-0005-0000-0000-0000B9500000}"/>
    <cellStyle name="Note 2 21 3 2" xfId="13333" xr:uid="{00000000-0005-0000-0000-0000BA500000}"/>
    <cellStyle name="Note 2 21 3 3" xfId="13342" xr:uid="{00000000-0005-0000-0000-0000BB500000}"/>
    <cellStyle name="Note 2 21 3 4" xfId="13345" xr:uid="{00000000-0005-0000-0000-0000BC500000}"/>
    <cellStyle name="Note 2 21 4" xfId="25883" xr:uid="{00000000-0005-0000-0000-0000BD500000}"/>
    <cellStyle name="Note 2 21 4 2" xfId="13357" xr:uid="{00000000-0005-0000-0000-0000BE500000}"/>
    <cellStyle name="Note 2 21 4 3" xfId="13365" xr:uid="{00000000-0005-0000-0000-0000BF500000}"/>
    <cellStyle name="Note 2 21 5" xfId="25896" xr:uid="{00000000-0005-0000-0000-0000C0500000}"/>
    <cellStyle name="Note 2 21 5 2" xfId="13376" xr:uid="{00000000-0005-0000-0000-0000C1500000}"/>
    <cellStyle name="Note 2 21 5 3" xfId="13382" xr:uid="{00000000-0005-0000-0000-0000C2500000}"/>
    <cellStyle name="Note 2 21 6" xfId="25907" xr:uid="{00000000-0005-0000-0000-0000C3500000}"/>
    <cellStyle name="Note 2 21 7" xfId="25923" xr:uid="{00000000-0005-0000-0000-0000C4500000}"/>
    <cellStyle name="Note 2 21 8" xfId="25946" xr:uid="{00000000-0005-0000-0000-0000C5500000}"/>
    <cellStyle name="Note 2 22" xfId="17164" xr:uid="{00000000-0005-0000-0000-0000C6500000}"/>
    <cellStyle name="Note 2 22 2" xfId="25983" xr:uid="{00000000-0005-0000-0000-0000C7500000}"/>
    <cellStyle name="Note 2 22 2 2" xfId="13937" xr:uid="{00000000-0005-0000-0000-0000C8500000}"/>
    <cellStyle name="Note 2 22 2 3" xfId="13941" xr:uid="{00000000-0005-0000-0000-0000C9500000}"/>
    <cellStyle name="Note 2 22 2 4" xfId="3037" xr:uid="{00000000-0005-0000-0000-0000CA500000}"/>
    <cellStyle name="Note 2 22 3" xfId="25985" xr:uid="{00000000-0005-0000-0000-0000CB500000}"/>
    <cellStyle name="Note 2 22 3 2" xfId="13959" xr:uid="{00000000-0005-0000-0000-0000CC500000}"/>
    <cellStyle name="Note 2 22 3 3" xfId="13972" xr:uid="{00000000-0005-0000-0000-0000CD500000}"/>
    <cellStyle name="Note 2 22 3 4" xfId="3056" xr:uid="{00000000-0005-0000-0000-0000CE500000}"/>
    <cellStyle name="Note 2 22 4" xfId="25987" xr:uid="{00000000-0005-0000-0000-0000CF500000}"/>
    <cellStyle name="Note 2 22 4 2" xfId="13985" xr:uid="{00000000-0005-0000-0000-0000D0500000}"/>
    <cellStyle name="Note 2 22 4 3" xfId="13992" xr:uid="{00000000-0005-0000-0000-0000D1500000}"/>
    <cellStyle name="Note 2 22 5" xfId="25989" xr:uid="{00000000-0005-0000-0000-0000D2500000}"/>
    <cellStyle name="Note 2 22 5 2" xfId="14006" xr:uid="{00000000-0005-0000-0000-0000D3500000}"/>
    <cellStyle name="Note 2 22 5 3" xfId="14012" xr:uid="{00000000-0005-0000-0000-0000D4500000}"/>
    <cellStyle name="Note 2 22 6" xfId="25991" xr:uid="{00000000-0005-0000-0000-0000D5500000}"/>
    <cellStyle name="Note 2 22 7" xfId="25993" xr:uid="{00000000-0005-0000-0000-0000D6500000}"/>
    <cellStyle name="Note 2 22 8" xfId="25996" xr:uid="{00000000-0005-0000-0000-0000D7500000}"/>
    <cellStyle name="Note 2 23" xfId="25376" xr:uid="{00000000-0005-0000-0000-0000D8500000}"/>
    <cellStyle name="Note 2 23 2" xfId="25999" xr:uid="{00000000-0005-0000-0000-0000D9500000}"/>
    <cellStyle name="Note 2 23 2 2" xfId="16391" xr:uid="{00000000-0005-0000-0000-0000DA500000}"/>
    <cellStyle name="Note 2 23 2 3" xfId="16394" xr:uid="{00000000-0005-0000-0000-0000DB500000}"/>
    <cellStyle name="Note 2 23 2 4" xfId="26001" xr:uid="{00000000-0005-0000-0000-0000DC500000}"/>
    <cellStyle name="Note 2 23 3" xfId="26003" xr:uid="{00000000-0005-0000-0000-0000DD500000}"/>
    <cellStyle name="Note 2 23 3 2" xfId="16400" xr:uid="{00000000-0005-0000-0000-0000DE500000}"/>
    <cellStyle name="Note 2 23 3 3" xfId="16403" xr:uid="{00000000-0005-0000-0000-0000DF500000}"/>
    <cellStyle name="Note 2 23 3 4" xfId="26006" xr:uid="{00000000-0005-0000-0000-0000E0500000}"/>
    <cellStyle name="Note 2 23 4" xfId="26008" xr:uid="{00000000-0005-0000-0000-0000E1500000}"/>
    <cellStyle name="Note 2 23 4 2" xfId="16407" xr:uid="{00000000-0005-0000-0000-0000E2500000}"/>
    <cellStyle name="Note 2 23 4 3" xfId="26011" xr:uid="{00000000-0005-0000-0000-0000E3500000}"/>
    <cellStyle name="Note 2 23 5" xfId="26013" xr:uid="{00000000-0005-0000-0000-0000E4500000}"/>
    <cellStyle name="Note 2 23 5 2" xfId="3235" xr:uid="{00000000-0005-0000-0000-0000E5500000}"/>
    <cellStyle name="Note 2 23 5 3" xfId="3242" xr:uid="{00000000-0005-0000-0000-0000E6500000}"/>
    <cellStyle name="Note 2 23 6" xfId="26016" xr:uid="{00000000-0005-0000-0000-0000E7500000}"/>
    <cellStyle name="Note 2 23 7" xfId="26018" xr:uid="{00000000-0005-0000-0000-0000E8500000}"/>
    <cellStyle name="Note 2 23 8" xfId="26020" xr:uid="{00000000-0005-0000-0000-0000E9500000}"/>
    <cellStyle name="Note 2 24" xfId="25379" xr:uid="{00000000-0005-0000-0000-0000EA500000}"/>
    <cellStyle name="Note 2 24 2" xfId="5122" xr:uid="{00000000-0005-0000-0000-0000EB500000}"/>
    <cellStyle name="Note 2 24 2 2" xfId="5127" xr:uid="{00000000-0005-0000-0000-0000EC500000}"/>
    <cellStyle name="Note 2 24 2 3" xfId="5131" xr:uid="{00000000-0005-0000-0000-0000ED500000}"/>
    <cellStyle name="Note 2 24 2 4" xfId="5135" xr:uid="{00000000-0005-0000-0000-0000EE500000}"/>
    <cellStyle name="Note 2 24 3" xfId="3259" xr:uid="{00000000-0005-0000-0000-0000EF500000}"/>
    <cellStyle name="Note 2 24 3 2" xfId="3265" xr:uid="{00000000-0005-0000-0000-0000F0500000}"/>
    <cellStyle name="Note 2 24 3 3" xfId="3272" xr:uid="{00000000-0005-0000-0000-0000F1500000}"/>
    <cellStyle name="Note 2 24 3 4" xfId="3280" xr:uid="{00000000-0005-0000-0000-0000F2500000}"/>
    <cellStyle name="Note 2 24 4" xfId="2724" xr:uid="{00000000-0005-0000-0000-0000F3500000}"/>
    <cellStyle name="Note 2 24 4 2" xfId="3289" xr:uid="{00000000-0005-0000-0000-0000F4500000}"/>
    <cellStyle name="Note 2 24 4 3" xfId="3295" xr:uid="{00000000-0005-0000-0000-0000F5500000}"/>
    <cellStyle name="Note 2 24 5" xfId="2733" xr:uid="{00000000-0005-0000-0000-0000F6500000}"/>
    <cellStyle name="Note 2 24 5 2" xfId="3308" xr:uid="{00000000-0005-0000-0000-0000F7500000}"/>
    <cellStyle name="Note 2 24 5 3" xfId="3315" xr:uid="{00000000-0005-0000-0000-0000F8500000}"/>
    <cellStyle name="Note 2 24 6" xfId="2740" xr:uid="{00000000-0005-0000-0000-0000F9500000}"/>
    <cellStyle name="Note 2 24 7" xfId="3333" xr:uid="{00000000-0005-0000-0000-0000FA500000}"/>
    <cellStyle name="Note 2 24 8" xfId="26022" xr:uid="{00000000-0005-0000-0000-0000FB500000}"/>
    <cellStyle name="Note 2 25" xfId="26449" xr:uid="{00000000-0005-0000-0000-0000FC500000}"/>
    <cellStyle name="Note 2 25 2" xfId="26451" xr:uid="{00000000-0005-0000-0000-0000FD500000}"/>
    <cellStyle name="Note 2 25 2 2" xfId="26453" xr:uid="{00000000-0005-0000-0000-0000FE500000}"/>
    <cellStyle name="Note 2 25 2 3" xfId="20055" xr:uid="{00000000-0005-0000-0000-0000FF500000}"/>
    <cellStyle name="Note 2 25 2 4" xfId="20057" xr:uid="{00000000-0005-0000-0000-000000510000}"/>
    <cellStyle name="Note 2 25 3" xfId="26454" xr:uid="{00000000-0005-0000-0000-000001510000}"/>
    <cellStyle name="Note 2 25 3 2" xfId="26457" xr:uid="{00000000-0005-0000-0000-000002510000}"/>
    <cellStyle name="Note 2 25 3 3" xfId="20060" xr:uid="{00000000-0005-0000-0000-000003510000}"/>
    <cellStyle name="Note 2 25 3 4" xfId="20062" xr:uid="{00000000-0005-0000-0000-000004510000}"/>
    <cellStyle name="Note 2 25 4" xfId="26458" xr:uid="{00000000-0005-0000-0000-000005510000}"/>
    <cellStyle name="Note 2 25 4 2" xfId="26460" xr:uid="{00000000-0005-0000-0000-000006510000}"/>
    <cellStyle name="Note 2 25 4 3" xfId="26461" xr:uid="{00000000-0005-0000-0000-000007510000}"/>
    <cellStyle name="Note 2 25 5" xfId="26462" xr:uid="{00000000-0005-0000-0000-000008510000}"/>
    <cellStyle name="Note 2 25 5 2" xfId="26463" xr:uid="{00000000-0005-0000-0000-000009510000}"/>
    <cellStyle name="Note 2 25 5 3" xfId="26464" xr:uid="{00000000-0005-0000-0000-00000A510000}"/>
    <cellStyle name="Note 2 25 6" xfId="26465" xr:uid="{00000000-0005-0000-0000-00000B510000}"/>
    <cellStyle name="Note 2 25 7" xfId="26466" xr:uid="{00000000-0005-0000-0000-00000C510000}"/>
    <cellStyle name="Note 2 25 8" xfId="26467" xr:uid="{00000000-0005-0000-0000-00000D510000}"/>
    <cellStyle name="Note 2 26" xfId="26468" xr:uid="{00000000-0005-0000-0000-00000E510000}"/>
    <cellStyle name="Note 2 26 2" xfId="19308" xr:uid="{00000000-0005-0000-0000-00000F510000}"/>
    <cellStyle name="Note 2 26 3" xfId="19314" xr:uid="{00000000-0005-0000-0000-000010510000}"/>
    <cellStyle name="Note 2 26 4" xfId="19322" xr:uid="{00000000-0005-0000-0000-000011510000}"/>
    <cellStyle name="Note 2 26 5" xfId="19326" xr:uid="{00000000-0005-0000-0000-000012510000}"/>
    <cellStyle name="Note 2 27" xfId="26470" xr:uid="{00000000-0005-0000-0000-000013510000}"/>
    <cellStyle name="Note 2 27 2" xfId="26472" xr:uid="{00000000-0005-0000-0000-000014510000}"/>
    <cellStyle name="Note 2 27 3" xfId="26474" xr:uid="{00000000-0005-0000-0000-000015510000}"/>
    <cellStyle name="Note 2 27 4" xfId="26475" xr:uid="{00000000-0005-0000-0000-000016510000}"/>
    <cellStyle name="Note 2 27 5" xfId="26476" xr:uid="{00000000-0005-0000-0000-000017510000}"/>
    <cellStyle name="Note 2 28" xfId="26477" xr:uid="{00000000-0005-0000-0000-000018510000}"/>
    <cellStyle name="Note 2 28 2" xfId="26479" xr:uid="{00000000-0005-0000-0000-000019510000}"/>
    <cellStyle name="Note 2 28 3" xfId="26480" xr:uid="{00000000-0005-0000-0000-00001A510000}"/>
    <cellStyle name="Note 2 28 4" xfId="26481" xr:uid="{00000000-0005-0000-0000-00001B510000}"/>
    <cellStyle name="Note 2 29" xfId="26482" xr:uid="{00000000-0005-0000-0000-00001C510000}"/>
    <cellStyle name="Note 2 29 2" xfId="5085" xr:uid="{00000000-0005-0000-0000-00001D510000}"/>
    <cellStyle name="Note 2 29 3" xfId="5092" xr:uid="{00000000-0005-0000-0000-00001E510000}"/>
    <cellStyle name="Note 2 29 4" xfId="5379" xr:uid="{00000000-0005-0000-0000-00001F510000}"/>
    <cellStyle name="Note 2 3" xfId="26484" xr:uid="{00000000-0005-0000-0000-000020510000}"/>
    <cellStyle name="Note 2 3 10" xfId="26485" xr:uid="{00000000-0005-0000-0000-000021510000}"/>
    <cellStyle name="Note 2 3 10 2" xfId="14137" xr:uid="{00000000-0005-0000-0000-000022510000}"/>
    <cellStyle name="Note 2 3 10 2 2" xfId="26486" xr:uid="{00000000-0005-0000-0000-000023510000}"/>
    <cellStyle name="Note 2 3 10 2 3" xfId="26487" xr:uid="{00000000-0005-0000-0000-000024510000}"/>
    <cellStyle name="Note 2 3 10 2 4" xfId="23745" xr:uid="{00000000-0005-0000-0000-000025510000}"/>
    <cellStyle name="Note 2 3 10 3" xfId="1302" xr:uid="{00000000-0005-0000-0000-000026510000}"/>
    <cellStyle name="Note 2 3 10 3 2" xfId="95" xr:uid="{00000000-0005-0000-0000-000027510000}"/>
    <cellStyle name="Note 2 3 10 3 3" xfId="26488" xr:uid="{00000000-0005-0000-0000-000028510000}"/>
    <cellStyle name="Note 2 3 10 3 4" xfId="23751" xr:uid="{00000000-0005-0000-0000-000029510000}"/>
    <cellStyle name="Note 2 3 10 4" xfId="11911" xr:uid="{00000000-0005-0000-0000-00002A510000}"/>
    <cellStyle name="Note 2 3 10 4 2" xfId="26489" xr:uid="{00000000-0005-0000-0000-00002B510000}"/>
    <cellStyle name="Note 2 3 10 4 3" xfId="26490" xr:uid="{00000000-0005-0000-0000-00002C510000}"/>
    <cellStyle name="Note 2 3 10 5" xfId="11914" xr:uid="{00000000-0005-0000-0000-00002D510000}"/>
    <cellStyle name="Note 2 3 10 5 2" xfId="26491" xr:uid="{00000000-0005-0000-0000-00002E510000}"/>
    <cellStyle name="Note 2 3 10 5 3" xfId="26493" xr:uid="{00000000-0005-0000-0000-00002F510000}"/>
    <cellStyle name="Note 2 3 10 6" xfId="13330" xr:uid="{00000000-0005-0000-0000-000030510000}"/>
    <cellStyle name="Note 2 3 10 7" xfId="948" xr:uid="{00000000-0005-0000-0000-000031510000}"/>
    <cellStyle name="Note 2 3 10 8" xfId="1366" xr:uid="{00000000-0005-0000-0000-000032510000}"/>
    <cellStyle name="Note 2 3 11" xfId="26494" xr:uid="{00000000-0005-0000-0000-000033510000}"/>
    <cellStyle name="Note 2 3 11 2" xfId="26495" xr:uid="{00000000-0005-0000-0000-000034510000}"/>
    <cellStyle name="Note 2 3 11 2 2" xfId="26496" xr:uid="{00000000-0005-0000-0000-000035510000}"/>
    <cellStyle name="Note 2 3 11 2 3" xfId="26497" xr:uid="{00000000-0005-0000-0000-000036510000}"/>
    <cellStyle name="Note 2 3 11 2 4" xfId="26498" xr:uid="{00000000-0005-0000-0000-000037510000}"/>
    <cellStyle name="Note 2 3 11 3" xfId="26499" xr:uid="{00000000-0005-0000-0000-000038510000}"/>
    <cellStyle name="Note 2 3 11 3 2" xfId="26500" xr:uid="{00000000-0005-0000-0000-000039510000}"/>
    <cellStyle name="Note 2 3 11 3 3" xfId="26501" xr:uid="{00000000-0005-0000-0000-00003A510000}"/>
    <cellStyle name="Note 2 3 11 3 4" xfId="26502" xr:uid="{00000000-0005-0000-0000-00003B510000}"/>
    <cellStyle name="Note 2 3 11 4" xfId="26503" xr:uid="{00000000-0005-0000-0000-00003C510000}"/>
    <cellStyle name="Note 2 3 11 4 2" xfId="26504" xr:uid="{00000000-0005-0000-0000-00003D510000}"/>
    <cellStyle name="Note 2 3 11 4 3" xfId="26505" xr:uid="{00000000-0005-0000-0000-00003E510000}"/>
    <cellStyle name="Note 2 3 11 5" xfId="13336" xr:uid="{00000000-0005-0000-0000-00003F510000}"/>
    <cellStyle name="Note 2 3 11 5 2" xfId="26506" xr:uid="{00000000-0005-0000-0000-000040510000}"/>
    <cellStyle name="Note 2 3 11 5 3" xfId="26508" xr:uid="{00000000-0005-0000-0000-000041510000}"/>
    <cellStyle name="Note 2 3 11 6" xfId="13339" xr:uid="{00000000-0005-0000-0000-000042510000}"/>
    <cellStyle name="Note 2 3 11 7" xfId="25865" xr:uid="{00000000-0005-0000-0000-000043510000}"/>
    <cellStyle name="Note 2 3 11 8" xfId="26509" xr:uid="{00000000-0005-0000-0000-000044510000}"/>
    <cellStyle name="Note 2 3 12" xfId="26510" xr:uid="{00000000-0005-0000-0000-000045510000}"/>
    <cellStyle name="Note 2 3 12 2" xfId="26511" xr:uid="{00000000-0005-0000-0000-000046510000}"/>
    <cellStyle name="Note 2 3 12 2 2" xfId="26513" xr:uid="{00000000-0005-0000-0000-000047510000}"/>
    <cellStyle name="Note 2 3 12 2 3" xfId="26515" xr:uid="{00000000-0005-0000-0000-000048510000}"/>
    <cellStyle name="Note 2 3 12 2 4" xfId="26517" xr:uid="{00000000-0005-0000-0000-000049510000}"/>
    <cellStyle name="Note 2 3 12 3" xfId="26518" xr:uid="{00000000-0005-0000-0000-00004A510000}"/>
    <cellStyle name="Note 2 3 12 3 2" xfId="26520" xr:uid="{00000000-0005-0000-0000-00004B510000}"/>
    <cellStyle name="Note 2 3 12 3 3" xfId="26522" xr:uid="{00000000-0005-0000-0000-00004C510000}"/>
    <cellStyle name="Note 2 3 12 3 4" xfId="26524" xr:uid="{00000000-0005-0000-0000-00004D510000}"/>
    <cellStyle name="Note 2 3 12 4" xfId="26525" xr:uid="{00000000-0005-0000-0000-00004E510000}"/>
    <cellStyle name="Note 2 3 12 4 2" xfId="25469" xr:uid="{00000000-0005-0000-0000-00004F510000}"/>
    <cellStyle name="Note 2 3 12 4 3" xfId="25479" xr:uid="{00000000-0005-0000-0000-000050510000}"/>
    <cellStyle name="Note 2 3 12 5" xfId="25867" xr:uid="{00000000-0005-0000-0000-000051510000}"/>
    <cellStyle name="Note 2 3 12 5 2" xfId="25494" xr:uid="{00000000-0005-0000-0000-000052510000}"/>
    <cellStyle name="Note 2 3 12 5 3" xfId="25496" xr:uid="{00000000-0005-0000-0000-000053510000}"/>
    <cellStyle name="Note 2 3 12 6" xfId="25870" xr:uid="{00000000-0005-0000-0000-000054510000}"/>
    <cellStyle name="Note 2 3 12 7" xfId="25872" xr:uid="{00000000-0005-0000-0000-000055510000}"/>
    <cellStyle name="Note 2 3 12 8" xfId="26527" xr:uid="{00000000-0005-0000-0000-000056510000}"/>
    <cellStyle name="Note 2 3 13" xfId="26528" xr:uid="{00000000-0005-0000-0000-000057510000}"/>
    <cellStyle name="Note 2 3 13 2" xfId="26529" xr:uid="{00000000-0005-0000-0000-000058510000}"/>
    <cellStyle name="Note 2 3 13 3" xfId="26531" xr:uid="{00000000-0005-0000-0000-000059510000}"/>
    <cellStyle name="Note 2 3 13 4" xfId="26532" xr:uid="{00000000-0005-0000-0000-00005A510000}"/>
    <cellStyle name="Note 2 3 13 5" xfId="25874" xr:uid="{00000000-0005-0000-0000-00005B510000}"/>
    <cellStyle name="Note 2 3 14" xfId="26533" xr:uid="{00000000-0005-0000-0000-00005C510000}"/>
    <cellStyle name="Note 2 3 14 2" xfId="26534" xr:uid="{00000000-0005-0000-0000-00005D510000}"/>
    <cellStyle name="Note 2 3 14 3" xfId="26536" xr:uid="{00000000-0005-0000-0000-00005E510000}"/>
    <cellStyle name="Note 2 3 14 4" xfId="26537" xr:uid="{00000000-0005-0000-0000-00005F510000}"/>
    <cellStyle name="Note 2 3 14 5" xfId="25878" xr:uid="{00000000-0005-0000-0000-000060510000}"/>
    <cellStyle name="Note 2 3 15" xfId="26538" xr:uid="{00000000-0005-0000-0000-000061510000}"/>
    <cellStyle name="Note 2 3 15 2" xfId="26540" xr:uid="{00000000-0005-0000-0000-000062510000}"/>
    <cellStyle name="Note 2 3 15 3" xfId="26541" xr:uid="{00000000-0005-0000-0000-000063510000}"/>
    <cellStyle name="Note 2 3 15 4" xfId="26542" xr:uid="{00000000-0005-0000-0000-000064510000}"/>
    <cellStyle name="Note 2 3 16" xfId="26543" xr:uid="{00000000-0005-0000-0000-000065510000}"/>
    <cellStyle name="Note 2 3 16 2" xfId="26546" xr:uid="{00000000-0005-0000-0000-000066510000}"/>
    <cellStyle name="Note 2 3 16 3" xfId="26547" xr:uid="{00000000-0005-0000-0000-000067510000}"/>
    <cellStyle name="Note 2 3 16 4" xfId="26548" xr:uid="{00000000-0005-0000-0000-000068510000}"/>
    <cellStyle name="Note 2 3 17" xfId="26549" xr:uid="{00000000-0005-0000-0000-000069510000}"/>
    <cellStyle name="Note 2 3 17 2" xfId="26552" xr:uid="{00000000-0005-0000-0000-00006A510000}"/>
    <cellStyle name="Note 2 3 18" xfId="26553" xr:uid="{00000000-0005-0000-0000-00006B510000}"/>
    <cellStyle name="Note 2 3 18 2" xfId="26557" xr:uid="{00000000-0005-0000-0000-00006C510000}"/>
    <cellStyle name="Note 2 3 19" xfId="26558" xr:uid="{00000000-0005-0000-0000-00006D510000}"/>
    <cellStyle name="Note 2 3 19 2" xfId="26561" xr:uid="{00000000-0005-0000-0000-00006E510000}"/>
    <cellStyle name="Note 2 3 2" xfId="26562" xr:uid="{00000000-0005-0000-0000-00006F510000}"/>
    <cellStyle name="Note 2 3 2 10" xfId="3375" xr:uid="{00000000-0005-0000-0000-000070510000}"/>
    <cellStyle name="Note 2 3 2 10 2" xfId="20681" xr:uid="{00000000-0005-0000-0000-000071510000}"/>
    <cellStyle name="Note 2 3 2 10 2 2" xfId="19260" xr:uid="{00000000-0005-0000-0000-000072510000}"/>
    <cellStyle name="Note 2 3 2 10 2 3" xfId="26563" xr:uid="{00000000-0005-0000-0000-000073510000}"/>
    <cellStyle name="Note 2 3 2 10 2 4" xfId="26564" xr:uid="{00000000-0005-0000-0000-000074510000}"/>
    <cellStyle name="Note 2 3 2 10 3" xfId="20684" xr:uid="{00000000-0005-0000-0000-000075510000}"/>
    <cellStyle name="Note 2 3 2 10 3 2" xfId="19269" xr:uid="{00000000-0005-0000-0000-000076510000}"/>
    <cellStyle name="Note 2 3 2 10 3 3" xfId="26565" xr:uid="{00000000-0005-0000-0000-000077510000}"/>
    <cellStyle name="Note 2 3 2 10 3 4" xfId="26566" xr:uid="{00000000-0005-0000-0000-000078510000}"/>
    <cellStyle name="Note 2 3 2 10 4" xfId="26567" xr:uid="{00000000-0005-0000-0000-000079510000}"/>
    <cellStyle name="Note 2 3 2 10 4 2" xfId="26569" xr:uid="{00000000-0005-0000-0000-00007A510000}"/>
    <cellStyle name="Note 2 3 2 10 4 3" xfId="26570" xr:uid="{00000000-0005-0000-0000-00007B510000}"/>
    <cellStyle name="Note 2 3 2 10 5" xfId="26571" xr:uid="{00000000-0005-0000-0000-00007C510000}"/>
    <cellStyle name="Note 2 3 2 10 5 2" xfId="26572" xr:uid="{00000000-0005-0000-0000-00007D510000}"/>
    <cellStyle name="Note 2 3 2 10 5 3" xfId="26573" xr:uid="{00000000-0005-0000-0000-00007E510000}"/>
    <cellStyle name="Note 2 3 2 10 6" xfId="26574" xr:uid="{00000000-0005-0000-0000-00007F510000}"/>
    <cellStyle name="Note 2 3 2 10 7" xfId="26575" xr:uid="{00000000-0005-0000-0000-000080510000}"/>
    <cellStyle name="Note 2 3 2 10 8" xfId="26576" xr:uid="{00000000-0005-0000-0000-000081510000}"/>
    <cellStyle name="Note 2 3 2 11" xfId="3380" xr:uid="{00000000-0005-0000-0000-000082510000}"/>
    <cellStyle name="Note 2 3 2 11 2" xfId="20708" xr:uid="{00000000-0005-0000-0000-000083510000}"/>
    <cellStyle name="Note 2 3 2 11 3" xfId="20711" xr:uid="{00000000-0005-0000-0000-000084510000}"/>
    <cellStyle name="Note 2 3 2 11 4" xfId="26577" xr:uid="{00000000-0005-0000-0000-000085510000}"/>
    <cellStyle name="Note 2 3 2 11 5" xfId="26580" xr:uid="{00000000-0005-0000-0000-000086510000}"/>
    <cellStyle name="Note 2 3 2 12" xfId="26582" xr:uid="{00000000-0005-0000-0000-000087510000}"/>
    <cellStyle name="Note 2 3 2 12 2" xfId="20745" xr:uid="{00000000-0005-0000-0000-000088510000}"/>
    <cellStyle name="Note 2 3 2 12 3" xfId="20749" xr:uid="{00000000-0005-0000-0000-000089510000}"/>
    <cellStyle name="Note 2 3 2 12 4" xfId="26584" xr:uid="{00000000-0005-0000-0000-00008A510000}"/>
    <cellStyle name="Note 2 3 2 12 5" xfId="26586" xr:uid="{00000000-0005-0000-0000-00008B510000}"/>
    <cellStyle name="Note 2 3 2 13" xfId="26588" xr:uid="{00000000-0005-0000-0000-00008C510000}"/>
    <cellStyle name="Note 2 3 2 13 2" xfId="20779" xr:uid="{00000000-0005-0000-0000-00008D510000}"/>
    <cellStyle name="Note 2 3 2 13 3" xfId="20782" xr:uid="{00000000-0005-0000-0000-00008E510000}"/>
    <cellStyle name="Note 2 3 2 13 4" xfId="26590" xr:uid="{00000000-0005-0000-0000-00008F510000}"/>
    <cellStyle name="Note 2 3 2 14" xfId="26592" xr:uid="{00000000-0005-0000-0000-000090510000}"/>
    <cellStyle name="Note 2 3 2 14 2" xfId="20804" xr:uid="{00000000-0005-0000-0000-000091510000}"/>
    <cellStyle name="Note 2 3 2 14 3" xfId="20806" xr:uid="{00000000-0005-0000-0000-000092510000}"/>
    <cellStyle name="Note 2 3 2 14 4" xfId="26594" xr:uid="{00000000-0005-0000-0000-000093510000}"/>
    <cellStyle name="Note 2 3 2 15" xfId="26596" xr:uid="{00000000-0005-0000-0000-000094510000}"/>
    <cellStyle name="Note 2 3 2 15 2" xfId="20823" xr:uid="{00000000-0005-0000-0000-000095510000}"/>
    <cellStyle name="Note 2 3 2 16" xfId="26599" xr:uid="{00000000-0005-0000-0000-000096510000}"/>
    <cellStyle name="Note 2 3 2 16 2" xfId="25033" xr:uid="{00000000-0005-0000-0000-000097510000}"/>
    <cellStyle name="Note 2 3 2 17" xfId="26601" xr:uid="{00000000-0005-0000-0000-000098510000}"/>
    <cellStyle name="Note 2 3 2 17 2" xfId="1379" xr:uid="{00000000-0005-0000-0000-000099510000}"/>
    <cellStyle name="Note 2 3 2 18" xfId="26603" xr:uid="{00000000-0005-0000-0000-00009A510000}"/>
    <cellStyle name="Note 2 3 2 19" xfId="26605" xr:uid="{00000000-0005-0000-0000-00009B510000}"/>
    <cellStyle name="Note 2 3 2 2" xfId="26607" xr:uid="{00000000-0005-0000-0000-00009C510000}"/>
    <cellStyle name="Note 2 3 2 2 2" xfId="26608" xr:uid="{00000000-0005-0000-0000-00009D510000}"/>
    <cellStyle name="Note 2 3 2 2 2 2" xfId="24898" xr:uid="{00000000-0005-0000-0000-00009E510000}"/>
    <cellStyle name="Note 2 3 2 2 2 3" xfId="26609" xr:uid="{00000000-0005-0000-0000-00009F510000}"/>
    <cellStyle name="Note 2 3 2 2 2 4" xfId="26610" xr:uid="{00000000-0005-0000-0000-0000A0510000}"/>
    <cellStyle name="Note 2 3 2 2 3" xfId="26611" xr:uid="{00000000-0005-0000-0000-0000A1510000}"/>
    <cellStyle name="Note 2 3 2 2 3 2" xfId="24902" xr:uid="{00000000-0005-0000-0000-0000A2510000}"/>
    <cellStyle name="Note 2 3 2 2 3 3" xfId="26612" xr:uid="{00000000-0005-0000-0000-0000A3510000}"/>
    <cellStyle name="Note 2 3 2 2 3 4" xfId="26613" xr:uid="{00000000-0005-0000-0000-0000A4510000}"/>
    <cellStyle name="Note 2 3 2 2 4" xfId="25192" xr:uid="{00000000-0005-0000-0000-0000A5510000}"/>
    <cellStyle name="Note 2 3 2 2 4 2" xfId="24913" xr:uid="{00000000-0005-0000-0000-0000A6510000}"/>
    <cellStyle name="Note 2 3 2 2 4 3" xfId="26614" xr:uid="{00000000-0005-0000-0000-0000A7510000}"/>
    <cellStyle name="Note 2 3 2 2 5" xfId="25194" xr:uid="{00000000-0005-0000-0000-0000A8510000}"/>
    <cellStyle name="Note 2 3 2 2 5 2" xfId="5259" xr:uid="{00000000-0005-0000-0000-0000A9510000}"/>
    <cellStyle name="Note 2 3 2 2 5 3" xfId="5270" xr:uid="{00000000-0005-0000-0000-0000AA510000}"/>
    <cellStyle name="Note 2 3 2 2 6" xfId="26615" xr:uid="{00000000-0005-0000-0000-0000AB510000}"/>
    <cellStyle name="Note 2 3 2 2 7" xfId="26616" xr:uid="{00000000-0005-0000-0000-0000AC510000}"/>
    <cellStyle name="Note 2 3 2 2 8" xfId="26617" xr:uid="{00000000-0005-0000-0000-0000AD510000}"/>
    <cellStyle name="Note 2 3 2 20" xfId="26597" xr:uid="{00000000-0005-0000-0000-0000AE510000}"/>
    <cellStyle name="Note 2 3 2 21" xfId="26600" xr:uid="{00000000-0005-0000-0000-0000AF510000}"/>
    <cellStyle name="Note 2 3 2 22" xfId="26602" xr:uid="{00000000-0005-0000-0000-0000B0510000}"/>
    <cellStyle name="Note 2 3 2 23" xfId="26604" xr:uid="{00000000-0005-0000-0000-0000B1510000}"/>
    <cellStyle name="Note 2 3 2 24" xfId="26606" xr:uid="{00000000-0005-0000-0000-0000B2510000}"/>
    <cellStyle name="Note 2 3 2 25" xfId="26618" xr:uid="{00000000-0005-0000-0000-0000B3510000}"/>
    <cellStyle name="Note 2 3 2 26" xfId="26620" xr:uid="{00000000-0005-0000-0000-0000B4510000}"/>
    <cellStyle name="Note 2 3 2 27" xfId="26621" xr:uid="{00000000-0005-0000-0000-0000B5510000}"/>
    <cellStyle name="Note 2 3 2 28" xfId="22530" xr:uid="{00000000-0005-0000-0000-0000B6510000}"/>
    <cellStyle name="Note 2 3 2 29" xfId="22532" xr:uid="{00000000-0005-0000-0000-0000B7510000}"/>
    <cellStyle name="Note 2 3 2 3" xfId="26622" xr:uid="{00000000-0005-0000-0000-0000B8510000}"/>
    <cellStyle name="Note 2 3 2 3 2" xfId="26623" xr:uid="{00000000-0005-0000-0000-0000B9510000}"/>
    <cellStyle name="Note 2 3 2 3 2 2" xfId="22434" xr:uid="{00000000-0005-0000-0000-0000BA510000}"/>
    <cellStyle name="Note 2 3 2 3 2 3" xfId="22440" xr:uid="{00000000-0005-0000-0000-0000BB510000}"/>
    <cellStyle name="Note 2 3 2 3 2 4" xfId="22446" xr:uid="{00000000-0005-0000-0000-0000BC510000}"/>
    <cellStyle name="Note 2 3 2 3 3" xfId="26624" xr:uid="{00000000-0005-0000-0000-0000BD510000}"/>
    <cellStyle name="Note 2 3 2 3 3 2" xfId="22475" xr:uid="{00000000-0005-0000-0000-0000BE510000}"/>
    <cellStyle name="Note 2 3 2 3 3 3" xfId="22482" xr:uid="{00000000-0005-0000-0000-0000BF510000}"/>
    <cellStyle name="Note 2 3 2 3 3 4" xfId="22484" xr:uid="{00000000-0005-0000-0000-0000C0510000}"/>
    <cellStyle name="Note 2 3 2 3 4" xfId="22418" xr:uid="{00000000-0005-0000-0000-0000C1510000}"/>
    <cellStyle name="Note 2 3 2 3 4 2" xfId="25239" xr:uid="{00000000-0005-0000-0000-0000C2510000}"/>
    <cellStyle name="Note 2 3 2 3 4 3" xfId="26625" xr:uid="{00000000-0005-0000-0000-0000C3510000}"/>
    <cellStyle name="Note 2 3 2 3 5" xfId="22421" xr:uid="{00000000-0005-0000-0000-0000C4510000}"/>
    <cellStyle name="Note 2 3 2 3 5 2" xfId="5524" xr:uid="{00000000-0005-0000-0000-0000C5510000}"/>
    <cellStyle name="Note 2 3 2 3 5 3" xfId="5535" xr:uid="{00000000-0005-0000-0000-0000C6510000}"/>
    <cellStyle name="Note 2 3 2 3 6" xfId="22423" xr:uid="{00000000-0005-0000-0000-0000C7510000}"/>
    <cellStyle name="Note 2 3 2 3 7" xfId="26626" xr:uid="{00000000-0005-0000-0000-0000C8510000}"/>
    <cellStyle name="Note 2 3 2 3 8" xfId="11446" xr:uid="{00000000-0005-0000-0000-0000C9510000}"/>
    <cellStyle name="Note 2 3 2 30" xfId="26619" xr:uid="{00000000-0005-0000-0000-0000CA510000}"/>
    <cellStyle name="Note 2 3 2 4" xfId="26627" xr:uid="{00000000-0005-0000-0000-0000CB510000}"/>
    <cellStyle name="Note 2 3 2 4 2" xfId="26628" xr:uid="{00000000-0005-0000-0000-0000CC510000}"/>
    <cellStyle name="Note 2 3 2 4 2 2" xfId="22651" xr:uid="{00000000-0005-0000-0000-0000CD510000}"/>
    <cellStyle name="Note 2 3 2 4 2 3" xfId="22655" xr:uid="{00000000-0005-0000-0000-0000CE510000}"/>
    <cellStyle name="Note 2 3 2 4 2 4" xfId="22660" xr:uid="{00000000-0005-0000-0000-0000CF510000}"/>
    <cellStyle name="Note 2 3 2 4 3" xfId="26629" xr:uid="{00000000-0005-0000-0000-0000D0510000}"/>
    <cellStyle name="Note 2 3 2 4 3 2" xfId="22677" xr:uid="{00000000-0005-0000-0000-0000D1510000}"/>
    <cellStyle name="Note 2 3 2 4 3 3" xfId="22681" xr:uid="{00000000-0005-0000-0000-0000D2510000}"/>
    <cellStyle name="Note 2 3 2 4 3 4" xfId="22683" xr:uid="{00000000-0005-0000-0000-0000D3510000}"/>
    <cellStyle name="Note 2 3 2 4 4" xfId="22427" xr:uid="{00000000-0005-0000-0000-0000D4510000}"/>
    <cellStyle name="Note 2 3 2 4 4 2" xfId="21258" xr:uid="{00000000-0005-0000-0000-0000D5510000}"/>
    <cellStyle name="Note 2 3 2 4 4 3" xfId="26630" xr:uid="{00000000-0005-0000-0000-0000D6510000}"/>
    <cellStyle name="Note 2 3 2 4 5" xfId="22429" xr:uid="{00000000-0005-0000-0000-0000D7510000}"/>
    <cellStyle name="Note 2 3 2 4 5 2" xfId="1056" xr:uid="{00000000-0005-0000-0000-0000D8510000}"/>
    <cellStyle name="Note 2 3 2 4 5 3" xfId="1590" xr:uid="{00000000-0005-0000-0000-0000D9510000}"/>
    <cellStyle name="Note 2 3 2 4 6" xfId="22431" xr:uid="{00000000-0005-0000-0000-0000DA510000}"/>
    <cellStyle name="Note 2 3 2 4 7" xfId="26631" xr:uid="{00000000-0005-0000-0000-0000DB510000}"/>
    <cellStyle name="Note 2 3 2 4 8" xfId="11451" xr:uid="{00000000-0005-0000-0000-0000DC510000}"/>
    <cellStyle name="Note 2 3 2 5" xfId="21791" xr:uid="{00000000-0005-0000-0000-0000DD510000}"/>
    <cellStyle name="Note 2 3 2 5 2" xfId="26632" xr:uid="{00000000-0005-0000-0000-0000DE510000}"/>
    <cellStyle name="Note 2 3 2 5 2 2" xfId="25670" xr:uid="{00000000-0005-0000-0000-0000DF510000}"/>
    <cellStyle name="Note 2 3 2 5 2 3" xfId="26633" xr:uid="{00000000-0005-0000-0000-0000E0510000}"/>
    <cellStyle name="Note 2 3 2 5 2 4" xfId="26634" xr:uid="{00000000-0005-0000-0000-0000E1510000}"/>
    <cellStyle name="Note 2 3 2 5 3" xfId="26635" xr:uid="{00000000-0005-0000-0000-0000E2510000}"/>
    <cellStyle name="Note 2 3 2 5 3 2" xfId="25696" xr:uid="{00000000-0005-0000-0000-0000E3510000}"/>
    <cellStyle name="Note 2 3 2 5 3 3" xfId="26636" xr:uid="{00000000-0005-0000-0000-0000E4510000}"/>
    <cellStyle name="Note 2 3 2 5 3 4" xfId="26637" xr:uid="{00000000-0005-0000-0000-0000E5510000}"/>
    <cellStyle name="Note 2 3 2 5 4" xfId="22436" xr:uid="{00000000-0005-0000-0000-0000E6510000}"/>
    <cellStyle name="Note 2 3 2 5 4 2" xfId="21285" xr:uid="{00000000-0005-0000-0000-0000E7510000}"/>
    <cellStyle name="Note 2 3 2 5 4 3" xfId="1865" xr:uid="{00000000-0005-0000-0000-0000E8510000}"/>
    <cellStyle name="Note 2 3 2 5 5" xfId="22438" xr:uid="{00000000-0005-0000-0000-0000E9510000}"/>
    <cellStyle name="Note 2 3 2 5 5 2" xfId="7001" xr:uid="{00000000-0005-0000-0000-0000EA510000}"/>
    <cellStyle name="Note 2 3 2 5 5 3" xfId="7008" xr:uid="{00000000-0005-0000-0000-0000EB510000}"/>
    <cellStyle name="Note 2 3 2 5 6" xfId="26638" xr:uid="{00000000-0005-0000-0000-0000EC510000}"/>
    <cellStyle name="Note 2 3 2 5 7" xfId="26640" xr:uid="{00000000-0005-0000-0000-0000ED510000}"/>
    <cellStyle name="Note 2 3 2 5 8" xfId="11457" xr:uid="{00000000-0005-0000-0000-0000EE510000}"/>
    <cellStyle name="Note 2 3 2 6" xfId="21793" xr:uid="{00000000-0005-0000-0000-0000EF510000}"/>
    <cellStyle name="Note 2 3 2 6 2" xfId="26642" xr:uid="{00000000-0005-0000-0000-0000F0510000}"/>
    <cellStyle name="Note 2 3 2 6 2 2" xfId="25905" xr:uid="{00000000-0005-0000-0000-0000F1510000}"/>
    <cellStyle name="Note 2 3 2 6 2 3" xfId="26643" xr:uid="{00000000-0005-0000-0000-0000F2510000}"/>
    <cellStyle name="Note 2 3 2 6 2 4" xfId="26644" xr:uid="{00000000-0005-0000-0000-0000F3510000}"/>
    <cellStyle name="Note 2 3 2 6 3" xfId="26645" xr:uid="{00000000-0005-0000-0000-0000F4510000}"/>
    <cellStyle name="Note 2 3 2 6 3 2" xfId="25921" xr:uid="{00000000-0005-0000-0000-0000F5510000}"/>
    <cellStyle name="Note 2 3 2 6 3 3" xfId="26646" xr:uid="{00000000-0005-0000-0000-0000F6510000}"/>
    <cellStyle name="Note 2 3 2 6 3 4" xfId="26647" xr:uid="{00000000-0005-0000-0000-0000F7510000}"/>
    <cellStyle name="Note 2 3 2 6 4" xfId="22442" xr:uid="{00000000-0005-0000-0000-0000F8510000}"/>
    <cellStyle name="Note 2 3 2 6 4 2" xfId="21311" xr:uid="{00000000-0005-0000-0000-0000F9510000}"/>
    <cellStyle name="Note 2 3 2 6 4 3" xfId="26648" xr:uid="{00000000-0005-0000-0000-0000FA510000}"/>
    <cellStyle name="Note 2 3 2 6 5" xfId="22444" xr:uid="{00000000-0005-0000-0000-0000FB510000}"/>
    <cellStyle name="Note 2 3 2 6 5 2" xfId="6371" xr:uid="{00000000-0005-0000-0000-0000FC510000}"/>
    <cellStyle name="Note 2 3 2 6 5 3" xfId="6377" xr:uid="{00000000-0005-0000-0000-0000FD510000}"/>
    <cellStyle name="Note 2 3 2 6 6" xfId="26649" xr:uid="{00000000-0005-0000-0000-0000FE510000}"/>
    <cellStyle name="Note 2 3 2 6 7" xfId="26651" xr:uid="{00000000-0005-0000-0000-0000FF510000}"/>
    <cellStyle name="Note 2 3 2 6 8" xfId="11463" xr:uid="{00000000-0005-0000-0000-000000520000}"/>
    <cellStyle name="Note 2 3 2 7" xfId="21795" xr:uid="{00000000-0005-0000-0000-000001520000}"/>
    <cellStyle name="Note 2 3 2 7 2" xfId="26653" xr:uid="{00000000-0005-0000-0000-000002520000}"/>
    <cellStyle name="Note 2 3 2 7 2 2" xfId="26654" xr:uid="{00000000-0005-0000-0000-000003520000}"/>
    <cellStyle name="Note 2 3 2 7 2 3" xfId="26655" xr:uid="{00000000-0005-0000-0000-000004520000}"/>
    <cellStyle name="Note 2 3 2 7 2 4" xfId="26656" xr:uid="{00000000-0005-0000-0000-000005520000}"/>
    <cellStyle name="Note 2 3 2 7 3" xfId="26657" xr:uid="{00000000-0005-0000-0000-000006520000}"/>
    <cellStyle name="Note 2 3 2 7 3 2" xfId="26658" xr:uid="{00000000-0005-0000-0000-000007520000}"/>
    <cellStyle name="Note 2 3 2 7 3 3" xfId="26659" xr:uid="{00000000-0005-0000-0000-000008520000}"/>
    <cellStyle name="Note 2 3 2 7 3 4" xfId="26660" xr:uid="{00000000-0005-0000-0000-000009520000}"/>
    <cellStyle name="Note 2 3 2 7 4" xfId="26661" xr:uid="{00000000-0005-0000-0000-00000A520000}"/>
    <cellStyle name="Note 2 3 2 7 4 2" xfId="21340" xr:uid="{00000000-0005-0000-0000-00000B520000}"/>
    <cellStyle name="Note 2 3 2 7 4 3" xfId="1893" xr:uid="{00000000-0005-0000-0000-00000C520000}"/>
    <cellStyle name="Note 2 3 2 7 5" xfId="26662" xr:uid="{00000000-0005-0000-0000-00000D520000}"/>
    <cellStyle name="Note 2 3 2 7 5 2" xfId="6576" xr:uid="{00000000-0005-0000-0000-00000E520000}"/>
    <cellStyle name="Note 2 3 2 7 5 3" xfId="6585" xr:uid="{00000000-0005-0000-0000-00000F520000}"/>
    <cellStyle name="Note 2 3 2 7 6" xfId="26663" xr:uid="{00000000-0005-0000-0000-000010520000}"/>
    <cellStyle name="Note 2 3 2 7 7" xfId="26666" xr:uid="{00000000-0005-0000-0000-000011520000}"/>
    <cellStyle name="Note 2 3 2 7 8" xfId="26669" xr:uid="{00000000-0005-0000-0000-000012520000}"/>
    <cellStyle name="Note 2 3 2 8" xfId="21646" xr:uid="{00000000-0005-0000-0000-000013520000}"/>
    <cellStyle name="Note 2 3 2 8 2" xfId="26671" xr:uid="{00000000-0005-0000-0000-000014520000}"/>
    <cellStyle name="Note 2 3 2 8 2 2" xfId="26672" xr:uid="{00000000-0005-0000-0000-000015520000}"/>
    <cellStyle name="Note 2 3 2 8 2 3" xfId="26673" xr:uid="{00000000-0005-0000-0000-000016520000}"/>
    <cellStyle name="Note 2 3 2 8 2 4" xfId="26674" xr:uid="{00000000-0005-0000-0000-000017520000}"/>
    <cellStyle name="Note 2 3 2 8 3" xfId="14155" xr:uid="{00000000-0005-0000-0000-000018520000}"/>
    <cellStyle name="Note 2 3 2 8 3 2" xfId="26675" xr:uid="{00000000-0005-0000-0000-000019520000}"/>
    <cellStyle name="Note 2 3 2 8 3 3" xfId="26676" xr:uid="{00000000-0005-0000-0000-00001A520000}"/>
    <cellStyle name="Note 2 3 2 8 3 4" xfId="26677" xr:uid="{00000000-0005-0000-0000-00001B520000}"/>
    <cellStyle name="Note 2 3 2 8 4" xfId="26678" xr:uid="{00000000-0005-0000-0000-00001C520000}"/>
    <cellStyle name="Note 2 3 2 8 4 2" xfId="21365" xr:uid="{00000000-0005-0000-0000-00001D520000}"/>
    <cellStyle name="Note 2 3 2 8 4 3" xfId="26679" xr:uid="{00000000-0005-0000-0000-00001E520000}"/>
    <cellStyle name="Note 2 3 2 8 5" xfId="26680" xr:uid="{00000000-0005-0000-0000-00001F520000}"/>
    <cellStyle name="Note 2 3 2 8 5 2" xfId="4157" xr:uid="{00000000-0005-0000-0000-000020520000}"/>
    <cellStyle name="Note 2 3 2 8 5 3" xfId="4170" xr:uid="{00000000-0005-0000-0000-000021520000}"/>
    <cellStyle name="Note 2 3 2 8 6" xfId="26681" xr:uid="{00000000-0005-0000-0000-000022520000}"/>
    <cellStyle name="Note 2 3 2 8 7" xfId="26684" xr:uid="{00000000-0005-0000-0000-000023520000}"/>
    <cellStyle name="Note 2 3 2 8 8" xfId="26688" xr:uid="{00000000-0005-0000-0000-000024520000}"/>
    <cellStyle name="Note 2 3 2 9" xfId="10560" xr:uid="{00000000-0005-0000-0000-000025520000}"/>
    <cellStyle name="Note 2 3 2 9 2" xfId="241" xr:uid="{00000000-0005-0000-0000-000026520000}"/>
    <cellStyle name="Note 2 3 2 9 2 2" xfId="26690" xr:uid="{00000000-0005-0000-0000-000027520000}"/>
    <cellStyle name="Note 2 3 2 9 2 3" xfId="26691" xr:uid="{00000000-0005-0000-0000-000028520000}"/>
    <cellStyle name="Note 2 3 2 9 2 4" xfId="26692" xr:uid="{00000000-0005-0000-0000-000029520000}"/>
    <cellStyle name="Note 2 3 2 9 3" xfId="14158" xr:uid="{00000000-0005-0000-0000-00002A520000}"/>
    <cellStyle name="Note 2 3 2 9 3 2" xfId="26693" xr:uid="{00000000-0005-0000-0000-00002B520000}"/>
    <cellStyle name="Note 2 3 2 9 3 3" xfId="26695" xr:uid="{00000000-0005-0000-0000-00002C520000}"/>
    <cellStyle name="Note 2 3 2 9 3 4" xfId="26697" xr:uid="{00000000-0005-0000-0000-00002D520000}"/>
    <cellStyle name="Note 2 3 2 9 4" xfId="26699" xr:uid="{00000000-0005-0000-0000-00002E520000}"/>
    <cellStyle name="Note 2 3 2 9 4 2" xfId="21385" xr:uid="{00000000-0005-0000-0000-00002F520000}"/>
    <cellStyle name="Note 2 3 2 9 4 3" xfId="26700" xr:uid="{00000000-0005-0000-0000-000030520000}"/>
    <cellStyle name="Note 2 3 2 9 5" xfId="26701" xr:uid="{00000000-0005-0000-0000-000031520000}"/>
    <cellStyle name="Note 2 3 2 9 5 2" xfId="8216" xr:uid="{00000000-0005-0000-0000-000032520000}"/>
    <cellStyle name="Note 2 3 2 9 5 3" xfId="8218" xr:uid="{00000000-0005-0000-0000-000033520000}"/>
    <cellStyle name="Note 2 3 2 9 6" xfId="26702" xr:uid="{00000000-0005-0000-0000-000034520000}"/>
    <cellStyle name="Note 2 3 2 9 7" xfId="26705" xr:uid="{00000000-0005-0000-0000-000035520000}"/>
    <cellStyle name="Note 2 3 2 9 8" xfId="26708" xr:uid="{00000000-0005-0000-0000-000036520000}"/>
    <cellStyle name="Note 2 3 20" xfId="26539" xr:uid="{00000000-0005-0000-0000-000037520000}"/>
    <cellStyle name="Note 2 3 21" xfId="26544" xr:uid="{00000000-0005-0000-0000-000038520000}"/>
    <cellStyle name="Note 2 3 22" xfId="26550" xr:uid="{00000000-0005-0000-0000-000039520000}"/>
    <cellStyle name="Note 2 3 23" xfId="26554" xr:uid="{00000000-0005-0000-0000-00003A520000}"/>
    <cellStyle name="Note 2 3 24" xfId="26559" xr:uid="{00000000-0005-0000-0000-00003B520000}"/>
    <cellStyle name="Note 2 3 25" xfId="26710" xr:uid="{00000000-0005-0000-0000-00003C520000}"/>
    <cellStyle name="Note 2 3 26" xfId="26712" xr:uid="{00000000-0005-0000-0000-00003D520000}"/>
    <cellStyle name="Note 2 3 27" xfId="26714" xr:uid="{00000000-0005-0000-0000-00003E520000}"/>
    <cellStyle name="Note 2 3 28" xfId="26716" xr:uid="{00000000-0005-0000-0000-00003F520000}"/>
    <cellStyle name="Note 2 3 29" xfId="26717" xr:uid="{00000000-0005-0000-0000-000040520000}"/>
    <cellStyle name="Note 2 3 3" xfId="26718" xr:uid="{00000000-0005-0000-0000-000041520000}"/>
    <cellStyle name="Note 2 3 3 10" xfId="26719" xr:uid="{00000000-0005-0000-0000-000042520000}"/>
    <cellStyle name="Note 2 3 3 10 2" xfId="8702" xr:uid="{00000000-0005-0000-0000-000043520000}"/>
    <cellStyle name="Note 2 3 3 10 2 2" xfId="8971" xr:uid="{00000000-0005-0000-0000-000044520000}"/>
    <cellStyle name="Note 2 3 3 10 2 3" xfId="24626" xr:uid="{00000000-0005-0000-0000-000045520000}"/>
    <cellStyle name="Note 2 3 3 10 2 4" xfId="26721" xr:uid="{00000000-0005-0000-0000-000046520000}"/>
    <cellStyle name="Note 2 3 3 10 3" xfId="26722" xr:uid="{00000000-0005-0000-0000-000047520000}"/>
    <cellStyle name="Note 2 3 3 10 3 2" xfId="14223" xr:uid="{00000000-0005-0000-0000-000048520000}"/>
    <cellStyle name="Note 2 3 3 10 3 3" xfId="14226" xr:uid="{00000000-0005-0000-0000-000049520000}"/>
    <cellStyle name="Note 2 3 3 10 3 4" xfId="14228" xr:uid="{00000000-0005-0000-0000-00004A520000}"/>
    <cellStyle name="Note 2 3 3 10 4" xfId="26724" xr:uid="{00000000-0005-0000-0000-00004B520000}"/>
    <cellStyle name="Note 2 3 3 10 4 2" xfId="24628" xr:uid="{00000000-0005-0000-0000-00004C520000}"/>
    <cellStyle name="Note 2 3 3 10 4 3" xfId="26726" xr:uid="{00000000-0005-0000-0000-00004D520000}"/>
    <cellStyle name="Note 2 3 3 10 5" xfId="26727" xr:uid="{00000000-0005-0000-0000-00004E520000}"/>
    <cellStyle name="Note 2 3 3 10 5 2" xfId="24630" xr:uid="{00000000-0005-0000-0000-00004F520000}"/>
    <cellStyle name="Note 2 3 3 10 5 3" xfId="26728" xr:uid="{00000000-0005-0000-0000-000050520000}"/>
    <cellStyle name="Note 2 3 3 10 6" xfId="26729" xr:uid="{00000000-0005-0000-0000-000051520000}"/>
    <cellStyle name="Note 2 3 3 10 7" xfId="26730" xr:uid="{00000000-0005-0000-0000-000052520000}"/>
    <cellStyle name="Note 2 3 3 11" xfId="26733" xr:uid="{00000000-0005-0000-0000-000053520000}"/>
    <cellStyle name="Note 2 3 3 11 2" xfId="26737" xr:uid="{00000000-0005-0000-0000-000054520000}"/>
    <cellStyle name="Note 2 3 3 11 3" xfId="26739" xr:uid="{00000000-0005-0000-0000-000055520000}"/>
    <cellStyle name="Note 2 3 3 11 4" xfId="26741" xr:uid="{00000000-0005-0000-0000-000056520000}"/>
    <cellStyle name="Note 2 3 3 12" xfId="26743" xr:uid="{00000000-0005-0000-0000-000057520000}"/>
    <cellStyle name="Note 2 3 3 12 2" xfId="21647" xr:uid="{00000000-0005-0000-0000-000058520000}"/>
    <cellStyle name="Note 2 3 3 12 3" xfId="26747" xr:uid="{00000000-0005-0000-0000-000059520000}"/>
    <cellStyle name="Note 2 3 3 12 4" xfId="26749" xr:uid="{00000000-0005-0000-0000-00005A520000}"/>
    <cellStyle name="Note 2 3 3 13" xfId="26750" xr:uid="{00000000-0005-0000-0000-00005B520000}"/>
    <cellStyle name="Note 2 3 3 13 2" xfId="26753" xr:uid="{00000000-0005-0000-0000-00005C520000}"/>
    <cellStyle name="Note 2 3 3 13 3" xfId="26755" xr:uid="{00000000-0005-0000-0000-00005D520000}"/>
    <cellStyle name="Note 2 3 3 14" xfId="26757" xr:uid="{00000000-0005-0000-0000-00005E520000}"/>
    <cellStyle name="Note 2 3 3 14 2" xfId="26759" xr:uid="{00000000-0005-0000-0000-00005F520000}"/>
    <cellStyle name="Note 2 3 3 14 3" xfId="26760" xr:uid="{00000000-0005-0000-0000-000060520000}"/>
    <cellStyle name="Note 2 3 3 15" xfId="26761" xr:uid="{00000000-0005-0000-0000-000061520000}"/>
    <cellStyle name="Note 2 3 3 16" xfId="26763" xr:uid="{00000000-0005-0000-0000-000062520000}"/>
    <cellStyle name="Note 2 3 3 17" xfId="26764" xr:uid="{00000000-0005-0000-0000-000063520000}"/>
    <cellStyle name="Note 2 3 3 18" xfId="26765" xr:uid="{00000000-0005-0000-0000-000064520000}"/>
    <cellStyle name="Note 2 3 3 2" xfId="26766" xr:uid="{00000000-0005-0000-0000-000065520000}"/>
    <cellStyle name="Note 2 3 3 2 2" xfId="26767" xr:uid="{00000000-0005-0000-0000-000066520000}"/>
    <cellStyle name="Note 2 3 3 2 2 2" xfId="24960" xr:uid="{00000000-0005-0000-0000-000067520000}"/>
    <cellStyle name="Note 2 3 3 2 2 3" xfId="26769" xr:uid="{00000000-0005-0000-0000-000068520000}"/>
    <cellStyle name="Note 2 3 3 2 2 4" xfId="26772" xr:uid="{00000000-0005-0000-0000-000069520000}"/>
    <cellStyle name="Note 2 3 3 2 3" xfId="26775" xr:uid="{00000000-0005-0000-0000-00006A520000}"/>
    <cellStyle name="Note 2 3 3 2 3 2" xfId="380" xr:uid="{00000000-0005-0000-0000-00006B520000}"/>
    <cellStyle name="Note 2 3 3 2 3 3" xfId="387" xr:uid="{00000000-0005-0000-0000-00006C520000}"/>
    <cellStyle name="Note 2 3 3 2 3 4" xfId="26778" xr:uid="{00000000-0005-0000-0000-00006D520000}"/>
    <cellStyle name="Note 2 3 3 2 4" xfId="25207" xr:uid="{00000000-0005-0000-0000-00006E520000}"/>
    <cellStyle name="Note 2 3 3 2 4 2" xfId="26780" xr:uid="{00000000-0005-0000-0000-00006F520000}"/>
    <cellStyle name="Note 2 3 3 2 4 3" xfId="26783" xr:uid="{00000000-0005-0000-0000-000070520000}"/>
    <cellStyle name="Note 2 3 3 2 5" xfId="25211" xr:uid="{00000000-0005-0000-0000-000071520000}"/>
    <cellStyle name="Note 2 3 3 2 5 2" xfId="26786" xr:uid="{00000000-0005-0000-0000-000072520000}"/>
    <cellStyle name="Note 2 3 3 2 5 3" xfId="26789" xr:uid="{00000000-0005-0000-0000-000073520000}"/>
    <cellStyle name="Note 2 3 3 2 6" xfId="26791" xr:uid="{00000000-0005-0000-0000-000074520000}"/>
    <cellStyle name="Note 2 3 3 2 7" xfId="26793" xr:uid="{00000000-0005-0000-0000-000075520000}"/>
    <cellStyle name="Note 2 3 3 3" xfId="26794" xr:uid="{00000000-0005-0000-0000-000076520000}"/>
    <cellStyle name="Note 2 3 3 3 2" xfId="26795" xr:uid="{00000000-0005-0000-0000-000077520000}"/>
    <cellStyle name="Note 2 3 3 3 2 2" xfId="23061" xr:uid="{00000000-0005-0000-0000-000078520000}"/>
    <cellStyle name="Note 2 3 3 3 2 3" xfId="23070" xr:uid="{00000000-0005-0000-0000-000079520000}"/>
    <cellStyle name="Note 2 3 3 3 2 4" xfId="23079" xr:uid="{00000000-0005-0000-0000-00007A520000}"/>
    <cellStyle name="Note 2 3 3 3 3" xfId="26797" xr:uid="{00000000-0005-0000-0000-00007B520000}"/>
    <cellStyle name="Note 2 3 3 3 3 2" xfId="492" xr:uid="{00000000-0005-0000-0000-00007C520000}"/>
    <cellStyle name="Note 2 3 3 3 3 3" xfId="23110" xr:uid="{00000000-0005-0000-0000-00007D520000}"/>
    <cellStyle name="Note 2 3 3 3 3 4" xfId="23119" xr:uid="{00000000-0005-0000-0000-00007E520000}"/>
    <cellStyle name="Note 2 3 3 3 4" xfId="22451" xr:uid="{00000000-0005-0000-0000-00007F520000}"/>
    <cellStyle name="Note 2 3 3 3 4 2" xfId="26800" xr:uid="{00000000-0005-0000-0000-000080520000}"/>
    <cellStyle name="Note 2 3 3 3 4 3" xfId="26804" xr:uid="{00000000-0005-0000-0000-000081520000}"/>
    <cellStyle name="Note 2 3 3 3 5" xfId="22456" xr:uid="{00000000-0005-0000-0000-000082520000}"/>
    <cellStyle name="Note 2 3 3 3 5 2" xfId="26808" xr:uid="{00000000-0005-0000-0000-000083520000}"/>
    <cellStyle name="Note 2 3 3 3 5 3" xfId="26811" xr:uid="{00000000-0005-0000-0000-000084520000}"/>
    <cellStyle name="Note 2 3 3 3 6" xfId="22461" xr:uid="{00000000-0005-0000-0000-000085520000}"/>
    <cellStyle name="Note 2 3 3 3 7" xfId="26814" xr:uid="{00000000-0005-0000-0000-000086520000}"/>
    <cellStyle name="Note 2 3 3 4" xfId="981" xr:uid="{00000000-0005-0000-0000-000087520000}"/>
    <cellStyle name="Note 2 3 3 4 2" xfId="145" xr:uid="{00000000-0005-0000-0000-000088520000}"/>
    <cellStyle name="Note 2 3 3 4 2 2" xfId="466" xr:uid="{00000000-0005-0000-0000-000089520000}"/>
    <cellStyle name="Note 2 3 3 4 2 3" xfId="23329" xr:uid="{00000000-0005-0000-0000-00008A520000}"/>
    <cellStyle name="Note 2 3 3 4 2 4" xfId="23340" xr:uid="{00000000-0005-0000-0000-00008B520000}"/>
    <cellStyle name="Note 2 3 3 4 3" xfId="26815" xr:uid="{00000000-0005-0000-0000-00008C520000}"/>
    <cellStyle name="Note 2 3 3 4 3 2" xfId="79" xr:uid="{00000000-0005-0000-0000-00008D520000}"/>
    <cellStyle name="Note 2 3 3 4 3 3" xfId="23381" xr:uid="{00000000-0005-0000-0000-00008E520000}"/>
    <cellStyle name="Note 2 3 3 4 3 4" xfId="23391" xr:uid="{00000000-0005-0000-0000-00008F520000}"/>
    <cellStyle name="Note 2 3 3 4 4" xfId="22467" xr:uid="{00000000-0005-0000-0000-000090520000}"/>
    <cellStyle name="Note 2 3 3 4 4 2" xfId="26817" xr:uid="{00000000-0005-0000-0000-000091520000}"/>
    <cellStyle name="Note 2 3 3 4 4 3" xfId="26820" xr:uid="{00000000-0005-0000-0000-000092520000}"/>
    <cellStyle name="Note 2 3 3 4 5" xfId="22470" xr:uid="{00000000-0005-0000-0000-000093520000}"/>
    <cellStyle name="Note 2 3 3 4 5 2" xfId="26823" xr:uid="{00000000-0005-0000-0000-000094520000}"/>
    <cellStyle name="Note 2 3 3 4 5 3" xfId="26826" xr:uid="{00000000-0005-0000-0000-000095520000}"/>
    <cellStyle name="Note 2 3 3 4 6" xfId="22472" xr:uid="{00000000-0005-0000-0000-000096520000}"/>
    <cellStyle name="Note 2 3 3 4 7" xfId="26829" xr:uid="{00000000-0005-0000-0000-000097520000}"/>
    <cellStyle name="Note 2 3 3 5" xfId="988" xr:uid="{00000000-0005-0000-0000-000098520000}"/>
    <cellStyle name="Note 2 3 3 5 2" xfId="26830" xr:uid="{00000000-0005-0000-0000-000099520000}"/>
    <cellStyle name="Note 2 3 3 5 2 2" xfId="26831" xr:uid="{00000000-0005-0000-0000-00009A520000}"/>
    <cellStyle name="Note 2 3 3 5 2 3" xfId="26833" xr:uid="{00000000-0005-0000-0000-00009B520000}"/>
    <cellStyle name="Note 2 3 3 5 2 4" xfId="26835" xr:uid="{00000000-0005-0000-0000-00009C520000}"/>
    <cellStyle name="Note 2 3 3 5 3" xfId="26838" xr:uid="{00000000-0005-0000-0000-00009D520000}"/>
    <cellStyle name="Note 2 3 3 5 3 2" xfId="792" xr:uid="{00000000-0005-0000-0000-00009E520000}"/>
    <cellStyle name="Note 2 3 3 5 3 3" xfId="26841" xr:uid="{00000000-0005-0000-0000-00009F520000}"/>
    <cellStyle name="Note 2 3 3 5 3 4" xfId="26844" xr:uid="{00000000-0005-0000-0000-0000A0520000}"/>
    <cellStyle name="Note 2 3 3 5 4" xfId="22477" xr:uid="{00000000-0005-0000-0000-0000A1520000}"/>
    <cellStyle name="Note 2 3 3 5 4 2" xfId="26847" xr:uid="{00000000-0005-0000-0000-0000A2520000}"/>
    <cellStyle name="Note 2 3 3 5 4 3" xfId="26850" xr:uid="{00000000-0005-0000-0000-0000A3520000}"/>
    <cellStyle name="Note 2 3 3 5 5" xfId="22480" xr:uid="{00000000-0005-0000-0000-0000A4520000}"/>
    <cellStyle name="Note 2 3 3 5 5 2" xfId="2258" xr:uid="{00000000-0005-0000-0000-0000A5520000}"/>
    <cellStyle name="Note 2 3 3 5 5 3" xfId="2262" xr:uid="{00000000-0005-0000-0000-0000A6520000}"/>
    <cellStyle name="Note 2 3 3 5 6" xfId="26852" xr:uid="{00000000-0005-0000-0000-0000A7520000}"/>
    <cellStyle name="Note 2 3 3 5 7" xfId="26854" xr:uid="{00000000-0005-0000-0000-0000A8520000}"/>
    <cellStyle name="Note 2 3 3 6" xfId="21798" xr:uid="{00000000-0005-0000-0000-0000A9520000}"/>
    <cellStyle name="Note 2 3 3 6 2" xfId="26856" xr:uid="{00000000-0005-0000-0000-0000AA520000}"/>
    <cellStyle name="Note 2 3 3 6 2 2" xfId="26857" xr:uid="{00000000-0005-0000-0000-0000AB520000}"/>
    <cellStyle name="Note 2 3 3 6 2 3" xfId="26859" xr:uid="{00000000-0005-0000-0000-0000AC520000}"/>
    <cellStyle name="Note 2 3 3 6 2 4" xfId="26861" xr:uid="{00000000-0005-0000-0000-0000AD520000}"/>
    <cellStyle name="Note 2 3 3 6 3" xfId="1040" xr:uid="{00000000-0005-0000-0000-0000AE520000}"/>
    <cellStyle name="Note 2 3 3 6 3 2" xfId="962" xr:uid="{00000000-0005-0000-0000-0000AF520000}"/>
    <cellStyle name="Note 2 3 3 6 3 3" xfId="969" xr:uid="{00000000-0005-0000-0000-0000B0520000}"/>
    <cellStyle name="Note 2 3 3 6 3 4" xfId="26865" xr:uid="{00000000-0005-0000-0000-0000B1520000}"/>
    <cellStyle name="Note 2 3 3 6 4" xfId="1053" xr:uid="{00000000-0005-0000-0000-0000B2520000}"/>
    <cellStyle name="Note 2 3 3 6 4 2" xfId="26868" xr:uid="{00000000-0005-0000-0000-0000B3520000}"/>
    <cellStyle name="Note 2 3 3 6 4 3" xfId="26871" xr:uid="{00000000-0005-0000-0000-0000B4520000}"/>
    <cellStyle name="Note 2 3 3 6 5" xfId="1587" xr:uid="{00000000-0005-0000-0000-0000B5520000}"/>
    <cellStyle name="Note 2 3 3 6 5 2" xfId="26874" xr:uid="{00000000-0005-0000-0000-0000B6520000}"/>
    <cellStyle name="Note 2 3 3 6 5 3" xfId="26877" xr:uid="{00000000-0005-0000-0000-0000B7520000}"/>
    <cellStyle name="Note 2 3 3 6 6" xfId="1596" xr:uid="{00000000-0005-0000-0000-0000B8520000}"/>
    <cellStyle name="Note 2 3 3 6 7" xfId="1600" xr:uid="{00000000-0005-0000-0000-0000B9520000}"/>
    <cellStyle name="Note 2 3 3 7" xfId="9040" xr:uid="{00000000-0005-0000-0000-0000BA520000}"/>
    <cellStyle name="Note 2 3 3 7 2" xfId="26879" xr:uid="{00000000-0005-0000-0000-0000BB520000}"/>
    <cellStyle name="Note 2 3 3 7 2 2" xfId="26880" xr:uid="{00000000-0005-0000-0000-0000BC520000}"/>
    <cellStyle name="Note 2 3 3 7 2 3" xfId="26882" xr:uid="{00000000-0005-0000-0000-0000BD520000}"/>
    <cellStyle name="Note 2 3 3 7 2 4" xfId="26884" xr:uid="{00000000-0005-0000-0000-0000BE520000}"/>
    <cellStyle name="Note 2 3 3 7 3" xfId="26886" xr:uid="{00000000-0005-0000-0000-0000BF520000}"/>
    <cellStyle name="Note 2 3 3 7 3 2" xfId="264" xr:uid="{00000000-0005-0000-0000-0000C0520000}"/>
    <cellStyle name="Note 2 3 3 7 3 3" xfId="273" xr:uid="{00000000-0005-0000-0000-0000C1520000}"/>
    <cellStyle name="Note 2 3 3 7 3 4" xfId="26887" xr:uid="{00000000-0005-0000-0000-0000C2520000}"/>
    <cellStyle name="Note 2 3 3 7 4" xfId="26889" xr:uid="{00000000-0005-0000-0000-0000C3520000}"/>
    <cellStyle name="Note 2 3 3 7 4 2" xfId="26891" xr:uid="{00000000-0005-0000-0000-0000C4520000}"/>
    <cellStyle name="Note 2 3 3 7 4 3" xfId="26893" xr:uid="{00000000-0005-0000-0000-0000C5520000}"/>
    <cellStyle name="Note 2 3 3 7 5" xfId="26895" xr:uid="{00000000-0005-0000-0000-0000C6520000}"/>
    <cellStyle name="Note 2 3 3 7 5 2" xfId="26896" xr:uid="{00000000-0005-0000-0000-0000C7520000}"/>
    <cellStyle name="Note 2 3 3 7 5 3" xfId="26898" xr:uid="{00000000-0005-0000-0000-0000C8520000}"/>
    <cellStyle name="Note 2 3 3 7 6" xfId="26900" xr:uid="{00000000-0005-0000-0000-0000C9520000}"/>
    <cellStyle name="Note 2 3 3 7 7" xfId="26903" xr:uid="{00000000-0005-0000-0000-0000CA520000}"/>
    <cellStyle name="Note 2 3 3 8" xfId="9044" xr:uid="{00000000-0005-0000-0000-0000CB520000}"/>
    <cellStyle name="Note 2 3 3 8 2" xfId="26906" xr:uid="{00000000-0005-0000-0000-0000CC520000}"/>
    <cellStyle name="Note 2 3 3 8 2 2" xfId="26907" xr:uid="{00000000-0005-0000-0000-0000CD520000}"/>
    <cellStyle name="Note 2 3 3 8 2 3" xfId="26908" xr:uid="{00000000-0005-0000-0000-0000CE520000}"/>
    <cellStyle name="Note 2 3 3 8 2 4" xfId="14552" xr:uid="{00000000-0005-0000-0000-0000CF520000}"/>
    <cellStyle name="Note 2 3 3 8 3" xfId="1609" xr:uid="{00000000-0005-0000-0000-0000D0520000}"/>
    <cellStyle name="Note 2 3 3 8 3 2" xfId="1614" xr:uid="{00000000-0005-0000-0000-0000D1520000}"/>
    <cellStyle name="Note 2 3 3 8 3 3" xfId="26909" xr:uid="{00000000-0005-0000-0000-0000D2520000}"/>
    <cellStyle name="Note 2 3 3 8 3 4" xfId="14594" xr:uid="{00000000-0005-0000-0000-0000D3520000}"/>
    <cellStyle name="Note 2 3 3 8 4" xfId="1622" xr:uid="{00000000-0005-0000-0000-0000D4520000}"/>
    <cellStyle name="Note 2 3 3 8 4 2" xfId="26911" xr:uid="{00000000-0005-0000-0000-0000D5520000}"/>
    <cellStyle name="Note 2 3 3 8 4 3" xfId="26912" xr:uid="{00000000-0005-0000-0000-0000D6520000}"/>
    <cellStyle name="Note 2 3 3 8 5" xfId="26913" xr:uid="{00000000-0005-0000-0000-0000D7520000}"/>
    <cellStyle name="Note 2 3 3 8 5 2" xfId="26914" xr:uid="{00000000-0005-0000-0000-0000D8520000}"/>
    <cellStyle name="Note 2 3 3 8 5 3" xfId="26915" xr:uid="{00000000-0005-0000-0000-0000D9520000}"/>
    <cellStyle name="Note 2 3 3 8 6" xfId="26916" xr:uid="{00000000-0005-0000-0000-0000DA520000}"/>
    <cellStyle name="Note 2 3 3 8 7" xfId="26919" xr:uid="{00000000-0005-0000-0000-0000DB520000}"/>
    <cellStyle name="Note 2 3 3 9" xfId="9048" xr:uid="{00000000-0005-0000-0000-0000DC520000}"/>
    <cellStyle name="Note 2 3 3 9 2" xfId="26923" xr:uid="{00000000-0005-0000-0000-0000DD520000}"/>
    <cellStyle name="Note 2 3 3 9 2 2" xfId="26924" xr:uid="{00000000-0005-0000-0000-0000DE520000}"/>
    <cellStyle name="Note 2 3 3 9 2 3" xfId="26925" xr:uid="{00000000-0005-0000-0000-0000DF520000}"/>
    <cellStyle name="Note 2 3 3 9 2 4" xfId="14832" xr:uid="{00000000-0005-0000-0000-0000E0520000}"/>
    <cellStyle name="Note 2 3 3 9 3" xfId="26926" xr:uid="{00000000-0005-0000-0000-0000E1520000}"/>
    <cellStyle name="Note 2 3 3 9 3 2" xfId="26928" xr:uid="{00000000-0005-0000-0000-0000E2520000}"/>
    <cellStyle name="Note 2 3 3 9 3 3" xfId="26929" xr:uid="{00000000-0005-0000-0000-0000E3520000}"/>
    <cellStyle name="Note 2 3 3 9 3 4" xfId="14871" xr:uid="{00000000-0005-0000-0000-0000E4520000}"/>
    <cellStyle name="Note 2 3 3 9 4" xfId="15835" xr:uid="{00000000-0005-0000-0000-0000E5520000}"/>
    <cellStyle name="Note 2 3 3 9 4 2" xfId="15838" xr:uid="{00000000-0005-0000-0000-0000E6520000}"/>
    <cellStyle name="Note 2 3 3 9 4 3" xfId="15840" xr:uid="{00000000-0005-0000-0000-0000E7520000}"/>
    <cellStyle name="Note 2 3 3 9 5" xfId="15842" xr:uid="{00000000-0005-0000-0000-0000E8520000}"/>
    <cellStyle name="Note 2 3 3 9 5 2" xfId="15844" xr:uid="{00000000-0005-0000-0000-0000E9520000}"/>
    <cellStyle name="Note 2 3 3 9 5 3" xfId="15846" xr:uid="{00000000-0005-0000-0000-0000EA520000}"/>
    <cellStyle name="Note 2 3 3 9 6" xfId="15848" xr:uid="{00000000-0005-0000-0000-0000EB520000}"/>
    <cellStyle name="Note 2 3 3 9 7" xfId="15857" xr:uid="{00000000-0005-0000-0000-0000EC520000}"/>
    <cellStyle name="Note 2 3 30" xfId="26711" xr:uid="{00000000-0005-0000-0000-0000ED520000}"/>
    <cellStyle name="Note 2 3 31" xfId="26713" xr:uid="{00000000-0005-0000-0000-0000EE520000}"/>
    <cellStyle name="Note 2 3 32" xfId="26715" xr:uid="{00000000-0005-0000-0000-0000EF520000}"/>
    <cellStyle name="Note 2 3 4" xfId="26930" xr:uid="{00000000-0005-0000-0000-0000F0520000}"/>
    <cellStyle name="Note 2 3 4 2" xfId="14215" xr:uid="{00000000-0005-0000-0000-0000F1520000}"/>
    <cellStyle name="Note 2 3 4 2 2" xfId="26932" xr:uid="{00000000-0005-0000-0000-0000F2520000}"/>
    <cellStyle name="Note 2 3 4 2 3" xfId="26934" xr:uid="{00000000-0005-0000-0000-0000F3520000}"/>
    <cellStyle name="Note 2 3 4 2 4" xfId="25229" xr:uid="{00000000-0005-0000-0000-0000F4520000}"/>
    <cellStyle name="Note 2 3 4 3" xfId="26936" xr:uid="{00000000-0005-0000-0000-0000F5520000}"/>
    <cellStyle name="Note 2 3 4 3 2" xfId="26937" xr:uid="{00000000-0005-0000-0000-0000F6520000}"/>
    <cellStyle name="Note 2 3 4 3 3" xfId="26939" xr:uid="{00000000-0005-0000-0000-0000F7520000}"/>
    <cellStyle name="Note 2 3 4 3 4" xfId="25235" xr:uid="{00000000-0005-0000-0000-0000F8520000}"/>
    <cellStyle name="Note 2 3 4 4" xfId="26941" xr:uid="{00000000-0005-0000-0000-0000F9520000}"/>
    <cellStyle name="Note 2 3 4 4 2" xfId="26942" xr:uid="{00000000-0005-0000-0000-0000FA520000}"/>
    <cellStyle name="Note 2 3 4 4 3" xfId="26943" xr:uid="{00000000-0005-0000-0000-0000FB520000}"/>
    <cellStyle name="Note 2 3 4 5" xfId="21802" xr:uid="{00000000-0005-0000-0000-0000FC520000}"/>
    <cellStyle name="Note 2 3 4 5 2" xfId="26944" xr:uid="{00000000-0005-0000-0000-0000FD520000}"/>
    <cellStyle name="Note 2 3 4 5 3" xfId="26945" xr:uid="{00000000-0005-0000-0000-0000FE520000}"/>
    <cellStyle name="Note 2 3 4 6" xfId="21804" xr:uid="{00000000-0005-0000-0000-0000FF520000}"/>
    <cellStyle name="Note 2 3 4 7" xfId="9053" xr:uid="{00000000-0005-0000-0000-000000530000}"/>
    <cellStyle name="Note 2 3 4 8" xfId="9057" xr:uid="{00000000-0005-0000-0000-000001530000}"/>
    <cellStyle name="Note 2 3 5" xfId="26946" xr:uid="{00000000-0005-0000-0000-000002530000}"/>
    <cellStyle name="Note 2 3 5 2" xfId="26948" xr:uid="{00000000-0005-0000-0000-000003530000}"/>
    <cellStyle name="Note 2 3 5 2 2" xfId="26949" xr:uid="{00000000-0005-0000-0000-000004530000}"/>
    <cellStyle name="Note 2 3 5 2 3" xfId="26950" xr:uid="{00000000-0005-0000-0000-000005530000}"/>
    <cellStyle name="Note 2 3 5 2 4" xfId="25249" xr:uid="{00000000-0005-0000-0000-000006530000}"/>
    <cellStyle name="Note 2 3 5 3" xfId="26951" xr:uid="{00000000-0005-0000-0000-000007530000}"/>
    <cellStyle name="Note 2 3 5 3 2" xfId="26952" xr:uid="{00000000-0005-0000-0000-000008530000}"/>
    <cellStyle name="Note 2 3 5 3 3" xfId="26953" xr:uid="{00000000-0005-0000-0000-000009530000}"/>
    <cellStyle name="Note 2 3 5 3 4" xfId="25253" xr:uid="{00000000-0005-0000-0000-00000A530000}"/>
    <cellStyle name="Note 2 3 5 4" xfId="26954" xr:uid="{00000000-0005-0000-0000-00000B530000}"/>
    <cellStyle name="Note 2 3 5 4 2" xfId="26955" xr:uid="{00000000-0005-0000-0000-00000C530000}"/>
    <cellStyle name="Note 2 3 5 4 3" xfId="26956" xr:uid="{00000000-0005-0000-0000-00000D530000}"/>
    <cellStyle name="Note 2 3 5 5" xfId="21808" xr:uid="{00000000-0005-0000-0000-00000E530000}"/>
    <cellStyle name="Note 2 3 5 5 2" xfId="26957" xr:uid="{00000000-0005-0000-0000-00000F530000}"/>
    <cellStyle name="Note 2 3 5 5 3" xfId="26958" xr:uid="{00000000-0005-0000-0000-000010530000}"/>
    <cellStyle name="Note 2 3 5 6" xfId="21810" xr:uid="{00000000-0005-0000-0000-000011530000}"/>
    <cellStyle name="Note 2 3 5 7" xfId="9067" xr:uid="{00000000-0005-0000-0000-000012530000}"/>
    <cellStyle name="Note 2 3 5 8" xfId="9070" xr:uid="{00000000-0005-0000-0000-000013530000}"/>
    <cellStyle name="Note 2 3 6" xfId="26959" xr:uid="{00000000-0005-0000-0000-000014530000}"/>
    <cellStyle name="Note 2 3 6 2" xfId="26961" xr:uid="{00000000-0005-0000-0000-000015530000}"/>
    <cellStyle name="Note 2 3 6 2 2" xfId="14708" xr:uid="{00000000-0005-0000-0000-000016530000}"/>
    <cellStyle name="Note 2 3 6 2 3" xfId="24373" xr:uid="{00000000-0005-0000-0000-000017530000}"/>
    <cellStyle name="Note 2 3 6 2 4" xfId="24380" xr:uid="{00000000-0005-0000-0000-000018530000}"/>
    <cellStyle name="Note 2 3 6 3" xfId="26963" xr:uid="{00000000-0005-0000-0000-000019530000}"/>
    <cellStyle name="Note 2 3 6 3 2" xfId="26965" xr:uid="{00000000-0005-0000-0000-00001A530000}"/>
    <cellStyle name="Note 2 3 6 3 3" xfId="26968" xr:uid="{00000000-0005-0000-0000-00001B530000}"/>
    <cellStyle name="Note 2 3 6 3 4" xfId="25263" xr:uid="{00000000-0005-0000-0000-00001C530000}"/>
    <cellStyle name="Note 2 3 6 4" xfId="26971" xr:uid="{00000000-0005-0000-0000-00001D530000}"/>
    <cellStyle name="Note 2 3 6 4 2" xfId="19033" xr:uid="{00000000-0005-0000-0000-00001E530000}"/>
    <cellStyle name="Note 2 3 6 4 3" xfId="26973" xr:uid="{00000000-0005-0000-0000-00001F530000}"/>
    <cellStyle name="Note 2 3 6 5" xfId="26975" xr:uid="{00000000-0005-0000-0000-000020530000}"/>
    <cellStyle name="Note 2 3 6 5 2" xfId="26977" xr:uid="{00000000-0005-0000-0000-000021530000}"/>
    <cellStyle name="Note 2 3 6 5 3" xfId="26979" xr:uid="{00000000-0005-0000-0000-000022530000}"/>
    <cellStyle name="Note 2 3 6 6" xfId="26981" xr:uid="{00000000-0005-0000-0000-000023530000}"/>
    <cellStyle name="Note 2 3 6 7" xfId="9077" xr:uid="{00000000-0005-0000-0000-000024530000}"/>
    <cellStyle name="Note 2 3 6 8" xfId="9082" xr:uid="{00000000-0005-0000-0000-000025530000}"/>
    <cellStyle name="Note 2 3 7" xfId="26983" xr:uid="{00000000-0005-0000-0000-000026530000}"/>
    <cellStyle name="Note 2 3 7 2" xfId="26986" xr:uid="{00000000-0005-0000-0000-000027530000}"/>
    <cellStyle name="Note 2 3 7 2 2" xfId="15001" xr:uid="{00000000-0005-0000-0000-000028530000}"/>
    <cellStyle name="Note 2 3 7 2 3" xfId="25830" xr:uid="{00000000-0005-0000-0000-000029530000}"/>
    <cellStyle name="Note 2 3 7 2 4" xfId="25838" xr:uid="{00000000-0005-0000-0000-00002A530000}"/>
    <cellStyle name="Note 2 3 7 3" xfId="26988" xr:uid="{00000000-0005-0000-0000-00002B530000}"/>
    <cellStyle name="Note 2 3 7 3 2" xfId="26990" xr:uid="{00000000-0005-0000-0000-00002C530000}"/>
    <cellStyle name="Note 2 3 7 3 3" xfId="26991" xr:uid="{00000000-0005-0000-0000-00002D530000}"/>
    <cellStyle name="Note 2 3 7 3 4" xfId="26992" xr:uid="{00000000-0005-0000-0000-00002E530000}"/>
    <cellStyle name="Note 2 3 7 4" xfId="2086" xr:uid="{00000000-0005-0000-0000-00002F530000}"/>
    <cellStyle name="Note 2 3 7 4 2" xfId="2090" xr:uid="{00000000-0005-0000-0000-000030530000}"/>
    <cellStyle name="Note 2 3 7 4 3" xfId="100" xr:uid="{00000000-0005-0000-0000-000031530000}"/>
    <cellStyle name="Note 2 3 7 5" xfId="2102" xr:uid="{00000000-0005-0000-0000-000032530000}"/>
    <cellStyle name="Note 2 3 7 5 2" xfId="26993" xr:uid="{00000000-0005-0000-0000-000033530000}"/>
    <cellStyle name="Note 2 3 7 5 3" xfId="26994" xr:uid="{00000000-0005-0000-0000-000034530000}"/>
    <cellStyle name="Note 2 3 7 6" xfId="26995" xr:uid="{00000000-0005-0000-0000-000035530000}"/>
    <cellStyle name="Note 2 3 7 7" xfId="9089" xr:uid="{00000000-0005-0000-0000-000036530000}"/>
    <cellStyle name="Note 2 3 7 8" xfId="24657" xr:uid="{00000000-0005-0000-0000-000037530000}"/>
    <cellStyle name="Note 2 3 8" xfId="26996" xr:uid="{00000000-0005-0000-0000-000038530000}"/>
    <cellStyle name="Note 2 3 8 2" xfId="27000" xr:uid="{00000000-0005-0000-0000-000039530000}"/>
    <cellStyle name="Note 2 3 8 2 2" xfId="19382" xr:uid="{00000000-0005-0000-0000-00003A530000}"/>
    <cellStyle name="Note 2 3 8 2 3" xfId="19384" xr:uid="{00000000-0005-0000-0000-00003B530000}"/>
    <cellStyle name="Note 2 3 8 2 4" xfId="27002" xr:uid="{00000000-0005-0000-0000-00003C530000}"/>
    <cellStyle name="Note 2 3 8 3" xfId="18178" xr:uid="{00000000-0005-0000-0000-00003D530000}"/>
    <cellStyle name="Note 2 3 8 3 2" xfId="19404" xr:uid="{00000000-0005-0000-0000-00003E530000}"/>
    <cellStyle name="Note 2 3 8 3 3" xfId="19406" xr:uid="{00000000-0005-0000-0000-00003F530000}"/>
    <cellStyle name="Note 2 3 8 3 4" xfId="27003" xr:uid="{00000000-0005-0000-0000-000040530000}"/>
    <cellStyle name="Note 2 3 8 4" xfId="18181" xr:uid="{00000000-0005-0000-0000-000041530000}"/>
    <cellStyle name="Note 2 3 8 4 2" xfId="19420" xr:uid="{00000000-0005-0000-0000-000042530000}"/>
    <cellStyle name="Note 2 3 8 4 3" xfId="19422" xr:uid="{00000000-0005-0000-0000-000043530000}"/>
    <cellStyle name="Note 2 3 8 5" xfId="18184" xr:uid="{00000000-0005-0000-0000-000044530000}"/>
    <cellStyle name="Note 2 3 8 5 2" xfId="19437" xr:uid="{00000000-0005-0000-0000-000045530000}"/>
    <cellStyle name="Note 2 3 8 5 3" xfId="19439" xr:uid="{00000000-0005-0000-0000-000046530000}"/>
    <cellStyle name="Note 2 3 8 6" xfId="13040" xr:uid="{00000000-0005-0000-0000-000047530000}"/>
    <cellStyle name="Note 2 3 8 7" xfId="13043" xr:uid="{00000000-0005-0000-0000-000048530000}"/>
    <cellStyle name="Note 2 3 8 8" xfId="13046" xr:uid="{00000000-0005-0000-0000-000049530000}"/>
    <cellStyle name="Note 2 3 9" xfId="27004" xr:uid="{00000000-0005-0000-0000-00004A530000}"/>
    <cellStyle name="Note 2 3 9 2" xfId="27007" xr:uid="{00000000-0005-0000-0000-00004B530000}"/>
    <cellStyle name="Note 2 3 9 2 2" xfId="19567" xr:uid="{00000000-0005-0000-0000-00004C530000}"/>
    <cellStyle name="Note 2 3 9 2 3" xfId="27009" xr:uid="{00000000-0005-0000-0000-00004D530000}"/>
    <cellStyle name="Note 2 3 9 2 4" xfId="27010" xr:uid="{00000000-0005-0000-0000-00004E530000}"/>
    <cellStyle name="Note 2 3 9 3" xfId="18187" xr:uid="{00000000-0005-0000-0000-00004F530000}"/>
    <cellStyle name="Note 2 3 9 3 2" xfId="19588" xr:uid="{00000000-0005-0000-0000-000050530000}"/>
    <cellStyle name="Note 2 3 9 3 3" xfId="27011" xr:uid="{00000000-0005-0000-0000-000051530000}"/>
    <cellStyle name="Note 2 3 9 3 4" xfId="27012" xr:uid="{00000000-0005-0000-0000-000052530000}"/>
    <cellStyle name="Note 2 3 9 4" xfId="18190" xr:uid="{00000000-0005-0000-0000-000053530000}"/>
    <cellStyle name="Note 2 3 9 4 2" xfId="19608" xr:uid="{00000000-0005-0000-0000-000054530000}"/>
    <cellStyle name="Note 2 3 9 4 3" xfId="27013" xr:uid="{00000000-0005-0000-0000-000055530000}"/>
    <cellStyle name="Note 2 3 9 5" xfId="18192" xr:uid="{00000000-0005-0000-0000-000056530000}"/>
    <cellStyle name="Note 2 3 9 5 2" xfId="19629" xr:uid="{00000000-0005-0000-0000-000057530000}"/>
    <cellStyle name="Note 2 3 9 5 3" xfId="27014" xr:uid="{00000000-0005-0000-0000-000058530000}"/>
    <cellStyle name="Note 2 3 9 6" xfId="13050" xr:uid="{00000000-0005-0000-0000-000059530000}"/>
    <cellStyle name="Note 2 3 9 7" xfId="13053" xr:uid="{00000000-0005-0000-0000-00005A530000}"/>
    <cellStyle name="Note 2 3 9 8" xfId="13056" xr:uid="{00000000-0005-0000-0000-00005B530000}"/>
    <cellStyle name="Note 2 30" xfId="26450" xr:uid="{00000000-0005-0000-0000-00005C530000}"/>
    <cellStyle name="Note 2 30 2" xfId="26452" xr:uid="{00000000-0005-0000-0000-00005D530000}"/>
    <cellStyle name="Note 2 30 3" xfId="26455" xr:uid="{00000000-0005-0000-0000-00005E530000}"/>
    <cellStyle name="Note 2 31" xfId="26469" xr:uid="{00000000-0005-0000-0000-00005F530000}"/>
    <cellStyle name="Note 2 31 2" xfId="19309" xr:uid="{00000000-0005-0000-0000-000060530000}"/>
    <cellStyle name="Note 2 32" xfId="26471" xr:uid="{00000000-0005-0000-0000-000061530000}"/>
    <cellStyle name="Note 2 32 2" xfId="26473" xr:uid="{00000000-0005-0000-0000-000062530000}"/>
    <cellStyle name="Note 2 33" xfId="26478" xr:uid="{00000000-0005-0000-0000-000063530000}"/>
    <cellStyle name="Note 2 34" xfId="26483" xr:uid="{00000000-0005-0000-0000-000064530000}"/>
    <cellStyle name="Note 2 35" xfId="27015" xr:uid="{00000000-0005-0000-0000-000065530000}"/>
    <cellStyle name="Note 2 4" xfId="27017" xr:uid="{00000000-0005-0000-0000-000066530000}"/>
    <cellStyle name="Note 2 4 10" xfId="23327" xr:uid="{00000000-0005-0000-0000-000067530000}"/>
    <cellStyle name="Note 2 4 10 2" xfId="27019" xr:uid="{00000000-0005-0000-0000-000068530000}"/>
    <cellStyle name="Note 2 4 10 2 2" xfId="27021" xr:uid="{00000000-0005-0000-0000-000069530000}"/>
    <cellStyle name="Note 2 4 10 2 3" xfId="27022" xr:uid="{00000000-0005-0000-0000-00006A530000}"/>
    <cellStyle name="Note 2 4 10 2 4" xfId="27023" xr:uid="{00000000-0005-0000-0000-00006B530000}"/>
    <cellStyle name="Note 2 4 10 3" xfId="27025" xr:uid="{00000000-0005-0000-0000-00006C530000}"/>
    <cellStyle name="Note 2 4 10 3 2" xfId="27027" xr:uid="{00000000-0005-0000-0000-00006D530000}"/>
    <cellStyle name="Note 2 4 10 3 3" xfId="27028" xr:uid="{00000000-0005-0000-0000-00006E530000}"/>
    <cellStyle name="Note 2 4 10 3 4" xfId="27029" xr:uid="{00000000-0005-0000-0000-00006F530000}"/>
    <cellStyle name="Note 2 4 10 4" xfId="12103" xr:uid="{00000000-0005-0000-0000-000070530000}"/>
    <cellStyle name="Note 2 4 10 4 2" xfId="26407" xr:uid="{00000000-0005-0000-0000-000071530000}"/>
    <cellStyle name="Note 2 4 10 4 3" xfId="27030" xr:uid="{00000000-0005-0000-0000-000072530000}"/>
    <cellStyle name="Note 2 4 10 5" xfId="12106" xr:uid="{00000000-0005-0000-0000-000073530000}"/>
    <cellStyle name="Note 2 4 10 5 2" xfId="26413" xr:uid="{00000000-0005-0000-0000-000074530000}"/>
    <cellStyle name="Note 2 4 10 5 3" xfId="27031" xr:uid="{00000000-0005-0000-0000-000075530000}"/>
    <cellStyle name="Note 2 4 10 6" xfId="5317" xr:uid="{00000000-0005-0000-0000-000076530000}"/>
    <cellStyle name="Note 2 4 10 7" xfId="5322" xr:uid="{00000000-0005-0000-0000-000077530000}"/>
    <cellStyle name="Note 2 4 10 8" xfId="5327" xr:uid="{00000000-0005-0000-0000-000078530000}"/>
    <cellStyle name="Note 2 4 11" xfId="26190" xr:uid="{00000000-0005-0000-0000-000079530000}"/>
    <cellStyle name="Note 2 4 11 2" xfId="26193" xr:uid="{00000000-0005-0000-0000-00007A530000}"/>
    <cellStyle name="Note 2 4 11 2 2" xfId="26198" xr:uid="{00000000-0005-0000-0000-00007B530000}"/>
    <cellStyle name="Note 2 4 11 2 3" xfId="27032" xr:uid="{00000000-0005-0000-0000-00007C530000}"/>
    <cellStyle name="Note 2 4 11 2 4" xfId="27033" xr:uid="{00000000-0005-0000-0000-00007D530000}"/>
    <cellStyle name="Note 2 4 11 3" xfId="27034" xr:uid="{00000000-0005-0000-0000-00007E530000}"/>
    <cellStyle name="Note 2 4 11 3 2" xfId="27037" xr:uid="{00000000-0005-0000-0000-00007F530000}"/>
    <cellStyle name="Note 2 4 11 3 3" xfId="27038" xr:uid="{00000000-0005-0000-0000-000080530000}"/>
    <cellStyle name="Note 2 4 11 3 4" xfId="27039" xr:uid="{00000000-0005-0000-0000-000081530000}"/>
    <cellStyle name="Note 2 4 11 4" xfId="27040" xr:uid="{00000000-0005-0000-0000-000082530000}"/>
    <cellStyle name="Note 2 4 11 4 2" xfId="26431" xr:uid="{00000000-0005-0000-0000-000083530000}"/>
    <cellStyle name="Note 2 4 11 4 3" xfId="27042" xr:uid="{00000000-0005-0000-0000-000084530000}"/>
    <cellStyle name="Note 2 4 11 5" xfId="25951" xr:uid="{00000000-0005-0000-0000-000085530000}"/>
    <cellStyle name="Note 2 4 11 5 2" xfId="26433" xr:uid="{00000000-0005-0000-0000-000086530000}"/>
    <cellStyle name="Note 2 4 11 5 3" xfId="27043" xr:uid="{00000000-0005-0000-0000-000087530000}"/>
    <cellStyle name="Note 2 4 11 6" xfId="6219" xr:uid="{00000000-0005-0000-0000-000088530000}"/>
    <cellStyle name="Note 2 4 11 7" xfId="6224" xr:uid="{00000000-0005-0000-0000-000089530000}"/>
    <cellStyle name="Note 2 4 11 8" xfId="1173" xr:uid="{00000000-0005-0000-0000-00008A530000}"/>
    <cellStyle name="Note 2 4 12" xfId="26201" xr:uid="{00000000-0005-0000-0000-00008B530000}"/>
    <cellStyle name="Note 2 4 12 2" xfId="27044" xr:uid="{00000000-0005-0000-0000-00008C530000}"/>
    <cellStyle name="Note 2 4 12 2 2" xfId="27048" xr:uid="{00000000-0005-0000-0000-00008D530000}"/>
    <cellStyle name="Note 2 4 12 2 3" xfId="27050" xr:uid="{00000000-0005-0000-0000-00008E530000}"/>
    <cellStyle name="Note 2 4 12 2 4" xfId="27052" xr:uid="{00000000-0005-0000-0000-00008F530000}"/>
    <cellStyle name="Note 2 4 12 3" xfId="27053" xr:uid="{00000000-0005-0000-0000-000090530000}"/>
    <cellStyle name="Note 2 4 12 3 2" xfId="11048" xr:uid="{00000000-0005-0000-0000-000091530000}"/>
    <cellStyle name="Note 2 4 12 3 3" xfId="11065" xr:uid="{00000000-0005-0000-0000-000092530000}"/>
    <cellStyle name="Note 2 4 12 3 4" xfId="11068" xr:uid="{00000000-0005-0000-0000-000093530000}"/>
    <cellStyle name="Note 2 4 12 4" xfId="27057" xr:uid="{00000000-0005-0000-0000-000094530000}"/>
    <cellStyle name="Note 2 4 12 4 2" xfId="26441" xr:uid="{00000000-0005-0000-0000-000095530000}"/>
    <cellStyle name="Note 2 4 12 4 3" xfId="27060" xr:uid="{00000000-0005-0000-0000-000096530000}"/>
    <cellStyle name="Note 2 4 12 5" xfId="25955" xr:uid="{00000000-0005-0000-0000-000097530000}"/>
    <cellStyle name="Note 2 4 12 5 2" xfId="26444" xr:uid="{00000000-0005-0000-0000-000098530000}"/>
    <cellStyle name="Note 2 4 12 5 3" xfId="27061" xr:uid="{00000000-0005-0000-0000-000099530000}"/>
    <cellStyle name="Note 2 4 12 6" xfId="5063" xr:uid="{00000000-0005-0000-0000-00009A530000}"/>
    <cellStyle name="Note 2 4 12 7" xfId="5078" xr:uid="{00000000-0005-0000-0000-00009B530000}"/>
    <cellStyle name="Note 2 4 12 8" xfId="5095" xr:uid="{00000000-0005-0000-0000-00009C530000}"/>
    <cellStyle name="Note 2 4 13" xfId="27062" xr:uid="{00000000-0005-0000-0000-00009D530000}"/>
    <cellStyle name="Note 2 4 13 2" xfId="27065" xr:uid="{00000000-0005-0000-0000-00009E530000}"/>
    <cellStyle name="Note 2 4 13 3" xfId="27068" xr:uid="{00000000-0005-0000-0000-00009F530000}"/>
    <cellStyle name="Note 2 4 13 4" xfId="27071" xr:uid="{00000000-0005-0000-0000-0000A0530000}"/>
    <cellStyle name="Note 2 4 13 5" xfId="25960" xr:uid="{00000000-0005-0000-0000-0000A1530000}"/>
    <cellStyle name="Note 2 4 14" xfId="27073" xr:uid="{00000000-0005-0000-0000-0000A2530000}"/>
    <cellStyle name="Note 2 4 14 2" xfId="16357" xr:uid="{00000000-0005-0000-0000-0000A3530000}"/>
    <cellStyle name="Note 2 4 14 3" xfId="16364" xr:uid="{00000000-0005-0000-0000-0000A4530000}"/>
    <cellStyle name="Note 2 4 14 4" xfId="16370" xr:uid="{00000000-0005-0000-0000-0000A5530000}"/>
    <cellStyle name="Note 2 4 14 5" xfId="16376" xr:uid="{00000000-0005-0000-0000-0000A6530000}"/>
    <cellStyle name="Note 2 4 15" xfId="27076" xr:uid="{00000000-0005-0000-0000-0000A7530000}"/>
    <cellStyle name="Note 2 4 15 2" xfId="27079" xr:uid="{00000000-0005-0000-0000-0000A8530000}"/>
    <cellStyle name="Note 2 4 15 3" xfId="27080" xr:uid="{00000000-0005-0000-0000-0000A9530000}"/>
    <cellStyle name="Note 2 4 15 4" xfId="27082" xr:uid="{00000000-0005-0000-0000-0000AA530000}"/>
    <cellStyle name="Note 2 4 16" xfId="27084" xr:uid="{00000000-0005-0000-0000-0000AB530000}"/>
    <cellStyle name="Note 2 4 16 2" xfId="27087" xr:uid="{00000000-0005-0000-0000-0000AC530000}"/>
    <cellStyle name="Note 2 4 16 3" xfId="27088" xr:uid="{00000000-0005-0000-0000-0000AD530000}"/>
    <cellStyle name="Note 2 4 16 4" xfId="27090" xr:uid="{00000000-0005-0000-0000-0000AE530000}"/>
    <cellStyle name="Note 2 4 17" xfId="27092" xr:uid="{00000000-0005-0000-0000-0000AF530000}"/>
    <cellStyle name="Note 2 4 17 2" xfId="27094" xr:uid="{00000000-0005-0000-0000-0000B0530000}"/>
    <cellStyle name="Note 2 4 18" xfId="27095" xr:uid="{00000000-0005-0000-0000-0000B1530000}"/>
    <cellStyle name="Note 2 4 18 2" xfId="25109" xr:uid="{00000000-0005-0000-0000-0000B2530000}"/>
    <cellStyle name="Note 2 4 19" xfId="27097" xr:uid="{00000000-0005-0000-0000-0000B3530000}"/>
    <cellStyle name="Note 2 4 19 2" xfId="2418" xr:uid="{00000000-0005-0000-0000-0000B4530000}"/>
    <cellStyle name="Note 2 4 2" xfId="27099" xr:uid="{00000000-0005-0000-0000-0000B5530000}"/>
    <cellStyle name="Note 2 4 2 10" xfId="27101" xr:uid="{00000000-0005-0000-0000-0000B6530000}"/>
    <cellStyle name="Note 2 4 2 10 2" xfId="1788" xr:uid="{00000000-0005-0000-0000-0000B7530000}"/>
    <cellStyle name="Note 2 4 2 10 2 2" xfId="19778" xr:uid="{00000000-0005-0000-0000-0000B8530000}"/>
    <cellStyle name="Note 2 4 2 10 2 3" xfId="19780" xr:uid="{00000000-0005-0000-0000-0000B9530000}"/>
    <cellStyle name="Note 2 4 2 10 2 4" xfId="19782" xr:uid="{00000000-0005-0000-0000-0000BA530000}"/>
    <cellStyle name="Note 2 4 2 10 3" xfId="1791" xr:uid="{00000000-0005-0000-0000-0000BB530000}"/>
    <cellStyle name="Note 2 4 2 10 3 2" xfId="19785" xr:uid="{00000000-0005-0000-0000-0000BC530000}"/>
    <cellStyle name="Note 2 4 2 10 3 3" xfId="19787" xr:uid="{00000000-0005-0000-0000-0000BD530000}"/>
    <cellStyle name="Note 2 4 2 10 3 4" xfId="27104" xr:uid="{00000000-0005-0000-0000-0000BE530000}"/>
    <cellStyle name="Note 2 4 2 10 4" xfId="1794" xr:uid="{00000000-0005-0000-0000-0000BF530000}"/>
    <cellStyle name="Note 2 4 2 10 4 2" xfId="19789" xr:uid="{00000000-0005-0000-0000-0000C0530000}"/>
    <cellStyle name="Note 2 4 2 10 4 3" xfId="19791" xr:uid="{00000000-0005-0000-0000-0000C1530000}"/>
    <cellStyle name="Note 2 4 2 10 5" xfId="1797" xr:uid="{00000000-0005-0000-0000-0000C2530000}"/>
    <cellStyle name="Note 2 4 2 10 5 2" xfId="1800" xr:uid="{00000000-0005-0000-0000-0000C3530000}"/>
    <cellStyle name="Note 2 4 2 10 5 3" xfId="1823" xr:uid="{00000000-0005-0000-0000-0000C4530000}"/>
    <cellStyle name="Note 2 4 2 10 6" xfId="1825" xr:uid="{00000000-0005-0000-0000-0000C5530000}"/>
    <cellStyle name="Note 2 4 2 10 7" xfId="1828" xr:uid="{00000000-0005-0000-0000-0000C6530000}"/>
    <cellStyle name="Note 2 4 2 10 8" xfId="1831" xr:uid="{00000000-0005-0000-0000-0000C7530000}"/>
    <cellStyle name="Note 2 4 2 11" xfId="27105" xr:uid="{00000000-0005-0000-0000-0000C8530000}"/>
    <cellStyle name="Note 2 4 2 11 2" xfId="1836" xr:uid="{00000000-0005-0000-0000-0000C9530000}"/>
    <cellStyle name="Note 2 4 2 11 3" xfId="1838" xr:uid="{00000000-0005-0000-0000-0000CA530000}"/>
    <cellStyle name="Note 2 4 2 11 4" xfId="27107" xr:uid="{00000000-0005-0000-0000-0000CB530000}"/>
    <cellStyle name="Note 2 4 2 11 5" xfId="27108" xr:uid="{00000000-0005-0000-0000-0000CC530000}"/>
    <cellStyle name="Note 2 4 2 12" xfId="27109" xr:uid="{00000000-0005-0000-0000-0000CD530000}"/>
    <cellStyle name="Note 2 4 2 12 2" xfId="1841" xr:uid="{00000000-0005-0000-0000-0000CE530000}"/>
    <cellStyle name="Note 2 4 2 12 3" xfId="1843" xr:uid="{00000000-0005-0000-0000-0000CF530000}"/>
    <cellStyle name="Note 2 4 2 12 4" xfId="27111" xr:uid="{00000000-0005-0000-0000-0000D0530000}"/>
    <cellStyle name="Note 2 4 2 12 5" xfId="27112" xr:uid="{00000000-0005-0000-0000-0000D1530000}"/>
    <cellStyle name="Note 2 4 2 13" xfId="27113" xr:uid="{00000000-0005-0000-0000-0000D2530000}"/>
    <cellStyle name="Note 2 4 2 13 2" xfId="1847" xr:uid="{00000000-0005-0000-0000-0000D3530000}"/>
    <cellStyle name="Note 2 4 2 13 3" xfId="1849" xr:uid="{00000000-0005-0000-0000-0000D4530000}"/>
    <cellStyle name="Note 2 4 2 13 4" xfId="27114" xr:uid="{00000000-0005-0000-0000-0000D5530000}"/>
    <cellStyle name="Note 2 4 2 14" xfId="27115" xr:uid="{00000000-0005-0000-0000-0000D6530000}"/>
    <cellStyle name="Note 2 4 2 14 2" xfId="1851" xr:uid="{00000000-0005-0000-0000-0000D7530000}"/>
    <cellStyle name="Note 2 4 2 14 3" xfId="1854" xr:uid="{00000000-0005-0000-0000-0000D8530000}"/>
    <cellStyle name="Note 2 4 2 14 4" xfId="27116" xr:uid="{00000000-0005-0000-0000-0000D9530000}"/>
    <cellStyle name="Note 2 4 2 15" xfId="27117" xr:uid="{00000000-0005-0000-0000-0000DA530000}"/>
    <cellStyle name="Note 2 4 2 15 2" xfId="27119" xr:uid="{00000000-0005-0000-0000-0000DB530000}"/>
    <cellStyle name="Note 2 4 2 16" xfId="27120" xr:uid="{00000000-0005-0000-0000-0000DC530000}"/>
    <cellStyle name="Note 2 4 2 16 2" xfId="27123" xr:uid="{00000000-0005-0000-0000-0000DD530000}"/>
    <cellStyle name="Note 2 4 2 17" xfId="27124" xr:uid="{00000000-0005-0000-0000-0000DE530000}"/>
    <cellStyle name="Note 2 4 2 17 2" xfId="1427" xr:uid="{00000000-0005-0000-0000-0000DF530000}"/>
    <cellStyle name="Note 2 4 2 18" xfId="27127" xr:uid="{00000000-0005-0000-0000-0000E0530000}"/>
    <cellStyle name="Note 2 4 2 19" xfId="27130" xr:uid="{00000000-0005-0000-0000-0000E1530000}"/>
    <cellStyle name="Note 2 4 2 2" xfId="27132" xr:uid="{00000000-0005-0000-0000-0000E2530000}"/>
    <cellStyle name="Note 2 4 2 2 2" xfId="27135" xr:uid="{00000000-0005-0000-0000-0000E3530000}"/>
    <cellStyle name="Note 2 4 2 2 2 2" xfId="27137" xr:uid="{00000000-0005-0000-0000-0000E4530000}"/>
    <cellStyle name="Note 2 4 2 2 2 3" xfId="27139" xr:uid="{00000000-0005-0000-0000-0000E5530000}"/>
    <cellStyle name="Note 2 4 2 2 2 4" xfId="27140" xr:uid="{00000000-0005-0000-0000-0000E6530000}"/>
    <cellStyle name="Note 2 4 2 2 3" xfId="27141" xr:uid="{00000000-0005-0000-0000-0000E7530000}"/>
    <cellStyle name="Note 2 4 2 2 3 2" xfId="27143" xr:uid="{00000000-0005-0000-0000-0000E8530000}"/>
    <cellStyle name="Note 2 4 2 2 3 3" xfId="27144" xr:uid="{00000000-0005-0000-0000-0000E9530000}"/>
    <cellStyle name="Note 2 4 2 2 3 4" xfId="27145" xr:uid="{00000000-0005-0000-0000-0000EA530000}"/>
    <cellStyle name="Note 2 4 2 2 4" xfId="14403" xr:uid="{00000000-0005-0000-0000-0000EB530000}"/>
    <cellStyle name="Note 2 4 2 2 4 2" xfId="14406" xr:uid="{00000000-0005-0000-0000-0000EC530000}"/>
    <cellStyle name="Note 2 4 2 2 4 3" xfId="14413" xr:uid="{00000000-0005-0000-0000-0000ED530000}"/>
    <cellStyle name="Note 2 4 2 2 5" xfId="9303" xr:uid="{00000000-0005-0000-0000-0000EE530000}"/>
    <cellStyle name="Note 2 4 2 2 5 2" xfId="9306" xr:uid="{00000000-0005-0000-0000-0000EF530000}"/>
    <cellStyle name="Note 2 4 2 2 5 3" xfId="9314" xr:uid="{00000000-0005-0000-0000-0000F0530000}"/>
    <cellStyle name="Note 2 4 2 2 6" xfId="9335" xr:uid="{00000000-0005-0000-0000-0000F1530000}"/>
    <cellStyle name="Note 2 4 2 2 7" xfId="9362" xr:uid="{00000000-0005-0000-0000-0000F2530000}"/>
    <cellStyle name="Note 2 4 2 2 8" xfId="9386" xr:uid="{00000000-0005-0000-0000-0000F3530000}"/>
    <cellStyle name="Note 2 4 2 20" xfId="27118" xr:uid="{00000000-0005-0000-0000-0000F4530000}"/>
    <cellStyle name="Note 2 4 2 21" xfId="27121" xr:uid="{00000000-0005-0000-0000-0000F5530000}"/>
    <cellStyle name="Note 2 4 2 22" xfId="27125" xr:uid="{00000000-0005-0000-0000-0000F6530000}"/>
    <cellStyle name="Note 2 4 2 23" xfId="27128" xr:uid="{00000000-0005-0000-0000-0000F7530000}"/>
    <cellStyle name="Note 2 4 2 24" xfId="27131" xr:uid="{00000000-0005-0000-0000-0000F8530000}"/>
    <cellStyle name="Note 2 4 2 25" xfId="27146" xr:uid="{00000000-0005-0000-0000-0000F9530000}"/>
    <cellStyle name="Note 2 4 2 26" xfId="27148" xr:uid="{00000000-0005-0000-0000-0000FA530000}"/>
    <cellStyle name="Note 2 4 2 27" xfId="27150" xr:uid="{00000000-0005-0000-0000-0000FB530000}"/>
    <cellStyle name="Note 2 4 2 28" xfId="22657" xr:uid="{00000000-0005-0000-0000-0000FC530000}"/>
    <cellStyle name="Note 2 4 2 29" xfId="9896" xr:uid="{00000000-0005-0000-0000-0000FD530000}"/>
    <cellStyle name="Note 2 4 2 3" xfId="27152" xr:uid="{00000000-0005-0000-0000-0000FE530000}"/>
    <cellStyle name="Note 2 4 2 3 2" xfId="27154" xr:uid="{00000000-0005-0000-0000-0000FF530000}"/>
    <cellStyle name="Note 2 4 2 3 2 2" xfId="27156" xr:uid="{00000000-0005-0000-0000-000000540000}"/>
    <cellStyle name="Note 2 4 2 3 2 3" xfId="27157" xr:uid="{00000000-0005-0000-0000-000001540000}"/>
    <cellStyle name="Note 2 4 2 3 2 4" xfId="27158" xr:uid="{00000000-0005-0000-0000-000002540000}"/>
    <cellStyle name="Note 2 4 2 3 3" xfId="27159" xr:uid="{00000000-0005-0000-0000-000003540000}"/>
    <cellStyle name="Note 2 4 2 3 3 2" xfId="27161" xr:uid="{00000000-0005-0000-0000-000004540000}"/>
    <cellStyle name="Note 2 4 2 3 3 3" xfId="27162" xr:uid="{00000000-0005-0000-0000-000005540000}"/>
    <cellStyle name="Note 2 4 2 3 3 4" xfId="27163" xr:uid="{00000000-0005-0000-0000-000006540000}"/>
    <cellStyle name="Note 2 4 2 3 4" xfId="22643" xr:uid="{00000000-0005-0000-0000-000007540000}"/>
    <cellStyle name="Note 2 4 2 3 4 2" xfId="27164" xr:uid="{00000000-0005-0000-0000-000008540000}"/>
    <cellStyle name="Note 2 4 2 3 4 3" xfId="27165" xr:uid="{00000000-0005-0000-0000-000009540000}"/>
    <cellStyle name="Note 2 4 2 3 5" xfId="9618" xr:uid="{00000000-0005-0000-0000-00000A540000}"/>
    <cellStyle name="Note 2 4 2 3 5 2" xfId="9620" xr:uid="{00000000-0005-0000-0000-00000B540000}"/>
    <cellStyle name="Note 2 4 2 3 5 3" xfId="9628" xr:uid="{00000000-0005-0000-0000-00000C540000}"/>
    <cellStyle name="Note 2 4 2 3 6" xfId="9647" xr:uid="{00000000-0005-0000-0000-00000D540000}"/>
    <cellStyle name="Note 2 4 2 3 7" xfId="9673" xr:uid="{00000000-0005-0000-0000-00000E540000}"/>
    <cellStyle name="Note 2 4 2 3 8" xfId="9696" xr:uid="{00000000-0005-0000-0000-00000F540000}"/>
    <cellStyle name="Note 2 4 2 30" xfId="27147" xr:uid="{00000000-0005-0000-0000-000010540000}"/>
    <cellStyle name="Note 2 4 2 4" xfId="27166" xr:uid="{00000000-0005-0000-0000-000011540000}"/>
    <cellStyle name="Note 2 4 2 4 2" xfId="27168" xr:uid="{00000000-0005-0000-0000-000012540000}"/>
    <cellStyle name="Note 2 4 2 4 2 2" xfId="27170" xr:uid="{00000000-0005-0000-0000-000013540000}"/>
    <cellStyle name="Note 2 4 2 4 2 3" xfId="27171" xr:uid="{00000000-0005-0000-0000-000014540000}"/>
    <cellStyle name="Note 2 4 2 4 2 4" xfId="27172" xr:uid="{00000000-0005-0000-0000-000015540000}"/>
    <cellStyle name="Note 2 4 2 4 3" xfId="27173" xr:uid="{00000000-0005-0000-0000-000016540000}"/>
    <cellStyle name="Note 2 4 2 4 3 2" xfId="27175" xr:uid="{00000000-0005-0000-0000-000017540000}"/>
    <cellStyle name="Note 2 4 2 4 3 3" xfId="27176" xr:uid="{00000000-0005-0000-0000-000018540000}"/>
    <cellStyle name="Note 2 4 2 4 3 4" xfId="27177" xr:uid="{00000000-0005-0000-0000-000019540000}"/>
    <cellStyle name="Note 2 4 2 4 4" xfId="22648" xr:uid="{00000000-0005-0000-0000-00001A540000}"/>
    <cellStyle name="Note 2 4 2 4 4 2" xfId="21935" xr:uid="{00000000-0005-0000-0000-00001B540000}"/>
    <cellStyle name="Note 2 4 2 4 4 3" xfId="27178" xr:uid="{00000000-0005-0000-0000-00001C540000}"/>
    <cellStyle name="Note 2 4 2 4 5" xfId="9824" xr:uid="{00000000-0005-0000-0000-00001D540000}"/>
    <cellStyle name="Note 2 4 2 4 5 2" xfId="9827" xr:uid="{00000000-0005-0000-0000-00001E540000}"/>
    <cellStyle name="Note 2 4 2 4 5 3" xfId="9829" xr:uid="{00000000-0005-0000-0000-00001F540000}"/>
    <cellStyle name="Note 2 4 2 4 6" xfId="9833" xr:uid="{00000000-0005-0000-0000-000020540000}"/>
    <cellStyle name="Note 2 4 2 4 7" xfId="9838" xr:uid="{00000000-0005-0000-0000-000021540000}"/>
    <cellStyle name="Note 2 4 2 4 8" xfId="9842" xr:uid="{00000000-0005-0000-0000-000022540000}"/>
    <cellStyle name="Note 2 4 2 5" xfId="21818" xr:uid="{00000000-0005-0000-0000-000023540000}"/>
    <cellStyle name="Note 2 4 2 5 2" xfId="27179" xr:uid="{00000000-0005-0000-0000-000024540000}"/>
    <cellStyle name="Note 2 4 2 5 2 2" xfId="27181" xr:uid="{00000000-0005-0000-0000-000025540000}"/>
    <cellStyle name="Note 2 4 2 5 2 3" xfId="27182" xr:uid="{00000000-0005-0000-0000-000026540000}"/>
    <cellStyle name="Note 2 4 2 5 2 4" xfId="27183" xr:uid="{00000000-0005-0000-0000-000027540000}"/>
    <cellStyle name="Note 2 4 2 5 3" xfId="27184" xr:uid="{00000000-0005-0000-0000-000028540000}"/>
    <cellStyle name="Note 2 4 2 5 3 2" xfId="27186" xr:uid="{00000000-0005-0000-0000-000029540000}"/>
    <cellStyle name="Note 2 4 2 5 3 3" xfId="27188" xr:uid="{00000000-0005-0000-0000-00002A540000}"/>
    <cellStyle name="Note 2 4 2 5 3 4" xfId="27189" xr:uid="{00000000-0005-0000-0000-00002B540000}"/>
    <cellStyle name="Note 2 4 2 5 4" xfId="22653" xr:uid="{00000000-0005-0000-0000-00002C540000}"/>
    <cellStyle name="Note 2 4 2 5 4 2" xfId="21949" xr:uid="{00000000-0005-0000-0000-00002D540000}"/>
    <cellStyle name="Note 2 4 2 5 4 3" xfId="420" xr:uid="{00000000-0005-0000-0000-00002E540000}"/>
    <cellStyle name="Note 2 4 2 5 5" xfId="9853" xr:uid="{00000000-0005-0000-0000-00002F540000}"/>
    <cellStyle name="Note 2 4 2 5 5 2" xfId="9856" xr:uid="{00000000-0005-0000-0000-000030540000}"/>
    <cellStyle name="Note 2 4 2 5 5 3" xfId="9859" xr:uid="{00000000-0005-0000-0000-000031540000}"/>
    <cellStyle name="Note 2 4 2 5 6" xfId="9863" xr:uid="{00000000-0005-0000-0000-000032540000}"/>
    <cellStyle name="Note 2 4 2 5 7" xfId="9871" xr:uid="{00000000-0005-0000-0000-000033540000}"/>
    <cellStyle name="Note 2 4 2 5 8" xfId="9878" xr:uid="{00000000-0005-0000-0000-000034540000}"/>
    <cellStyle name="Note 2 4 2 6" xfId="21821" xr:uid="{00000000-0005-0000-0000-000035540000}"/>
    <cellStyle name="Note 2 4 2 6 2" xfId="27149" xr:uid="{00000000-0005-0000-0000-000036540000}"/>
    <cellStyle name="Note 2 4 2 6 2 2" xfId="27190" xr:uid="{00000000-0005-0000-0000-000037540000}"/>
    <cellStyle name="Note 2 4 2 6 2 3" xfId="27191" xr:uid="{00000000-0005-0000-0000-000038540000}"/>
    <cellStyle name="Note 2 4 2 6 2 4" xfId="27192" xr:uid="{00000000-0005-0000-0000-000039540000}"/>
    <cellStyle name="Note 2 4 2 6 3" xfId="27151" xr:uid="{00000000-0005-0000-0000-00003A540000}"/>
    <cellStyle name="Note 2 4 2 6 3 2" xfId="27122" xr:uid="{00000000-0005-0000-0000-00003B540000}"/>
    <cellStyle name="Note 2 4 2 6 3 3" xfId="27126" xr:uid="{00000000-0005-0000-0000-00003C540000}"/>
    <cellStyle name="Note 2 4 2 6 3 4" xfId="27129" xr:uid="{00000000-0005-0000-0000-00003D540000}"/>
    <cellStyle name="Note 2 4 2 6 4" xfId="22658" xr:uid="{00000000-0005-0000-0000-00003E540000}"/>
    <cellStyle name="Note 2 4 2 6 4 2" xfId="21975" xr:uid="{00000000-0005-0000-0000-00003F540000}"/>
    <cellStyle name="Note 2 4 2 6 4 3" xfId="27193" xr:uid="{00000000-0005-0000-0000-000040540000}"/>
    <cellStyle name="Note 2 4 2 6 5" xfId="9897" xr:uid="{00000000-0005-0000-0000-000041540000}"/>
    <cellStyle name="Note 2 4 2 6 5 2" xfId="1579" xr:uid="{00000000-0005-0000-0000-000042540000}"/>
    <cellStyle name="Note 2 4 2 6 5 3" xfId="9899" xr:uid="{00000000-0005-0000-0000-000043540000}"/>
    <cellStyle name="Note 2 4 2 6 6" xfId="9903" xr:uid="{00000000-0005-0000-0000-000044540000}"/>
    <cellStyle name="Note 2 4 2 6 7" xfId="9909" xr:uid="{00000000-0005-0000-0000-000045540000}"/>
    <cellStyle name="Note 2 4 2 6 8" xfId="9916" xr:uid="{00000000-0005-0000-0000-000046540000}"/>
    <cellStyle name="Note 2 4 2 7" xfId="21824" xr:uid="{00000000-0005-0000-0000-000047540000}"/>
    <cellStyle name="Note 2 4 2 7 2" xfId="27194" xr:uid="{00000000-0005-0000-0000-000048540000}"/>
    <cellStyle name="Note 2 4 2 7 2 2" xfId="27195" xr:uid="{00000000-0005-0000-0000-000049540000}"/>
    <cellStyle name="Note 2 4 2 7 2 3" xfId="27196" xr:uid="{00000000-0005-0000-0000-00004A540000}"/>
    <cellStyle name="Note 2 4 2 7 2 4" xfId="27197" xr:uid="{00000000-0005-0000-0000-00004B540000}"/>
    <cellStyle name="Note 2 4 2 7 3" xfId="27198" xr:uid="{00000000-0005-0000-0000-00004C540000}"/>
    <cellStyle name="Note 2 4 2 7 3 2" xfId="27199" xr:uid="{00000000-0005-0000-0000-00004D540000}"/>
    <cellStyle name="Note 2 4 2 7 3 3" xfId="27200" xr:uid="{00000000-0005-0000-0000-00004E540000}"/>
    <cellStyle name="Note 2 4 2 7 3 4" xfId="27201" xr:uid="{00000000-0005-0000-0000-00004F540000}"/>
    <cellStyle name="Note 2 4 2 7 4" xfId="15110" xr:uid="{00000000-0005-0000-0000-000050540000}"/>
    <cellStyle name="Note 2 4 2 7 4 2" xfId="15113" xr:uid="{00000000-0005-0000-0000-000051540000}"/>
    <cellStyle name="Note 2 4 2 7 4 3" xfId="1951" xr:uid="{00000000-0005-0000-0000-000052540000}"/>
    <cellStyle name="Note 2 4 2 7 5" xfId="9936" xr:uid="{00000000-0005-0000-0000-000053540000}"/>
    <cellStyle name="Note 2 4 2 7 5 2" xfId="9940" xr:uid="{00000000-0005-0000-0000-000054540000}"/>
    <cellStyle name="Note 2 4 2 7 5 3" xfId="9943" xr:uid="{00000000-0005-0000-0000-000055540000}"/>
    <cellStyle name="Note 2 4 2 7 6" xfId="9948" xr:uid="{00000000-0005-0000-0000-000056540000}"/>
    <cellStyle name="Note 2 4 2 7 7" xfId="9957" xr:uid="{00000000-0005-0000-0000-000057540000}"/>
    <cellStyle name="Note 2 4 2 7 8" xfId="9967" xr:uid="{00000000-0005-0000-0000-000058540000}"/>
    <cellStyle name="Note 2 4 2 8" xfId="27202" xr:uid="{00000000-0005-0000-0000-000059540000}"/>
    <cellStyle name="Note 2 4 2 8 2" xfId="27204" xr:uid="{00000000-0005-0000-0000-00005A540000}"/>
    <cellStyle name="Note 2 4 2 8 2 2" xfId="27205" xr:uid="{00000000-0005-0000-0000-00005B540000}"/>
    <cellStyle name="Note 2 4 2 8 2 3" xfId="27206" xr:uid="{00000000-0005-0000-0000-00005C540000}"/>
    <cellStyle name="Note 2 4 2 8 2 4" xfId="27207" xr:uid="{00000000-0005-0000-0000-00005D540000}"/>
    <cellStyle name="Note 2 4 2 8 3" xfId="27208" xr:uid="{00000000-0005-0000-0000-00005E540000}"/>
    <cellStyle name="Note 2 4 2 8 3 2" xfId="27209" xr:uid="{00000000-0005-0000-0000-00005F540000}"/>
    <cellStyle name="Note 2 4 2 8 3 3" xfId="27210" xr:uid="{00000000-0005-0000-0000-000060540000}"/>
    <cellStyle name="Note 2 4 2 8 3 4" xfId="27211" xr:uid="{00000000-0005-0000-0000-000061540000}"/>
    <cellStyle name="Note 2 4 2 8 4" xfId="27212" xr:uid="{00000000-0005-0000-0000-000062540000}"/>
    <cellStyle name="Note 2 4 2 8 4 2" xfId="22018" xr:uid="{00000000-0005-0000-0000-000063540000}"/>
    <cellStyle name="Note 2 4 2 8 4 3" xfId="27213" xr:uid="{00000000-0005-0000-0000-000064540000}"/>
    <cellStyle name="Note 2 4 2 8 5" xfId="9993" xr:uid="{00000000-0005-0000-0000-000065540000}"/>
    <cellStyle name="Note 2 4 2 8 5 2" xfId="9996" xr:uid="{00000000-0005-0000-0000-000066540000}"/>
    <cellStyle name="Note 2 4 2 8 5 3" xfId="9998" xr:uid="{00000000-0005-0000-0000-000067540000}"/>
    <cellStyle name="Note 2 4 2 8 6" xfId="10001" xr:uid="{00000000-0005-0000-0000-000068540000}"/>
    <cellStyle name="Note 2 4 2 8 7" xfId="10006" xr:uid="{00000000-0005-0000-0000-000069540000}"/>
    <cellStyle name="Note 2 4 2 8 8" xfId="10013" xr:uid="{00000000-0005-0000-0000-00006A540000}"/>
    <cellStyle name="Note 2 4 2 9" xfId="10583" xr:uid="{00000000-0005-0000-0000-00006B540000}"/>
    <cellStyle name="Note 2 4 2 9 2" xfId="27214" xr:uid="{00000000-0005-0000-0000-00006C540000}"/>
    <cellStyle name="Note 2 4 2 9 2 2" xfId="27215" xr:uid="{00000000-0005-0000-0000-00006D540000}"/>
    <cellStyle name="Note 2 4 2 9 2 3" xfId="27216" xr:uid="{00000000-0005-0000-0000-00006E540000}"/>
    <cellStyle name="Note 2 4 2 9 2 4" xfId="27217" xr:uid="{00000000-0005-0000-0000-00006F540000}"/>
    <cellStyle name="Note 2 4 2 9 3" xfId="27218" xr:uid="{00000000-0005-0000-0000-000070540000}"/>
    <cellStyle name="Note 2 4 2 9 3 2" xfId="27219" xr:uid="{00000000-0005-0000-0000-000071540000}"/>
    <cellStyle name="Note 2 4 2 9 3 3" xfId="27220" xr:uid="{00000000-0005-0000-0000-000072540000}"/>
    <cellStyle name="Note 2 4 2 9 3 4" xfId="27221" xr:uid="{00000000-0005-0000-0000-000073540000}"/>
    <cellStyle name="Note 2 4 2 9 4" xfId="27222" xr:uid="{00000000-0005-0000-0000-000074540000}"/>
    <cellStyle name="Note 2 4 2 9 4 2" xfId="22036" xr:uid="{00000000-0005-0000-0000-000075540000}"/>
    <cellStyle name="Note 2 4 2 9 4 3" xfId="27224" xr:uid="{00000000-0005-0000-0000-000076540000}"/>
    <cellStyle name="Note 2 4 2 9 5" xfId="10030" xr:uid="{00000000-0005-0000-0000-000077540000}"/>
    <cellStyle name="Note 2 4 2 9 5 2" xfId="10035" xr:uid="{00000000-0005-0000-0000-000078540000}"/>
    <cellStyle name="Note 2 4 2 9 5 3" xfId="10037" xr:uid="{00000000-0005-0000-0000-000079540000}"/>
    <cellStyle name="Note 2 4 2 9 6" xfId="10040" xr:uid="{00000000-0005-0000-0000-00007A540000}"/>
    <cellStyle name="Note 2 4 2 9 7" xfId="10046" xr:uid="{00000000-0005-0000-0000-00007B540000}"/>
    <cellStyle name="Note 2 4 2 9 8" xfId="10054" xr:uid="{00000000-0005-0000-0000-00007C540000}"/>
    <cellStyle name="Note 2 4 20" xfId="27077" xr:uid="{00000000-0005-0000-0000-00007D540000}"/>
    <cellStyle name="Note 2 4 21" xfId="27085" xr:uid="{00000000-0005-0000-0000-00007E540000}"/>
    <cellStyle name="Note 2 4 22" xfId="27093" xr:uid="{00000000-0005-0000-0000-00007F540000}"/>
    <cellStyle name="Note 2 4 23" xfId="27096" xr:uid="{00000000-0005-0000-0000-000080540000}"/>
    <cellStyle name="Note 2 4 24" xfId="27098" xr:uid="{00000000-0005-0000-0000-000081540000}"/>
    <cellStyle name="Note 2 4 25" xfId="27225" xr:uid="{00000000-0005-0000-0000-000082540000}"/>
    <cellStyle name="Note 2 4 26" xfId="18607" xr:uid="{00000000-0005-0000-0000-000083540000}"/>
    <cellStyle name="Note 2 4 27" xfId="18610" xr:uid="{00000000-0005-0000-0000-000084540000}"/>
    <cellStyle name="Note 2 4 28" xfId="27227" xr:uid="{00000000-0005-0000-0000-000085540000}"/>
    <cellStyle name="Note 2 4 29" xfId="27228" xr:uid="{00000000-0005-0000-0000-000086540000}"/>
    <cellStyle name="Note 2 4 3" xfId="27229" xr:uid="{00000000-0005-0000-0000-000087540000}"/>
    <cellStyle name="Note 2 4 3 10" xfId="27231" xr:uid="{00000000-0005-0000-0000-000088540000}"/>
    <cellStyle name="Note 2 4 3 10 2" xfId="22742" xr:uid="{00000000-0005-0000-0000-000089540000}"/>
    <cellStyle name="Note 2 4 3 10 2 2" xfId="20046" xr:uid="{00000000-0005-0000-0000-00008A540000}"/>
    <cellStyle name="Note 2 4 3 10 2 3" xfId="22744" xr:uid="{00000000-0005-0000-0000-00008B540000}"/>
    <cellStyle name="Note 2 4 3 10 2 4" xfId="22746" xr:uid="{00000000-0005-0000-0000-00008C540000}"/>
    <cellStyle name="Note 2 4 3 10 3" xfId="22748" xr:uid="{00000000-0005-0000-0000-00008D540000}"/>
    <cellStyle name="Note 2 4 3 10 3 2" xfId="20052" xr:uid="{00000000-0005-0000-0000-00008E540000}"/>
    <cellStyle name="Note 2 4 3 10 3 3" xfId="22750" xr:uid="{00000000-0005-0000-0000-00008F540000}"/>
    <cellStyle name="Note 2 4 3 10 3 4" xfId="27232" xr:uid="{00000000-0005-0000-0000-000090540000}"/>
    <cellStyle name="Note 2 4 3 10 4" xfId="22752" xr:uid="{00000000-0005-0000-0000-000091540000}"/>
    <cellStyle name="Note 2 4 3 10 4 2" xfId="22756" xr:uid="{00000000-0005-0000-0000-000092540000}"/>
    <cellStyle name="Note 2 4 3 10 4 3" xfId="14088" xr:uid="{00000000-0005-0000-0000-000093540000}"/>
    <cellStyle name="Note 2 4 3 10 5" xfId="22758" xr:uid="{00000000-0005-0000-0000-000094540000}"/>
    <cellStyle name="Note 2 4 3 10 5 2" xfId="27233" xr:uid="{00000000-0005-0000-0000-000095540000}"/>
    <cellStyle name="Note 2 4 3 10 5 3" xfId="27234" xr:uid="{00000000-0005-0000-0000-000096540000}"/>
    <cellStyle name="Note 2 4 3 10 6" xfId="22762" xr:uid="{00000000-0005-0000-0000-000097540000}"/>
    <cellStyle name="Note 2 4 3 10 7" xfId="27235" xr:uid="{00000000-0005-0000-0000-000098540000}"/>
    <cellStyle name="Note 2 4 3 11" xfId="15402" xr:uid="{00000000-0005-0000-0000-000099540000}"/>
    <cellStyle name="Note 2 4 3 11 2" xfId="15406" xr:uid="{00000000-0005-0000-0000-00009A540000}"/>
    <cellStyle name="Note 2 4 3 11 3" xfId="15408" xr:uid="{00000000-0005-0000-0000-00009B540000}"/>
    <cellStyle name="Note 2 4 3 11 4" xfId="15413" xr:uid="{00000000-0005-0000-0000-00009C540000}"/>
    <cellStyle name="Note 2 4 3 12" xfId="15423" xr:uid="{00000000-0005-0000-0000-00009D540000}"/>
    <cellStyle name="Note 2 4 3 12 2" xfId="15428" xr:uid="{00000000-0005-0000-0000-00009E540000}"/>
    <cellStyle name="Note 2 4 3 12 3" xfId="15432" xr:uid="{00000000-0005-0000-0000-00009F540000}"/>
    <cellStyle name="Note 2 4 3 12 4" xfId="15439" xr:uid="{00000000-0005-0000-0000-0000A0540000}"/>
    <cellStyle name="Note 2 4 3 13" xfId="15450" xr:uid="{00000000-0005-0000-0000-0000A1540000}"/>
    <cellStyle name="Note 2 4 3 13 2" xfId="15453" xr:uid="{00000000-0005-0000-0000-0000A2540000}"/>
    <cellStyle name="Note 2 4 3 13 3" xfId="15459" xr:uid="{00000000-0005-0000-0000-0000A3540000}"/>
    <cellStyle name="Note 2 4 3 14" xfId="15477" xr:uid="{00000000-0005-0000-0000-0000A4540000}"/>
    <cellStyle name="Note 2 4 3 14 2" xfId="15479" xr:uid="{00000000-0005-0000-0000-0000A5540000}"/>
    <cellStyle name="Note 2 4 3 14 3" xfId="15486" xr:uid="{00000000-0005-0000-0000-0000A6540000}"/>
    <cellStyle name="Note 2 4 3 15" xfId="15498" xr:uid="{00000000-0005-0000-0000-0000A7540000}"/>
    <cellStyle name="Note 2 4 3 16" xfId="9920" xr:uid="{00000000-0005-0000-0000-0000A8540000}"/>
    <cellStyle name="Note 2 4 3 17" xfId="9924" xr:uid="{00000000-0005-0000-0000-0000A9540000}"/>
    <cellStyle name="Note 2 4 3 18" xfId="15562" xr:uid="{00000000-0005-0000-0000-0000AA540000}"/>
    <cellStyle name="Note 2 4 3 2" xfId="27236" xr:uid="{00000000-0005-0000-0000-0000AB540000}"/>
    <cellStyle name="Note 2 4 3 2 2" xfId="27239" xr:uid="{00000000-0005-0000-0000-0000AC540000}"/>
    <cellStyle name="Note 2 4 3 2 2 2" xfId="27241" xr:uid="{00000000-0005-0000-0000-0000AD540000}"/>
    <cellStyle name="Note 2 4 3 2 2 3" xfId="27243" xr:uid="{00000000-0005-0000-0000-0000AE540000}"/>
    <cellStyle name="Note 2 4 3 2 2 4" xfId="27245" xr:uid="{00000000-0005-0000-0000-0000AF540000}"/>
    <cellStyle name="Note 2 4 3 2 3" xfId="27248" xr:uid="{00000000-0005-0000-0000-0000B0540000}"/>
    <cellStyle name="Note 2 4 3 2 3 2" xfId="27250" xr:uid="{00000000-0005-0000-0000-0000B1540000}"/>
    <cellStyle name="Note 2 4 3 2 3 3" xfId="27252" xr:uid="{00000000-0005-0000-0000-0000B2540000}"/>
    <cellStyle name="Note 2 4 3 2 3 4" xfId="27254" xr:uid="{00000000-0005-0000-0000-0000B3540000}"/>
    <cellStyle name="Note 2 4 3 2 4" xfId="17703" xr:uid="{00000000-0005-0000-0000-0000B4540000}"/>
    <cellStyle name="Note 2 4 3 2 4 2" xfId="17706" xr:uid="{00000000-0005-0000-0000-0000B5540000}"/>
    <cellStyle name="Note 2 4 3 2 4 3" xfId="17711" xr:uid="{00000000-0005-0000-0000-0000B6540000}"/>
    <cellStyle name="Note 2 4 3 2 5" xfId="10248" xr:uid="{00000000-0005-0000-0000-0000B7540000}"/>
    <cellStyle name="Note 2 4 3 2 5 2" xfId="10253" xr:uid="{00000000-0005-0000-0000-0000B8540000}"/>
    <cellStyle name="Note 2 4 3 2 5 3" xfId="10257" xr:uid="{00000000-0005-0000-0000-0000B9540000}"/>
    <cellStyle name="Note 2 4 3 2 6" xfId="10273" xr:uid="{00000000-0005-0000-0000-0000BA540000}"/>
    <cellStyle name="Note 2 4 3 2 7" xfId="10299" xr:uid="{00000000-0005-0000-0000-0000BB540000}"/>
    <cellStyle name="Note 2 4 3 3" xfId="27255" xr:uid="{00000000-0005-0000-0000-0000BC540000}"/>
    <cellStyle name="Note 2 4 3 3 2" xfId="27258" xr:uid="{00000000-0005-0000-0000-0000BD540000}"/>
    <cellStyle name="Note 2 4 3 3 2 2" xfId="27260" xr:uid="{00000000-0005-0000-0000-0000BE540000}"/>
    <cellStyle name="Note 2 4 3 3 2 3" xfId="27262" xr:uid="{00000000-0005-0000-0000-0000BF540000}"/>
    <cellStyle name="Note 2 4 3 3 2 4" xfId="27264" xr:uid="{00000000-0005-0000-0000-0000C0540000}"/>
    <cellStyle name="Note 2 4 3 3 3" xfId="27267" xr:uid="{00000000-0005-0000-0000-0000C1540000}"/>
    <cellStyle name="Note 2 4 3 3 3 2" xfId="27269" xr:uid="{00000000-0005-0000-0000-0000C2540000}"/>
    <cellStyle name="Note 2 4 3 3 3 3" xfId="27271" xr:uid="{00000000-0005-0000-0000-0000C3540000}"/>
    <cellStyle name="Note 2 4 3 3 3 4" xfId="27273" xr:uid="{00000000-0005-0000-0000-0000C4540000}"/>
    <cellStyle name="Note 2 4 3 3 4" xfId="22669" xr:uid="{00000000-0005-0000-0000-0000C5540000}"/>
    <cellStyle name="Note 2 4 3 3 4 2" xfId="22764" xr:uid="{00000000-0005-0000-0000-0000C6540000}"/>
    <cellStyle name="Note 2 4 3 3 4 3" xfId="22783" xr:uid="{00000000-0005-0000-0000-0000C7540000}"/>
    <cellStyle name="Note 2 4 3 3 5" xfId="10495" xr:uid="{00000000-0005-0000-0000-0000C8540000}"/>
    <cellStyle name="Note 2 4 3 3 5 2" xfId="10500" xr:uid="{00000000-0005-0000-0000-0000C9540000}"/>
    <cellStyle name="Note 2 4 3 3 5 3" xfId="10505" xr:uid="{00000000-0005-0000-0000-0000CA540000}"/>
    <cellStyle name="Note 2 4 3 3 6" xfId="10517" xr:uid="{00000000-0005-0000-0000-0000CB540000}"/>
    <cellStyle name="Note 2 4 3 3 7" xfId="10537" xr:uid="{00000000-0005-0000-0000-0000CC540000}"/>
    <cellStyle name="Note 2 4 3 4" xfId="27274" xr:uid="{00000000-0005-0000-0000-0000CD540000}"/>
    <cellStyle name="Note 2 4 3 4 2" xfId="27276" xr:uid="{00000000-0005-0000-0000-0000CE540000}"/>
    <cellStyle name="Note 2 4 3 4 2 2" xfId="27278" xr:uid="{00000000-0005-0000-0000-0000CF540000}"/>
    <cellStyle name="Note 2 4 3 4 2 3" xfId="27279" xr:uid="{00000000-0005-0000-0000-0000D0540000}"/>
    <cellStyle name="Note 2 4 3 4 2 4" xfId="27280" xr:uid="{00000000-0005-0000-0000-0000D1540000}"/>
    <cellStyle name="Note 2 4 3 4 3" xfId="27281" xr:uid="{00000000-0005-0000-0000-0000D2540000}"/>
    <cellStyle name="Note 2 4 3 4 3 2" xfId="27283" xr:uid="{00000000-0005-0000-0000-0000D3540000}"/>
    <cellStyle name="Note 2 4 3 4 3 3" xfId="27284" xr:uid="{00000000-0005-0000-0000-0000D4540000}"/>
    <cellStyle name="Note 2 4 3 4 3 4" xfId="27285" xr:uid="{00000000-0005-0000-0000-0000D5540000}"/>
    <cellStyle name="Note 2 4 3 4 4" xfId="22674" xr:uid="{00000000-0005-0000-0000-0000D6540000}"/>
    <cellStyle name="Note 2 4 3 4 4 2" xfId="27286" xr:uid="{00000000-0005-0000-0000-0000D7540000}"/>
    <cellStyle name="Note 2 4 3 4 4 3" xfId="27287" xr:uid="{00000000-0005-0000-0000-0000D8540000}"/>
    <cellStyle name="Note 2 4 3 4 5" xfId="10693" xr:uid="{00000000-0005-0000-0000-0000D9540000}"/>
    <cellStyle name="Note 2 4 3 4 5 2" xfId="10696" xr:uid="{00000000-0005-0000-0000-0000DA540000}"/>
    <cellStyle name="Note 2 4 3 4 5 3" xfId="10699" xr:uid="{00000000-0005-0000-0000-0000DB540000}"/>
    <cellStyle name="Note 2 4 3 4 6" xfId="10705" xr:uid="{00000000-0005-0000-0000-0000DC540000}"/>
    <cellStyle name="Note 2 4 3 4 7" xfId="10714" xr:uid="{00000000-0005-0000-0000-0000DD540000}"/>
    <cellStyle name="Note 2 4 3 5" xfId="21829" xr:uid="{00000000-0005-0000-0000-0000DE540000}"/>
    <cellStyle name="Note 2 4 3 5 2" xfId="27288" xr:uid="{00000000-0005-0000-0000-0000DF540000}"/>
    <cellStyle name="Note 2 4 3 5 2 2" xfId="27290" xr:uid="{00000000-0005-0000-0000-0000E0540000}"/>
    <cellStyle name="Note 2 4 3 5 2 3" xfId="27291" xr:uid="{00000000-0005-0000-0000-0000E1540000}"/>
    <cellStyle name="Note 2 4 3 5 2 4" xfId="27292" xr:uid="{00000000-0005-0000-0000-0000E2540000}"/>
    <cellStyle name="Note 2 4 3 5 3" xfId="27293" xr:uid="{00000000-0005-0000-0000-0000E3540000}"/>
    <cellStyle name="Note 2 4 3 5 3 2" xfId="27295" xr:uid="{00000000-0005-0000-0000-0000E4540000}"/>
    <cellStyle name="Note 2 4 3 5 3 3" xfId="27296" xr:uid="{00000000-0005-0000-0000-0000E5540000}"/>
    <cellStyle name="Note 2 4 3 5 3 4" xfId="27297" xr:uid="{00000000-0005-0000-0000-0000E6540000}"/>
    <cellStyle name="Note 2 4 3 5 4" xfId="22679" xr:uid="{00000000-0005-0000-0000-0000E7540000}"/>
    <cellStyle name="Note 2 4 3 5 4 2" xfId="27298" xr:uid="{00000000-0005-0000-0000-0000E8540000}"/>
    <cellStyle name="Note 2 4 3 5 4 3" xfId="27299" xr:uid="{00000000-0005-0000-0000-0000E9540000}"/>
    <cellStyle name="Note 2 4 3 5 5" xfId="10733" xr:uid="{00000000-0005-0000-0000-0000EA540000}"/>
    <cellStyle name="Note 2 4 3 5 5 2" xfId="10735" xr:uid="{00000000-0005-0000-0000-0000EB540000}"/>
    <cellStyle name="Note 2 4 3 5 5 3" xfId="902" xr:uid="{00000000-0005-0000-0000-0000EC540000}"/>
    <cellStyle name="Note 2 4 3 5 6" xfId="10737" xr:uid="{00000000-0005-0000-0000-0000ED540000}"/>
    <cellStyle name="Note 2 4 3 5 7" xfId="10740" xr:uid="{00000000-0005-0000-0000-0000EE540000}"/>
    <cellStyle name="Note 2 4 3 6" xfId="21832" xr:uid="{00000000-0005-0000-0000-0000EF540000}"/>
    <cellStyle name="Note 2 4 3 6 2" xfId="27300" xr:uid="{00000000-0005-0000-0000-0000F0540000}"/>
    <cellStyle name="Note 2 4 3 6 2 2" xfId="27301" xr:uid="{00000000-0005-0000-0000-0000F1540000}"/>
    <cellStyle name="Note 2 4 3 6 2 3" xfId="27302" xr:uid="{00000000-0005-0000-0000-0000F2540000}"/>
    <cellStyle name="Note 2 4 3 6 2 4" xfId="27303" xr:uid="{00000000-0005-0000-0000-0000F3540000}"/>
    <cellStyle name="Note 2 4 3 6 3" xfId="1645" xr:uid="{00000000-0005-0000-0000-0000F4540000}"/>
    <cellStyle name="Note 2 4 3 6 3 2" xfId="1648" xr:uid="{00000000-0005-0000-0000-0000F5540000}"/>
    <cellStyle name="Note 2 4 3 6 3 3" xfId="1654" xr:uid="{00000000-0005-0000-0000-0000F6540000}"/>
    <cellStyle name="Note 2 4 3 6 3 4" xfId="27304" xr:uid="{00000000-0005-0000-0000-0000F7540000}"/>
    <cellStyle name="Note 2 4 3 6 4" xfId="832" xr:uid="{00000000-0005-0000-0000-0000F8540000}"/>
    <cellStyle name="Note 2 4 3 6 4 2" xfId="27305" xr:uid="{00000000-0005-0000-0000-0000F9540000}"/>
    <cellStyle name="Note 2 4 3 6 4 3" xfId="27306" xr:uid="{00000000-0005-0000-0000-0000FA540000}"/>
    <cellStyle name="Note 2 4 3 6 5" xfId="977" xr:uid="{00000000-0005-0000-0000-0000FB540000}"/>
    <cellStyle name="Note 2 4 3 6 5 2" xfId="10753" xr:uid="{00000000-0005-0000-0000-0000FC540000}"/>
    <cellStyle name="Note 2 4 3 6 5 3" xfId="10755" xr:uid="{00000000-0005-0000-0000-0000FD540000}"/>
    <cellStyle name="Note 2 4 3 6 6" xfId="985" xr:uid="{00000000-0005-0000-0000-0000FE540000}"/>
    <cellStyle name="Note 2 4 3 6 7" xfId="1015" xr:uid="{00000000-0005-0000-0000-0000FF540000}"/>
    <cellStyle name="Note 2 4 3 7" xfId="21835" xr:uid="{00000000-0005-0000-0000-000000550000}"/>
    <cellStyle name="Note 2 4 3 7 2" xfId="15128" xr:uid="{00000000-0005-0000-0000-000001550000}"/>
    <cellStyle name="Note 2 4 3 7 2 2" xfId="27307" xr:uid="{00000000-0005-0000-0000-000002550000}"/>
    <cellStyle name="Note 2 4 3 7 2 3" xfId="27309" xr:uid="{00000000-0005-0000-0000-000003550000}"/>
    <cellStyle name="Note 2 4 3 7 2 4" xfId="27311" xr:uid="{00000000-0005-0000-0000-000004550000}"/>
    <cellStyle name="Note 2 4 3 7 3" xfId="27312" xr:uid="{00000000-0005-0000-0000-000005550000}"/>
    <cellStyle name="Note 2 4 3 7 3 2" xfId="27313" xr:uid="{00000000-0005-0000-0000-000006550000}"/>
    <cellStyle name="Note 2 4 3 7 3 3" xfId="27315" xr:uid="{00000000-0005-0000-0000-000007550000}"/>
    <cellStyle name="Note 2 4 3 7 3 4" xfId="27317" xr:uid="{00000000-0005-0000-0000-000008550000}"/>
    <cellStyle name="Note 2 4 3 7 4" xfId="17924" xr:uid="{00000000-0005-0000-0000-000009550000}"/>
    <cellStyle name="Note 2 4 3 7 4 2" xfId="17926" xr:uid="{00000000-0005-0000-0000-00000A550000}"/>
    <cellStyle name="Note 2 4 3 7 4 3" xfId="17932" xr:uid="{00000000-0005-0000-0000-00000B550000}"/>
    <cellStyle name="Note 2 4 3 7 5" xfId="10775" xr:uid="{00000000-0005-0000-0000-00000C550000}"/>
    <cellStyle name="Note 2 4 3 7 5 2" xfId="10779" xr:uid="{00000000-0005-0000-0000-00000D550000}"/>
    <cellStyle name="Note 2 4 3 7 5 3" xfId="10784" xr:uid="{00000000-0005-0000-0000-00000E550000}"/>
    <cellStyle name="Note 2 4 3 7 6" xfId="10790" xr:uid="{00000000-0005-0000-0000-00000F550000}"/>
    <cellStyle name="Note 2 4 3 7 7" xfId="10806" xr:uid="{00000000-0005-0000-0000-000010550000}"/>
    <cellStyle name="Note 2 4 3 8" xfId="27318" xr:uid="{00000000-0005-0000-0000-000011550000}"/>
    <cellStyle name="Note 2 4 3 8 2" xfId="15134" xr:uid="{00000000-0005-0000-0000-000012550000}"/>
    <cellStyle name="Note 2 4 3 8 2 2" xfId="27319" xr:uid="{00000000-0005-0000-0000-000013550000}"/>
    <cellStyle name="Note 2 4 3 8 2 3" xfId="27320" xr:uid="{00000000-0005-0000-0000-000014550000}"/>
    <cellStyle name="Note 2 4 3 8 2 4" xfId="27321" xr:uid="{00000000-0005-0000-0000-000015550000}"/>
    <cellStyle name="Note 2 4 3 8 3" xfId="1135" xr:uid="{00000000-0005-0000-0000-000016550000}"/>
    <cellStyle name="Note 2 4 3 8 3 2" xfId="1662" xr:uid="{00000000-0005-0000-0000-000017550000}"/>
    <cellStyle name="Note 2 4 3 8 3 3" xfId="27322" xr:uid="{00000000-0005-0000-0000-000018550000}"/>
    <cellStyle name="Note 2 4 3 8 3 4" xfId="27323" xr:uid="{00000000-0005-0000-0000-000019550000}"/>
    <cellStyle name="Note 2 4 3 8 4" xfId="1146" xr:uid="{00000000-0005-0000-0000-00001A550000}"/>
    <cellStyle name="Note 2 4 3 8 4 2" xfId="27324" xr:uid="{00000000-0005-0000-0000-00001B550000}"/>
    <cellStyle name="Note 2 4 3 8 4 3" xfId="27325" xr:uid="{00000000-0005-0000-0000-00001C550000}"/>
    <cellStyle name="Note 2 4 3 8 5" xfId="5750" xr:uid="{00000000-0005-0000-0000-00001D550000}"/>
    <cellStyle name="Note 2 4 3 8 5 2" xfId="5753" xr:uid="{00000000-0005-0000-0000-00001E550000}"/>
    <cellStyle name="Note 2 4 3 8 5 3" xfId="5758" xr:uid="{00000000-0005-0000-0000-00001F550000}"/>
    <cellStyle name="Note 2 4 3 8 6" xfId="5768" xr:uid="{00000000-0005-0000-0000-000020550000}"/>
    <cellStyle name="Note 2 4 3 8 7" xfId="5777" xr:uid="{00000000-0005-0000-0000-000021550000}"/>
    <cellStyle name="Note 2 4 3 9" xfId="10591" xr:uid="{00000000-0005-0000-0000-000022550000}"/>
    <cellStyle name="Note 2 4 3 9 2" xfId="15140" xr:uid="{00000000-0005-0000-0000-000023550000}"/>
    <cellStyle name="Note 2 4 3 9 2 2" xfId="27326" xr:uid="{00000000-0005-0000-0000-000024550000}"/>
    <cellStyle name="Note 2 4 3 9 2 3" xfId="27327" xr:uid="{00000000-0005-0000-0000-000025550000}"/>
    <cellStyle name="Note 2 4 3 9 2 4" xfId="27328" xr:uid="{00000000-0005-0000-0000-000026550000}"/>
    <cellStyle name="Note 2 4 3 9 3" xfId="27329" xr:uid="{00000000-0005-0000-0000-000027550000}"/>
    <cellStyle name="Note 2 4 3 9 3 2" xfId="27330" xr:uid="{00000000-0005-0000-0000-000028550000}"/>
    <cellStyle name="Note 2 4 3 9 3 3" xfId="27331" xr:uid="{00000000-0005-0000-0000-000029550000}"/>
    <cellStyle name="Note 2 4 3 9 3 4" xfId="27332" xr:uid="{00000000-0005-0000-0000-00002A550000}"/>
    <cellStyle name="Note 2 4 3 9 4" xfId="16412" xr:uid="{00000000-0005-0000-0000-00002B550000}"/>
    <cellStyle name="Note 2 4 3 9 4 2" xfId="16414" xr:uid="{00000000-0005-0000-0000-00002C550000}"/>
    <cellStyle name="Note 2 4 3 9 4 3" xfId="16417" xr:uid="{00000000-0005-0000-0000-00002D550000}"/>
    <cellStyle name="Note 2 4 3 9 5" xfId="10837" xr:uid="{00000000-0005-0000-0000-00002E550000}"/>
    <cellStyle name="Note 2 4 3 9 5 2" xfId="10839" xr:uid="{00000000-0005-0000-0000-00002F550000}"/>
    <cellStyle name="Note 2 4 3 9 5 3" xfId="10843" xr:uid="{00000000-0005-0000-0000-000030550000}"/>
    <cellStyle name="Note 2 4 3 9 6" xfId="10852" xr:uid="{00000000-0005-0000-0000-000031550000}"/>
    <cellStyle name="Note 2 4 3 9 7" xfId="10865" xr:uid="{00000000-0005-0000-0000-000032550000}"/>
    <cellStyle name="Note 2 4 30" xfId="27226" xr:uid="{00000000-0005-0000-0000-000033550000}"/>
    <cellStyle name="Note 2 4 31" xfId="18608" xr:uid="{00000000-0005-0000-0000-000034550000}"/>
    <cellStyle name="Note 2 4 32" xfId="18611" xr:uid="{00000000-0005-0000-0000-000035550000}"/>
    <cellStyle name="Note 2 4 4" xfId="27333" xr:uid="{00000000-0005-0000-0000-000036550000}"/>
    <cellStyle name="Note 2 4 4 2" xfId="27336" xr:uid="{00000000-0005-0000-0000-000037550000}"/>
    <cellStyle name="Note 2 4 4 2 2" xfId="27338" xr:uid="{00000000-0005-0000-0000-000038550000}"/>
    <cellStyle name="Note 2 4 4 2 3" xfId="27340" xr:uid="{00000000-0005-0000-0000-000039550000}"/>
    <cellStyle name="Note 2 4 4 2 4" xfId="25566" xr:uid="{00000000-0005-0000-0000-00003A550000}"/>
    <cellStyle name="Note 2 4 4 3" xfId="27342" xr:uid="{00000000-0005-0000-0000-00003B550000}"/>
    <cellStyle name="Note 2 4 4 3 2" xfId="27344" xr:uid="{00000000-0005-0000-0000-00003C550000}"/>
    <cellStyle name="Note 2 4 4 3 3" xfId="27346" xr:uid="{00000000-0005-0000-0000-00003D550000}"/>
    <cellStyle name="Note 2 4 4 3 4" xfId="25570" xr:uid="{00000000-0005-0000-0000-00003E550000}"/>
    <cellStyle name="Note 2 4 4 4" xfId="27348" xr:uid="{00000000-0005-0000-0000-00003F550000}"/>
    <cellStyle name="Note 2 4 4 4 2" xfId="27350" xr:uid="{00000000-0005-0000-0000-000040550000}"/>
    <cellStyle name="Note 2 4 4 4 3" xfId="26297" xr:uid="{00000000-0005-0000-0000-000041550000}"/>
    <cellStyle name="Note 2 4 4 5" xfId="21840" xr:uid="{00000000-0005-0000-0000-000042550000}"/>
    <cellStyle name="Note 2 4 4 5 2" xfId="27351" xr:uid="{00000000-0005-0000-0000-000043550000}"/>
    <cellStyle name="Note 2 4 4 5 3" xfId="27352" xr:uid="{00000000-0005-0000-0000-000044550000}"/>
    <cellStyle name="Note 2 4 4 6" xfId="21842" xr:uid="{00000000-0005-0000-0000-000045550000}"/>
    <cellStyle name="Note 2 4 4 7" xfId="360" xr:uid="{00000000-0005-0000-0000-000046550000}"/>
    <cellStyle name="Note 2 4 4 8" xfId="27353" xr:uid="{00000000-0005-0000-0000-000047550000}"/>
    <cellStyle name="Note 2 4 5" xfId="27355" xr:uid="{00000000-0005-0000-0000-000048550000}"/>
    <cellStyle name="Note 2 4 5 2" xfId="27358" xr:uid="{00000000-0005-0000-0000-000049550000}"/>
    <cellStyle name="Note 2 4 5 2 2" xfId="27360" xr:uid="{00000000-0005-0000-0000-00004A550000}"/>
    <cellStyle name="Note 2 4 5 2 3" xfId="27361" xr:uid="{00000000-0005-0000-0000-00004B550000}"/>
    <cellStyle name="Note 2 4 5 2 4" xfId="25584" xr:uid="{00000000-0005-0000-0000-00004C550000}"/>
    <cellStyle name="Note 2 4 5 3" xfId="27362" xr:uid="{00000000-0005-0000-0000-00004D550000}"/>
    <cellStyle name="Note 2 4 5 3 2" xfId="27364" xr:uid="{00000000-0005-0000-0000-00004E550000}"/>
    <cellStyle name="Note 2 4 5 3 3" xfId="27365" xr:uid="{00000000-0005-0000-0000-00004F550000}"/>
    <cellStyle name="Note 2 4 5 3 4" xfId="25587" xr:uid="{00000000-0005-0000-0000-000050550000}"/>
    <cellStyle name="Note 2 4 5 4" xfId="27366" xr:uid="{00000000-0005-0000-0000-000051550000}"/>
    <cellStyle name="Note 2 4 5 4 2" xfId="27368" xr:uid="{00000000-0005-0000-0000-000052550000}"/>
    <cellStyle name="Note 2 4 5 4 3" xfId="27369" xr:uid="{00000000-0005-0000-0000-000053550000}"/>
    <cellStyle name="Note 2 4 5 5" xfId="21846" xr:uid="{00000000-0005-0000-0000-000054550000}"/>
    <cellStyle name="Note 2 4 5 5 2" xfId="27370" xr:uid="{00000000-0005-0000-0000-000055550000}"/>
    <cellStyle name="Note 2 4 5 5 3" xfId="27371" xr:uid="{00000000-0005-0000-0000-000056550000}"/>
    <cellStyle name="Note 2 4 5 6" xfId="21848" xr:uid="{00000000-0005-0000-0000-000057550000}"/>
    <cellStyle name="Note 2 4 5 7" xfId="27372" xr:uid="{00000000-0005-0000-0000-000058550000}"/>
    <cellStyle name="Note 2 4 5 8" xfId="27374" xr:uid="{00000000-0005-0000-0000-000059550000}"/>
    <cellStyle name="Note 2 4 6" xfId="27376" xr:uid="{00000000-0005-0000-0000-00005A550000}"/>
    <cellStyle name="Note 2 4 6 2" xfId="9625" xr:uid="{00000000-0005-0000-0000-00005B550000}"/>
    <cellStyle name="Note 2 4 6 2 2" xfId="15385" xr:uid="{00000000-0005-0000-0000-00005C550000}"/>
    <cellStyle name="Note 2 4 6 2 3" xfId="27380" xr:uid="{00000000-0005-0000-0000-00005D550000}"/>
    <cellStyle name="Note 2 4 6 2 4" xfId="25601" xr:uid="{00000000-0005-0000-0000-00005E550000}"/>
    <cellStyle name="Note 2 4 6 3" xfId="27382" xr:uid="{00000000-0005-0000-0000-00005F550000}"/>
    <cellStyle name="Note 2 4 6 3 2" xfId="27385" xr:uid="{00000000-0005-0000-0000-000060550000}"/>
    <cellStyle name="Note 2 4 6 3 3" xfId="27387" xr:uid="{00000000-0005-0000-0000-000061550000}"/>
    <cellStyle name="Note 2 4 6 3 4" xfId="25604" xr:uid="{00000000-0005-0000-0000-000062550000}"/>
    <cellStyle name="Note 2 4 6 4" xfId="27389" xr:uid="{00000000-0005-0000-0000-000063550000}"/>
    <cellStyle name="Note 2 4 6 4 2" xfId="27391" xr:uid="{00000000-0005-0000-0000-000064550000}"/>
    <cellStyle name="Note 2 4 6 4 3" xfId="27393" xr:uid="{00000000-0005-0000-0000-000065550000}"/>
    <cellStyle name="Note 2 4 6 5" xfId="27395" xr:uid="{00000000-0005-0000-0000-000066550000}"/>
    <cellStyle name="Note 2 4 6 5 2" xfId="27397" xr:uid="{00000000-0005-0000-0000-000067550000}"/>
    <cellStyle name="Note 2 4 6 5 3" xfId="27399" xr:uid="{00000000-0005-0000-0000-000068550000}"/>
    <cellStyle name="Note 2 4 6 6" xfId="27401" xr:uid="{00000000-0005-0000-0000-000069550000}"/>
    <cellStyle name="Note 2 4 6 7" xfId="24670" xr:uid="{00000000-0005-0000-0000-00006A550000}"/>
    <cellStyle name="Note 2 4 6 8" xfId="24675" xr:uid="{00000000-0005-0000-0000-00006B550000}"/>
    <cellStyle name="Note 2 4 7" xfId="27403" xr:uid="{00000000-0005-0000-0000-00006C550000}"/>
    <cellStyle name="Note 2 4 7 2" xfId="9633" xr:uid="{00000000-0005-0000-0000-00006D550000}"/>
    <cellStyle name="Note 2 4 7 2 2" xfId="15584" xr:uid="{00000000-0005-0000-0000-00006E550000}"/>
    <cellStyle name="Note 2 4 7 2 3" xfId="27405" xr:uid="{00000000-0005-0000-0000-00006F550000}"/>
    <cellStyle name="Note 2 4 7 2 4" xfId="27406" xr:uid="{00000000-0005-0000-0000-000070550000}"/>
    <cellStyle name="Note 2 4 7 3" xfId="27408" xr:uid="{00000000-0005-0000-0000-000071550000}"/>
    <cellStyle name="Note 2 4 7 3 2" xfId="27410" xr:uid="{00000000-0005-0000-0000-000072550000}"/>
    <cellStyle name="Note 2 4 7 3 3" xfId="27411" xr:uid="{00000000-0005-0000-0000-000073550000}"/>
    <cellStyle name="Note 2 4 7 3 4" xfId="27412" xr:uid="{00000000-0005-0000-0000-000074550000}"/>
    <cellStyle name="Note 2 4 7 4" xfId="27413" xr:uid="{00000000-0005-0000-0000-000075550000}"/>
    <cellStyle name="Note 2 4 7 4 2" xfId="27415" xr:uid="{00000000-0005-0000-0000-000076550000}"/>
    <cellStyle name="Note 2 4 7 4 3" xfId="27416" xr:uid="{00000000-0005-0000-0000-000077550000}"/>
    <cellStyle name="Note 2 4 7 5" xfId="27417" xr:uid="{00000000-0005-0000-0000-000078550000}"/>
    <cellStyle name="Note 2 4 7 5 2" xfId="27418" xr:uid="{00000000-0005-0000-0000-000079550000}"/>
    <cellStyle name="Note 2 4 7 5 3" xfId="27419" xr:uid="{00000000-0005-0000-0000-00007A550000}"/>
    <cellStyle name="Note 2 4 7 6" xfId="27420" xr:uid="{00000000-0005-0000-0000-00007B550000}"/>
    <cellStyle name="Note 2 4 7 7" xfId="24685" xr:uid="{00000000-0005-0000-0000-00007C550000}"/>
    <cellStyle name="Note 2 4 7 8" xfId="24689" xr:uid="{00000000-0005-0000-0000-00007D550000}"/>
    <cellStyle name="Note 2 4 8" xfId="27423" xr:uid="{00000000-0005-0000-0000-00007E550000}"/>
    <cellStyle name="Note 2 4 8 2" xfId="27426" xr:uid="{00000000-0005-0000-0000-00007F550000}"/>
    <cellStyle name="Note 2 4 8 2 2" xfId="19965" xr:uid="{00000000-0005-0000-0000-000080550000}"/>
    <cellStyle name="Note 2 4 8 2 3" xfId="27428" xr:uid="{00000000-0005-0000-0000-000081550000}"/>
    <cellStyle name="Note 2 4 8 2 4" xfId="27429" xr:uid="{00000000-0005-0000-0000-000082550000}"/>
    <cellStyle name="Note 2 4 8 3" xfId="27430" xr:uid="{00000000-0005-0000-0000-000083550000}"/>
    <cellStyle name="Note 2 4 8 3 2" xfId="19981" xr:uid="{00000000-0005-0000-0000-000084550000}"/>
    <cellStyle name="Note 2 4 8 3 3" xfId="27432" xr:uid="{00000000-0005-0000-0000-000085550000}"/>
    <cellStyle name="Note 2 4 8 3 4" xfId="27433" xr:uid="{00000000-0005-0000-0000-000086550000}"/>
    <cellStyle name="Note 2 4 8 4" xfId="27434" xr:uid="{00000000-0005-0000-0000-000087550000}"/>
    <cellStyle name="Note 2 4 8 4 2" xfId="19999" xr:uid="{00000000-0005-0000-0000-000088550000}"/>
    <cellStyle name="Note 2 4 8 4 3" xfId="27436" xr:uid="{00000000-0005-0000-0000-000089550000}"/>
    <cellStyle name="Note 2 4 8 5" xfId="27437" xr:uid="{00000000-0005-0000-0000-00008A550000}"/>
    <cellStyle name="Note 2 4 8 5 2" xfId="20012" xr:uid="{00000000-0005-0000-0000-00008B550000}"/>
    <cellStyle name="Note 2 4 8 5 3" xfId="27438" xr:uid="{00000000-0005-0000-0000-00008C550000}"/>
    <cellStyle name="Note 2 4 8 6" xfId="27439" xr:uid="{00000000-0005-0000-0000-00008D550000}"/>
    <cellStyle name="Note 2 4 8 7" xfId="24694" xr:uid="{00000000-0005-0000-0000-00008E550000}"/>
    <cellStyle name="Note 2 4 8 8" xfId="24697" xr:uid="{00000000-0005-0000-0000-00008F550000}"/>
    <cellStyle name="Note 2 4 9" xfId="27442" xr:uid="{00000000-0005-0000-0000-000090550000}"/>
    <cellStyle name="Note 2 4 9 2" xfId="27444" xr:uid="{00000000-0005-0000-0000-000091550000}"/>
    <cellStyle name="Note 2 4 9 2 2" xfId="20161" xr:uid="{00000000-0005-0000-0000-000092550000}"/>
    <cellStyle name="Note 2 4 9 2 3" xfId="27446" xr:uid="{00000000-0005-0000-0000-000093550000}"/>
    <cellStyle name="Note 2 4 9 2 4" xfId="27448" xr:uid="{00000000-0005-0000-0000-000094550000}"/>
    <cellStyle name="Note 2 4 9 3" xfId="27449" xr:uid="{00000000-0005-0000-0000-000095550000}"/>
    <cellStyle name="Note 2 4 9 3 2" xfId="20185" xr:uid="{00000000-0005-0000-0000-000096550000}"/>
    <cellStyle name="Note 2 4 9 3 3" xfId="27451" xr:uid="{00000000-0005-0000-0000-000097550000}"/>
    <cellStyle name="Note 2 4 9 3 4" xfId="27453" xr:uid="{00000000-0005-0000-0000-000098550000}"/>
    <cellStyle name="Note 2 4 9 4" xfId="15987" xr:uid="{00000000-0005-0000-0000-000099550000}"/>
    <cellStyle name="Note 2 4 9 4 2" xfId="20206" xr:uid="{00000000-0005-0000-0000-00009A550000}"/>
    <cellStyle name="Note 2 4 9 4 3" xfId="27454" xr:uid="{00000000-0005-0000-0000-00009B550000}"/>
    <cellStyle name="Note 2 4 9 5" xfId="15989" xr:uid="{00000000-0005-0000-0000-00009C550000}"/>
    <cellStyle name="Note 2 4 9 5 2" xfId="20238" xr:uid="{00000000-0005-0000-0000-00009D550000}"/>
    <cellStyle name="Note 2 4 9 5 3" xfId="27455" xr:uid="{00000000-0005-0000-0000-00009E550000}"/>
    <cellStyle name="Note 2 4 9 6" xfId="15991" xr:uid="{00000000-0005-0000-0000-00009F550000}"/>
    <cellStyle name="Note 2 4 9 7" xfId="24700" xr:uid="{00000000-0005-0000-0000-0000A0550000}"/>
    <cellStyle name="Note 2 4 9 8" xfId="24703" xr:uid="{00000000-0005-0000-0000-0000A1550000}"/>
    <cellStyle name="Note 2 5" xfId="2629" xr:uid="{00000000-0005-0000-0000-0000A2550000}"/>
    <cellStyle name="Note 2 5 10" xfId="27456" xr:uid="{00000000-0005-0000-0000-0000A3550000}"/>
    <cellStyle name="Note 2 5 10 2" xfId="27458" xr:uid="{00000000-0005-0000-0000-0000A4550000}"/>
    <cellStyle name="Note 2 5 10 2 2" xfId="27460" xr:uid="{00000000-0005-0000-0000-0000A5550000}"/>
    <cellStyle name="Note 2 5 10 2 3" xfId="27463" xr:uid="{00000000-0005-0000-0000-0000A6550000}"/>
    <cellStyle name="Note 2 5 10 2 4" xfId="27466" xr:uid="{00000000-0005-0000-0000-0000A7550000}"/>
    <cellStyle name="Note 2 5 10 3" xfId="27469" xr:uid="{00000000-0005-0000-0000-0000A8550000}"/>
    <cellStyle name="Note 2 5 10 3 2" xfId="27471" xr:uid="{00000000-0005-0000-0000-0000A9550000}"/>
    <cellStyle name="Note 2 5 10 3 3" xfId="27474" xr:uid="{00000000-0005-0000-0000-0000AA550000}"/>
    <cellStyle name="Note 2 5 10 3 4" xfId="27477" xr:uid="{00000000-0005-0000-0000-0000AB550000}"/>
    <cellStyle name="Note 2 5 10 4" xfId="27480" xr:uid="{00000000-0005-0000-0000-0000AC550000}"/>
    <cellStyle name="Note 2 5 10 4 2" xfId="27481" xr:uid="{00000000-0005-0000-0000-0000AD550000}"/>
    <cellStyle name="Note 2 5 10 4 3" xfId="27483" xr:uid="{00000000-0005-0000-0000-0000AE550000}"/>
    <cellStyle name="Note 2 5 10 5" xfId="21349" xr:uid="{00000000-0005-0000-0000-0000AF550000}"/>
    <cellStyle name="Note 2 5 10 5 2" xfId="27484" xr:uid="{00000000-0005-0000-0000-0000B0550000}"/>
    <cellStyle name="Note 2 5 10 5 3" xfId="27486" xr:uid="{00000000-0005-0000-0000-0000B1550000}"/>
    <cellStyle name="Note 2 5 10 6" xfId="7188" xr:uid="{00000000-0005-0000-0000-0000B2550000}"/>
    <cellStyle name="Note 2 5 10 7" xfId="6643" xr:uid="{00000000-0005-0000-0000-0000B3550000}"/>
    <cellStyle name="Note 2 5 10 8" xfId="27487" xr:uid="{00000000-0005-0000-0000-0000B4550000}"/>
    <cellStyle name="Note 2 5 11" xfId="27488" xr:uid="{00000000-0005-0000-0000-0000B5550000}"/>
    <cellStyle name="Note 2 5 11 2" xfId="27491" xr:uid="{00000000-0005-0000-0000-0000B6550000}"/>
    <cellStyle name="Note 2 5 11 2 2" xfId="27493" xr:uid="{00000000-0005-0000-0000-0000B7550000}"/>
    <cellStyle name="Note 2 5 11 2 3" xfId="2509" xr:uid="{00000000-0005-0000-0000-0000B8550000}"/>
    <cellStyle name="Note 2 5 11 2 4" xfId="2556" xr:uid="{00000000-0005-0000-0000-0000B9550000}"/>
    <cellStyle name="Note 2 5 11 3" xfId="27495" xr:uid="{00000000-0005-0000-0000-0000BA550000}"/>
    <cellStyle name="Note 2 5 11 3 2" xfId="27497" xr:uid="{00000000-0005-0000-0000-0000BB550000}"/>
    <cellStyle name="Note 2 5 11 3 3" xfId="1290" xr:uid="{00000000-0005-0000-0000-0000BC550000}"/>
    <cellStyle name="Note 2 5 11 3 4" xfId="2613" xr:uid="{00000000-0005-0000-0000-0000BD550000}"/>
    <cellStyle name="Note 2 5 11 4" xfId="27499" xr:uid="{00000000-0005-0000-0000-0000BE550000}"/>
    <cellStyle name="Note 2 5 11 4 2" xfId="27501" xr:uid="{00000000-0005-0000-0000-0000BF550000}"/>
    <cellStyle name="Note 2 5 11 4 3" xfId="2646" xr:uid="{00000000-0005-0000-0000-0000C0550000}"/>
    <cellStyle name="Note 2 5 11 5" xfId="27503" xr:uid="{00000000-0005-0000-0000-0000C1550000}"/>
    <cellStyle name="Note 2 5 11 5 2" xfId="27504" xr:uid="{00000000-0005-0000-0000-0000C2550000}"/>
    <cellStyle name="Note 2 5 11 5 3" xfId="27507" xr:uid="{00000000-0005-0000-0000-0000C3550000}"/>
    <cellStyle name="Note 2 5 11 6" xfId="7191" xr:uid="{00000000-0005-0000-0000-0000C4550000}"/>
    <cellStyle name="Note 2 5 11 7" xfId="6669" xr:uid="{00000000-0005-0000-0000-0000C5550000}"/>
    <cellStyle name="Note 2 5 11 8" xfId="27508" xr:uid="{00000000-0005-0000-0000-0000C6550000}"/>
    <cellStyle name="Note 2 5 12" xfId="3449" xr:uid="{00000000-0005-0000-0000-0000C7550000}"/>
    <cellStyle name="Note 2 5 12 2" xfId="27509" xr:uid="{00000000-0005-0000-0000-0000C8550000}"/>
    <cellStyle name="Note 2 5 12 2 2" xfId="27512" xr:uid="{00000000-0005-0000-0000-0000C9550000}"/>
    <cellStyle name="Note 2 5 12 2 3" xfId="27514" xr:uid="{00000000-0005-0000-0000-0000CA550000}"/>
    <cellStyle name="Note 2 5 12 2 4" xfId="27516" xr:uid="{00000000-0005-0000-0000-0000CB550000}"/>
    <cellStyle name="Note 2 5 12 3" xfId="27518" xr:uid="{00000000-0005-0000-0000-0000CC550000}"/>
    <cellStyle name="Note 2 5 12 3 2" xfId="27521" xr:uid="{00000000-0005-0000-0000-0000CD550000}"/>
    <cellStyle name="Note 2 5 12 3 3" xfId="27523" xr:uid="{00000000-0005-0000-0000-0000CE550000}"/>
    <cellStyle name="Note 2 5 12 3 4" xfId="27525" xr:uid="{00000000-0005-0000-0000-0000CF550000}"/>
    <cellStyle name="Note 2 5 12 4" xfId="27527" xr:uid="{00000000-0005-0000-0000-0000D0550000}"/>
    <cellStyle name="Note 2 5 12 4 2" xfId="27530" xr:uid="{00000000-0005-0000-0000-0000D1550000}"/>
    <cellStyle name="Note 2 5 12 4 3" xfId="27532" xr:uid="{00000000-0005-0000-0000-0000D2550000}"/>
    <cellStyle name="Note 2 5 12 5" xfId="27533" xr:uid="{00000000-0005-0000-0000-0000D3550000}"/>
    <cellStyle name="Note 2 5 12 5 2" xfId="26167" xr:uid="{00000000-0005-0000-0000-0000D4550000}"/>
    <cellStyle name="Note 2 5 12 5 3" xfId="26222" xr:uid="{00000000-0005-0000-0000-0000D5550000}"/>
    <cellStyle name="Note 2 5 12 6" xfId="27534" xr:uid="{00000000-0005-0000-0000-0000D6550000}"/>
    <cellStyle name="Note 2 5 12 7" xfId="27535" xr:uid="{00000000-0005-0000-0000-0000D7550000}"/>
    <cellStyle name="Note 2 5 12 8" xfId="27536" xr:uid="{00000000-0005-0000-0000-0000D8550000}"/>
    <cellStyle name="Note 2 5 13" xfId="3457" xr:uid="{00000000-0005-0000-0000-0000D9550000}"/>
    <cellStyle name="Note 2 5 13 2" xfId="27537" xr:uid="{00000000-0005-0000-0000-0000DA550000}"/>
    <cellStyle name="Note 2 5 13 3" xfId="27540" xr:uid="{00000000-0005-0000-0000-0000DB550000}"/>
    <cellStyle name="Note 2 5 13 4" xfId="27543" xr:uid="{00000000-0005-0000-0000-0000DC550000}"/>
    <cellStyle name="Note 2 5 13 5" xfId="27545" xr:uid="{00000000-0005-0000-0000-0000DD550000}"/>
    <cellStyle name="Note 2 5 14" xfId="27546" xr:uid="{00000000-0005-0000-0000-0000DE550000}"/>
    <cellStyle name="Note 2 5 14 2" xfId="27550" xr:uid="{00000000-0005-0000-0000-0000DF550000}"/>
    <cellStyle name="Note 2 5 14 3" xfId="27553" xr:uid="{00000000-0005-0000-0000-0000E0550000}"/>
    <cellStyle name="Note 2 5 14 4" xfId="27556" xr:uid="{00000000-0005-0000-0000-0000E1550000}"/>
    <cellStyle name="Note 2 5 14 5" xfId="27557" xr:uid="{00000000-0005-0000-0000-0000E2550000}"/>
    <cellStyle name="Note 2 5 15" xfId="12975" xr:uid="{00000000-0005-0000-0000-0000E3550000}"/>
    <cellStyle name="Note 2 5 15 2" xfId="27558" xr:uid="{00000000-0005-0000-0000-0000E4550000}"/>
    <cellStyle name="Note 2 5 15 3" xfId="27560" xr:uid="{00000000-0005-0000-0000-0000E5550000}"/>
    <cellStyle name="Note 2 5 15 4" xfId="27562" xr:uid="{00000000-0005-0000-0000-0000E6550000}"/>
    <cellStyle name="Note 2 5 16" xfId="12981" xr:uid="{00000000-0005-0000-0000-0000E7550000}"/>
    <cellStyle name="Note 2 5 16 2" xfId="27563" xr:uid="{00000000-0005-0000-0000-0000E8550000}"/>
    <cellStyle name="Note 2 5 16 3" xfId="27564" xr:uid="{00000000-0005-0000-0000-0000E9550000}"/>
    <cellStyle name="Note 2 5 16 4" xfId="27565" xr:uid="{00000000-0005-0000-0000-0000EA550000}"/>
    <cellStyle name="Note 2 5 17" xfId="12986" xr:uid="{00000000-0005-0000-0000-0000EB550000}"/>
    <cellStyle name="Note 2 5 17 2" xfId="27567" xr:uid="{00000000-0005-0000-0000-0000EC550000}"/>
    <cellStyle name="Note 2 5 18" xfId="14407" xr:uid="{00000000-0005-0000-0000-0000ED550000}"/>
    <cellStyle name="Note 2 5 18 2" xfId="14411" xr:uid="{00000000-0005-0000-0000-0000EE550000}"/>
    <cellStyle name="Note 2 5 19" xfId="14414" xr:uid="{00000000-0005-0000-0000-0000EF550000}"/>
    <cellStyle name="Note 2 5 19 2" xfId="14418" xr:uid="{00000000-0005-0000-0000-0000F0550000}"/>
    <cellStyle name="Note 2 5 2" xfId="12206" xr:uid="{00000000-0005-0000-0000-0000F1550000}"/>
    <cellStyle name="Note 2 5 2 10" xfId="27568" xr:uid="{00000000-0005-0000-0000-0000F2550000}"/>
    <cellStyle name="Note 2 5 2 10 2" xfId="19600" xr:uid="{00000000-0005-0000-0000-0000F3550000}"/>
    <cellStyle name="Note 2 5 2 10 2 2" xfId="20416" xr:uid="{00000000-0005-0000-0000-0000F4550000}"/>
    <cellStyle name="Note 2 5 2 10 2 3" xfId="27569" xr:uid="{00000000-0005-0000-0000-0000F5550000}"/>
    <cellStyle name="Note 2 5 2 10 2 4" xfId="26034" xr:uid="{00000000-0005-0000-0000-0000F6550000}"/>
    <cellStyle name="Note 2 5 2 10 3" xfId="12765" xr:uid="{00000000-0005-0000-0000-0000F7550000}"/>
    <cellStyle name="Note 2 5 2 10 3 2" xfId="20421" xr:uid="{00000000-0005-0000-0000-0000F8550000}"/>
    <cellStyle name="Note 2 5 2 10 3 3" xfId="27570" xr:uid="{00000000-0005-0000-0000-0000F9550000}"/>
    <cellStyle name="Note 2 5 2 10 3 4" xfId="26037" xr:uid="{00000000-0005-0000-0000-0000FA550000}"/>
    <cellStyle name="Note 2 5 2 10 4" xfId="12767" xr:uid="{00000000-0005-0000-0000-0000FB550000}"/>
    <cellStyle name="Note 2 5 2 10 4 2" xfId="27571" xr:uid="{00000000-0005-0000-0000-0000FC550000}"/>
    <cellStyle name="Note 2 5 2 10 4 3" xfId="27573" xr:uid="{00000000-0005-0000-0000-0000FD550000}"/>
    <cellStyle name="Note 2 5 2 10 5" xfId="12769" xr:uid="{00000000-0005-0000-0000-0000FE550000}"/>
    <cellStyle name="Note 2 5 2 10 5 2" xfId="27575" xr:uid="{00000000-0005-0000-0000-0000FF550000}"/>
    <cellStyle name="Note 2 5 2 10 5 3" xfId="27576" xr:uid="{00000000-0005-0000-0000-000000560000}"/>
    <cellStyle name="Note 2 5 2 10 6" xfId="27577" xr:uid="{00000000-0005-0000-0000-000001560000}"/>
    <cellStyle name="Note 2 5 2 10 7" xfId="27579" xr:uid="{00000000-0005-0000-0000-000002560000}"/>
    <cellStyle name="Note 2 5 2 11" xfId="27581" xr:uid="{00000000-0005-0000-0000-000003560000}"/>
    <cellStyle name="Note 2 5 2 11 2" xfId="27582" xr:uid="{00000000-0005-0000-0000-000004560000}"/>
    <cellStyle name="Note 2 5 2 11 3" xfId="12772" xr:uid="{00000000-0005-0000-0000-000005560000}"/>
    <cellStyle name="Note 2 5 2 11 4" xfId="12774" xr:uid="{00000000-0005-0000-0000-000006560000}"/>
    <cellStyle name="Note 2 5 2 12" xfId="27583" xr:uid="{00000000-0005-0000-0000-000007560000}"/>
    <cellStyle name="Note 2 5 2 12 2" xfId="27584" xr:uid="{00000000-0005-0000-0000-000008560000}"/>
    <cellStyle name="Note 2 5 2 12 3" xfId="12779" xr:uid="{00000000-0005-0000-0000-000009560000}"/>
    <cellStyle name="Note 2 5 2 12 4" xfId="12782" xr:uid="{00000000-0005-0000-0000-00000A560000}"/>
    <cellStyle name="Note 2 5 2 13" xfId="27586" xr:uid="{00000000-0005-0000-0000-00000B560000}"/>
    <cellStyle name="Note 2 5 2 13 2" xfId="27587" xr:uid="{00000000-0005-0000-0000-00000C560000}"/>
    <cellStyle name="Note 2 5 2 13 3" xfId="12786" xr:uid="{00000000-0005-0000-0000-00000D560000}"/>
    <cellStyle name="Note 2 5 2 14" xfId="27588" xr:uid="{00000000-0005-0000-0000-00000E560000}"/>
    <cellStyle name="Note 2 5 2 14 2" xfId="27589" xr:uid="{00000000-0005-0000-0000-00000F560000}"/>
    <cellStyle name="Note 2 5 2 14 3" xfId="12790" xr:uid="{00000000-0005-0000-0000-000010560000}"/>
    <cellStyle name="Note 2 5 2 15" xfId="27590" xr:uid="{00000000-0005-0000-0000-000011560000}"/>
    <cellStyle name="Note 2 5 2 16" xfId="24826" xr:uid="{00000000-0005-0000-0000-000012560000}"/>
    <cellStyle name="Note 2 5 2 17" xfId="24828" xr:uid="{00000000-0005-0000-0000-000013560000}"/>
    <cellStyle name="Note 2 5 2 18" xfId="24830" xr:uid="{00000000-0005-0000-0000-000014560000}"/>
    <cellStyle name="Note 2 5 2 2" xfId="27591" xr:uid="{00000000-0005-0000-0000-000015560000}"/>
    <cellStyle name="Note 2 5 2 2 2" xfId="27592" xr:uid="{00000000-0005-0000-0000-000016560000}"/>
    <cellStyle name="Note 2 5 2 2 2 2" xfId="27593" xr:uid="{00000000-0005-0000-0000-000017560000}"/>
    <cellStyle name="Note 2 5 2 2 2 3" xfId="25273" xr:uid="{00000000-0005-0000-0000-000018560000}"/>
    <cellStyle name="Note 2 5 2 2 2 4" xfId="25275" xr:uid="{00000000-0005-0000-0000-000019560000}"/>
    <cellStyle name="Note 2 5 2 2 3" xfId="27594" xr:uid="{00000000-0005-0000-0000-00001A560000}"/>
    <cellStyle name="Note 2 5 2 2 3 2" xfId="27595" xr:uid="{00000000-0005-0000-0000-00001B560000}"/>
    <cellStyle name="Note 2 5 2 2 3 3" xfId="25279" xr:uid="{00000000-0005-0000-0000-00001C560000}"/>
    <cellStyle name="Note 2 5 2 2 3 4" xfId="25281" xr:uid="{00000000-0005-0000-0000-00001D560000}"/>
    <cellStyle name="Note 2 5 2 2 4" xfId="25663" xr:uid="{00000000-0005-0000-0000-00001E560000}"/>
    <cellStyle name="Note 2 5 2 2 4 2" xfId="27596" xr:uid="{00000000-0005-0000-0000-00001F560000}"/>
    <cellStyle name="Note 2 5 2 2 4 3" xfId="25285" xr:uid="{00000000-0005-0000-0000-000020560000}"/>
    <cellStyle name="Note 2 5 2 2 5" xfId="25665" xr:uid="{00000000-0005-0000-0000-000021560000}"/>
    <cellStyle name="Note 2 5 2 2 5 2" xfId="27597" xr:uid="{00000000-0005-0000-0000-000022560000}"/>
    <cellStyle name="Note 2 5 2 2 5 3" xfId="25289" xr:uid="{00000000-0005-0000-0000-000023560000}"/>
    <cellStyle name="Note 2 5 2 2 6" xfId="22889" xr:uid="{00000000-0005-0000-0000-000024560000}"/>
    <cellStyle name="Note 2 5 2 2 7" xfId="22891" xr:uid="{00000000-0005-0000-0000-000025560000}"/>
    <cellStyle name="Note 2 5 2 3" xfId="27598" xr:uid="{00000000-0005-0000-0000-000026560000}"/>
    <cellStyle name="Note 2 5 2 3 2" xfId="27599" xr:uid="{00000000-0005-0000-0000-000027560000}"/>
    <cellStyle name="Note 2 5 2 3 2 2" xfId="27600" xr:uid="{00000000-0005-0000-0000-000028560000}"/>
    <cellStyle name="Note 2 5 2 3 2 3" xfId="25296" xr:uid="{00000000-0005-0000-0000-000029560000}"/>
    <cellStyle name="Note 2 5 2 3 2 4" xfId="25298" xr:uid="{00000000-0005-0000-0000-00002A560000}"/>
    <cellStyle name="Note 2 5 2 3 3" xfId="27601" xr:uid="{00000000-0005-0000-0000-00002B560000}"/>
    <cellStyle name="Note 2 5 2 3 3 2" xfId="27602" xr:uid="{00000000-0005-0000-0000-00002C560000}"/>
    <cellStyle name="Note 2 5 2 3 3 3" xfId="25302" xr:uid="{00000000-0005-0000-0000-00002D560000}"/>
    <cellStyle name="Note 2 5 2 3 3 4" xfId="25304" xr:uid="{00000000-0005-0000-0000-00002E560000}"/>
    <cellStyle name="Note 2 5 2 3 4" xfId="14276" xr:uid="{00000000-0005-0000-0000-00002F560000}"/>
    <cellStyle name="Note 2 5 2 3 4 2" xfId="27603" xr:uid="{00000000-0005-0000-0000-000030560000}"/>
    <cellStyle name="Note 2 5 2 3 4 3" xfId="25308" xr:uid="{00000000-0005-0000-0000-000031560000}"/>
    <cellStyle name="Note 2 5 2 3 5" xfId="25667" xr:uid="{00000000-0005-0000-0000-000032560000}"/>
    <cellStyle name="Note 2 5 2 3 5 2" xfId="27604" xr:uid="{00000000-0005-0000-0000-000033560000}"/>
    <cellStyle name="Note 2 5 2 3 5 3" xfId="25312" xr:uid="{00000000-0005-0000-0000-000034560000}"/>
    <cellStyle name="Note 2 5 2 3 6" xfId="17132" xr:uid="{00000000-0005-0000-0000-000035560000}"/>
    <cellStyle name="Note 2 5 2 3 7" xfId="17135" xr:uid="{00000000-0005-0000-0000-000036560000}"/>
    <cellStyle name="Note 2 5 2 4" xfId="27605" xr:uid="{00000000-0005-0000-0000-000037560000}"/>
    <cellStyle name="Note 2 5 2 4 2" xfId="27606" xr:uid="{00000000-0005-0000-0000-000038560000}"/>
    <cellStyle name="Note 2 5 2 4 2 2" xfId="11165" xr:uid="{00000000-0005-0000-0000-000039560000}"/>
    <cellStyle name="Note 2 5 2 4 2 3" xfId="11172" xr:uid="{00000000-0005-0000-0000-00003A560000}"/>
    <cellStyle name="Note 2 5 2 4 2 4" xfId="11179" xr:uid="{00000000-0005-0000-0000-00003B560000}"/>
    <cellStyle name="Note 2 5 2 4 3" xfId="27607" xr:uid="{00000000-0005-0000-0000-00003C560000}"/>
    <cellStyle name="Note 2 5 2 4 3 2" xfId="11193" xr:uid="{00000000-0005-0000-0000-00003D560000}"/>
    <cellStyle name="Note 2 5 2 4 3 3" xfId="11200" xr:uid="{00000000-0005-0000-0000-00003E560000}"/>
    <cellStyle name="Note 2 5 2 4 3 4" xfId="11203" xr:uid="{00000000-0005-0000-0000-00003F560000}"/>
    <cellStyle name="Note 2 5 2 4 4" xfId="27608" xr:uid="{00000000-0005-0000-0000-000040560000}"/>
    <cellStyle name="Note 2 5 2 4 4 2" xfId="11222" xr:uid="{00000000-0005-0000-0000-000041560000}"/>
    <cellStyle name="Note 2 5 2 4 4 3" xfId="11230" xr:uid="{00000000-0005-0000-0000-000042560000}"/>
    <cellStyle name="Note 2 5 2 4 5" xfId="27609" xr:uid="{00000000-0005-0000-0000-000043560000}"/>
    <cellStyle name="Note 2 5 2 4 5 2" xfId="11250" xr:uid="{00000000-0005-0000-0000-000044560000}"/>
    <cellStyle name="Note 2 5 2 4 5 3" xfId="11253" xr:uid="{00000000-0005-0000-0000-000045560000}"/>
    <cellStyle name="Note 2 5 2 4 6" xfId="17141" xr:uid="{00000000-0005-0000-0000-000046560000}"/>
    <cellStyle name="Note 2 5 2 4 7" xfId="17143" xr:uid="{00000000-0005-0000-0000-000047560000}"/>
    <cellStyle name="Note 2 5 2 5" xfId="21858" xr:uid="{00000000-0005-0000-0000-000048560000}"/>
    <cellStyle name="Note 2 5 2 5 2" xfId="27610" xr:uid="{00000000-0005-0000-0000-000049560000}"/>
    <cellStyle name="Note 2 5 2 5 2 2" xfId="11455" xr:uid="{00000000-0005-0000-0000-00004A560000}"/>
    <cellStyle name="Note 2 5 2 5 2 3" xfId="11461" xr:uid="{00000000-0005-0000-0000-00004B560000}"/>
    <cellStyle name="Note 2 5 2 5 2 4" xfId="11468" xr:uid="{00000000-0005-0000-0000-00004C560000}"/>
    <cellStyle name="Note 2 5 2 5 3" xfId="27611" xr:uid="{00000000-0005-0000-0000-00004D560000}"/>
    <cellStyle name="Note 2 5 2 5 3 2" xfId="11481" xr:uid="{00000000-0005-0000-0000-00004E560000}"/>
    <cellStyle name="Note 2 5 2 5 3 3" xfId="11486" xr:uid="{00000000-0005-0000-0000-00004F560000}"/>
    <cellStyle name="Note 2 5 2 5 3 4" xfId="11488" xr:uid="{00000000-0005-0000-0000-000050560000}"/>
    <cellStyle name="Note 2 5 2 5 4" xfId="27612" xr:uid="{00000000-0005-0000-0000-000051560000}"/>
    <cellStyle name="Note 2 5 2 5 4 2" xfId="11504" xr:uid="{00000000-0005-0000-0000-000052560000}"/>
    <cellStyle name="Note 2 5 2 5 4 3" xfId="1989" xr:uid="{00000000-0005-0000-0000-000053560000}"/>
    <cellStyle name="Note 2 5 2 5 5" xfId="27613" xr:uid="{00000000-0005-0000-0000-000054560000}"/>
    <cellStyle name="Note 2 5 2 5 5 2" xfId="11521" xr:uid="{00000000-0005-0000-0000-000055560000}"/>
    <cellStyle name="Note 2 5 2 5 5 3" xfId="11523" xr:uid="{00000000-0005-0000-0000-000056560000}"/>
    <cellStyle name="Note 2 5 2 5 6" xfId="17152" xr:uid="{00000000-0005-0000-0000-000057560000}"/>
    <cellStyle name="Note 2 5 2 5 7" xfId="17154" xr:uid="{00000000-0005-0000-0000-000058560000}"/>
    <cellStyle name="Note 2 5 2 6" xfId="21861" xr:uid="{00000000-0005-0000-0000-000059560000}"/>
    <cellStyle name="Note 2 5 2 6 2" xfId="24793" xr:uid="{00000000-0005-0000-0000-00005A560000}"/>
    <cellStyle name="Note 2 5 2 6 2 2" xfId="24843" xr:uid="{00000000-0005-0000-0000-00005B560000}"/>
    <cellStyle name="Note 2 5 2 6 2 3" xfId="24869" xr:uid="{00000000-0005-0000-0000-00005C560000}"/>
    <cellStyle name="Note 2 5 2 6 2 4" xfId="24894" xr:uid="{00000000-0005-0000-0000-00005D560000}"/>
    <cellStyle name="Note 2 5 2 6 3" xfId="24929" xr:uid="{00000000-0005-0000-0000-00005E560000}"/>
    <cellStyle name="Note 2 5 2 6 3 2" xfId="24986" xr:uid="{00000000-0005-0000-0000-00005F560000}"/>
    <cellStyle name="Note 2 5 2 6 3 3" xfId="25057" xr:uid="{00000000-0005-0000-0000-000060560000}"/>
    <cellStyle name="Note 2 5 2 6 3 4" xfId="25185" xr:uid="{00000000-0005-0000-0000-000061560000}"/>
    <cellStyle name="Note 2 5 2 6 4" xfId="25269" xr:uid="{00000000-0005-0000-0000-000062560000}"/>
    <cellStyle name="Note 2 5 2 6 4 2" xfId="22545" xr:uid="{00000000-0005-0000-0000-000063560000}"/>
    <cellStyle name="Note 2 5 2 6 4 3" xfId="25464" xr:uid="{00000000-0005-0000-0000-000064560000}"/>
    <cellStyle name="Note 2 5 2 6 5" xfId="25607" xr:uid="{00000000-0005-0000-0000-000065560000}"/>
    <cellStyle name="Note 2 5 2 6 5 2" xfId="14740" xr:uid="{00000000-0005-0000-0000-000066560000}"/>
    <cellStyle name="Note 2 5 2 6 5 3" xfId="14744" xr:uid="{00000000-0005-0000-0000-000067560000}"/>
    <cellStyle name="Note 2 5 2 6 6" xfId="17161" xr:uid="{00000000-0005-0000-0000-000068560000}"/>
    <cellStyle name="Note 2 5 2 6 7" xfId="17165" xr:uid="{00000000-0005-0000-0000-000069560000}"/>
    <cellStyle name="Note 2 5 2 7" xfId="21863" xr:uid="{00000000-0005-0000-0000-00006A560000}"/>
    <cellStyle name="Note 2 5 2 7 2" xfId="27614" xr:uid="{00000000-0005-0000-0000-00006B560000}"/>
    <cellStyle name="Note 2 5 2 7 2 2" xfId="25369" xr:uid="{00000000-0005-0000-0000-00006C560000}"/>
    <cellStyle name="Note 2 5 2 7 2 3" xfId="25373" xr:uid="{00000000-0005-0000-0000-00006D560000}"/>
    <cellStyle name="Note 2 5 2 7 2 4" xfId="25381" xr:uid="{00000000-0005-0000-0000-00006E560000}"/>
    <cellStyle name="Note 2 5 2 7 3" xfId="27615" xr:uid="{00000000-0005-0000-0000-00006F560000}"/>
    <cellStyle name="Note 2 5 2 7 3 2" xfId="25390" xr:uid="{00000000-0005-0000-0000-000070560000}"/>
    <cellStyle name="Note 2 5 2 7 3 3" xfId="25394" xr:uid="{00000000-0005-0000-0000-000071560000}"/>
    <cellStyle name="Note 2 5 2 7 3 4" xfId="25398" xr:uid="{00000000-0005-0000-0000-000072560000}"/>
    <cellStyle name="Note 2 5 2 7 4" xfId="27616" xr:uid="{00000000-0005-0000-0000-000073560000}"/>
    <cellStyle name="Note 2 5 2 7 4 2" xfId="22566" xr:uid="{00000000-0005-0000-0000-000074560000}"/>
    <cellStyle name="Note 2 5 2 7 4 3" xfId="2039" xr:uid="{00000000-0005-0000-0000-000075560000}"/>
    <cellStyle name="Note 2 5 2 7 5" xfId="27617" xr:uid="{00000000-0005-0000-0000-000076560000}"/>
    <cellStyle name="Note 2 5 2 7 5 2" xfId="22577" xr:uid="{00000000-0005-0000-0000-000077560000}"/>
    <cellStyle name="Note 2 5 2 7 5 3" xfId="25416" xr:uid="{00000000-0005-0000-0000-000078560000}"/>
    <cellStyle name="Note 2 5 2 7 6" xfId="27618" xr:uid="{00000000-0005-0000-0000-000079560000}"/>
    <cellStyle name="Note 2 5 2 7 7" xfId="27619" xr:uid="{00000000-0005-0000-0000-00007A560000}"/>
    <cellStyle name="Note 2 5 2 8" xfId="27620" xr:uid="{00000000-0005-0000-0000-00007B560000}"/>
    <cellStyle name="Note 2 5 2 8 2" xfId="27621" xr:uid="{00000000-0005-0000-0000-00007C560000}"/>
    <cellStyle name="Note 2 5 2 8 2 2" xfId="25516" xr:uid="{00000000-0005-0000-0000-00007D560000}"/>
    <cellStyle name="Note 2 5 2 8 2 3" xfId="25520" xr:uid="{00000000-0005-0000-0000-00007E560000}"/>
    <cellStyle name="Note 2 5 2 8 2 4" xfId="25524" xr:uid="{00000000-0005-0000-0000-00007F560000}"/>
    <cellStyle name="Note 2 5 2 8 3" xfId="27622" xr:uid="{00000000-0005-0000-0000-000080560000}"/>
    <cellStyle name="Note 2 5 2 8 3 2" xfId="7259" xr:uid="{00000000-0005-0000-0000-000081560000}"/>
    <cellStyle name="Note 2 5 2 8 3 3" xfId="7280" xr:uid="{00000000-0005-0000-0000-000082560000}"/>
    <cellStyle name="Note 2 5 2 8 3 4" xfId="7295" xr:uid="{00000000-0005-0000-0000-000083560000}"/>
    <cellStyle name="Note 2 5 2 8 4" xfId="27623" xr:uid="{00000000-0005-0000-0000-000084560000}"/>
    <cellStyle name="Note 2 5 2 8 4 2" xfId="7673" xr:uid="{00000000-0005-0000-0000-000085560000}"/>
    <cellStyle name="Note 2 5 2 8 4 3" xfId="7705" xr:uid="{00000000-0005-0000-0000-000086560000}"/>
    <cellStyle name="Note 2 5 2 8 5" xfId="27624" xr:uid="{00000000-0005-0000-0000-000087560000}"/>
    <cellStyle name="Note 2 5 2 8 5 2" xfId="7955" xr:uid="{00000000-0005-0000-0000-000088560000}"/>
    <cellStyle name="Note 2 5 2 8 5 3" xfId="7964" xr:uid="{00000000-0005-0000-0000-000089560000}"/>
    <cellStyle name="Note 2 5 2 8 6" xfId="27625" xr:uid="{00000000-0005-0000-0000-00008A560000}"/>
    <cellStyle name="Note 2 5 2 8 7" xfId="27627" xr:uid="{00000000-0005-0000-0000-00008B560000}"/>
    <cellStyle name="Note 2 5 2 9" xfId="10608" xr:uid="{00000000-0005-0000-0000-00008C560000}"/>
    <cellStyle name="Note 2 5 2 9 2" xfId="27629" xr:uid="{00000000-0005-0000-0000-00008D560000}"/>
    <cellStyle name="Note 2 5 2 9 2 2" xfId="25534" xr:uid="{00000000-0005-0000-0000-00008E560000}"/>
    <cellStyle name="Note 2 5 2 9 2 3" xfId="27630" xr:uid="{00000000-0005-0000-0000-00008F560000}"/>
    <cellStyle name="Note 2 5 2 9 2 4" xfId="27631" xr:uid="{00000000-0005-0000-0000-000090560000}"/>
    <cellStyle name="Note 2 5 2 9 3" xfId="27632" xr:uid="{00000000-0005-0000-0000-000091560000}"/>
    <cellStyle name="Note 2 5 2 9 3 2" xfId="8489" xr:uid="{00000000-0005-0000-0000-000092560000}"/>
    <cellStyle name="Note 2 5 2 9 3 3" xfId="8506" xr:uid="{00000000-0005-0000-0000-000093560000}"/>
    <cellStyle name="Note 2 5 2 9 3 4" xfId="8521" xr:uid="{00000000-0005-0000-0000-000094560000}"/>
    <cellStyle name="Note 2 5 2 9 4" xfId="27633" xr:uid="{00000000-0005-0000-0000-000095560000}"/>
    <cellStyle name="Note 2 5 2 9 4 2" xfId="8690" xr:uid="{00000000-0005-0000-0000-000096560000}"/>
    <cellStyle name="Note 2 5 2 9 4 3" xfId="8716" xr:uid="{00000000-0005-0000-0000-000097560000}"/>
    <cellStyle name="Note 2 5 2 9 5" xfId="27635" xr:uid="{00000000-0005-0000-0000-000098560000}"/>
    <cellStyle name="Note 2 5 2 9 5 2" xfId="8866" xr:uid="{00000000-0005-0000-0000-000099560000}"/>
    <cellStyle name="Note 2 5 2 9 5 3" xfId="8874" xr:uid="{00000000-0005-0000-0000-00009A560000}"/>
    <cellStyle name="Note 2 5 2 9 6" xfId="27636" xr:uid="{00000000-0005-0000-0000-00009B560000}"/>
    <cellStyle name="Note 2 5 2 9 7" xfId="190" xr:uid="{00000000-0005-0000-0000-00009C560000}"/>
    <cellStyle name="Note 2 5 20" xfId="12976" xr:uid="{00000000-0005-0000-0000-00009D560000}"/>
    <cellStyle name="Note 2 5 21" xfId="12982" xr:uid="{00000000-0005-0000-0000-00009E560000}"/>
    <cellStyle name="Note 2 5 22" xfId="12987" xr:uid="{00000000-0005-0000-0000-00009F560000}"/>
    <cellStyle name="Note 2 5 23" xfId="14408" xr:uid="{00000000-0005-0000-0000-0000A0560000}"/>
    <cellStyle name="Note 2 5 24" xfId="14415" xr:uid="{00000000-0005-0000-0000-0000A1560000}"/>
    <cellStyle name="Note 2 5 25" xfId="14420" xr:uid="{00000000-0005-0000-0000-0000A2560000}"/>
    <cellStyle name="Note 2 5 26" xfId="14424" xr:uid="{00000000-0005-0000-0000-0000A3560000}"/>
    <cellStyle name="Note 2 5 27" xfId="14428" xr:uid="{00000000-0005-0000-0000-0000A4560000}"/>
    <cellStyle name="Note 2 5 28" xfId="14431" xr:uid="{00000000-0005-0000-0000-0000A5560000}"/>
    <cellStyle name="Note 2 5 29" xfId="27639" xr:uid="{00000000-0005-0000-0000-0000A6560000}"/>
    <cellStyle name="Note 2 5 3" xfId="12208" xr:uid="{00000000-0005-0000-0000-0000A7560000}"/>
    <cellStyle name="Note 2 5 3 10" xfId="27641" xr:uid="{00000000-0005-0000-0000-0000A8560000}"/>
    <cellStyle name="Note 2 5 3 10 2" xfId="27642" xr:uid="{00000000-0005-0000-0000-0000A9560000}"/>
    <cellStyle name="Note 2 5 3 10 2 2" xfId="20591" xr:uid="{00000000-0005-0000-0000-0000AA560000}"/>
    <cellStyle name="Note 2 5 3 10 2 3" xfId="27643" xr:uid="{00000000-0005-0000-0000-0000AB560000}"/>
    <cellStyle name="Note 2 5 3 10 2 4" xfId="26492" xr:uid="{00000000-0005-0000-0000-0000AC560000}"/>
    <cellStyle name="Note 2 5 3 10 3" xfId="13439" xr:uid="{00000000-0005-0000-0000-0000AD560000}"/>
    <cellStyle name="Note 2 5 3 10 3 2" xfId="20595" xr:uid="{00000000-0005-0000-0000-0000AE560000}"/>
    <cellStyle name="Note 2 5 3 10 3 3" xfId="27644" xr:uid="{00000000-0005-0000-0000-0000AF560000}"/>
    <cellStyle name="Note 2 5 3 10 3 4" xfId="27645" xr:uid="{00000000-0005-0000-0000-0000B0560000}"/>
    <cellStyle name="Note 2 5 3 10 4" xfId="13441" xr:uid="{00000000-0005-0000-0000-0000B1560000}"/>
    <cellStyle name="Note 2 5 3 10 4 2" xfId="27646" xr:uid="{00000000-0005-0000-0000-0000B2560000}"/>
    <cellStyle name="Note 2 5 3 10 4 3" xfId="27647" xr:uid="{00000000-0005-0000-0000-0000B3560000}"/>
    <cellStyle name="Note 2 5 3 10 5" xfId="13443" xr:uid="{00000000-0005-0000-0000-0000B4560000}"/>
    <cellStyle name="Note 2 5 3 10 5 2" xfId="27648" xr:uid="{00000000-0005-0000-0000-0000B5560000}"/>
    <cellStyle name="Note 2 5 3 10 5 3" xfId="27649" xr:uid="{00000000-0005-0000-0000-0000B6560000}"/>
    <cellStyle name="Note 2 5 3 10 6" xfId="8765" xr:uid="{00000000-0005-0000-0000-0000B7560000}"/>
    <cellStyle name="Note 2 5 3 10 7" xfId="2624" xr:uid="{00000000-0005-0000-0000-0000B8560000}"/>
    <cellStyle name="Note 2 5 3 11" xfId="17973" xr:uid="{00000000-0005-0000-0000-0000B9560000}"/>
    <cellStyle name="Note 2 5 3 11 2" xfId="17975" xr:uid="{00000000-0005-0000-0000-0000BA560000}"/>
    <cellStyle name="Note 2 5 3 11 3" xfId="13447" xr:uid="{00000000-0005-0000-0000-0000BB560000}"/>
    <cellStyle name="Note 2 5 3 11 4" xfId="13450" xr:uid="{00000000-0005-0000-0000-0000BC560000}"/>
    <cellStyle name="Note 2 5 3 12" xfId="17978" xr:uid="{00000000-0005-0000-0000-0000BD560000}"/>
    <cellStyle name="Note 2 5 3 12 2" xfId="17981" xr:uid="{00000000-0005-0000-0000-0000BE560000}"/>
    <cellStyle name="Note 2 5 3 12 3" xfId="13459" xr:uid="{00000000-0005-0000-0000-0000BF560000}"/>
    <cellStyle name="Note 2 5 3 12 4" xfId="13462" xr:uid="{00000000-0005-0000-0000-0000C0560000}"/>
    <cellStyle name="Note 2 5 3 13" xfId="17984" xr:uid="{00000000-0005-0000-0000-0000C1560000}"/>
    <cellStyle name="Note 2 5 3 13 2" xfId="17986" xr:uid="{00000000-0005-0000-0000-0000C2560000}"/>
    <cellStyle name="Note 2 5 3 13 3" xfId="13468" xr:uid="{00000000-0005-0000-0000-0000C3560000}"/>
    <cellStyle name="Note 2 5 3 14" xfId="17988" xr:uid="{00000000-0005-0000-0000-0000C4560000}"/>
    <cellStyle name="Note 2 5 3 14 2" xfId="17990" xr:uid="{00000000-0005-0000-0000-0000C5560000}"/>
    <cellStyle name="Note 2 5 3 14 3" xfId="13473" xr:uid="{00000000-0005-0000-0000-0000C6560000}"/>
    <cellStyle name="Note 2 5 3 15" xfId="17992" xr:uid="{00000000-0005-0000-0000-0000C7560000}"/>
    <cellStyle name="Note 2 5 3 16" xfId="17995" xr:uid="{00000000-0005-0000-0000-0000C8560000}"/>
    <cellStyle name="Note 2 5 3 17" xfId="24919" xr:uid="{00000000-0005-0000-0000-0000C9560000}"/>
    <cellStyle name="Note 2 5 3 18" xfId="24921" xr:uid="{00000000-0005-0000-0000-0000CA560000}"/>
    <cellStyle name="Note 2 5 3 2" xfId="27650" xr:uid="{00000000-0005-0000-0000-0000CB560000}"/>
    <cellStyle name="Note 2 5 3 2 2" xfId="114" xr:uid="{00000000-0005-0000-0000-0000CC560000}"/>
    <cellStyle name="Note 2 5 3 2 2 2" xfId="27651" xr:uid="{00000000-0005-0000-0000-0000CD560000}"/>
    <cellStyle name="Note 2 5 3 2 2 3" xfId="20990" xr:uid="{00000000-0005-0000-0000-0000CE560000}"/>
    <cellStyle name="Note 2 5 3 2 2 4" xfId="20994" xr:uid="{00000000-0005-0000-0000-0000CF560000}"/>
    <cellStyle name="Note 2 5 3 2 3" xfId="27655" xr:uid="{00000000-0005-0000-0000-0000D0560000}"/>
    <cellStyle name="Note 2 5 3 2 3 2" xfId="27658" xr:uid="{00000000-0005-0000-0000-0000D1560000}"/>
    <cellStyle name="Note 2 5 3 2 3 3" xfId="20999" xr:uid="{00000000-0005-0000-0000-0000D2560000}"/>
    <cellStyle name="Note 2 5 3 2 3 4" xfId="21002" xr:uid="{00000000-0005-0000-0000-0000D3560000}"/>
    <cellStyle name="Note 2 5 3 2 4" xfId="25680" xr:uid="{00000000-0005-0000-0000-0000D4560000}"/>
    <cellStyle name="Note 2 5 3 2 4 2" xfId="27660" xr:uid="{00000000-0005-0000-0000-0000D5560000}"/>
    <cellStyle name="Note 2 5 3 2 4 3" xfId="21005" xr:uid="{00000000-0005-0000-0000-0000D6560000}"/>
    <cellStyle name="Note 2 5 3 2 5" xfId="25684" xr:uid="{00000000-0005-0000-0000-0000D7560000}"/>
    <cellStyle name="Note 2 5 3 2 5 2" xfId="27662" xr:uid="{00000000-0005-0000-0000-0000D8560000}"/>
    <cellStyle name="Note 2 5 3 2 5 3" xfId="27663" xr:uid="{00000000-0005-0000-0000-0000D9560000}"/>
    <cellStyle name="Note 2 5 3 2 6" xfId="27664" xr:uid="{00000000-0005-0000-0000-0000DA560000}"/>
    <cellStyle name="Note 2 5 3 2 7" xfId="27666" xr:uid="{00000000-0005-0000-0000-0000DB560000}"/>
    <cellStyle name="Note 2 5 3 3" xfId="27667" xr:uid="{00000000-0005-0000-0000-0000DC560000}"/>
    <cellStyle name="Note 2 5 3 3 2" xfId="27668" xr:uid="{00000000-0005-0000-0000-0000DD560000}"/>
    <cellStyle name="Note 2 5 3 3 2 2" xfId="27670" xr:uid="{00000000-0005-0000-0000-0000DE560000}"/>
    <cellStyle name="Note 2 5 3 3 2 3" xfId="27672" xr:uid="{00000000-0005-0000-0000-0000DF560000}"/>
    <cellStyle name="Note 2 5 3 3 2 4" xfId="27674" xr:uid="{00000000-0005-0000-0000-0000E0560000}"/>
    <cellStyle name="Note 2 5 3 3 3" xfId="27676" xr:uid="{00000000-0005-0000-0000-0000E1560000}"/>
    <cellStyle name="Note 2 5 3 3 3 2" xfId="27678" xr:uid="{00000000-0005-0000-0000-0000E2560000}"/>
    <cellStyle name="Note 2 5 3 3 3 3" xfId="27680" xr:uid="{00000000-0005-0000-0000-0000E3560000}"/>
    <cellStyle name="Note 2 5 3 3 3 4" xfId="27683" xr:uid="{00000000-0005-0000-0000-0000E4560000}"/>
    <cellStyle name="Note 2 5 3 3 4" xfId="25688" xr:uid="{00000000-0005-0000-0000-0000E5560000}"/>
    <cellStyle name="Note 2 5 3 3 4 2" xfId="23474" xr:uid="{00000000-0005-0000-0000-0000E6560000}"/>
    <cellStyle name="Note 2 5 3 3 4 3" xfId="23477" xr:uid="{00000000-0005-0000-0000-0000E7560000}"/>
    <cellStyle name="Note 2 5 3 3 5" xfId="25691" xr:uid="{00000000-0005-0000-0000-0000E8560000}"/>
    <cellStyle name="Note 2 5 3 3 5 2" xfId="27684" xr:uid="{00000000-0005-0000-0000-0000E9560000}"/>
    <cellStyle name="Note 2 5 3 3 5 3" xfId="27685" xr:uid="{00000000-0005-0000-0000-0000EA560000}"/>
    <cellStyle name="Note 2 5 3 3 6" xfId="17175" xr:uid="{00000000-0005-0000-0000-0000EB560000}"/>
    <cellStyle name="Note 2 5 3 3 7" xfId="17178" xr:uid="{00000000-0005-0000-0000-0000EC560000}"/>
    <cellStyle name="Note 2 5 3 4" xfId="27686" xr:uid="{00000000-0005-0000-0000-0000ED560000}"/>
    <cellStyle name="Note 2 5 3 4 2" xfId="27687" xr:uid="{00000000-0005-0000-0000-0000EE560000}"/>
    <cellStyle name="Note 2 5 3 4 2 2" xfId="11991" xr:uid="{00000000-0005-0000-0000-0000EF560000}"/>
    <cellStyle name="Note 2 5 3 4 2 3" xfId="12005" xr:uid="{00000000-0005-0000-0000-0000F0560000}"/>
    <cellStyle name="Note 2 5 3 4 2 4" xfId="12017" xr:uid="{00000000-0005-0000-0000-0000F1560000}"/>
    <cellStyle name="Note 2 5 3 4 3" xfId="27689" xr:uid="{00000000-0005-0000-0000-0000F2560000}"/>
    <cellStyle name="Note 2 5 3 4 3 2" xfId="12045" xr:uid="{00000000-0005-0000-0000-0000F3560000}"/>
    <cellStyle name="Note 2 5 3 4 3 3" xfId="12058" xr:uid="{00000000-0005-0000-0000-0000F4560000}"/>
    <cellStyle name="Note 2 5 3 4 3 4" xfId="12069" xr:uid="{00000000-0005-0000-0000-0000F5560000}"/>
    <cellStyle name="Note 2 5 3 4 4" xfId="27691" xr:uid="{00000000-0005-0000-0000-0000F6560000}"/>
    <cellStyle name="Note 2 5 3 4 4 2" xfId="12089" xr:uid="{00000000-0005-0000-0000-0000F7560000}"/>
    <cellStyle name="Note 2 5 3 4 4 3" xfId="12100" xr:uid="{00000000-0005-0000-0000-0000F8560000}"/>
    <cellStyle name="Note 2 5 3 4 5" xfId="27693" xr:uid="{00000000-0005-0000-0000-0000F9560000}"/>
    <cellStyle name="Note 2 5 3 4 5 2" xfId="12129" xr:uid="{00000000-0005-0000-0000-0000FA560000}"/>
    <cellStyle name="Note 2 5 3 4 5 3" xfId="12137" xr:uid="{00000000-0005-0000-0000-0000FB560000}"/>
    <cellStyle name="Note 2 5 3 4 6" xfId="17183" xr:uid="{00000000-0005-0000-0000-0000FC560000}"/>
    <cellStyle name="Note 2 5 3 4 7" xfId="17186" xr:uid="{00000000-0005-0000-0000-0000FD560000}"/>
    <cellStyle name="Note 2 5 3 5" xfId="21867" xr:uid="{00000000-0005-0000-0000-0000FE560000}"/>
    <cellStyle name="Note 2 5 3 5 2" xfId="11279" xr:uid="{00000000-0005-0000-0000-0000FF560000}"/>
    <cellStyle name="Note 2 5 3 5 2 2" xfId="11283" xr:uid="{00000000-0005-0000-0000-000000570000}"/>
    <cellStyle name="Note 2 5 3 5 2 3" xfId="11288" xr:uid="{00000000-0005-0000-0000-000001570000}"/>
    <cellStyle name="Note 2 5 3 5 2 4" xfId="12313" xr:uid="{00000000-0005-0000-0000-000002570000}"/>
    <cellStyle name="Note 2 5 3 5 3" xfId="11292" xr:uid="{00000000-0005-0000-0000-000003570000}"/>
    <cellStyle name="Note 2 5 3 5 3 2" xfId="11296" xr:uid="{00000000-0005-0000-0000-000004570000}"/>
    <cellStyle name="Note 2 5 3 5 3 3" xfId="11302" xr:uid="{00000000-0005-0000-0000-000005570000}"/>
    <cellStyle name="Note 2 5 3 5 3 4" xfId="12367" xr:uid="{00000000-0005-0000-0000-000006570000}"/>
    <cellStyle name="Note 2 5 3 5 4" xfId="11307" xr:uid="{00000000-0005-0000-0000-000007570000}"/>
    <cellStyle name="Note 2 5 3 5 4 2" xfId="12398" xr:uid="{00000000-0005-0000-0000-000008570000}"/>
    <cellStyle name="Note 2 5 3 5 4 3" xfId="12408" xr:uid="{00000000-0005-0000-0000-000009570000}"/>
    <cellStyle name="Note 2 5 3 5 5" xfId="11310" xr:uid="{00000000-0005-0000-0000-00000A570000}"/>
    <cellStyle name="Note 2 5 3 5 5 2" xfId="12457" xr:uid="{00000000-0005-0000-0000-00000B570000}"/>
    <cellStyle name="Note 2 5 3 5 5 3" xfId="12469" xr:uid="{00000000-0005-0000-0000-00000C570000}"/>
    <cellStyle name="Note 2 5 3 5 6" xfId="17193" xr:uid="{00000000-0005-0000-0000-00000D570000}"/>
    <cellStyle name="Note 2 5 3 5 7" xfId="17196" xr:uid="{00000000-0005-0000-0000-00000E570000}"/>
    <cellStyle name="Note 2 5 3 6" xfId="21869" xr:uid="{00000000-0005-0000-0000-00000F570000}"/>
    <cellStyle name="Note 2 5 3 6 2" xfId="11317" xr:uid="{00000000-0005-0000-0000-000010570000}"/>
    <cellStyle name="Note 2 5 3 6 2 2" xfId="14717" xr:uid="{00000000-0005-0000-0000-000011570000}"/>
    <cellStyle name="Note 2 5 3 6 2 3" xfId="27695" xr:uid="{00000000-0005-0000-0000-000012570000}"/>
    <cellStyle name="Note 2 5 3 6 2 4" xfId="27698" xr:uid="{00000000-0005-0000-0000-000013570000}"/>
    <cellStyle name="Note 2 5 3 6 3" xfId="27700" xr:uid="{00000000-0005-0000-0000-000014570000}"/>
    <cellStyle name="Note 2 5 3 6 3 2" xfId="19247" xr:uid="{00000000-0005-0000-0000-000015570000}"/>
    <cellStyle name="Note 2 5 3 6 3 3" xfId="19458" xr:uid="{00000000-0005-0000-0000-000016570000}"/>
    <cellStyle name="Note 2 5 3 6 3 4" xfId="19463" xr:uid="{00000000-0005-0000-0000-000017570000}"/>
    <cellStyle name="Note 2 5 3 6 4" xfId="27702" xr:uid="{00000000-0005-0000-0000-000018570000}"/>
    <cellStyle name="Note 2 5 3 6 4 2" xfId="27704" xr:uid="{00000000-0005-0000-0000-000019570000}"/>
    <cellStyle name="Note 2 5 3 6 4 3" xfId="27707" xr:uid="{00000000-0005-0000-0000-00001A570000}"/>
    <cellStyle name="Note 2 5 3 6 5" xfId="27709" xr:uid="{00000000-0005-0000-0000-00001B570000}"/>
    <cellStyle name="Note 2 5 3 6 5 2" xfId="27711" xr:uid="{00000000-0005-0000-0000-00001C570000}"/>
    <cellStyle name="Note 2 5 3 6 5 3" xfId="1815" xr:uid="{00000000-0005-0000-0000-00001D570000}"/>
    <cellStyle name="Note 2 5 3 6 6" xfId="17198" xr:uid="{00000000-0005-0000-0000-00001E570000}"/>
    <cellStyle name="Note 2 5 3 6 7" xfId="17201" xr:uid="{00000000-0005-0000-0000-00001F570000}"/>
    <cellStyle name="Note 2 5 3 7" xfId="21871" xr:uid="{00000000-0005-0000-0000-000020570000}"/>
    <cellStyle name="Note 2 5 3 7 2" xfId="11326" xr:uid="{00000000-0005-0000-0000-000021570000}"/>
    <cellStyle name="Note 2 5 3 7 2 2" xfId="25634" xr:uid="{00000000-0005-0000-0000-000022570000}"/>
    <cellStyle name="Note 2 5 3 7 2 3" xfId="21230" xr:uid="{00000000-0005-0000-0000-000023570000}"/>
    <cellStyle name="Note 2 5 3 7 2 4" xfId="21232" xr:uid="{00000000-0005-0000-0000-000024570000}"/>
    <cellStyle name="Note 2 5 3 7 3" xfId="27714" xr:uid="{00000000-0005-0000-0000-000025570000}"/>
    <cellStyle name="Note 2 5 3 7 3 2" xfId="22282" xr:uid="{00000000-0005-0000-0000-000026570000}"/>
    <cellStyle name="Note 2 5 3 7 3 3" xfId="21235" xr:uid="{00000000-0005-0000-0000-000027570000}"/>
    <cellStyle name="Note 2 5 3 7 3 4" xfId="21237" xr:uid="{00000000-0005-0000-0000-000028570000}"/>
    <cellStyle name="Note 2 5 3 7 4" xfId="27716" xr:uid="{00000000-0005-0000-0000-000029570000}"/>
    <cellStyle name="Note 2 5 3 7 4 2" xfId="23803" xr:uid="{00000000-0005-0000-0000-00002A570000}"/>
    <cellStyle name="Note 2 5 3 7 4 3" xfId="21240" xr:uid="{00000000-0005-0000-0000-00002B570000}"/>
    <cellStyle name="Note 2 5 3 7 5" xfId="27717" xr:uid="{00000000-0005-0000-0000-00002C570000}"/>
    <cellStyle name="Note 2 5 3 7 5 2" xfId="27718" xr:uid="{00000000-0005-0000-0000-00002D570000}"/>
    <cellStyle name="Note 2 5 3 7 5 3" xfId="27719" xr:uid="{00000000-0005-0000-0000-00002E570000}"/>
    <cellStyle name="Note 2 5 3 7 6" xfId="27720" xr:uid="{00000000-0005-0000-0000-00002F570000}"/>
    <cellStyle name="Note 2 5 3 7 7" xfId="27721" xr:uid="{00000000-0005-0000-0000-000030570000}"/>
    <cellStyle name="Note 2 5 3 8" xfId="27722" xr:uid="{00000000-0005-0000-0000-000031570000}"/>
    <cellStyle name="Note 2 5 3 8 2" xfId="27723" xr:uid="{00000000-0005-0000-0000-000032570000}"/>
    <cellStyle name="Note 2 5 3 8 2 2" xfId="25642" xr:uid="{00000000-0005-0000-0000-000033570000}"/>
    <cellStyle name="Note 2 5 3 8 2 3" xfId="27725" xr:uid="{00000000-0005-0000-0000-000034570000}"/>
    <cellStyle name="Note 2 5 3 8 2 4" xfId="27726" xr:uid="{00000000-0005-0000-0000-000035570000}"/>
    <cellStyle name="Note 2 5 3 8 3" xfId="27727" xr:uid="{00000000-0005-0000-0000-000036570000}"/>
    <cellStyle name="Note 2 5 3 8 3 2" xfId="27729" xr:uid="{00000000-0005-0000-0000-000037570000}"/>
    <cellStyle name="Note 2 5 3 8 3 3" xfId="27730" xr:uid="{00000000-0005-0000-0000-000038570000}"/>
    <cellStyle name="Note 2 5 3 8 3 4" xfId="27731" xr:uid="{00000000-0005-0000-0000-000039570000}"/>
    <cellStyle name="Note 2 5 3 8 4" xfId="27732" xr:uid="{00000000-0005-0000-0000-00003A570000}"/>
    <cellStyle name="Note 2 5 3 8 4 2" xfId="27733" xr:uid="{00000000-0005-0000-0000-00003B570000}"/>
    <cellStyle name="Note 2 5 3 8 4 3" xfId="27734" xr:uid="{00000000-0005-0000-0000-00003C570000}"/>
    <cellStyle name="Note 2 5 3 8 5" xfId="27735" xr:uid="{00000000-0005-0000-0000-00003D570000}"/>
    <cellStyle name="Note 2 5 3 8 5 2" xfId="27736" xr:uid="{00000000-0005-0000-0000-00003E570000}"/>
    <cellStyle name="Note 2 5 3 8 5 3" xfId="27737" xr:uid="{00000000-0005-0000-0000-00003F570000}"/>
    <cellStyle name="Note 2 5 3 8 6" xfId="27738" xr:uid="{00000000-0005-0000-0000-000040570000}"/>
    <cellStyle name="Note 2 5 3 8 7" xfId="27740" xr:uid="{00000000-0005-0000-0000-000041570000}"/>
    <cellStyle name="Note 2 5 3 9" xfId="10617" xr:uid="{00000000-0005-0000-0000-000042570000}"/>
    <cellStyle name="Note 2 5 3 9 2" xfId="23827" xr:uid="{00000000-0005-0000-0000-000043570000}"/>
    <cellStyle name="Note 2 5 3 9 2 2" xfId="23831" xr:uid="{00000000-0005-0000-0000-000044570000}"/>
    <cellStyle name="Note 2 5 3 9 2 3" xfId="27742" xr:uid="{00000000-0005-0000-0000-000045570000}"/>
    <cellStyle name="Note 2 5 3 9 2 4" xfId="27743" xr:uid="{00000000-0005-0000-0000-000046570000}"/>
    <cellStyle name="Note 2 5 3 9 3" xfId="23834" xr:uid="{00000000-0005-0000-0000-000047570000}"/>
    <cellStyle name="Note 2 5 3 9 3 2" xfId="27744" xr:uid="{00000000-0005-0000-0000-000048570000}"/>
    <cellStyle name="Note 2 5 3 9 3 3" xfId="27745" xr:uid="{00000000-0005-0000-0000-000049570000}"/>
    <cellStyle name="Note 2 5 3 9 3 4" xfId="27746" xr:uid="{00000000-0005-0000-0000-00004A570000}"/>
    <cellStyle name="Note 2 5 3 9 4" xfId="17106" xr:uid="{00000000-0005-0000-0000-00004B570000}"/>
    <cellStyle name="Note 2 5 3 9 4 2" xfId="17108" xr:uid="{00000000-0005-0000-0000-00004C570000}"/>
    <cellStyle name="Note 2 5 3 9 4 3" xfId="17110" xr:uid="{00000000-0005-0000-0000-00004D570000}"/>
    <cellStyle name="Note 2 5 3 9 5" xfId="17114" xr:uid="{00000000-0005-0000-0000-00004E570000}"/>
    <cellStyle name="Note 2 5 3 9 5 2" xfId="17116" xr:uid="{00000000-0005-0000-0000-00004F570000}"/>
    <cellStyle name="Note 2 5 3 9 5 3" xfId="17118" xr:uid="{00000000-0005-0000-0000-000050570000}"/>
    <cellStyle name="Note 2 5 3 9 6" xfId="17122" xr:uid="{00000000-0005-0000-0000-000051570000}"/>
    <cellStyle name="Note 2 5 3 9 7" xfId="470" xr:uid="{00000000-0005-0000-0000-000052570000}"/>
    <cellStyle name="Note 2 5 30" xfId="14421" xr:uid="{00000000-0005-0000-0000-000053570000}"/>
    <cellStyle name="Note 2 5 4" xfId="27747" xr:uid="{00000000-0005-0000-0000-000054570000}"/>
    <cellStyle name="Note 2 5 4 2" xfId="27749" xr:uid="{00000000-0005-0000-0000-000055570000}"/>
    <cellStyle name="Note 2 5 4 2 2" xfId="27750" xr:uid="{00000000-0005-0000-0000-000056570000}"/>
    <cellStyle name="Note 2 5 4 2 3" xfId="27753" xr:uid="{00000000-0005-0000-0000-000057570000}"/>
    <cellStyle name="Note 2 5 4 2 4" xfId="25722" xr:uid="{00000000-0005-0000-0000-000058570000}"/>
    <cellStyle name="Note 2 5 4 3" xfId="27756" xr:uid="{00000000-0005-0000-0000-000059570000}"/>
    <cellStyle name="Note 2 5 4 3 2" xfId="6291" xr:uid="{00000000-0005-0000-0000-00005A570000}"/>
    <cellStyle name="Note 2 5 4 3 3" xfId="6296" xr:uid="{00000000-0005-0000-0000-00005B570000}"/>
    <cellStyle name="Note 2 5 4 3 4" xfId="25729" xr:uid="{00000000-0005-0000-0000-00005C570000}"/>
    <cellStyle name="Note 2 5 4 4" xfId="27757" xr:uid="{00000000-0005-0000-0000-00005D570000}"/>
    <cellStyle name="Note 2 5 4 4 2" xfId="291" xr:uid="{00000000-0005-0000-0000-00005E570000}"/>
    <cellStyle name="Note 2 5 4 4 3" xfId="927" xr:uid="{00000000-0005-0000-0000-00005F570000}"/>
    <cellStyle name="Note 2 5 4 5" xfId="21876" xr:uid="{00000000-0005-0000-0000-000060570000}"/>
    <cellStyle name="Note 2 5 4 5 2" xfId="6304" xr:uid="{00000000-0005-0000-0000-000061570000}"/>
    <cellStyle name="Note 2 5 4 5 3" xfId="27758" xr:uid="{00000000-0005-0000-0000-000062570000}"/>
    <cellStyle name="Note 2 5 4 6" xfId="21878" xr:uid="{00000000-0005-0000-0000-000063570000}"/>
    <cellStyle name="Note 2 5 4 7" xfId="27759" xr:uid="{00000000-0005-0000-0000-000064570000}"/>
    <cellStyle name="Note 2 5 4 8" xfId="27761" xr:uid="{00000000-0005-0000-0000-000065570000}"/>
    <cellStyle name="Note 2 5 5" xfId="27763" xr:uid="{00000000-0005-0000-0000-000066570000}"/>
    <cellStyle name="Note 2 5 5 2" xfId="27765" xr:uid="{00000000-0005-0000-0000-000067570000}"/>
    <cellStyle name="Note 2 5 5 2 2" xfId="27766" xr:uid="{00000000-0005-0000-0000-000068570000}"/>
    <cellStyle name="Note 2 5 5 2 3" xfId="27767" xr:uid="{00000000-0005-0000-0000-000069570000}"/>
    <cellStyle name="Note 2 5 5 2 4" xfId="25751" xr:uid="{00000000-0005-0000-0000-00006A570000}"/>
    <cellStyle name="Note 2 5 5 3" xfId="27768" xr:uid="{00000000-0005-0000-0000-00006B570000}"/>
    <cellStyle name="Note 2 5 5 3 2" xfId="27769" xr:uid="{00000000-0005-0000-0000-00006C570000}"/>
    <cellStyle name="Note 2 5 5 3 3" xfId="27770" xr:uid="{00000000-0005-0000-0000-00006D570000}"/>
    <cellStyle name="Note 2 5 5 3 4" xfId="25754" xr:uid="{00000000-0005-0000-0000-00006E570000}"/>
    <cellStyle name="Note 2 5 5 4" xfId="27771" xr:uid="{00000000-0005-0000-0000-00006F570000}"/>
    <cellStyle name="Note 2 5 5 4 2" xfId="27772" xr:uid="{00000000-0005-0000-0000-000070570000}"/>
    <cellStyle name="Note 2 5 5 4 3" xfId="27773" xr:uid="{00000000-0005-0000-0000-000071570000}"/>
    <cellStyle name="Note 2 5 5 5" xfId="21882" xr:uid="{00000000-0005-0000-0000-000072570000}"/>
    <cellStyle name="Note 2 5 5 5 2" xfId="27774" xr:uid="{00000000-0005-0000-0000-000073570000}"/>
    <cellStyle name="Note 2 5 5 5 3" xfId="27775" xr:uid="{00000000-0005-0000-0000-000074570000}"/>
    <cellStyle name="Note 2 5 5 6" xfId="21884" xr:uid="{00000000-0005-0000-0000-000075570000}"/>
    <cellStyle name="Note 2 5 5 7" xfId="27776" xr:uid="{00000000-0005-0000-0000-000076570000}"/>
    <cellStyle name="Note 2 5 5 8" xfId="27778" xr:uid="{00000000-0005-0000-0000-000077570000}"/>
    <cellStyle name="Note 2 5 6" xfId="27780" xr:uid="{00000000-0005-0000-0000-000078570000}"/>
    <cellStyle name="Note 2 5 6 2" xfId="9652" xr:uid="{00000000-0005-0000-0000-000079570000}"/>
    <cellStyle name="Note 2 5 6 2 2" xfId="15984" xr:uid="{00000000-0005-0000-0000-00007A570000}"/>
    <cellStyle name="Note 2 5 6 2 3" xfId="27781" xr:uid="{00000000-0005-0000-0000-00007B570000}"/>
    <cellStyle name="Note 2 5 6 2 4" xfId="25774" xr:uid="{00000000-0005-0000-0000-00007C570000}"/>
    <cellStyle name="Note 2 5 6 3" xfId="27782" xr:uid="{00000000-0005-0000-0000-00007D570000}"/>
    <cellStyle name="Note 2 5 6 3 2" xfId="19883" xr:uid="{00000000-0005-0000-0000-00007E570000}"/>
    <cellStyle name="Note 2 5 6 3 3" xfId="27783" xr:uid="{00000000-0005-0000-0000-00007F570000}"/>
    <cellStyle name="Note 2 5 6 3 4" xfId="25777" xr:uid="{00000000-0005-0000-0000-000080570000}"/>
    <cellStyle name="Note 2 5 6 4" xfId="27784" xr:uid="{00000000-0005-0000-0000-000081570000}"/>
    <cellStyle name="Note 2 5 6 4 2" xfId="14113" xr:uid="{00000000-0005-0000-0000-000082570000}"/>
    <cellStyle name="Note 2 5 6 4 3" xfId="27785" xr:uid="{00000000-0005-0000-0000-000083570000}"/>
    <cellStyle name="Note 2 5 6 5" xfId="27786" xr:uid="{00000000-0005-0000-0000-000084570000}"/>
    <cellStyle name="Note 2 5 6 5 2" xfId="13491" xr:uid="{00000000-0005-0000-0000-000085570000}"/>
    <cellStyle name="Note 2 5 6 5 3" xfId="13495" xr:uid="{00000000-0005-0000-0000-000086570000}"/>
    <cellStyle name="Note 2 5 6 6" xfId="27787" xr:uid="{00000000-0005-0000-0000-000087570000}"/>
    <cellStyle name="Note 2 5 6 7" xfId="24713" xr:uid="{00000000-0005-0000-0000-000088570000}"/>
    <cellStyle name="Note 2 5 6 8" xfId="24717" xr:uid="{00000000-0005-0000-0000-000089570000}"/>
    <cellStyle name="Note 2 5 7" xfId="27788" xr:uid="{00000000-0005-0000-0000-00008A570000}"/>
    <cellStyle name="Note 2 5 7 2" xfId="9657" xr:uid="{00000000-0005-0000-0000-00008B570000}"/>
    <cellStyle name="Note 2 5 7 2 2" xfId="16198" xr:uid="{00000000-0005-0000-0000-00008C570000}"/>
    <cellStyle name="Note 2 5 7 2 3" xfId="27791" xr:uid="{00000000-0005-0000-0000-00008D570000}"/>
    <cellStyle name="Note 2 5 7 2 4" xfId="27793" xr:uid="{00000000-0005-0000-0000-00008E570000}"/>
    <cellStyle name="Note 2 5 7 3" xfId="27795" xr:uid="{00000000-0005-0000-0000-00008F570000}"/>
    <cellStyle name="Note 2 5 7 3 2" xfId="22490" xr:uid="{00000000-0005-0000-0000-000090570000}"/>
    <cellStyle name="Note 2 5 7 3 3" xfId="27798" xr:uid="{00000000-0005-0000-0000-000091570000}"/>
    <cellStyle name="Note 2 5 7 3 4" xfId="27800" xr:uid="{00000000-0005-0000-0000-000092570000}"/>
    <cellStyle name="Note 2 5 7 4" xfId="2125" xr:uid="{00000000-0005-0000-0000-000093570000}"/>
    <cellStyle name="Note 2 5 7 4 2" xfId="2129" xr:uid="{00000000-0005-0000-0000-000094570000}"/>
    <cellStyle name="Note 2 5 7 4 3" xfId="27802" xr:uid="{00000000-0005-0000-0000-000095570000}"/>
    <cellStyle name="Note 2 5 7 5" xfId="27804" xr:uid="{00000000-0005-0000-0000-000096570000}"/>
    <cellStyle name="Note 2 5 7 5 2" xfId="27806" xr:uid="{00000000-0005-0000-0000-000097570000}"/>
    <cellStyle name="Note 2 5 7 5 3" xfId="27808" xr:uid="{00000000-0005-0000-0000-000098570000}"/>
    <cellStyle name="Note 2 5 7 6" xfId="27810" xr:uid="{00000000-0005-0000-0000-000099570000}"/>
    <cellStyle name="Note 2 5 7 7" xfId="24726" xr:uid="{00000000-0005-0000-0000-00009A570000}"/>
    <cellStyle name="Note 2 5 7 8" xfId="24731" xr:uid="{00000000-0005-0000-0000-00009B570000}"/>
    <cellStyle name="Note 2 5 8" xfId="27815" xr:uid="{00000000-0005-0000-0000-00009C570000}"/>
    <cellStyle name="Note 2 5 8 2" xfId="27817" xr:uid="{00000000-0005-0000-0000-00009D570000}"/>
    <cellStyle name="Note 2 5 8 2 2" xfId="20484" xr:uid="{00000000-0005-0000-0000-00009E570000}"/>
    <cellStyle name="Note 2 5 8 2 3" xfId="27821" xr:uid="{00000000-0005-0000-0000-00009F570000}"/>
    <cellStyle name="Note 2 5 8 2 4" xfId="27822" xr:uid="{00000000-0005-0000-0000-0000A0570000}"/>
    <cellStyle name="Note 2 5 8 3" xfId="27823" xr:uid="{00000000-0005-0000-0000-0000A1570000}"/>
    <cellStyle name="Note 2 5 8 3 2" xfId="20505" xr:uid="{00000000-0005-0000-0000-0000A2570000}"/>
    <cellStyle name="Note 2 5 8 3 3" xfId="27827" xr:uid="{00000000-0005-0000-0000-0000A3570000}"/>
    <cellStyle name="Note 2 5 8 3 4" xfId="27828" xr:uid="{00000000-0005-0000-0000-0000A4570000}"/>
    <cellStyle name="Note 2 5 8 4" xfId="27829" xr:uid="{00000000-0005-0000-0000-0000A5570000}"/>
    <cellStyle name="Note 2 5 8 4 2" xfId="20532" xr:uid="{00000000-0005-0000-0000-0000A6570000}"/>
    <cellStyle name="Note 2 5 8 4 3" xfId="27832" xr:uid="{00000000-0005-0000-0000-0000A7570000}"/>
    <cellStyle name="Note 2 5 8 5" xfId="27834" xr:uid="{00000000-0005-0000-0000-0000A8570000}"/>
    <cellStyle name="Note 2 5 8 5 2" xfId="20557" xr:uid="{00000000-0005-0000-0000-0000A9570000}"/>
    <cellStyle name="Note 2 5 8 5 3" xfId="27835" xr:uid="{00000000-0005-0000-0000-0000AA570000}"/>
    <cellStyle name="Note 2 5 8 6" xfId="27837" xr:uid="{00000000-0005-0000-0000-0000AB570000}"/>
    <cellStyle name="Note 2 5 8 7" xfId="24738" xr:uid="{00000000-0005-0000-0000-0000AC570000}"/>
    <cellStyle name="Note 2 5 8 8" xfId="24741" xr:uid="{00000000-0005-0000-0000-0000AD570000}"/>
    <cellStyle name="Note 2 5 9" xfId="27841" xr:uid="{00000000-0005-0000-0000-0000AE570000}"/>
    <cellStyle name="Note 2 5 9 2" xfId="27843" xr:uid="{00000000-0005-0000-0000-0000AF570000}"/>
    <cellStyle name="Note 2 5 9 2 2" xfId="20712" xr:uid="{00000000-0005-0000-0000-0000B0570000}"/>
    <cellStyle name="Note 2 5 9 2 3" xfId="26578" xr:uid="{00000000-0005-0000-0000-0000B1570000}"/>
    <cellStyle name="Note 2 5 9 2 4" xfId="26581" xr:uid="{00000000-0005-0000-0000-0000B2570000}"/>
    <cellStyle name="Note 2 5 9 3" xfId="27846" xr:uid="{00000000-0005-0000-0000-0000B3570000}"/>
    <cellStyle name="Note 2 5 9 3 2" xfId="20750" xr:uid="{00000000-0005-0000-0000-0000B4570000}"/>
    <cellStyle name="Note 2 5 9 3 3" xfId="26585" xr:uid="{00000000-0005-0000-0000-0000B5570000}"/>
    <cellStyle name="Note 2 5 9 3 4" xfId="26587" xr:uid="{00000000-0005-0000-0000-0000B6570000}"/>
    <cellStyle name="Note 2 5 9 4" xfId="27849" xr:uid="{00000000-0005-0000-0000-0000B7570000}"/>
    <cellStyle name="Note 2 5 9 4 2" xfId="20783" xr:uid="{00000000-0005-0000-0000-0000B8570000}"/>
    <cellStyle name="Note 2 5 9 4 3" xfId="26591" xr:uid="{00000000-0005-0000-0000-0000B9570000}"/>
    <cellStyle name="Note 2 5 9 5" xfId="27851" xr:uid="{00000000-0005-0000-0000-0000BA570000}"/>
    <cellStyle name="Note 2 5 9 5 2" xfId="20807" xr:uid="{00000000-0005-0000-0000-0000BB570000}"/>
    <cellStyle name="Note 2 5 9 5 3" xfId="26595" xr:uid="{00000000-0005-0000-0000-0000BC570000}"/>
    <cellStyle name="Note 2 5 9 6" xfId="27852" xr:uid="{00000000-0005-0000-0000-0000BD570000}"/>
    <cellStyle name="Note 2 5 9 7" xfId="24744" xr:uid="{00000000-0005-0000-0000-0000BE570000}"/>
    <cellStyle name="Note 2 5 9 8" xfId="24747" xr:uid="{00000000-0005-0000-0000-0000BF570000}"/>
    <cellStyle name="Note 2 6" xfId="6850" xr:uid="{00000000-0005-0000-0000-0000C0570000}"/>
    <cellStyle name="Note 2 6 10" xfId="27853" xr:uid="{00000000-0005-0000-0000-0000C1570000}"/>
    <cellStyle name="Note 2 6 10 2" xfId="517" xr:uid="{00000000-0005-0000-0000-0000C2570000}"/>
    <cellStyle name="Note 2 6 10 2 2" xfId="27854" xr:uid="{00000000-0005-0000-0000-0000C3570000}"/>
    <cellStyle name="Note 2 6 10 2 3" xfId="27855" xr:uid="{00000000-0005-0000-0000-0000C4570000}"/>
    <cellStyle name="Note 2 6 10 2 4" xfId="27856" xr:uid="{00000000-0005-0000-0000-0000C5570000}"/>
    <cellStyle name="Note 2 6 10 3" xfId="2017" xr:uid="{00000000-0005-0000-0000-0000C6570000}"/>
    <cellStyle name="Note 2 6 10 3 2" xfId="27857" xr:uid="{00000000-0005-0000-0000-0000C7570000}"/>
    <cellStyle name="Note 2 6 10 3 3" xfId="27858" xr:uid="{00000000-0005-0000-0000-0000C8570000}"/>
    <cellStyle name="Note 2 6 10 3 4" xfId="27859" xr:uid="{00000000-0005-0000-0000-0000C9570000}"/>
    <cellStyle name="Note 2 6 10 4" xfId="2019" xr:uid="{00000000-0005-0000-0000-0000CA570000}"/>
    <cellStyle name="Note 2 6 10 4 2" xfId="27860" xr:uid="{00000000-0005-0000-0000-0000CB570000}"/>
    <cellStyle name="Note 2 6 10 4 3" xfId="27861" xr:uid="{00000000-0005-0000-0000-0000CC570000}"/>
    <cellStyle name="Note 2 6 10 5" xfId="27862" xr:uid="{00000000-0005-0000-0000-0000CD570000}"/>
    <cellStyle name="Note 2 6 10 5 2" xfId="24341" xr:uid="{00000000-0005-0000-0000-0000CE570000}"/>
    <cellStyle name="Note 2 6 10 5 3" xfId="27863" xr:uid="{00000000-0005-0000-0000-0000CF570000}"/>
    <cellStyle name="Note 2 6 10 6" xfId="27864" xr:uid="{00000000-0005-0000-0000-0000D0570000}"/>
    <cellStyle name="Note 2 6 10 7" xfId="27865" xr:uid="{00000000-0005-0000-0000-0000D1570000}"/>
    <cellStyle name="Note 2 6 10 8" xfId="14134" xr:uid="{00000000-0005-0000-0000-0000D2570000}"/>
    <cellStyle name="Note 2 6 11" xfId="27866" xr:uid="{00000000-0005-0000-0000-0000D3570000}"/>
    <cellStyle name="Note 2 6 11 2" xfId="27867" xr:uid="{00000000-0005-0000-0000-0000D4570000}"/>
    <cellStyle name="Note 2 6 11 2 2" xfId="26004" xr:uid="{00000000-0005-0000-0000-0000D5570000}"/>
    <cellStyle name="Note 2 6 11 2 3" xfId="26009" xr:uid="{00000000-0005-0000-0000-0000D6570000}"/>
    <cellStyle name="Note 2 6 11 2 4" xfId="26014" xr:uid="{00000000-0005-0000-0000-0000D7570000}"/>
    <cellStyle name="Note 2 6 11 3" xfId="27868" xr:uid="{00000000-0005-0000-0000-0000D8570000}"/>
    <cellStyle name="Note 2 6 11 3 2" xfId="3258" xr:uid="{00000000-0005-0000-0000-0000D9570000}"/>
    <cellStyle name="Note 2 6 11 3 3" xfId="2723" xr:uid="{00000000-0005-0000-0000-0000DA570000}"/>
    <cellStyle name="Note 2 6 11 3 4" xfId="2732" xr:uid="{00000000-0005-0000-0000-0000DB570000}"/>
    <cellStyle name="Note 2 6 11 4" xfId="27869" xr:uid="{00000000-0005-0000-0000-0000DC570000}"/>
    <cellStyle name="Note 2 6 11 4 2" xfId="26456" xr:uid="{00000000-0005-0000-0000-0000DD570000}"/>
    <cellStyle name="Note 2 6 11 4 3" xfId="26459" xr:uid="{00000000-0005-0000-0000-0000DE570000}"/>
    <cellStyle name="Note 2 6 11 5" xfId="27870" xr:uid="{00000000-0005-0000-0000-0000DF570000}"/>
    <cellStyle name="Note 2 6 11 5 2" xfId="19315" xr:uid="{00000000-0005-0000-0000-0000E0570000}"/>
    <cellStyle name="Note 2 6 11 5 3" xfId="19323" xr:uid="{00000000-0005-0000-0000-0000E1570000}"/>
    <cellStyle name="Note 2 6 11 6" xfId="27871" xr:uid="{00000000-0005-0000-0000-0000E2570000}"/>
    <cellStyle name="Note 2 6 11 7" xfId="27872" xr:uid="{00000000-0005-0000-0000-0000E3570000}"/>
    <cellStyle name="Note 2 6 11 8" xfId="27873" xr:uid="{00000000-0005-0000-0000-0000E4570000}"/>
    <cellStyle name="Note 2 6 12" xfId="27874" xr:uid="{00000000-0005-0000-0000-0000E5570000}"/>
    <cellStyle name="Note 2 6 12 2" xfId="27876" xr:uid="{00000000-0005-0000-0000-0000E6570000}"/>
    <cellStyle name="Note 2 6 12 2 2" xfId="25456" xr:uid="{00000000-0005-0000-0000-0000E7570000}"/>
    <cellStyle name="Note 2 6 12 2 3" xfId="25460" xr:uid="{00000000-0005-0000-0000-0000E8570000}"/>
    <cellStyle name="Note 2 6 12 2 4" xfId="25462" xr:uid="{00000000-0005-0000-0000-0000E9570000}"/>
    <cellStyle name="Note 2 6 12 3" xfId="27878" xr:uid="{00000000-0005-0000-0000-0000EA570000}"/>
    <cellStyle name="Note 2 6 12 3 2" xfId="27880" xr:uid="{00000000-0005-0000-0000-0000EB570000}"/>
    <cellStyle name="Note 2 6 12 3 3" xfId="27881" xr:uid="{00000000-0005-0000-0000-0000EC570000}"/>
    <cellStyle name="Note 2 6 12 3 4" xfId="27882" xr:uid="{00000000-0005-0000-0000-0000ED570000}"/>
    <cellStyle name="Note 2 6 12 4" xfId="27883" xr:uid="{00000000-0005-0000-0000-0000EE570000}"/>
    <cellStyle name="Note 2 6 12 4 2" xfId="27885" xr:uid="{00000000-0005-0000-0000-0000EF570000}"/>
    <cellStyle name="Note 2 6 12 4 3" xfId="27886" xr:uid="{00000000-0005-0000-0000-0000F0570000}"/>
    <cellStyle name="Note 2 6 12 5" xfId="27887" xr:uid="{00000000-0005-0000-0000-0000F1570000}"/>
    <cellStyle name="Note 2 6 12 5 2" xfId="27888" xr:uid="{00000000-0005-0000-0000-0000F2570000}"/>
    <cellStyle name="Note 2 6 12 5 3" xfId="27889" xr:uid="{00000000-0005-0000-0000-0000F3570000}"/>
    <cellStyle name="Note 2 6 12 6" xfId="27890" xr:uid="{00000000-0005-0000-0000-0000F4570000}"/>
    <cellStyle name="Note 2 6 12 7" xfId="27891" xr:uid="{00000000-0005-0000-0000-0000F5570000}"/>
    <cellStyle name="Note 2 6 12 8" xfId="27892" xr:uid="{00000000-0005-0000-0000-0000F6570000}"/>
    <cellStyle name="Note 2 6 13" xfId="27893" xr:uid="{00000000-0005-0000-0000-0000F7570000}"/>
    <cellStyle name="Note 2 6 13 2" xfId="27897" xr:uid="{00000000-0005-0000-0000-0000F8570000}"/>
    <cellStyle name="Note 2 6 13 3" xfId="27899" xr:uid="{00000000-0005-0000-0000-0000F9570000}"/>
    <cellStyle name="Note 2 6 13 4" xfId="27901" xr:uid="{00000000-0005-0000-0000-0000FA570000}"/>
    <cellStyle name="Note 2 6 13 5" xfId="27903" xr:uid="{00000000-0005-0000-0000-0000FB570000}"/>
    <cellStyle name="Note 2 6 14" xfId="27904" xr:uid="{00000000-0005-0000-0000-0000FC570000}"/>
    <cellStyle name="Note 2 6 14 2" xfId="27908" xr:uid="{00000000-0005-0000-0000-0000FD570000}"/>
    <cellStyle name="Note 2 6 14 3" xfId="27910" xr:uid="{00000000-0005-0000-0000-0000FE570000}"/>
    <cellStyle name="Note 2 6 14 4" xfId="27912" xr:uid="{00000000-0005-0000-0000-0000FF570000}"/>
    <cellStyle name="Note 2 6 14 5" xfId="27913" xr:uid="{00000000-0005-0000-0000-000000580000}"/>
    <cellStyle name="Note 2 6 15" xfId="27914" xr:uid="{00000000-0005-0000-0000-000001580000}"/>
    <cellStyle name="Note 2 6 15 2" xfId="27918" xr:uid="{00000000-0005-0000-0000-000002580000}"/>
    <cellStyle name="Note 2 6 15 3" xfId="27920" xr:uid="{00000000-0005-0000-0000-000003580000}"/>
    <cellStyle name="Note 2 6 15 4" xfId="27922" xr:uid="{00000000-0005-0000-0000-000004580000}"/>
    <cellStyle name="Note 2 6 16" xfId="27923" xr:uid="{00000000-0005-0000-0000-000005580000}"/>
    <cellStyle name="Note 2 6 16 2" xfId="27926" xr:uid="{00000000-0005-0000-0000-000006580000}"/>
    <cellStyle name="Note 2 6 16 3" xfId="27927" xr:uid="{00000000-0005-0000-0000-000007580000}"/>
    <cellStyle name="Note 2 6 16 4" xfId="27928" xr:uid="{00000000-0005-0000-0000-000008580000}"/>
    <cellStyle name="Note 2 6 17" xfId="27929" xr:uid="{00000000-0005-0000-0000-000009580000}"/>
    <cellStyle name="Note 2 6 17 2" xfId="27932" xr:uid="{00000000-0005-0000-0000-00000A580000}"/>
    <cellStyle name="Note 2 6 18" xfId="9408" xr:uid="{00000000-0005-0000-0000-00000B580000}"/>
    <cellStyle name="Note 2 6 18 2" xfId="9411" xr:uid="{00000000-0005-0000-0000-00000C580000}"/>
    <cellStyle name="Note 2 6 19" xfId="9414" xr:uid="{00000000-0005-0000-0000-00000D580000}"/>
    <cellStyle name="Note 2 6 19 2" xfId="9417" xr:uid="{00000000-0005-0000-0000-00000E580000}"/>
    <cellStyle name="Note 2 6 2" xfId="12213" xr:uid="{00000000-0005-0000-0000-00000F580000}"/>
    <cellStyle name="Note 2 6 2 10" xfId="27933" xr:uid="{00000000-0005-0000-0000-000010580000}"/>
    <cellStyle name="Note 2 6 2 10 2" xfId="8771" xr:uid="{00000000-0005-0000-0000-000011580000}"/>
    <cellStyle name="Note 2 6 2 10 2 2" xfId="11605" xr:uid="{00000000-0005-0000-0000-000012580000}"/>
    <cellStyle name="Note 2 6 2 10 2 3" xfId="27934" xr:uid="{00000000-0005-0000-0000-000013580000}"/>
    <cellStyle name="Note 2 6 2 10 2 4" xfId="27935" xr:uid="{00000000-0005-0000-0000-000014580000}"/>
    <cellStyle name="Note 2 6 2 10 3" xfId="8773" xr:uid="{00000000-0005-0000-0000-000015580000}"/>
    <cellStyle name="Note 2 6 2 10 3 2" xfId="11614" xr:uid="{00000000-0005-0000-0000-000016580000}"/>
    <cellStyle name="Note 2 6 2 10 3 3" xfId="25530" xr:uid="{00000000-0005-0000-0000-000017580000}"/>
    <cellStyle name="Note 2 6 2 10 3 4" xfId="27936" xr:uid="{00000000-0005-0000-0000-000018580000}"/>
    <cellStyle name="Note 2 6 2 10 4" xfId="27937" xr:uid="{00000000-0005-0000-0000-000019580000}"/>
    <cellStyle name="Note 2 6 2 10 4 2" xfId="25532" xr:uid="{00000000-0005-0000-0000-00001A580000}"/>
    <cellStyle name="Note 2 6 2 10 4 3" xfId="25535" xr:uid="{00000000-0005-0000-0000-00001B580000}"/>
    <cellStyle name="Note 2 6 2 10 5" xfId="8392" xr:uid="{00000000-0005-0000-0000-00001C580000}"/>
    <cellStyle name="Note 2 6 2 10 5 2" xfId="8465" xr:uid="{00000000-0005-0000-0000-00001D580000}"/>
    <cellStyle name="Note 2 6 2 10 5 3" xfId="8490" xr:uid="{00000000-0005-0000-0000-00001E580000}"/>
    <cellStyle name="Note 2 6 2 10 6" xfId="8600" xr:uid="{00000000-0005-0000-0000-00001F580000}"/>
    <cellStyle name="Note 2 6 2 10 7" xfId="8833" xr:uid="{00000000-0005-0000-0000-000020580000}"/>
    <cellStyle name="Note 2 6 2 11" xfId="27938" xr:uid="{00000000-0005-0000-0000-000021580000}"/>
    <cellStyle name="Note 2 6 2 11 2" xfId="8777" xr:uid="{00000000-0005-0000-0000-000022580000}"/>
    <cellStyle name="Note 2 6 2 11 3" xfId="27939" xr:uid="{00000000-0005-0000-0000-000023580000}"/>
    <cellStyle name="Note 2 6 2 11 4" xfId="27940" xr:uid="{00000000-0005-0000-0000-000024580000}"/>
    <cellStyle name="Note 2 6 2 12" xfId="27941" xr:uid="{00000000-0005-0000-0000-000025580000}"/>
    <cellStyle name="Note 2 6 2 12 2" xfId="8781" xr:uid="{00000000-0005-0000-0000-000026580000}"/>
    <cellStyle name="Note 2 6 2 12 3" xfId="27942" xr:uid="{00000000-0005-0000-0000-000027580000}"/>
    <cellStyle name="Note 2 6 2 12 4" xfId="27943" xr:uid="{00000000-0005-0000-0000-000028580000}"/>
    <cellStyle name="Note 2 6 2 13" xfId="27944" xr:uid="{00000000-0005-0000-0000-000029580000}"/>
    <cellStyle name="Note 2 6 2 13 2" xfId="27945" xr:uid="{00000000-0005-0000-0000-00002A580000}"/>
    <cellStyle name="Note 2 6 2 13 3" xfId="27946" xr:uid="{00000000-0005-0000-0000-00002B580000}"/>
    <cellStyle name="Note 2 6 2 14" xfId="27947" xr:uid="{00000000-0005-0000-0000-00002C580000}"/>
    <cellStyle name="Note 2 6 2 14 2" xfId="27948" xr:uid="{00000000-0005-0000-0000-00002D580000}"/>
    <cellStyle name="Note 2 6 2 14 3" xfId="27949" xr:uid="{00000000-0005-0000-0000-00002E580000}"/>
    <cellStyle name="Note 2 6 2 15" xfId="27950" xr:uid="{00000000-0005-0000-0000-00002F580000}"/>
    <cellStyle name="Note 2 6 2 16" xfId="27951" xr:uid="{00000000-0005-0000-0000-000030580000}"/>
    <cellStyle name="Note 2 6 2 17" xfId="27952" xr:uid="{00000000-0005-0000-0000-000031580000}"/>
    <cellStyle name="Note 2 6 2 2" xfId="27953" xr:uid="{00000000-0005-0000-0000-000032580000}"/>
    <cellStyle name="Note 2 6 2 2 2" xfId="27954" xr:uid="{00000000-0005-0000-0000-000033580000}"/>
    <cellStyle name="Note 2 6 2 2 2 2" xfId="27955" xr:uid="{00000000-0005-0000-0000-000034580000}"/>
    <cellStyle name="Note 2 6 2 2 2 3" xfId="27956" xr:uid="{00000000-0005-0000-0000-000035580000}"/>
    <cellStyle name="Note 2 6 2 2 2 4" xfId="27957" xr:uid="{00000000-0005-0000-0000-000036580000}"/>
    <cellStyle name="Note 2 6 2 2 3" xfId="27958" xr:uid="{00000000-0005-0000-0000-000037580000}"/>
    <cellStyle name="Note 2 6 2 2 3 2" xfId="27959" xr:uid="{00000000-0005-0000-0000-000038580000}"/>
    <cellStyle name="Note 2 6 2 2 3 3" xfId="27960" xr:uid="{00000000-0005-0000-0000-000039580000}"/>
    <cellStyle name="Note 2 6 2 2 3 4" xfId="27961" xr:uid="{00000000-0005-0000-0000-00003A580000}"/>
    <cellStyle name="Note 2 6 2 2 4" xfId="25899" xr:uid="{00000000-0005-0000-0000-00003B580000}"/>
    <cellStyle name="Note 2 6 2 2 4 2" xfId="27962" xr:uid="{00000000-0005-0000-0000-00003C580000}"/>
    <cellStyle name="Note 2 6 2 2 4 3" xfId="27963" xr:uid="{00000000-0005-0000-0000-00003D580000}"/>
    <cellStyle name="Note 2 6 2 2 5" xfId="3936" xr:uid="{00000000-0005-0000-0000-00003E580000}"/>
    <cellStyle name="Note 2 6 2 2 5 2" xfId="3939" xr:uid="{00000000-0005-0000-0000-00003F580000}"/>
    <cellStyle name="Note 2 6 2 2 5 3" xfId="3941" xr:uid="{00000000-0005-0000-0000-000040580000}"/>
    <cellStyle name="Note 2 6 2 2 6" xfId="3944" xr:uid="{00000000-0005-0000-0000-000041580000}"/>
    <cellStyle name="Note 2 6 2 2 7" xfId="3948" xr:uid="{00000000-0005-0000-0000-000042580000}"/>
    <cellStyle name="Note 2 6 2 3" xfId="27964" xr:uid="{00000000-0005-0000-0000-000043580000}"/>
    <cellStyle name="Note 2 6 2 3 2" xfId="27965" xr:uid="{00000000-0005-0000-0000-000044580000}"/>
    <cellStyle name="Note 2 6 2 3 2 2" xfId="27966" xr:uid="{00000000-0005-0000-0000-000045580000}"/>
    <cellStyle name="Note 2 6 2 3 2 3" xfId="27967" xr:uid="{00000000-0005-0000-0000-000046580000}"/>
    <cellStyle name="Note 2 6 2 3 2 4" xfId="27968" xr:uid="{00000000-0005-0000-0000-000047580000}"/>
    <cellStyle name="Note 2 6 2 3 3" xfId="27969" xr:uid="{00000000-0005-0000-0000-000048580000}"/>
    <cellStyle name="Note 2 6 2 3 3 2" xfId="27971" xr:uid="{00000000-0005-0000-0000-000049580000}"/>
    <cellStyle name="Note 2 6 2 3 3 3" xfId="27973" xr:uid="{00000000-0005-0000-0000-00004A580000}"/>
    <cellStyle name="Note 2 6 2 3 3 4" xfId="27975" xr:uid="{00000000-0005-0000-0000-00004B580000}"/>
    <cellStyle name="Note 2 6 2 3 4" xfId="25902" xr:uid="{00000000-0005-0000-0000-00004C580000}"/>
    <cellStyle name="Note 2 6 2 3 4 2" xfId="27977" xr:uid="{00000000-0005-0000-0000-00004D580000}"/>
    <cellStyle name="Note 2 6 2 3 4 3" xfId="27978" xr:uid="{00000000-0005-0000-0000-00004E580000}"/>
    <cellStyle name="Note 2 6 2 3 5" xfId="3172" xr:uid="{00000000-0005-0000-0000-00004F580000}"/>
    <cellStyle name="Note 2 6 2 3 5 2" xfId="3958" xr:uid="{00000000-0005-0000-0000-000050580000}"/>
    <cellStyle name="Note 2 6 2 3 5 3" xfId="3961" xr:uid="{00000000-0005-0000-0000-000051580000}"/>
    <cellStyle name="Note 2 6 2 3 6" xfId="3176" xr:uid="{00000000-0005-0000-0000-000052580000}"/>
    <cellStyle name="Note 2 6 2 3 7" xfId="3182" xr:uid="{00000000-0005-0000-0000-000053580000}"/>
    <cellStyle name="Note 2 6 2 4" xfId="27979" xr:uid="{00000000-0005-0000-0000-000054580000}"/>
    <cellStyle name="Note 2 6 2 4 2" xfId="27980" xr:uid="{00000000-0005-0000-0000-000055580000}"/>
    <cellStyle name="Note 2 6 2 4 2 2" xfId="7214" xr:uid="{00000000-0005-0000-0000-000056580000}"/>
    <cellStyle name="Note 2 6 2 4 2 3" xfId="14161" xr:uid="{00000000-0005-0000-0000-000057580000}"/>
    <cellStyle name="Note 2 6 2 4 2 4" xfId="14182" xr:uid="{00000000-0005-0000-0000-000058580000}"/>
    <cellStyle name="Note 2 6 2 4 3" xfId="27981" xr:uid="{00000000-0005-0000-0000-000059580000}"/>
    <cellStyle name="Note 2 6 2 4 3 2" xfId="7224" xr:uid="{00000000-0005-0000-0000-00005A580000}"/>
    <cellStyle name="Note 2 6 2 4 3 3" xfId="10126" xr:uid="{00000000-0005-0000-0000-00005B580000}"/>
    <cellStyle name="Note 2 6 2 4 3 4" xfId="10131" xr:uid="{00000000-0005-0000-0000-00005C580000}"/>
    <cellStyle name="Note 2 6 2 4 4" xfId="27982" xr:uid="{00000000-0005-0000-0000-00005D580000}"/>
    <cellStyle name="Note 2 6 2 4 4 2" xfId="23151" xr:uid="{00000000-0005-0000-0000-00005E580000}"/>
    <cellStyle name="Note 2 6 2 4 4 3" xfId="14196" xr:uid="{00000000-0005-0000-0000-00005F580000}"/>
    <cellStyle name="Note 2 6 2 4 5" xfId="3187" xr:uid="{00000000-0005-0000-0000-000060580000}"/>
    <cellStyle name="Note 2 6 2 4 5 2" xfId="2815" xr:uid="{00000000-0005-0000-0000-000061580000}"/>
    <cellStyle name="Note 2 6 2 4 5 3" xfId="2819" xr:uid="{00000000-0005-0000-0000-000062580000}"/>
    <cellStyle name="Note 2 6 2 4 6" xfId="3191" xr:uid="{00000000-0005-0000-0000-000063580000}"/>
    <cellStyle name="Note 2 6 2 4 7" xfId="3198" xr:uid="{00000000-0005-0000-0000-000064580000}"/>
    <cellStyle name="Note 2 6 2 5" xfId="27983" xr:uid="{00000000-0005-0000-0000-000065580000}"/>
    <cellStyle name="Note 2 6 2 5 2" xfId="27984" xr:uid="{00000000-0005-0000-0000-000066580000}"/>
    <cellStyle name="Note 2 6 2 5 2 2" xfId="27985" xr:uid="{00000000-0005-0000-0000-000067580000}"/>
    <cellStyle name="Note 2 6 2 5 2 3" xfId="14204" xr:uid="{00000000-0005-0000-0000-000068580000}"/>
    <cellStyle name="Note 2 6 2 5 2 4" xfId="14230" xr:uid="{00000000-0005-0000-0000-000069580000}"/>
    <cellStyle name="Note 2 6 2 5 3" xfId="27986" xr:uid="{00000000-0005-0000-0000-00006A580000}"/>
    <cellStyle name="Note 2 6 2 5 3 2" xfId="27987" xr:uid="{00000000-0005-0000-0000-00006B580000}"/>
    <cellStyle name="Note 2 6 2 5 3 3" xfId="27988" xr:uid="{00000000-0005-0000-0000-00006C580000}"/>
    <cellStyle name="Note 2 6 2 5 3 4" xfId="27989" xr:uid="{00000000-0005-0000-0000-00006D580000}"/>
    <cellStyle name="Note 2 6 2 5 4" xfId="27990" xr:uid="{00000000-0005-0000-0000-00006E580000}"/>
    <cellStyle name="Note 2 6 2 5 4 2" xfId="23169" xr:uid="{00000000-0005-0000-0000-00006F580000}"/>
    <cellStyle name="Note 2 6 2 5 4 3" xfId="1411" xr:uid="{00000000-0005-0000-0000-000070580000}"/>
    <cellStyle name="Note 2 6 2 5 5" xfId="27991" xr:uid="{00000000-0005-0000-0000-000071580000}"/>
    <cellStyle name="Note 2 6 2 5 5 2" xfId="23174" xr:uid="{00000000-0005-0000-0000-000072580000}"/>
    <cellStyle name="Note 2 6 2 5 5 3" xfId="27992" xr:uid="{00000000-0005-0000-0000-000073580000}"/>
    <cellStyle name="Note 2 6 2 5 6" xfId="17402" xr:uid="{00000000-0005-0000-0000-000074580000}"/>
    <cellStyle name="Note 2 6 2 5 7" xfId="17404" xr:uid="{00000000-0005-0000-0000-000075580000}"/>
    <cellStyle name="Note 2 6 2 6" xfId="27993" xr:uid="{00000000-0005-0000-0000-000076580000}"/>
    <cellStyle name="Note 2 6 2 6 2" xfId="27994" xr:uid="{00000000-0005-0000-0000-000077580000}"/>
    <cellStyle name="Note 2 6 2 6 2 2" xfId="27995" xr:uid="{00000000-0005-0000-0000-000078580000}"/>
    <cellStyle name="Note 2 6 2 6 2 3" xfId="14258" xr:uid="{00000000-0005-0000-0000-000079580000}"/>
    <cellStyle name="Note 2 6 2 6 2 4" xfId="14271" xr:uid="{00000000-0005-0000-0000-00007A580000}"/>
    <cellStyle name="Note 2 6 2 6 3" xfId="27996" xr:uid="{00000000-0005-0000-0000-00007B580000}"/>
    <cellStyle name="Note 2 6 2 6 3 2" xfId="27997" xr:uid="{00000000-0005-0000-0000-00007C580000}"/>
    <cellStyle name="Note 2 6 2 6 3 3" xfId="27998" xr:uid="{00000000-0005-0000-0000-00007D580000}"/>
    <cellStyle name="Note 2 6 2 6 3 4" xfId="18451" xr:uid="{00000000-0005-0000-0000-00007E580000}"/>
    <cellStyle name="Note 2 6 2 6 4" xfId="27999" xr:uid="{00000000-0005-0000-0000-00007F580000}"/>
    <cellStyle name="Note 2 6 2 6 4 2" xfId="23191" xr:uid="{00000000-0005-0000-0000-000080580000}"/>
    <cellStyle name="Note 2 6 2 6 4 3" xfId="14336" xr:uid="{00000000-0005-0000-0000-000081580000}"/>
    <cellStyle name="Note 2 6 2 6 5" xfId="28000" xr:uid="{00000000-0005-0000-0000-000082580000}"/>
    <cellStyle name="Note 2 6 2 6 5 2" xfId="23196" xr:uid="{00000000-0005-0000-0000-000083580000}"/>
    <cellStyle name="Note 2 6 2 6 5 3" xfId="28001" xr:uid="{00000000-0005-0000-0000-000084580000}"/>
    <cellStyle name="Note 2 6 2 6 6" xfId="17409" xr:uid="{00000000-0005-0000-0000-000085580000}"/>
    <cellStyle name="Note 2 6 2 6 7" xfId="17411" xr:uid="{00000000-0005-0000-0000-000086580000}"/>
    <cellStyle name="Note 2 6 2 7" xfId="28002" xr:uid="{00000000-0005-0000-0000-000087580000}"/>
    <cellStyle name="Note 2 6 2 7 2" xfId="28003" xr:uid="{00000000-0005-0000-0000-000088580000}"/>
    <cellStyle name="Note 2 6 2 7 2 2" xfId="28004" xr:uid="{00000000-0005-0000-0000-000089580000}"/>
    <cellStyle name="Note 2 6 2 7 2 3" xfId="14345" xr:uid="{00000000-0005-0000-0000-00008A580000}"/>
    <cellStyle name="Note 2 6 2 7 2 4" xfId="14368" xr:uid="{00000000-0005-0000-0000-00008B580000}"/>
    <cellStyle name="Note 2 6 2 7 3" xfId="28005" xr:uid="{00000000-0005-0000-0000-00008C580000}"/>
    <cellStyle name="Note 2 6 2 7 3 2" xfId="28006" xr:uid="{00000000-0005-0000-0000-00008D580000}"/>
    <cellStyle name="Note 2 6 2 7 3 3" xfId="28007" xr:uid="{00000000-0005-0000-0000-00008E580000}"/>
    <cellStyle name="Note 2 6 2 7 3 4" xfId="28008" xr:uid="{00000000-0005-0000-0000-00008F580000}"/>
    <cellStyle name="Note 2 6 2 7 4" xfId="28009" xr:uid="{00000000-0005-0000-0000-000090580000}"/>
    <cellStyle name="Note 2 6 2 7 4 2" xfId="23212" xr:uid="{00000000-0005-0000-0000-000091580000}"/>
    <cellStyle name="Note 2 6 2 7 4 3" xfId="28010" xr:uid="{00000000-0005-0000-0000-000092580000}"/>
    <cellStyle name="Note 2 6 2 7 5" xfId="28012" xr:uid="{00000000-0005-0000-0000-000093580000}"/>
    <cellStyle name="Note 2 6 2 7 5 2" xfId="23220" xr:uid="{00000000-0005-0000-0000-000094580000}"/>
    <cellStyle name="Note 2 6 2 7 5 3" xfId="28013" xr:uid="{00000000-0005-0000-0000-000095580000}"/>
    <cellStyle name="Note 2 6 2 7 6" xfId="28015" xr:uid="{00000000-0005-0000-0000-000096580000}"/>
    <cellStyle name="Note 2 6 2 7 7" xfId="28016" xr:uid="{00000000-0005-0000-0000-000097580000}"/>
    <cellStyle name="Note 2 6 2 8" xfId="28017" xr:uid="{00000000-0005-0000-0000-000098580000}"/>
    <cellStyle name="Note 2 6 2 8 2" xfId="28018" xr:uid="{00000000-0005-0000-0000-000099580000}"/>
    <cellStyle name="Note 2 6 2 8 2 2" xfId="28020" xr:uid="{00000000-0005-0000-0000-00009A580000}"/>
    <cellStyle name="Note 2 6 2 8 2 3" xfId="28022" xr:uid="{00000000-0005-0000-0000-00009B580000}"/>
    <cellStyle name="Note 2 6 2 8 2 4" xfId="28024" xr:uid="{00000000-0005-0000-0000-00009C580000}"/>
    <cellStyle name="Note 2 6 2 8 3" xfId="28026" xr:uid="{00000000-0005-0000-0000-00009D580000}"/>
    <cellStyle name="Note 2 6 2 8 3 2" xfId="28028" xr:uid="{00000000-0005-0000-0000-00009E580000}"/>
    <cellStyle name="Note 2 6 2 8 3 3" xfId="28030" xr:uid="{00000000-0005-0000-0000-00009F580000}"/>
    <cellStyle name="Note 2 6 2 8 3 4" xfId="28032" xr:uid="{00000000-0005-0000-0000-0000A0580000}"/>
    <cellStyle name="Note 2 6 2 8 4" xfId="28034" xr:uid="{00000000-0005-0000-0000-0000A1580000}"/>
    <cellStyle name="Note 2 6 2 8 4 2" xfId="23236" xr:uid="{00000000-0005-0000-0000-0000A2580000}"/>
    <cellStyle name="Note 2 6 2 8 4 3" xfId="28035" xr:uid="{00000000-0005-0000-0000-0000A3580000}"/>
    <cellStyle name="Note 2 6 2 8 5" xfId="28037" xr:uid="{00000000-0005-0000-0000-0000A4580000}"/>
    <cellStyle name="Note 2 6 2 8 5 2" xfId="23244" xr:uid="{00000000-0005-0000-0000-0000A5580000}"/>
    <cellStyle name="Note 2 6 2 8 5 3" xfId="28038" xr:uid="{00000000-0005-0000-0000-0000A6580000}"/>
    <cellStyle name="Note 2 6 2 8 6" xfId="28040" xr:uid="{00000000-0005-0000-0000-0000A7580000}"/>
    <cellStyle name="Note 2 6 2 8 7" xfId="28042" xr:uid="{00000000-0005-0000-0000-0000A8580000}"/>
    <cellStyle name="Note 2 6 2 9" xfId="10640" xr:uid="{00000000-0005-0000-0000-0000A9580000}"/>
    <cellStyle name="Note 2 6 2 9 2" xfId="28044" xr:uid="{00000000-0005-0000-0000-0000AA580000}"/>
    <cellStyle name="Note 2 6 2 9 2 2" xfId="8350" xr:uid="{00000000-0005-0000-0000-0000AB580000}"/>
    <cellStyle name="Note 2 6 2 9 2 3" xfId="28046" xr:uid="{00000000-0005-0000-0000-0000AC580000}"/>
    <cellStyle name="Note 2 6 2 9 2 4" xfId="28048" xr:uid="{00000000-0005-0000-0000-0000AD580000}"/>
    <cellStyle name="Note 2 6 2 9 3" xfId="28049" xr:uid="{00000000-0005-0000-0000-0000AE580000}"/>
    <cellStyle name="Note 2 6 2 9 3 2" xfId="8357" xr:uid="{00000000-0005-0000-0000-0000AF580000}"/>
    <cellStyle name="Note 2 6 2 9 3 3" xfId="28051" xr:uid="{00000000-0005-0000-0000-0000B0580000}"/>
    <cellStyle name="Note 2 6 2 9 3 4" xfId="28053" xr:uid="{00000000-0005-0000-0000-0000B1580000}"/>
    <cellStyle name="Note 2 6 2 9 4" xfId="28054" xr:uid="{00000000-0005-0000-0000-0000B2580000}"/>
    <cellStyle name="Note 2 6 2 9 4 2" xfId="23264" xr:uid="{00000000-0005-0000-0000-0000B3580000}"/>
    <cellStyle name="Note 2 6 2 9 4 3" xfId="2161" xr:uid="{00000000-0005-0000-0000-0000B4580000}"/>
    <cellStyle name="Note 2 6 2 9 5" xfId="28055" xr:uid="{00000000-0005-0000-0000-0000B5580000}"/>
    <cellStyle name="Note 2 6 2 9 5 2" xfId="23268" xr:uid="{00000000-0005-0000-0000-0000B6580000}"/>
    <cellStyle name="Note 2 6 2 9 5 3" xfId="28056" xr:uid="{00000000-0005-0000-0000-0000B7580000}"/>
    <cellStyle name="Note 2 6 2 9 6" xfId="28058" xr:uid="{00000000-0005-0000-0000-0000B8580000}"/>
    <cellStyle name="Note 2 6 2 9 7" xfId="28061" xr:uid="{00000000-0005-0000-0000-0000B9580000}"/>
    <cellStyle name="Note 2 6 20" xfId="27915" xr:uid="{00000000-0005-0000-0000-0000BA580000}"/>
    <cellStyle name="Note 2 6 21" xfId="27924" xr:uid="{00000000-0005-0000-0000-0000BB580000}"/>
    <cellStyle name="Note 2 6 22" xfId="27930" xr:uid="{00000000-0005-0000-0000-0000BC580000}"/>
    <cellStyle name="Note 2 6 23" xfId="9409" xr:uid="{00000000-0005-0000-0000-0000BD580000}"/>
    <cellStyle name="Note 2 6 24" xfId="9415" xr:uid="{00000000-0005-0000-0000-0000BE580000}"/>
    <cellStyle name="Note 2 6 25" xfId="9419" xr:uid="{00000000-0005-0000-0000-0000BF580000}"/>
    <cellStyle name="Note 2 6 26" xfId="9424" xr:uid="{00000000-0005-0000-0000-0000C0580000}"/>
    <cellStyle name="Note 2 6 27" xfId="9429" xr:uid="{00000000-0005-0000-0000-0000C1580000}"/>
    <cellStyle name="Note 2 6 28" xfId="9431" xr:uid="{00000000-0005-0000-0000-0000C2580000}"/>
    <cellStyle name="Note 2 6 29" xfId="28064" xr:uid="{00000000-0005-0000-0000-0000C3580000}"/>
    <cellStyle name="Note 2 6 3" xfId="12216" xr:uid="{00000000-0005-0000-0000-0000C4580000}"/>
    <cellStyle name="Note 2 6 3 10" xfId="19045" xr:uid="{00000000-0005-0000-0000-0000C5580000}"/>
    <cellStyle name="Note 2 6 3 10 2" xfId="28066" xr:uid="{00000000-0005-0000-0000-0000C6580000}"/>
    <cellStyle name="Note 2 6 3 10 2 2" xfId="21215" xr:uid="{00000000-0005-0000-0000-0000C7580000}"/>
    <cellStyle name="Note 2 6 3 10 2 3" xfId="28067" xr:uid="{00000000-0005-0000-0000-0000C8580000}"/>
    <cellStyle name="Note 2 6 3 10 2 4" xfId="28068" xr:uid="{00000000-0005-0000-0000-0000C9580000}"/>
    <cellStyle name="Note 2 6 3 10 3" xfId="28069" xr:uid="{00000000-0005-0000-0000-0000CA580000}"/>
    <cellStyle name="Note 2 6 3 10 3 2" xfId="21218" xr:uid="{00000000-0005-0000-0000-0000CB580000}"/>
    <cellStyle name="Note 2 6 3 10 3 3" xfId="28070" xr:uid="{00000000-0005-0000-0000-0000CC580000}"/>
    <cellStyle name="Note 2 6 3 10 3 4" xfId="28071" xr:uid="{00000000-0005-0000-0000-0000CD580000}"/>
    <cellStyle name="Note 2 6 3 10 4" xfId="28072" xr:uid="{00000000-0005-0000-0000-0000CE580000}"/>
    <cellStyle name="Note 2 6 3 10 4 2" xfId="28073" xr:uid="{00000000-0005-0000-0000-0000CF580000}"/>
    <cellStyle name="Note 2 6 3 10 4 3" xfId="28074" xr:uid="{00000000-0005-0000-0000-0000D0580000}"/>
    <cellStyle name="Note 2 6 3 10 5" xfId="28075" xr:uid="{00000000-0005-0000-0000-0000D1580000}"/>
    <cellStyle name="Note 2 6 3 10 5 2" xfId="28076" xr:uid="{00000000-0005-0000-0000-0000D2580000}"/>
    <cellStyle name="Note 2 6 3 10 5 3" xfId="28077" xr:uid="{00000000-0005-0000-0000-0000D3580000}"/>
    <cellStyle name="Note 2 6 3 10 6" xfId="13166" xr:uid="{00000000-0005-0000-0000-0000D4580000}"/>
    <cellStyle name="Note 2 6 3 10 7" xfId="13171" xr:uid="{00000000-0005-0000-0000-0000D5580000}"/>
    <cellStyle name="Note 2 6 3 11" xfId="19047" xr:uid="{00000000-0005-0000-0000-0000D6580000}"/>
    <cellStyle name="Note 2 6 3 11 2" xfId="28078" xr:uid="{00000000-0005-0000-0000-0000D7580000}"/>
    <cellStyle name="Note 2 6 3 11 3" xfId="28079" xr:uid="{00000000-0005-0000-0000-0000D8580000}"/>
    <cellStyle name="Note 2 6 3 11 4" xfId="28080" xr:uid="{00000000-0005-0000-0000-0000D9580000}"/>
    <cellStyle name="Note 2 6 3 12" xfId="28081" xr:uid="{00000000-0005-0000-0000-0000DA580000}"/>
    <cellStyle name="Note 2 6 3 12 2" xfId="28082" xr:uid="{00000000-0005-0000-0000-0000DB580000}"/>
    <cellStyle name="Note 2 6 3 12 3" xfId="28083" xr:uid="{00000000-0005-0000-0000-0000DC580000}"/>
    <cellStyle name="Note 2 6 3 12 4" xfId="28084" xr:uid="{00000000-0005-0000-0000-0000DD580000}"/>
    <cellStyle name="Note 2 6 3 13" xfId="28085" xr:uid="{00000000-0005-0000-0000-0000DE580000}"/>
    <cellStyle name="Note 2 6 3 13 2" xfId="28086" xr:uid="{00000000-0005-0000-0000-0000DF580000}"/>
    <cellStyle name="Note 2 6 3 13 3" xfId="28087" xr:uid="{00000000-0005-0000-0000-0000E0580000}"/>
    <cellStyle name="Note 2 6 3 14" xfId="28088" xr:uid="{00000000-0005-0000-0000-0000E1580000}"/>
    <cellStyle name="Note 2 6 3 14 2" xfId="28089" xr:uid="{00000000-0005-0000-0000-0000E2580000}"/>
    <cellStyle name="Note 2 6 3 14 3" xfId="28090" xr:uid="{00000000-0005-0000-0000-0000E3580000}"/>
    <cellStyle name="Note 2 6 3 15" xfId="28091" xr:uid="{00000000-0005-0000-0000-0000E4580000}"/>
    <cellStyle name="Note 2 6 3 16" xfId="28092" xr:uid="{00000000-0005-0000-0000-0000E5580000}"/>
    <cellStyle name="Note 2 6 3 17" xfId="28093" xr:uid="{00000000-0005-0000-0000-0000E6580000}"/>
    <cellStyle name="Note 2 6 3 2" xfId="28094" xr:uid="{00000000-0005-0000-0000-0000E7580000}"/>
    <cellStyle name="Note 2 6 3 2 2" xfId="28095" xr:uid="{00000000-0005-0000-0000-0000E8580000}"/>
    <cellStyle name="Note 2 6 3 2 2 2" xfId="28099" xr:uid="{00000000-0005-0000-0000-0000E9580000}"/>
    <cellStyle name="Note 2 6 3 2 2 3" xfId="28102" xr:uid="{00000000-0005-0000-0000-0000EA580000}"/>
    <cellStyle name="Note 2 6 3 2 2 4" xfId="28105" xr:uid="{00000000-0005-0000-0000-0000EB580000}"/>
    <cellStyle name="Note 2 6 3 2 3" xfId="28107" xr:uid="{00000000-0005-0000-0000-0000EC580000}"/>
    <cellStyle name="Note 2 6 3 2 3 2" xfId="28110" xr:uid="{00000000-0005-0000-0000-0000ED580000}"/>
    <cellStyle name="Note 2 6 3 2 3 3" xfId="28112" xr:uid="{00000000-0005-0000-0000-0000EE580000}"/>
    <cellStyle name="Note 2 6 3 2 3 4" xfId="28114" xr:uid="{00000000-0005-0000-0000-0000EF580000}"/>
    <cellStyle name="Note 2 6 3 2 4" xfId="25911" xr:uid="{00000000-0005-0000-0000-0000F0580000}"/>
    <cellStyle name="Note 2 6 3 2 4 2" xfId="28115" xr:uid="{00000000-0005-0000-0000-0000F1580000}"/>
    <cellStyle name="Note 2 6 3 2 4 3" xfId="28117" xr:uid="{00000000-0005-0000-0000-0000F2580000}"/>
    <cellStyle name="Note 2 6 3 2 5" xfId="4827" xr:uid="{00000000-0005-0000-0000-0000F3580000}"/>
    <cellStyle name="Note 2 6 3 2 5 2" xfId="1856" xr:uid="{00000000-0005-0000-0000-0000F4580000}"/>
    <cellStyle name="Note 2 6 3 2 5 3" xfId="108" xr:uid="{00000000-0005-0000-0000-0000F5580000}"/>
    <cellStyle name="Note 2 6 3 2 6" xfId="4831" xr:uid="{00000000-0005-0000-0000-0000F6580000}"/>
    <cellStyle name="Note 2 6 3 2 7" xfId="3041" xr:uid="{00000000-0005-0000-0000-0000F7580000}"/>
    <cellStyle name="Note 2 6 3 3" xfId="28119" xr:uid="{00000000-0005-0000-0000-0000F8580000}"/>
    <cellStyle name="Note 2 6 3 3 2" xfId="28120" xr:uid="{00000000-0005-0000-0000-0000F9580000}"/>
    <cellStyle name="Note 2 6 3 3 2 2" xfId="28123" xr:uid="{00000000-0005-0000-0000-0000FA580000}"/>
    <cellStyle name="Note 2 6 3 3 2 3" xfId="28125" xr:uid="{00000000-0005-0000-0000-0000FB580000}"/>
    <cellStyle name="Note 2 6 3 3 2 4" xfId="28127" xr:uid="{00000000-0005-0000-0000-0000FC580000}"/>
    <cellStyle name="Note 2 6 3 3 3" xfId="28129" xr:uid="{00000000-0005-0000-0000-0000FD580000}"/>
    <cellStyle name="Note 2 6 3 3 3 2" xfId="28131" xr:uid="{00000000-0005-0000-0000-0000FE580000}"/>
    <cellStyle name="Note 2 6 3 3 3 3" xfId="28133" xr:uid="{00000000-0005-0000-0000-0000FF580000}"/>
    <cellStyle name="Note 2 6 3 3 3 4" xfId="28135" xr:uid="{00000000-0005-0000-0000-000000590000}"/>
    <cellStyle name="Note 2 6 3 3 4" xfId="25916" xr:uid="{00000000-0005-0000-0000-000001590000}"/>
    <cellStyle name="Note 2 6 3 3 4 2" xfId="28136" xr:uid="{00000000-0005-0000-0000-000002590000}"/>
    <cellStyle name="Note 2 6 3 3 4 3" xfId="28138" xr:uid="{00000000-0005-0000-0000-000003590000}"/>
    <cellStyle name="Note 2 6 3 3 5" xfId="3217" xr:uid="{00000000-0005-0000-0000-000004590000}"/>
    <cellStyle name="Note 2 6 3 3 5 2" xfId="4834" xr:uid="{00000000-0005-0000-0000-000005590000}"/>
    <cellStyle name="Note 2 6 3 3 5 3" xfId="4836" xr:uid="{00000000-0005-0000-0000-000006590000}"/>
    <cellStyle name="Note 2 6 3 3 6" xfId="3221" xr:uid="{00000000-0005-0000-0000-000007590000}"/>
    <cellStyle name="Note 2 6 3 3 7" xfId="3061" xr:uid="{00000000-0005-0000-0000-000008590000}"/>
    <cellStyle name="Note 2 6 3 4" xfId="28140" xr:uid="{00000000-0005-0000-0000-000009590000}"/>
    <cellStyle name="Note 2 6 3 4 2" xfId="28141" xr:uid="{00000000-0005-0000-0000-00000A590000}"/>
    <cellStyle name="Note 2 6 3 4 2 2" xfId="19751" xr:uid="{00000000-0005-0000-0000-00000B590000}"/>
    <cellStyle name="Note 2 6 3 4 2 3" xfId="1732" xr:uid="{00000000-0005-0000-0000-00000C590000}"/>
    <cellStyle name="Note 2 6 3 4 2 4" xfId="1833" xr:uid="{00000000-0005-0000-0000-00000D590000}"/>
    <cellStyle name="Note 2 6 3 4 3" xfId="28142" xr:uid="{00000000-0005-0000-0000-00000E590000}"/>
    <cellStyle name="Note 2 6 3 4 3 2" xfId="20334" xr:uid="{00000000-0005-0000-0000-00000F590000}"/>
    <cellStyle name="Note 2 6 3 4 3 3" xfId="1858" xr:uid="{00000000-0005-0000-0000-000010590000}"/>
    <cellStyle name="Note 2 6 3 4 3 4" xfId="1905" xr:uid="{00000000-0005-0000-0000-000011590000}"/>
    <cellStyle name="Note 2 6 3 4 4" xfId="28143" xr:uid="{00000000-0005-0000-0000-000012590000}"/>
    <cellStyle name="Note 2 6 3 4 4 2" xfId="20866" xr:uid="{00000000-0005-0000-0000-000013590000}"/>
    <cellStyle name="Note 2 6 3 4 4 3" xfId="1911" xr:uid="{00000000-0005-0000-0000-000014590000}"/>
    <cellStyle name="Note 2 6 3 4 5" xfId="2654" xr:uid="{00000000-0005-0000-0000-000015590000}"/>
    <cellStyle name="Note 2 6 3 4 5 2" xfId="2657" xr:uid="{00000000-0005-0000-0000-000016590000}"/>
    <cellStyle name="Note 2 6 3 4 5 3" xfId="1972" xr:uid="{00000000-0005-0000-0000-000017590000}"/>
    <cellStyle name="Note 2 6 3 4 6" xfId="2662" xr:uid="{00000000-0005-0000-0000-000018590000}"/>
    <cellStyle name="Note 2 6 3 4 7" xfId="2669" xr:uid="{00000000-0005-0000-0000-000019590000}"/>
    <cellStyle name="Note 2 6 3 5" xfId="28144" xr:uid="{00000000-0005-0000-0000-00001A590000}"/>
    <cellStyle name="Note 2 6 3 5 2" xfId="28145" xr:uid="{00000000-0005-0000-0000-00001B590000}"/>
    <cellStyle name="Note 2 6 3 5 2 2" xfId="28146" xr:uid="{00000000-0005-0000-0000-00001C590000}"/>
    <cellStyle name="Note 2 6 3 5 2 3" xfId="28147" xr:uid="{00000000-0005-0000-0000-00001D590000}"/>
    <cellStyle name="Note 2 6 3 5 2 4" xfId="28148" xr:uid="{00000000-0005-0000-0000-00001E590000}"/>
    <cellStyle name="Note 2 6 3 5 3" xfId="28149" xr:uid="{00000000-0005-0000-0000-00001F590000}"/>
    <cellStyle name="Note 2 6 3 5 3 2" xfId="28150" xr:uid="{00000000-0005-0000-0000-000020590000}"/>
    <cellStyle name="Note 2 6 3 5 3 3" xfId="28151" xr:uid="{00000000-0005-0000-0000-000021590000}"/>
    <cellStyle name="Note 2 6 3 5 3 4" xfId="28152" xr:uid="{00000000-0005-0000-0000-000022590000}"/>
    <cellStyle name="Note 2 6 3 5 4" xfId="28153" xr:uid="{00000000-0005-0000-0000-000023590000}"/>
    <cellStyle name="Note 2 6 3 5 4 2" xfId="28154" xr:uid="{00000000-0005-0000-0000-000024590000}"/>
    <cellStyle name="Note 2 6 3 5 4 3" xfId="28155" xr:uid="{00000000-0005-0000-0000-000025590000}"/>
    <cellStyle name="Note 2 6 3 5 5" xfId="28156" xr:uid="{00000000-0005-0000-0000-000026590000}"/>
    <cellStyle name="Note 2 6 3 5 5 2" xfId="28157" xr:uid="{00000000-0005-0000-0000-000027590000}"/>
    <cellStyle name="Note 2 6 3 5 5 3" xfId="14153" xr:uid="{00000000-0005-0000-0000-000028590000}"/>
    <cellStyle name="Note 2 6 3 5 6" xfId="17425" xr:uid="{00000000-0005-0000-0000-000029590000}"/>
    <cellStyle name="Note 2 6 3 5 7" xfId="17427" xr:uid="{00000000-0005-0000-0000-00002A590000}"/>
    <cellStyle name="Note 2 6 3 6" xfId="28158" xr:uid="{00000000-0005-0000-0000-00002B590000}"/>
    <cellStyle name="Note 2 6 3 6 2" xfId="28159" xr:uid="{00000000-0005-0000-0000-00002C590000}"/>
    <cellStyle name="Note 2 6 3 6 2 2" xfId="26270" xr:uid="{00000000-0005-0000-0000-00002D590000}"/>
    <cellStyle name="Note 2 6 3 6 2 3" xfId="26274" xr:uid="{00000000-0005-0000-0000-00002E590000}"/>
    <cellStyle name="Note 2 6 3 6 2 4" xfId="21631" xr:uid="{00000000-0005-0000-0000-00002F590000}"/>
    <cellStyle name="Note 2 6 3 6 3" xfId="28160" xr:uid="{00000000-0005-0000-0000-000030590000}"/>
    <cellStyle name="Note 2 6 3 6 3 2" xfId="26280" xr:uid="{00000000-0005-0000-0000-000031590000}"/>
    <cellStyle name="Note 2 6 3 6 3 3" xfId="28161" xr:uid="{00000000-0005-0000-0000-000032590000}"/>
    <cellStyle name="Note 2 6 3 6 3 4" xfId="21635" xr:uid="{00000000-0005-0000-0000-000033590000}"/>
    <cellStyle name="Note 2 6 3 6 4" xfId="28162" xr:uid="{00000000-0005-0000-0000-000034590000}"/>
    <cellStyle name="Note 2 6 3 6 4 2" xfId="26285" xr:uid="{00000000-0005-0000-0000-000035590000}"/>
    <cellStyle name="Note 2 6 3 6 4 3" xfId="28163" xr:uid="{00000000-0005-0000-0000-000036590000}"/>
    <cellStyle name="Note 2 6 3 6 5" xfId="28164" xr:uid="{00000000-0005-0000-0000-000037590000}"/>
    <cellStyle name="Note 2 6 3 6 5 2" xfId="28165" xr:uid="{00000000-0005-0000-0000-000038590000}"/>
    <cellStyle name="Note 2 6 3 6 5 3" xfId="28166" xr:uid="{00000000-0005-0000-0000-000039590000}"/>
    <cellStyle name="Note 2 6 3 6 6" xfId="17429" xr:uid="{00000000-0005-0000-0000-00003A590000}"/>
    <cellStyle name="Note 2 6 3 6 7" xfId="17431" xr:uid="{00000000-0005-0000-0000-00003B590000}"/>
    <cellStyle name="Note 2 6 3 7" xfId="28167" xr:uid="{00000000-0005-0000-0000-00003C590000}"/>
    <cellStyle name="Note 2 6 3 7 2" xfId="28168" xr:uid="{00000000-0005-0000-0000-00003D590000}"/>
    <cellStyle name="Note 2 6 3 7 2 2" xfId="28169" xr:uid="{00000000-0005-0000-0000-00003E590000}"/>
    <cellStyle name="Note 2 6 3 7 2 3" xfId="28170" xr:uid="{00000000-0005-0000-0000-00003F590000}"/>
    <cellStyle name="Note 2 6 3 7 2 4" xfId="28171" xr:uid="{00000000-0005-0000-0000-000040590000}"/>
    <cellStyle name="Note 2 6 3 7 3" xfId="28172" xr:uid="{00000000-0005-0000-0000-000041590000}"/>
    <cellStyle name="Note 2 6 3 7 3 2" xfId="28173" xr:uid="{00000000-0005-0000-0000-000042590000}"/>
    <cellStyle name="Note 2 6 3 7 3 3" xfId="28174" xr:uid="{00000000-0005-0000-0000-000043590000}"/>
    <cellStyle name="Note 2 6 3 7 3 4" xfId="28175" xr:uid="{00000000-0005-0000-0000-000044590000}"/>
    <cellStyle name="Note 2 6 3 7 4" xfId="28176" xr:uid="{00000000-0005-0000-0000-000045590000}"/>
    <cellStyle name="Note 2 6 3 7 4 2" xfId="28177" xr:uid="{00000000-0005-0000-0000-000046590000}"/>
    <cellStyle name="Note 2 6 3 7 4 3" xfId="28178" xr:uid="{00000000-0005-0000-0000-000047590000}"/>
    <cellStyle name="Note 2 6 3 7 5" xfId="28179" xr:uid="{00000000-0005-0000-0000-000048590000}"/>
    <cellStyle name="Note 2 6 3 7 5 2" xfId="28180" xr:uid="{00000000-0005-0000-0000-000049590000}"/>
    <cellStyle name="Note 2 6 3 7 5 3" xfId="28181" xr:uid="{00000000-0005-0000-0000-00004A590000}"/>
    <cellStyle name="Note 2 6 3 7 6" xfId="28182" xr:uid="{00000000-0005-0000-0000-00004B590000}"/>
    <cellStyle name="Note 2 6 3 7 7" xfId="28183" xr:uid="{00000000-0005-0000-0000-00004C590000}"/>
    <cellStyle name="Note 2 6 3 8" xfId="28184" xr:uid="{00000000-0005-0000-0000-00004D590000}"/>
    <cellStyle name="Note 2 6 3 8 2" xfId="2404" xr:uid="{00000000-0005-0000-0000-00004E590000}"/>
    <cellStyle name="Note 2 6 3 8 2 2" xfId="28185" xr:uid="{00000000-0005-0000-0000-00004F590000}"/>
    <cellStyle name="Note 2 6 3 8 2 3" xfId="28186" xr:uid="{00000000-0005-0000-0000-000050590000}"/>
    <cellStyle name="Note 2 6 3 8 2 4" xfId="28187" xr:uid="{00000000-0005-0000-0000-000051590000}"/>
    <cellStyle name="Note 2 6 3 8 3" xfId="28188" xr:uid="{00000000-0005-0000-0000-000052590000}"/>
    <cellStyle name="Note 2 6 3 8 3 2" xfId="28189" xr:uid="{00000000-0005-0000-0000-000053590000}"/>
    <cellStyle name="Note 2 6 3 8 3 3" xfId="28190" xr:uid="{00000000-0005-0000-0000-000054590000}"/>
    <cellStyle name="Note 2 6 3 8 3 4" xfId="28191" xr:uid="{00000000-0005-0000-0000-000055590000}"/>
    <cellStyle name="Note 2 6 3 8 4" xfId="28192" xr:uid="{00000000-0005-0000-0000-000056590000}"/>
    <cellStyle name="Note 2 6 3 8 4 2" xfId="28193" xr:uid="{00000000-0005-0000-0000-000057590000}"/>
    <cellStyle name="Note 2 6 3 8 4 3" xfId="28194" xr:uid="{00000000-0005-0000-0000-000058590000}"/>
    <cellStyle name="Note 2 6 3 8 5" xfId="28195" xr:uid="{00000000-0005-0000-0000-000059590000}"/>
    <cellStyle name="Note 2 6 3 8 5 2" xfId="28196" xr:uid="{00000000-0005-0000-0000-00005A590000}"/>
    <cellStyle name="Note 2 6 3 8 5 3" xfId="28197" xr:uid="{00000000-0005-0000-0000-00005B590000}"/>
    <cellStyle name="Note 2 6 3 8 6" xfId="28198" xr:uid="{00000000-0005-0000-0000-00005C590000}"/>
    <cellStyle name="Note 2 6 3 8 7" xfId="28200" xr:uid="{00000000-0005-0000-0000-00005D590000}"/>
    <cellStyle name="Note 2 6 3 9" xfId="10649" xr:uid="{00000000-0005-0000-0000-00005E590000}"/>
    <cellStyle name="Note 2 6 3 9 2" xfId="23838" xr:uid="{00000000-0005-0000-0000-00005F590000}"/>
    <cellStyle name="Note 2 6 3 9 2 2" xfId="27578" xr:uid="{00000000-0005-0000-0000-000060590000}"/>
    <cellStyle name="Note 2 6 3 9 2 3" xfId="27580" xr:uid="{00000000-0005-0000-0000-000061590000}"/>
    <cellStyle name="Note 2 6 3 9 2 4" xfId="28202" xr:uid="{00000000-0005-0000-0000-000062590000}"/>
    <cellStyle name="Note 2 6 3 9 3" xfId="28203" xr:uid="{00000000-0005-0000-0000-000063590000}"/>
    <cellStyle name="Note 2 6 3 9 3 2" xfId="28204" xr:uid="{00000000-0005-0000-0000-000064590000}"/>
    <cellStyle name="Note 2 6 3 9 3 3" xfId="28205" xr:uid="{00000000-0005-0000-0000-000065590000}"/>
    <cellStyle name="Note 2 6 3 9 3 4" xfId="28206" xr:uid="{00000000-0005-0000-0000-000066590000}"/>
    <cellStyle name="Note 2 6 3 9 4" xfId="17725" xr:uid="{00000000-0005-0000-0000-000067590000}"/>
    <cellStyle name="Note 2 6 3 9 4 2" xfId="28207" xr:uid="{00000000-0005-0000-0000-000068590000}"/>
    <cellStyle name="Note 2 6 3 9 4 3" xfId="28209" xr:uid="{00000000-0005-0000-0000-000069590000}"/>
    <cellStyle name="Note 2 6 3 9 5" xfId="17727" xr:uid="{00000000-0005-0000-0000-00006A590000}"/>
    <cellStyle name="Note 2 6 3 9 5 2" xfId="28211" xr:uid="{00000000-0005-0000-0000-00006B590000}"/>
    <cellStyle name="Note 2 6 3 9 5 3" xfId="28212" xr:uid="{00000000-0005-0000-0000-00006C590000}"/>
    <cellStyle name="Note 2 6 3 9 6" xfId="17729" xr:uid="{00000000-0005-0000-0000-00006D590000}"/>
    <cellStyle name="Note 2 6 3 9 7" xfId="28214" xr:uid="{00000000-0005-0000-0000-00006E590000}"/>
    <cellStyle name="Note 2 6 30" xfId="9420" xr:uid="{00000000-0005-0000-0000-00006F590000}"/>
    <cellStyle name="Note 2 6 4" xfId="13944" xr:uid="{00000000-0005-0000-0000-000070590000}"/>
    <cellStyle name="Note 2 6 4 2" xfId="28217" xr:uid="{00000000-0005-0000-0000-000071590000}"/>
    <cellStyle name="Note 2 6 4 2 2" xfId="28218" xr:uid="{00000000-0005-0000-0000-000072590000}"/>
    <cellStyle name="Note 2 6 4 2 3" xfId="28222" xr:uid="{00000000-0005-0000-0000-000073590000}"/>
    <cellStyle name="Note 2 6 4 2 4" xfId="25938" xr:uid="{00000000-0005-0000-0000-000074590000}"/>
    <cellStyle name="Note 2 6 4 3" xfId="28225" xr:uid="{00000000-0005-0000-0000-000075590000}"/>
    <cellStyle name="Note 2 6 4 3 2" xfId="28226" xr:uid="{00000000-0005-0000-0000-000076590000}"/>
    <cellStyle name="Note 2 6 4 3 3" xfId="28229" xr:uid="{00000000-0005-0000-0000-000077590000}"/>
    <cellStyle name="Note 2 6 4 3 4" xfId="25942" xr:uid="{00000000-0005-0000-0000-000078590000}"/>
    <cellStyle name="Note 2 6 4 4" xfId="28231" xr:uid="{00000000-0005-0000-0000-000079590000}"/>
    <cellStyle name="Note 2 6 4 4 2" xfId="28232" xr:uid="{00000000-0005-0000-0000-00007A590000}"/>
    <cellStyle name="Note 2 6 4 4 3" xfId="28233" xr:uid="{00000000-0005-0000-0000-00007B590000}"/>
    <cellStyle name="Note 2 6 4 5" xfId="28234" xr:uid="{00000000-0005-0000-0000-00007C590000}"/>
    <cellStyle name="Note 2 6 4 5 2" xfId="28235" xr:uid="{00000000-0005-0000-0000-00007D590000}"/>
    <cellStyle name="Note 2 6 4 5 3" xfId="28236" xr:uid="{00000000-0005-0000-0000-00007E590000}"/>
    <cellStyle name="Note 2 6 4 6" xfId="28237" xr:uid="{00000000-0005-0000-0000-00007F590000}"/>
    <cellStyle name="Note 2 6 4 7" xfId="28238" xr:uid="{00000000-0005-0000-0000-000080590000}"/>
    <cellStyle name="Note 2 6 4 8" xfId="28240" xr:uid="{00000000-0005-0000-0000-000081590000}"/>
    <cellStyle name="Note 2 6 5" xfId="28242" xr:uid="{00000000-0005-0000-0000-000082590000}"/>
    <cellStyle name="Note 2 6 5 2" xfId="28243" xr:uid="{00000000-0005-0000-0000-000083590000}"/>
    <cellStyle name="Note 2 6 5 2 2" xfId="27069" xr:uid="{00000000-0005-0000-0000-000084590000}"/>
    <cellStyle name="Note 2 6 5 2 3" xfId="27072" xr:uid="{00000000-0005-0000-0000-000085590000}"/>
    <cellStyle name="Note 2 6 5 2 4" xfId="25961" xr:uid="{00000000-0005-0000-0000-000086590000}"/>
    <cellStyle name="Note 2 6 5 3" xfId="28244" xr:uid="{00000000-0005-0000-0000-000087590000}"/>
    <cellStyle name="Note 2 6 5 3 2" xfId="16365" xr:uid="{00000000-0005-0000-0000-000088590000}"/>
    <cellStyle name="Note 2 6 5 3 3" xfId="16371" xr:uid="{00000000-0005-0000-0000-000089590000}"/>
    <cellStyle name="Note 2 6 5 3 4" xfId="16377" xr:uid="{00000000-0005-0000-0000-00008A590000}"/>
    <cellStyle name="Note 2 6 5 4" xfId="28245" xr:uid="{00000000-0005-0000-0000-00008B590000}"/>
    <cellStyle name="Note 2 6 5 4 2" xfId="27081" xr:uid="{00000000-0005-0000-0000-00008C590000}"/>
    <cellStyle name="Note 2 6 5 4 3" xfId="27083" xr:uid="{00000000-0005-0000-0000-00008D590000}"/>
    <cellStyle name="Note 2 6 5 5" xfId="28246" xr:uid="{00000000-0005-0000-0000-00008E590000}"/>
    <cellStyle name="Note 2 6 5 5 2" xfId="27089" xr:uid="{00000000-0005-0000-0000-00008F590000}"/>
    <cellStyle name="Note 2 6 5 5 3" xfId="27091" xr:uid="{00000000-0005-0000-0000-000090590000}"/>
    <cellStyle name="Note 2 6 5 6" xfId="28247" xr:uid="{00000000-0005-0000-0000-000091590000}"/>
    <cellStyle name="Note 2 6 5 7" xfId="28248" xr:uid="{00000000-0005-0000-0000-000092590000}"/>
    <cellStyle name="Note 2 6 5 8" xfId="28250" xr:uid="{00000000-0005-0000-0000-000093590000}"/>
    <cellStyle name="Note 2 6 6" xfId="28252" xr:uid="{00000000-0005-0000-0000-000094590000}"/>
    <cellStyle name="Note 2 6 6 2" xfId="9678" xr:uid="{00000000-0005-0000-0000-000095590000}"/>
    <cellStyle name="Note 2 6 6 2 2" xfId="16608" xr:uid="{00000000-0005-0000-0000-000096590000}"/>
    <cellStyle name="Note 2 6 6 2 3" xfId="28253" xr:uid="{00000000-0005-0000-0000-000097590000}"/>
    <cellStyle name="Note 2 6 6 2 4" xfId="25979" xr:uid="{00000000-0005-0000-0000-000098590000}"/>
    <cellStyle name="Note 2 6 6 3" xfId="28254" xr:uid="{00000000-0005-0000-0000-000099590000}"/>
    <cellStyle name="Note 2 6 6 3 2" xfId="28255" xr:uid="{00000000-0005-0000-0000-00009A590000}"/>
    <cellStyle name="Note 2 6 6 3 3" xfId="28257" xr:uid="{00000000-0005-0000-0000-00009B590000}"/>
    <cellStyle name="Note 2 6 6 3 4" xfId="25981" xr:uid="{00000000-0005-0000-0000-00009C590000}"/>
    <cellStyle name="Note 2 6 6 4" xfId="28258" xr:uid="{00000000-0005-0000-0000-00009D590000}"/>
    <cellStyle name="Note 2 6 6 4 2" xfId="28259" xr:uid="{00000000-0005-0000-0000-00009E590000}"/>
    <cellStyle name="Note 2 6 6 4 3" xfId="28260" xr:uid="{00000000-0005-0000-0000-00009F590000}"/>
    <cellStyle name="Note 2 6 6 5" xfId="28261" xr:uid="{00000000-0005-0000-0000-0000A0590000}"/>
    <cellStyle name="Note 2 6 6 5 2" xfId="28262" xr:uid="{00000000-0005-0000-0000-0000A1590000}"/>
    <cellStyle name="Note 2 6 6 5 3" xfId="28263" xr:uid="{00000000-0005-0000-0000-0000A2590000}"/>
    <cellStyle name="Note 2 6 6 6" xfId="28264" xr:uid="{00000000-0005-0000-0000-0000A3590000}"/>
    <cellStyle name="Note 2 6 6 7" xfId="24754" xr:uid="{00000000-0005-0000-0000-0000A4590000}"/>
    <cellStyle name="Note 2 6 6 8" xfId="24758" xr:uid="{00000000-0005-0000-0000-0000A5590000}"/>
    <cellStyle name="Note 2 6 7" xfId="28265" xr:uid="{00000000-0005-0000-0000-0000A6590000}"/>
    <cellStyle name="Note 2 6 7 2" xfId="9683" xr:uid="{00000000-0005-0000-0000-0000A7590000}"/>
    <cellStyle name="Note 2 6 7 2 2" xfId="16825" xr:uid="{00000000-0005-0000-0000-0000A8590000}"/>
    <cellStyle name="Note 2 6 7 2 3" xfId="28267" xr:uid="{00000000-0005-0000-0000-0000A9590000}"/>
    <cellStyle name="Note 2 6 7 2 4" xfId="28268" xr:uid="{00000000-0005-0000-0000-0000AA590000}"/>
    <cellStyle name="Note 2 6 7 3" xfId="28269" xr:uid="{00000000-0005-0000-0000-0000AB590000}"/>
    <cellStyle name="Note 2 6 7 3 2" xfId="28271" xr:uid="{00000000-0005-0000-0000-0000AC590000}"/>
    <cellStyle name="Note 2 6 7 3 3" xfId="28273" xr:uid="{00000000-0005-0000-0000-0000AD590000}"/>
    <cellStyle name="Note 2 6 7 3 4" xfId="28274" xr:uid="{00000000-0005-0000-0000-0000AE590000}"/>
    <cellStyle name="Note 2 6 7 4" xfId="28275" xr:uid="{00000000-0005-0000-0000-0000AF590000}"/>
    <cellStyle name="Note 2 6 7 4 2" xfId="28277" xr:uid="{00000000-0005-0000-0000-0000B0590000}"/>
    <cellStyle name="Note 2 6 7 4 3" xfId="28278" xr:uid="{00000000-0005-0000-0000-0000B1590000}"/>
    <cellStyle name="Note 2 6 7 5" xfId="28279" xr:uid="{00000000-0005-0000-0000-0000B2590000}"/>
    <cellStyle name="Note 2 6 7 5 2" xfId="28280" xr:uid="{00000000-0005-0000-0000-0000B3590000}"/>
    <cellStyle name="Note 2 6 7 5 3" xfId="28281" xr:uid="{00000000-0005-0000-0000-0000B4590000}"/>
    <cellStyle name="Note 2 6 7 6" xfId="28282" xr:uid="{00000000-0005-0000-0000-0000B5590000}"/>
    <cellStyle name="Note 2 6 7 7" xfId="24769" xr:uid="{00000000-0005-0000-0000-0000B6590000}"/>
    <cellStyle name="Note 2 6 7 8" xfId="24773" xr:uid="{00000000-0005-0000-0000-0000B7590000}"/>
    <cellStyle name="Note 2 6 8" xfId="28285" xr:uid="{00000000-0005-0000-0000-0000B8590000}"/>
    <cellStyle name="Note 2 6 8 2" xfId="28287" xr:uid="{00000000-0005-0000-0000-0000B9590000}"/>
    <cellStyle name="Note 2 6 8 2 2" xfId="21104" xr:uid="{00000000-0005-0000-0000-0000BA590000}"/>
    <cellStyle name="Note 2 6 8 2 3" xfId="28289" xr:uid="{00000000-0005-0000-0000-0000BB590000}"/>
    <cellStyle name="Note 2 6 8 2 4" xfId="28292" xr:uid="{00000000-0005-0000-0000-0000BC590000}"/>
    <cellStyle name="Note 2 6 8 3" xfId="28294" xr:uid="{00000000-0005-0000-0000-0000BD590000}"/>
    <cellStyle name="Note 2 6 8 3 2" xfId="21127" xr:uid="{00000000-0005-0000-0000-0000BE590000}"/>
    <cellStyle name="Note 2 6 8 3 3" xfId="28296" xr:uid="{00000000-0005-0000-0000-0000BF590000}"/>
    <cellStyle name="Note 2 6 8 3 4" xfId="28298" xr:uid="{00000000-0005-0000-0000-0000C0590000}"/>
    <cellStyle name="Note 2 6 8 4" xfId="28299" xr:uid="{00000000-0005-0000-0000-0000C1590000}"/>
    <cellStyle name="Note 2 6 8 4 2" xfId="21158" xr:uid="{00000000-0005-0000-0000-0000C2590000}"/>
    <cellStyle name="Note 2 6 8 4 3" xfId="28301" xr:uid="{00000000-0005-0000-0000-0000C3590000}"/>
    <cellStyle name="Note 2 6 8 5" xfId="28302" xr:uid="{00000000-0005-0000-0000-0000C4590000}"/>
    <cellStyle name="Note 2 6 8 5 2" xfId="21187" xr:uid="{00000000-0005-0000-0000-0000C5590000}"/>
    <cellStyle name="Note 2 6 8 5 3" xfId="28303" xr:uid="{00000000-0005-0000-0000-0000C6590000}"/>
    <cellStyle name="Note 2 6 8 6" xfId="28304" xr:uid="{00000000-0005-0000-0000-0000C7590000}"/>
    <cellStyle name="Note 2 6 8 7" xfId="24780" xr:uid="{00000000-0005-0000-0000-0000C8590000}"/>
    <cellStyle name="Note 2 6 8 8" xfId="24783" xr:uid="{00000000-0005-0000-0000-0000C9590000}"/>
    <cellStyle name="Note 2 6 9" xfId="28307" xr:uid="{00000000-0005-0000-0000-0000CA590000}"/>
    <cellStyle name="Note 2 6 9 2" xfId="28309" xr:uid="{00000000-0005-0000-0000-0000CB590000}"/>
    <cellStyle name="Note 2 6 9 2 2" xfId="21354" xr:uid="{00000000-0005-0000-0000-0000CC590000}"/>
    <cellStyle name="Note 2 6 9 2 3" xfId="28311" xr:uid="{00000000-0005-0000-0000-0000CD590000}"/>
    <cellStyle name="Note 2 6 9 2 4" xfId="28313" xr:uid="{00000000-0005-0000-0000-0000CE590000}"/>
    <cellStyle name="Note 2 6 9 3" xfId="28314" xr:uid="{00000000-0005-0000-0000-0000CF590000}"/>
    <cellStyle name="Note 2 6 9 3 2" xfId="21375" xr:uid="{00000000-0005-0000-0000-0000D0590000}"/>
    <cellStyle name="Note 2 6 9 3 3" xfId="28316" xr:uid="{00000000-0005-0000-0000-0000D1590000}"/>
    <cellStyle name="Note 2 6 9 3 4" xfId="28317" xr:uid="{00000000-0005-0000-0000-0000D2590000}"/>
    <cellStyle name="Note 2 6 9 4" xfId="28318" xr:uid="{00000000-0005-0000-0000-0000D3590000}"/>
    <cellStyle name="Note 2 6 9 4 2" xfId="21395" xr:uid="{00000000-0005-0000-0000-0000D4590000}"/>
    <cellStyle name="Note 2 6 9 4 3" xfId="28319" xr:uid="{00000000-0005-0000-0000-0000D5590000}"/>
    <cellStyle name="Note 2 6 9 5" xfId="28320" xr:uid="{00000000-0005-0000-0000-0000D6590000}"/>
    <cellStyle name="Note 2 6 9 5 2" xfId="21416" xr:uid="{00000000-0005-0000-0000-0000D7590000}"/>
    <cellStyle name="Note 2 6 9 5 3" xfId="28321" xr:uid="{00000000-0005-0000-0000-0000D8590000}"/>
    <cellStyle name="Note 2 6 9 6" xfId="28323" xr:uid="{00000000-0005-0000-0000-0000D9590000}"/>
    <cellStyle name="Note 2 6 9 7" xfId="24786" xr:uid="{00000000-0005-0000-0000-0000DA590000}"/>
    <cellStyle name="Note 2 6 9 8" xfId="24789" xr:uid="{00000000-0005-0000-0000-0000DB590000}"/>
    <cellStyle name="Note 2 7" xfId="13947" xr:uid="{00000000-0005-0000-0000-0000DC590000}"/>
    <cellStyle name="Note 2 7 10" xfId="28324" xr:uid="{00000000-0005-0000-0000-0000DD590000}"/>
    <cellStyle name="Note 2 7 10 2" xfId="28325" xr:uid="{00000000-0005-0000-0000-0000DE590000}"/>
    <cellStyle name="Note 2 7 10 2 2" xfId="28326" xr:uid="{00000000-0005-0000-0000-0000DF590000}"/>
    <cellStyle name="Note 2 7 10 2 3" xfId="28328" xr:uid="{00000000-0005-0000-0000-0000E0590000}"/>
    <cellStyle name="Note 2 7 10 2 4" xfId="28330" xr:uid="{00000000-0005-0000-0000-0000E1590000}"/>
    <cellStyle name="Note 2 7 10 3" xfId="28331" xr:uid="{00000000-0005-0000-0000-0000E2590000}"/>
    <cellStyle name="Note 2 7 10 3 2" xfId="28332" xr:uid="{00000000-0005-0000-0000-0000E3590000}"/>
    <cellStyle name="Note 2 7 10 3 3" xfId="28333" xr:uid="{00000000-0005-0000-0000-0000E4590000}"/>
    <cellStyle name="Note 2 7 10 3 4" xfId="28334" xr:uid="{00000000-0005-0000-0000-0000E5590000}"/>
    <cellStyle name="Note 2 7 10 4" xfId="28335" xr:uid="{00000000-0005-0000-0000-0000E6590000}"/>
    <cellStyle name="Note 2 7 10 4 2" xfId="28336" xr:uid="{00000000-0005-0000-0000-0000E7590000}"/>
    <cellStyle name="Note 2 7 10 4 3" xfId="28337" xr:uid="{00000000-0005-0000-0000-0000E8590000}"/>
    <cellStyle name="Note 2 7 10 5" xfId="28338" xr:uid="{00000000-0005-0000-0000-0000E9590000}"/>
    <cellStyle name="Note 2 7 10 5 2" xfId="28339" xr:uid="{00000000-0005-0000-0000-0000EA590000}"/>
    <cellStyle name="Note 2 7 10 5 3" xfId="28340" xr:uid="{00000000-0005-0000-0000-0000EB590000}"/>
    <cellStyle name="Note 2 7 10 6" xfId="28341" xr:uid="{00000000-0005-0000-0000-0000EC590000}"/>
    <cellStyle name="Note 2 7 10 7" xfId="28342" xr:uid="{00000000-0005-0000-0000-0000ED590000}"/>
    <cellStyle name="Note 2 7 11" xfId="28343" xr:uid="{00000000-0005-0000-0000-0000EE590000}"/>
    <cellStyle name="Note 2 7 11 2" xfId="28344" xr:uid="{00000000-0005-0000-0000-0000EF590000}"/>
    <cellStyle name="Note 2 7 11 2 2" xfId="28345" xr:uid="{00000000-0005-0000-0000-0000F0590000}"/>
    <cellStyle name="Note 2 7 11 2 3" xfId="17067" xr:uid="{00000000-0005-0000-0000-0000F1590000}"/>
    <cellStyle name="Note 2 7 11 2 4" xfId="17069" xr:uid="{00000000-0005-0000-0000-0000F2590000}"/>
    <cellStyle name="Note 2 7 11 3" xfId="28346" xr:uid="{00000000-0005-0000-0000-0000F3590000}"/>
    <cellStyle name="Note 2 7 11 3 2" xfId="28347" xr:uid="{00000000-0005-0000-0000-0000F4590000}"/>
    <cellStyle name="Note 2 7 11 3 3" xfId="17072" xr:uid="{00000000-0005-0000-0000-0000F5590000}"/>
    <cellStyle name="Note 2 7 11 3 4" xfId="17074" xr:uid="{00000000-0005-0000-0000-0000F6590000}"/>
    <cellStyle name="Note 2 7 11 4" xfId="28348" xr:uid="{00000000-0005-0000-0000-0000F7590000}"/>
    <cellStyle name="Note 2 7 11 4 2" xfId="28349" xr:uid="{00000000-0005-0000-0000-0000F8590000}"/>
    <cellStyle name="Note 2 7 11 4 3" xfId="17077" xr:uid="{00000000-0005-0000-0000-0000F9590000}"/>
    <cellStyle name="Note 2 7 11 5" xfId="28350" xr:uid="{00000000-0005-0000-0000-0000FA590000}"/>
    <cellStyle name="Note 2 7 11 5 2" xfId="28351" xr:uid="{00000000-0005-0000-0000-0000FB590000}"/>
    <cellStyle name="Note 2 7 11 5 3" xfId="28354" xr:uid="{00000000-0005-0000-0000-0000FC590000}"/>
    <cellStyle name="Note 2 7 11 6" xfId="28356" xr:uid="{00000000-0005-0000-0000-0000FD590000}"/>
    <cellStyle name="Note 2 7 11 7" xfId="28357" xr:uid="{00000000-0005-0000-0000-0000FE590000}"/>
    <cellStyle name="Note 2 7 12" xfId="28358" xr:uid="{00000000-0005-0000-0000-0000FF590000}"/>
    <cellStyle name="Note 2 7 12 2" xfId="28359" xr:uid="{00000000-0005-0000-0000-0000005A0000}"/>
    <cellStyle name="Note 2 7 12 2 2" xfId="28360" xr:uid="{00000000-0005-0000-0000-0000015A0000}"/>
    <cellStyle name="Note 2 7 12 2 3" xfId="28361" xr:uid="{00000000-0005-0000-0000-0000025A0000}"/>
    <cellStyle name="Note 2 7 12 2 4" xfId="28362" xr:uid="{00000000-0005-0000-0000-0000035A0000}"/>
    <cellStyle name="Note 2 7 12 3" xfId="28363" xr:uid="{00000000-0005-0000-0000-0000045A0000}"/>
    <cellStyle name="Note 2 7 12 3 2" xfId="28364" xr:uid="{00000000-0005-0000-0000-0000055A0000}"/>
    <cellStyle name="Note 2 7 12 3 3" xfId="28365" xr:uid="{00000000-0005-0000-0000-0000065A0000}"/>
    <cellStyle name="Note 2 7 12 3 4" xfId="28366" xr:uid="{00000000-0005-0000-0000-0000075A0000}"/>
    <cellStyle name="Note 2 7 12 4" xfId="28367" xr:uid="{00000000-0005-0000-0000-0000085A0000}"/>
    <cellStyle name="Note 2 7 12 4 2" xfId="28368" xr:uid="{00000000-0005-0000-0000-0000095A0000}"/>
    <cellStyle name="Note 2 7 12 4 3" xfId="28369" xr:uid="{00000000-0005-0000-0000-00000A5A0000}"/>
    <cellStyle name="Note 2 7 12 5" xfId="28370" xr:uid="{00000000-0005-0000-0000-00000B5A0000}"/>
    <cellStyle name="Note 2 7 12 5 2" xfId="28371" xr:uid="{00000000-0005-0000-0000-00000C5A0000}"/>
    <cellStyle name="Note 2 7 12 5 3" xfId="28372" xr:uid="{00000000-0005-0000-0000-00000D5A0000}"/>
    <cellStyle name="Note 2 7 12 6" xfId="28373" xr:uid="{00000000-0005-0000-0000-00000E5A0000}"/>
    <cellStyle name="Note 2 7 12 7" xfId="28374" xr:uid="{00000000-0005-0000-0000-00000F5A0000}"/>
    <cellStyle name="Note 2 7 13" xfId="28375" xr:uid="{00000000-0005-0000-0000-0000105A0000}"/>
    <cellStyle name="Note 2 7 13 2" xfId="28376" xr:uid="{00000000-0005-0000-0000-0000115A0000}"/>
    <cellStyle name="Note 2 7 13 3" xfId="28377" xr:uid="{00000000-0005-0000-0000-0000125A0000}"/>
    <cellStyle name="Note 2 7 13 4" xfId="28378" xr:uid="{00000000-0005-0000-0000-0000135A0000}"/>
    <cellStyle name="Note 2 7 14" xfId="28379" xr:uid="{00000000-0005-0000-0000-0000145A0000}"/>
    <cellStyle name="Note 2 7 14 2" xfId="28380" xr:uid="{00000000-0005-0000-0000-0000155A0000}"/>
    <cellStyle name="Note 2 7 14 3" xfId="28381" xr:uid="{00000000-0005-0000-0000-0000165A0000}"/>
    <cellStyle name="Note 2 7 14 4" xfId="28382" xr:uid="{00000000-0005-0000-0000-0000175A0000}"/>
    <cellStyle name="Note 2 7 15" xfId="28383" xr:uid="{00000000-0005-0000-0000-0000185A0000}"/>
    <cellStyle name="Note 2 7 15 2" xfId="28385" xr:uid="{00000000-0005-0000-0000-0000195A0000}"/>
    <cellStyle name="Note 2 7 15 3" xfId="28386" xr:uid="{00000000-0005-0000-0000-00001A5A0000}"/>
    <cellStyle name="Note 2 7 16" xfId="28387" xr:uid="{00000000-0005-0000-0000-00001B5A0000}"/>
    <cellStyle name="Note 2 7 16 2" xfId="28388" xr:uid="{00000000-0005-0000-0000-00001C5A0000}"/>
    <cellStyle name="Note 2 7 16 3" xfId="28389" xr:uid="{00000000-0005-0000-0000-00001D5A0000}"/>
    <cellStyle name="Note 2 7 17" xfId="11710" xr:uid="{00000000-0005-0000-0000-00001E5A0000}"/>
    <cellStyle name="Note 2 7 18" xfId="4440" xr:uid="{00000000-0005-0000-0000-00001F5A0000}"/>
    <cellStyle name="Note 2 7 19" xfId="4930" xr:uid="{00000000-0005-0000-0000-0000205A0000}"/>
    <cellStyle name="Note 2 7 2" xfId="12221" xr:uid="{00000000-0005-0000-0000-0000215A0000}"/>
    <cellStyle name="Note 2 7 2 10" xfId="3582" xr:uid="{00000000-0005-0000-0000-0000225A0000}"/>
    <cellStyle name="Note 2 7 2 10 2" xfId="28390" xr:uid="{00000000-0005-0000-0000-0000235A0000}"/>
    <cellStyle name="Note 2 7 2 10 2 2" xfId="21644" xr:uid="{00000000-0005-0000-0000-0000245A0000}"/>
    <cellStyle name="Note 2 7 2 10 2 3" xfId="28391" xr:uid="{00000000-0005-0000-0000-0000255A0000}"/>
    <cellStyle name="Note 2 7 2 10 2 4" xfId="28392" xr:uid="{00000000-0005-0000-0000-0000265A0000}"/>
    <cellStyle name="Note 2 7 2 10 3" xfId="28393" xr:uid="{00000000-0005-0000-0000-0000275A0000}"/>
    <cellStyle name="Note 2 7 2 10 3 2" xfId="10563" xr:uid="{00000000-0005-0000-0000-0000285A0000}"/>
    <cellStyle name="Note 2 7 2 10 3 3" xfId="10565" xr:uid="{00000000-0005-0000-0000-0000295A0000}"/>
    <cellStyle name="Note 2 7 2 10 3 4" xfId="28394" xr:uid="{00000000-0005-0000-0000-00002A5A0000}"/>
    <cellStyle name="Note 2 7 2 10 4" xfId="28395" xr:uid="{00000000-0005-0000-0000-00002B5A0000}"/>
    <cellStyle name="Note 2 7 2 10 4 2" xfId="10568" xr:uid="{00000000-0005-0000-0000-00002C5A0000}"/>
    <cellStyle name="Note 2 7 2 10 4 3" xfId="10570" xr:uid="{00000000-0005-0000-0000-00002D5A0000}"/>
    <cellStyle name="Note 2 7 2 10 5" xfId="28396" xr:uid="{00000000-0005-0000-0000-00002E5A0000}"/>
    <cellStyle name="Note 2 7 2 10 5 2" xfId="10573" xr:uid="{00000000-0005-0000-0000-00002F5A0000}"/>
    <cellStyle name="Note 2 7 2 10 5 3" xfId="28399" xr:uid="{00000000-0005-0000-0000-0000305A0000}"/>
    <cellStyle name="Note 2 7 2 10 6" xfId="28400" xr:uid="{00000000-0005-0000-0000-0000315A0000}"/>
    <cellStyle name="Note 2 7 2 10 7" xfId="28403" xr:uid="{00000000-0005-0000-0000-0000325A0000}"/>
    <cellStyle name="Note 2 7 2 11" xfId="3585" xr:uid="{00000000-0005-0000-0000-0000335A0000}"/>
    <cellStyle name="Note 2 7 2 11 2" xfId="28405" xr:uid="{00000000-0005-0000-0000-0000345A0000}"/>
    <cellStyle name="Note 2 7 2 11 3" xfId="15600" xr:uid="{00000000-0005-0000-0000-0000355A0000}"/>
    <cellStyle name="Note 2 7 2 11 4" xfId="15602" xr:uid="{00000000-0005-0000-0000-0000365A0000}"/>
    <cellStyle name="Note 2 7 2 12" xfId="1175" xr:uid="{00000000-0005-0000-0000-0000375A0000}"/>
    <cellStyle name="Note 2 7 2 12 2" xfId="1178" xr:uid="{00000000-0005-0000-0000-0000385A0000}"/>
    <cellStyle name="Note 2 7 2 12 3" xfId="15609" xr:uid="{00000000-0005-0000-0000-0000395A0000}"/>
    <cellStyle name="Note 2 7 2 12 4" xfId="15611" xr:uid="{00000000-0005-0000-0000-00003A5A0000}"/>
    <cellStyle name="Note 2 7 2 13" xfId="28406" xr:uid="{00000000-0005-0000-0000-00003B5A0000}"/>
    <cellStyle name="Note 2 7 2 13 2" xfId="28407" xr:uid="{00000000-0005-0000-0000-00003C5A0000}"/>
    <cellStyle name="Note 2 7 2 13 3" xfId="15616" xr:uid="{00000000-0005-0000-0000-00003D5A0000}"/>
    <cellStyle name="Note 2 7 2 14" xfId="28408" xr:uid="{00000000-0005-0000-0000-00003E5A0000}"/>
    <cellStyle name="Note 2 7 2 14 2" xfId="28409" xr:uid="{00000000-0005-0000-0000-00003F5A0000}"/>
    <cellStyle name="Note 2 7 2 14 3" xfId="15621" xr:uid="{00000000-0005-0000-0000-0000405A0000}"/>
    <cellStyle name="Note 2 7 2 15" xfId="28410" xr:uid="{00000000-0005-0000-0000-0000415A0000}"/>
    <cellStyle name="Note 2 7 2 16" xfId="28411" xr:uid="{00000000-0005-0000-0000-0000425A0000}"/>
    <cellStyle name="Note 2 7 2 2" xfId="28413" xr:uid="{00000000-0005-0000-0000-0000435A0000}"/>
    <cellStyle name="Note 2 7 2 2 2" xfId="28414" xr:uid="{00000000-0005-0000-0000-0000445A0000}"/>
    <cellStyle name="Note 2 7 2 2 2 2" xfId="28415" xr:uid="{00000000-0005-0000-0000-0000455A0000}"/>
    <cellStyle name="Note 2 7 2 2 2 3" xfId="28416" xr:uid="{00000000-0005-0000-0000-0000465A0000}"/>
    <cellStyle name="Note 2 7 2 2 2 4" xfId="28417" xr:uid="{00000000-0005-0000-0000-0000475A0000}"/>
    <cellStyle name="Note 2 7 2 2 3" xfId="28418" xr:uid="{00000000-0005-0000-0000-0000485A0000}"/>
    <cellStyle name="Note 2 7 2 2 3 2" xfId="15042" xr:uid="{00000000-0005-0000-0000-0000495A0000}"/>
    <cellStyle name="Note 2 7 2 2 3 3" xfId="28419" xr:uid="{00000000-0005-0000-0000-00004A5A0000}"/>
    <cellStyle name="Note 2 7 2 2 3 4" xfId="28420" xr:uid="{00000000-0005-0000-0000-00004B5A0000}"/>
    <cellStyle name="Note 2 7 2 2 4" xfId="28421" xr:uid="{00000000-0005-0000-0000-00004C5A0000}"/>
    <cellStyle name="Note 2 7 2 2 4 2" xfId="15047" xr:uid="{00000000-0005-0000-0000-00004D5A0000}"/>
    <cellStyle name="Note 2 7 2 2 4 3" xfId="28422" xr:uid="{00000000-0005-0000-0000-00004E5A0000}"/>
    <cellStyle name="Note 2 7 2 2 5" xfId="28423" xr:uid="{00000000-0005-0000-0000-00004F5A0000}"/>
    <cellStyle name="Note 2 7 2 2 5 2" xfId="28424" xr:uid="{00000000-0005-0000-0000-0000505A0000}"/>
    <cellStyle name="Note 2 7 2 2 5 3" xfId="28425" xr:uid="{00000000-0005-0000-0000-0000515A0000}"/>
    <cellStyle name="Note 2 7 2 2 6" xfId="28426" xr:uid="{00000000-0005-0000-0000-0000525A0000}"/>
    <cellStyle name="Note 2 7 2 2 7" xfId="28427" xr:uid="{00000000-0005-0000-0000-0000535A0000}"/>
    <cellStyle name="Note 2 7 2 3" xfId="28428" xr:uid="{00000000-0005-0000-0000-0000545A0000}"/>
    <cellStyle name="Note 2 7 2 3 2" xfId="28429" xr:uid="{00000000-0005-0000-0000-0000555A0000}"/>
    <cellStyle name="Note 2 7 2 3 2 2" xfId="28430" xr:uid="{00000000-0005-0000-0000-0000565A0000}"/>
    <cellStyle name="Note 2 7 2 3 2 3" xfId="28431" xr:uid="{00000000-0005-0000-0000-0000575A0000}"/>
    <cellStyle name="Note 2 7 2 3 2 4" xfId="28432" xr:uid="{00000000-0005-0000-0000-0000585A0000}"/>
    <cellStyle name="Note 2 7 2 3 3" xfId="28433" xr:uid="{00000000-0005-0000-0000-0000595A0000}"/>
    <cellStyle name="Note 2 7 2 3 3 2" xfId="15068" xr:uid="{00000000-0005-0000-0000-00005A5A0000}"/>
    <cellStyle name="Note 2 7 2 3 3 3" xfId="28435" xr:uid="{00000000-0005-0000-0000-00005B5A0000}"/>
    <cellStyle name="Note 2 7 2 3 3 4" xfId="28437" xr:uid="{00000000-0005-0000-0000-00005C5A0000}"/>
    <cellStyle name="Note 2 7 2 3 4" xfId="28438" xr:uid="{00000000-0005-0000-0000-00005D5A0000}"/>
    <cellStyle name="Note 2 7 2 3 4 2" xfId="15077" xr:uid="{00000000-0005-0000-0000-00005E5A0000}"/>
    <cellStyle name="Note 2 7 2 3 4 3" xfId="28439" xr:uid="{00000000-0005-0000-0000-00005F5A0000}"/>
    <cellStyle name="Note 2 7 2 3 5" xfId="28440" xr:uid="{00000000-0005-0000-0000-0000605A0000}"/>
    <cellStyle name="Note 2 7 2 3 5 2" xfId="28442" xr:uid="{00000000-0005-0000-0000-0000615A0000}"/>
    <cellStyle name="Note 2 7 2 3 5 3" xfId="28443" xr:uid="{00000000-0005-0000-0000-0000625A0000}"/>
    <cellStyle name="Note 2 7 2 3 6" xfId="28444" xr:uid="{00000000-0005-0000-0000-0000635A0000}"/>
    <cellStyle name="Note 2 7 2 3 7" xfId="28445" xr:uid="{00000000-0005-0000-0000-0000645A0000}"/>
    <cellStyle name="Note 2 7 2 4" xfId="28446" xr:uid="{00000000-0005-0000-0000-0000655A0000}"/>
    <cellStyle name="Note 2 7 2 4 2" xfId="28447" xr:uid="{00000000-0005-0000-0000-0000665A0000}"/>
    <cellStyle name="Note 2 7 2 4 2 2" xfId="28448" xr:uid="{00000000-0005-0000-0000-0000675A0000}"/>
    <cellStyle name="Note 2 7 2 4 2 3" xfId="28449" xr:uid="{00000000-0005-0000-0000-0000685A0000}"/>
    <cellStyle name="Note 2 7 2 4 2 4" xfId="28450" xr:uid="{00000000-0005-0000-0000-0000695A0000}"/>
    <cellStyle name="Note 2 7 2 4 3" xfId="28451" xr:uid="{00000000-0005-0000-0000-00006A5A0000}"/>
    <cellStyle name="Note 2 7 2 4 3 2" xfId="15097" xr:uid="{00000000-0005-0000-0000-00006B5A0000}"/>
    <cellStyle name="Note 2 7 2 4 3 3" xfId="18837" xr:uid="{00000000-0005-0000-0000-00006C5A0000}"/>
    <cellStyle name="Note 2 7 2 4 3 4" xfId="28452" xr:uid="{00000000-0005-0000-0000-00006D5A0000}"/>
    <cellStyle name="Note 2 7 2 4 4" xfId="28453" xr:uid="{00000000-0005-0000-0000-00006E5A0000}"/>
    <cellStyle name="Note 2 7 2 4 4 2" xfId="15103" xr:uid="{00000000-0005-0000-0000-00006F5A0000}"/>
    <cellStyle name="Note 2 7 2 4 4 3" xfId="28454" xr:uid="{00000000-0005-0000-0000-0000705A0000}"/>
    <cellStyle name="Note 2 7 2 4 5" xfId="28455" xr:uid="{00000000-0005-0000-0000-0000715A0000}"/>
    <cellStyle name="Note 2 7 2 4 5 2" xfId="28456" xr:uid="{00000000-0005-0000-0000-0000725A0000}"/>
    <cellStyle name="Note 2 7 2 4 5 3" xfId="28457" xr:uid="{00000000-0005-0000-0000-0000735A0000}"/>
    <cellStyle name="Note 2 7 2 4 6" xfId="28458" xr:uid="{00000000-0005-0000-0000-0000745A0000}"/>
    <cellStyle name="Note 2 7 2 4 7" xfId="28459" xr:uid="{00000000-0005-0000-0000-0000755A0000}"/>
    <cellStyle name="Note 2 7 2 5" xfId="28460" xr:uid="{00000000-0005-0000-0000-0000765A0000}"/>
    <cellStyle name="Note 2 7 2 5 2" xfId="28461" xr:uid="{00000000-0005-0000-0000-0000775A0000}"/>
    <cellStyle name="Note 2 7 2 5 2 2" xfId="2976" xr:uid="{00000000-0005-0000-0000-0000785A0000}"/>
    <cellStyle name="Note 2 7 2 5 2 3" xfId="23503" xr:uid="{00000000-0005-0000-0000-0000795A0000}"/>
    <cellStyle name="Note 2 7 2 5 2 4" xfId="121" xr:uid="{00000000-0005-0000-0000-00007A5A0000}"/>
    <cellStyle name="Note 2 7 2 5 3" xfId="28462" xr:uid="{00000000-0005-0000-0000-00007B5A0000}"/>
    <cellStyle name="Note 2 7 2 5 3 2" xfId="2992" xr:uid="{00000000-0005-0000-0000-00007C5A0000}"/>
    <cellStyle name="Note 2 7 2 5 3 3" xfId="28463" xr:uid="{00000000-0005-0000-0000-00007D5A0000}"/>
    <cellStyle name="Note 2 7 2 5 3 4" xfId="28464" xr:uid="{00000000-0005-0000-0000-00007E5A0000}"/>
    <cellStyle name="Note 2 7 2 5 4" xfId="28465" xr:uid="{00000000-0005-0000-0000-00007F5A0000}"/>
    <cellStyle name="Note 2 7 2 5 4 2" xfId="28466" xr:uid="{00000000-0005-0000-0000-0000805A0000}"/>
    <cellStyle name="Note 2 7 2 5 4 3" xfId="28467" xr:uid="{00000000-0005-0000-0000-0000815A0000}"/>
    <cellStyle name="Note 2 7 2 5 5" xfId="28468" xr:uid="{00000000-0005-0000-0000-0000825A0000}"/>
    <cellStyle name="Note 2 7 2 5 5 2" xfId="28469" xr:uid="{00000000-0005-0000-0000-0000835A0000}"/>
    <cellStyle name="Note 2 7 2 5 5 3" xfId="28470" xr:uid="{00000000-0005-0000-0000-0000845A0000}"/>
    <cellStyle name="Note 2 7 2 5 6" xfId="28471" xr:uid="{00000000-0005-0000-0000-0000855A0000}"/>
    <cellStyle name="Note 2 7 2 5 7" xfId="28473" xr:uid="{00000000-0005-0000-0000-0000865A0000}"/>
    <cellStyle name="Note 2 7 2 6" xfId="28474" xr:uid="{00000000-0005-0000-0000-0000875A0000}"/>
    <cellStyle name="Note 2 7 2 6 2" xfId="28475" xr:uid="{00000000-0005-0000-0000-0000885A0000}"/>
    <cellStyle name="Note 2 7 2 6 2 2" xfId="7649" xr:uid="{00000000-0005-0000-0000-0000895A0000}"/>
    <cellStyle name="Note 2 7 2 6 2 3" xfId="28476" xr:uid="{00000000-0005-0000-0000-00008A5A0000}"/>
    <cellStyle name="Note 2 7 2 6 2 4" xfId="28477" xr:uid="{00000000-0005-0000-0000-00008B5A0000}"/>
    <cellStyle name="Note 2 7 2 6 3" xfId="28478" xr:uid="{00000000-0005-0000-0000-00008C5A0000}"/>
    <cellStyle name="Note 2 7 2 6 3 2" xfId="28479" xr:uid="{00000000-0005-0000-0000-00008D5A0000}"/>
    <cellStyle name="Note 2 7 2 6 3 3" xfId="28480" xr:uid="{00000000-0005-0000-0000-00008E5A0000}"/>
    <cellStyle name="Note 2 7 2 6 3 4" xfId="28481" xr:uid="{00000000-0005-0000-0000-00008F5A0000}"/>
    <cellStyle name="Note 2 7 2 6 4" xfId="28482" xr:uid="{00000000-0005-0000-0000-0000905A0000}"/>
    <cellStyle name="Note 2 7 2 6 4 2" xfId="28483" xr:uid="{00000000-0005-0000-0000-0000915A0000}"/>
    <cellStyle name="Note 2 7 2 6 4 3" xfId="28484" xr:uid="{00000000-0005-0000-0000-0000925A0000}"/>
    <cellStyle name="Note 2 7 2 6 5" xfId="28485" xr:uid="{00000000-0005-0000-0000-0000935A0000}"/>
    <cellStyle name="Note 2 7 2 6 5 2" xfId="28486" xr:uid="{00000000-0005-0000-0000-0000945A0000}"/>
    <cellStyle name="Note 2 7 2 6 5 3" xfId="28487" xr:uid="{00000000-0005-0000-0000-0000955A0000}"/>
    <cellStyle name="Note 2 7 2 6 6" xfId="28488" xr:uid="{00000000-0005-0000-0000-0000965A0000}"/>
    <cellStyle name="Note 2 7 2 6 7" xfId="28489" xr:uid="{00000000-0005-0000-0000-0000975A0000}"/>
    <cellStyle name="Note 2 7 2 7" xfId="28490" xr:uid="{00000000-0005-0000-0000-0000985A0000}"/>
    <cellStyle name="Note 2 7 2 7 2" xfId="4892" xr:uid="{00000000-0005-0000-0000-0000995A0000}"/>
    <cellStyle name="Note 2 7 2 7 2 2" xfId="7688" xr:uid="{00000000-0005-0000-0000-00009A5A0000}"/>
    <cellStyle name="Note 2 7 2 7 2 3" xfId="28491" xr:uid="{00000000-0005-0000-0000-00009B5A0000}"/>
    <cellStyle name="Note 2 7 2 7 2 4" xfId="28492" xr:uid="{00000000-0005-0000-0000-00009C5A0000}"/>
    <cellStyle name="Note 2 7 2 7 3" xfId="28493" xr:uid="{00000000-0005-0000-0000-00009D5A0000}"/>
    <cellStyle name="Note 2 7 2 7 3 2" xfId="28494" xr:uid="{00000000-0005-0000-0000-00009E5A0000}"/>
    <cellStyle name="Note 2 7 2 7 3 3" xfId="28495" xr:uid="{00000000-0005-0000-0000-00009F5A0000}"/>
    <cellStyle name="Note 2 7 2 7 3 4" xfId="28496" xr:uid="{00000000-0005-0000-0000-0000A05A0000}"/>
    <cellStyle name="Note 2 7 2 7 4" xfId="28497" xr:uid="{00000000-0005-0000-0000-0000A15A0000}"/>
    <cellStyle name="Note 2 7 2 7 4 2" xfId="18481" xr:uid="{00000000-0005-0000-0000-0000A25A0000}"/>
    <cellStyle name="Note 2 7 2 7 4 3" xfId="18483" xr:uid="{00000000-0005-0000-0000-0000A35A0000}"/>
    <cellStyle name="Note 2 7 2 7 5" xfId="28498" xr:uid="{00000000-0005-0000-0000-0000A45A0000}"/>
    <cellStyle name="Note 2 7 2 7 5 2" xfId="28499" xr:uid="{00000000-0005-0000-0000-0000A55A0000}"/>
    <cellStyle name="Note 2 7 2 7 5 3" xfId="28500" xr:uid="{00000000-0005-0000-0000-0000A65A0000}"/>
    <cellStyle name="Note 2 7 2 7 6" xfId="28501" xr:uid="{00000000-0005-0000-0000-0000A75A0000}"/>
    <cellStyle name="Note 2 7 2 7 7" xfId="28502" xr:uid="{00000000-0005-0000-0000-0000A85A0000}"/>
    <cellStyle name="Note 2 7 2 8" xfId="28503" xr:uid="{00000000-0005-0000-0000-0000A95A0000}"/>
    <cellStyle name="Note 2 7 2 8 2" xfId="4947" xr:uid="{00000000-0005-0000-0000-0000AA5A0000}"/>
    <cellStyle name="Note 2 7 2 8 2 2" xfId="7725" xr:uid="{00000000-0005-0000-0000-0000AB5A0000}"/>
    <cellStyle name="Note 2 7 2 8 2 3" xfId="9530" xr:uid="{00000000-0005-0000-0000-0000AC5A0000}"/>
    <cellStyle name="Note 2 7 2 8 2 4" xfId="1258" xr:uid="{00000000-0005-0000-0000-0000AD5A0000}"/>
    <cellStyle name="Note 2 7 2 8 3" xfId="28504" xr:uid="{00000000-0005-0000-0000-0000AE5A0000}"/>
    <cellStyle name="Note 2 7 2 8 3 2" xfId="28505" xr:uid="{00000000-0005-0000-0000-0000AF5A0000}"/>
    <cellStyle name="Note 2 7 2 8 3 3" xfId="28506" xr:uid="{00000000-0005-0000-0000-0000B05A0000}"/>
    <cellStyle name="Note 2 7 2 8 3 4" xfId="28507" xr:uid="{00000000-0005-0000-0000-0000B15A0000}"/>
    <cellStyle name="Note 2 7 2 8 4" xfId="28508" xr:uid="{00000000-0005-0000-0000-0000B25A0000}"/>
    <cellStyle name="Note 2 7 2 8 4 2" xfId="28509" xr:uid="{00000000-0005-0000-0000-0000B35A0000}"/>
    <cellStyle name="Note 2 7 2 8 4 3" xfId="28510" xr:uid="{00000000-0005-0000-0000-0000B45A0000}"/>
    <cellStyle name="Note 2 7 2 8 5" xfId="28511" xr:uid="{00000000-0005-0000-0000-0000B55A0000}"/>
    <cellStyle name="Note 2 7 2 8 5 2" xfId="28512" xr:uid="{00000000-0005-0000-0000-0000B65A0000}"/>
    <cellStyle name="Note 2 7 2 8 5 3" xfId="28513" xr:uid="{00000000-0005-0000-0000-0000B75A0000}"/>
    <cellStyle name="Note 2 7 2 8 6" xfId="28514" xr:uid="{00000000-0005-0000-0000-0000B85A0000}"/>
    <cellStyle name="Note 2 7 2 8 7" xfId="28515" xr:uid="{00000000-0005-0000-0000-0000B95A0000}"/>
    <cellStyle name="Note 2 7 2 9" xfId="10668" xr:uid="{00000000-0005-0000-0000-0000BA5A0000}"/>
    <cellStyle name="Note 2 7 2 9 2" xfId="28516" xr:uid="{00000000-0005-0000-0000-0000BB5A0000}"/>
    <cellStyle name="Note 2 7 2 9 2 2" xfId="7768" xr:uid="{00000000-0005-0000-0000-0000BC5A0000}"/>
    <cellStyle name="Note 2 7 2 9 2 3" xfId="50" xr:uid="{00000000-0005-0000-0000-0000BD5A0000}"/>
    <cellStyle name="Note 2 7 2 9 2 4" xfId="28517" xr:uid="{00000000-0005-0000-0000-0000BE5A0000}"/>
    <cellStyle name="Note 2 7 2 9 3" xfId="28518" xr:uid="{00000000-0005-0000-0000-0000BF5A0000}"/>
    <cellStyle name="Note 2 7 2 9 3 2" xfId="28519" xr:uid="{00000000-0005-0000-0000-0000C05A0000}"/>
    <cellStyle name="Note 2 7 2 9 3 3" xfId="28520" xr:uid="{00000000-0005-0000-0000-0000C15A0000}"/>
    <cellStyle name="Note 2 7 2 9 3 4" xfId="28521" xr:uid="{00000000-0005-0000-0000-0000C25A0000}"/>
    <cellStyle name="Note 2 7 2 9 4" xfId="28522" xr:uid="{00000000-0005-0000-0000-0000C35A0000}"/>
    <cellStyle name="Note 2 7 2 9 4 2" xfId="26370" xr:uid="{00000000-0005-0000-0000-0000C45A0000}"/>
    <cellStyle name="Note 2 7 2 9 4 3" xfId="26373" xr:uid="{00000000-0005-0000-0000-0000C55A0000}"/>
    <cellStyle name="Note 2 7 2 9 5" xfId="28523" xr:uid="{00000000-0005-0000-0000-0000C65A0000}"/>
    <cellStyle name="Note 2 7 2 9 5 2" xfId="28524" xr:uid="{00000000-0005-0000-0000-0000C75A0000}"/>
    <cellStyle name="Note 2 7 2 9 5 3" xfId="28525" xr:uid="{00000000-0005-0000-0000-0000C85A0000}"/>
    <cellStyle name="Note 2 7 2 9 6" xfId="28526" xr:uid="{00000000-0005-0000-0000-0000C95A0000}"/>
    <cellStyle name="Note 2 7 2 9 7" xfId="28528" xr:uid="{00000000-0005-0000-0000-0000CA5A0000}"/>
    <cellStyle name="Note 2 7 20" xfId="28384" xr:uid="{00000000-0005-0000-0000-0000CB5A0000}"/>
    <cellStyle name="Note 2 7 3" xfId="13949" xr:uid="{00000000-0005-0000-0000-0000CC5A0000}"/>
    <cellStyle name="Note 2 7 3 10" xfId="19119" xr:uid="{00000000-0005-0000-0000-0000CD5A0000}"/>
    <cellStyle name="Note 2 7 3 10 2" xfId="28530" xr:uid="{00000000-0005-0000-0000-0000CE5A0000}"/>
    <cellStyle name="Note 2 7 3 10 2 2" xfId="21896" xr:uid="{00000000-0005-0000-0000-0000CF5A0000}"/>
    <cellStyle name="Note 2 7 3 10 2 3" xfId="28531" xr:uid="{00000000-0005-0000-0000-0000D05A0000}"/>
    <cellStyle name="Note 2 7 3 10 2 4" xfId="28532" xr:uid="{00000000-0005-0000-0000-0000D15A0000}"/>
    <cellStyle name="Note 2 7 3 10 3" xfId="7948" xr:uid="{00000000-0005-0000-0000-0000D25A0000}"/>
    <cellStyle name="Note 2 7 3 10 3 2" xfId="7951" xr:uid="{00000000-0005-0000-0000-0000D35A0000}"/>
    <cellStyle name="Note 2 7 3 10 3 3" xfId="28533" xr:uid="{00000000-0005-0000-0000-0000D45A0000}"/>
    <cellStyle name="Note 2 7 3 10 3 4" xfId="28534" xr:uid="{00000000-0005-0000-0000-0000D55A0000}"/>
    <cellStyle name="Note 2 7 3 10 4" xfId="28535" xr:uid="{00000000-0005-0000-0000-0000D65A0000}"/>
    <cellStyle name="Note 2 7 3 10 4 2" xfId="4330" xr:uid="{00000000-0005-0000-0000-0000D75A0000}"/>
    <cellStyle name="Note 2 7 3 10 4 3" xfId="4364" xr:uid="{00000000-0005-0000-0000-0000D85A0000}"/>
    <cellStyle name="Note 2 7 3 10 5" xfId="28536" xr:uid="{00000000-0005-0000-0000-0000D95A0000}"/>
    <cellStyle name="Note 2 7 3 10 5 2" xfId="4618" xr:uid="{00000000-0005-0000-0000-0000DA5A0000}"/>
    <cellStyle name="Note 2 7 3 10 5 3" xfId="4644" xr:uid="{00000000-0005-0000-0000-0000DB5A0000}"/>
    <cellStyle name="Note 2 7 3 10 6" xfId="28538" xr:uid="{00000000-0005-0000-0000-0000DC5A0000}"/>
    <cellStyle name="Note 2 7 3 10 7" xfId="28540" xr:uid="{00000000-0005-0000-0000-0000DD5A0000}"/>
    <cellStyle name="Note 2 7 3 11" xfId="19121" xr:uid="{00000000-0005-0000-0000-0000DE5A0000}"/>
    <cellStyle name="Note 2 7 3 11 2" xfId="28542" xr:uid="{00000000-0005-0000-0000-0000DF5A0000}"/>
    <cellStyle name="Note 2 7 3 11 3" xfId="28543" xr:uid="{00000000-0005-0000-0000-0000E05A0000}"/>
    <cellStyle name="Note 2 7 3 11 4" xfId="28544" xr:uid="{00000000-0005-0000-0000-0000E15A0000}"/>
    <cellStyle name="Note 2 7 3 12" xfId="28545" xr:uid="{00000000-0005-0000-0000-0000E25A0000}"/>
    <cellStyle name="Note 2 7 3 12 2" xfId="28546" xr:uid="{00000000-0005-0000-0000-0000E35A0000}"/>
    <cellStyle name="Note 2 7 3 12 3" xfId="28547" xr:uid="{00000000-0005-0000-0000-0000E45A0000}"/>
    <cellStyle name="Note 2 7 3 12 4" xfId="28548" xr:uid="{00000000-0005-0000-0000-0000E55A0000}"/>
    <cellStyle name="Note 2 7 3 13" xfId="28549" xr:uid="{00000000-0005-0000-0000-0000E65A0000}"/>
    <cellStyle name="Note 2 7 3 13 2" xfId="28550" xr:uid="{00000000-0005-0000-0000-0000E75A0000}"/>
    <cellStyle name="Note 2 7 3 13 3" xfId="28551" xr:uid="{00000000-0005-0000-0000-0000E85A0000}"/>
    <cellStyle name="Note 2 7 3 14" xfId="28552" xr:uid="{00000000-0005-0000-0000-0000E95A0000}"/>
    <cellStyle name="Note 2 7 3 14 2" xfId="28553" xr:uid="{00000000-0005-0000-0000-0000EA5A0000}"/>
    <cellStyle name="Note 2 7 3 14 3" xfId="28554" xr:uid="{00000000-0005-0000-0000-0000EB5A0000}"/>
    <cellStyle name="Note 2 7 3 15" xfId="28327" xr:uid="{00000000-0005-0000-0000-0000EC5A0000}"/>
    <cellStyle name="Note 2 7 3 16" xfId="28329" xr:uid="{00000000-0005-0000-0000-0000ED5A0000}"/>
    <cellStyle name="Note 2 7 3 2" xfId="28555" xr:uid="{00000000-0005-0000-0000-0000EE5A0000}"/>
    <cellStyle name="Note 2 7 3 2 2" xfId="28556" xr:uid="{00000000-0005-0000-0000-0000EF5A0000}"/>
    <cellStyle name="Note 2 7 3 2 2 2" xfId="28560" xr:uid="{00000000-0005-0000-0000-0000F05A0000}"/>
    <cellStyle name="Note 2 7 3 2 2 3" xfId="19261" xr:uid="{00000000-0005-0000-0000-0000F15A0000}"/>
    <cellStyle name="Note 2 7 3 2 2 4" xfId="19266" xr:uid="{00000000-0005-0000-0000-0000F25A0000}"/>
    <cellStyle name="Note 2 7 3 2 3" xfId="28563" xr:uid="{00000000-0005-0000-0000-0000F35A0000}"/>
    <cellStyle name="Note 2 7 3 2 3 2" xfId="15637" xr:uid="{00000000-0005-0000-0000-0000F45A0000}"/>
    <cellStyle name="Note 2 7 3 2 3 3" xfId="19271" xr:uid="{00000000-0005-0000-0000-0000F55A0000}"/>
    <cellStyle name="Note 2 7 3 2 3 4" xfId="19274" xr:uid="{00000000-0005-0000-0000-0000F65A0000}"/>
    <cellStyle name="Note 2 7 3 2 4" xfId="28566" xr:uid="{00000000-0005-0000-0000-0000F75A0000}"/>
    <cellStyle name="Note 2 7 3 2 4 2" xfId="15644" xr:uid="{00000000-0005-0000-0000-0000F85A0000}"/>
    <cellStyle name="Note 2 7 3 2 4 3" xfId="19277" xr:uid="{00000000-0005-0000-0000-0000F95A0000}"/>
    <cellStyle name="Note 2 7 3 2 5" xfId="28569" xr:uid="{00000000-0005-0000-0000-0000FA5A0000}"/>
    <cellStyle name="Note 2 7 3 2 5 2" xfId="28571" xr:uid="{00000000-0005-0000-0000-0000FB5A0000}"/>
    <cellStyle name="Note 2 7 3 2 5 3" xfId="28572" xr:uid="{00000000-0005-0000-0000-0000FC5A0000}"/>
    <cellStyle name="Note 2 7 3 2 6" xfId="28573" xr:uid="{00000000-0005-0000-0000-0000FD5A0000}"/>
    <cellStyle name="Note 2 7 3 2 7" xfId="28575" xr:uid="{00000000-0005-0000-0000-0000FE5A0000}"/>
    <cellStyle name="Note 2 7 3 3" xfId="28576" xr:uid="{00000000-0005-0000-0000-0000FF5A0000}"/>
    <cellStyle name="Note 2 7 3 3 2" xfId="28577" xr:uid="{00000000-0005-0000-0000-0000005B0000}"/>
    <cellStyle name="Note 2 7 3 3 2 2" xfId="28581" xr:uid="{00000000-0005-0000-0000-0000015B0000}"/>
    <cellStyle name="Note 2 7 3 3 2 3" xfId="28584" xr:uid="{00000000-0005-0000-0000-0000025B0000}"/>
    <cellStyle name="Note 2 7 3 3 2 4" xfId="28587" xr:uid="{00000000-0005-0000-0000-0000035B0000}"/>
    <cellStyle name="Note 2 7 3 3 3" xfId="28589" xr:uid="{00000000-0005-0000-0000-0000045B0000}"/>
    <cellStyle name="Note 2 7 3 3 3 2" xfId="15666" xr:uid="{00000000-0005-0000-0000-0000055B0000}"/>
    <cellStyle name="Note 2 7 3 3 3 3" xfId="28592" xr:uid="{00000000-0005-0000-0000-0000065B0000}"/>
    <cellStyle name="Note 2 7 3 3 3 4" xfId="28594" xr:uid="{00000000-0005-0000-0000-0000075B0000}"/>
    <cellStyle name="Note 2 7 3 3 4" xfId="28595" xr:uid="{00000000-0005-0000-0000-0000085B0000}"/>
    <cellStyle name="Note 2 7 3 3 4 2" xfId="15675" xr:uid="{00000000-0005-0000-0000-0000095B0000}"/>
    <cellStyle name="Note 2 7 3 3 4 3" xfId="28598" xr:uid="{00000000-0005-0000-0000-00000A5B0000}"/>
    <cellStyle name="Note 2 7 3 3 5" xfId="28600" xr:uid="{00000000-0005-0000-0000-00000B5B0000}"/>
    <cellStyle name="Note 2 7 3 3 5 2" xfId="28602" xr:uid="{00000000-0005-0000-0000-00000C5B0000}"/>
    <cellStyle name="Note 2 7 3 3 5 3" xfId="28603" xr:uid="{00000000-0005-0000-0000-00000D5B0000}"/>
    <cellStyle name="Note 2 7 3 3 6" xfId="28604" xr:uid="{00000000-0005-0000-0000-00000E5B0000}"/>
    <cellStyle name="Note 2 7 3 3 7" xfId="28606" xr:uid="{00000000-0005-0000-0000-00000F5B0000}"/>
    <cellStyle name="Note 2 7 3 4" xfId="28607" xr:uid="{00000000-0005-0000-0000-0000105B0000}"/>
    <cellStyle name="Note 2 7 3 4 2" xfId="28608" xr:uid="{00000000-0005-0000-0000-0000115B0000}"/>
    <cellStyle name="Note 2 7 3 4 2 2" xfId="28609" xr:uid="{00000000-0005-0000-0000-0000125B0000}"/>
    <cellStyle name="Note 2 7 3 4 2 3" xfId="28610" xr:uid="{00000000-0005-0000-0000-0000135B0000}"/>
    <cellStyle name="Note 2 7 3 4 2 4" xfId="28611" xr:uid="{00000000-0005-0000-0000-0000145B0000}"/>
    <cellStyle name="Note 2 7 3 4 3" xfId="12792" xr:uid="{00000000-0005-0000-0000-0000155B0000}"/>
    <cellStyle name="Note 2 7 3 4 3 2" xfId="15695" xr:uid="{00000000-0005-0000-0000-0000165B0000}"/>
    <cellStyle name="Note 2 7 3 4 3 3" xfId="12801" xr:uid="{00000000-0005-0000-0000-0000175B0000}"/>
    <cellStyle name="Note 2 7 3 4 3 4" xfId="12803" xr:uid="{00000000-0005-0000-0000-0000185B0000}"/>
    <cellStyle name="Note 2 7 3 4 4" xfId="28612" xr:uid="{00000000-0005-0000-0000-0000195B0000}"/>
    <cellStyle name="Note 2 7 3 4 4 2" xfId="15700" xr:uid="{00000000-0005-0000-0000-00001A5B0000}"/>
    <cellStyle name="Note 2 7 3 4 4 3" xfId="12808" xr:uid="{00000000-0005-0000-0000-00001B5B0000}"/>
    <cellStyle name="Note 2 7 3 4 5" xfId="28613" xr:uid="{00000000-0005-0000-0000-00001C5B0000}"/>
    <cellStyle name="Note 2 7 3 4 5 2" xfId="28614" xr:uid="{00000000-0005-0000-0000-00001D5B0000}"/>
    <cellStyle name="Note 2 7 3 4 5 3" xfId="12813" xr:uid="{00000000-0005-0000-0000-00001E5B0000}"/>
    <cellStyle name="Note 2 7 3 4 6" xfId="28615" xr:uid="{00000000-0005-0000-0000-00001F5B0000}"/>
    <cellStyle name="Note 2 7 3 4 7" xfId="28616" xr:uid="{00000000-0005-0000-0000-0000205B0000}"/>
    <cellStyle name="Note 2 7 3 5" xfId="28617" xr:uid="{00000000-0005-0000-0000-0000215B0000}"/>
    <cellStyle name="Note 2 7 3 5 2" xfId="28618" xr:uid="{00000000-0005-0000-0000-0000225B0000}"/>
    <cellStyle name="Note 2 7 3 5 2 2" xfId="28619" xr:uid="{00000000-0005-0000-0000-0000235B0000}"/>
    <cellStyle name="Note 2 7 3 5 2 3" xfId="28620" xr:uid="{00000000-0005-0000-0000-0000245B0000}"/>
    <cellStyle name="Note 2 7 3 5 2 4" xfId="28621" xr:uid="{00000000-0005-0000-0000-0000255B0000}"/>
    <cellStyle name="Note 2 7 3 5 3" xfId="28622" xr:uid="{00000000-0005-0000-0000-0000265B0000}"/>
    <cellStyle name="Note 2 7 3 5 3 2" xfId="28623" xr:uid="{00000000-0005-0000-0000-0000275B0000}"/>
    <cellStyle name="Note 2 7 3 5 3 3" xfId="28624" xr:uid="{00000000-0005-0000-0000-0000285B0000}"/>
    <cellStyle name="Note 2 7 3 5 3 4" xfId="28625" xr:uid="{00000000-0005-0000-0000-0000295B0000}"/>
    <cellStyle name="Note 2 7 3 5 4" xfId="28626" xr:uid="{00000000-0005-0000-0000-00002A5B0000}"/>
    <cellStyle name="Note 2 7 3 5 4 2" xfId="15796" xr:uid="{00000000-0005-0000-0000-00002B5B0000}"/>
    <cellStyle name="Note 2 7 3 5 4 3" xfId="15798" xr:uid="{00000000-0005-0000-0000-00002C5B0000}"/>
    <cellStyle name="Note 2 7 3 5 5" xfId="28627" xr:uid="{00000000-0005-0000-0000-00002D5B0000}"/>
    <cellStyle name="Note 2 7 3 5 5 2" xfId="15802" xr:uid="{00000000-0005-0000-0000-00002E5B0000}"/>
    <cellStyle name="Note 2 7 3 5 5 3" xfId="15804" xr:uid="{00000000-0005-0000-0000-00002F5B0000}"/>
    <cellStyle name="Note 2 7 3 5 6" xfId="28628" xr:uid="{00000000-0005-0000-0000-0000305B0000}"/>
    <cellStyle name="Note 2 7 3 5 7" xfId="28629" xr:uid="{00000000-0005-0000-0000-0000315B0000}"/>
    <cellStyle name="Note 2 7 3 6" xfId="28630" xr:uid="{00000000-0005-0000-0000-0000325B0000}"/>
    <cellStyle name="Note 2 7 3 6 2" xfId="28631" xr:uid="{00000000-0005-0000-0000-0000335B0000}"/>
    <cellStyle name="Note 2 7 3 6 2 2" xfId="28537" xr:uid="{00000000-0005-0000-0000-0000345B0000}"/>
    <cellStyle name="Note 2 7 3 6 2 3" xfId="28539" xr:uid="{00000000-0005-0000-0000-0000355B0000}"/>
    <cellStyle name="Note 2 7 3 6 2 4" xfId="28541" xr:uid="{00000000-0005-0000-0000-0000365B0000}"/>
    <cellStyle name="Note 2 7 3 6 3" xfId="28632" xr:uid="{00000000-0005-0000-0000-0000375B0000}"/>
    <cellStyle name="Note 2 7 3 6 3 2" xfId="28633" xr:uid="{00000000-0005-0000-0000-0000385B0000}"/>
    <cellStyle name="Note 2 7 3 6 3 3" xfId="28634" xr:uid="{00000000-0005-0000-0000-0000395B0000}"/>
    <cellStyle name="Note 2 7 3 6 3 4" xfId="28635" xr:uid="{00000000-0005-0000-0000-00003A5B0000}"/>
    <cellStyle name="Note 2 7 3 6 4" xfId="28636" xr:uid="{00000000-0005-0000-0000-00003B5B0000}"/>
    <cellStyle name="Note 2 7 3 6 4 2" xfId="28637" xr:uid="{00000000-0005-0000-0000-00003C5B0000}"/>
    <cellStyle name="Note 2 7 3 6 4 3" xfId="28638" xr:uid="{00000000-0005-0000-0000-00003D5B0000}"/>
    <cellStyle name="Note 2 7 3 6 5" xfId="28639" xr:uid="{00000000-0005-0000-0000-00003E5B0000}"/>
    <cellStyle name="Note 2 7 3 6 5 2" xfId="28640" xr:uid="{00000000-0005-0000-0000-00003F5B0000}"/>
    <cellStyle name="Note 2 7 3 6 5 3" xfId="28641" xr:uid="{00000000-0005-0000-0000-0000405B0000}"/>
    <cellStyle name="Note 2 7 3 6 6" xfId="28642" xr:uid="{00000000-0005-0000-0000-0000415B0000}"/>
    <cellStyle name="Note 2 7 3 6 7" xfId="28643" xr:uid="{00000000-0005-0000-0000-0000425B0000}"/>
    <cellStyle name="Note 2 7 3 7" xfId="28644" xr:uid="{00000000-0005-0000-0000-0000435B0000}"/>
    <cellStyle name="Note 2 7 3 7 2" xfId="28645" xr:uid="{00000000-0005-0000-0000-0000445B0000}"/>
    <cellStyle name="Note 2 7 3 7 2 2" xfId="28646" xr:uid="{00000000-0005-0000-0000-0000455B0000}"/>
    <cellStyle name="Note 2 7 3 7 2 3" xfId="28647" xr:uid="{00000000-0005-0000-0000-0000465B0000}"/>
    <cellStyle name="Note 2 7 3 7 2 4" xfId="28648" xr:uid="{00000000-0005-0000-0000-0000475B0000}"/>
    <cellStyle name="Note 2 7 3 7 3" xfId="28649" xr:uid="{00000000-0005-0000-0000-0000485B0000}"/>
    <cellStyle name="Note 2 7 3 7 3 2" xfId="28650" xr:uid="{00000000-0005-0000-0000-0000495B0000}"/>
    <cellStyle name="Note 2 7 3 7 3 3" xfId="28651" xr:uid="{00000000-0005-0000-0000-00004A5B0000}"/>
    <cellStyle name="Note 2 7 3 7 3 4" xfId="28652" xr:uid="{00000000-0005-0000-0000-00004B5B0000}"/>
    <cellStyle name="Note 2 7 3 7 4" xfId="28653" xr:uid="{00000000-0005-0000-0000-00004C5B0000}"/>
    <cellStyle name="Note 2 7 3 7 4 2" xfId="28654" xr:uid="{00000000-0005-0000-0000-00004D5B0000}"/>
    <cellStyle name="Note 2 7 3 7 4 3" xfId="28655" xr:uid="{00000000-0005-0000-0000-00004E5B0000}"/>
    <cellStyle name="Note 2 7 3 7 5" xfId="28656" xr:uid="{00000000-0005-0000-0000-00004F5B0000}"/>
    <cellStyle name="Note 2 7 3 7 5 2" xfId="28657" xr:uid="{00000000-0005-0000-0000-0000505B0000}"/>
    <cellStyle name="Note 2 7 3 7 5 3" xfId="28658" xr:uid="{00000000-0005-0000-0000-0000515B0000}"/>
    <cellStyle name="Note 2 7 3 7 6" xfId="28659" xr:uid="{00000000-0005-0000-0000-0000525B0000}"/>
    <cellStyle name="Note 2 7 3 7 7" xfId="28660" xr:uid="{00000000-0005-0000-0000-0000535B0000}"/>
    <cellStyle name="Note 2 7 3 8" xfId="28661" xr:uid="{00000000-0005-0000-0000-0000545B0000}"/>
    <cellStyle name="Note 2 7 3 8 2" xfId="28662" xr:uid="{00000000-0005-0000-0000-0000555B0000}"/>
    <cellStyle name="Note 2 7 3 8 2 2" xfId="28663" xr:uid="{00000000-0005-0000-0000-0000565B0000}"/>
    <cellStyle name="Note 2 7 3 8 2 3" xfId="28664" xr:uid="{00000000-0005-0000-0000-0000575B0000}"/>
    <cellStyle name="Note 2 7 3 8 2 4" xfId="28665" xr:uid="{00000000-0005-0000-0000-0000585B0000}"/>
    <cellStyle name="Note 2 7 3 8 3" xfId="28666" xr:uid="{00000000-0005-0000-0000-0000595B0000}"/>
    <cellStyle name="Note 2 7 3 8 3 2" xfId="28667" xr:uid="{00000000-0005-0000-0000-00005A5B0000}"/>
    <cellStyle name="Note 2 7 3 8 3 3" xfId="28668" xr:uid="{00000000-0005-0000-0000-00005B5B0000}"/>
    <cellStyle name="Note 2 7 3 8 3 4" xfId="28669" xr:uid="{00000000-0005-0000-0000-00005C5B0000}"/>
    <cellStyle name="Note 2 7 3 8 4" xfId="28670" xr:uid="{00000000-0005-0000-0000-00005D5B0000}"/>
    <cellStyle name="Note 2 7 3 8 4 2" xfId="28671" xr:uid="{00000000-0005-0000-0000-00005E5B0000}"/>
    <cellStyle name="Note 2 7 3 8 4 3" xfId="28672" xr:uid="{00000000-0005-0000-0000-00005F5B0000}"/>
    <cellStyle name="Note 2 7 3 8 5" xfId="28673" xr:uid="{00000000-0005-0000-0000-0000605B0000}"/>
    <cellStyle name="Note 2 7 3 8 5 2" xfId="28674" xr:uid="{00000000-0005-0000-0000-0000615B0000}"/>
    <cellStyle name="Note 2 7 3 8 5 3" xfId="28675" xr:uid="{00000000-0005-0000-0000-0000625B0000}"/>
    <cellStyle name="Note 2 7 3 8 6" xfId="28676" xr:uid="{00000000-0005-0000-0000-0000635B0000}"/>
    <cellStyle name="Note 2 7 3 8 7" xfId="28677" xr:uid="{00000000-0005-0000-0000-0000645B0000}"/>
    <cellStyle name="Note 2 7 3 9" xfId="10675" xr:uid="{00000000-0005-0000-0000-0000655B0000}"/>
    <cellStyle name="Note 2 7 3 9 2" xfId="28678" xr:uid="{00000000-0005-0000-0000-0000665B0000}"/>
    <cellStyle name="Note 2 7 3 9 2 2" xfId="23609" xr:uid="{00000000-0005-0000-0000-0000675B0000}"/>
    <cellStyle name="Note 2 7 3 9 2 3" xfId="28679" xr:uid="{00000000-0005-0000-0000-0000685B0000}"/>
    <cellStyle name="Note 2 7 3 9 2 4" xfId="28680" xr:uid="{00000000-0005-0000-0000-0000695B0000}"/>
    <cellStyle name="Note 2 7 3 9 3" xfId="28681" xr:uid="{00000000-0005-0000-0000-00006A5B0000}"/>
    <cellStyle name="Note 2 7 3 9 3 2" xfId="28682" xr:uid="{00000000-0005-0000-0000-00006B5B0000}"/>
    <cellStyle name="Note 2 7 3 9 3 3" xfId="28683" xr:uid="{00000000-0005-0000-0000-00006C5B0000}"/>
    <cellStyle name="Note 2 7 3 9 3 4" xfId="28684" xr:uid="{00000000-0005-0000-0000-00006D5B0000}"/>
    <cellStyle name="Note 2 7 3 9 4" xfId="17946" xr:uid="{00000000-0005-0000-0000-00006E5B0000}"/>
    <cellStyle name="Note 2 7 3 9 4 2" xfId="28685" xr:uid="{00000000-0005-0000-0000-00006F5B0000}"/>
    <cellStyle name="Note 2 7 3 9 4 3" xfId="28686" xr:uid="{00000000-0005-0000-0000-0000705B0000}"/>
    <cellStyle name="Note 2 7 3 9 5" xfId="17948" xr:uid="{00000000-0005-0000-0000-0000715B0000}"/>
    <cellStyle name="Note 2 7 3 9 5 2" xfId="28687" xr:uid="{00000000-0005-0000-0000-0000725B0000}"/>
    <cellStyle name="Note 2 7 3 9 5 3" xfId="28688" xr:uid="{00000000-0005-0000-0000-0000735B0000}"/>
    <cellStyle name="Note 2 7 3 9 6" xfId="17950" xr:uid="{00000000-0005-0000-0000-0000745B0000}"/>
    <cellStyle name="Note 2 7 3 9 7" xfId="7303" xr:uid="{00000000-0005-0000-0000-0000755B0000}"/>
    <cellStyle name="Note 2 7 4" xfId="13951" xr:uid="{00000000-0005-0000-0000-0000765B0000}"/>
    <cellStyle name="Note 2 7 4 2" xfId="28689" xr:uid="{00000000-0005-0000-0000-0000775B0000}"/>
    <cellStyle name="Note 2 7 4 2 2" xfId="20881" xr:uid="{00000000-0005-0000-0000-0000785B0000}"/>
    <cellStyle name="Note 2 7 4 2 3" xfId="28690" xr:uid="{00000000-0005-0000-0000-0000795B0000}"/>
    <cellStyle name="Note 2 7 4 2 4" xfId="28693" xr:uid="{00000000-0005-0000-0000-00007A5B0000}"/>
    <cellStyle name="Note 2 7 4 3" xfId="28696" xr:uid="{00000000-0005-0000-0000-00007B5B0000}"/>
    <cellStyle name="Note 2 7 4 3 2" xfId="20890" xr:uid="{00000000-0005-0000-0000-00007C5B0000}"/>
    <cellStyle name="Note 2 7 4 3 3" xfId="28697" xr:uid="{00000000-0005-0000-0000-00007D5B0000}"/>
    <cellStyle name="Note 2 7 4 3 4" xfId="26159" xr:uid="{00000000-0005-0000-0000-00007E5B0000}"/>
    <cellStyle name="Note 2 7 4 4" xfId="28699" xr:uid="{00000000-0005-0000-0000-00007F5B0000}"/>
    <cellStyle name="Note 2 7 4 4 2" xfId="28700" xr:uid="{00000000-0005-0000-0000-0000805B0000}"/>
    <cellStyle name="Note 2 7 4 4 3" xfId="28701" xr:uid="{00000000-0005-0000-0000-0000815B0000}"/>
    <cellStyle name="Note 2 7 4 5" xfId="28702" xr:uid="{00000000-0005-0000-0000-0000825B0000}"/>
    <cellStyle name="Note 2 7 4 5 2" xfId="28703" xr:uid="{00000000-0005-0000-0000-0000835B0000}"/>
    <cellStyle name="Note 2 7 4 5 3" xfId="28704" xr:uid="{00000000-0005-0000-0000-0000845B0000}"/>
    <cellStyle name="Note 2 7 4 6" xfId="28705" xr:uid="{00000000-0005-0000-0000-0000855B0000}"/>
    <cellStyle name="Note 2 7 4 7" xfId="28706" xr:uid="{00000000-0005-0000-0000-0000865B0000}"/>
    <cellStyle name="Note 2 7 5" xfId="28708" xr:uid="{00000000-0005-0000-0000-0000875B0000}"/>
    <cellStyle name="Note 2 7 5 2" xfId="28709" xr:uid="{00000000-0005-0000-0000-0000885B0000}"/>
    <cellStyle name="Note 2 7 5 2 2" xfId="20905" xr:uid="{00000000-0005-0000-0000-0000895B0000}"/>
    <cellStyle name="Note 2 7 5 2 3" xfId="28710" xr:uid="{00000000-0005-0000-0000-00008A5B0000}"/>
    <cellStyle name="Note 2 7 5 2 4" xfId="28712" xr:uid="{00000000-0005-0000-0000-00008B5B0000}"/>
    <cellStyle name="Note 2 7 5 3" xfId="28713" xr:uid="{00000000-0005-0000-0000-00008C5B0000}"/>
    <cellStyle name="Note 2 7 5 3 2" xfId="20913" xr:uid="{00000000-0005-0000-0000-00008D5B0000}"/>
    <cellStyle name="Note 2 7 5 3 3" xfId="28714" xr:uid="{00000000-0005-0000-0000-00008E5B0000}"/>
    <cellStyle name="Note 2 7 5 3 4" xfId="28716" xr:uid="{00000000-0005-0000-0000-00008F5B0000}"/>
    <cellStyle name="Note 2 7 5 4" xfId="28717" xr:uid="{00000000-0005-0000-0000-0000905B0000}"/>
    <cellStyle name="Note 2 7 5 4 2" xfId="28718" xr:uid="{00000000-0005-0000-0000-0000915B0000}"/>
    <cellStyle name="Note 2 7 5 4 3" xfId="28720" xr:uid="{00000000-0005-0000-0000-0000925B0000}"/>
    <cellStyle name="Note 2 7 5 5" xfId="28721" xr:uid="{00000000-0005-0000-0000-0000935B0000}"/>
    <cellStyle name="Note 2 7 5 5 2" xfId="28722" xr:uid="{00000000-0005-0000-0000-0000945B0000}"/>
    <cellStyle name="Note 2 7 5 5 3" xfId="28724" xr:uid="{00000000-0005-0000-0000-0000955B0000}"/>
    <cellStyle name="Note 2 7 5 6" xfId="28725" xr:uid="{00000000-0005-0000-0000-0000965B0000}"/>
    <cellStyle name="Note 2 7 5 7" xfId="28726" xr:uid="{00000000-0005-0000-0000-0000975B0000}"/>
    <cellStyle name="Note 2 7 6" xfId="28728" xr:uid="{00000000-0005-0000-0000-0000985B0000}"/>
    <cellStyle name="Note 2 7 6 2" xfId="9703" xr:uid="{00000000-0005-0000-0000-0000995B0000}"/>
    <cellStyle name="Note 2 7 6 2 2" xfId="17324" xr:uid="{00000000-0005-0000-0000-00009A5B0000}"/>
    <cellStyle name="Note 2 7 6 2 3" xfId="28729" xr:uid="{00000000-0005-0000-0000-00009B5B0000}"/>
    <cellStyle name="Note 2 7 6 2 4" xfId="28731" xr:uid="{00000000-0005-0000-0000-00009C5B0000}"/>
    <cellStyle name="Note 2 7 6 3" xfId="28733" xr:uid="{00000000-0005-0000-0000-00009D5B0000}"/>
    <cellStyle name="Note 2 7 6 3 2" xfId="20931" xr:uid="{00000000-0005-0000-0000-00009E5B0000}"/>
    <cellStyle name="Note 2 7 6 3 3" xfId="28734" xr:uid="{00000000-0005-0000-0000-00009F5B0000}"/>
    <cellStyle name="Note 2 7 6 3 4" xfId="28736" xr:uid="{00000000-0005-0000-0000-0000A05B0000}"/>
    <cellStyle name="Note 2 7 6 4" xfId="28738" xr:uid="{00000000-0005-0000-0000-0000A15B0000}"/>
    <cellStyle name="Note 2 7 6 4 2" xfId="28739" xr:uid="{00000000-0005-0000-0000-0000A25B0000}"/>
    <cellStyle name="Note 2 7 6 4 3" xfId="28740" xr:uid="{00000000-0005-0000-0000-0000A35B0000}"/>
    <cellStyle name="Note 2 7 6 5" xfId="28742" xr:uid="{00000000-0005-0000-0000-0000A45B0000}"/>
    <cellStyle name="Note 2 7 6 5 2" xfId="28743" xr:uid="{00000000-0005-0000-0000-0000A55B0000}"/>
    <cellStyle name="Note 2 7 6 5 3" xfId="28744" xr:uid="{00000000-0005-0000-0000-0000A65B0000}"/>
    <cellStyle name="Note 2 7 6 6" xfId="28746" xr:uid="{00000000-0005-0000-0000-0000A75B0000}"/>
    <cellStyle name="Note 2 7 6 7" xfId="28747" xr:uid="{00000000-0005-0000-0000-0000A85B0000}"/>
    <cellStyle name="Note 2 7 7" xfId="28750" xr:uid="{00000000-0005-0000-0000-0000A95B0000}"/>
    <cellStyle name="Note 2 7 7 2" xfId="9710" xr:uid="{00000000-0005-0000-0000-0000AA5B0000}"/>
    <cellStyle name="Note 2 7 7 2 2" xfId="17501" xr:uid="{00000000-0005-0000-0000-0000AB5B0000}"/>
    <cellStyle name="Note 2 7 7 2 3" xfId="28752" xr:uid="{00000000-0005-0000-0000-0000AC5B0000}"/>
    <cellStyle name="Note 2 7 7 2 4" xfId="27482" xr:uid="{00000000-0005-0000-0000-0000AD5B0000}"/>
    <cellStyle name="Note 2 7 7 3" xfId="28753" xr:uid="{00000000-0005-0000-0000-0000AE5B0000}"/>
    <cellStyle name="Note 2 7 7 3 2" xfId="28755" xr:uid="{00000000-0005-0000-0000-0000AF5B0000}"/>
    <cellStyle name="Note 2 7 7 3 3" xfId="28757" xr:uid="{00000000-0005-0000-0000-0000B05B0000}"/>
    <cellStyle name="Note 2 7 7 3 4" xfId="27485" xr:uid="{00000000-0005-0000-0000-0000B15B0000}"/>
    <cellStyle name="Note 2 7 7 4" xfId="28758" xr:uid="{00000000-0005-0000-0000-0000B25B0000}"/>
    <cellStyle name="Note 2 7 7 4 2" xfId="28760" xr:uid="{00000000-0005-0000-0000-0000B35B0000}"/>
    <cellStyle name="Note 2 7 7 4 3" xfId="28761" xr:uid="{00000000-0005-0000-0000-0000B45B0000}"/>
    <cellStyle name="Note 2 7 7 5" xfId="28762" xr:uid="{00000000-0005-0000-0000-0000B55B0000}"/>
    <cellStyle name="Note 2 7 7 5 2" xfId="23470" xr:uid="{00000000-0005-0000-0000-0000B65B0000}"/>
    <cellStyle name="Note 2 7 7 5 3" xfId="23472" xr:uid="{00000000-0005-0000-0000-0000B75B0000}"/>
    <cellStyle name="Note 2 7 7 6" xfId="28763" xr:uid="{00000000-0005-0000-0000-0000B85B0000}"/>
    <cellStyle name="Note 2 7 7 7" xfId="28764" xr:uid="{00000000-0005-0000-0000-0000B95B0000}"/>
    <cellStyle name="Note 2 7 8" xfId="28768" xr:uid="{00000000-0005-0000-0000-0000BA5B0000}"/>
    <cellStyle name="Note 2 7 8 2" xfId="28770" xr:uid="{00000000-0005-0000-0000-0000BB5B0000}"/>
    <cellStyle name="Note 2 7 8 2 2" xfId="21752" xr:uid="{00000000-0005-0000-0000-0000BC5B0000}"/>
    <cellStyle name="Note 2 7 8 2 3" xfId="28772" xr:uid="{00000000-0005-0000-0000-0000BD5B0000}"/>
    <cellStyle name="Note 2 7 8 2 4" xfId="27502" xr:uid="{00000000-0005-0000-0000-0000BE5B0000}"/>
    <cellStyle name="Note 2 7 8 3" xfId="28773" xr:uid="{00000000-0005-0000-0000-0000BF5B0000}"/>
    <cellStyle name="Note 2 7 8 3 2" xfId="21785" xr:uid="{00000000-0005-0000-0000-0000C05B0000}"/>
    <cellStyle name="Note 2 7 8 3 3" xfId="28775" xr:uid="{00000000-0005-0000-0000-0000C15B0000}"/>
    <cellStyle name="Note 2 7 8 3 4" xfId="27505" xr:uid="{00000000-0005-0000-0000-0000C25B0000}"/>
    <cellStyle name="Note 2 7 8 4" xfId="28777" xr:uid="{00000000-0005-0000-0000-0000C35B0000}"/>
    <cellStyle name="Note 2 7 8 4 2" xfId="21814" xr:uid="{00000000-0005-0000-0000-0000C45B0000}"/>
    <cellStyle name="Note 2 7 8 4 3" xfId="28779" xr:uid="{00000000-0005-0000-0000-0000C55B0000}"/>
    <cellStyle name="Note 2 7 8 5" xfId="28780" xr:uid="{00000000-0005-0000-0000-0000C65B0000}"/>
    <cellStyle name="Note 2 7 8 5 2" xfId="21852" xr:uid="{00000000-0005-0000-0000-0000C75B0000}"/>
    <cellStyle name="Note 2 7 8 5 3" xfId="28781" xr:uid="{00000000-0005-0000-0000-0000C85B0000}"/>
    <cellStyle name="Note 2 7 8 6" xfId="28782" xr:uid="{00000000-0005-0000-0000-0000C95B0000}"/>
    <cellStyle name="Note 2 7 8 7" xfId="28783" xr:uid="{00000000-0005-0000-0000-0000CA5B0000}"/>
    <cellStyle name="Note 2 7 9" xfId="28786" xr:uid="{00000000-0005-0000-0000-0000CB5B0000}"/>
    <cellStyle name="Note 2 7 9 2" xfId="28788" xr:uid="{00000000-0005-0000-0000-0000CC5B0000}"/>
    <cellStyle name="Note 2 7 9 2 2" xfId="22008" xr:uid="{00000000-0005-0000-0000-0000CD5B0000}"/>
    <cellStyle name="Note 2 7 9 2 3" xfId="28790" xr:uid="{00000000-0005-0000-0000-0000CE5B0000}"/>
    <cellStyle name="Note 2 7 9 2 4" xfId="27531" xr:uid="{00000000-0005-0000-0000-0000CF5B0000}"/>
    <cellStyle name="Note 2 7 9 3" xfId="28791" xr:uid="{00000000-0005-0000-0000-0000D05B0000}"/>
    <cellStyle name="Note 2 7 9 3 2" xfId="22029" xr:uid="{00000000-0005-0000-0000-0000D15B0000}"/>
    <cellStyle name="Note 2 7 9 3 3" xfId="26142" xr:uid="{00000000-0005-0000-0000-0000D25B0000}"/>
    <cellStyle name="Note 2 7 9 3 4" xfId="26168" xr:uid="{00000000-0005-0000-0000-0000D35B0000}"/>
    <cellStyle name="Note 2 7 9 4" xfId="28793" xr:uid="{00000000-0005-0000-0000-0000D45B0000}"/>
    <cellStyle name="Note 2 7 9 4 2" xfId="22044" xr:uid="{00000000-0005-0000-0000-0000D55B0000}"/>
    <cellStyle name="Note 2 7 9 4 3" xfId="26310" xr:uid="{00000000-0005-0000-0000-0000D65B0000}"/>
    <cellStyle name="Note 2 7 9 5" xfId="28794" xr:uid="{00000000-0005-0000-0000-0000D75B0000}"/>
    <cellStyle name="Note 2 7 9 5 2" xfId="22071" xr:uid="{00000000-0005-0000-0000-0000D85B0000}"/>
    <cellStyle name="Note 2 7 9 5 3" xfId="26355" xr:uid="{00000000-0005-0000-0000-0000D95B0000}"/>
    <cellStyle name="Note 2 7 9 6" xfId="28795" xr:uid="{00000000-0005-0000-0000-0000DA5B0000}"/>
    <cellStyle name="Note 2 7 9 7" xfId="28796" xr:uid="{00000000-0005-0000-0000-0000DB5B0000}"/>
    <cellStyle name="Note 2 8" xfId="13953" xr:uid="{00000000-0005-0000-0000-0000DC5B0000}"/>
    <cellStyle name="Note 2 8 10" xfId="28798" xr:uid="{00000000-0005-0000-0000-0000DD5B0000}"/>
    <cellStyle name="Note 2 8 10 2" xfId="28799" xr:uid="{00000000-0005-0000-0000-0000DE5B0000}"/>
    <cellStyle name="Note 2 8 10 2 2" xfId="2684" xr:uid="{00000000-0005-0000-0000-0000DF5B0000}"/>
    <cellStyle name="Note 2 8 10 2 3" xfId="2470" xr:uid="{00000000-0005-0000-0000-0000E05B0000}"/>
    <cellStyle name="Note 2 8 10 2 4" xfId="226" xr:uid="{00000000-0005-0000-0000-0000E15B0000}"/>
    <cellStyle name="Note 2 8 10 3" xfId="28800" xr:uid="{00000000-0005-0000-0000-0000E25B0000}"/>
    <cellStyle name="Note 2 8 10 3 2" xfId="2713" xr:uid="{00000000-0005-0000-0000-0000E35B0000}"/>
    <cellStyle name="Note 2 8 10 3 3" xfId="2716" xr:uid="{00000000-0005-0000-0000-0000E45B0000}"/>
    <cellStyle name="Note 2 8 10 3 4" xfId="3251" xr:uid="{00000000-0005-0000-0000-0000E55B0000}"/>
    <cellStyle name="Note 2 8 10 4" xfId="12224" xr:uid="{00000000-0005-0000-0000-0000E65B0000}"/>
    <cellStyle name="Note 2 8 10 4 2" xfId="2730" xr:uid="{00000000-0005-0000-0000-0000E75B0000}"/>
    <cellStyle name="Note 2 8 10 4 3" xfId="2738" xr:uid="{00000000-0005-0000-0000-0000E85B0000}"/>
    <cellStyle name="Note 2 8 10 5" xfId="12227" xr:uid="{00000000-0005-0000-0000-0000E95B0000}"/>
    <cellStyle name="Note 2 8 10 5 2" xfId="2755" xr:uid="{00000000-0005-0000-0000-0000EA5B0000}"/>
    <cellStyle name="Note 2 8 10 5 3" xfId="2760" xr:uid="{00000000-0005-0000-0000-0000EB5B0000}"/>
    <cellStyle name="Note 2 8 10 6" xfId="13955" xr:uid="{00000000-0005-0000-0000-0000EC5B0000}"/>
    <cellStyle name="Note 2 8 10 7" xfId="28801" xr:uid="{00000000-0005-0000-0000-0000ED5B0000}"/>
    <cellStyle name="Note 2 8 11" xfId="28803" xr:uid="{00000000-0005-0000-0000-0000EE5B0000}"/>
    <cellStyle name="Note 2 8 11 2" xfId="28804" xr:uid="{00000000-0005-0000-0000-0000EF5B0000}"/>
    <cellStyle name="Note 2 8 11 2 2" xfId="3641" xr:uid="{00000000-0005-0000-0000-0000F05B0000}"/>
    <cellStyle name="Note 2 8 11 2 3" xfId="3646" xr:uid="{00000000-0005-0000-0000-0000F15B0000}"/>
    <cellStyle name="Note 2 8 11 2 4" xfId="3648" xr:uid="{00000000-0005-0000-0000-0000F25B0000}"/>
    <cellStyle name="Note 2 8 11 3" xfId="28805" xr:uid="{00000000-0005-0000-0000-0000F35B0000}"/>
    <cellStyle name="Note 2 8 11 3 2" xfId="3669" xr:uid="{00000000-0005-0000-0000-0000F45B0000}"/>
    <cellStyle name="Note 2 8 11 3 3" xfId="3680" xr:uid="{00000000-0005-0000-0000-0000F55B0000}"/>
    <cellStyle name="Note 2 8 11 3 4" xfId="3687" xr:uid="{00000000-0005-0000-0000-0000F65B0000}"/>
    <cellStyle name="Note 2 8 11 4" xfId="28806" xr:uid="{00000000-0005-0000-0000-0000F75B0000}"/>
    <cellStyle name="Note 2 8 11 4 2" xfId="3711" xr:uid="{00000000-0005-0000-0000-0000F85B0000}"/>
    <cellStyle name="Note 2 8 11 4 3" xfId="3725" xr:uid="{00000000-0005-0000-0000-0000F95B0000}"/>
    <cellStyle name="Note 2 8 11 5" xfId="13962" xr:uid="{00000000-0005-0000-0000-0000FA5B0000}"/>
    <cellStyle name="Note 2 8 11 5 2" xfId="3773" xr:uid="{00000000-0005-0000-0000-0000FB5B0000}"/>
    <cellStyle name="Note 2 8 11 5 3" xfId="3792" xr:uid="{00000000-0005-0000-0000-0000FC5B0000}"/>
    <cellStyle name="Note 2 8 11 6" xfId="13966" xr:uid="{00000000-0005-0000-0000-0000FD5B0000}"/>
    <cellStyle name="Note 2 8 11 7" xfId="26039" xr:uid="{00000000-0005-0000-0000-0000FE5B0000}"/>
    <cellStyle name="Note 2 8 12" xfId="28808" xr:uid="{00000000-0005-0000-0000-0000FF5B0000}"/>
    <cellStyle name="Note 2 8 12 2" xfId="28809" xr:uid="{00000000-0005-0000-0000-0000005C0000}"/>
    <cellStyle name="Note 2 8 12 2 2" xfId="28811" xr:uid="{00000000-0005-0000-0000-0000015C0000}"/>
    <cellStyle name="Note 2 8 12 2 3" xfId="28812" xr:uid="{00000000-0005-0000-0000-0000025C0000}"/>
    <cellStyle name="Note 2 8 12 2 4" xfId="28813" xr:uid="{00000000-0005-0000-0000-0000035C0000}"/>
    <cellStyle name="Note 2 8 12 3" xfId="28814" xr:uid="{00000000-0005-0000-0000-0000045C0000}"/>
    <cellStyle name="Note 2 8 12 3 2" xfId="23528" xr:uid="{00000000-0005-0000-0000-0000055C0000}"/>
    <cellStyle name="Note 2 8 12 3 3" xfId="28816" xr:uid="{00000000-0005-0000-0000-0000065C0000}"/>
    <cellStyle name="Note 2 8 12 3 4" xfId="28817" xr:uid="{00000000-0005-0000-0000-0000075C0000}"/>
    <cellStyle name="Note 2 8 12 4" xfId="28818" xr:uid="{00000000-0005-0000-0000-0000085C0000}"/>
    <cellStyle name="Note 2 8 12 4 2" xfId="23545" xr:uid="{00000000-0005-0000-0000-0000095C0000}"/>
    <cellStyle name="Note 2 8 12 4 3" xfId="28819" xr:uid="{00000000-0005-0000-0000-00000A5C0000}"/>
    <cellStyle name="Note 2 8 12 5" xfId="28820" xr:uid="{00000000-0005-0000-0000-00000B5C0000}"/>
    <cellStyle name="Note 2 8 12 5 2" xfId="28821" xr:uid="{00000000-0005-0000-0000-00000C5C0000}"/>
    <cellStyle name="Note 2 8 12 5 3" xfId="28822" xr:uid="{00000000-0005-0000-0000-00000D5C0000}"/>
    <cellStyle name="Note 2 8 12 6" xfId="26048" xr:uid="{00000000-0005-0000-0000-00000E5C0000}"/>
    <cellStyle name="Note 2 8 12 7" xfId="26050" xr:uid="{00000000-0005-0000-0000-00000F5C0000}"/>
    <cellStyle name="Note 2 8 13" xfId="19209" xr:uid="{00000000-0005-0000-0000-0000105C0000}"/>
    <cellStyle name="Note 2 8 13 2" xfId="28823" xr:uid="{00000000-0005-0000-0000-0000115C0000}"/>
    <cellStyle name="Note 2 8 13 3" xfId="28825" xr:uid="{00000000-0005-0000-0000-0000125C0000}"/>
    <cellStyle name="Note 2 8 13 4" xfId="28827" xr:uid="{00000000-0005-0000-0000-0000135C0000}"/>
    <cellStyle name="Note 2 8 14" xfId="19212" xr:uid="{00000000-0005-0000-0000-0000145C0000}"/>
    <cellStyle name="Note 2 8 14 2" xfId="28828" xr:uid="{00000000-0005-0000-0000-0000155C0000}"/>
    <cellStyle name="Note 2 8 14 3" xfId="28831" xr:uid="{00000000-0005-0000-0000-0000165C0000}"/>
    <cellStyle name="Note 2 8 14 4" xfId="28832" xr:uid="{00000000-0005-0000-0000-0000175C0000}"/>
    <cellStyle name="Note 2 8 15" xfId="19215" xr:uid="{00000000-0005-0000-0000-0000185C0000}"/>
    <cellStyle name="Note 2 8 15 2" xfId="28833" xr:uid="{00000000-0005-0000-0000-0000195C0000}"/>
    <cellStyle name="Note 2 8 15 3" xfId="28836" xr:uid="{00000000-0005-0000-0000-00001A5C0000}"/>
    <cellStyle name="Note 2 8 16" xfId="19219" xr:uid="{00000000-0005-0000-0000-00001B5C0000}"/>
    <cellStyle name="Note 2 8 16 2" xfId="28837" xr:uid="{00000000-0005-0000-0000-00001C5C0000}"/>
    <cellStyle name="Note 2 8 16 3" xfId="28838" xr:uid="{00000000-0005-0000-0000-00001D5C0000}"/>
    <cellStyle name="Note 2 8 17" xfId="28839" xr:uid="{00000000-0005-0000-0000-00001E5C0000}"/>
    <cellStyle name="Note 2 8 18" xfId="5046" xr:uid="{00000000-0005-0000-0000-00001F5C0000}"/>
    <cellStyle name="Note 2 8 19" xfId="5050" xr:uid="{00000000-0005-0000-0000-0000205C0000}"/>
    <cellStyle name="Note 2 8 2" xfId="12228" xr:uid="{00000000-0005-0000-0000-0000215C0000}"/>
    <cellStyle name="Note 2 8 2 10" xfId="3777" xr:uid="{00000000-0005-0000-0000-0000225C0000}"/>
    <cellStyle name="Note 2 8 2 10 2" xfId="28841" xr:uid="{00000000-0005-0000-0000-0000235C0000}"/>
    <cellStyle name="Note 2 8 2 10 2 2" xfId="11004" xr:uid="{00000000-0005-0000-0000-0000245C0000}"/>
    <cellStyle name="Note 2 8 2 10 2 3" xfId="11006" xr:uid="{00000000-0005-0000-0000-0000255C0000}"/>
    <cellStyle name="Note 2 8 2 10 2 4" xfId="28843" xr:uid="{00000000-0005-0000-0000-0000265C0000}"/>
    <cellStyle name="Note 2 8 2 10 3" xfId="28845" xr:uid="{00000000-0005-0000-0000-0000275C0000}"/>
    <cellStyle name="Note 2 8 2 10 3 2" xfId="11011" xr:uid="{00000000-0005-0000-0000-0000285C0000}"/>
    <cellStyle name="Note 2 8 2 10 3 3" xfId="28847" xr:uid="{00000000-0005-0000-0000-0000295C0000}"/>
    <cellStyle name="Note 2 8 2 10 3 4" xfId="28848" xr:uid="{00000000-0005-0000-0000-00002A5C0000}"/>
    <cellStyle name="Note 2 8 2 10 4" xfId="28850" xr:uid="{00000000-0005-0000-0000-00002B5C0000}"/>
    <cellStyle name="Note 2 8 2 10 4 2" xfId="11016" xr:uid="{00000000-0005-0000-0000-00002C5C0000}"/>
    <cellStyle name="Note 2 8 2 10 4 3" xfId="28852" xr:uid="{00000000-0005-0000-0000-00002D5C0000}"/>
    <cellStyle name="Note 2 8 2 10 5" xfId="28853" xr:uid="{00000000-0005-0000-0000-00002E5C0000}"/>
    <cellStyle name="Note 2 8 2 10 5 2" xfId="28854" xr:uid="{00000000-0005-0000-0000-00002F5C0000}"/>
    <cellStyle name="Note 2 8 2 10 5 3" xfId="28855" xr:uid="{00000000-0005-0000-0000-0000305C0000}"/>
    <cellStyle name="Note 2 8 2 10 6" xfId="28856" xr:uid="{00000000-0005-0000-0000-0000315C0000}"/>
    <cellStyle name="Note 2 8 2 10 7" xfId="8939" xr:uid="{00000000-0005-0000-0000-0000325C0000}"/>
    <cellStyle name="Note 2 8 2 11" xfId="3786" xr:uid="{00000000-0005-0000-0000-0000335C0000}"/>
    <cellStyle name="Note 2 8 2 11 2" xfId="28857" xr:uid="{00000000-0005-0000-0000-0000345C0000}"/>
    <cellStyle name="Note 2 8 2 11 3" xfId="18073" xr:uid="{00000000-0005-0000-0000-0000355C0000}"/>
    <cellStyle name="Note 2 8 2 11 4" xfId="18076" xr:uid="{00000000-0005-0000-0000-0000365C0000}"/>
    <cellStyle name="Note 2 8 2 12" xfId="28859" xr:uid="{00000000-0005-0000-0000-0000375C0000}"/>
    <cellStyle name="Note 2 8 2 12 2" xfId="28862" xr:uid="{00000000-0005-0000-0000-0000385C0000}"/>
    <cellStyle name="Note 2 8 2 12 3" xfId="18084" xr:uid="{00000000-0005-0000-0000-0000395C0000}"/>
    <cellStyle name="Note 2 8 2 12 4" xfId="18087" xr:uid="{00000000-0005-0000-0000-00003A5C0000}"/>
    <cellStyle name="Note 2 8 2 13" xfId="28864" xr:uid="{00000000-0005-0000-0000-00003B5C0000}"/>
    <cellStyle name="Note 2 8 2 13 2" xfId="28866" xr:uid="{00000000-0005-0000-0000-00003C5C0000}"/>
    <cellStyle name="Note 2 8 2 13 3" xfId="18093" xr:uid="{00000000-0005-0000-0000-00003D5C0000}"/>
    <cellStyle name="Note 2 8 2 14" xfId="28868" xr:uid="{00000000-0005-0000-0000-00003E5C0000}"/>
    <cellStyle name="Note 2 8 2 14 2" xfId="28870" xr:uid="{00000000-0005-0000-0000-00003F5C0000}"/>
    <cellStyle name="Note 2 8 2 14 3" xfId="18100" xr:uid="{00000000-0005-0000-0000-0000405C0000}"/>
    <cellStyle name="Note 2 8 2 15" xfId="28871" xr:uid="{00000000-0005-0000-0000-0000415C0000}"/>
    <cellStyle name="Note 2 8 2 16" xfId="28873" xr:uid="{00000000-0005-0000-0000-0000425C0000}"/>
    <cellStyle name="Note 2 8 2 2" xfId="2754" xr:uid="{00000000-0005-0000-0000-0000435C0000}"/>
    <cellStyle name="Note 2 8 2 2 2" xfId="3374" xr:uid="{00000000-0005-0000-0000-0000445C0000}"/>
    <cellStyle name="Note 2 8 2 2 2 2" xfId="20682" xr:uid="{00000000-0005-0000-0000-0000455C0000}"/>
    <cellStyle name="Note 2 8 2 2 2 3" xfId="20685" xr:uid="{00000000-0005-0000-0000-0000465C0000}"/>
    <cellStyle name="Note 2 8 2 2 2 4" xfId="26568" xr:uid="{00000000-0005-0000-0000-0000475C0000}"/>
    <cellStyle name="Note 2 8 2 2 3" xfId="3379" xr:uid="{00000000-0005-0000-0000-0000485C0000}"/>
    <cellStyle name="Note 2 8 2 2 3 2" xfId="20709" xr:uid="{00000000-0005-0000-0000-0000495C0000}"/>
    <cellStyle name="Note 2 8 2 2 3 3" xfId="20713" xr:uid="{00000000-0005-0000-0000-00004A5C0000}"/>
    <cellStyle name="Note 2 8 2 2 3 4" xfId="26579" xr:uid="{00000000-0005-0000-0000-00004B5C0000}"/>
    <cellStyle name="Note 2 8 2 2 4" xfId="26583" xr:uid="{00000000-0005-0000-0000-00004C5C0000}"/>
    <cellStyle name="Note 2 8 2 2 4 2" xfId="20746" xr:uid="{00000000-0005-0000-0000-00004D5C0000}"/>
    <cellStyle name="Note 2 8 2 2 4 3" xfId="20751" xr:uid="{00000000-0005-0000-0000-00004E5C0000}"/>
    <cellStyle name="Note 2 8 2 2 5" xfId="26589" xr:uid="{00000000-0005-0000-0000-00004F5C0000}"/>
    <cellStyle name="Note 2 8 2 2 5 2" xfId="20780" xr:uid="{00000000-0005-0000-0000-0000505C0000}"/>
    <cellStyle name="Note 2 8 2 2 5 3" xfId="20784" xr:uid="{00000000-0005-0000-0000-0000515C0000}"/>
    <cellStyle name="Note 2 8 2 2 6" xfId="26593" xr:uid="{00000000-0005-0000-0000-0000525C0000}"/>
    <cellStyle name="Note 2 8 2 2 7" xfId="26598" xr:uid="{00000000-0005-0000-0000-0000535C0000}"/>
    <cellStyle name="Note 2 8 2 3" xfId="2759" xr:uid="{00000000-0005-0000-0000-0000545C0000}"/>
    <cellStyle name="Note 2 8 2 3 2" xfId="46" xr:uid="{00000000-0005-0000-0000-0000555C0000}"/>
    <cellStyle name="Note 2 8 2 3 2 2" xfId="28875" xr:uid="{00000000-0005-0000-0000-0000565C0000}"/>
    <cellStyle name="Note 2 8 2 3 2 3" xfId="28876" xr:uid="{00000000-0005-0000-0000-0000575C0000}"/>
    <cellStyle name="Note 2 8 2 3 2 4" xfId="28877" xr:uid="{00000000-0005-0000-0000-0000585C0000}"/>
    <cellStyle name="Note 2 8 2 3 3" xfId="163" xr:uid="{00000000-0005-0000-0000-0000595C0000}"/>
    <cellStyle name="Note 2 8 2 3 3 2" xfId="28878" xr:uid="{00000000-0005-0000-0000-00005A5C0000}"/>
    <cellStyle name="Note 2 8 2 3 3 3" xfId="28879" xr:uid="{00000000-0005-0000-0000-00005B5C0000}"/>
    <cellStyle name="Note 2 8 2 3 3 4" xfId="28880" xr:uid="{00000000-0005-0000-0000-00005C5C0000}"/>
    <cellStyle name="Note 2 8 2 3 4" xfId="28881" xr:uid="{00000000-0005-0000-0000-00005D5C0000}"/>
    <cellStyle name="Note 2 8 2 3 4 2" xfId="28882" xr:uid="{00000000-0005-0000-0000-00005E5C0000}"/>
    <cellStyle name="Note 2 8 2 3 4 3" xfId="28883" xr:uid="{00000000-0005-0000-0000-00005F5C0000}"/>
    <cellStyle name="Note 2 8 2 3 5" xfId="12941" xr:uid="{00000000-0005-0000-0000-0000605C0000}"/>
    <cellStyle name="Note 2 8 2 3 5 2" xfId="28884" xr:uid="{00000000-0005-0000-0000-0000615C0000}"/>
    <cellStyle name="Note 2 8 2 3 5 3" xfId="28885" xr:uid="{00000000-0005-0000-0000-0000625C0000}"/>
    <cellStyle name="Note 2 8 2 3 6" xfId="12943" xr:uid="{00000000-0005-0000-0000-0000635C0000}"/>
    <cellStyle name="Note 2 8 2 3 7" xfId="12945" xr:uid="{00000000-0005-0000-0000-0000645C0000}"/>
    <cellStyle name="Note 2 8 2 4" xfId="3386" xr:uid="{00000000-0005-0000-0000-0000655C0000}"/>
    <cellStyle name="Note 2 8 2 4 2" xfId="24525" xr:uid="{00000000-0005-0000-0000-0000665C0000}"/>
    <cellStyle name="Note 2 8 2 4 2 2" xfId="28886" xr:uid="{00000000-0005-0000-0000-0000675C0000}"/>
    <cellStyle name="Note 2 8 2 4 2 3" xfId="28887" xr:uid="{00000000-0005-0000-0000-0000685C0000}"/>
    <cellStyle name="Note 2 8 2 4 2 4" xfId="28888" xr:uid="{00000000-0005-0000-0000-0000695C0000}"/>
    <cellStyle name="Note 2 8 2 4 3" xfId="28889" xr:uid="{00000000-0005-0000-0000-00006A5C0000}"/>
    <cellStyle name="Note 2 8 2 4 3 2" xfId="28890" xr:uid="{00000000-0005-0000-0000-00006B5C0000}"/>
    <cellStyle name="Note 2 8 2 4 3 3" xfId="28891" xr:uid="{00000000-0005-0000-0000-00006C5C0000}"/>
    <cellStyle name="Note 2 8 2 4 3 4" xfId="28892" xr:uid="{00000000-0005-0000-0000-00006D5C0000}"/>
    <cellStyle name="Note 2 8 2 4 4" xfId="28893" xr:uid="{00000000-0005-0000-0000-00006E5C0000}"/>
    <cellStyle name="Note 2 8 2 4 4 2" xfId="20064" xr:uid="{00000000-0005-0000-0000-00006F5C0000}"/>
    <cellStyle name="Note 2 8 2 4 4 3" xfId="20066" xr:uid="{00000000-0005-0000-0000-0000705C0000}"/>
    <cellStyle name="Note 2 8 2 4 5" xfId="12949" xr:uid="{00000000-0005-0000-0000-0000715C0000}"/>
    <cellStyle name="Note 2 8 2 4 5 2" xfId="28894" xr:uid="{00000000-0005-0000-0000-0000725C0000}"/>
    <cellStyle name="Note 2 8 2 4 5 3" xfId="28895" xr:uid="{00000000-0005-0000-0000-0000735C0000}"/>
    <cellStyle name="Note 2 8 2 4 6" xfId="12951" xr:uid="{00000000-0005-0000-0000-0000745C0000}"/>
    <cellStyle name="Note 2 8 2 4 7" xfId="12953" xr:uid="{00000000-0005-0000-0000-0000755C0000}"/>
    <cellStyle name="Note 2 8 2 5" xfId="3389" xr:uid="{00000000-0005-0000-0000-0000765C0000}"/>
    <cellStyle name="Note 2 8 2 5 2" xfId="28896" xr:uid="{00000000-0005-0000-0000-0000775C0000}"/>
    <cellStyle name="Note 2 8 2 5 2 2" xfId="28897" xr:uid="{00000000-0005-0000-0000-0000785C0000}"/>
    <cellStyle name="Note 2 8 2 5 2 3" xfId="28898" xr:uid="{00000000-0005-0000-0000-0000795C0000}"/>
    <cellStyle name="Note 2 8 2 5 2 4" xfId="28900" xr:uid="{00000000-0005-0000-0000-00007A5C0000}"/>
    <cellStyle name="Note 2 8 2 5 3" xfId="28902" xr:uid="{00000000-0005-0000-0000-00007B5C0000}"/>
    <cellStyle name="Note 2 8 2 5 3 2" xfId="28904" xr:uid="{00000000-0005-0000-0000-00007C5C0000}"/>
    <cellStyle name="Note 2 8 2 5 3 3" xfId="28905" xr:uid="{00000000-0005-0000-0000-00007D5C0000}"/>
    <cellStyle name="Note 2 8 2 5 3 4" xfId="28907" xr:uid="{00000000-0005-0000-0000-00007E5C0000}"/>
    <cellStyle name="Note 2 8 2 5 4" xfId="28909" xr:uid="{00000000-0005-0000-0000-00007F5C0000}"/>
    <cellStyle name="Note 2 8 2 5 4 2" xfId="28911" xr:uid="{00000000-0005-0000-0000-0000805C0000}"/>
    <cellStyle name="Note 2 8 2 5 4 3" xfId="28912" xr:uid="{00000000-0005-0000-0000-0000815C0000}"/>
    <cellStyle name="Note 2 8 2 5 5" xfId="12957" xr:uid="{00000000-0005-0000-0000-0000825C0000}"/>
    <cellStyle name="Note 2 8 2 5 5 2" xfId="28914" xr:uid="{00000000-0005-0000-0000-0000835C0000}"/>
    <cellStyle name="Note 2 8 2 5 5 3" xfId="28915" xr:uid="{00000000-0005-0000-0000-0000845C0000}"/>
    <cellStyle name="Note 2 8 2 5 6" xfId="12960" xr:uid="{00000000-0005-0000-0000-0000855C0000}"/>
    <cellStyle name="Note 2 8 2 5 7" xfId="28916" xr:uid="{00000000-0005-0000-0000-0000865C0000}"/>
    <cellStyle name="Note 2 8 2 6" xfId="28917" xr:uid="{00000000-0005-0000-0000-0000875C0000}"/>
    <cellStyle name="Note 2 8 2 6 2" xfId="28918" xr:uid="{00000000-0005-0000-0000-0000885C0000}"/>
    <cellStyle name="Note 2 8 2 6 2 2" xfId="8677" xr:uid="{00000000-0005-0000-0000-0000895C0000}"/>
    <cellStyle name="Note 2 8 2 6 2 3" xfId="28919" xr:uid="{00000000-0005-0000-0000-00008A5C0000}"/>
    <cellStyle name="Note 2 8 2 6 2 4" xfId="28920" xr:uid="{00000000-0005-0000-0000-00008B5C0000}"/>
    <cellStyle name="Note 2 8 2 6 3" xfId="28921" xr:uid="{00000000-0005-0000-0000-00008C5C0000}"/>
    <cellStyle name="Note 2 8 2 6 3 2" xfId="23807" xr:uid="{00000000-0005-0000-0000-00008D5C0000}"/>
    <cellStyle name="Note 2 8 2 6 3 3" xfId="23809" xr:uid="{00000000-0005-0000-0000-00008E5C0000}"/>
    <cellStyle name="Note 2 8 2 6 3 4" xfId="23811" xr:uid="{00000000-0005-0000-0000-00008F5C0000}"/>
    <cellStyle name="Note 2 8 2 6 4" xfId="28923" xr:uid="{00000000-0005-0000-0000-0000905C0000}"/>
    <cellStyle name="Note 2 8 2 6 4 2" xfId="28925" xr:uid="{00000000-0005-0000-0000-0000915C0000}"/>
    <cellStyle name="Note 2 8 2 6 4 3" xfId="28926" xr:uid="{00000000-0005-0000-0000-0000925C0000}"/>
    <cellStyle name="Note 2 8 2 6 5" xfId="12963" xr:uid="{00000000-0005-0000-0000-0000935C0000}"/>
    <cellStyle name="Note 2 8 2 6 5 2" xfId="28927" xr:uid="{00000000-0005-0000-0000-0000945C0000}"/>
    <cellStyle name="Note 2 8 2 6 5 3" xfId="28929" xr:uid="{00000000-0005-0000-0000-0000955C0000}"/>
    <cellStyle name="Note 2 8 2 6 6" xfId="12967" xr:uid="{00000000-0005-0000-0000-0000965C0000}"/>
    <cellStyle name="Note 2 8 2 6 7" xfId="28931" xr:uid="{00000000-0005-0000-0000-0000975C0000}"/>
    <cellStyle name="Note 2 8 2 7" xfId="28933" xr:uid="{00000000-0005-0000-0000-0000985C0000}"/>
    <cellStyle name="Note 2 8 2 7 2" xfId="26720" xr:uid="{00000000-0005-0000-0000-0000995C0000}"/>
    <cellStyle name="Note 2 8 2 7 2 2" xfId="8703" xr:uid="{00000000-0005-0000-0000-00009A5C0000}"/>
    <cellStyle name="Note 2 8 2 7 2 3" xfId="26723" xr:uid="{00000000-0005-0000-0000-00009B5C0000}"/>
    <cellStyle name="Note 2 8 2 7 2 4" xfId="26725" xr:uid="{00000000-0005-0000-0000-00009C5C0000}"/>
    <cellStyle name="Note 2 8 2 7 3" xfId="26734" xr:uid="{00000000-0005-0000-0000-00009D5C0000}"/>
    <cellStyle name="Note 2 8 2 7 3 2" xfId="26738" xr:uid="{00000000-0005-0000-0000-00009E5C0000}"/>
    <cellStyle name="Note 2 8 2 7 3 3" xfId="26740" xr:uid="{00000000-0005-0000-0000-00009F5C0000}"/>
    <cellStyle name="Note 2 8 2 7 3 4" xfId="26742" xr:uid="{00000000-0005-0000-0000-0000A05C0000}"/>
    <cellStyle name="Note 2 8 2 7 4" xfId="26744" xr:uid="{00000000-0005-0000-0000-0000A15C0000}"/>
    <cellStyle name="Note 2 8 2 7 4 2" xfId="21649" xr:uid="{00000000-0005-0000-0000-0000A25C0000}"/>
    <cellStyle name="Note 2 8 2 7 4 3" xfId="26748" xr:uid="{00000000-0005-0000-0000-0000A35C0000}"/>
    <cellStyle name="Note 2 8 2 7 5" xfId="26751" xr:uid="{00000000-0005-0000-0000-0000A45C0000}"/>
    <cellStyle name="Note 2 8 2 7 5 2" xfId="26754" xr:uid="{00000000-0005-0000-0000-0000A55C0000}"/>
    <cellStyle name="Note 2 8 2 7 5 3" xfId="26756" xr:uid="{00000000-0005-0000-0000-0000A65C0000}"/>
    <cellStyle name="Note 2 8 2 7 6" xfId="26758" xr:uid="{00000000-0005-0000-0000-0000A75C0000}"/>
    <cellStyle name="Note 2 8 2 7 7" xfId="26762" xr:uid="{00000000-0005-0000-0000-0000A85C0000}"/>
    <cellStyle name="Note 2 8 2 8" xfId="28934" xr:uid="{00000000-0005-0000-0000-0000A95C0000}"/>
    <cellStyle name="Note 2 8 2 8 2" xfId="28935" xr:uid="{00000000-0005-0000-0000-0000AA5C0000}"/>
    <cellStyle name="Note 2 8 2 8 2 2" xfId="8730" xr:uid="{00000000-0005-0000-0000-0000AB5C0000}"/>
    <cellStyle name="Note 2 8 2 8 2 3" xfId="28936" xr:uid="{00000000-0005-0000-0000-0000AC5C0000}"/>
    <cellStyle name="Note 2 8 2 8 2 4" xfId="28937" xr:uid="{00000000-0005-0000-0000-0000AD5C0000}"/>
    <cellStyle name="Note 2 8 2 8 3" xfId="28938" xr:uid="{00000000-0005-0000-0000-0000AE5C0000}"/>
    <cellStyle name="Note 2 8 2 8 3 2" xfId="28941" xr:uid="{00000000-0005-0000-0000-0000AF5C0000}"/>
    <cellStyle name="Note 2 8 2 8 3 3" xfId="28942" xr:uid="{00000000-0005-0000-0000-0000B05C0000}"/>
    <cellStyle name="Note 2 8 2 8 3 4" xfId="28943" xr:uid="{00000000-0005-0000-0000-0000B15C0000}"/>
    <cellStyle name="Note 2 8 2 8 4" xfId="28944" xr:uid="{00000000-0005-0000-0000-0000B25C0000}"/>
    <cellStyle name="Note 2 8 2 8 4 2" xfId="28947" xr:uid="{00000000-0005-0000-0000-0000B35C0000}"/>
    <cellStyle name="Note 2 8 2 8 4 3" xfId="28948" xr:uid="{00000000-0005-0000-0000-0000B45C0000}"/>
    <cellStyle name="Note 2 8 2 8 5" xfId="28949" xr:uid="{00000000-0005-0000-0000-0000B55C0000}"/>
    <cellStyle name="Note 2 8 2 8 5 2" xfId="28951" xr:uid="{00000000-0005-0000-0000-0000B65C0000}"/>
    <cellStyle name="Note 2 8 2 8 5 3" xfId="28952" xr:uid="{00000000-0005-0000-0000-0000B75C0000}"/>
    <cellStyle name="Note 2 8 2 8 6" xfId="28953" xr:uid="{00000000-0005-0000-0000-0000B85C0000}"/>
    <cellStyle name="Note 2 8 2 8 7" xfId="28954" xr:uid="{00000000-0005-0000-0000-0000B95C0000}"/>
    <cellStyle name="Note 2 8 2 9" xfId="28955" xr:uid="{00000000-0005-0000-0000-0000BA5C0000}"/>
    <cellStyle name="Note 2 8 2 9 2" xfId="28956" xr:uid="{00000000-0005-0000-0000-0000BB5C0000}"/>
    <cellStyle name="Note 2 8 2 9 2 2" xfId="8753" xr:uid="{00000000-0005-0000-0000-0000BC5C0000}"/>
    <cellStyle name="Note 2 8 2 9 2 3" xfId="28957" xr:uid="{00000000-0005-0000-0000-0000BD5C0000}"/>
    <cellStyle name="Note 2 8 2 9 2 4" xfId="7940" xr:uid="{00000000-0005-0000-0000-0000BE5C0000}"/>
    <cellStyle name="Note 2 8 2 9 3" xfId="28958" xr:uid="{00000000-0005-0000-0000-0000BF5C0000}"/>
    <cellStyle name="Note 2 8 2 9 3 2" xfId="28960" xr:uid="{00000000-0005-0000-0000-0000C05C0000}"/>
    <cellStyle name="Note 2 8 2 9 3 3" xfId="28961" xr:uid="{00000000-0005-0000-0000-0000C15C0000}"/>
    <cellStyle name="Note 2 8 2 9 3 4" xfId="28962" xr:uid="{00000000-0005-0000-0000-0000C25C0000}"/>
    <cellStyle name="Note 2 8 2 9 4" xfId="28963" xr:uid="{00000000-0005-0000-0000-0000C35C0000}"/>
    <cellStyle name="Note 2 8 2 9 4 2" xfId="28965" xr:uid="{00000000-0005-0000-0000-0000C45C0000}"/>
    <cellStyle name="Note 2 8 2 9 4 3" xfId="28966" xr:uid="{00000000-0005-0000-0000-0000C55C0000}"/>
    <cellStyle name="Note 2 8 2 9 5" xfId="28967" xr:uid="{00000000-0005-0000-0000-0000C65C0000}"/>
    <cellStyle name="Note 2 8 2 9 5 2" xfId="28968" xr:uid="{00000000-0005-0000-0000-0000C75C0000}"/>
    <cellStyle name="Note 2 8 2 9 5 3" xfId="28969" xr:uid="{00000000-0005-0000-0000-0000C85C0000}"/>
    <cellStyle name="Note 2 8 2 9 6" xfId="28970" xr:uid="{00000000-0005-0000-0000-0000C95C0000}"/>
    <cellStyle name="Note 2 8 2 9 7" xfId="28972" xr:uid="{00000000-0005-0000-0000-0000CA5C0000}"/>
    <cellStyle name="Note 2 8 20" xfId="19216" xr:uid="{00000000-0005-0000-0000-0000CB5C0000}"/>
    <cellStyle name="Note 2 8 3" xfId="13956" xr:uid="{00000000-0005-0000-0000-0000CC5C0000}"/>
    <cellStyle name="Note 2 8 3 10" xfId="27789" xr:uid="{00000000-0005-0000-0000-0000CD5C0000}"/>
    <cellStyle name="Note 2 8 3 10 2" xfId="9658" xr:uid="{00000000-0005-0000-0000-0000CE5C0000}"/>
    <cellStyle name="Note 2 8 3 10 2 2" xfId="16199" xr:uid="{00000000-0005-0000-0000-0000CF5C0000}"/>
    <cellStyle name="Note 2 8 3 10 2 3" xfId="27792" xr:uid="{00000000-0005-0000-0000-0000D05C0000}"/>
    <cellStyle name="Note 2 8 3 10 2 4" xfId="27794" xr:uid="{00000000-0005-0000-0000-0000D15C0000}"/>
    <cellStyle name="Note 2 8 3 10 3" xfId="27796" xr:uid="{00000000-0005-0000-0000-0000D25C0000}"/>
    <cellStyle name="Note 2 8 3 10 3 2" xfId="22491" xr:uid="{00000000-0005-0000-0000-0000D35C0000}"/>
    <cellStyle name="Note 2 8 3 10 3 3" xfId="27799" xr:uid="{00000000-0005-0000-0000-0000D45C0000}"/>
    <cellStyle name="Note 2 8 3 10 3 4" xfId="27801" xr:uid="{00000000-0005-0000-0000-0000D55C0000}"/>
    <cellStyle name="Note 2 8 3 10 4" xfId="2124" xr:uid="{00000000-0005-0000-0000-0000D65C0000}"/>
    <cellStyle name="Note 2 8 3 10 4 2" xfId="2128" xr:uid="{00000000-0005-0000-0000-0000D75C0000}"/>
    <cellStyle name="Note 2 8 3 10 4 3" xfId="27803" xr:uid="{00000000-0005-0000-0000-0000D85C0000}"/>
    <cellStyle name="Note 2 8 3 10 5" xfId="27805" xr:uid="{00000000-0005-0000-0000-0000D95C0000}"/>
    <cellStyle name="Note 2 8 3 10 5 2" xfId="27807" xr:uid="{00000000-0005-0000-0000-0000DA5C0000}"/>
    <cellStyle name="Note 2 8 3 10 5 3" xfId="27809" xr:uid="{00000000-0005-0000-0000-0000DB5C0000}"/>
    <cellStyle name="Note 2 8 3 10 6" xfId="27811" xr:uid="{00000000-0005-0000-0000-0000DC5C0000}"/>
    <cellStyle name="Note 2 8 3 10 7" xfId="24727" xr:uid="{00000000-0005-0000-0000-0000DD5C0000}"/>
    <cellStyle name="Note 2 8 3 11" xfId="27812" xr:uid="{00000000-0005-0000-0000-0000DE5C0000}"/>
    <cellStyle name="Note 2 8 3 11 2" xfId="27818" xr:uid="{00000000-0005-0000-0000-0000DF5C0000}"/>
    <cellStyle name="Note 2 8 3 11 3" xfId="27824" xr:uid="{00000000-0005-0000-0000-0000E05C0000}"/>
    <cellStyle name="Note 2 8 3 11 4" xfId="27830" xr:uid="{00000000-0005-0000-0000-0000E15C0000}"/>
    <cellStyle name="Note 2 8 3 12" xfId="27838" xr:uid="{00000000-0005-0000-0000-0000E25C0000}"/>
    <cellStyle name="Note 2 8 3 12 2" xfId="27844" xr:uid="{00000000-0005-0000-0000-0000E35C0000}"/>
    <cellStyle name="Note 2 8 3 12 3" xfId="27847" xr:uid="{00000000-0005-0000-0000-0000E45C0000}"/>
    <cellStyle name="Note 2 8 3 12 4" xfId="27850" xr:uid="{00000000-0005-0000-0000-0000E55C0000}"/>
    <cellStyle name="Note 2 8 3 13" xfId="28974" xr:uid="{00000000-0005-0000-0000-0000E65C0000}"/>
    <cellStyle name="Note 2 8 3 13 2" xfId="28977" xr:uid="{00000000-0005-0000-0000-0000E75C0000}"/>
    <cellStyle name="Note 2 8 3 13 3" xfId="28979" xr:uid="{00000000-0005-0000-0000-0000E85C0000}"/>
    <cellStyle name="Note 2 8 3 14" xfId="28981" xr:uid="{00000000-0005-0000-0000-0000E95C0000}"/>
    <cellStyle name="Note 2 8 3 14 2" xfId="28983" xr:uid="{00000000-0005-0000-0000-0000EA5C0000}"/>
    <cellStyle name="Note 2 8 3 14 3" xfId="28984" xr:uid="{00000000-0005-0000-0000-0000EB5C0000}"/>
    <cellStyle name="Note 2 8 3 15" xfId="28985" xr:uid="{00000000-0005-0000-0000-0000EC5C0000}"/>
    <cellStyle name="Note 2 8 3 16" xfId="28987" xr:uid="{00000000-0005-0000-0000-0000ED5C0000}"/>
    <cellStyle name="Note 2 8 3 2" xfId="2772" xr:uid="{00000000-0005-0000-0000-0000EE5C0000}"/>
    <cellStyle name="Note 2 8 3 2 2" xfId="3434" xr:uid="{00000000-0005-0000-0000-0000EF5C0000}"/>
    <cellStyle name="Note 2 8 3 2 2 2" xfId="21323" xr:uid="{00000000-0005-0000-0000-0000F05C0000}"/>
    <cellStyle name="Note 2 8 3 2 2 3" xfId="21327" xr:uid="{00000000-0005-0000-0000-0000F15C0000}"/>
    <cellStyle name="Note 2 8 3 2 2 4" xfId="28988" xr:uid="{00000000-0005-0000-0000-0000F25C0000}"/>
    <cellStyle name="Note 2 8 3 2 3" xfId="3441" xr:uid="{00000000-0005-0000-0000-0000F35C0000}"/>
    <cellStyle name="Note 2 8 3 2 3 2" xfId="21351" xr:uid="{00000000-0005-0000-0000-0000F45C0000}"/>
    <cellStyle name="Note 2 8 3 2 3 3" xfId="21355" xr:uid="{00000000-0005-0000-0000-0000F55C0000}"/>
    <cellStyle name="Note 2 8 3 2 3 4" xfId="28312" xr:uid="{00000000-0005-0000-0000-0000F65C0000}"/>
    <cellStyle name="Note 2 8 3 2 4" xfId="28990" xr:uid="{00000000-0005-0000-0000-0000F75C0000}"/>
    <cellStyle name="Note 2 8 3 2 4 2" xfId="21372" xr:uid="{00000000-0005-0000-0000-0000F85C0000}"/>
    <cellStyle name="Note 2 8 3 2 4 3" xfId="21376" xr:uid="{00000000-0005-0000-0000-0000F95C0000}"/>
    <cellStyle name="Note 2 8 3 2 5" xfId="28994" xr:uid="{00000000-0005-0000-0000-0000FA5C0000}"/>
    <cellStyle name="Note 2 8 3 2 5 2" xfId="21393" xr:uid="{00000000-0005-0000-0000-0000FB5C0000}"/>
    <cellStyle name="Note 2 8 3 2 5 3" xfId="21396" xr:uid="{00000000-0005-0000-0000-0000FC5C0000}"/>
    <cellStyle name="Note 2 8 3 2 6" xfId="28997" xr:uid="{00000000-0005-0000-0000-0000FD5C0000}"/>
    <cellStyle name="Note 2 8 3 2 7" xfId="28999" xr:uid="{00000000-0005-0000-0000-0000FE5C0000}"/>
    <cellStyle name="Note 2 8 3 3" xfId="2776" xr:uid="{00000000-0005-0000-0000-0000FF5C0000}"/>
    <cellStyle name="Note 2 8 3 3 2" xfId="3450" xr:uid="{00000000-0005-0000-0000-0000005D0000}"/>
    <cellStyle name="Note 2 8 3 3 2 2" xfId="27510" xr:uid="{00000000-0005-0000-0000-0000015D0000}"/>
    <cellStyle name="Note 2 8 3 3 2 3" xfId="27519" xr:uid="{00000000-0005-0000-0000-0000025D0000}"/>
    <cellStyle name="Note 2 8 3 3 2 4" xfId="27528" xr:uid="{00000000-0005-0000-0000-0000035D0000}"/>
    <cellStyle name="Note 2 8 3 3 3" xfId="3456" xr:uid="{00000000-0005-0000-0000-0000045D0000}"/>
    <cellStyle name="Note 2 8 3 3 3 2" xfId="27538" xr:uid="{00000000-0005-0000-0000-0000055D0000}"/>
    <cellStyle name="Note 2 8 3 3 3 3" xfId="27541" xr:uid="{00000000-0005-0000-0000-0000065D0000}"/>
    <cellStyle name="Note 2 8 3 3 3 4" xfId="27544" xr:uid="{00000000-0005-0000-0000-0000075D0000}"/>
    <cellStyle name="Note 2 8 3 3 4" xfId="27547" xr:uid="{00000000-0005-0000-0000-0000085D0000}"/>
    <cellStyle name="Note 2 8 3 3 4 2" xfId="27551" xr:uid="{00000000-0005-0000-0000-0000095D0000}"/>
    <cellStyle name="Note 2 8 3 3 4 3" xfId="27554" xr:uid="{00000000-0005-0000-0000-00000A5D0000}"/>
    <cellStyle name="Note 2 8 3 3 5" xfId="12977" xr:uid="{00000000-0005-0000-0000-00000B5D0000}"/>
    <cellStyle name="Note 2 8 3 3 5 2" xfId="27559" xr:uid="{00000000-0005-0000-0000-00000C5D0000}"/>
    <cellStyle name="Note 2 8 3 3 5 3" xfId="27561" xr:uid="{00000000-0005-0000-0000-00000D5D0000}"/>
    <cellStyle name="Note 2 8 3 3 6" xfId="12983" xr:uid="{00000000-0005-0000-0000-00000E5D0000}"/>
    <cellStyle name="Note 2 8 3 3 7" xfId="12988" xr:uid="{00000000-0005-0000-0000-00000F5D0000}"/>
    <cellStyle name="Note 2 8 3 4" xfId="3463" xr:uid="{00000000-0005-0000-0000-0000105D0000}"/>
    <cellStyle name="Note 2 8 3 4 2" xfId="29000" xr:uid="{00000000-0005-0000-0000-0000115D0000}"/>
    <cellStyle name="Note 2 8 3 4 2 2" xfId="29001" xr:uid="{00000000-0005-0000-0000-0000125D0000}"/>
    <cellStyle name="Note 2 8 3 4 2 3" xfId="29002" xr:uid="{00000000-0005-0000-0000-0000135D0000}"/>
    <cellStyle name="Note 2 8 3 4 2 4" xfId="29003" xr:uid="{00000000-0005-0000-0000-0000145D0000}"/>
    <cellStyle name="Note 2 8 3 4 3" xfId="29004" xr:uid="{00000000-0005-0000-0000-0000155D0000}"/>
    <cellStyle name="Note 2 8 3 4 3 2" xfId="29006" xr:uid="{00000000-0005-0000-0000-0000165D0000}"/>
    <cellStyle name="Note 2 8 3 4 3 3" xfId="29007" xr:uid="{00000000-0005-0000-0000-0000175D0000}"/>
    <cellStyle name="Note 2 8 3 4 3 4" xfId="29008" xr:uid="{00000000-0005-0000-0000-0000185D0000}"/>
    <cellStyle name="Note 2 8 3 4 4" xfId="29009" xr:uid="{00000000-0005-0000-0000-0000195D0000}"/>
    <cellStyle name="Note 2 8 3 4 4 2" xfId="29012" xr:uid="{00000000-0005-0000-0000-00001A5D0000}"/>
    <cellStyle name="Note 2 8 3 4 4 3" xfId="29014" xr:uid="{00000000-0005-0000-0000-00001B5D0000}"/>
    <cellStyle name="Note 2 8 3 4 5" xfId="12991" xr:uid="{00000000-0005-0000-0000-00001C5D0000}"/>
    <cellStyle name="Note 2 8 3 4 5 2" xfId="29016" xr:uid="{00000000-0005-0000-0000-00001D5D0000}"/>
    <cellStyle name="Note 2 8 3 4 5 3" xfId="29018" xr:uid="{00000000-0005-0000-0000-00001E5D0000}"/>
    <cellStyle name="Note 2 8 3 4 6" xfId="12994" xr:uid="{00000000-0005-0000-0000-00001F5D0000}"/>
    <cellStyle name="Note 2 8 3 4 7" xfId="12997" xr:uid="{00000000-0005-0000-0000-0000205D0000}"/>
    <cellStyle name="Note 2 8 3 5" xfId="3466" xr:uid="{00000000-0005-0000-0000-0000215D0000}"/>
    <cellStyle name="Note 2 8 3 5 2" xfId="29020" xr:uid="{00000000-0005-0000-0000-0000225D0000}"/>
    <cellStyle name="Note 2 8 3 5 2 2" xfId="29021" xr:uid="{00000000-0005-0000-0000-0000235D0000}"/>
    <cellStyle name="Note 2 8 3 5 2 3" xfId="29022" xr:uid="{00000000-0005-0000-0000-0000245D0000}"/>
    <cellStyle name="Note 2 8 3 5 2 4" xfId="29023" xr:uid="{00000000-0005-0000-0000-0000255D0000}"/>
    <cellStyle name="Note 2 8 3 5 3" xfId="29024" xr:uid="{00000000-0005-0000-0000-0000265D0000}"/>
    <cellStyle name="Note 2 8 3 5 3 2" xfId="29027" xr:uid="{00000000-0005-0000-0000-0000275D0000}"/>
    <cellStyle name="Note 2 8 3 5 3 3" xfId="29028" xr:uid="{00000000-0005-0000-0000-0000285D0000}"/>
    <cellStyle name="Note 2 8 3 5 3 4" xfId="29029" xr:uid="{00000000-0005-0000-0000-0000295D0000}"/>
    <cellStyle name="Note 2 8 3 5 4" xfId="29030" xr:uid="{00000000-0005-0000-0000-00002A5D0000}"/>
    <cellStyle name="Note 2 8 3 5 4 2" xfId="29033" xr:uid="{00000000-0005-0000-0000-00002B5D0000}"/>
    <cellStyle name="Note 2 8 3 5 4 3" xfId="29034" xr:uid="{00000000-0005-0000-0000-00002C5D0000}"/>
    <cellStyle name="Note 2 8 3 5 5" xfId="13001" xr:uid="{00000000-0005-0000-0000-00002D5D0000}"/>
    <cellStyle name="Note 2 8 3 5 5 2" xfId="29035" xr:uid="{00000000-0005-0000-0000-00002E5D0000}"/>
    <cellStyle name="Note 2 8 3 5 5 3" xfId="29036" xr:uid="{00000000-0005-0000-0000-00002F5D0000}"/>
    <cellStyle name="Note 2 8 3 5 6" xfId="13004" xr:uid="{00000000-0005-0000-0000-0000305D0000}"/>
    <cellStyle name="Note 2 8 3 5 7" xfId="29037" xr:uid="{00000000-0005-0000-0000-0000315D0000}"/>
    <cellStyle name="Note 2 8 3 6" xfId="29038" xr:uid="{00000000-0005-0000-0000-0000325D0000}"/>
    <cellStyle name="Note 2 8 3 6 2" xfId="29039" xr:uid="{00000000-0005-0000-0000-0000335D0000}"/>
    <cellStyle name="Note 2 8 3 6 2 2" xfId="29040" xr:uid="{00000000-0005-0000-0000-0000345D0000}"/>
    <cellStyle name="Note 2 8 3 6 2 3" xfId="29041" xr:uid="{00000000-0005-0000-0000-0000355D0000}"/>
    <cellStyle name="Note 2 8 3 6 2 4" xfId="29042" xr:uid="{00000000-0005-0000-0000-0000365D0000}"/>
    <cellStyle name="Note 2 8 3 6 3" xfId="29043" xr:uid="{00000000-0005-0000-0000-0000375D0000}"/>
    <cellStyle name="Note 2 8 3 6 3 2" xfId="29045" xr:uid="{00000000-0005-0000-0000-0000385D0000}"/>
    <cellStyle name="Note 2 8 3 6 3 3" xfId="29046" xr:uid="{00000000-0005-0000-0000-0000395D0000}"/>
    <cellStyle name="Note 2 8 3 6 3 4" xfId="29047" xr:uid="{00000000-0005-0000-0000-00003A5D0000}"/>
    <cellStyle name="Note 2 8 3 6 4" xfId="29048" xr:uid="{00000000-0005-0000-0000-00003B5D0000}"/>
    <cellStyle name="Note 2 8 3 6 4 2" xfId="29050" xr:uid="{00000000-0005-0000-0000-00003C5D0000}"/>
    <cellStyle name="Note 2 8 3 6 4 3" xfId="29051" xr:uid="{00000000-0005-0000-0000-00003D5D0000}"/>
    <cellStyle name="Note 2 8 3 6 5" xfId="13007" xr:uid="{00000000-0005-0000-0000-00003E5D0000}"/>
    <cellStyle name="Note 2 8 3 6 5 2" xfId="29052" xr:uid="{00000000-0005-0000-0000-00003F5D0000}"/>
    <cellStyle name="Note 2 8 3 6 5 3" xfId="29053" xr:uid="{00000000-0005-0000-0000-0000405D0000}"/>
    <cellStyle name="Note 2 8 3 6 6" xfId="13010" xr:uid="{00000000-0005-0000-0000-0000415D0000}"/>
    <cellStyle name="Note 2 8 3 6 7" xfId="29054" xr:uid="{00000000-0005-0000-0000-0000425D0000}"/>
    <cellStyle name="Note 2 8 3 7" xfId="29055" xr:uid="{00000000-0005-0000-0000-0000435D0000}"/>
    <cellStyle name="Note 2 8 3 7 2" xfId="29056" xr:uid="{00000000-0005-0000-0000-0000445D0000}"/>
    <cellStyle name="Note 2 8 3 7 2 2" xfId="29057" xr:uid="{00000000-0005-0000-0000-0000455D0000}"/>
    <cellStyle name="Note 2 8 3 7 2 3" xfId="29058" xr:uid="{00000000-0005-0000-0000-0000465D0000}"/>
    <cellStyle name="Note 2 8 3 7 2 4" xfId="29059" xr:uid="{00000000-0005-0000-0000-0000475D0000}"/>
    <cellStyle name="Note 2 8 3 7 3" xfId="29060" xr:uid="{00000000-0005-0000-0000-0000485D0000}"/>
    <cellStyle name="Note 2 8 3 7 3 2" xfId="29063" xr:uid="{00000000-0005-0000-0000-0000495D0000}"/>
    <cellStyle name="Note 2 8 3 7 3 3" xfId="29064" xr:uid="{00000000-0005-0000-0000-00004A5D0000}"/>
    <cellStyle name="Note 2 8 3 7 3 4" xfId="29065" xr:uid="{00000000-0005-0000-0000-00004B5D0000}"/>
    <cellStyle name="Note 2 8 3 7 4" xfId="29066" xr:uid="{00000000-0005-0000-0000-00004C5D0000}"/>
    <cellStyle name="Note 2 8 3 7 4 2" xfId="29069" xr:uid="{00000000-0005-0000-0000-00004D5D0000}"/>
    <cellStyle name="Note 2 8 3 7 4 3" xfId="29070" xr:uid="{00000000-0005-0000-0000-00004E5D0000}"/>
    <cellStyle name="Note 2 8 3 7 5" xfId="29071" xr:uid="{00000000-0005-0000-0000-00004F5D0000}"/>
    <cellStyle name="Note 2 8 3 7 5 2" xfId="29073" xr:uid="{00000000-0005-0000-0000-0000505D0000}"/>
    <cellStyle name="Note 2 8 3 7 5 3" xfId="29074" xr:uid="{00000000-0005-0000-0000-0000515D0000}"/>
    <cellStyle name="Note 2 8 3 7 6" xfId="29075" xr:uid="{00000000-0005-0000-0000-0000525D0000}"/>
    <cellStyle name="Note 2 8 3 7 7" xfId="29076" xr:uid="{00000000-0005-0000-0000-0000535D0000}"/>
    <cellStyle name="Note 2 8 3 8" xfId="29077" xr:uid="{00000000-0005-0000-0000-0000545D0000}"/>
    <cellStyle name="Note 2 8 3 8 2" xfId="27875" xr:uid="{00000000-0005-0000-0000-0000555D0000}"/>
    <cellStyle name="Note 2 8 3 8 2 2" xfId="27877" xr:uid="{00000000-0005-0000-0000-0000565D0000}"/>
    <cellStyle name="Note 2 8 3 8 2 3" xfId="27879" xr:uid="{00000000-0005-0000-0000-0000575D0000}"/>
    <cellStyle name="Note 2 8 3 8 2 4" xfId="27884" xr:uid="{00000000-0005-0000-0000-0000585D0000}"/>
    <cellStyle name="Note 2 8 3 8 3" xfId="27894" xr:uid="{00000000-0005-0000-0000-0000595D0000}"/>
    <cellStyle name="Note 2 8 3 8 3 2" xfId="27898" xr:uid="{00000000-0005-0000-0000-00005A5D0000}"/>
    <cellStyle name="Note 2 8 3 8 3 3" xfId="27900" xr:uid="{00000000-0005-0000-0000-00005B5D0000}"/>
    <cellStyle name="Note 2 8 3 8 3 4" xfId="27902" xr:uid="{00000000-0005-0000-0000-00005C5D0000}"/>
    <cellStyle name="Note 2 8 3 8 4" xfId="27905" xr:uid="{00000000-0005-0000-0000-00005D5D0000}"/>
    <cellStyle name="Note 2 8 3 8 4 2" xfId="27909" xr:uid="{00000000-0005-0000-0000-00005E5D0000}"/>
    <cellStyle name="Note 2 8 3 8 4 3" xfId="27911" xr:uid="{00000000-0005-0000-0000-00005F5D0000}"/>
    <cellStyle name="Note 2 8 3 8 5" xfId="27916" xr:uid="{00000000-0005-0000-0000-0000605D0000}"/>
    <cellStyle name="Note 2 8 3 8 5 2" xfId="27919" xr:uid="{00000000-0005-0000-0000-0000615D0000}"/>
    <cellStyle name="Note 2 8 3 8 5 3" xfId="27921" xr:uid="{00000000-0005-0000-0000-0000625D0000}"/>
    <cellStyle name="Note 2 8 3 8 6" xfId="27925" xr:uid="{00000000-0005-0000-0000-0000635D0000}"/>
    <cellStyle name="Note 2 8 3 8 7" xfId="27931" xr:uid="{00000000-0005-0000-0000-0000645D0000}"/>
    <cellStyle name="Note 2 8 3 9" xfId="29079" xr:uid="{00000000-0005-0000-0000-0000655D0000}"/>
    <cellStyle name="Note 2 8 3 9 2" xfId="29080" xr:uid="{00000000-0005-0000-0000-0000665D0000}"/>
    <cellStyle name="Note 2 8 3 9 2 2" xfId="26151" xr:uid="{00000000-0005-0000-0000-0000675D0000}"/>
    <cellStyle name="Note 2 8 3 9 2 3" xfId="26153" xr:uid="{00000000-0005-0000-0000-0000685D0000}"/>
    <cellStyle name="Note 2 8 3 9 2 4" xfId="29081" xr:uid="{00000000-0005-0000-0000-0000695D0000}"/>
    <cellStyle name="Note 2 8 3 9 3" xfId="29082" xr:uid="{00000000-0005-0000-0000-00006A5D0000}"/>
    <cellStyle name="Note 2 8 3 9 3 2" xfId="29084" xr:uid="{00000000-0005-0000-0000-00006B5D0000}"/>
    <cellStyle name="Note 2 8 3 9 3 3" xfId="29085" xr:uid="{00000000-0005-0000-0000-00006C5D0000}"/>
    <cellStyle name="Note 2 8 3 9 3 4" xfId="29086" xr:uid="{00000000-0005-0000-0000-00006D5D0000}"/>
    <cellStyle name="Note 2 8 3 9 4" xfId="29087" xr:uid="{00000000-0005-0000-0000-00006E5D0000}"/>
    <cellStyle name="Note 2 8 3 9 4 2" xfId="29089" xr:uid="{00000000-0005-0000-0000-00006F5D0000}"/>
    <cellStyle name="Note 2 8 3 9 4 3" xfId="29090" xr:uid="{00000000-0005-0000-0000-0000705D0000}"/>
    <cellStyle name="Note 2 8 3 9 5" xfId="18366" xr:uid="{00000000-0005-0000-0000-0000715D0000}"/>
    <cellStyle name="Note 2 8 3 9 5 2" xfId="29091" xr:uid="{00000000-0005-0000-0000-0000725D0000}"/>
    <cellStyle name="Note 2 8 3 9 5 3" xfId="29092" xr:uid="{00000000-0005-0000-0000-0000735D0000}"/>
    <cellStyle name="Note 2 8 3 9 6" xfId="18368" xr:uid="{00000000-0005-0000-0000-0000745D0000}"/>
    <cellStyle name="Note 2 8 3 9 7" xfId="18371" xr:uid="{00000000-0005-0000-0000-0000755D0000}"/>
    <cellStyle name="Note 2 8 4" xfId="28802" xr:uid="{00000000-0005-0000-0000-0000765D0000}"/>
    <cellStyle name="Note 2 8 4 2" xfId="29093" xr:uid="{00000000-0005-0000-0000-0000775D0000}"/>
    <cellStyle name="Note 2 8 4 2 2" xfId="29094" xr:uid="{00000000-0005-0000-0000-0000785D0000}"/>
    <cellStyle name="Note 2 8 4 2 3" xfId="29098" xr:uid="{00000000-0005-0000-0000-0000795D0000}"/>
    <cellStyle name="Note 2 8 4 2 4" xfId="29101" xr:uid="{00000000-0005-0000-0000-00007A5D0000}"/>
    <cellStyle name="Note 2 8 4 3" xfId="29104" xr:uid="{00000000-0005-0000-0000-00007B5D0000}"/>
    <cellStyle name="Note 2 8 4 3 2" xfId="29105" xr:uid="{00000000-0005-0000-0000-00007C5D0000}"/>
    <cellStyle name="Note 2 8 4 3 3" xfId="29108" xr:uid="{00000000-0005-0000-0000-00007D5D0000}"/>
    <cellStyle name="Note 2 8 4 3 4" xfId="29110" xr:uid="{00000000-0005-0000-0000-00007E5D0000}"/>
    <cellStyle name="Note 2 8 4 4" xfId="29112" xr:uid="{00000000-0005-0000-0000-00007F5D0000}"/>
    <cellStyle name="Note 2 8 4 4 2" xfId="29113" xr:uid="{00000000-0005-0000-0000-0000805D0000}"/>
    <cellStyle name="Note 2 8 4 4 3" xfId="29114" xr:uid="{00000000-0005-0000-0000-0000815D0000}"/>
    <cellStyle name="Note 2 8 4 5" xfId="29115" xr:uid="{00000000-0005-0000-0000-0000825D0000}"/>
    <cellStyle name="Note 2 8 4 5 2" xfId="29116" xr:uid="{00000000-0005-0000-0000-0000835D0000}"/>
    <cellStyle name="Note 2 8 4 5 3" xfId="29117" xr:uid="{00000000-0005-0000-0000-0000845D0000}"/>
    <cellStyle name="Note 2 8 4 6" xfId="29119" xr:uid="{00000000-0005-0000-0000-0000855D0000}"/>
    <cellStyle name="Note 2 8 4 7" xfId="29120" xr:uid="{00000000-0005-0000-0000-0000865D0000}"/>
    <cellStyle name="Note 2 8 5" xfId="29122" xr:uid="{00000000-0005-0000-0000-0000875D0000}"/>
    <cellStyle name="Note 2 8 5 2" xfId="29123" xr:uid="{00000000-0005-0000-0000-0000885D0000}"/>
    <cellStyle name="Note 2 8 5 2 2" xfId="29124" xr:uid="{00000000-0005-0000-0000-0000895D0000}"/>
    <cellStyle name="Note 2 8 5 2 3" xfId="29126" xr:uid="{00000000-0005-0000-0000-00008A5D0000}"/>
    <cellStyle name="Note 2 8 5 2 4" xfId="29127" xr:uid="{00000000-0005-0000-0000-00008B5D0000}"/>
    <cellStyle name="Note 2 8 5 3" xfId="29128" xr:uid="{00000000-0005-0000-0000-00008C5D0000}"/>
    <cellStyle name="Note 2 8 5 3 2" xfId="29129" xr:uid="{00000000-0005-0000-0000-00008D5D0000}"/>
    <cellStyle name="Note 2 8 5 3 3" xfId="29131" xr:uid="{00000000-0005-0000-0000-00008E5D0000}"/>
    <cellStyle name="Note 2 8 5 3 4" xfId="29132" xr:uid="{00000000-0005-0000-0000-00008F5D0000}"/>
    <cellStyle name="Note 2 8 5 4" xfId="29133" xr:uid="{00000000-0005-0000-0000-0000905D0000}"/>
    <cellStyle name="Note 2 8 5 4 2" xfId="29134" xr:uid="{00000000-0005-0000-0000-0000915D0000}"/>
    <cellStyle name="Note 2 8 5 4 3" xfId="29135" xr:uid="{00000000-0005-0000-0000-0000925D0000}"/>
    <cellStyle name="Note 2 8 5 5" xfId="29136" xr:uid="{00000000-0005-0000-0000-0000935D0000}"/>
    <cellStyle name="Note 2 8 5 5 2" xfId="29137" xr:uid="{00000000-0005-0000-0000-0000945D0000}"/>
    <cellStyle name="Note 2 8 5 5 3" xfId="29138" xr:uid="{00000000-0005-0000-0000-0000955D0000}"/>
    <cellStyle name="Note 2 8 5 6" xfId="29140" xr:uid="{00000000-0005-0000-0000-0000965D0000}"/>
    <cellStyle name="Note 2 8 5 7" xfId="29141" xr:uid="{00000000-0005-0000-0000-0000975D0000}"/>
    <cellStyle name="Note 2 8 6" xfId="29143" xr:uid="{00000000-0005-0000-0000-0000985D0000}"/>
    <cellStyle name="Note 2 8 6 2" xfId="9731" xr:uid="{00000000-0005-0000-0000-0000995D0000}"/>
    <cellStyle name="Note 2 8 6 2 2" xfId="29144" xr:uid="{00000000-0005-0000-0000-00009A5D0000}"/>
    <cellStyle name="Note 2 8 6 2 3" xfId="29147" xr:uid="{00000000-0005-0000-0000-00009B5D0000}"/>
    <cellStyle name="Note 2 8 6 2 4" xfId="29150" xr:uid="{00000000-0005-0000-0000-00009C5D0000}"/>
    <cellStyle name="Note 2 8 6 3" xfId="29153" xr:uid="{00000000-0005-0000-0000-00009D5D0000}"/>
    <cellStyle name="Note 2 8 6 3 2" xfId="29155" xr:uid="{00000000-0005-0000-0000-00009E5D0000}"/>
    <cellStyle name="Note 2 8 6 3 3" xfId="29158" xr:uid="{00000000-0005-0000-0000-00009F5D0000}"/>
    <cellStyle name="Note 2 8 6 3 4" xfId="29161" xr:uid="{00000000-0005-0000-0000-0000A05D0000}"/>
    <cellStyle name="Note 2 8 6 4" xfId="29164" xr:uid="{00000000-0005-0000-0000-0000A15D0000}"/>
    <cellStyle name="Note 2 8 6 4 2" xfId="29166" xr:uid="{00000000-0005-0000-0000-0000A25D0000}"/>
    <cellStyle name="Note 2 8 6 4 3" xfId="29168" xr:uid="{00000000-0005-0000-0000-0000A35D0000}"/>
    <cellStyle name="Note 2 8 6 5" xfId="29171" xr:uid="{00000000-0005-0000-0000-0000A45D0000}"/>
    <cellStyle name="Note 2 8 6 5 2" xfId="29173" xr:uid="{00000000-0005-0000-0000-0000A55D0000}"/>
    <cellStyle name="Note 2 8 6 5 3" xfId="29175" xr:uid="{00000000-0005-0000-0000-0000A65D0000}"/>
    <cellStyle name="Note 2 8 6 6" xfId="29179" xr:uid="{00000000-0005-0000-0000-0000A75D0000}"/>
    <cellStyle name="Note 2 8 6 7" xfId="29181" xr:uid="{00000000-0005-0000-0000-0000A85D0000}"/>
    <cellStyle name="Note 2 8 7" xfId="29185" xr:uid="{00000000-0005-0000-0000-0000A95D0000}"/>
    <cellStyle name="Note 2 8 7 2" xfId="9737" xr:uid="{00000000-0005-0000-0000-0000AA5D0000}"/>
    <cellStyle name="Note 2 8 7 2 2" xfId="27102" xr:uid="{00000000-0005-0000-0000-0000AB5D0000}"/>
    <cellStyle name="Note 2 8 7 2 3" xfId="27106" xr:uid="{00000000-0005-0000-0000-0000AC5D0000}"/>
    <cellStyle name="Note 2 8 7 2 4" xfId="27110" xr:uid="{00000000-0005-0000-0000-0000AD5D0000}"/>
    <cellStyle name="Note 2 8 7 3" xfId="29186" xr:uid="{00000000-0005-0000-0000-0000AE5D0000}"/>
    <cellStyle name="Note 2 8 7 3 2" xfId="29187" xr:uid="{00000000-0005-0000-0000-0000AF5D0000}"/>
    <cellStyle name="Note 2 8 7 3 3" xfId="29189" xr:uid="{00000000-0005-0000-0000-0000B05D0000}"/>
    <cellStyle name="Note 2 8 7 3 4" xfId="29190" xr:uid="{00000000-0005-0000-0000-0000B15D0000}"/>
    <cellStyle name="Note 2 8 7 4" xfId="29191" xr:uid="{00000000-0005-0000-0000-0000B25D0000}"/>
    <cellStyle name="Note 2 8 7 4 2" xfId="5735" xr:uid="{00000000-0005-0000-0000-0000B35D0000}"/>
    <cellStyle name="Note 2 8 7 4 3" xfId="5737" xr:uid="{00000000-0005-0000-0000-0000B45D0000}"/>
    <cellStyle name="Note 2 8 7 5" xfId="29192" xr:uid="{00000000-0005-0000-0000-0000B55D0000}"/>
    <cellStyle name="Note 2 8 7 5 2" xfId="29193" xr:uid="{00000000-0005-0000-0000-0000B65D0000}"/>
    <cellStyle name="Note 2 8 7 5 3" xfId="29194" xr:uid="{00000000-0005-0000-0000-0000B75D0000}"/>
    <cellStyle name="Note 2 8 7 6" xfId="29196" xr:uid="{00000000-0005-0000-0000-0000B85D0000}"/>
    <cellStyle name="Note 2 8 7 7" xfId="29197" xr:uid="{00000000-0005-0000-0000-0000B95D0000}"/>
    <cellStyle name="Note 2 8 8" xfId="29200" xr:uid="{00000000-0005-0000-0000-0000BA5D0000}"/>
    <cellStyle name="Note 2 8 8 2" xfId="29202" xr:uid="{00000000-0005-0000-0000-0000BB5D0000}"/>
    <cellStyle name="Note 2 8 8 2 2" xfId="22359" xr:uid="{00000000-0005-0000-0000-0000BC5D0000}"/>
    <cellStyle name="Note 2 8 8 2 3" xfId="29203" xr:uid="{00000000-0005-0000-0000-0000BD5D0000}"/>
    <cellStyle name="Note 2 8 8 2 4" xfId="29204" xr:uid="{00000000-0005-0000-0000-0000BE5D0000}"/>
    <cellStyle name="Note 2 8 8 3" xfId="29205" xr:uid="{00000000-0005-0000-0000-0000BF5D0000}"/>
    <cellStyle name="Note 2 8 8 3 2" xfId="22390" xr:uid="{00000000-0005-0000-0000-0000C05D0000}"/>
    <cellStyle name="Note 2 8 8 3 3" xfId="29206" xr:uid="{00000000-0005-0000-0000-0000C15D0000}"/>
    <cellStyle name="Note 2 8 8 3 4" xfId="29207" xr:uid="{00000000-0005-0000-0000-0000C25D0000}"/>
    <cellStyle name="Note 2 8 8 4" xfId="29208" xr:uid="{00000000-0005-0000-0000-0000C35D0000}"/>
    <cellStyle name="Note 2 8 8 4 2" xfId="22415" xr:uid="{00000000-0005-0000-0000-0000C45D0000}"/>
    <cellStyle name="Note 2 8 8 4 3" xfId="29210" xr:uid="{00000000-0005-0000-0000-0000C55D0000}"/>
    <cellStyle name="Note 2 8 8 5" xfId="29211" xr:uid="{00000000-0005-0000-0000-0000C65D0000}"/>
    <cellStyle name="Note 2 8 8 5 2" xfId="22448" xr:uid="{00000000-0005-0000-0000-0000C75D0000}"/>
    <cellStyle name="Note 2 8 8 5 3" xfId="29213" xr:uid="{00000000-0005-0000-0000-0000C85D0000}"/>
    <cellStyle name="Note 2 8 8 6" xfId="29214" xr:uid="{00000000-0005-0000-0000-0000C95D0000}"/>
    <cellStyle name="Note 2 8 8 7" xfId="29216" xr:uid="{00000000-0005-0000-0000-0000CA5D0000}"/>
    <cellStyle name="Note 2 8 9" xfId="29218" xr:uid="{00000000-0005-0000-0000-0000CB5D0000}"/>
    <cellStyle name="Note 2 8 9 2" xfId="29220" xr:uid="{00000000-0005-0000-0000-0000CC5D0000}"/>
    <cellStyle name="Note 2 8 9 2 2" xfId="22596" xr:uid="{00000000-0005-0000-0000-0000CD5D0000}"/>
    <cellStyle name="Note 2 8 9 2 3" xfId="29221" xr:uid="{00000000-0005-0000-0000-0000CE5D0000}"/>
    <cellStyle name="Note 2 8 9 2 4" xfId="29222" xr:uid="{00000000-0005-0000-0000-0000CF5D0000}"/>
    <cellStyle name="Note 2 8 9 3" xfId="29223" xr:uid="{00000000-0005-0000-0000-0000D05D0000}"/>
    <cellStyle name="Note 2 8 9 3 2" xfId="22617" xr:uid="{00000000-0005-0000-0000-0000D15D0000}"/>
    <cellStyle name="Note 2 8 9 3 3" xfId="29224" xr:uid="{00000000-0005-0000-0000-0000D25D0000}"/>
    <cellStyle name="Note 2 8 9 3 4" xfId="29225" xr:uid="{00000000-0005-0000-0000-0000D35D0000}"/>
    <cellStyle name="Note 2 8 9 4" xfId="29226" xr:uid="{00000000-0005-0000-0000-0000D45D0000}"/>
    <cellStyle name="Note 2 8 9 4 2" xfId="22636" xr:uid="{00000000-0005-0000-0000-0000D55D0000}"/>
    <cellStyle name="Note 2 8 9 4 3" xfId="29228" xr:uid="{00000000-0005-0000-0000-0000D65D0000}"/>
    <cellStyle name="Note 2 8 9 5" xfId="29229" xr:uid="{00000000-0005-0000-0000-0000D75D0000}"/>
    <cellStyle name="Note 2 8 9 5 2" xfId="22662" xr:uid="{00000000-0005-0000-0000-0000D85D0000}"/>
    <cellStyle name="Note 2 8 9 5 3" xfId="29231" xr:uid="{00000000-0005-0000-0000-0000D95D0000}"/>
    <cellStyle name="Note 2 8 9 6" xfId="29233" xr:uid="{00000000-0005-0000-0000-0000DA5D0000}"/>
    <cellStyle name="Note 2 8 9 7" xfId="29235" xr:uid="{00000000-0005-0000-0000-0000DB5D0000}"/>
    <cellStyle name="Note 2 9" xfId="13960" xr:uid="{00000000-0005-0000-0000-0000DC5D0000}"/>
    <cellStyle name="Note 2 9 10" xfId="23379" xr:uid="{00000000-0005-0000-0000-0000DD5D0000}"/>
    <cellStyle name="Note 2 9 10 2" xfId="448" xr:uid="{00000000-0005-0000-0000-0000DE5D0000}"/>
    <cellStyle name="Note 2 9 10 2 2" xfId="12576" xr:uid="{00000000-0005-0000-0000-0000DF5D0000}"/>
    <cellStyle name="Note 2 9 10 2 3" xfId="12581" xr:uid="{00000000-0005-0000-0000-0000E05D0000}"/>
    <cellStyle name="Note 2 9 10 2 4" xfId="12589" xr:uid="{00000000-0005-0000-0000-0000E15D0000}"/>
    <cellStyle name="Note 2 9 10 3" xfId="458" xr:uid="{00000000-0005-0000-0000-0000E25D0000}"/>
    <cellStyle name="Note 2 9 10 3 2" xfId="12609" xr:uid="{00000000-0005-0000-0000-0000E35D0000}"/>
    <cellStyle name="Note 2 9 10 3 3" xfId="12614" xr:uid="{00000000-0005-0000-0000-0000E45D0000}"/>
    <cellStyle name="Note 2 9 10 3 4" xfId="12621" xr:uid="{00000000-0005-0000-0000-0000E55D0000}"/>
    <cellStyle name="Note 2 9 10 4" xfId="12412" xr:uid="{00000000-0005-0000-0000-0000E65D0000}"/>
    <cellStyle name="Note 2 9 10 4 2" xfId="12645" xr:uid="{00000000-0005-0000-0000-0000E75D0000}"/>
    <cellStyle name="Note 2 9 10 4 3" xfId="12655" xr:uid="{00000000-0005-0000-0000-0000E85D0000}"/>
    <cellStyle name="Note 2 9 10 5" xfId="12416" xr:uid="{00000000-0005-0000-0000-0000E95D0000}"/>
    <cellStyle name="Note 2 9 10 5 2" xfId="16837" xr:uid="{00000000-0005-0000-0000-0000EA5D0000}"/>
    <cellStyle name="Note 2 9 10 5 3" xfId="29237" xr:uid="{00000000-0005-0000-0000-0000EB5D0000}"/>
    <cellStyle name="Note 2 9 10 6" xfId="29239" xr:uid="{00000000-0005-0000-0000-0000EC5D0000}"/>
    <cellStyle name="Note 2 9 10 7" xfId="29241" xr:uid="{00000000-0005-0000-0000-0000ED5D0000}"/>
    <cellStyle name="Note 2 9 11" xfId="29244" xr:uid="{00000000-0005-0000-0000-0000EE5D0000}"/>
    <cellStyle name="Note 2 9 11 2" xfId="29247" xr:uid="{00000000-0005-0000-0000-0000EF5D0000}"/>
    <cellStyle name="Note 2 9 11 2 2" xfId="13349" xr:uid="{00000000-0005-0000-0000-0000F05D0000}"/>
    <cellStyle name="Note 2 9 11 2 3" xfId="13353" xr:uid="{00000000-0005-0000-0000-0000F15D0000}"/>
    <cellStyle name="Note 2 9 11 2 4" xfId="13358" xr:uid="{00000000-0005-0000-0000-0000F25D0000}"/>
    <cellStyle name="Note 2 9 11 3" xfId="29250" xr:uid="{00000000-0005-0000-0000-0000F35D0000}"/>
    <cellStyle name="Note 2 9 11 3 2" xfId="13371" xr:uid="{00000000-0005-0000-0000-0000F45D0000}"/>
    <cellStyle name="Note 2 9 11 3 3" xfId="13373" xr:uid="{00000000-0005-0000-0000-0000F55D0000}"/>
    <cellStyle name="Note 2 9 11 3 4" xfId="13377" xr:uid="{00000000-0005-0000-0000-0000F65D0000}"/>
    <cellStyle name="Note 2 9 11 4" xfId="29253" xr:uid="{00000000-0005-0000-0000-0000F75D0000}"/>
    <cellStyle name="Note 2 9 11 4 2" xfId="13390" xr:uid="{00000000-0005-0000-0000-0000F85D0000}"/>
    <cellStyle name="Note 2 9 11 4 3" xfId="13393" xr:uid="{00000000-0005-0000-0000-0000F95D0000}"/>
    <cellStyle name="Note 2 9 11 5" xfId="29256" xr:uid="{00000000-0005-0000-0000-0000FA5D0000}"/>
    <cellStyle name="Note 2 9 11 5 2" xfId="16861" xr:uid="{00000000-0005-0000-0000-0000FB5D0000}"/>
    <cellStyle name="Note 2 9 11 5 3" xfId="29258" xr:uid="{00000000-0005-0000-0000-0000FC5D0000}"/>
    <cellStyle name="Note 2 9 11 6" xfId="29260" xr:uid="{00000000-0005-0000-0000-0000FD5D0000}"/>
    <cellStyle name="Note 2 9 11 7" xfId="29262" xr:uid="{00000000-0005-0000-0000-0000FE5D0000}"/>
    <cellStyle name="Note 2 9 12" xfId="29265" xr:uid="{00000000-0005-0000-0000-0000FF5D0000}"/>
    <cellStyle name="Note 2 9 12 2" xfId="29268" xr:uid="{00000000-0005-0000-0000-0000005E0000}"/>
    <cellStyle name="Note 2 9 12 2 2" xfId="13977" xr:uid="{00000000-0005-0000-0000-0000015E0000}"/>
    <cellStyle name="Note 2 9 12 2 3" xfId="13981" xr:uid="{00000000-0005-0000-0000-0000025E0000}"/>
    <cellStyle name="Note 2 9 12 2 4" xfId="13986" xr:uid="{00000000-0005-0000-0000-0000035E0000}"/>
    <cellStyle name="Note 2 9 12 3" xfId="29271" xr:uid="{00000000-0005-0000-0000-0000045E0000}"/>
    <cellStyle name="Note 2 9 12 3 2" xfId="13998" xr:uid="{00000000-0005-0000-0000-0000055E0000}"/>
    <cellStyle name="Note 2 9 12 3 3" xfId="14002" xr:uid="{00000000-0005-0000-0000-0000065E0000}"/>
    <cellStyle name="Note 2 9 12 3 4" xfId="14007" xr:uid="{00000000-0005-0000-0000-0000075E0000}"/>
    <cellStyle name="Note 2 9 12 4" xfId="29274" xr:uid="{00000000-0005-0000-0000-0000085E0000}"/>
    <cellStyle name="Note 2 9 12 4 2" xfId="14022" xr:uid="{00000000-0005-0000-0000-0000095E0000}"/>
    <cellStyle name="Note 2 9 12 4 3" xfId="14027" xr:uid="{00000000-0005-0000-0000-00000A5E0000}"/>
    <cellStyle name="Note 2 9 12 5" xfId="29277" xr:uid="{00000000-0005-0000-0000-00000B5E0000}"/>
    <cellStyle name="Note 2 9 12 5 2" xfId="16895" xr:uid="{00000000-0005-0000-0000-00000C5E0000}"/>
    <cellStyle name="Note 2 9 12 5 3" xfId="24951" xr:uid="{00000000-0005-0000-0000-00000D5E0000}"/>
    <cellStyle name="Note 2 9 12 6" xfId="29279" xr:uid="{00000000-0005-0000-0000-00000E5E0000}"/>
    <cellStyle name="Note 2 9 12 7" xfId="29281" xr:uid="{00000000-0005-0000-0000-00000F5E0000}"/>
    <cellStyle name="Note 2 9 13" xfId="19251" xr:uid="{00000000-0005-0000-0000-0000105E0000}"/>
    <cellStyle name="Note 2 9 13 2" xfId="20903" xr:uid="{00000000-0005-0000-0000-0000115E0000}"/>
    <cellStyle name="Note 2 9 13 3" xfId="20907" xr:uid="{00000000-0005-0000-0000-0000125E0000}"/>
    <cellStyle name="Note 2 9 13 4" xfId="28711" xr:uid="{00000000-0005-0000-0000-0000135E0000}"/>
    <cellStyle name="Note 2 9 14" xfId="29283" xr:uid="{00000000-0005-0000-0000-0000145E0000}"/>
    <cellStyle name="Note 2 9 14 2" xfId="20911" xr:uid="{00000000-0005-0000-0000-0000155E0000}"/>
    <cellStyle name="Note 2 9 14 3" xfId="20915" xr:uid="{00000000-0005-0000-0000-0000165E0000}"/>
    <cellStyle name="Note 2 9 14 4" xfId="28715" xr:uid="{00000000-0005-0000-0000-0000175E0000}"/>
    <cellStyle name="Note 2 9 15" xfId="29286" xr:uid="{00000000-0005-0000-0000-0000185E0000}"/>
    <cellStyle name="Note 2 9 15 2" xfId="20919" xr:uid="{00000000-0005-0000-0000-0000195E0000}"/>
    <cellStyle name="Note 2 9 15 3" xfId="28719" xr:uid="{00000000-0005-0000-0000-00001A5E0000}"/>
    <cellStyle name="Note 2 9 16" xfId="29289" xr:uid="{00000000-0005-0000-0000-00001B5E0000}"/>
    <cellStyle name="Note 2 9 16 2" xfId="20922" xr:uid="{00000000-0005-0000-0000-00001C5E0000}"/>
    <cellStyle name="Note 2 9 16 3" xfId="28723" xr:uid="{00000000-0005-0000-0000-00001D5E0000}"/>
    <cellStyle name="Note 2 9 17" xfId="29291" xr:uid="{00000000-0005-0000-0000-00001E5E0000}"/>
    <cellStyle name="Note 2 9 18" xfId="29292" xr:uid="{00000000-0005-0000-0000-00001F5E0000}"/>
    <cellStyle name="Note 2 9 19" xfId="29293" xr:uid="{00000000-0005-0000-0000-0000205E0000}"/>
    <cellStyle name="Note 2 9 2" xfId="13963" xr:uid="{00000000-0005-0000-0000-0000215E0000}"/>
    <cellStyle name="Note 2 9 2 10" xfId="29294" xr:uid="{00000000-0005-0000-0000-0000225E0000}"/>
    <cellStyle name="Note 2 9 2 10 2" xfId="29297" xr:uid="{00000000-0005-0000-0000-0000235E0000}"/>
    <cellStyle name="Note 2 9 2 10 2 2" xfId="22858" xr:uid="{00000000-0005-0000-0000-0000245E0000}"/>
    <cellStyle name="Note 2 9 2 10 2 3" xfId="29298" xr:uid="{00000000-0005-0000-0000-0000255E0000}"/>
    <cellStyle name="Note 2 9 2 10 2 4" xfId="29299" xr:uid="{00000000-0005-0000-0000-0000265E0000}"/>
    <cellStyle name="Note 2 9 2 10 3" xfId="29300" xr:uid="{00000000-0005-0000-0000-0000275E0000}"/>
    <cellStyle name="Note 2 9 2 10 3 2" xfId="22864" xr:uid="{00000000-0005-0000-0000-0000285E0000}"/>
    <cellStyle name="Note 2 9 2 10 3 3" xfId="29301" xr:uid="{00000000-0005-0000-0000-0000295E0000}"/>
    <cellStyle name="Note 2 9 2 10 3 4" xfId="29302" xr:uid="{00000000-0005-0000-0000-00002A5E0000}"/>
    <cellStyle name="Note 2 9 2 10 4" xfId="26512" xr:uid="{00000000-0005-0000-0000-00002B5E0000}"/>
    <cellStyle name="Note 2 9 2 10 4 2" xfId="26514" xr:uid="{00000000-0005-0000-0000-00002C5E0000}"/>
    <cellStyle name="Note 2 9 2 10 4 3" xfId="26516" xr:uid="{00000000-0005-0000-0000-00002D5E0000}"/>
    <cellStyle name="Note 2 9 2 10 5" xfId="26519" xr:uid="{00000000-0005-0000-0000-00002E5E0000}"/>
    <cellStyle name="Note 2 9 2 10 5 2" xfId="26521" xr:uid="{00000000-0005-0000-0000-00002F5E0000}"/>
    <cellStyle name="Note 2 9 2 10 5 3" xfId="26523" xr:uid="{00000000-0005-0000-0000-0000305E0000}"/>
    <cellStyle name="Note 2 9 2 10 6" xfId="26526" xr:uid="{00000000-0005-0000-0000-0000315E0000}"/>
    <cellStyle name="Note 2 9 2 10 7" xfId="25868" xr:uid="{00000000-0005-0000-0000-0000325E0000}"/>
    <cellStyle name="Note 2 9 2 11" xfId="29303" xr:uid="{00000000-0005-0000-0000-0000335E0000}"/>
    <cellStyle name="Note 2 9 2 11 2" xfId="29306" xr:uid="{00000000-0005-0000-0000-0000345E0000}"/>
    <cellStyle name="Note 2 9 2 11 3" xfId="29307" xr:uid="{00000000-0005-0000-0000-0000355E0000}"/>
    <cellStyle name="Note 2 9 2 11 4" xfId="26530" xr:uid="{00000000-0005-0000-0000-0000365E0000}"/>
    <cellStyle name="Note 2 9 2 12" xfId="29308" xr:uid="{00000000-0005-0000-0000-0000375E0000}"/>
    <cellStyle name="Note 2 9 2 12 2" xfId="29310" xr:uid="{00000000-0005-0000-0000-0000385E0000}"/>
    <cellStyle name="Note 2 9 2 12 3" xfId="29311" xr:uid="{00000000-0005-0000-0000-0000395E0000}"/>
    <cellStyle name="Note 2 9 2 12 4" xfId="26535" xr:uid="{00000000-0005-0000-0000-00003A5E0000}"/>
    <cellStyle name="Note 2 9 2 13" xfId="29312" xr:uid="{00000000-0005-0000-0000-00003B5E0000}"/>
    <cellStyle name="Note 2 9 2 13 2" xfId="29313" xr:uid="{00000000-0005-0000-0000-00003C5E0000}"/>
    <cellStyle name="Note 2 9 2 13 3" xfId="29314" xr:uid="{00000000-0005-0000-0000-00003D5E0000}"/>
    <cellStyle name="Note 2 9 2 14" xfId="29315" xr:uid="{00000000-0005-0000-0000-00003E5E0000}"/>
    <cellStyle name="Note 2 9 2 14 2" xfId="29316" xr:uid="{00000000-0005-0000-0000-00003F5E0000}"/>
    <cellStyle name="Note 2 9 2 14 3" xfId="29317" xr:uid="{00000000-0005-0000-0000-0000405E0000}"/>
    <cellStyle name="Note 2 9 2 15" xfId="29318" xr:uid="{00000000-0005-0000-0000-0000415E0000}"/>
    <cellStyle name="Note 2 9 2 16" xfId="1647" xr:uid="{00000000-0005-0000-0000-0000425E0000}"/>
    <cellStyle name="Note 2 9 2 2" xfId="3772" xr:uid="{00000000-0005-0000-0000-0000435E0000}"/>
    <cellStyle name="Note 2 9 2 2 2" xfId="3776" xr:uid="{00000000-0005-0000-0000-0000445E0000}"/>
    <cellStyle name="Note 2 9 2 2 2 2" xfId="28842" xr:uid="{00000000-0005-0000-0000-0000455E0000}"/>
    <cellStyle name="Note 2 9 2 2 2 3" xfId="28846" xr:uid="{00000000-0005-0000-0000-0000465E0000}"/>
    <cellStyle name="Note 2 9 2 2 2 4" xfId="28851" xr:uid="{00000000-0005-0000-0000-0000475E0000}"/>
    <cellStyle name="Note 2 9 2 2 3" xfId="3785" xr:uid="{00000000-0005-0000-0000-0000485E0000}"/>
    <cellStyle name="Note 2 9 2 2 3 2" xfId="28858" xr:uid="{00000000-0005-0000-0000-0000495E0000}"/>
    <cellStyle name="Note 2 9 2 2 3 3" xfId="18074" xr:uid="{00000000-0005-0000-0000-00004A5E0000}"/>
    <cellStyle name="Note 2 9 2 2 3 4" xfId="18077" xr:uid="{00000000-0005-0000-0000-00004B5E0000}"/>
    <cellStyle name="Note 2 9 2 2 4" xfId="28860" xr:uid="{00000000-0005-0000-0000-00004C5E0000}"/>
    <cellStyle name="Note 2 9 2 2 4 2" xfId="28863" xr:uid="{00000000-0005-0000-0000-00004D5E0000}"/>
    <cellStyle name="Note 2 9 2 2 4 3" xfId="18085" xr:uid="{00000000-0005-0000-0000-00004E5E0000}"/>
    <cellStyle name="Note 2 9 2 2 5" xfId="28865" xr:uid="{00000000-0005-0000-0000-00004F5E0000}"/>
    <cellStyle name="Note 2 9 2 2 5 2" xfId="28867" xr:uid="{00000000-0005-0000-0000-0000505E0000}"/>
    <cellStyle name="Note 2 9 2 2 5 3" xfId="18094" xr:uid="{00000000-0005-0000-0000-0000515E0000}"/>
    <cellStyle name="Note 2 9 2 2 6" xfId="28869" xr:uid="{00000000-0005-0000-0000-0000525E0000}"/>
    <cellStyle name="Note 2 9 2 2 7" xfId="28872" xr:uid="{00000000-0005-0000-0000-0000535E0000}"/>
    <cellStyle name="Note 2 9 2 3" xfId="3791" xr:uid="{00000000-0005-0000-0000-0000545E0000}"/>
    <cellStyle name="Note 2 9 2 3 2" xfId="3796" xr:uid="{00000000-0005-0000-0000-0000555E0000}"/>
    <cellStyle name="Note 2 9 2 3 2 2" xfId="29319" xr:uid="{00000000-0005-0000-0000-0000565E0000}"/>
    <cellStyle name="Note 2 9 2 3 2 3" xfId="29320" xr:uid="{00000000-0005-0000-0000-0000575E0000}"/>
    <cellStyle name="Note 2 9 2 3 2 4" xfId="14206" xr:uid="{00000000-0005-0000-0000-0000585E0000}"/>
    <cellStyle name="Note 2 9 2 3 3" xfId="1705" xr:uid="{00000000-0005-0000-0000-0000595E0000}"/>
    <cellStyle name="Note 2 9 2 3 3 2" xfId="29321" xr:uid="{00000000-0005-0000-0000-00005A5E0000}"/>
    <cellStyle name="Note 2 9 2 3 3 3" xfId="18117" xr:uid="{00000000-0005-0000-0000-00005B5E0000}"/>
    <cellStyle name="Note 2 9 2 3 3 4" xfId="18119" xr:uid="{00000000-0005-0000-0000-00005C5E0000}"/>
    <cellStyle name="Note 2 9 2 3 4" xfId="29322" xr:uid="{00000000-0005-0000-0000-00005D5E0000}"/>
    <cellStyle name="Note 2 9 2 3 4 2" xfId="29324" xr:uid="{00000000-0005-0000-0000-00005E5E0000}"/>
    <cellStyle name="Note 2 9 2 3 4 3" xfId="18125" xr:uid="{00000000-0005-0000-0000-00005F5E0000}"/>
    <cellStyle name="Note 2 9 2 3 5" xfId="13187" xr:uid="{00000000-0005-0000-0000-0000605E0000}"/>
    <cellStyle name="Note 2 9 2 3 5 2" xfId="29325" xr:uid="{00000000-0005-0000-0000-0000615E0000}"/>
    <cellStyle name="Note 2 9 2 3 5 3" xfId="18131" xr:uid="{00000000-0005-0000-0000-0000625E0000}"/>
    <cellStyle name="Note 2 9 2 3 6" xfId="13189" xr:uid="{00000000-0005-0000-0000-0000635E0000}"/>
    <cellStyle name="Note 2 9 2 3 7" xfId="13191" xr:uid="{00000000-0005-0000-0000-0000645E0000}"/>
    <cellStyle name="Note 2 9 2 4" xfId="3803" xr:uid="{00000000-0005-0000-0000-0000655E0000}"/>
    <cellStyle name="Note 2 9 2 4 2" xfId="26399" xr:uid="{00000000-0005-0000-0000-0000665E0000}"/>
    <cellStyle name="Note 2 9 2 4 2 2" xfId="26403" xr:uid="{00000000-0005-0000-0000-0000675E0000}"/>
    <cellStyle name="Note 2 9 2 4 2 3" xfId="26409" xr:uid="{00000000-0005-0000-0000-0000685E0000}"/>
    <cellStyle name="Note 2 9 2 4 2 4" xfId="26415" xr:uid="{00000000-0005-0000-0000-0000695E0000}"/>
    <cellStyle name="Note 2 9 2 4 3" xfId="26426" xr:uid="{00000000-0005-0000-0000-00006A5E0000}"/>
    <cellStyle name="Note 2 9 2 4 3 2" xfId="26429" xr:uid="{00000000-0005-0000-0000-00006B5E0000}"/>
    <cellStyle name="Note 2 9 2 4 3 3" xfId="18146" xr:uid="{00000000-0005-0000-0000-00006C5E0000}"/>
    <cellStyle name="Note 2 9 2 4 3 4" xfId="18149" xr:uid="{00000000-0005-0000-0000-00006D5E0000}"/>
    <cellStyle name="Note 2 9 2 4 4" xfId="26438" xr:uid="{00000000-0005-0000-0000-00006E5E0000}"/>
    <cellStyle name="Note 2 9 2 4 4 2" xfId="23140" xr:uid="{00000000-0005-0000-0000-00006F5E0000}"/>
    <cellStyle name="Note 2 9 2 4 4 3" xfId="18157" xr:uid="{00000000-0005-0000-0000-0000705E0000}"/>
    <cellStyle name="Note 2 9 2 4 5" xfId="13194" xr:uid="{00000000-0005-0000-0000-0000715E0000}"/>
    <cellStyle name="Note 2 9 2 4 5 2" xfId="29326" xr:uid="{00000000-0005-0000-0000-0000725E0000}"/>
    <cellStyle name="Note 2 9 2 4 5 3" xfId="18165" xr:uid="{00000000-0005-0000-0000-0000735E0000}"/>
    <cellStyle name="Note 2 9 2 4 6" xfId="13196" xr:uid="{00000000-0005-0000-0000-0000745E0000}"/>
    <cellStyle name="Note 2 9 2 4 7" xfId="13198" xr:uid="{00000000-0005-0000-0000-0000755E0000}"/>
    <cellStyle name="Note 2 9 2 5" xfId="3806" xr:uid="{00000000-0005-0000-0000-0000765E0000}"/>
    <cellStyle name="Note 2 9 2 5 2" xfId="26984" xr:uid="{00000000-0005-0000-0000-0000775E0000}"/>
    <cellStyle name="Note 2 9 2 5 2 2" xfId="26987" xr:uid="{00000000-0005-0000-0000-0000785E0000}"/>
    <cellStyle name="Note 2 9 2 5 2 3" xfId="26989" xr:uid="{00000000-0005-0000-0000-0000795E0000}"/>
    <cellStyle name="Note 2 9 2 5 2 4" xfId="2085" xr:uid="{00000000-0005-0000-0000-00007A5E0000}"/>
    <cellStyle name="Note 2 9 2 5 3" xfId="26998" xr:uid="{00000000-0005-0000-0000-00007B5E0000}"/>
    <cellStyle name="Note 2 9 2 5 3 2" xfId="27001" xr:uid="{00000000-0005-0000-0000-00007C5E0000}"/>
    <cellStyle name="Note 2 9 2 5 3 3" xfId="18179" xr:uid="{00000000-0005-0000-0000-00007D5E0000}"/>
    <cellStyle name="Note 2 9 2 5 3 4" xfId="18182" xr:uid="{00000000-0005-0000-0000-00007E5E0000}"/>
    <cellStyle name="Note 2 9 2 5 4" xfId="27005" xr:uid="{00000000-0005-0000-0000-00007F5E0000}"/>
    <cellStyle name="Note 2 9 2 5 4 2" xfId="27008" xr:uid="{00000000-0005-0000-0000-0000805E0000}"/>
    <cellStyle name="Note 2 9 2 5 4 3" xfId="18188" xr:uid="{00000000-0005-0000-0000-0000815E0000}"/>
    <cellStyle name="Note 2 9 2 5 5" xfId="13201" xr:uid="{00000000-0005-0000-0000-0000825E0000}"/>
    <cellStyle name="Note 2 9 2 5 5 2" xfId="29327" xr:uid="{00000000-0005-0000-0000-0000835E0000}"/>
    <cellStyle name="Note 2 9 2 5 5 3" xfId="18195" xr:uid="{00000000-0005-0000-0000-0000845E0000}"/>
    <cellStyle name="Note 2 9 2 5 6" xfId="13204" xr:uid="{00000000-0005-0000-0000-0000855E0000}"/>
    <cellStyle name="Note 2 9 2 5 7" xfId="29328" xr:uid="{00000000-0005-0000-0000-0000865E0000}"/>
    <cellStyle name="Note 2 9 2 6" xfId="29329" xr:uid="{00000000-0005-0000-0000-0000875E0000}"/>
    <cellStyle name="Note 2 9 2 6 2" xfId="27402" xr:uid="{00000000-0005-0000-0000-0000885E0000}"/>
    <cellStyle name="Note 2 9 2 6 2 2" xfId="9632" xr:uid="{00000000-0005-0000-0000-0000895E0000}"/>
    <cellStyle name="Note 2 9 2 6 2 3" xfId="27407" xr:uid="{00000000-0005-0000-0000-00008A5E0000}"/>
    <cellStyle name="Note 2 9 2 6 2 4" xfId="27414" xr:uid="{00000000-0005-0000-0000-00008B5E0000}"/>
    <cellStyle name="Note 2 9 2 6 3" xfId="27421" xr:uid="{00000000-0005-0000-0000-00008C5E0000}"/>
    <cellStyle name="Note 2 9 2 6 3 2" xfId="27425" xr:uid="{00000000-0005-0000-0000-00008D5E0000}"/>
    <cellStyle name="Note 2 9 2 6 3 3" xfId="27431" xr:uid="{00000000-0005-0000-0000-00008E5E0000}"/>
    <cellStyle name="Note 2 9 2 6 3 4" xfId="27435" xr:uid="{00000000-0005-0000-0000-00008F5E0000}"/>
    <cellStyle name="Note 2 9 2 6 4" xfId="27440" xr:uid="{00000000-0005-0000-0000-0000905E0000}"/>
    <cellStyle name="Note 2 9 2 6 4 2" xfId="27445" xr:uid="{00000000-0005-0000-0000-0000915E0000}"/>
    <cellStyle name="Note 2 9 2 6 4 3" xfId="27450" xr:uid="{00000000-0005-0000-0000-0000925E0000}"/>
    <cellStyle name="Note 2 9 2 6 5" xfId="13207" xr:uid="{00000000-0005-0000-0000-0000935E0000}"/>
    <cellStyle name="Note 2 9 2 6 5 2" xfId="29331" xr:uid="{00000000-0005-0000-0000-0000945E0000}"/>
    <cellStyle name="Note 2 9 2 6 5 3" xfId="29332" xr:uid="{00000000-0005-0000-0000-0000955E0000}"/>
    <cellStyle name="Note 2 9 2 6 6" xfId="13211" xr:uid="{00000000-0005-0000-0000-0000965E0000}"/>
    <cellStyle name="Note 2 9 2 6 7" xfId="29333" xr:uid="{00000000-0005-0000-0000-0000975E0000}"/>
    <cellStyle name="Note 2 9 2 7" xfId="29334" xr:uid="{00000000-0005-0000-0000-0000985E0000}"/>
    <cellStyle name="Note 2 9 2 7 2" xfId="27790" xr:uid="{00000000-0005-0000-0000-0000995E0000}"/>
    <cellStyle name="Note 2 9 2 7 2 2" xfId="9659" xr:uid="{00000000-0005-0000-0000-00009A5E0000}"/>
    <cellStyle name="Note 2 9 2 7 2 3" xfId="27797" xr:uid="{00000000-0005-0000-0000-00009B5E0000}"/>
    <cellStyle name="Note 2 9 2 7 2 4" xfId="2123" xr:uid="{00000000-0005-0000-0000-00009C5E0000}"/>
    <cellStyle name="Note 2 9 2 7 3" xfId="27813" xr:uid="{00000000-0005-0000-0000-00009D5E0000}"/>
    <cellStyle name="Note 2 9 2 7 3 2" xfId="27819" xr:uid="{00000000-0005-0000-0000-00009E5E0000}"/>
    <cellStyle name="Note 2 9 2 7 3 3" xfId="27825" xr:uid="{00000000-0005-0000-0000-00009F5E0000}"/>
    <cellStyle name="Note 2 9 2 7 3 4" xfId="27831" xr:uid="{00000000-0005-0000-0000-0000A05E0000}"/>
    <cellStyle name="Note 2 9 2 7 4" xfId="27839" xr:uid="{00000000-0005-0000-0000-0000A15E0000}"/>
    <cellStyle name="Note 2 9 2 7 4 2" xfId="27845" xr:uid="{00000000-0005-0000-0000-0000A25E0000}"/>
    <cellStyle name="Note 2 9 2 7 4 3" xfId="27848" xr:uid="{00000000-0005-0000-0000-0000A35E0000}"/>
    <cellStyle name="Note 2 9 2 7 5" xfId="28975" xr:uid="{00000000-0005-0000-0000-0000A45E0000}"/>
    <cellStyle name="Note 2 9 2 7 5 2" xfId="28978" xr:uid="{00000000-0005-0000-0000-0000A55E0000}"/>
    <cellStyle name="Note 2 9 2 7 5 3" xfId="28980" xr:uid="{00000000-0005-0000-0000-0000A65E0000}"/>
    <cellStyle name="Note 2 9 2 7 6" xfId="28982" xr:uid="{00000000-0005-0000-0000-0000A75E0000}"/>
    <cellStyle name="Note 2 9 2 7 7" xfId="28986" xr:uid="{00000000-0005-0000-0000-0000A85E0000}"/>
    <cellStyle name="Note 2 9 2 8" xfId="29336" xr:uid="{00000000-0005-0000-0000-0000A95E0000}"/>
    <cellStyle name="Note 2 9 2 8 2" xfId="28266" xr:uid="{00000000-0005-0000-0000-0000AA5E0000}"/>
    <cellStyle name="Note 2 9 2 8 2 2" xfId="9684" xr:uid="{00000000-0005-0000-0000-0000AB5E0000}"/>
    <cellStyle name="Note 2 9 2 8 2 3" xfId="28270" xr:uid="{00000000-0005-0000-0000-0000AC5E0000}"/>
    <cellStyle name="Note 2 9 2 8 2 4" xfId="28276" xr:uid="{00000000-0005-0000-0000-0000AD5E0000}"/>
    <cellStyle name="Note 2 9 2 8 3" xfId="28283" xr:uid="{00000000-0005-0000-0000-0000AE5E0000}"/>
    <cellStyle name="Note 2 9 2 8 3 2" xfId="28288" xr:uid="{00000000-0005-0000-0000-0000AF5E0000}"/>
    <cellStyle name="Note 2 9 2 8 3 3" xfId="28295" xr:uid="{00000000-0005-0000-0000-0000B05E0000}"/>
    <cellStyle name="Note 2 9 2 8 3 4" xfId="28300" xr:uid="{00000000-0005-0000-0000-0000B15E0000}"/>
    <cellStyle name="Note 2 9 2 8 4" xfId="28305" xr:uid="{00000000-0005-0000-0000-0000B25E0000}"/>
    <cellStyle name="Note 2 9 2 8 4 2" xfId="28310" xr:uid="{00000000-0005-0000-0000-0000B35E0000}"/>
    <cellStyle name="Note 2 9 2 8 4 3" xfId="28315" xr:uid="{00000000-0005-0000-0000-0000B45E0000}"/>
    <cellStyle name="Note 2 9 2 8 5" xfId="29337" xr:uid="{00000000-0005-0000-0000-0000B55E0000}"/>
    <cellStyle name="Note 2 9 2 8 5 2" xfId="29339" xr:uid="{00000000-0005-0000-0000-0000B65E0000}"/>
    <cellStyle name="Note 2 9 2 8 5 3" xfId="29340" xr:uid="{00000000-0005-0000-0000-0000B75E0000}"/>
    <cellStyle name="Note 2 9 2 8 6" xfId="29341" xr:uid="{00000000-0005-0000-0000-0000B85E0000}"/>
    <cellStyle name="Note 2 9 2 8 7" xfId="29342" xr:uid="{00000000-0005-0000-0000-0000B95E0000}"/>
    <cellStyle name="Note 2 9 2 9" xfId="29343" xr:uid="{00000000-0005-0000-0000-0000BA5E0000}"/>
    <cellStyle name="Note 2 9 2 9 2" xfId="28751" xr:uid="{00000000-0005-0000-0000-0000BB5E0000}"/>
    <cellStyle name="Note 2 9 2 9 2 2" xfId="9711" xr:uid="{00000000-0005-0000-0000-0000BC5E0000}"/>
    <cellStyle name="Note 2 9 2 9 2 3" xfId="28754" xr:uid="{00000000-0005-0000-0000-0000BD5E0000}"/>
    <cellStyle name="Note 2 9 2 9 2 4" xfId="28759" xr:uid="{00000000-0005-0000-0000-0000BE5E0000}"/>
    <cellStyle name="Note 2 9 2 9 3" xfId="28767" xr:uid="{00000000-0005-0000-0000-0000BF5E0000}"/>
    <cellStyle name="Note 2 9 2 9 3 2" xfId="28771" xr:uid="{00000000-0005-0000-0000-0000C05E0000}"/>
    <cellStyle name="Note 2 9 2 9 3 3" xfId="28774" xr:uid="{00000000-0005-0000-0000-0000C15E0000}"/>
    <cellStyle name="Note 2 9 2 9 3 4" xfId="28778" xr:uid="{00000000-0005-0000-0000-0000C25E0000}"/>
    <cellStyle name="Note 2 9 2 9 4" xfId="28785" xr:uid="{00000000-0005-0000-0000-0000C35E0000}"/>
    <cellStyle name="Note 2 9 2 9 4 2" xfId="28789" xr:uid="{00000000-0005-0000-0000-0000C45E0000}"/>
    <cellStyle name="Note 2 9 2 9 4 3" xfId="28792" xr:uid="{00000000-0005-0000-0000-0000C55E0000}"/>
    <cellStyle name="Note 2 9 2 9 5" xfId="29344" xr:uid="{00000000-0005-0000-0000-0000C65E0000}"/>
    <cellStyle name="Note 2 9 2 9 5 2" xfId="29345" xr:uid="{00000000-0005-0000-0000-0000C75E0000}"/>
    <cellStyle name="Note 2 9 2 9 5 3" xfId="29346" xr:uid="{00000000-0005-0000-0000-0000C85E0000}"/>
    <cellStyle name="Note 2 9 2 9 6" xfId="29347" xr:uid="{00000000-0005-0000-0000-0000C95E0000}"/>
    <cellStyle name="Note 2 9 2 9 7" xfId="29349" xr:uid="{00000000-0005-0000-0000-0000CA5E0000}"/>
    <cellStyle name="Note 2 9 20" xfId="29287" xr:uid="{00000000-0005-0000-0000-0000CB5E0000}"/>
    <cellStyle name="Note 2 9 3" xfId="13968" xr:uid="{00000000-0005-0000-0000-0000CC5E0000}"/>
    <cellStyle name="Note 2 9 3 10" xfId="29351" xr:uid="{00000000-0005-0000-0000-0000CD5E0000}"/>
    <cellStyle name="Note 2 9 3 10 2" xfId="29352" xr:uid="{00000000-0005-0000-0000-0000CE5E0000}"/>
    <cellStyle name="Note 2 9 3 10 2 2" xfId="23131" xr:uid="{00000000-0005-0000-0000-0000CF5E0000}"/>
    <cellStyle name="Note 2 9 3 10 2 3" xfId="29353" xr:uid="{00000000-0005-0000-0000-0000D05E0000}"/>
    <cellStyle name="Note 2 9 3 10 2 4" xfId="29354" xr:uid="{00000000-0005-0000-0000-0000D15E0000}"/>
    <cellStyle name="Note 2 9 3 10 3" xfId="29355" xr:uid="{00000000-0005-0000-0000-0000D25E0000}"/>
    <cellStyle name="Note 2 9 3 10 3 2" xfId="23134" xr:uid="{00000000-0005-0000-0000-0000D35E0000}"/>
    <cellStyle name="Note 2 9 3 10 3 3" xfId="29356" xr:uid="{00000000-0005-0000-0000-0000D45E0000}"/>
    <cellStyle name="Note 2 9 3 10 3 4" xfId="29357" xr:uid="{00000000-0005-0000-0000-0000D55E0000}"/>
    <cellStyle name="Note 2 9 3 10 4" xfId="27045" xr:uid="{00000000-0005-0000-0000-0000D65E0000}"/>
    <cellStyle name="Note 2 9 3 10 4 2" xfId="27049" xr:uid="{00000000-0005-0000-0000-0000D75E0000}"/>
    <cellStyle name="Note 2 9 3 10 4 3" xfId="27051" xr:uid="{00000000-0005-0000-0000-0000D85E0000}"/>
    <cellStyle name="Note 2 9 3 10 5" xfId="27054" xr:uid="{00000000-0005-0000-0000-0000D95E0000}"/>
    <cellStyle name="Note 2 9 3 10 5 2" xfId="11049" xr:uid="{00000000-0005-0000-0000-0000DA5E0000}"/>
    <cellStyle name="Note 2 9 3 10 5 3" xfId="11066" xr:uid="{00000000-0005-0000-0000-0000DB5E0000}"/>
    <cellStyle name="Note 2 9 3 10 6" xfId="27058" xr:uid="{00000000-0005-0000-0000-0000DC5E0000}"/>
    <cellStyle name="Note 2 9 3 10 7" xfId="25956" xr:uid="{00000000-0005-0000-0000-0000DD5E0000}"/>
    <cellStyle name="Note 2 9 3 11" xfId="29358" xr:uid="{00000000-0005-0000-0000-0000DE5E0000}"/>
    <cellStyle name="Note 2 9 3 11 2" xfId="29361" xr:uid="{00000000-0005-0000-0000-0000DF5E0000}"/>
    <cellStyle name="Note 2 9 3 11 3" xfId="29362" xr:uid="{00000000-0005-0000-0000-0000E05E0000}"/>
    <cellStyle name="Note 2 9 3 11 4" xfId="27066" xr:uid="{00000000-0005-0000-0000-0000E15E0000}"/>
    <cellStyle name="Note 2 9 3 12" xfId="29363" xr:uid="{00000000-0005-0000-0000-0000E25E0000}"/>
    <cellStyle name="Note 2 9 3 12 2" xfId="16336" xr:uid="{00000000-0005-0000-0000-0000E35E0000}"/>
    <cellStyle name="Note 2 9 3 12 3" xfId="16352" xr:uid="{00000000-0005-0000-0000-0000E45E0000}"/>
    <cellStyle name="Note 2 9 3 12 4" xfId="16358" xr:uid="{00000000-0005-0000-0000-0000E55E0000}"/>
    <cellStyle name="Note 2 9 3 13" xfId="29366" xr:uid="{00000000-0005-0000-0000-0000E65E0000}"/>
    <cellStyle name="Note 2 9 3 13 2" xfId="29368" xr:uid="{00000000-0005-0000-0000-0000E75E0000}"/>
    <cellStyle name="Note 2 9 3 13 3" xfId="29369" xr:uid="{00000000-0005-0000-0000-0000E85E0000}"/>
    <cellStyle name="Note 2 9 3 14" xfId="29370" xr:uid="{00000000-0005-0000-0000-0000E95E0000}"/>
    <cellStyle name="Note 2 9 3 14 2" xfId="29371" xr:uid="{00000000-0005-0000-0000-0000EA5E0000}"/>
    <cellStyle name="Note 2 9 3 14 3" xfId="29372" xr:uid="{00000000-0005-0000-0000-0000EB5E0000}"/>
    <cellStyle name="Note 2 9 3 15" xfId="29373" xr:uid="{00000000-0005-0000-0000-0000EC5E0000}"/>
    <cellStyle name="Note 2 9 3 16" xfId="10762" xr:uid="{00000000-0005-0000-0000-0000ED5E0000}"/>
    <cellStyle name="Note 2 9 3 2" xfId="3847" xr:uid="{00000000-0005-0000-0000-0000EE5E0000}"/>
    <cellStyle name="Note 2 9 3 2 2" xfId="3852" xr:uid="{00000000-0005-0000-0000-0000EF5E0000}"/>
    <cellStyle name="Note 2 9 3 2 2 2" xfId="5931" xr:uid="{00000000-0005-0000-0000-0000F05E0000}"/>
    <cellStyle name="Note 2 9 3 2 2 3" xfId="5957" xr:uid="{00000000-0005-0000-0000-0000F15E0000}"/>
    <cellStyle name="Note 2 9 3 2 2 4" xfId="5977" xr:uid="{00000000-0005-0000-0000-0000F25E0000}"/>
    <cellStyle name="Note 2 9 3 2 3" xfId="3862" xr:uid="{00000000-0005-0000-0000-0000F35E0000}"/>
    <cellStyle name="Note 2 9 3 2 3 2" xfId="1157" xr:uid="{00000000-0005-0000-0000-0000F45E0000}"/>
    <cellStyle name="Note 2 9 3 2 3 3" xfId="1163" xr:uid="{00000000-0005-0000-0000-0000F55E0000}"/>
    <cellStyle name="Note 2 9 3 2 3 4" xfId="1168" xr:uid="{00000000-0005-0000-0000-0000F65E0000}"/>
    <cellStyle name="Note 2 9 3 2 4" xfId="15596" xr:uid="{00000000-0005-0000-0000-0000F75E0000}"/>
    <cellStyle name="Note 2 9 3 2 4 2" xfId="6214" xr:uid="{00000000-0005-0000-0000-0000F85E0000}"/>
    <cellStyle name="Note 2 9 3 2 4 3" xfId="15606" xr:uid="{00000000-0005-0000-0000-0000F95E0000}"/>
    <cellStyle name="Note 2 9 3 2 5" xfId="15632" xr:uid="{00000000-0005-0000-0000-0000FA5E0000}"/>
    <cellStyle name="Note 2 9 3 2 5 2" xfId="9" xr:uid="{00000000-0005-0000-0000-0000FB5E0000}"/>
    <cellStyle name="Note 2 9 3 2 5 3" xfId="15640" xr:uid="{00000000-0005-0000-0000-0000FC5E0000}"/>
    <cellStyle name="Note 2 9 3 2 6" xfId="15661" xr:uid="{00000000-0005-0000-0000-0000FD5E0000}"/>
    <cellStyle name="Note 2 9 3 2 7" xfId="15692" xr:uid="{00000000-0005-0000-0000-0000FE5E0000}"/>
    <cellStyle name="Note 2 9 3 3" xfId="3869" xr:uid="{00000000-0005-0000-0000-0000FF5E0000}"/>
    <cellStyle name="Note 2 9 3 3 2" xfId="3875" xr:uid="{00000000-0005-0000-0000-0000005F0000}"/>
    <cellStyle name="Note 2 9 3 3 2 2" xfId="6437" xr:uid="{00000000-0005-0000-0000-0000015F0000}"/>
    <cellStyle name="Note 2 9 3 3 2 3" xfId="6470" xr:uid="{00000000-0005-0000-0000-0000025F0000}"/>
    <cellStyle name="Note 2 9 3 3 2 4" xfId="4283" xr:uid="{00000000-0005-0000-0000-0000035F0000}"/>
    <cellStyle name="Note 2 9 3 3 3" xfId="3884" xr:uid="{00000000-0005-0000-0000-0000045F0000}"/>
    <cellStyle name="Note 2 9 3 3 3 2" xfId="6665" xr:uid="{00000000-0005-0000-0000-0000055F0000}"/>
    <cellStyle name="Note 2 9 3 3 3 3" xfId="6541" xr:uid="{00000000-0005-0000-0000-0000065F0000}"/>
    <cellStyle name="Note 2 9 3 3 3 4" xfId="1819" xr:uid="{00000000-0005-0000-0000-0000075F0000}"/>
    <cellStyle name="Note 2 9 3 3 4" xfId="16211" xr:uid="{00000000-0005-0000-0000-0000085F0000}"/>
    <cellStyle name="Note 2 9 3 3 4 2" xfId="6741" xr:uid="{00000000-0005-0000-0000-0000095F0000}"/>
    <cellStyle name="Note 2 9 3 3 4 3" xfId="16225" xr:uid="{00000000-0005-0000-0000-00000A5F0000}"/>
    <cellStyle name="Note 2 9 3 3 5" xfId="13219" xr:uid="{00000000-0005-0000-0000-00000B5F0000}"/>
    <cellStyle name="Note 2 9 3 3 5 2" xfId="6307" xr:uid="{00000000-0005-0000-0000-00000C5F0000}"/>
    <cellStyle name="Note 2 9 3 3 5 3" xfId="16247" xr:uid="{00000000-0005-0000-0000-00000D5F0000}"/>
    <cellStyle name="Note 2 9 3 3 6" xfId="13224" xr:uid="{00000000-0005-0000-0000-00000E5F0000}"/>
    <cellStyle name="Note 2 9 3 3 7" xfId="13229" xr:uid="{00000000-0005-0000-0000-00000F5F0000}"/>
    <cellStyle name="Note 2 9 3 4" xfId="3891" xr:uid="{00000000-0005-0000-0000-0000105F0000}"/>
    <cellStyle name="Note 2 9 3 4 2" xfId="16828" xr:uid="{00000000-0005-0000-0000-0000115F0000}"/>
    <cellStyle name="Note 2 9 3 4 2 2" xfId="1606" xr:uid="{00000000-0005-0000-0000-0000125F0000}"/>
    <cellStyle name="Note 2 9 3 4 2 3" xfId="16833" xr:uid="{00000000-0005-0000-0000-0000135F0000}"/>
    <cellStyle name="Note 2 9 3 4 2 4" xfId="16840" xr:uid="{00000000-0005-0000-0000-0000145F0000}"/>
    <cellStyle name="Note 2 9 3 4 3" xfId="16852" xr:uid="{00000000-0005-0000-0000-0000155F0000}"/>
    <cellStyle name="Note 2 9 3 4 3 2" xfId="6837" xr:uid="{00000000-0005-0000-0000-0000165F0000}"/>
    <cellStyle name="Note 2 9 3 4 3 3" xfId="16856" xr:uid="{00000000-0005-0000-0000-0000175F0000}"/>
    <cellStyle name="Note 2 9 3 4 3 4" xfId="16866" xr:uid="{00000000-0005-0000-0000-0000185F0000}"/>
    <cellStyle name="Note 2 9 3 4 4" xfId="16883" xr:uid="{00000000-0005-0000-0000-0000195F0000}"/>
    <cellStyle name="Note 2 9 3 4 4 2" xfId="6858" xr:uid="{00000000-0005-0000-0000-00001A5F0000}"/>
    <cellStyle name="Note 2 9 3 4 4 3" xfId="16887" xr:uid="{00000000-0005-0000-0000-00001B5F0000}"/>
    <cellStyle name="Note 2 9 3 4 5" xfId="13234" xr:uid="{00000000-0005-0000-0000-00001C5F0000}"/>
    <cellStyle name="Note 2 9 3 4 5 2" xfId="284" xr:uid="{00000000-0005-0000-0000-00001D5F0000}"/>
    <cellStyle name="Note 2 9 3 4 5 3" xfId="16922" xr:uid="{00000000-0005-0000-0000-00001E5F0000}"/>
    <cellStyle name="Note 2 9 3 4 6" xfId="13238" xr:uid="{00000000-0005-0000-0000-00001F5F0000}"/>
    <cellStyle name="Note 2 9 3 4 7" xfId="13242" xr:uid="{00000000-0005-0000-0000-0000205F0000}"/>
    <cellStyle name="Note 2 9 3 5" xfId="1985" xr:uid="{00000000-0005-0000-0000-0000215F0000}"/>
    <cellStyle name="Note 2 9 3 5 2" xfId="17505" xr:uid="{00000000-0005-0000-0000-0000225F0000}"/>
    <cellStyle name="Note 2 9 3 5 2 2" xfId="1996" xr:uid="{00000000-0005-0000-0000-0000235F0000}"/>
    <cellStyle name="Note 2 9 3 5 2 3" xfId="17513" xr:uid="{00000000-0005-0000-0000-0000245F0000}"/>
    <cellStyle name="Note 2 9 3 5 2 4" xfId="17520" xr:uid="{00000000-0005-0000-0000-0000255F0000}"/>
    <cellStyle name="Note 2 9 3 5 3" xfId="17533" xr:uid="{00000000-0005-0000-0000-0000265F0000}"/>
    <cellStyle name="Note 2 9 3 5 3 2" xfId="7039" xr:uid="{00000000-0005-0000-0000-0000275F0000}"/>
    <cellStyle name="Note 2 9 3 5 3 3" xfId="17541" xr:uid="{00000000-0005-0000-0000-0000285F0000}"/>
    <cellStyle name="Note 2 9 3 5 3 4" xfId="17548" xr:uid="{00000000-0005-0000-0000-0000295F0000}"/>
    <cellStyle name="Note 2 9 3 5 4" xfId="17567" xr:uid="{00000000-0005-0000-0000-00002A5F0000}"/>
    <cellStyle name="Note 2 9 3 5 4 2" xfId="7058" xr:uid="{00000000-0005-0000-0000-00002B5F0000}"/>
    <cellStyle name="Note 2 9 3 5 4 3" xfId="17580" xr:uid="{00000000-0005-0000-0000-00002C5F0000}"/>
    <cellStyle name="Note 2 9 3 5 5" xfId="13247" xr:uid="{00000000-0005-0000-0000-00002D5F0000}"/>
    <cellStyle name="Note 2 9 3 5 5 2" xfId="7092" xr:uid="{00000000-0005-0000-0000-00002E5F0000}"/>
    <cellStyle name="Note 2 9 3 5 5 3" xfId="17621" xr:uid="{00000000-0005-0000-0000-00002F5F0000}"/>
    <cellStyle name="Note 2 9 3 5 6" xfId="13253" xr:uid="{00000000-0005-0000-0000-0000305F0000}"/>
    <cellStyle name="Note 2 9 3 5 7" xfId="17670" xr:uid="{00000000-0005-0000-0000-0000315F0000}"/>
    <cellStyle name="Note 2 9 3 6" xfId="29374" xr:uid="{00000000-0005-0000-0000-0000325F0000}"/>
    <cellStyle name="Note 2 9 3 6 2" xfId="17789" xr:uid="{00000000-0005-0000-0000-0000335F0000}"/>
    <cellStyle name="Note 2 9 3 6 2 2" xfId="17792" xr:uid="{00000000-0005-0000-0000-0000345F0000}"/>
    <cellStyle name="Note 2 9 3 6 2 3" xfId="17800" xr:uid="{00000000-0005-0000-0000-0000355F0000}"/>
    <cellStyle name="Note 2 9 3 6 2 4" xfId="17806" xr:uid="{00000000-0005-0000-0000-0000365F0000}"/>
    <cellStyle name="Note 2 9 3 6 3" xfId="17811" xr:uid="{00000000-0005-0000-0000-0000375F0000}"/>
    <cellStyle name="Note 2 9 3 6 3 2" xfId="17815" xr:uid="{00000000-0005-0000-0000-0000385F0000}"/>
    <cellStyle name="Note 2 9 3 6 3 3" xfId="17824" xr:uid="{00000000-0005-0000-0000-0000395F0000}"/>
    <cellStyle name="Note 2 9 3 6 3 4" xfId="17832" xr:uid="{00000000-0005-0000-0000-00003A5F0000}"/>
    <cellStyle name="Note 2 9 3 6 4" xfId="17849" xr:uid="{00000000-0005-0000-0000-00003B5F0000}"/>
    <cellStyle name="Note 2 9 3 6 4 2" xfId="17853" xr:uid="{00000000-0005-0000-0000-00003C5F0000}"/>
    <cellStyle name="Note 2 9 3 6 4 3" xfId="17861" xr:uid="{00000000-0005-0000-0000-00003D5F0000}"/>
    <cellStyle name="Note 2 9 3 6 5" xfId="13260" xr:uid="{00000000-0005-0000-0000-00003E5F0000}"/>
    <cellStyle name="Note 2 9 3 6 5 2" xfId="17884" xr:uid="{00000000-0005-0000-0000-00003F5F0000}"/>
    <cellStyle name="Note 2 9 3 6 5 3" xfId="17890" xr:uid="{00000000-0005-0000-0000-0000405F0000}"/>
    <cellStyle name="Note 2 9 3 6 6" xfId="13266" xr:uid="{00000000-0005-0000-0000-0000415F0000}"/>
    <cellStyle name="Note 2 9 3 6 7" xfId="17911" xr:uid="{00000000-0005-0000-0000-0000425F0000}"/>
    <cellStyle name="Note 2 9 3 7" xfId="29376" xr:uid="{00000000-0005-0000-0000-0000435F0000}"/>
    <cellStyle name="Note 2 9 3 7 2" xfId="17998" xr:uid="{00000000-0005-0000-0000-0000445F0000}"/>
    <cellStyle name="Note 2 9 3 7 2 2" xfId="18001" xr:uid="{00000000-0005-0000-0000-0000455F0000}"/>
    <cellStyle name="Note 2 9 3 7 2 3" xfId="18008" xr:uid="{00000000-0005-0000-0000-0000465F0000}"/>
    <cellStyle name="Note 2 9 3 7 2 4" xfId="18014" xr:uid="{00000000-0005-0000-0000-0000475F0000}"/>
    <cellStyle name="Note 2 9 3 7 3" xfId="18029" xr:uid="{00000000-0005-0000-0000-0000485F0000}"/>
    <cellStyle name="Note 2 9 3 7 3 2" xfId="18034" xr:uid="{00000000-0005-0000-0000-0000495F0000}"/>
    <cellStyle name="Note 2 9 3 7 3 3" xfId="18042" xr:uid="{00000000-0005-0000-0000-00004A5F0000}"/>
    <cellStyle name="Note 2 9 3 7 3 4" xfId="18049" xr:uid="{00000000-0005-0000-0000-00004B5F0000}"/>
    <cellStyle name="Note 2 9 3 7 4" xfId="18066" xr:uid="{00000000-0005-0000-0000-00004C5F0000}"/>
    <cellStyle name="Note 2 9 3 7 4 2" xfId="18071" xr:uid="{00000000-0005-0000-0000-00004D5F0000}"/>
    <cellStyle name="Note 2 9 3 7 4 3" xfId="18082" xr:uid="{00000000-0005-0000-0000-00004E5F0000}"/>
    <cellStyle name="Note 2 9 3 7 5" xfId="18111" xr:uid="{00000000-0005-0000-0000-00004F5F0000}"/>
    <cellStyle name="Note 2 9 3 7 5 2" xfId="18115" xr:uid="{00000000-0005-0000-0000-0000505F0000}"/>
    <cellStyle name="Note 2 9 3 7 5 3" xfId="18123" xr:uid="{00000000-0005-0000-0000-0000515F0000}"/>
    <cellStyle name="Note 2 9 3 7 6" xfId="18141" xr:uid="{00000000-0005-0000-0000-0000525F0000}"/>
    <cellStyle name="Note 2 9 3 7 7" xfId="18175" xr:uid="{00000000-0005-0000-0000-0000535F0000}"/>
    <cellStyle name="Note 2 9 3 8" xfId="29378" xr:uid="{00000000-0005-0000-0000-0000545F0000}"/>
    <cellStyle name="Note 2 9 3 8 2" xfId="18228" xr:uid="{00000000-0005-0000-0000-0000555F0000}"/>
    <cellStyle name="Note 2 9 3 8 2 2" xfId="18231" xr:uid="{00000000-0005-0000-0000-0000565F0000}"/>
    <cellStyle name="Note 2 9 3 8 2 3" xfId="18234" xr:uid="{00000000-0005-0000-0000-0000575F0000}"/>
    <cellStyle name="Note 2 9 3 8 2 4" xfId="29379" xr:uid="{00000000-0005-0000-0000-0000585F0000}"/>
    <cellStyle name="Note 2 9 3 8 3" xfId="18237" xr:uid="{00000000-0005-0000-0000-0000595F0000}"/>
    <cellStyle name="Note 2 9 3 8 3 2" xfId="18242" xr:uid="{00000000-0005-0000-0000-00005A5F0000}"/>
    <cellStyle name="Note 2 9 3 8 3 3" xfId="18246" xr:uid="{00000000-0005-0000-0000-00005B5F0000}"/>
    <cellStyle name="Note 2 9 3 8 3 4" xfId="20363" xr:uid="{00000000-0005-0000-0000-00005C5F0000}"/>
    <cellStyle name="Note 2 9 3 8 4" xfId="18249" xr:uid="{00000000-0005-0000-0000-00005D5F0000}"/>
    <cellStyle name="Note 2 9 3 8 4 2" xfId="29380" xr:uid="{00000000-0005-0000-0000-00005E5F0000}"/>
    <cellStyle name="Note 2 9 3 8 4 3" xfId="20367" xr:uid="{00000000-0005-0000-0000-00005F5F0000}"/>
    <cellStyle name="Note 2 9 3 8 5" xfId="18255" xr:uid="{00000000-0005-0000-0000-0000605F0000}"/>
    <cellStyle name="Note 2 9 3 8 5 2" xfId="29381" xr:uid="{00000000-0005-0000-0000-0000615F0000}"/>
    <cellStyle name="Note 2 9 3 8 5 3" xfId="20372" xr:uid="{00000000-0005-0000-0000-0000625F0000}"/>
    <cellStyle name="Note 2 9 3 8 6" xfId="18260" xr:uid="{00000000-0005-0000-0000-0000635F0000}"/>
    <cellStyle name="Note 2 9 3 8 7" xfId="29382" xr:uid="{00000000-0005-0000-0000-0000645F0000}"/>
    <cellStyle name="Note 2 9 3 9" xfId="29384" xr:uid="{00000000-0005-0000-0000-0000655F0000}"/>
    <cellStyle name="Note 2 9 3 9 2" xfId="18284" xr:uid="{00000000-0005-0000-0000-0000665F0000}"/>
    <cellStyle name="Note 2 9 3 9 2 2" xfId="14073" xr:uid="{00000000-0005-0000-0000-0000675F0000}"/>
    <cellStyle name="Note 2 9 3 9 2 3" xfId="14077" xr:uid="{00000000-0005-0000-0000-0000685F0000}"/>
    <cellStyle name="Note 2 9 3 9 2 4" xfId="14079" xr:uid="{00000000-0005-0000-0000-0000695F0000}"/>
    <cellStyle name="Note 2 9 3 9 3" xfId="18287" xr:uid="{00000000-0005-0000-0000-00006A5F0000}"/>
    <cellStyle name="Note 2 9 3 9 3 2" xfId="18291" xr:uid="{00000000-0005-0000-0000-00006B5F0000}"/>
    <cellStyle name="Note 2 9 3 9 3 3" xfId="18294" xr:uid="{00000000-0005-0000-0000-00006C5F0000}"/>
    <cellStyle name="Note 2 9 3 9 3 4" xfId="29385" xr:uid="{00000000-0005-0000-0000-00006D5F0000}"/>
    <cellStyle name="Note 2 9 3 9 4" xfId="18297" xr:uid="{00000000-0005-0000-0000-00006E5F0000}"/>
    <cellStyle name="Note 2 9 3 9 4 2" xfId="29386" xr:uid="{00000000-0005-0000-0000-00006F5F0000}"/>
    <cellStyle name="Note 2 9 3 9 4 3" xfId="29387" xr:uid="{00000000-0005-0000-0000-0000705F0000}"/>
    <cellStyle name="Note 2 9 3 9 5" xfId="18302" xr:uid="{00000000-0005-0000-0000-0000715F0000}"/>
    <cellStyle name="Note 2 9 3 9 5 2" xfId="29389" xr:uid="{00000000-0005-0000-0000-0000725F0000}"/>
    <cellStyle name="Note 2 9 3 9 5 3" xfId="29391" xr:uid="{00000000-0005-0000-0000-0000735F0000}"/>
    <cellStyle name="Note 2 9 3 9 6" xfId="18306" xr:uid="{00000000-0005-0000-0000-0000745F0000}"/>
    <cellStyle name="Note 2 9 3 9 7" xfId="29392" xr:uid="{00000000-0005-0000-0000-0000755F0000}"/>
    <cellStyle name="Note 2 9 4" xfId="26041" xr:uid="{00000000-0005-0000-0000-0000765F0000}"/>
    <cellStyle name="Note 2 9 4 2" xfId="29394" xr:uid="{00000000-0005-0000-0000-0000775F0000}"/>
    <cellStyle name="Note 2 9 4 2 2" xfId="7509" xr:uid="{00000000-0005-0000-0000-0000785F0000}"/>
    <cellStyle name="Note 2 9 4 2 3" xfId="29396" xr:uid="{00000000-0005-0000-0000-0000795F0000}"/>
    <cellStyle name="Note 2 9 4 2 4" xfId="29400" xr:uid="{00000000-0005-0000-0000-00007A5F0000}"/>
    <cellStyle name="Note 2 9 4 3" xfId="29403" xr:uid="{00000000-0005-0000-0000-00007B5F0000}"/>
    <cellStyle name="Note 2 9 4 3 2" xfId="7522" xr:uid="{00000000-0005-0000-0000-00007C5F0000}"/>
    <cellStyle name="Note 2 9 4 3 3" xfId="29405" xr:uid="{00000000-0005-0000-0000-00007D5F0000}"/>
    <cellStyle name="Note 2 9 4 3 4" xfId="29407" xr:uid="{00000000-0005-0000-0000-00007E5F0000}"/>
    <cellStyle name="Note 2 9 4 4" xfId="29409" xr:uid="{00000000-0005-0000-0000-00007F5F0000}"/>
    <cellStyle name="Note 2 9 4 4 2" xfId="29411" xr:uid="{00000000-0005-0000-0000-0000805F0000}"/>
    <cellStyle name="Note 2 9 4 4 3" xfId="29413" xr:uid="{00000000-0005-0000-0000-0000815F0000}"/>
    <cellStyle name="Note 2 9 4 5" xfId="29414" xr:uid="{00000000-0005-0000-0000-0000825F0000}"/>
    <cellStyle name="Note 2 9 4 5 2" xfId="29415" xr:uid="{00000000-0005-0000-0000-0000835F0000}"/>
    <cellStyle name="Note 2 9 4 5 3" xfId="29416" xr:uid="{00000000-0005-0000-0000-0000845F0000}"/>
    <cellStyle name="Note 2 9 4 6" xfId="29418" xr:uid="{00000000-0005-0000-0000-0000855F0000}"/>
    <cellStyle name="Note 2 9 4 7" xfId="29419" xr:uid="{00000000-0005-0000-0000-0000865F0000}"/>
    <cellStyle name="Note 2 9 5" xfId="26044" xr:uid="{00000000-0005-0000-0000-0000875F0000}"/>
    <cellStyle name="Note 2 9 5 2" xfId="29421" xr:uid="{00000000-0005-0000-0000-0000885F0000}"/>
    <cellStyle name="Note 2 9 5 2 2" xfId="29423" xr:uid="{00000000-0005-0000-0000-0000895F0000}"/>
    <cellStyle name="Note 2 9 5 2 3" xfId="29425" xr:uid="{00000000-0005-0000-0000-00008A5F0000}"/>
    <cellStyle name="Note 2 9 5 2 4" xfId="29427" xr:uid="{00000000-0005-0000-0000-00008B5F0000}"/>
    <cellStyle name="Note 2 9 5 3" xfId="29428" xr:uid="{00000000-0005-0000-0000-00008C5F0000}"/>
    <cellStyle name="Note 2 9 5 3 2" xfId="29430" xr:uid="{00000000-0005-0000-0000-00008D5F0000}"/>
    <cellStyle name="Note 2 9 5 3 3" xfId="29432" xr:uid="{00000000-0005-0000-0000-00008E5F0000}"/>
    <cellStyle name="Note 2 9 5 3 4" xfId="29433" xr:uid="{00000000-0005-0000-0000-00008F5F0000}"/>
    <cellStyle name="Note 2 9 5 4" xfId="29434" xr:uid="{00000000-0005-0000-0000-0000905F0000}"/>
    <cellStyle name="Note 2 9 5 4 2" xfId="29436" xr:uid="{00000000-0005-0000-0000-0000915F0000}"/>
    <cellStyle name="Note 2 9 5 4 3" xfId="29438" xr:uid="{00000000-0005-0000-0000-0000925F0000}"/>
    <cellStyle name="Note 2 9 5 5" xfId="29439" xr:uid="{00000000-0005-0000-0000-0000935F0000}"/>
    <cellStyle name="Note 2 9 5 5 2" xfId="29440" xr:uid="{00000000-0005-0000-0000-0000945F0000}"/>
    <cellStyle name="Note 2 9 5 5 3" xfId="29441" xr:uid="{00000000-0005-0000-0000-0000955F0000}"/>
    <cellStyle name="Note 2 9 5 6" xfId="29443" xr:uid="{00000000-0005-0000-0000-0000965F0000}"/>
    <cellStyle name="Note 2 9 5 7" xfId="29444" xr:uid="{00000000-0005-0000-0000-0000975F0000}"/>
    <cellStyle name="Note 2 9 6" xfId="29446" xr:uid="{00000000-0005-0000-0000-0000985F0000}"/>
    <cellStyle name="Note 2 9 6 2" xfId="9755" xr:uid="{00000000-0005-0000-0000-0000995F0000}"/>
    <cellStyle name="Note 2 9 6 2 2" xfId="29450" xr:uid="{00000000-0005-0000-0000-00009A5F0000}"/>
    <cellStyle name="Note 2 9 6 2 3" xfId="29453" xr:uid="{00000000-0005-0000-0000-00009B5F0000}"/>
    <cellStyle name="Note 2 9 6 2 4" xfId="29456" xr:uid="{00000000-0005-0000-0000-00009C5F0000}"/>
    <cellStyle name="Note 2 9 6 3" xfId="8199" xr:uid="{00000000-0005-0000-0000-00009D5F0000}"/>
    <cellStyle name="Note 2 9 6 3 2" xfId="29458" xr:uid="{00000000-0005-0000-0000-00009E5F0000}"/>
    <cellStyle name="Note 2 9 6 3 3" xfId="29461" xr:uid="{00000000-0005-0000-0000-00009F5F0000}"/>
    <cellStyle name="Note 2 9 6 3 4" xfId="29463" xr:uid="{00000000-0005-0000-0000-0000A05F0000}"/>
    <cellStyle name="Note 2 9 6 4" xfId="29465" xr:uid="{00000000-0005-0000-0000-0000A15F0000}"/>
    <cellStyle name="Note 2 9 6 4 2" xfId="29467" xr:uid="{00000000-0005-0000-0000-0000A25F0000}"/>
    <cellStyle name="Note 2 9 6 4 3" xfId="29470" xr:uid="{00000000-0005-0000-0000-0000A35F0000}"/>
    <cellStyle name="Note 2 9 6 5" xfId="29472" xr:uid="{00000000-0005-0000-0000-0000A45F0000}"/>
    <cellStyle name="Note 2 9 6 5 2" xfId="29474" xr:uid="{00000000-0005-0000-0000-0000A55F0000}"/>
    <cellStyle name="Note 2 9 6 5 3" xfId="29477" xr:uid="{00000000-0005-0000-0000-0000A65F0000}"/>
    <cellStyle name="Note 2 9 6 6" xfId="29481" xr:uid="{00000000-0005-0000-0000-0000A75F0000}"/>
    <cellStyle name="Note 2 9 6 7" xfId="29483" xr:uid="{00000000-0005-0000-0000-0000A85F0000}"/>
    <cellStyle name="Note 2 9 7" xfId="29486" xr:uid="{00000000-0005-0000-0000-0000A95F0000}"/>
    <cellStyle name="Note 2 9 7 2" xfId="9762" xr:uid="{00000000-0005-0000-0000-0000AA5F0000}"/>
    <cellStyle name="Note 2 9 7 2 2" xfId="29295" xr:uid="{00000000-0005-0000-0000-0000AB5F0000}"/>
    <cellStyle name="Note 2 9 7 2 3" xfId="29304" xr:uid="{00000000-0005-0000-0000-0000AC5F0000}"/>
    <cellStyle name="Note 2 9 7 2 4" xfId="29309" xr:uid="{00000000-0005-0000-0000-0000AD5F0000}"/>
    <cellStyle name="Note 2 9 7 3" xfId="29488" xr:uid="{00000000-0005-0000-0000-0000AE5F0000}"/>
    <cellStyle name="Note 2 9 7 3 2" xfId="29490" xr:uid="{00000000-0005-0000-0000-0000AF5F0000}"/>
    <cellStyle name="Note 2 9 7 3 3" xfId="29492" xr:uid="{00000000-0005-0000-0000-0000B05F0000}"/>
    <cellStyle name="Note 2 9 7 3 4" xfId="29493" xr:uid="{00000000-0005-0000-0000-0000B15F0000}"/>
    <cellStyle name="Note 2 9 7 4" xfId="29494" xr:uid="{00000000-0005-0000-0000-0000B25F0000}"/>
    <cellStyle name="Note 2 9 7 4 2" xfId="29495" xr:uid="{00000000-0005-0000-0000-0000B35F0000}"/>
    <cellStyle name="Note 2 9 7 4 3" xfId="29497" xr:uid="{00000000-0005-0000-0000-0000B45F0000}"/>
    <cellStyle name="Note 2 9 7 5" xfId="29498" xr:uid="{00000000-0005-0000-0000-0000B55F0000}"/>
    <cellStyle name="Note 2 9 7 5 2" xfId="29499" xr:uid="{00000000-0005-0000-0000-0000B65F0000}"/>
    <cellStyle name="Note 2 9 7 5 3" xfId="29501" xr:uid="{00000000-0005-0000-0000-0000B75F0000}"/>
    <cellStyle name="Note 2 9 7 6" xfId="29504" xr:uid="{00000000-0005-0000-0000-0000B85F0000}"/>
    <cellStyle name="Note 2 9 7 7" xfId="29505" xr:uid="{00000000-0005-0000-0000-0000B95F0000}"/>
    <cellStyle name="Note 2 9 8" xfId="29508" xr:uid="{00000000-0005-0000-0000-0000BA5F0000}"/>
    <cellStyle name="Note 2 9 8 2" xfId="29510" xr:uid="{00000000-0005-0000-0000-0000BB5F0000}"/>
    <cellStyle name="Note 2 9 8 2 2" xfId="22985" xr:uid="{00000000-0005-0000-0000-0000BC5F0000}"/>
    <cellStyle name="Note 2 9 8 2 3" xfId="29512" xr:uid="{00000000-0005-0000-0000-0000BD5F0000}"/>
    <cellStyle name="Note 2 9 8 2 4" xfId="29515" xr:uid="{00000000-0005-0000-0000-0000BE5F0000}"/>
    <cellStyle name="Note 2 9 8 3" xfId="29516" xr:uid="{00000000-0005-0000-0000-0000BF5F0000}"/>
    <cellStyle name="Note 2 9 8 3 2" xfId="23004" xr:uid="{00000000-0005-0000-0000-0000C05F0000}"/>
    <cellStyle name="Note 2 9 8 3 3" xfId="29517" xr:uid="{00000000-0005-0000-0000-0000C15F0000}"/>
    <cellStyle name="Note 2 9 8 3 4" xfId="29518" xr:uid="{00000000-0005-0000-0000-0000C25F0000}"/>
    <cellStyle name="Note 2 9 8 4" xfId="29519" xr:uid="{00000000-0005-0000-0000-0000C35F0000}"/>
    <cellStyle name="Note 2 9 8 4 2" xfId="23029" xr:uid="{00000000-0005-0000-0000-0000C45F0000}"/>
    <cellStyle name="Note 2 9 8 4 3" xfId="29520" xr:uid="{00000000-0005-0000-0000-0000C55F0000}"/>
    <cellStyle name="Note 2 9 8 5" xfId="29521" xr:uid="{00000000-0005-0000-0000-0000C65F0000}"/>
    <cellStyle name="Note 2 9 8 5 2" xfId="23083" xr:uid="{00000000-0005-0000-0000-0000C75F0000}"/>
    <cellStyle name="Note 2 9 8 5 3" xfId="29522" xr:uid="{00000000-0005-0000-0000-0000C85F0000}"/>
    <cellStyle name="Note 2 9 8 6" xfId="29524" xr:uid="{00000000-0005-0000-0000-0000C95F0000}"/>
    <cellStyle name="Note 2 9 8 7" xfId="29525" xr:uid="{00000000-0005-0000-0000-0000CA5F0000}"/>
    <cellStyle name="Note 2 9 9" xfId="29527" xr:uid="{00000000-0005-0000-0000-0000CB5F0000}"/>
    <cellStyle name="Note 2 9 9 2" xfId="29529" xr:uid="{00000000-0005-0000-0000-0000CC5F0000}"/>
    <cellStyle name="Note 2 9 9 2 2" xfId="23227" xr:uid="{00000000-0005-0000-0000-0000CD5F0000}"/>
    <cellStyle name="Note 2 9 9 2 3" xfId="29530" xr:uid="{00000000-0005-0000-0000-0000CE5F0000}"/>
    <cellStyle name="Note 2 9 9 2 4" xfId="29532" xr:uid="{00000000-0005-0000-0000-0000CF5F0000}"/>
    <cellStyle name="Note 2 9 9 3" xfId="29533" xr:uid="{00000000-0005-0000-0000-0000D05F0000}"/>
    <cellStyle name="Note 2 9 9 3 2" xfId="23259" xr:uid="{00000000-0005-0000-0000-0000D15F0000}"/>
    <cellStyle name="Note 2 9 9 3 3" xfId="29534" xr:uid="{00000000-0005-0000-0000-0000D25F0000}"/>
    <cellStyle name="Note 2 9 9 3 4" xfId="29536" xr:uid="{00000000-0005-0000-0000-0000D35F0000}"/>
    <cellStyle name="Note 2 9 9 4" xfId="29537" xr:uid="{00000000-0005-0000-0000-0000D45F0000}"/>
    <cellStyle name="Note 2 9 9 4 2" xfId="23285" xr:uid="{00000000-0005-0000-0000-0000D55F0000}"/>
    <cellStyle name="Note 2 9 9 4 3" xfId="29538" xr:uid="{00000000-0005-0000-0000-0000D65F0000}"/>
    <cellStyle name="Note 2 9 9 5" xfId="29539" xr:uid="{00000000-0005-0000-0000-0000D75F0000}"/>
    <cellStyle name="Note 2 9 9 5 2" xfId="23344" xr:uid="{00000000-0005-0000-0000-0000D85F0000}"/>
    <cellStyle name="Note 2 9 9 5 3" xfId="29540" xr:uid="{00000000-0005-0000-0000-0000D95F0000}"/>
    <cellStyle name="Note 2 9 9 6" xfId="29542" xr:uid="{00000000-0005-0000-0000-0000DA5F0000}"/>
    <cellStyle name="Note 2 9 9 7" xfId="29543" xr:uid="{00000000-0005-0000-0000-0000DB5F0000}"/>
    <cellStyle name="Note 3" xfId="29545" xr:uid="{00000000-0005-0000-0000-0000DC5F0000}"/>
    <cellStyle name="Note 3 2" xfId="29546" xr:uid="{00000000-0005-0000-0000-0000DD5F0000}"/>
    <cellStyle name="Note 4" xfId="29547" xr:uid="{00000000-0005-0000-0000-0000DE5F0000}"/>
    <cellStyle name="Note 4 2" xfId="29548" xr:uid="{00000000-0005-0000-0000-0000DF5F0000}"/>
    <cellStyle name="Note 5" xfId="29549" xr:uid="{00000000-0005-0000-0000-0000E05F0000}"/>
    <cellStyle name="Note 5 2" xfId="29550" xr:uid="{00000000-0005-0000-0000-0000E15F0000}"/>
    <cellStyle name="Note 6" xfId="18560" xr:uid="{00000000-0005-0000-0000-0000E25F0000}"/>
    <cellStyle name="Note 6 2" xfId="18563" xr:uid="{00000000-0005-0000-0000-0000E35F0000}"/>
    <cellStyle name="Note 7" xfId="18568" xr:uid="{00000000-0005-0000-0000-0000E45F0000}"/>
    <cellStyle name="One decimal" xfId="29551" xr:uid="{00000000-0005-0000-0000-0000E55F0000}"/>
    <cellStyle name="One decimal 2" xfId="29552" xr:uid="{00000000-0005-0000-0000-0000E65F0000}"/>
    <cellStyle name="Output 2" xfId="29010" xr:uid="{00000000-0005-0000-0000-0000E75F0000}"/>
    <cellStyle name="Output 2 10" xfId="29553" xr:uid="{00000000-0005-0000-0000-0000E85F0000}"/>
    <cellStyle name="Output 2 10 10" xfId="29554" xr:uid="{00000000-0005-0000-0000-0000E95F0000}"/>
    <cellStyle name="Output 2 10 10 2" xfId="29555" xr:uid="{00000000-0005-0000-0000-0000EA5F0000}"/>
    <cellStyle name="Output 2 10 10 2 2" xfId="29557" xr:uid="{00000000-0005-0000-0000-0000EB5F0000}"/>
    <cellStyle name="Output 2 10 10 2 3" xfId="20508" xr:uid="{00000000-0005-0000-0000-0000EC5F0000}"/>
    <cellStyle name="Output 2 10 10 2 4" xfId="20517" xr:uid="{00000000-0005-0000-0000-0000ED5F0000}"/>
    <cellStyle name="Output 2 10 10 3" xfId="29559" xr:uid="{00000000-0005-0000-0000-0000EE5F0000}"/>
    <cellStyle name="Output 2 10 10 3 2" xfId="29561" xr:uid="{00000000-0005-0000-0000-0000EF5F0000}"/>
    <cellStyle name="Output 2 10 10 3 3" xfId="20536" xr:uid="{00000000-0005-0000-0000-0000F05F0000}"/>
    <cellStyle name="Output 2 10 10 3 4" xfId="20542" xr:uid="{00000000-0005-0000-0000-0000F15F0000}"/>
    <cellStyle name="Output 2 10 10 4" xfId="13859" xr:uid="{00000000-0005-0000-0000-0000F25F0000}"/>
    <cellStyle name="Output 2 10 10 4 2" xfId="29563" xr:uid="{00000000-0005-0000-0000-0000F35F0000}"/>
    <cellStyle name="Output 2 10 10 4 3" xfId="20561" xr:uid="{00000000-0005-0000-0000-0000F45F0000}"/>
    <cellStyle name="Output 2 10 10 5" xfId="13862" xr:uid="{00000000-0005-0000-0000-0000F55F0000}"/>
    <cellStyle name="Output 2 10 10 5 2" xfId="29565" xr:uid="{00000000-0005-0000-0000-0000F65F0000}"/>
    <cellStyle name="Output 2 10 10 5 3" xfId="16488" xr:uid="{00000000-0005-0000-0000-0000F75F0000}"/>
    <cellStyle name="Output 2 10 10 6" xfId="13866" xr:uid="{00000000-0005-0000-0000-0000F85F0000}"/>
    <cellStyle name="Output 2 10 10 7" xfId="17355" xr:uid="{00000000-0005-0000-0000-0000F95F0000}"/>
    <cellStyle name="Output 2 10 11" xfId="29568" xr:uid="{00000000-0005-0000-0000-0000FA5F0000}"/>
    <cellStyle name="Output 2 10 11 2" xfId="29570" xr:uid="{00000000-0005-0000-0000-0000FB5F0000}"/>
    <cellStyle name="Output 2 10 11 2 2" xfId="29571" xr:uid="{00000000-0005-0000-0000-0000FC5F0000}"/>
    <cellStyle name="Output 2 10 11 2 3" xfId="20753" xr:uid="{00000000-0005-0000-0000-0000FD5F0000}"/>
    <cellStyle name="Output 2 10 11 2 4" xfId="20759" xr:uid="{00000000-0005-0000-0000-0000FE5F0000}"/>
    <cellStyle name="Output 2 10 11 3" xfId="29572" xr:uid="{00000000-0005-0000-0000-0000FF5F0000}"/>
    <cellStyle name="Output 2 10 11 3 2" xfId="29573" xr:uid="{00000000-0005-0000-0000-000000600000}"/>
    <cellStyle name="Output 2 10 11 3 3" xfId="20788" xr:uid="{00000000-0005-0000-0000-000001600000}"/>
    <cellStyle name="Output 2 10 11 3 4" xfId="20793" xr:uid="{00000000-0005-0000-0000-000002600000}"/>
    <cellStyle name="Output 2 10 11 4" xfId="13870" xr:uid="{00000000-0005-0000-0000-000003600000}"/>
    <cellStyle name="Output 2 10 11 4 2" xfId="29575" xr:uid="{00000000-0005-0000-0000-000004600000}"/>
    <cellStyle name="Output 2 10 11 4 3" xfId="20810" xr:uid="{00000000-0005-0000-0000-000005600000}"/>
    <cellStyle name="Output 2 10 11 5" xfId="13872" xr:uid="{00000000-0005-0000-0000-000006600000}"/>
    <cellStyle name="Output 2 10 11 5 2" xfId="29576" xr:uid="{00000000-0005-0000-0000-000007600000}"/>
    <cellStyle name="Output 2 10 11 5 3" xfId="16537" xr:uid="{00000000-0005-0000-0000-000008600000}"/>
    <cellStyle name="Output 2 10 11 6" xfId="29578" xr:uid="{00000000-0005-0000-0000-000009600000}"/>
    <cellStyle name="Output 2 10 11 7" xfId="29579" xr:uid="{00000000-0005-0000-0000-00000A600000}"/>
    <cellStyle name="Output 2 10 12" xfId="29580" xr:uid="{00000000-0005-0000-0000-00000B600000}"/>
    <cellStyle name="Output 2 10 12 2" xfId="29582" xr:uid="{00000000-0005-0000-0000-00000C600000}"/>
    <cellStyle name="Output 2 10 12 2 2" xfId="29583" xr:uid="{00000000-0005-0000-0000-00000D600000}"/>
    <cellStyle name="Output 2 10 12 2 3" xfId="29584" xr:uid="{00000000-0005-0000-0000-00000E600000}"/>
    <cellStyle name="Output 2 10 12 2 4" xfId="29585" xr:uid="{00000000-0005-0000-0000-00000F600000}"/>
    <cellStyle name="Output 2 10 12 3" xfId="29586" xr:uid="{00000000-0005-0000-0000-000010600000}"/>
    <cellStyle name="Output 2 10 12 3 2" xfId="29587" xr:uid="{00000000-0005-0000-0000-000011600000}"/>
    <cellStyle name="Output 2 10 12 3 3" xfId="29588" xr:uid="{00000000-0005-0000-0000-000012600000}"/>
    <cellStyle name="Output 2 10 12 3 4" xfId="29589" xr:uid="{00000000-0005-0000-0000-000013600000}"/>
    <cellStyle name="Output 2 10 12 4" xfId="13875" xr:uid="{00000000-0005-0000-0000-000014600000}"/>
    <cellStyle name="Output 2 10 12 4 2" xfId="29590" xr:uid="{00000000-0005-0000-0000-000015600000}"/>
    <cellStyle name="Output 2 10 12 4 3" xfId="29591" xr:uid="{00000000-0005-0000-0000-000016600000}"/>
    <cellStyle name="Output 2 10 12 5" xfId="13877" xr:uid="{00000000-0005-0000-0000-000017600000}"/>
    <cellStyle name="Output 2 10 12 5 2" xfId="29592" xr:uid="{00000000-0005-0000-0000-000018600000}"/>
    <cellStyle name="Output 2 10 12 5 3" xfId="16542" xr:uid="{00000000-0005-0000-0000-000019600000}"/>
    <cellStyle name="Output 2 10 12 6" xfId="29594" xr:uid="{00000000-0005-0000-0000-00001A600000}"/>
    <cellStyle name="Output 2 10 12 7" xfId="29595" xr:uid="{00000000-0005-0000-0000-00001B600000}"/>
    <cellStyle name="Output 2 10 13" xfId="29596" xr:uid="{00000000-0005-0000-0000-00001C600000}"/>
    <cellStyle name="Output 2 10 13 2" xfId="17023" xr:uid="{00000000-0005-0000-0000-00001D600000}"/>
    <cellStyle name="Output 2 10 13 3" xfId="14835" xr:uid="{00000000-0005-0000-0000-00001E600000}"/>
    <cellStyle name="Output 2 10 13 4" xfId="14838" xr:uid="{00000000-0005-0000-0000-00001F600000}"/>
    <cellStyle name="Output 2 10 14" xfId="29598" xr:uid="{00000000-0005-0000-0000-000020600000}"/>
    <cellStyle name="Output 2 10 14 2" xfId="17040" xr:uid="{00000000-0005-0000-0000-000021600000}"/>
    <cellStyle name="Output 2 10 14 3" xfId="14845" xr:uid="{00000000-0005-0000-0000-000022600000}"/>
    <cellStyle name="Output 2 10 14 4" xfId="14848" xr:uid="{00000000-0005-0000-0000-000023600000}"/>
    <cellStyle name="Output 2 10 15" xfId="29600" xr:uid="{00000000-0005-0000-0000-000024600000}"/>
    <cellStyle name="Output 2 10 15 2" xfId="17063" xr:uid="{00000000-0005-0000-0000-000025600000}"/>
    <cellStyle name="Output 2 10 15 3" xfId="14855" xr:uid="{00000000-0005-0000-0000-000026600000}"/>
    <cellStyle name="Output 2 10 16" xfId="29603" xr:uid="{00000000-0005-0000-0000-000027600000}"/>
    <cellStyle name="Output 2 10 16 2" xfId="21650" xr:uid="{00000000-0005-0000-0000-000028600000}"/>
    <cellStyle name="Output 2 10 16 3" xfId="14860" xr:uid="{00000000-0005-0000-0000-000029600000}"/>
    <cellStyle name="Output 2 10 17" xfId="29605" xr:uid="{00000000-0005-0000-0000-00002A600000}"/>
    <cellStyle name="Output 2 10 18" xfId="29607" xr:uid="{00000000-0005-0000-0000-00002B600000}"/>
    <cellStyle name="Output 2 10 19" xfId="29610" xr:uid="{00000000-0005-0000-0000-00002C600000}"/>
    <cellStyle name="Output 2 10 2" xfId="29612" xr:uid="{00000000-0005-0000-0000-00002D600000}"/>
    <cellStyle name="Output 2 10 2 10" xfId="4916" xr:uid="{00000000-0005-0000-0000-00002E600000}"/>
    <cellStyle name="Output 2 10 2 10 2" xfId="29613" xr:uid="{00000000-0005-0000-0000-00002F600000}"/>
    <cellStyle name="Output 2 10 2 10 2 2" xfId="24807" xr:uid="{00000000-0005-0000-0000-000030600000}"/>
    <cellStyle name="Output 2 10 2 10 2 3" xfId="29614" xr:uid="{00000000-0005-0000-0000-000031600000}"/>
    <cellStyle name="Output 2 10 2 10 2 4" xfId="29616" xr:uid="{00000000-0005-0000-0000-000032600000}"/>
    <cellStyle name="Output 2 10 2 10 3" xfId="15398" xr:uid="{00000000-0005-0000-0000-000033600000}"/>
    <cellStyle name="Output 2 10 2 10 3 2" xfId="29617" xr:uid="{00000000-0005-0000-0000-000034600000}"/>
    <cellStyle name="Output 2 10 2 10 3 3" xfId="29619" xr:uid="{00000000-0005-0000-0000-000035600000}"/>
    <cellStyle name="Output 2 10 2 10 3 4" xfId="29621" xr:uid="{00000000-0005-0000-0000-000036600000}"/>
    <cellStyle name="Output 2 10 2 10 4" xfId="15400" xr:uid="{00000000-0005-0000-0000-000037600000}"/>
    <cellStyle name="Output 2 10 2 10 4 2" xfId="29622" xr:uid="{00000000-0005-0000-0000-000038600000}"/>
    <cellStyle name="Output 2 10 2 10 4 3" xfId="29624" xr:uid="{00000000-0005-0000-0000-000039600000}"/>
    <cellStyle name="Output 2 10 2 10 5" xfId="29626" xr:uid="{00000000-0005-0000-0000-00003A600000}"/>
    <cellStyle name="Output 2 10 2 10 5 2" xfId="29627" xr:uid="{00000000-0005-0000-0000-00003B600000}"/>
    <cellStyle name="Output 2 10 2 10 5 3" xfId="29629" xr:uid="{00000000-0005-0000-0000-00003C600000}"/>
    <cellStyle name="Output 2 10 2 10 6" xfId="29631" xr:uid="{00000000-0005-0000-0000-00003D600000}"/>
    <cellStyle name="Output 2 10 2 10 7" xfId="29632" xr:uid="{00000000-0005-0000-0000-00003E600000}"/>
    <cellStyle name="Output 2 10 2 11" xfId="4922" xr:uid="{00000000-0005-0000-0000-00003F600000}"/>
    <cellStyle name="Output 2 10 2 11 2" xfId="29633" xr:uid="{00000000-0005-0000-0000-000040600000}"/>
    <cellStyle name="Output 2 10 2 11 3" xfId="29635" xr:uid="{00000000-0005-0000-0000-000041600000}"/>
    <cellStyle name="Output 2 10 2 11 4" xfId="14393" xr:uid="{00000000-0005-0000-0000-000042600000}"/>
    <cellStyle name="Output 2 10 2 12" xfId="19513" xr:uid="{00000000-0005-0000-0000-000043600000}"/>
    <cellStyle name="Output 2 10 2 12 2" xfId="29637" xr:uid="{00000000-0005-0000-0000-000044600000}"/>
    <cellStyle name="Output 2 10 2 12 3" xfId="22319" xr:uid="{00000000-0005-0000-0000-000045600000}"/>
    <cellStyle name="Output 2 10 2 12 4" xfId="22322" xr:uid="{00000000-0005-0000-0000-000046600000}"/>
    <cellStyle name="Output 2 10 2 13" xfId="29639" xr:uid="{00000000-0005-0000-0000-000047600000}"/>
    <cellStyle name="Output 2 10 2 13 2" xfId="29640" xr:uid="{00000000-0005-0000-0000-000048600000}"/>
    <cellStyle name="Output 2 10 2 13 3" xfId="22325" xr:uid="{00000000-0005-0000-0000-000049600000}"/>
    <cellStyle name="Output 2 10 2 14" xfId="29642" xr:uid="{00000000-0005-0000-0000-00004A600000}"/>
    <cellStyle name="Output 2 10 2 14 2" xfId="29643" xr:uid="{00000000-0005-0000-0000-00004B600000}"/>
    <cellStyle name="Output 2 10 2 14 3" xfId="14098" xr:uid="{00000000-0005-0000-0000-00004C600000}"/>
    <cellStyle name="Output 2 10 2 15" xfId="29645" xr:uid="{00000000-0005-0000-0000-00004D600000}"/>
    <cellStyle name="Output 2 10 2 16" xfId="29646" xr:uid="{00000000-0005-0000-0000-00004E600000}"/>
    <cellStyle name="Output 2 10 2 17" xfId="29647" xr:uid="{00000000-0005-0000-0000-00004F600000}"/>
    <cellStyle name="Output 2 10 2 2" xfId="29648" xr:uid="{00000000-0005-0000-0000-000050600000}"/>
    <cellStyle name="Output 2 10 2 2 2" xfId="29649" xr:uid="{00000000-0005-0000-0000-000051600000}"/>
    <cellStyle name="Output 2 10 2 2 2 2" xfId="29650" xr:uid="{00000000-0005-0000-0000-000052600000}"/>
    <cellStyle name="Output 2 10 2 2 2 3" xfId="29651" xr:uid="{00000000-0005-0000-0000-000053600000}"/>
    <cellStyle name="Output 2 10 2 2 2 4" xfId="9396" xr:uid="{00000000-0005-0000-0000-000054600000}"/>
    <cellStyle name="Output 2 10 2 2 3" xfId="29652" xr:uid="{00000000-0005-0000-0000-000055600000}"/>
    <cellStyle name="Output 2 10 2 2 3 2" xfId="29653" xr:uid="{00000000-0005-0000-0000-000056600000}"/>
    <cellStyle name="Output 2 10 2 2 3 3" xfId="29654" xr:uid="{00000000-0005-0000-0000-000057600000}"/>
    <cellStyle name="Output 2 10 2 2 3 4" xfId="9399" xr:uid="{00000000-0005-0000-0000-000058600000}"/>
    <cellStyle name="Output 2 10 2 2 4" xfId="29655" xr:uid="{00000000-0005-0000-0000-000059600000}"/>
    <cellStyle name="Output 2 10 2 2 4 2" xfId="29656" xr:uid="{00000000-0005-0000-0000-00005A600000}"/>
    <cellStyle name="Output 2 10 2 2 4 3" xfId="29657" xr:uid="{00000000-0005-0000-0000-00005B600000}"/>
    <cellStyle name="Output 2 10 2 2 5" xfId="29658" xr:uid="{00000000-0005-0000-0000-00005C600000}"/>
    <cellStyle name="Output 2 10 2 2 5 2" xfId="29659" xr:uid="{00000000-0005-0000-0000-00005D600000}"/>
    <cellStyle name="Output 2 10 2 2 5 3" xfId="29660" xr:uid="{00000000-0005-0000-0000-00005E600000}"/>
    <cellStyle name="Output 2 10 2 2 6" xfId="29661" xr:uid="{00000000-0005-0000-0000-00005F600000}"/>
    <cellStyle name="Output 2 10 2 2 7" xfId="29662" xr:uid="{00000000-0005-0000-0000-000060600000}"/>
    <cellStyle name="Output 2 10 2 3" xfId="24933" xr:uid="{00000000-0005-0000-0000-000061600000}"/>
    <cellStyle name="Output 2 10 2 3 2" xfId="29663" xr:uid="{00000000-0005-0000-0000-000062600000}"/>
    <cellStyle name="Output 2 10 2 3 2 2" xfId="29664" xr:uid="{00000000-0005-0000-0000-000063600000}"/>
    <cellStyle name="Output 2 10 2 3 2 3" xfId="29665" xr:uid="{00000000-0005-0000-0000-000064600000}"/>
    <cellStyle name="Output 2 10 2 3 2 4" xfId="9422" xr:uid="{00000000-0005-0000-0000-000065600000}"/>
    <cellStyle name="Output 2 10 2 3 3" xfId="29666" xr:uid="{00000000-0005-0000-0000-000066600000}"/>
    <cellStyle name="Output 2 10 2 3 3 2" xfId="16387" xr:uid="{00000000-0005-0000-0000-000067600000}"/>
    <cellStyle name="Output 2 10 2 3 3 3" xfId="16396" xr:uid="{00000000-0005-0000-0000-000068600000}"/>
    <cellStyle name="Output 2 10 2 3 3 4" xfId="9427" xr:uid="{00000000-0005-0000-0000-000069600000}"/>
    <cellStyle name="Output 2 10 2 3 4" xfId="29667" xr:uid="{00000000-0005-0000-0000-00006A600000}"/>
    <cellStyle name="Output 2 10 2 3 4 2" xfId="14264" xr:uid="{00000000-0005-0000-0000-00006B600000}"/>
    <cellStyle name="Output 2 10 2 3 4 3" xfId="14267" xr:uid="{00000000-0005-0000-0000-00006C600000}"/>
    <cellStyle name="Output 2 10 2 3 5" xfId="29669" xr:uid="{00000000-0005-0000-0000-00006D600000}"/>
    <cellStyle name="Output 2 10 2 3 5 2" xfId="29671" xr:uid="{00000000-0005-0000-0000-00006E600000}"/>
    <cellStyle name="Output 2 10 2 3 5 3" xfId="29673" xr:uid="{00000000-0005-0000-0000-00006F600000}"/>
    <cellStyle name="Output 2 10 2 3 6" xfId="29675" xr:uid="{00000000-0005-0000-0000-000070600000}"/>
    <cellStyle name="Output 2 10 2 3 7" xfId="29677" xr:uid="{00000000-0005-0000-0000-000071600000}"/>
    <cellStyle name="Output 2 10 2 4" xfId="24935" xr:uid="{00000000-0005-0000-0000-000072600000}"/>
    <cellStyle name="Output 2 10 2 4 2" xfId="29679" xr:uid="{00000000-0005-0000-0000-000073600000}"/>
    <cellStyle name="Output 2 10 2 4 2 2" xfId="29680" xr:uid="{00000000-0005-0000-0000-000074600000}"/>
    <cellStyle name="Output 2 10 2 4 2 3" xfId="29681" xr:uid="{00000000-0005-0000-0000-000075600000}"/>
    <cellStyle name="Output 2 10 2 4 2 4" xfId="9453" xr:uid="{00000000-0005-0000-0000-000076600000}"/>
    <cellStyle name="Output 2 10 2 4 3" xfId="29682" xr:uid="{00000000-0005-0000-0000-000077600000}"/>
    <cellStyle name="Output 2 10 2 4 3 2" xfId="29683" xr:uid="{00000000-0005-0000-0000-000078600000}"/>
    <cellStyle name="Output 2 10 2 4 3 3" xfId="29684" xr:uid="{00000000-0005-0000-0000-000079600000}"/>
    <cellStyle name="Output 2 10 2 4 3 4" xfId="9458" xr:uid="{00000000-0005-0000-0000-00007A600000}"/>
    <cellStyle name="Output 2 10 2 4 4" xfId="29685" xr:uid="{00000000-0005-0000-0000-00007B600000}"/>
    <cellStyle name="Output 2 10 2 4 4 2" xfId="29687" xr:uid="{00000000-0005-0000-0000-00007C600000}"/>
    <cellStyle name="Output 2 10 2 4 4 3" xfId="851" xr:uid="{00000000-0005-0000-0000-00007D600000}"/>
    <cellStyle name="Output 2 10 2 4 5" xfId="29689" xr:uid="{00000000-0005-0000-0000-00007E600000}"/>
    <cellStyle name="Output 2 10 2 4 5 2" xfId="7631" xr:uid="{00000000-0005-0000-0000-00007F600000}"/>
    <cellStyle name="Output 2 10 2 4 5 3" xfId="29691" xr:uid="{00000000-0005-0000-0000-000080600000}"/>
    <cellStyle name="Output 2 10 2 4 6" xfId="29693" xr:uid="{00000000-0005-0000-0000-000081600000}"/>
    <cellStyle name="Output 2 10 2 4 7" xfId="12636" xr:uid="{00000000-0005-0000-0000-000082600000}"/>
    <cellStyle name="Output 2 10 2 5" xfId="24937" xr:uid="{00000000-0005-0000-0000-000083600000}"/>
    <cellStyle name="Output 2 10 2 5 2" xfId="29695" xr:uid="{00000000-0005-0000-0000-000084600000}"/>
    <cellStyle name="Output 2 10 2 5 2 2" xfId="29696" xr:uid="{00000000-0005-0000-0000-000085600000}"/>
    <cellStyle name="Output 2 10 2 5 2 3" xfId="29697" xr:uid="{00000000-0005-0000-0000-000086600000}"/>
    <cellStyle name="Output 2 10 2 5 2 4" xfId="9484" xr:uid="{00000000-0005-0000-0000-000087600000}"/>
    <cellStyle name="Output 2 10 2 5 3" xfId="29698" xr:uid="{00000000-0005-0000-0000-000088600000}"/>
    <cellStyle name="Output 2 10 2 5 3 2" xfId="29699" xr:uid="{00000000-0005-0000-0000-000089600000}"/>
    <cellStyle name="Output 2 10 2 5 3 3" xfId="29700" xr:uid="{00000000-0005-0000-0000-00008A600000}"/>
    <cellStyle name="Output 2 10 2 5 3 4" xfId="9487" xr:uid="{00000000-0005-0000-0000-00008B600000}"/>
    <cellStyle name="Output 2 10 2 5 4" xfId="29701" xr:uid="{00000000-0005-0000-0000-00008C600000}"/>
    <cellStyle name="Output 2 10 2 5 4 2" xfId="29703" xr:uid="{00000000-0005-0000-0000-00008D600000}"/>
    <cellStyle name="Output 2 10 2 5 4 3" xfId="29705" xr:uid="{00000000-0005-0000-0000-00008E600000}"/>
    <cellStyle name="Output 2 10 2 5 5" xfId="29707" xr:uid="{00000000-0005-0000-0000-00008F600000}"/>
    <cellStyle name="Output 2 10 2 5 5 2" xfId="29709" xr:uid="{00000000-0005-0000-0000-000090600000}"/>
    <cellStyle name="Output 2 10 2 5 5 3" xfId="29711" xr:uid="{00000000-0005-0000-0000-000091600000}"/>
    <cellStyle name="Output 2 10 2 5 6" xfId="29713" xr:uid="{00000000-0005-0000-0000-000092600000}"/>
    <cellStyle name="Output 2 10 2 5 7" xfId="12647" xr:uid="{00000000-0005-0000-0000-000093600000}"/>
    <cellStyle name="Output 2 10 2 6" xfId="29715" xr:uid="{00000000-0005-0000-0000-000094600000}"/>
    <cellStyle name="Output 2 10 2 6 2" xfId="29717" xr:uid="{00000000-0005-0000-0000-000095600000}"/>
    <cellStyle name="Output 2 10 2 6 2 2" xfId="29718" xr:uid="{00000000-0005-0000-0000-000096600000}"/>
    <cellStyle name="Output 2 10 2 6 2 3" xfId="16318" xr:uid="{00000000-0005-0000-0000-000097600000}"/>
    <cellStyle name="Output 2 10 2 6 2 4" xfId="9515" xr:uid="{00000000-0005-0000-0000-000098600000}"/>
    <cellStyle name="Output 2 10 2 6 3" xfId="29719" xr:uid="{00000000-0005-0000-0000-000099600000}"/>
    <cellStyle name="Output 2 10 2 6 3 2" xfId="29720" xr:uid="{00000000-0005-0000-0000-00009A600000}"/>
    <cellStyle name="Output 2 10 2 6 3 3" xfId="16321" xr:uid="{00000000-0005-0000-0000-00009B600000}"/>
    <cellStyle name="Output 2 10 2 6 3 4" xfId="9522" xr:uid="{00000000-0005-0000-0000-00009C600000}"/>
    <cellStyle name="Output 2 10 2 6 4" xfId="29721" xr:uid="{00000000-0005-0000-0000-00009D600000}"/>
    <cellStyle name="Output 2 10 2 6 4 2" xfId="29723" xr:uid="{00000000-0005-0000-0000-00009E600000}"/>
    <cellStyle name="Output 2 10 2 6 4 3" xfId="910" xr:uid="{00000000-0005-0000-0000-00009F600000}"/>
    <cellStyle name="Output 2 10 2 6 5" xfId="29725" xr:uid="{00000000-0005-0000-0000-0000A0600000}"/>
    <cellStyle name="Output 2 10 2 6 5 2" xfId="29727" xr:uid="{00000000-0005-0000-0000-0000A1600000}"/>
    <cellStyle name="Output 2 10 2 6 5 3" xfId="29729" xr:uid="{00000000-0005-0000-0000-0000A2600000}"/>
    <cellStyle name="Output 2 10 2 6 6" xfId="29731" xr:uid="{00000000-0005-0000-0000-0000A3600000}"/>
    <cellStyle name="Output 2 10 2 6 7" xfId="12657" xr:uid="{00000000-0005-0000-0000-0000A4600000}"/>
    <cellStyle name="Output 2 10 2 7" xfId="29733" xr:uid="{00000000-0005-0000-0000-0000A5600000}"/>
    <cellStyle name="Output 2 10 2 7 2" xfId="15116" xr:uid="{00000000-0005-0000-0000-0000A6600000}"/>
    <cellStyle name="Output 2 10 2 7 2 2" xfId="29735" xr:uid="{00000000-0005-0000-0000-0000A7600000}"/>
    <cellStyle name="Output 2 10 2 7 2 3" xfId="16329" xr:uid="{00000000-0005-0000-0000-0000A8600000}"/>
    <cellStyle name="Output 2 10 2 7 2 4" xfId="2911" xr:uid="{00000000-0005-0000-0000-0000A9600000}"/>
    <cellStyle name="Output 2 10 2 7 3" xfId="18996" xr:uid="{00000000-0005-0000-0000-0000AA600000}"/>
    <cellStyle name="Output 2 10 2 7 3 2" xfId="29736" xr:uid="{00000000-0005-0000-0000-0000AB600000}"/>
    <cellStyle name="Output 2 10 2 7 3 3" xfId="16332" xr:uid="{00000000-0005-0000-0000-0000AC600000}"/>
    <cellStyle name="Output 2 10 2 7 3 4" xfId="4896" xr:uid="{00000000-0005-0000-0000-0000AD600000}"/>
    <cellStyle name="Output 2 10 2 7 4" xfId="18997" xr:uid="{00000000-0005-0000-0000-0000AE600000}"/>
    <cellStyle name="Output 2 10 2 7 4 2" xfId="29737" xr:uid="{00000000-0005-0000-0000-0000AF600000}"/>
    <cellStyle name="Output 2 10 2 7 4 3" xfId="29739" xr:uid="{00000000-0005-0000-0000-0000B0600000}"/>
    <cellStyle name="Output 2 10 2 7 5" xfId="19000" xr:uid="{00000000-0005-0000-0000-0000B1600000}"/>
    <cellStyle name="Output 2 10 2 7 5 2" xfId="29741" xr:uid="{00000000-0005-0000-0000-0000B2600000}"/>
    <cellStyle name="Output 2 10 2 7 5 3" xfId="29743" xr:uid="{00000000-0005-0000-0000-0000B3600000}"/>
    <cellStyle name="Output 2 10 2 7 6" xfId="29745" xr:uid="{00000000-0005-0000-0000-0000B4600000}"/>
    <cellStyle name="Output 2 10 2 7 7" xfId="12665" xr:uid="{00000000-0005-0000-0000-0000B5600000}"/>
    <cellStyle name="Output 2 10 2 8" xfId="29475" xr:uid="{00000000-0005-0000-0000-0000B6600000}"/>
    <cellStyle name="Output 2 10 2 8 2" xfId="15119" xr:uid="{00000000-0005-0000-0000-0000B7600000}"/>
    <cellStyle name="Output 2 10 2 8 2 2" xfId="29747" xr:uid="{00000000-0005-0000-0000-0000B8600000}"/>
    <cellStyle name="Output 2 10 2 8 2 3" xfId="16343" xr:uid="{00000000-0005-0000-0000-0000B9600000}"/>
    <cellStyle name="Output 2 10 2 8 2 4" xfId="2952" xr:uid="{00000000-0005-0000-0000-0000BA600000}"/>
    <cellStyle name="Output 2 10 2 8 3" xfId="19005" xr:uid="{00000000-0005-0000-0000-0000BB600000}"/>
    <cellStyle name="Output 2 10 2 8 3 2" xfId="17094" xr:uid="{00000000-0005-0000-0000-0000BC600000}"/>
    <cellStyle name="Output 2 10 2 8 3 3" xfId="16347" xr:uid="{00000000-0005-0000-0000-0000BD600000}"/>
    <cellStyle name="Output 2 10 2 8 3 4" xfId="4952" xr:uid="{00000000-0005-0000-0000-0000BE600000}"/>
    <cellStyle name="Output 2 10 2 8 4" xfId="2167" xr:uid="{00000000-0005-0000-0000-0000BF600000}"/>
    <cellStyle name="Output 2 10 2 8 4 2" xfId="29748" xr:uid="{00000000-0005-0000-0000-0000C0600000}"/>
    <cellStyle name="Output 2 10 2 8 4 3" xfId="29750" xr:uid="{00000000-0005-0000-0000-0000C1600000}"/>
    <cellStyle name="Output 2 10 2 8 5" xfId="19006" xr:uid="{00000000-0005-0000-0000-0000C2600000}"/>
    <cellStyle name="Output 2 10 2 8 5 2" xfId="29752" xr:uid="{00000000-0005-0000-0000-0000C3600000}"/>
    <cellStyle name="Output 2 10 2 8 5 3" xfId="29754" xr:uid="{00000000-0005-0000-0000-0000C4600000}"/>
    <cellStyle name="Output 2 10 2 8 6" xfId="29756" xr:uid="{00000000-0005-0000-0000-0000C5600000}"/>
    <cellStyle name="Output 2 10 2 8 7" xfId="25673" xr:uid="{00000000-0005-0000-0000-0000C6600000}"/>
    <cellStyle name="Output 2 10 2 9" xfId="29478" xr:uid="{00000000-0005-0000-0000-0000C7600000}"/>
    <cellStyle name="Output 2 10 2 9 2" xfId="29758" xr:uid="{00000000-0005-0000-0000-0000C8600000}"/>
    <cellStyle name="Output 2 10 2 9 2 2" xfId="29759" xr:uid="{00000000-0005-0000-0000-0000C9600000}"/>
    <cellStyle name="Output 2 10 2 9 2 3" xfId="29760" xr:uid="{00000000-0005-0000-0000-0000CA600000}"/>
    <cellStyle name="Output 2 10 2 9 2 4" xfId="5003" xr:uid="{00000000-0005-0000-0000-0000CB600000}"/>
    <cellStyle name="Output 2 10 2 9 3" xfId="19011" xr:uid="{00000000-0005-0000-0000-0000CC600000}"/>
    <cellStyle name="Output 2 10 2 9 3 2" xfId="29761" xr:uid="{00000000-0005-0000-0000-0000CD600000}"/>
    <cellStyle name="Output 2 10 2 9 3 3" xfId="20965" xr:uid="{00000000-0005-0000-0000-0000CE600000}"/>
    <cellStyle name="Output 2 10 2 9 3 4" xfId="5010" xr:uid="{00000000-0005-0000-0000-0000CF600000}"/>
    <cellStyle name="Output 2 10 2 9 4" xfId="19012" xr:uid="{00000000-0005-0000-0000-0000D0600000}"/>
    <cellStyle name="Output 2 10 2 9 4 2" xfId="29762" xr:uid="{00000000-0005-0000-0000-0000D1600000}"/>
    <cellStyle name="Output 2 10 2 9 4 3" xfId="20983" xr:uid="{00000000-0005-0000-0000-0000D2600000}"/>
    <cellStyle name="Output 2 10 2 9 5" xfId="115" xr:uid="{00000000-0005-0000-0000-0000D3600000}"/>
    <cellStyle name="Output 2 10 2 9 5 2" xfId="27652" xr:uid="{00000000-0005-0000-0000-0000D4600000}"/>
    <cellStyle name="Output 2 10 2 9 5 3" xfId="20991" xr:uid="{00000000-0005-0000-0000-0000D5600000}"/>
    <cellStyle name="Output 2 10 2 9 6" xfId="27656" xr:uid="{00000000-0005-0000-0000-0000D6600000}"/>
    <cellStyle name="Output 2 10 2 9 7" xfId="25681" xr:uid="{00000000-0005-0000-0000-0000D7600000}"/>
    <cellStyle name="Output 2 10 20" xfId="29601" xr:uid="{00000000-0005-0000-0000-0000D8600000}"/>
    <cellStyle name="Output 2 10 3" xfId="29764" xr:uid="{00000000-0005-0000-0000-0000D9600000}"/>
    <cellStyle name="Output 2 10 3 10" xfId="29765" xr:uid="{00000000-0005-0000-0000-0000DA600000}"/>
    <cellStyle name="Output 2 10 3 10 2" xfId="29766" xr:uid="{00000000-0005-0000-0000-0000DB600000}"/>
    <cellStyle name="Output 2 10 3 10 2 2" xfId="24947" xr:uid="{00000000-0005-0000-0000-0000DC600000}"/>
    <cellStyle name="Output 2 10 3 10 2 3" xfId="29768" xr:uid="{00000000-0005-0000-0000-0000DD600000}"/>
    <cellStyle name="Output 2 10 3 10 2 4" xfId="29771" xr:uid="{00000000-0005-0000-0000-0000DE600000}"/>
    <cellStyle name="Output 2 10 3 10 3" xfId="25198" xr:uid="{00000000-0005-0000-0000-0000DF600000}"/>
    <cellStyle name="Output 2 10 3 10 3 2" xfId="29773" xr:uid="{00000000-0005-0000-0000-0000E0600000}"/>
    <cellStyle name="Output 2 10 3 10 3 3" xfId="29777" xr:uid="{00000000-0005-0000-0000-0000E1600000}"/>
    <cellStyle name="Output 2 10 3 10 3 4" xfId="29780" xr:uid="{00000000-0005-0000-0000-0000E2600000}"/>
    <cellStyle name="Output 2 10 3 10 4" xfId="25201" xr:uid="{00000000-0005-0000-0000-0000E3600000}"/>
    <cellStyle name="Output 2 10 3 10 4 2" xfId="29782" xr:uid="{00000000-0005-0000-0000-0000E4600000}"/>
    <cellStyle name="Output 2 10 3 10 4 3" xfId="29786" xr:uid="{00000000-0005-0000-0000-0000E5600000}"/>
    <cellStyle name="Output 2 10 3 10 5" xfId="25204" xr:uid="{00000000-0005-0000-0000-0000E6600000}"/>
    <cellStyle name="Output 2 10 3 10 5 2" xfId="29788" xr:uid="{00000000-0005-0000-0000-0000E7600000}"/>
    <cellStyle name="Output 2 10 3 10 5 3" xfId="29791" xr:uid="{00000000-0005-0000-0000-0000E8600000}"/>
    <cellStyle name="Output 2 10 3 10 6" xfId="29793" xr:uid="{00000000-0005-0000-0000-0000E9600000}"/>
    <cellStyle name="Output 2 10 3 10 7" xfId="29794" xr:uid="{00000000-0005-0000-0000-0000EA600000}"/>
    <cellStyle name="Output 2 10 3 11" xfId="29795" xr:uid="{00000000-0005-0000-0000-0000EB600000}"/>
    <cellStyle name="Output 2 10 3 11 2" xfId="26776" xr:uid="{00000000-0005-0000-0000-0000EC600000}"/>
    <cellStyle name="Output 2 10 3 11 3" xfId="25208" xr:uid="{00000000-0005-0000-0000-0000ED600000}"/>
    <cellStyle name="Output 2 10 3 11 4" xfId="25212" xr:uid="{00000000-0005-0000-0000-0000EE600000}"/>
    <cellStyle name="Output 2 10 3 12" xfId="29796" xr:uid="{00000000-0005-0000-0000-0000EF600000}"/>
    <cellStyle name="Output 2 10 3 12 2" xfId="26798" xr:uid="{00000000-0005-0000-0000-0000F0600000}"/>
    <cellStyle name="Output 2 10 3 12 3" xfId="22452" xr:uid="{00000000-0005-0000-0000-0000F1600000}"/>
    <cellStyle name="Output 2 10 3 12 4" xfId="22457" xr:uid="{00000000-0005-0000-0000-0000F2600000}"/>
    <cellStyle name="Output 2 10 3 13" xfId="29797" xr:uid="{00000000-0005-0000-0000-0000F3600000}"/>
    <cellStyle name="Output 2 10 3 13 2" xfId="26816" xr:uid="{00000000-0005-0000-0000-0000F4600000}"/>
    <cellStyle name="Output 2 10 3 13 3" xfId="22468" xr:uid="{00000000-0005-0000-0000-0000F5600000}"/>
    <cellStyle name="Output 2 10 3 14" xfId="29798" xr:uid="{00000000-0005-0000-0000-0000F6600000}"/>
    <cellStyle name="Output 2 10 3 14 2" xfId="26839" xr:uid="{00000000-0005-0000-0000-0000F7600000}"/>
    <cellStyle name="Output 2 10 3 14 3" xfId="22478" xr:uid="{00000000-0005-0000-0000-0000F8600000}"/>
    <cellStyle name="Output 2 10 3 15" xfId="532" xr:uid="{00000000-0005-0000-0000-0000F9600000}"/>
    <cellStyle name="Output 2 10 3 16" xfId="545" xr:uid="{00000000-0005-0000-0000-0000FA600000}"/>
    <cellStyle name="Output 2 10 3 2" xfId="29799" xr:uid="{00000000-0005-0000-0000-0000FB600000}"/>
    <cellStyle name="Output 2 10 3 2 2" xfId="29802" xr:uid="{00000000-0005-0000-0000-0000FC600000}"/>
    <cellStyle name="Output 2 10 3 2 2 2" xfId="29803" xr:uid="{00000000-0005-0000-0000-0000FD600000}"/>
    <cellStyle name="Output 2 10 3 2 2 3" xfId="29805" xr:uid="{00000000-0005-0000-0000-0000FE600000}"/>
    <cellStyle name="Output 2 10 3 2 2 4" xfId="9714" xr:uid="{00000000-0005-0000-0000-0000FF600000}"/>
    <cellStyle name="Output 2 10 3 2 3" xfId="29807" xr:uid="{00000000-0005-0000-0000-000000610000}"/>
    <cellStyle name="Output 2 10 3 2 3 2" xfId="23614" xr:uid="{00000000-0005-0000-0000-000001610000}"/>
    <cellStyle name="Output 2 10 3 2 3 3" xfId="29808" xr:uid="{00000000-0005-0000-0000-000002610000}"/>
    <cellStyle name="Output 2 10 3 2 3 4" xfId="9718" xr:uid="{00000000-0005-0000-0000-000003610000}"/>
    <cellStyle name="Output 2 10 3 2 4" xfId="29810" xr:uid="{00000000-0005-0000-0000-000004610000}"/>
    <cellStyle name="Output 2 10 3 2 4 2" xfId="29811" xr:uid="{00000000-0005-0000-0000-000005610000}"/>
    <cellStyle name="Output 2 10 3 2 4 3" xfId="29813" xr:uid="{00000000-0005-0000-0000-000006610000}"/>
    <cellStyle name="Output 2 10 3 2 5" xfId="29815" xr:uid="{00000000-0005-0000-0000-000007610000}"/>
    <cellStyle name="Output 2 10 3 2 5 2" xfId="29816" xr:uid="{00000000-0005-0000-0000-000008610000}"/>
    <cellStyle name="Output 2 10 3 2 5 3" xfId="29818" xr:uid="{00000000-0005-0000-0000-000009610000}"/>
    <cellStyle name="Output 2 10 3 2 6" xfId="29820" xr:uid="{00000000-0005-0000-0000-00000A610000}"/>
    <cellStyle name="Output 2 10 3 2 7" xfId="29821" xr:uid="{00000000-0005-0000-0000-00000B610000}"/>
    <cellStyle name="Output 2 10 3 3" xfId="24941" xr:uid="{00000000-0005-0000-0000-00000C610000}"/>
    <cellStyle name="Output 2 10 3 3 2" xfId="29822" xr:uid="{00000000-0005-0000-0000-00000D610000}"/>
    <cellStyle name="Output 2 10 3 3 2 2" xfId="29823" xr:uid="{00000000-0005-0000-0000-00000E610000}"/>
    <cellStyle name="Output 2 10 3 3 2 3" xfId="29824" xr:uid="{00000000-0005-0000-0000-00000F610000}"/>
    <cellStyle name="Output 2 10 3 3 2 4" xfId="9740" xr:uid="{00000000-0005-0000-0000-000010610000}"/>
    <cellStyle name="Output 2 10 3 3 3" xfId="29825" xr:uid="{00000000-0005-0000-0000-000011610000}"/>
    <cellStyle name="Output 2 10 3 3 3 2" xfId="29826" xr:uid="{00000000-0005-0000-0000-000012610000}"/>
    <cellStyle name="Output 2 10 3 3 3 3" xfId="29827" xr:uid="{00000000-0005-0000-0000-000013610000}"/>
    <cellStyle name="Output 2 10 3 3 3 4" xfId="9744" xr:uid="{00000000-0005-0000-0000-000014610000}"/>
    <cellStyle name="Output 2 10 3 3 4" xfId="29828" xr:uid="{00000000-0005-0000-0000-000015610000}"/>
    <cellStyle name="Output 2 10 3 3 4 2" xfId="29830" xr:uid="{00000000-0005-0000-0000-000016610000}"/>
    <cellStyle name="Output 2 10 3 3 4 3" xfId="29832" xr:uid="{00000000-0005-0000-0000-000017610000}"/>
    <cellStyle name="Output 2 10 3 3 5" xfId="29834" xr:uid="{00000000-0005-0000-0000-000018610000}"/>
    <cellStyle name="Output 2 10 3 3 5 2" xfId="29836" xr:uid="{00000000-0005-0000-0000-000019610000}"/>
    <cellStyle name="Output 2 10 3 3 5 3" xfId="29838" xr:uid="{00000000-0005-0000-0000-00001A610000}"/>
    <cellStyle name="Output 2 10 3 3 6" xfId="29840" xr:uid="{00000000-0005-0000-0000-00001B610000}"/>
    <cellStyle name="Output 2 10 3 3 7" xfId="29842" xr:uid="{00000000-0005-0000-0000-00001C610000}"/>
    <cellStyle name="Output 2 10 3 4" xfId="24945" xr:uid="{00000000-0005-0000-0000-00001D610000}"/>
    <cellStyle name="Output 2 10 3 4 2" xfId="29844" xr:uid="{00000000-0005-0000-0000-00001E610000}"/>
    <cellStyle name="Output 2 10 3 4 2 2" xfId="29845" xr:uid="{00000000-0005-0000-0000-00001F610000}"/>
    <cellStyle name="Output 2 10 3 4 2 3" xfId="29846" xr:uid="{00000000-0005-0000-0000-000020610000}"/>
    <cellStyle name="Output 2 10 3 4 2 4" xfId="9766" xr:uid="{00000000-0005-0000-0000-000021610000}"/>
    <cellStyle name="Output 2 10 3 4 3" xfId="29847" xr:uid="{00000000-0005-0000-0000-000022610000}"/>
    <cellStyle name="Output 2 10 3 4 3 2" xfId="29848" xr:uid="{00000000-0005-0000-0000-000023610000}"/>
    <cellStyle name="Output 2 10 3 4 3 3" xfId="29849" xr:uid="{00000000-0005-0000-0000-000024610000}"/>
    <cellStyle name="Output 2 10 3 4 3 4" xfId="9770" xr:uid="{00000000-0005-0000-0000-000025610000}"/>
    <cellStyle name="Output 2 10 3 4 4" xfId="29850" xr:uid="{00000000-0005-0000-0000-000026610000}"/>
    <cellStyle name="Output 2 10 3 4 4 2" xfId="29852" xr:uid="{00000000-0005-0000-0000-000027610000}"/>
    <cellStyle name="Output 2 10 3 4 4 3" xfId="29854" xr:uid="{00000000-0005-0000-0000-000028610000}"/>
    <cellStyle name="Output 2 10 3 4 5" xfId="29856" xr:uid="{00000000-0005-0000-0000-000029610000}"/>
    <cellStyle name="Output 2 10 3 4 5 2" xfId="26731" xr:uid="{00000000-0005-0000-0000-00002A610000}"/>
    <cellStyle name="Output 2 10 3 4 5 3" xfId="29858" xr:uid="{00000000-0005-0000-0000-00002B610000}"/>
    <cellStyle name="Output 2 10 3 4 6" xfId="29860" xr:uid="{00000000-0005-0000-0000-00002C610000}"/>
    <cellStyle name="Output 2 10 3 4 7" xfId="29862" xr:uid="{00000000-0005-0000-0000-00002D610000}"/>
    <cellStyle name="Output 2 10 3 5" xfId="24948" xr:uid="{00000000-0005-0000-0000-00002E610000}"/>
    <cellStyle name="Output 2 10 3 5 2" xfId="29864" xr:uid="{00000000-0005-0000-0000-00002F610000}"/>
    <cellStyle name="Output 2 10 3 5 2 2" xfId="29865" xr:uid="{00000000-0005-0000-0000-000030610000}"/>
    <cellStyle name="Output 2 10 3 5 2 3" xfId="29866" xr:uid="{00000000-0005-0000-0000-000031610000}"/>
    <cellStyle name="Output 2 10 3 5 2 4" xfId="9790" xr:uid="{00000000-0005-0000-0000-000032610000}"/>
    <cellStyle name="Output 2 10 3 5 3" xfId="29867" xr:uid="{00000000-0005-0000-0000-000033610000}"/>
    <cellStyle name="Output 2 10 3 5 3 2" xfId="29868" xr:uid="{00000000-0005-0000-0000-000034610000}"/>
    <cellStyle name="Output 2 10 3 5 3 3" xfId="29869" xr:uid="{00000000-0005-0000-0000-000035610000}"/>
    <cellStyle name="Output 2 10 3 5 3 4" xfId="9794" xr:uid="{00000000-0005-0000-0000-000036610000}"/>
    <cellStyle name="Output 2 10 3 5 4" xfId="29870" xr:uid="{00000000-0005-0000-0000-000037610000}"/>
    <cellStyle name="Output 2 10 3 5 4 2" xfId="29872" xr:uid="{00000000-0005-0000-0000-000038610000}"/>
    <cellStyle name="Output 2 10 3 5 4 3" xfId="29874" xr:uid="{00000000-0005-0000-0000-000039610000}"/>
    <cellStyle name="Output 2 10 3 5 5" xfId="29876" xr:uid="{00000000-0005-0000-0000-00003A610000}"/>
    <cellStyle name="Output 2 10 3 5 5 2" xfId="29878" xr:uid="{00000000-0005-0000-0000-00003B610000}"/>
    <cellStyle name="Output 2 10 3 5 5 3" xfId="29880" xr:uid="{00000000-0005-0000-0000-00003C610000}"/>
    <cellStyle name="Output 2 10 3 5 6" xfId="29882" xr:uid="{00000000-0005-0000-0000-00003D610000}"/>
    <cellStyle name="Output 2 10 3 5 7" xfId="29884" xr:uid="{00000000-0005-0000-0000-00003E610000}"/>
    <cellStyle name="Output 2 10 3 6" xfId="29769" xr:uid="{00000000-0005-0000-0000-00003F610000}"/>
    <cellStyle name="Output 2 10 3 6 2" xfId="29886" xr:uid="{00000000-0005-0000-0000-000040610000}"/>
    <cellStyle name="Output 2 10 3 6 2 2" xfId="29887" xr:uid="{00000000-0005-0000-0000-000041610000}"/>
    <cellStyle name="Output 2 10 3 6 2 3" xfId="29888" xr:uid="{00000000-0005-0000-0000-000042610000}"/>
    <cellStyle name="Output 2 10 3 6 2 4" xfId="9814" xr:uid="{00000000-0005-0000-0000-000043610000}"/>
    <cellStyle name="Output 2 10 3 6 3" xfId="29889" xr:uid="{00000000-0005-0000-0000-000044610000}"/>
    <cellStyle name="Output 2 10 3 6 3 2" xfId="29890" xr:uid="{00000000-0005-0000-0000-000045610000}"/>
    <cellStyle name="Output 2 10 3 6 3 3" xfId="29891" xr:uid="{00000000-0005-0000-0000-000046610000}"/>
    <cellStyle name="Output 2 10 3 6 3 4" xfId="9818" xr:uid="{00000000-0005-0000-0000-000047610000}"/>
    <cellStyle name="Output 2 10 3 6 4" xfId="29892" xr:uid="{00000000-0005-0000-0000-000048610000}"/>
    <cellStyle name="Output 2 10 3 6 4 2" xfId="29894" xr:uid="{00000000-0005-0000-0000-000049610000}"/>
    <cellStyle name="Output 2 10 3 6 4 3" xfId="29896" xr:uid="{00000000-0005-0000-0000-00004A610000}"/>
    <cellStyle name="Output 2 10 3 6 5" xfId="29898" xr:uid="{00000000-0005-0000-0000-00004B610000}"/>
    <cellStyle name="Output 2 10 3 6 5 2" xfId="29900" xr:uid="{00000000-0005-0000-0000-00004C610000}"/>
    <cellStyle name="Output 2 10 3 6 5 3" xfId="29902" xr:uid="{00000000-0005-0000-0000-00004D610000}"/>
    <cellStyle name="Output 2 10 3 6 6" xfId="29904" xr:uid="{00000000-0005-0000-0000-00004E610000}"/>
    <cellStyle name="Output 2 10 3 6 7" xfId="29906" xr:uid="{00000000-0005-0000-0000-00004F610000}"/>
    <cellStyle name="Output 2 10 3 7" xfId="29772" xr:uid="{00000000-0005-0000-0000-000050610000}"/>
    <cellStyle name="Output 2 10 3 7 2" xfId="2841" xr:uid="{00000000-0005-0000-0000-000051610000}"/>
    <cellStyle name="Output 2 10 3 7 2 2" xfId="29908" xr:uid="{00000000-0005-0000-0000-000052610000}"/>
    <cellStyle name="Output 2 10 3 7 2 3" xfId="29909" xr:uid="{00000000-0005-0000-0000-000053610000}"/>
    <cellStyle name="Output 2 10 3 7 2 4" xfId="29910" xr:uid="{00000000-0005-0000-0000-000054610000}"/>
    <cellStyle name="Output 2 10 3 7 3" xfId="2845" xr:uid="{00000000-0005-0000-0000-000055610000}"/>
    <cellStyle name="Output 2 10 3 7 3 2" xfId="23716" xr:uid="{00000000-0005-0000-0000-000056610000}"/>
    <cellStyle name="Output 2 10 3 7 3 3" xfId="29911" xr:uid="{00000000-0005-0000-0000-000057610000}"/>
    <cellStyle name="Output 2 10 3 7 3 4" xfId="29912" xr:uid="{00000000-0005-0000-0000-000058610000}"/>
    <cellStyle name="Output 2 10 3 7 4" xfId="29913" xr:uid="{00000000-0005-0000-0000-000059610000}"/>
    <cellStyle name="Output 2 10 3 7 4 2" xfId="7988" xr:uid="{00000000-0005-0000-0000-00005A610000}"/>
    <cellStyle name="Output 2 10 3 7 4 3" xfId="8039" xr:uid="{00000000-0005-0000-0000-00005B610000}"/>
    <cellStyle name="Output 2 10 3 7 5" xfId="29915" xr:uid="{00000000-0005-0000-0000-00005C610000}"/>
    <cellStyle name="Output 2 10 3 7 5 2" xfId="8889" xr:uid="{00000000-0005-0000-0000-00005D610000}"/>
    <cellStyle name="Output 2 10 3 7 5 3" xfId="8926" xr:uid="{00000000-0005-0000-0000-00005E610000}"/>
    <cellStyle name="Output 2 10 3 7 6" xfId="29917" xr:uid="{00000000-0005-0000-0000-00005F610000}"/>
    <cellStyle name="Output 2 10 3 7 7" xfId="25700" xr:uid="{00000000-0005-0000-0000-000060610000}"/>
    <cellStyle name="Output 2 10 3 8" xfId="29919" xr:uid="{00000000-0005-0000-0000-000061610000}"/>
    <cellStyle name="Output 2 10 3 8 2" xfId="2857" xr:uid="{00000000-0005-0000-0000-000062610000}"/>
    <cellStyle name="Output 2 10 3 8 2 2" xfId="29920" xr:uid="{00000000-0005-0000-0000-000063610000}"/>
    <cellStyle name="Output 2 10 3 8 2 3" xfId="29921" xr:uid="{00000000-0005-0000-0000-000064610000}"/>
    <cellStyle name="Output 2 10 3 8 2 4" xfId="29922" xr:uid="{00000000-0005-0000-0000-000065610000}"/>
    <cellStyle name="Output 2 10 3 8 3" xfId="2862" xr:uid="{00000000-0005-0000-0000-000066610000}"/>
    <cellStyle name="Output 2 10 3 8 3 2" xfId="29923" xr:uid="{00000000-0005-0000-0000-000067610000}"/>
    <cellStyle name="Output 2 10 3 8 3 3" xfId="29924" xr:uid="{00000000-0005-0000-0000-000068610000}"/>
    <cellStyle name="Output 2 10 3 8 3 4" xfId="29925" xr:uid="{00000000-0005-0000-0000-000069610000}"/>
    <cellStyle name="Output 2 10 3 8 4" xfId="29926" xr:uid="{00000000-0005-0000-0000-00006A610000}"/>
    <cellStyle name="Output 2 10 3 8 4 2" xfId="29928" xr:uid="{00000000-0005-0000-0000-00006B610000}"/>
    <cellStyle name="Output 2 10 3 8 4 3" xfId="29930" xr:uid="{00000000-0005-0000-0000-00006C610000}"/>
    <cellStyle name="Output 2 10 3 8 5" xfId="29932" xr:uid="{00000000-0005-0000-0000-00006D610000}"/>
    <cellStyle name="Output 2 10 3 8 5 2" xfId="29934" xr:uid="{00000000-0005-0000-0000-00006E610000}"/>
    <cellStyle name="Output 2 10 3 8 5 3" xfId="29936" xr:uid="{00000000-0005-0000-0000-00006F610000}"/>
    <cellStyle name="Output 2 10 3 8 6" xfId="29938" xr:uid="{00000000-0005-0000-0000-000070610000}"/>
    <cellStyle name="Output 2 10 3 8 7" xfId="25711" xr:uid="{00000000-0005-0000-0000-000071610000}"/>
    <cellStyle name="Output 2 10 3 9" xfId="29940" xr:uid="{00000000-0005-0000-0000-000072610000}"/>
    <cellStyle name="Output 2 10 3 9 2" xfId="2871" xr:uid="{00000000-0005-0000-0000-000073610000}"/>
    <cellStyle name="Output 2 10 3 9 2 2" xfId="29942" xr:uid="{00000000-0005-0000-0000-000074610000}"/>
    <cellStyle name="Output 2 10 3 9 2 3" xfId="29943" xr:uid="{00000000-0005-0000-0000-000075610000}"/>
    <cellStyle name="Output 2 10 3 9 2 4" xfId="29944" xr:uid="{00000000-0005-0000-0000-000076610000}"/>
    <cellStyle name="Output 2 10 3 9 3" xfId="29945" xr:uid="{00000000-0005-0000-0000-000077610000}"/>
    <cellStyle name="Output 2 10 3 9 3 2" xfId="8269" xr:uid="{00000000-0005-0000-0000-000078610000}"/>
    <cellStyle name="Output 2 10 3 9 3 3" xfId="8298" xr:uid="{00000000-0005-0000-0000-000079610000}"/>
    <cellStyle name="Output 2 10 3 9 3 4" xfId="8324" xr:uid="{00000000-0005-0000-0000-00007A610000}"/>
    <cellStyle name="Output 2 10 3 9 4" xfId="29946" xr:uid="{00000000-0005-0000-0000-00007B610000}"/>
    <cellStyle name="Output 2 10 3 9 4 2" xfId="29948" xr:uid="{00000000-0005-0000-0000-00007C610000}"/>
    <cellStyle name="Output 2 10 3 9 4 3" xfId="29950" xr:uid="{00000000-0005-0000-0000-00007D610000}"/>
    <cellStyle name="Output 2 10 3 9 5" xfId="27751" xr:uid="{00000000-0005-0000-0000-00007E610000}"/>
    <cellStyle name="Output 2 10 3 9 5 2" xfId="29952" xr:uid="{00000000-0005-0000-0000-00007F610000}"/>
    <cellStyle name="Output 2 10 3 9 5 3" xfId="29954" xr:uid="{00000000-0005-0000-0000-000080610000}"/>
    <cellStyle name="Output 2 10 3 9 6" xfId="27754" xr:uid="{00000000-0005-0000-0000-000081610000}"/>
    <cellStyle name="Output 2 10 3 9 7" xfId="25723" xr:uid="{00000000-0005-0000-0000-000082610000}"/>
    <cellStyle name="Output 2 10 4" xfId="12318" xr:uid="{00000000-0005-0000-0000-000083610000}"/>
    <cellStyle name="Output 2 10 4 2" xfId="12321" xr:uid="{00000000-0005-0000-0000-000084610000}"/>
    <cellStyle name="Output 2 10 4 2 2" xfId="26703" xr:uid="{00000000-0005-0000-0000-000085610000}"/>
    <cellStyle name="Output 2 10 4 2 3" xfId="26706" xr:uid="{00000000-0005-0000-0000-000086610000}"/>
    <cellStyle name="Output 2 10 4 2 4" xfId="26709" xr:uid="{00000000-0005-0000-0000-000087610000}"/>
    <cellStyle name="Output 2 10 4 3" xfId="12326" xr:uid="{00000000-0005-0000-0000-000088610000}"/>
    <cellStyle name="Output 2 10 4 3 2" xfId="29956" xr:uid="{00000000-0005-0000-0000-000089610000}"/>
    <cellStyle name="Output 2 10 4 3 3" xfId="29958" xr:uid="{00000000-0005-0000-0000-00008A610000}"/>
    <cellStyle name="Output 2 10 4 3 4" xfId="29960" xr:uid="{00000000-0005-0000-0000-00008B610000}"/>
    <cellStyle name="Output 2 10 4 4" xfId="12330" xr:uid="{00000000-0005-0000-0000-00008C610000}"/>
    <cellStyle name="Output 2 10 4 4 2" xfId="29962" xr:uid="{00000000-0005-0000-0000-00008D610000}"/>
    <cellStyle name="Output 2 10 4 4 3" xfId="29963" xr:uid="{00000000-0005-0000-0000-00008E610000}"/>
    <cellStyle name="Output 2 10 4 5" xfId="29775" xr:uid="{00000000-0005-0000-0000-00008F610000}"/>
    <cellStyle name="Output 2 10 4 5 2" xfId="29964" xr:uid="{00000000-0005-0000-0000-000090610000}"/>
    <cellStyle name="Output 2 10 4 5 3" xfId="29965" xr:uid="{00000000-0005-0000-0000-000091610000}"/>
    <cellStyle name="Output 2 10 4 6" xfId="29778" xr:uid="{00000000-0005-0000-0000-000092610000}"/>
    <cellStyle name="Output 2 10 4 7" xfId="29781" xr:uid="{00000000-0005-0000-0000-000093610000}"/>
    <cellStyle name="Output 2 10 5" xfId="12334" xr:uid="{00000000-0005-0000-0000-000094610000}"/>
    <cellStyle name="Output 2 10 5 2" xfId="12337" xr:uid="{00000000-0005-0000-0000-000095610000}"/>
    <cellStyle name="Output 2 10 5 2 2" xfId="15849" xr:uid="{00000000-0005-0000-0000-000096610000}"/>
    <cellStyle name="Output 2 10 5 2 3" xfId="15858" xr:uid="{00000000-0005-0000-0000-000097610000}"/>
    <cellStyle name="Output 2 10 5 2 4" xfId="15865" xr:uid="{00000000-0005-0000-0000-000098610000}"/>
    <cellStyle name="Output 2 10 5 3" xfId="12342" xr:uid="{00000000-0005-0000-0000-000099610000}"/>
    <cellStyle name="Output 2 10 5 3 2" xfId="15877" xr:uid="{00000000-0005-0000-0000-00009A610000}"/>
    <cellStyle name="Output 2 10 5 3 3" xfId="15883" xr:uid="{00000000-0005-0000-0000-00009B610000}"/>
    <cellStyle name="Output 2 10 5 3 4" xfId="15889" xr:uid="{00000000-0005-0000-0000-00009C610000}"/>
    <cellStyle name="Output 2 10 5 4" xfId="12346" xr:uid="{00000000-0005-0000-0000-00009D610000}"/>
    <cellStyle name="Output 2 10 5 4 2" xfId="15910" xr:uid="{00000000-0005-0000-0000-00009E610000}"/>
    <cellStyle name="Output 2 10 5 4 3" xfId="10898" xr:uid="{00000000-0005-0000-0000-00009F610000}"/>
    <cellStyle name="Output 2 10 5 5" xfId="29784" xr:uid="{00000000-0005-0000-0000-0000A0610000}"/>
    <cellStyle name="Output 2 10 5 5 2" xfId="15929" xr:uid="{00000000-0005-0000-0000-0000A1610000}"/>
    <cellStyle name="Output 2 10 5 5 3" xfId="10910" xr:uid="{00000000-0005-0000-0000-0000A2610000}"/>
    <cellStyle name="Output 2 10 5 6" xfId="29787" xr:uid="{00000000-0005-0000-0000-0000A3610000}"/>
    <cellStyle name="Output 2 10 5 7" xfId="29966" xr:uid="{00000000-0005-0000-0000-0000A4610000}"/>
    <cellStyle name="Output 2 10 6" xfId="11299" xr:uid="{00000000-0005-0000-0000-0000A5610000}"/>
    <cellStyle name="Output 2 10 6 2" xfId="12351" xr:uid="{00000000-0005-0000-0000-0000A6610000}"/>
    <cellStyle name="Output 2 10 6 2 2" xfId="16042" xr:uid="{00000000-0005-0000-0000-0000A7610000}"/>
    <cellStyle name="Output 2 10 6 2 3" xfId="16048" xr:uid="{00000000-0005-0000-0000-0000A8610000}"/>
    <cellStyle name="Output 2 10 6 2 4" xfId="16054" xr:uid="{00000000-0005-0000-0000-0000A9610000}"/>
    <cellStyle name="Output 2 10 6 3" xfId="12355" xr:uid="{00000000-0005-0000-0000-0000AA610000}"/>
    <cellStyle name="Output 2 10 6 3 2" xfId="16073" xr:uid="{00000000-0005-0000-0000-0000AB610000}"/>
    <cellStyle name="Output 2 10 6 3 3" xfId="16079" xr:uid="{00000000-0005-0000-0000-0000AC610000}"/>
    <cellStyle name="Output 2 10 6 3 4" xfId="16083" xr:uid="{00000000-0005-0000-0000-0000AD610000}"/>
    <cellStyle name="Output 2 10 6 4" xfId="29967" xr:uid="{00000000-0005-0000-0000-0000AE610000}"/>
    <cellStyle name="Output 2 10 6 4 2" xfId="16102" xr:uid="{00000000-0005-0000-0000-0000AF610000}"/>
    <cellStyle name="Output 2 10 6 4 3" xfId="10937" xr:uid="{00000000-0005-0000-0000-0000B0610000}"/>
    <cellStyle name="Output 2 10 6 5" xfId="29789" xr:uid="{00000000-0005-0000-0000-0000B1610000}"/>
    <cellStyle name="Output 2 10 6 5 2" xfId="16121" xr:uid="{00000000-0005-0000-0000-0000B2610000}"/>
    <cellStyle name="Output 2 10 6 5 3" xfId="10948" xr:uid="{00000000-0005-0000-0000-0000B3610000}"/>
    <cellStyle name="Output 2 10 6 6" xfId="29792" xr:uid="{00000000-0005-0000-0000-0000B4610000}"/>
    <cellStyle name="Output 2 10 6 7" xfId="29969" xr:uid="{00000000-0005-0000-0000-0000B5610000}"/>
    <cellStyle name="Output 2 10 7" xfId="11305" xr:uid="{00000000-0005-0000-0000-0000B6610000}"/>
    <cellStyle name="Output 2 10 7 2" xfId="12360" xr:uid="{00000000-0005-0000-0000-0000B7610000}"/>
    <cellStyle name="Output 2 10 7 2 2" xfId="6455" xr:uid="{00000000-0005-0000-0000-0000B8610000}"/>
    <cellStyle name="Output 2 10 7 2 3" xfId="6460" xr:uid="{00000000-0005-0000-0000-0000B9610000}"/>
    <cellStyle name="Output 2 10 7 2 4" xfId="6465" xr:uid="{00000000-0005-0000-0000-0000BA610000}"/>
    <cellStyle name="Output 2 10 7 3" xfId="12364" xr:uid="{00000000-0005-0000-0000-0000BB610000}"/>
    <cellStyle name="Output 2 10 7 3 2" xfId="6482" xr:uid="{00000000-0005-0000-0000-0000BC610000}"/>
    <cellStyle name="Output 2 10 7 3 3" xfId="6487" xr:uid="{00000000-0005-0000-0000-0000BD610000}"/>
    <cellStyle name="Output 2 10 7 3 4" xfId="6491" xr:uid="{00000000-0005-0000-0000-0000BE610000}"/>
    <cellStyle name="Output 2 10 7 4" xfId="29970" xr:uid="{00000000-0005-0000-0000-0000BF610000}"/>
    <cellStyle name="Output 2 10 7 4 2" xfId="3512" xr:uid="{00000000-0005-0000-0000-0000C0610000}"/>
    <cellStyle name="Output 2 10 7 4 3" xfId="6503" xr:uid="{00000000-0005-0000-0000-0000C1610000}"/>
    <cellStyle name="Output 2 10 7 5" xfId="29972" xr:uid="{00000000-0005-0000-0000-0000C2610000}"/>
    <cellStyle name="Output 2 10 7 5 2" xfId="29974" xr:uid="{00000000-0005-0000-0000-0000C3610000}"/>
    <cellStyle name="Output 2 10 7 5 3" xfId="10971" xr:uid="{00000000-0005-0000-0000-0000C4610000}"/>
    <cellStyle name="Output 2 10 7 6" xfId="29975" xr:uid="{00000000-0005-0000-0000-0000C5610000}"/>
    <cellStyle name="Output 2 10 7 7" xfId="29976" xr:uid="{00000000-0005-0000-0000-0000C6610000}"/>
    <cellStyle name="Output 2 10 8" xfId="12368" xr:uid="{00000000-0005-0000-0000-0000C7610000}"/>
    <cellStyle name="Output 2 10 8 2" xfId="29979" xr:uid="{00000000-0005-0000-0000-0000C8610000}"/>
    <cellStyle name="Output 2 10 8 2 2" xfId="6690" xr:uid="{00000000-0005-0000-0000-0000C9610000}"/>
    <cellStyle name="Output 2 10 8 2 3" xfId="6697" xr:uid="{00000000-0005-0000-0000-0000CA610000}"/>
    <cellStyle name="Output 2 10 8 2 4" xfId="6702" xr:uid="{00000000-0005-0000-0000-0000CB610000}"/>
    <cellStyle name="Output 2 10 8 3" xfId="29983" xr:uid="{00000000-0005-0000-0000-0000CC610000}"/>
    <cellStyle name="Output 2 10 8 3 2" xfId="5356" xr:uid="{00000000-0005-0000-0000-0000CD610000}"/>
    <cellStyle name="Output 2 10 8 3 3" xfId="5366" xr:uid="{00000000-0005-0000-0000-0000CE610000}"/>
    <cellStyle name="Output 2 10 8 3 4" xfId="5372" xr:uid="{00000000-0005-0000-0000-0000CF610000}"/>
    <cellStyle name="Output 2 10 8 4" xfId="29985" xr:uid="{00000000-0005-0000-0000-0000D0610000}"/>
    <cellStyle name="Output 2 10 8 4 2" xfId="4306" xr:uid="{00000000-0005-0000-0000-0000D1610000}"/>
    <cellStyle name="Output 2 10 8 4 3" xfId="6722" xr:uid="{00000000-0005-0000-0000-0000D2610000}"/>
    <cellStyle name="Output 2 10 8 5" xfId="29987" xr:uid="{00000000-0005-0000-0000-0000D3610000}"/>
    <cellStyle name="Output 2 10 8 5 2" xfId="24977" xr:uid="{00000000-0005-0000-0000-0000D4610000}"/>
    <cellStyle name="Output 2 10 8 5 3" xfId="24980" xr:uid="{00000000-0005-0000-0000-0000D5610000}"/>
    <cellStyle name="Output 2 10 8 6" xfId="29989" xr:uid="{00000000-0005-0000-0000-0000D6610000}"/>
    <cellStyle name="Output 2 10 8 7" xfId="29990" xr:uid="{00000000-0005-0000-0000-0000D7610000}"/>
    <cellStyle name="Output 2 10 9" xfId="12370" xr:uid="{00000000-0005-0000-0000-0000D8610000}"/>
    <cellStyle name="Output 2 10 9 2" xfId="29993" xr:uid="{00000000-0005-0000-0000-0000D9610000}"/>
    <cellStyle name="Output 2 10 9 2 2" xfId="16222" xr:uid="{00000000-0005-0000-0000-0000DA610000}"/>
    <cellStyle name="Output 2 10 9 2 3" xfId="29996" xr:uid="{00000000-0005-0000-0000-0000DB610000}"/>
    <cellStyle name="Output 2 10 9 2 4" xfId="29998" xr:uid="{00000000-0005-0000-0000-0000DC610000}"/>
    <cellStyle name="Output 2 10 9 3" xfId="30000" xr:uid="{00000000-0005-0000-0000-0000DD610000}"/>
    <cellStyle name="Output 2 10 9 3 2" xfId="16231" xr:uid="{00000000-0005-0000-0000-0000DE610000}"/>
    <cellStyle name="Output 2 10 9 3 3" xfId="30002" xr:uid="{00000000-0005-0000-0000-0000DF610000}"/>
    <cellStyle name="Output 2 10 9 3 4" xfId="30004" xr:uid="{00000000-0005-0000-0000-0000E0610000}"/>
    <cellStyle name="Output 2 10 9 4" xfId="30006" xr:uid="{00000000-0005-0000-0000-0000E1610000}"/>
    <cellStyle name="Output 2 10 9 4 2" xfId="30008" xr:uid="{00000000-0005-0000-0000-0000E2610000}"/>
    <cellStyle name="Output 2 10 9 4 3" xfId="30009" xr:uid="{00000000-0005-0000-0000-0000E3610000}"/>
    <cellStyle name="Output 2 10 9 5" xfId="30010" xr:uid="{00000000-0005-0000-0000-0000E4610000}"/>
    <cellStyle name="Output 2 10 9 5 2" xfId="30012" xr:uid="{00000000-0005-0000-0000-0000E5610000}"/>
    <cellStyle name="Output 2 10 9 5 3" xfId="30013" xr:uid="{00000000-0005-0000-0000-0000E6610000}"/>
    <cellStyle name="Output 2 10 9 6" xfId="30014" xr:uid="{00000000-0005-0000-0000-0000E7610000}"/>
    <cellStyle name="Output 2 10 9 7" xfId="30015" xr:uid="{00000000-0005-0000-0000-0000E8610000}"/>
    <cellStyle name="Output 2 11" xfId="30017" xr:uid="{00000000-0005-0000-0000-0000E9610000}"/>
    <cellStyle name="Output 2 11 10" xfId="4025" xr:uid="{00000000-0005-0000-0000-0000EA610000}"/>
    <cellStyle name="Output 2 11 10 2" xfId="30018" xr:uid="{00000000-0005-0000-0000-0000EB610000}"/>
    <cellStyle name="Output 2 11 10 2 2" xfId="7310" xr:uid="{00000000-0005-0000-0000-0000EC610000}"/>
    <cellStyle name="Output 2 11 10 2 3" xfId="7315" xr:uid="{00000000-0005-0000-0000-0000ED610000}"/>
    <cellStyle name="Output 2 11 10 2 4" xfId="7320" xr:uid="{00000000-0005-0000-0000-0000EE610000}"/>
    <cellStyle name="Output 2 11 10 3" xfId="30020" xr:uid="{00000000-0005-0000-0000-0000EF610000}"/>
    <cellStyle name="Output 2 11 10 3 2" xfId="7342" xr:uid="{00000000-0005-0000-0000-0000F0610000}"/>
    <cellStyle name="Output 2 11 10 3 3" xfId="7348" xr:uid="{00000000-0005-0000-0000-0000F1610000}"/>
    <cellStyle name="Output 2 11 10 3 4" xfId="7354" xr:uid="{00000000-0005-0000-0000-0000F2610000}"/>
    <cellStyle name="Output 2 11 10 4" xfId="30022" xr:uid="{00000000-0005-0000-0000-0000F3610000}"/>
    <cellStyle name="Output 2 11 10 4 2" xfId="7379" xr:uid="{00000000-0005-0000-0000-0000F4610000}"/>
    <cellStyle name="Output 2 11 10 4 3" xfId="7385" xr:uid="{00000000-0005-0000-0000-0000F5610000}"/>
    <cellStyle name="Output 2 11 10 5" xfId="30024" xr:uid="{00000000-0005-0000-0000-0000F6610000}"/>
    <cellStyle name="Output 2 11 10 5 2" xfId="7429" xr:uid="{00000000-0005-0000-0000-0000F7610000}"/>
    <cellStyle name="Output 2 11 10 5 3" xfId="7440" xr:uid="{00000000-0005-0000-0000-0000F8610000}"/>
    <cellStyle name="Output 2 11 10 6" xfId="30026" xr:uid="{00000000-0005-0000-0000-0000F9610000}"/>
    <cellStyle name="Output 2 11 10 7" xfId="27712" xr:uid="{00000000-0005-0000-0000-0000FA610000}"/>
    <cellStyle name="Output 2 11 11" xfId="4032" xr:uid="{00000000-0005-0000-0000-0000FB610000}"/>
    <cellStyle name="Output 2 11 11 2" xfId="11031" xr:uid="{00000000-0005-0000-0000-0000FC610000}"/>
    <cellStyle name="Output 2 11 11 2 2" xfId="7772" xr:uid="{00000000-0005-0000-0000-0000FD610000}"/>
    <cellStyle name="Output 2 11 11 2 3" xfId="7780" xr:uid="{00000000-0005-0000-0000-0000FE610000}"/>
    <cellStyle name="Output 2 11 11 2 4" xfId="7789" xr:uid="{00000000-0005-0000-0000-0000FF610000}"/>
    <cellStyle name="Output 2 11 11 3" xfId="11033" xr:uid="{00000000-0005-0000-0000-000000620000}"/>
    <cellStyle name="Output 2 11 11 3 2" xfId="4162" xr:uid="{00000000-0005-0000-0000-000001620000}"/>
    <cellStyle name="Output 2 11 11 3 3" xfId="4176" xr:uid="{00000000-0005-0000-0000-000002620000}"/>
    <cellStyle name="Output 2 11 11 3 4" xfId="4186" xr:uid="{00000000-0005-0000-0000-000003620000}"/>
    <cellStyle name="Output 2 11 11 4" xfId="11035" xr:uid="{00000000-0005-0000-0000-000004620000}"/>
    <cellStyle name="Output 2 11 11 4 2" xfId="7815" xr:uid="{00000000-0005-0000-0000-000005620000}"/>
    <cellStyle name="Output 2 11 11 4 3" xfId="7823" xr:uid="{00000000-0005-0000-0000-000006620000}"/>
    <cellStyle name="Output 2 11 11 5" xfId="11037" xr:uid="{00000000-0005-0000-0000-000007620000}"/>
    <cellStyle name="Output 2 11 11 5 2" xfId="7865" xr:uid="{00000000-0005-0000-0000-000008620000}"/>
    <cellStyle name="Output 2 11 11 5 3" xfId="7876" xr:uid="{00000000-0005-0000-0000-000009620000}"/>
    <cellStyle name="Output 2 11 11 6" xfId="11039" xr:uid="{00000000-0005-0000-0000-00000A620000}"/>
    <cellStyle name="Output 2 11 11 7" xfId="30028" xr:uid="{00000000-0005-0000-0000-00000B620000}"/>
    <cellStyle name="Output 2 11 12" xfId="30029" xr:uid="{00000000-0005-0000-0000-00000C620000}"/>
    <cellStyle name="Output 2 11 12 2" xfId="11044" xr:uid="{00000000-0005-0000-0000-00000D620000}"/>
    <cellStyle name="Output 2 11 12 2 2" xfId="14437" xr:uid="{00000000-0005-0000-0000-00000E620000}"/>
    <cellStyle name="Output 2 11 12 2 3" xfId="30030" xr:uid="{00000000-0005-0000-0000-00000F620000}"/>
    <cellStyle name="Output 2 11 12 2 4" xfId="30031" xr:uid="{00000000-0005-0000-0000-000010620000}"/>
    <cellStyle name="Output 2 11 12 3" xfId="11046" xr:uid="{00000000-0005-0000-0000-000011620000}"/>
    <cellStyle name="Output 2 11 12 3 2" xfId="6282" xr:uid="{00000000-0005-0000-0000-000012620000}"/>
    <cellStyle name="Output 2 11 12 3 3" xfId="6288" xr:uid="{00000000-0005-0000-0000-000013620000}"/>
    <cellStyle name="Output 2 11 12 3 4" xfId="6294" xr:uid="{00000000-0005-0000-0000-000014620000}"/>
    <cellStyle name="Output 2 11 12 4" xfId="30032" xr:uid="{00000000-0005-0000-0000-000015620000}"/>
    <cellStyle name="Output 2 11 12 4 2" xfId="30034" xr:uid="{00000000-0005-0000-0000-000016620000}"/>
    <cellStyle name="Output 2 11 12 4 3" xfId="30036" xr:uid="{00000000-0005-0000-0000-000017620000}"/>
    <cellStyle name="Output 2 11 12 5" xfId="30037" xr:uid="{00000000-0005-0000-0000-000018620000}"/>
    <cellStyle name="Output 2 11 12 5 2" xfId="30039" xr:uid="{00000000-0005-0000-0000-000019620000}"/>
    <cellStyle name="Output 2 11 12 5 3" xfId="26225" xr:uid="{00000000-0005-0000-0000-00001A620000}"/>
    <cellStyle name="Output 2 11 12 6" xfId="30041" xr:uid="{00000000-0005-0000-0000-00001B620000}"/>
    <cellStyle name="Output 2 11 12 7" xfId="30042" xr:uid="{00000000-0005-0000-0000-00001C620000}"/>
    <cellStyle name="Output 2 11 13" xfId="7923" xr:uid="{00000000-0005-0000-0000-00001D620000}"/>
    <cellStyle name="Output 2 11 13 2" xfId="11055" xr:uid="{00000000-0005-0000-0000-00001E620000}"/>
    <cellStyle name="Output 2 11 13 3" xfId="11060" xr:uid="{00000000-0005-0000-0000-00001F620000}"/>
    <cellStyle name="Output 2 11 13 4" xfId="19844" xr:uid="{00000000-0005-0000-0000-000020620000}"/>
    <cellStyle name="Output 2 11 14" xfId="7927" xr:uid="{00000000-0005-0000-0000-000021620000}"/>
    <cellStyle name="Output 2 11 14 2" xfId="10266" xr:uid="{00000000-0005-0000-0000-000022620000}"/>
    <cellStyle name="Output 2 11 14 3" xfId="10269" xr:uid="{00000000-0005-0000-0000-000023620000}"/>
    <cellStyle name="Output 2 11 14 4" xfId="30043" xr:uid="{00000000-0005-0000-0000-000024620000}"/>
    <cellStyle name="Output 2 11 15" xfId="30045" xr:uid="{00000000-0005-0000-0000-000025620000}"/>
    <cellStyle name="Output 2 11 15 2" xfId="10292" xr:uid="{00000000-0005-0000-0000-000026620000}"/>
    <cellStyle name="Output 2 11 15 3" xfId="10295" xr:uid="{00000000-0005-0000-0000-000027620000}"/>
    <cellStyle name="Output 2 11 16" xfId="30049" xr:uid="{00000000-0005-0000-0000-000028620000}"/>
    <cellStyle name="Output 2 11 16 2" xfId="10310" xr:uid="{00000000-0005-0000-0000-000029620000}"/>
    <cellStyle name="Output 2 11 16 3" xfId="10314" xr:uid="{00000000-0005-0000-0000-00002A620000}"/>
    <cellStyle name="Output 2 11 17" xfId="30051" xr:uid="{00000000-0005-0000-0000-00002B620000}"/>
    <cellStyle name="Output 2 11 18" xfId="30054" xr:uid="{00000000-0005-0000-0000-00002C620000}"/>
    <cellStyle name="Output 2 11 19" xfId="30057" xr:uid="{00000000-0005-0000-0000-00002D620000}"/>
    <cellStyle name="Output 2 11 2" xfId="30058" xr:uid="{00000000-0005-0000-0000-00002E620000}"/>
    <cellStyle name="Output 2 11 2 10" xfId="19614" xr:uid="{00000000-0005-0000-0000-00002F620000}"/>
    <cellStyle name="Output 2 11 2 10 2" xfId="3189" xr:uid="{00000000-0005-0000-0000-000030620000}"/>
    <cellStyle name="Output 2 11 2 10 2 2" xfId="29209" xr:uid="{00000000-0005-0000-0000-000031620000}"/>
    <cellStyle name="Output 2 11 2 10 2 3" xfId="29212" xr:uid="{00000000-0005-0000-0000-000032620000}"/>
    <cellStyle name="Output 2 11 2 10 2 4" xfId="29215" xr:uid="{00000000-0005-0000-0000-000033620000}"/>
    <cellStyle name="Output 2 11 2 10 3" xfId="3194" xr:uid="{00000000-0005-0000-0000-000034620000}"/>
    <cellStyle name="Output 2 11 2 10 3 2" xfId="29227" xr:uid="{00000000-0005-0000-0000-000035620000}"/>
    <cellStyle name="Output 2 11 2 10 3 3" xfId="29230" xr:uid="{00000000-0005-0000-0000-000036620000}"/>
    <cellStyle name="Output 2 11 2 10 3 4" xfId="29234" xr:uid="{00000000-0005-0000-0000-000037620000}"/>
    <cellStyle name="Output 2 11 2 10 4" xfId="16025" xr:uid="{00000000-0005-0000-0000-000038620000}"/>
    <cellStyle name="Output 2 11 2 10 4 2" xfId="30059" xr:uid="{00000000-0005-0000-0000-000039620000}"/>
    <cellStyle name="Output 2 11 2 10 4 3" xfId="30060" xr:uid="{00000000-0005-0000-0000-00003A620000}"/>
    <cellStyle name="Output 2 11 2 10 5" xfId="30061" xr:uid="{00000000-0005-0000-0000-00003B620000}"/>
    <cellStyle name="Output 2 11 2 10 5 2" xfId="30062" xr:uid="{00000000-0005-0000-0000-00003C620000}"/>
    <cellStyle name="Output 2 11 2 10 5 3" xfId="30064" xr:uid="{00000000-0005-0000-0000-00003D620000}"/>
    <cellStyle name="Output 2 11 2 10 6" xfId="30066" xr:uid="{00000000-0005-0000-0000-00003E620000}"/>
    <cellStyle name="Output 2 11 2 10 7" xfId="30067" xr:uid="{00000000-0005-0000-0000-00003F620000}"/>
    <cellStyle name="Output 2 11 2 11" xfId="19616" xr:uid="{00000000-0005-0000-0000-000040620000}"/>
    <cellStyle name="Output 2 11 2 11 2" xfId="3203" xr:uid="{00000000-0005-0000-0000-000041620000}"/>
    <cellStyle name="Output 2 11 2 11 3" xfId="16383" xr:uid="{00000000-0005-0000-0000-000042620000}"/>
    <cellStyle name="Output 2 11 2 11 4" xfId="16385" xr:uid="{00000000-0005-0000-0000-000043620000}"/>
    <cellStyle name="Output 2 11 2 12" xfId="19618" xr:uid="{00000000-0005-0000-0000-000044620000}"/>
    <cellStyle name="Output 2 11 2 12 2" xfId="3206" xr:uid="{00000000-0005-0000-0000-000045620000}"/>
    <cellStyle name="Output 2 11 2 12 3" xfId="30068" xr:uid="{00000000-0005-0000-0000-000046620000}"/>
    <cellStyle name="Output 2 11 2 12 4" xfId="12859" xr:uid="{00000000-0005-0000-0000-000047620000}"/>
    <cellStyle name="Output 2 11 2 13" xfId="30069" xr:uid="{00000000-0005-0000-0000-000048620000}"/>
    <cellStyle name="Output 2 11 2 13 2" xfId="30070" xr:uid="{00000000-0005-0000-0000-000049620000}"/>
    <cellStyle name="Output 2 11 2 13 3" xfId="30071" xr:uid="{00000000-0005-0000-0000-00004A620000}"/>
    <cellStyle name="Output 2 11 2 14" xfId="30072" xr:uid="{00000000-0005-0000-0000-00004B620000}"/>
    <cellStyle name="Output 2 11 2 14 2" xfId="30073" xr:uid="{00000000-0005-0000-0000-00004C620000}"/>
    <cellStyle name="Output 2 11 2 14 3" xfId="30074" xr:uid="{00000000-0005-0000-0000-00004D620000}"/>
    <cellStyle name="Output 2 11 2 15" xfId="30075" xr:uid="{00000000-0005-0000-0000-00004E620000}"/>
    <cellStyle name="Output 2 11 2 16" xfId="30076" xr:uid="{00000000-0005-0000-0000-00004F620000}"/>
    <cellStyle name="Output 2 11 2 17" xfId="30077" xr:uid="{00000000-0005-0000-0000-000050620000}"/>
    <cellStyle name="Output 2 11 2 2" xfId="30078" xr:uid="{00000000-0005-0000-0000-000051620000}"/>
    <cellStyle name="Output 2 11 2 2 2" xfId="8168" xr:uid="{00000000-0005-0000-0000-000052620000}"/>
    <cellStyle name="Output 2 11 2 2 2 2" xfId="8170" xr:uid="{00000000-0005-0000-0000-000053620000}"/>
    <cellStyle name="Output 2 11 2 2 2 3" xfId="8172" xr:uid="{00000000-0005-0000-0000-000054620000}"/>
    <cellStyle name="Output 2 11 2 2 2 4" xfId="8175" xr:uid="{00000000-0005-0000-0000-000055620000}"/>
    <cellStyle name="Output 2 11 2 2 3" xfId="8177" xr:uid="{00000000-0005-0000-0000-000056620000}"/>
    <cellStyle name="Output 2 11 2 2 3 2" xfId="8179" xr:uid="{00000000-0005-0000-0000-000057620000}"/>
    <cellStyle name="Output 2 11 2 2 3 3" xfId="8181" xr:uid="{00000000-0005-0000-0000-000058620000}"/>
    <cellStyle name="Output 2 11 2 2 3 4" xfId="10327" xr:uid="{00000000-0005-0000-0000-000059620000}"/>
    <cellStyle name="Output 2 11 2 2 4" xfId="8184" xr:uid="{00000000-0005-0000-0000-00005A620000}"/>
    <cellStyle name="Output 2 11 2 2 4 2" xfId="8187" xr:uid="{00000000-0005-0000-0000-00005B620000}"/>
    <cellStyle name="Output 2 11 2 2 4 3" xfId="8190" xr:uid="{00000000-0005-0000-0000-00005C620000}"/>
    <cellStyle name="Output 2 11 2 2 5" xfId="8193" xr:uid="{00000000-0005-0000-0000-00005D620000}"/>
    <cellStyle name="Output 2 11 2 2 5 2" xfId="8196" xr:uid="{00000000-0005-0000-0000-00005E620000}"/>
    <cellStyle name="Output 2 11 2 2 5 3" xfId="24217" xr:uid="{00000000-0005-0000-0000-00005F620000}"/>
    <cellStyle name="Output 2 11 2 2 6" xfId="8203" xr:uid="{00000000-0005-0000-0000-000060620000}"/>
    <cellStyle name="Output 2 11 2 2 7" xfId="8206" xr:uid="{00000000-0005-0000-0000-000061620000}"/>
    <cellStyle name="Output 2 11 2 3" xfId="24956" xr:uid="{00000000-0005-0000-0000-000062620000}"/>
    <cellStyle name="Output 2 11 2 3 2" xfId="30079" xr:uid="{00000000-0005-0000-0000-000063620000}"/>
    <cellStyle name="Output 2 11 2 3 2 2" xfId="30080" xr:uid="{00000000-0005-0000-0000-000064620000}"/>
    <cellStyle name="Output 2 11 2 3 2 3" xfId="30081" xr:uid="{00000000-0005-0000-0000-000065620000}"/>
    <cellStyle name="Output 2 11 2 3 2 4" xfId="10344" xr:uid="{00000000-0005-0000-0000-000066620000}"/>
    <cellStyle name="Output 2 11 2 3 3" xfId="30082" xr:uid="{00000000-0005-0000-0000-000067620000}"/>
    <cellStyle name="Output 2 11 2 3 3 2" xfId="30083" xr:uid="{00000000-0005-0000-0000-000068620000}"/>
    <cellStyle name="Output 2 11 2 3 3 3" xfId="30084" xr:uid="{00000000-0005-0000-0000-000069620000}"/>
    <cellStyle name="Output 2 11 2 3 3 4" xfId="10349" xr:uid="{00000000-0005-0000-0000-00006A620000}"/>
    <cellStyle name="Output 2 11 2 3 4" xfId="24223" xr:uid="{00000000-0005-0000-0000-00006B620000}"/>
    <cellStyle name="Output 2 11 2 3 4 2" xfId="24226" xr:uid="{00000000-0005-0000-0000-00006C620000}"/>
    <cellStyle name="Output 2 11 2 3 4 3" xfId="24230" xr:uid="{00000000-0005-0000-0000-00006D620000}"/>
    <cellStyle name="Output 2 11 2 3 5" xfId="24234" xr:uid="{00000000-0005-0000-0000-00006E620000}"/>
    <cellStyle name="Output 2 11 2 3 5 2" xfId="24237" xr:uid="{00000000-0005-0000-0000-00006F620000}"/>
    <cellStyle name="Output 2 11 2 3 5 3" xfId="24241" xr:uid="{00000000-0005-0000-0000-000070620000}"/>
    <cellStyle name="Output 2 11 2 3 6" xfId="11969" xr:uid="{00000000-0005-0000-0000-000071620000}"/>
    <cellStyle name="Output 2 11 2 3 7" xfId="11973" xr:uid="{00000000-0005-0000-0000-000072620000}"/>
    <cellStyle name="Output 2 11 2 4" xfId="24958" xr:uid="{00000000-0005-0000-0000-000073620000}"/>
    <cellStyle name="Output 2 11 2 4 2" xfId="30085" xr:uid="{00000000-0005-0000-0000-000074620000}"/>
    <cellStyle name="Output 2 11 2 4 2 2" xfId="30087" xr:uid="{00000000-0005-0000-0000-000075620000}"/>
    <cellStyle name="Output 2 11 2 4 2 3" xfId="30089" xr:uid="{00000000-0005-0000-0000-000076620000}"/>
    <cellStyle name="Output 2 11 2 4 2 4" xfId="10369" xr:uid="{00000000-0005-0000-0000-000077620000}"/>
    <cellStyle name="Output 2 11 2 4 3" xfId="30090" xr:uid="{00000000-0005-0000-0000-000078620000}"/>
    <cellStyle name="Output 2 11 2 4 3 2" xfId="30091" xr:uid="{00000000-0005-0000-0000-000079620000}"/>
    <cellStyle name="Output 2 11 2 4 3 3" xfId="30092" xr:uid="{00000000-0005-0000-0000-00007A620000}"/>
    <cellStyle name="Output 2 11 2 4 3 4" xfId="10373" xr:uid="{00000000-0005-0000-0000-00007B620000}"/>
    <cellStyle name="Output 2 11 2 4 4" xfId="24257" xr:uid="{00000000-0005-0000-0000-00007C620000}"/>
    <cellStyle name="Output 2 11 2 4 4 2" xfId="24260" xr:uid="{00000000-0005-0000-0000-00007D620000}"/>
    <cellStyle name="Output 2 11 2 4 4 3" xfId="24263" xr:uid="{00000000-0005-0000-0000-00007E620000}"/>
    <cellStyle name="Output 2 11 2 4 5" xfId="24270" xr:uid="{00000000-0005-0000-0000-00007F620000}"/>
    <cellStyle name="Output 2 11 2 4 5 2" xfId="24273" xr:uid="{00000000-0005-0000-0000-000080620000}"/>
    <cellStyle name="Output 2 11 2 4 5 3" xfId="24276" xr:uid="{00000000-0005-0000-0000-000081620000}"/>
    <cellStyle name="Output 2 11 2 4 6" xfId="11982" xr:uid="{00000000-0005-0000-0000-000082620000}"/>
    <cellStyle name="Output 2 11 2 4 7" xfId="11986" xr:uid="{00000000-0005-0000-0000-000083620000}"/>
    <cellStyle name="Output 2 11 2 5" xfId="24961" xr:uid="{00000000-0005-0000-0000-000084620000}"/>
    <cellStyle name="Output 2 11 2 5 2" xfId="30093" xr:uid="{00000000-0005-0000-0000-000085620000}"/>
    <cellStyle name="Output 2 11 2 5 2 2" xfId="30094" xr:uid="{00000000-0005-0000-0000-000086620000}"/>
    <cellStyle name="Output 2 11 2 5 2 3" xfId="30095" xr:uid="{00000000-0005-0000-0000-000087620000}"/>
    <cellStyle name="Output 2 11 2 5 2 4" xfId="10397" xr:uid="{00000000-0005-0000-0000-000088620000}"/>
    <cellStyle name="Output 2 11 2 5 3" xfId="30096" xr:uid="{00000000-0005-0000-0000-000089620000}"/>
    <cellStyle name="Output 2 11 2 5 3 2" xfId="30097" xr:uid="{00000000-0005-0000-0000-00008A620000}"/>
    <cellStyle name="Output 2 11 2 5 3 3" xfId="30098" xr:uid="{00000000-0005-0000-0000-00008B620000}"/>
    <cellStyle name="Output 2 11 2 5 3 4" xfId="10400" xr:uid="{00000000-0005-0000-0000-00008C620000}"/>
    <cellStyle name="Output 2 11 2 5 4" xfId="24293" xr:uid="{00000000-0005-0000-0000-00008D620000}"/>
    <cellStyle name="Output 2 11 2 5 4 2" xfId="24297" xr:uid="{00000000-0005-0000-0000-00008E620000}"/>
    <cellStyle name="Output 2 11 2 5 4 3" xfId="24300" xr:uid="{00000000-0005-0000-0000-00008F620000}"/>
    <cellStyle name="Output 2 11 2 5 5" xfId="24307" xr:uid="{00000000-0005-0000-0000-000090620000}"/>
    <cellStyle name="Output 2 11 2 5 5 2" xfId="24311" xr:uid="{00000000-0005-0000-0000-000091620000}"/>
    <cellStyle name="Output 2 11 2 5 5 3" xfId="24314" xr:uid="{00000000-0005-0000-0000-000092620000}"/>
    <cellStyle name="Output 2 11 2 5 6" xfId="11995" xr:uid="{00000000-0005-0000-0000-000093620000}"/>
    <cellStyle name="Output 2 11 2 5 7" xfId="12000" xr:uid="{00000000-0005-0000-0000-000094620000}"/>
    <cellStyle name="Output 2 11 2 6" xfId="26770" xr:uid="{00000000-0005-0000-0000-000095620000}"/>
    <cellStyle name="Output 2 11 2 6 2" xfId="30099" xr:uid="{00000000-0005-0000-0000-000096620000}"/>
    <cellStyle name="Output 2 11 2 6 2 2" xfId="10927" xr:uid="{00000000-0005-0000-0000-000097620000}"/>
    <cellStyle name="Output 2 11 2 6 2 3" xfId="10931" xr:uid="{00000000-0005-0000-0000-000098620000}"/>
    <cellStyle name="Output 2 11 2 6 2 4" xfId="10416" xr:uid="{00000000-0005-0000-0000-000099620000}"/>
    <cellStyle name="Output 2 11 2 6 3" xfId="30100" xr:uid="{00000000-0005-0000-0000-00009A620000}"/>
    <cellStyle name="Output 2 11 2 6 3 2" xfId="10962" xr:uid="{00000000-0005-0000-0000-00009B620000}"/>
    <cellStyle name="Output 2 11 2 6 3 3" xfId="10968" xr:uid="{00000000-0005-0000-0000-00009C620000}"/>
    <cellStyle name="Output 2 11 2 6 3 4" xfId="10423" xr:uid="{00000000-0005-0000-0000-00009D620000}"/>
    <cellStyle name="Output 2 11 2 6 4" xfId="30101" xr:uid="{00000000-0005-0000-0000-00009E620000}"/>
    <cellStyle name="Output 2 11 2 6 4 2" xfId="10982" xr:uid="{00000000-0005-0000-0000-00009F620000}"/>
    <cellStyle name="Output 2 11 2 6 4 3" xfId="10991" xr:uid="{00000000-0005-0000-0000-0000A0620000}"/>
    <cellStyle name="Output 2 11 2 6 5" xfId="30104" xr:uid="{00000000-0005-0000-0000-0000A1620000}"/>
    <cellStyle name="Output 2 11 2 6 5 2" xfId="30107" xr:uid="{00000000-0005-0000-0000-0000A2620000}"/>
    <cellStyle name="Output 2 11 2 6 5 3" xfId="30109" xr:uid="{00000000-0005-0000-0000-0000A3620000}"/>
    <cellStyle name="Output 2 11 2 6 6" xfId="12009" xr:uid="{00000000-0005-0000-0000-0000A4620000}"/>
    <cellStyle name="Output 2 11 2 6 7" xfId="12013" xr:uid="{00000000-0005-0000-0000-0000A5620000}"/>
    <cellStyle name="Output 2 11 2 7" xfId="26773" xr:uid="{00000000-0005-0000-0000-0000A6620000}"/>
    <cellStyle name="Output 2 11 2 7 2" xfId="30111" xr:uid="{00000000-0005-0000-0000-0000A7620000}"/>
    <cellStyle name="Output 2 11 2 7 2 2" xfId="30112" xr:uid="{00000000-0005-0000-0000-0000A8620000}"/>
    <cellStyle name="Output 2 11 2 7 2 3" xfId="30113" xr:uid="{00000000-0005-0000-0000-0000A9620000}"/>
    <cellStyle name="Output 2 11 2 7 2 4" xfId="30114" xr:uid="{00000000-0005-0000-0000-0000AA620000}"/>
    <cellStyle name="Output 2 11 2 7 3" xfId="30115" xr:uid="{00000000-0005-0000-0000-0000AB620000}"/>
    <cellStyle name="Output 2 11 2 7 3 2" xfId="30116" xr:uid="{00000000-0005-0000-0000-0000AC620000}"/>
    <cellStyle name="Output 2 11 2 7 3 3" xfId="30117" xr:uid="{00000000-0005-0000-0000-0000AD620000}"/>
    <cellStyle name="Output 2 11 2 7 3 4" xfId="30118" xr:uid="{00000000-0005-0000-0000-0000AE620000}"/>
    <cellStyle name="Output 2 11 2 7 4" xfId="30119" xr:uid="{00000000-0005-0000-0000-0000AF620000}"/>
    <cellStyle name="Output 2 11 2 7 4 2" xfId="30123" xr:uid="{00000000-0005-0000-0000-0000B0620000}"/>
    <cellStyle name="Output 2 11 2 7 4 3" xfId="30125" xr:uid="{00000000-0005-0000-0000-0000B1620000}"/>
    <cellStyle name="Output 2 11 2 7 5" xfId="30127" xr:uid="{00000000-0005-0000-0000-0000B2620000}"/>
    <cellStyle name="Output 2 11 2 7 5 2" xfId="30131" xr:uid="{00000000-0005-0000-0000-0000B3620000}"/>
    <cellStyle name="Output 2 11 2 7 5 3" xfId="30133" xr:uid="{00000000-0005-0000-0000-0000B4620000}"/>
    <cellStyle name="Output 2 11 2 7 6" xfId="30135" xr:uid="{00000000-0005-0000-0000-0000B5620000}"/>
    <cellStyle name="Output 2 11 2 7 7" xfId="13398" xr:uid="{00000000-0005-0000-0000-0000B6620000}"/>
    <cellStyle name="Output 2 11 2 8" xfId="29500" xr:uid="{00000000-0005-0000-0000-0000B7620000}"/>
    <cellStyle name="Output 2 11 2 8 2" xfId="30138" xr:uid="{00000000-0005-0000-0000-0000B8620000}"/>
    <cellStyle name="Output 2 11 2 8 2 2" xfId="30139" xr:uid="{00000000-0005-0000-0000-0000B9620000}"/>
    <cellStyle name="Output 2 11 2 8 2 3" xfId="30140" xr:uid="{00000000-0005-0000-0000-0000BA620000}"/>
    <cellStyle name="Output 2 11 2 8 2 4" xfId="20926" xr:uid="{00000000-0005-0000-0000-0000BB620000}"/>
    <cellStyle name="Output 2 11 2 8 3" xfId="30141" xr:uid="{00000000-0005-0000-0000-0000BC620000}"/>
    <cellStyle name="Output 2 11 2 8 3 2" xfId="30142" xr:uid="{00000000-0005-0000-0000-0000BD620000}"/>
    <cellStyle name="Output 2 11 2 8 3 3" xfId="30143" xr:uid="{00000000-0005-0000-0000-0000BE620000}"/>
    <cellStyle name="Output 2 11 2 8 3 4" xfId="20941" xr:uid="{00000000-0005-0000-0000-0000BF620000}"/>
    <cellStyle name="Output 2 11 2 8 4" xfId="30144" xr:uid="{00000000-0005-0000-0000-0000C0620000}"/>
    <cellStyle name="Output 2 11 2 8 4 2" xfId="30148" xr:uid="{00000000-0005-0000-0000-0000C1620000}"/>
    <cellStyle name="Output 2 11 2 8 4 3" xfId="30150" xr:uid="{00000000-0005-0000-0000-0000C2620000}"/>
    <cellStyle name="Output 2 11 2 8 5" xfId="30152" xr:uid="{00000000-0005-0000-0000-0000C3620000}"/>
    <cellStyle name="Output 2 11 2 8 5 2" xfId="26108" xr:uid="{00000000-0005-0000-0000-0000C4620000}"/>
    <cellStyle name="Output 2 11 2 8 5 3" xfId="26111" xr:uid="{00000000-0005-0000-0000-0000C5620000}"/>
    <cellStyle name="Output 2 11 2 8 6" xfId="30156" xr:uid="{00000000-0005-0000-0000-0000C6620000}"/>
    <cellStyle name="Output 2 11 2 8 7" xfId="25908" xr:uid="{00000000-0005-0000-0000-0000C7620000}"/>
    <cellStyle name="Output 2 11 2 9" xfId="29502" xr:uid="{00000000-0005-0000-0000-0000C8620000}"/>
    <cellStyle name="Output 2 11 2 9 2" xfId="30159" xr:uid="{00000000-0005-0000-0000-0000C9620000}"/>
    <cellStyle name="Output 2 11 2 9 2 2" xfId="30160" xr:uid="{00000000-0005-0000-0000-0000CA620000}"/>
    <cellStyle name="Output 2 11 2 9 2 3" xfId="30161" xr:uid="{00000000-0005-0000-0000-0000CB620000}"/>
    <cellStyle name="Output 2 11 2 9 2 4" xfId="30162" xr:uid="{00000000-0005-0000-0000-0000CC620000}"/>
    <cellStyle name="Output 2 11 2 9 3" xfId="30163" xr:uid="{00000000-0005-0000-0000-0000CD620000}"/>
    <cellStyle name="Output 2 11 2 9 3 2" xfId="30164" xr:uid="{00000000-0005-0000-0000-0000CE620000}"/>
    <cellStyle name="Output 2 11 2 9 3 3" xfId="30165" xr:uid="{00000000-0005-0000-0000-0000CF620000}"/>
    <cellStyle name="Output 2 11 2 9 3 4" xfId="30166" xr:uid="{00000000-0005-0000-0000-0000D0620000}"/>
    <cellStyle name="Output 2 11 2 9 4" xfId="30167" xr:uid="{00000000-0005-0000-0000-0000D1620000}"/>
    <cellStyle name="Output 2 11 2 9 4 2" xfId="30170" xr:uid="{00000000-0005-0000-0000-0000D2620000}"/>
    <cellStyle name="Output 2 11 2 9 4 3" xfId="30172" xr:uid="{00000000-0005-0000-0000-0000D3620000}"/>
    <cellStyle name="Output 2 11 2 9 5" xfId="28096" xr:uid="{00000000-0005-0000-0000-0000D4620000}"/>
    <cellStyle name="Output 2 11 2 9 5 2" xfId="28100" xr:uid="{00000000-0005-0000-0000-0000D5620000}"/>
    <cellStyle name="Output 2 11 2 9 5 3" xfId="28103" xr:uid="{00000000-0005-0000-0000-0000D6620000}"/>
    <cellStyle name="Output 2 11 2 9 6" xfId="28108" xr:uid="{00000000-0005-0000-0000-0000D7620000}"/>
    <cellStyle name="Output 2 11 2 9 7" xfId="25912" xr:uid="{00000000-0005-0000-0000-0000D8620000}"/>
    <cellStyle name="Output 2 11 20" xfId="30046" xr:uid="{00000000-0005-0000-0000-0000D9620000}"/>
    <cellStyle name="Output 2 11 3" xfId="30174" xr:uid="{00000000-0005-0000-0000-0000DA620000}"/>
    <cellStyle name="Output 2 11 3 10" xfId="30175" xr:uid="{00000000-0005-0000-0000-0000DB620000}"/>
    <cellStyle name="Output 2 11 3 10 2" xfId="3419" xr:uid="{00000000-0005-0000-0000-0000DC620000}"/>
    <cellStyle name="Output 2 11 3 10 2 2" xfId="21101" xr:uid="{00000000-0005-0000-0000-0000DD620000}"/>
    <cellStyle name="Output 2 11 3 10 2 3" xfId="21105" xr:uid="{00000000-0005-0000-0000-0000DE620000}"/>
    <cellStyle name="Output 2 11 3 10 2 4" xfId="28290" xr:uid="{00000000-0005-0000-0000-0000DF620000}"/>
    <cellStyle name="Output 2 11 3 10 3" xfId="3426" xr:uid="{00000000-0005-0000-0000-0000E0620000}"/>
    <cellStyle name="Output 2 11 3 10 3 2" xfId="21124" xr:uid="{00000000-0005-0000-0000-0000E1620000}"/>
    <cellStyle name="Output 2 11 3 10 3 3" xfId="21128" xr:uid="{00000000-0005-0000-0000-0000E2620000}"/>
    <cellStyle name="Output 2 11 3 10 3 4" xfId="28297" xr:uid="{00000000-0005-0000-0000-0000E3620000}"/>
    <cellStyle name="Output 2 11 3 10 4" xfId="30176" xr:uid="{00000000-0005-0000-0000-0000E4620000}"/>
    <cellStyle name="Output 2 11 3 10 4 2" xfId="21156" xr:uid="{00000000-0005-0000-0000-0000E5620000}"/>
    <cellStyle name="Output 2 11 3 10 4 3" xfId="21159" xr:uid="{00000000-0005-0000-0000-0000E6620000}"/>
    <cellStyle name="Output 2 11 3 10 5" xfId="30178" xr:uid="{00000000-0005-0000-0000-0000E7620000}"/>
    <cellStyle name="Output 2 11 3 10 5 2" xfId="21185" xr:uid="{00000000-0005-0000-0000-0000E8620000}"/>
    <cellStyle name="Output 2 11 3 10 5 3" xfId="21188" xr:uid="{00000000-0005-0000-0000-0000E9620000}"/>
    <cellStyle name="Output 2 11 3 10 6" xfId="30180" xr:uid="{00000000-0005-0000-0000-0000EA620000}"/>
    <cellStyle name="Output 2 11 3 10 7" xfId="27138" xr:uid="{00000000-0005-0000-0000-0000EB620000}"/>
    <cellStyle name="Output 2 11 3 11" xfId="30181" xr:uid="{00000000-0005-0000-0000-0000EC620000}"/>
    <cellStyle name="Output 2 11 3 11 2" xfId="3440" xr:uid="{00000000-0005-0000-0000-0000ED620000}"/>
    <cellStyle name="Output 2 11 3 11 3" xfId="28991" xr:uid="{00000000-0005-0000-0000-0000EE620000}"/>
    <cellStyle name="Output 2 11 3 11 4" xfId="28995" xr:uid="{00000000-0005-0000-0000-0000EF620000}"/>
    <cellStyle name="Output 2 11 3 12" xfId="30182" xr:uid="{00000000-0005-0000-0000-0000F0620000}"/>
    <cellStyle name="Output 2 11 3 12 2" xfId="3455" xr:uid="{00000000-0005-0000-0000-0000F1620000}"/>
    <cellStyle name="Output 2 11 3 12 3" xfId="27548" xr:uid="{00000000-0005-0000-0000-0000F2620000}"/>
    <cellStyle name="Output 2 11 3 12 4" xfId="12978" xr:uid="{00000000-0005-0000-0000-0000F3620000}"/>
    <cellStyle name="Output 2 11 3 13" xfId="30183" xr:uid="{00000000-0005-0000-0000-0000F4620000}"/>
    <cellStyle name="Output 2 11 3 13 2" xfId="29005" xr:uid="{00000000-0005-0000-0000-0000F5620000}"/>
    <cellStyle name="Output 2 11 3 13 3" xfId="29011" xr:uid="{00000000-0005-0000-0000-0000F6620000}"/>
    <cellStyle name="Output 2 11 3 14" xfId="30184" xr:uid="{00000000-0005-0000-0000-0000F7620000}"/>
    <cellStyle name="Output 2 11 3 14 2" xfId="29025" xr:uid="{00000000-0005-0000-0000-0000F8620000}"/>
    <cellStyle name="Output 2 11 3 14 3" xfId="29031" xr:uid="{00000000-0005-0000-0000-0000F9620000}"/>
    <cellStyle name="Output 2 11 3 15" xfId="24016" xr:uid="{00000000-0005-0000-0000-0000FA620000}"/>
    <cellStyle name="Output 2 11 3 16" xfId="24019" xr:uid="{00000000-0005-0000-0000-0000FB620000}"/>
    <cellStyle name="Output 2 11 3 2" xfId="344" xr:uid="{00000000-0005-0000-0000-0000FC620000}"/>
    <cellStyle name="Output 2 11 3 2 2" xfId="9051" xr:uid="{00000000-0005-0000-0000-0000FD620000}"/>
    <cellStyle name="Output 2 11 3 2 2 2" xfId="9054" xr:uid="{00000000-0005-0000-0000-0000FE620000}"/>
    <cellStyle name="Output 2 11 3 2 2 3" xfId="9058" xr:uid="{00000000-0005-0000-0000-0000FF620000}"/>
    <cellStyle name="Output 2 11 3 2 2 4" xfId="9062" xr:uid="{00000000-0005-0000-0000-000000630000}"/>
    <cellStyle name="Output 2 11 3 2 3" xfId="9065" xr:uid="{00000000-0005-0000-0000-000001630000}"/>
    <cellStyle name="Output 2 11 3 2 3 2" xfId="9068" xr:uid="{00000000-0005-0000-0000-000002630000}"/>
    <cellStyle name="Output 2 11 3 2 3 3" xfId="9071" xr:uid="{00000000-0005-0000-0000-000003630000}"/>
    <cellStyle name="Output 2 11 3 2 3 4" xfId="10576" xr:uid="{00000000-0005-0000-0000-000004630000}"/>
    <cellStyle name="Output 2 11 3 2 4" xfId="9074" xr:uid="{00000000-0005-0000-0000-000005630000}"/>
    <cellStyle name="Output 2 11 3 2 4 2" xfId="9078" xr:uid="{00000000-0005-0000-0000-000006630000}"/>
    <cellStyle name="Output 2 11 3 2 4 3" xfId="9083" xr:uid="{00000000-0005-0000-0000-000007630000}"/>
    <cellStyle name="Output 2 11 3 2 5" xfId="9086" xr:uid="{00000000-0005-0000-0000-000008630000}"/>
    <cellStyle name="Output 2 11 3 2 5 2" xfId="9090" xr:uid="{00000000-0005-0000-0000-000009630000}"/>
    <cellStyle name="Output 2 11 3 2 5 3" xfId="24659" xr:uid="{00000000-0005-0000-0000-00000A630000}"/>
    <cellStyle name="Output 2 11 3 2 6" xfId="9094" xr:uid="{00000000-0005-0000-0000-00000B630000}"/>
    <cellStyle name="Output 2 11 3 2 7" xfId="9097" xr:uid="{00000000-0005-0000-0000-00000C630000}"/>
    <cellStyle name="Output 2 11 3 3" xfId="351" xr:uid="{00000000-0005-0000-0000-00000D630000}"/>
    <cellStyle name="Output 2 11 3 3 2" xfId="357" xr:uid="{00000000-0005-0000-0000-00000E630000}"/>
    <cellStyle name="Output 2 11 3 3 2 2" xfId="361" xr:uid="{00000000-0005-0000-0000-00000F630000}"/>
    <cellStyle name="Output 2 11 3 3 2 3" xfId="27354" xr:uid="{00000000-0005-0000-0000-000010630000}"/>
    <cellStyle name="Output 2 11 3 3 2 4" xfId="10596" xr:uid="{00000000-0005-0000-0000-000011630000}"/>
    <cellStyle name="Output 2 11 3 3 3" xfId="365" xr:uid="{00000000-0005-0000-0000-000012630000}"/>
    <cellStyle name="Output 2 11 3 3 3 2" xfId="27373" xr:uid="{00000000-0005-0000-0000-000013630000}"/>
    <cellStyle name="Output 2 11 3 3 3 3" xfId="27375" xr:uid="{00000000-0005-0000-0000-000014630000}"/>
    <cellStyle name="Output 2 11 3 3 3 4" xfId="10600" xr:uid="{00000000-0005-0000-0000-000015630000}"/>
    <cellStyle name="Output 2 11 3 3 4" xfId="24666" xr:uid="{00000000-0005-0000-0000-000016630000}"/>
    <cellStyle name="Output 2 11 3 3 4 2" xfId="24671" xr:uid="{00000000-0005-0000-0000-000017630000}"/>
    <cellStyle name="Output 2 11 3 3 4 3" xfId="24676" xr:uid="{00000000-0005-0000-0000-000018630000}"/>
    <cellStyle name="Output 2 11 3 3 5" xfId="24682" xr:uid="{00000000-0005-0000-0000-000019630000}"/>
    <cellStyle name="Output 2 11 3 3 5 2" xfId="24686" xr:uid="{00000000-0005-0000-0000-00001A630000}"/>
    <cellStyle name="Output 2 11 3 3 5 3" xfId="24691" xr:uid="{00000000-0005-0000-0000-00001B630000}"/>
    <cellStyle name="Output 2 11 3 3 6" xfId="12023" xr:uid="{00000000-0005-0000-0000-00001C630000}"/>
    <cellStyle name="Output 2 11 3 3 7" xfId="12027" xr:uid="{00000000-0005-0000-0000-00001D630000}"/>
    <cellStyle name="Output 2 11 3 4" xfId="373" xr:uid="{00000000-0005-0000-0000-00001E630000}"/>
    <cellStyle name="Output 2 11 3 4 2" xfId="30186" xr:uid="{00000000-0005-0000-0000-00001F630000}"/>
    <cellStyle name="Output 2 11 3 4 2 2" xfId="27760" xr:uid="{00000000-0005-0000-0000-000020630000}"/>
    <cellStyle name="Output 2 11 3 4 2 3" xfId="27762" xr:uid="{00000000-0005-0000-0000-000021630000}"/>
    <cellStyle name="Output 2 11 3 4 2 4" xfId="10625" xr:uid="{00000000-0005-0000-0000-000022630000}"/>
    <cellStyle name="Output 2 11 3 4 3" xfId="30187" xr:uid="{00000000-0005-0000-0000-000023630000}"/>
    <cellStyle name="Output 2 11 3 4 3 2" xfId="27777" xr:uid="{00000000-0005-0000-0000-000024630000}"/>
    <cellStyle name="Output 2 11 3 4 3 3" xfId="27779" xr:uid="{00000000-0005-0000-0000-000025630000}"/>
    <cellStyle name="Output 2 11 3 4 3 4" xfId="10630" xr:uid="{00000000-0005-0000-0000-000026630000}"/>
    <cellStyle name="Output 2 11 3 4 4" xfId="24710" xr:uid="{00000000-0005-0000-0000-000027630000}"/>
    <cellStyle name="Output 2 11 3 4 4 2" xfId="24714" xr:uid="{00000000-0005-0000-0000-000028630000}"/>
    <cellStyle name="Output 2 11 3 4 4 3" xfId="24718" xr:uid="{00000000-0005-0000-0000-000029630000}"/>
    <cellStyle name="Output 2 11 3 4 5" xfId="24723" xr:uid="{00000000-0005-0000-0000-00002A630000}"/>
    <cellStyle name="Output 2 11 3 4 5 2" xfId="24728" xr:uid="{00000000-0005-0000-0000-00002B630000}"/>
    <cellStyle name="Output 2 11 3 4 5 3" xfId="24733" xr:uid="{00000000-0005-0000-0000-00002C630000}"/>
    <cellStyle name="Output 2 11 3 4 6" xfId="12037" xr:uid="{00000000-0005-0000-0000-00002D630000}"/>
    <cellStyle name="Output 2 11 3 4 7" xfId="12041" xr:uid="{00000000-0005-0000-0000-00002E630000}"/>
    <cellStyle name="Output 2 11 3 5" xfId="381" xr:uid="{00000000-0005-0000-0000-00002F630000}"/>
    <cellStyle name="Output 2 11 3 5 2" xfId="30188" xr:uid="{00000000-0005-0000-0000-000030630000}"/>
    <cellStyle name="Output 2 11 3 5 2 2" xfId="28239" xr:uid="{00000000-0005-0000-0000-000031630000}"/>
    <cellStyle name="Output 2 11 3 5 2 3" xfId="28241" xr:uid="{00000000-0005-0000-0000-000032630000}"/>
    <cellStyle name="Output 2 11 3 5 2 4" xfId="10656" xr:uid="{00000000-0005-0000-0000-000033630000}"/>
    <cellStyle name="Output 2 11 3 5 3" xfId="30189" xr:uid="{00000000-0005-0000-0000-000034630000}"/>
    <cellStyle name="Output 2 11 3 5 3 2" xfId="28249" xr:uid="{00000000-0005-0000-0000-000035630000}"/>
    <cellStyle name="Output 2 11 3 5 3 3" xfId="28251" xr:uid="{00000000-0005-0000-0000-000036630000}"/>
    <cellStyle name="Output 2 11 3 5 3 4" xfId="10660" xr:uid="{00000000-0005-0000-0000-000037630000}"/>
    <cellStyle name="Output 2 11 3 5 4" xfId="24750" xr:uid="{00000000-0005-0000-0000-000038630000}"/>
    <cellStyle name="Output 2 11 3 5 4 2" xfId="24755" xr:uid="{00000000-0005-0000-0000-000039630000}"/>
    <cellStyle name="Output 2 11 3 5 4 3" xfId="24759" xr:uid="{00000000-0005-0000-0000-00003A630000}"/>
    <cellStyle name="Output 2 11 3 5 5" xfId="24765" xr:uid="{00000000-0005-0000-0000-00003B630000}"/>
    <cellStyle name="Output 2 11 3 5 5 2" xfId="24770" xr:uid="{00000000-0005-0000-0000-00003C630000}"/>
    <cellStyle name="Output 2 11 3 5 5 3" xfId="24775" xr:uid="{00000000-0005-0000-0000-00003D630000}"/>
    <cellStyle name="Output 2 11 3 5 6" xfId="12049" xr:uid="{00000000-0005-0000-0000-00003E630000}"/>
    <cellStyle name="Output 2 11 3 5 7" xfId="12054" xr:uid="{00000000-0005-0000-0000-00003F630000}"/>
    <cellStyle name="Output 2 11 3 6" xfId="388" xr:uid="{00000000-0005-0000-0000-000040630000}"/>
    <cellStyle name="Output 2 11 3 6 2" xfId="30190" xr:uid="{00000000-0005-0000-0000-000041630000}"/>
    <cellStyle name="Output 2 11 3 6 2 2" xfId="28707" xr:uid="{00000000-0005-0000-0000-000042630000}"/>
    <cellStyle name="Output 2 11 3 6 2 3" xfId="30191" xr:uid="{00000000-0005-0000-0000-000043630000}"/>
    <cellStyle name="Output 2 11 3 6 2 4" xfId="10681" xr:uid="{00000000-0005-0000-0000-000044630000}"/>
    <cellStyle name="Output 2 11 3 6 3" xfId="30192" xr:uid="{00000000-0005-0000-0000-000045630000}"/>
    <cellStyle name="Output 2 11 3 6 3 2" xfId="28727" xr:uid="{00000000-0005-0000-0000-000046630000}"/>
    <cellStyle name="Output 2 11 3 6 3 3" xfId="30193" xr:uid="{00000000-0005-0000-0000-000047630000}"/>
    <cellStyle name="Output 2 11 3 6 3 4" xfId="10685" xr:uid="{00000000-0005-0000-0000-000048630000}"/>
    <cellStyle name="Output 2 11 3 6 4" xfId="30194" xr:uid="{00000000-0005-0000-0000-000049630000}"/>
    <cellStyle name="Output 2 11 3 6 4 2" xfId="28748" xr:uid="{00000000-0005-0000-0000-00004A630000}"/>
    <cellStyle name="Output 2 11 3 6 4 3" xfId="30197" xr:uid="{00000000-0005-0000-0000-00004B630000}"/>
    <cellStyle name="Output 2 11 3 6 5" xfId="30199" xr:uid="{00000000-0005-0000-0000-00004C630000}"/>
    <cellStyle name="Output 2 11 3 6 5 2" xfId="28765" xr:uid="{00000000-0005-0000-0000-00004D630000}"/>
    <cellStyle name="Output 2 11 3 6 5 3" xfId="30202" xr:uid="{00000000-0005-0000-0000-00004E630000}"/>
    <cellStyle name="Output 2 11 3 6 6" xfId="12062" xr:uid="{00000000-0005-0000-0000-00004F630000}"/>
    <cellStyle name="Output 2 11 3 6 7" xfId="12066" xr:uid="{00000000-0005-0000-0000-000050630000}"/>
    <cellStyle name="Output 2 11 3 7" xfId="26779" xr:uid="{00000000-0005-0000-0000-000051630000}"/>
    <cellStyle name="Output 2 11 3 7 2" xfId="30204" xr:uid="{00000000-0005-0000-0000-000052630000}"/>
    <cellStyle name="Output 2 11 3 7 2 2" xfId="29121" xr:uid="{00000000-0005-0000-0000-000053630000}"/>
    <cellStyle name="Output 2 11 3 7 2 3" xfId="30205" xr:uid="{00000000-0005-0000-0000-000054630000}"/>
    <cellStyle name="Output 2 11 3 7 2 4" xfId="30206" xr:uid="{00000000-0005-0000-0000-000055630000}"/>
    <cellStyle name="Output 2 11 3 7 3" xfId="30207" xr:uid="{00000000-0005-0000-0000-000056630000}"/>
    <cellStyle name="Output 2 11 3 7 3 2" xfId="29142" xr:uid="{00000000-0005-0000-0000-000057630000}"/>
    <cellStyle name="Output 2 11 3 7 3 3" xfId="30208" xr:uid="{00000000-0005-0000-0000-000058630000}"/>
    <cellStyle name="Output 2 11 3 7 3 4" xfId="30209" xr:uid="{00000000-0005-0000-0000-000059630000}"/>
    <cellStyle name="Output 2 11 3 7 4" xfId="30210" xr:uid="{00000000-0005-0000-0000-00005A630000}"/>
    <cellStyle name="Output 2 11 3 7 4 2" xfId="29182" xr:uid="{00000000-0005-0000-0000-00005B630000}"/>
    <cellStyle name="Output 2 11 3 7 4 3" xfId="30214" xr:uid="{00000000-0005-0000-0000-00005C630000}"/>
    <cellStyle name="Output 2 11 3 7 5" xfId="30216" xr:uid="{00000000-0005-0000-0000-00005D630000}"/>
    <cellStyle name="Output 2 11 3 7 5 2" xfId="29198" xr:uid="{00000000-0005-0000-0000-00005E630000}"/>
    <cellStyle name="Output 2 11 3 7 5 3" xfId="30220" xr:uid="{00000000-0005-0000-0000-00005F630000}"/>
    <cellStyle name="Output 2 11 3 7 6" xfId="30222" xr:uid="{00000000-0005-0000-0000-000060630000}"/>
    <cellStyle name="Output 2 11 3 7 7" xfId="25928" xr:uid="{00000000-0005-0000-0000-000061630000}"/>
    <cellStyle name="Output 2 11 3 8" xfId="30225" xr:uid="{00000000-0005-0000-0000-000062630000}"/>
    <cellStyle name="Output 2 11 3 8 2" xfId="30226" xr:uid="{00000000-0005-0000-0000-000063630000}"/>
    <cellStyle name="Output 2 11 3 8 2 2" xfId="29420" xr:uid="{00000000-0005-0000-0000-000064630000}"/>
    <cellStyle name="Output 2 11 3 8 2 3" xfId="30227" xr:uid="{00000000-0005-0000-0000-000065630000}"/>
    <cellStyle name="Output 2 11 3 8 2 4" xfId="30228" xr:uid="{00000000-0005-0000-0000-000066630000}"/>
    <cellStyle name="Output 2 11 3 8 3" xfId="30229" xr:uid="{00000000-0005-0000-0000-000067630000}"/>
    <cellStyle name="Output 2 11 3 8 3 2" xfId="29445" xr:uid="{00000000-0005-0000-0000-000068630000}"/>
    <cellStyle name="Output 2 11 3 8 3 3" xfId="30230" xr:uid="{00000000-0005-0000-0000-000069630000}"/>
    <cellStyle name="Output 2 11 3 8 3 4" xfId="30231" xr:uid="{00000000-0005-0000-0000-00006A630000}"/>
    <cellStyle name="Output 2 11 3 8 4" xfId="30232" xr:uid="{00000000-0005-0000-0000-00006B630000}"/>
    <cellStyle name="Output 2 11 3 8 4 2" xfId="29484" xr:uid="{00000000-0005-0000-0000-00006C630000}"/>
    <cellStyle name="Output 2 11 3 8 4 3" xfId="30236" xr:uid="{00000000-0005-0000-0000-00006D630000}"/>
    <cellStyle name="Output 2 11 3 8 5" xfId="30238" xr:uid="{00000000-0005-0000-0000-00006E630000}"/>
    <cellStyle name="Output 2 11 3 8 5 2" xfId="29506" xr:uid="{00000000-0005-0000-0000-00006F630000}"/>
    <cellStyle name="Output 2 11 3 8 5 3" xfId="30242" xr:uid="{00000000-0005-0000-0000-000070630000}"/>
    <cellStyle name="Output 2 11 3 8 6" xfId="30244" xr:uid="{00000000-0005-0000-0000-000071630000}"/>
    <cellStyle name="Output 2 11 3 8 7" xfId="25933" xr:uid="{00000000-0005-0000-0000-000072630000}"/>
    <cellStyle name="Output 2 11 3 9" xfId="30247" xr:uid="{00000000-0005-0000-0000-000073630000}"/>
    <cellStyle name="Output 2 11 3 9 2" xfId="30249" xr:uid="{00000000-0005-0000-0000-000074630000}"/>
    <cellStyle name="Output 2 11 3 9 2 2" xfId="30250" xr:uid="{00000000-0005-0000-0000-000075630000}"/>
    <cellStyle name="Output 2 11 3 9 2 3" xfId="30251" xr:uid="{00000000-0005-0000-0000-000076630000}"/>
    <cellStyle name="Output 2 11 3 9 2 4" xfId="30252" xr:uid="{00000000-0005-0000-0000-000077630000}"/>
    <cellStyle name="Output 2 11 3 9 3" xfId="30253" xr:uid="{00000000-0005-0000-0000-000078630000}"/>
    <cellStyle name="Output 2 11 3 9 3 2" xfId="30254" xr:uid="{00000000-0005-0000-0000-000079630000}"/>
    <cellStyle name="Output 2 11 3 9 3 3" xfId="30255" xr:uid="{00000000-0005-0000-0000-00007A630000}"/>
    <cellStyle name="Output 2 11 3 9 3 4" xfId="30256" xr:uid="{00000000-0005-0000-0000-00007B630000}"/>
    <cellStyle name="Output 2 11 3 9 4" xfId="30257" xr:uid="{00000000-0005-0000-0000-00007C630000}"/>
    <cellStyle name="Output 2 11 3 9 4 2" xfId="30260" xr:uid="{00000000-0005-0000-0000-00007D630000}"/>
    <cellStyle name="Output 2 11 3 9 4 3" xfId="30262" xr:uid="{00000000-0005-0000-0000-00007E630000}"/>
    <cellStyle name="Output 2 11 3 9 5" xfId="28219" xr:uid="{00000000-0005-0000-0000-00007F630000}"/>
    <cellStyle name="Output 2 11 3 9 5 2" xfId="30264" xr:uid="{00000000-0005-0000-0000-000080630000}"/>
    <cellStyle name="Output 2 11 3 9 5 3" xfId="30266" xr:uid="{00000000-0005-0000-0000-000081630000}"/>
    <cellStyle name="Output 2 11 3 9 6" xfId="28223" xr:uid="{00000000-0005-0000-0000-000082630000}"/>
    <cellStyle name="Output 2 11 3 9 7" xfId="25939" xr:uid="{00000000-0005-0000-0000-000083630000}"/>
    <cellStyle name="Output 2 11 4" xfId="12374" xr:uid="{00000000-0005-0000-0000-000084630000}"/>
    <cellStyle name="Output 2 11 4 2" xfId="12376" xr:uid="{00000000-0005-0000-0000-000085630000}"/>
    <cellStyle name="Output 2 11 4 2 2" xfId="10041" xr:uid="{00000000-0005-0000-0000-000086630000}"/>
    <cellStyle name="Output 2 11 4 2 3" xfId="10047" xr:uid="{00000000-0005-0000-0000-000087630000}"/>
    <cellStyle name="Output 2 11 4 2 4" xfId="10055" xr:uid="{00000000-0005-0000-0000-000088630000}"/>
    <cellStyle name="Output 2 11 4 3" xfId="12380" xr:uid="{00000000-0005-0000-0000-000089630000}"/>
    <cellStyle name="Output 2 11 4 3 2" xfId="24816" xr:uid="{00000000-0005-0000-0000-00008A630000}"/>
    <cellStyle name="Output 2 11 4 3 3" xfId="24818" xr:uid="{00000000-0005-0000-0000-00008B630000}"/>
    <cellStyle name="Output 2 11 4 3 4" xfId="24905" xr:uid="{00000000-0005-0000-0000-00008C630000}"/>
    <cellStyle name="Output 2 11 4 4" xfId="12383" xr:uid="{00000000-0005-0000-0000-00008D630000}"/>
    <cellStyle name="Output 2 11 4 4 2" xfId="24836" xr:uid="{00000000-0005-0000-0000-00008E630000}"/>
    <cellStyle name="Output 2 11 4 4 3" xfId="24838" xr:uid="{00000000-0005-0000-0000-00008F630000}"/>
    <cellStyle name="Output 2 11 4 5" xfId="26781" xr:uid="{00000000-0005-0000-0000-000090630000}"/>
    <cellStyle name="Output 2 11 4 5 2" xfId="15749" xr:uid="{00000000-0005-0000-0000-000091630000}"/>
    <cellStyle name="Output 2 11 4 5 3" xfId="15762" xr:uid="{00000000-0005-0000-0000-000092630000}"/>
    <cellStyle name="Output 2 11 4 6" xfId="26784" xr:uid="{00000000-0005-0000-0000-000093630000}"/>
    <cellStyle name="Output 2 11 4 7" xfId="30268" xr:uid="{00000000-0005-0000-0000-000094630000}"/>
    <cellStyle name="Output 2 11 5" xfId="12386" xr:uid="{00000000-0005-0000-0000-000095630000}"/>
    <cellStyle name="Output 2 11 5 2" xfId="12388" xr:uid="{00000000-0005-0000-0000-000096630000}"/>
    <cellStyle name="Output 2 11 5 2 2" xfId="10853" xr:uid="{00000000-0005-0000-0000-000097630000}"/>
    <cellStyle name="Output 2 11 5 2 3" xfId="10866" xr:uid="{00000000-0005-0000-0000-000098630000}"/>
    <cellStyle name="Output 2 11 5 2 4" xfId="10876" xr:uid="{00000000-0005-0000-0000-000099630000}"/>
    <cellStyle name="Output 2 11 5 3" xfId="12392" xr:uid="{00000000-0005-0000-0000-00009A630000}"/>
    <cellStyle name="Output 2 11 5 3 2" xfId="16439" xr:uid="{00000000-0005-0000-0000-00009B630000}"/>
    <cellStyle name="Output 2 11 5 3 3" xfId="16446" xr:uid="{00000000-0005-0000-0000-00009C630000}"/>
    <cellStyle name="Output 2 11 5 3 4" xfId="16453" xr:uid="{00000000-0005-0000-0000-00009D630000}"/>
    <cellStyle name="Output 2 11 5 4" xfId="12395" xr:uid="{00000000-0005-0000-0000-00009E630000}"/>
    <cellStyle name="Output 2 11 5 4 2" xfId="16471" xr:uid="{00000000-0005-0000-0000-00009F630000}"/>
    <cellStyle name="Output 2 11 5 4 3" xfId="16475" xr:uid="{00000000-0005-0000-0000-0000A0630000}"/>
    <cellStyle name="Output 2 11 5 5" xfId="26787" xr:uid="{00000000-0005-0000-0000-0000A1630000}"/>
    <cellStyle name="Output 2 11 5 5 2" xfId="16509" xr:uid="{00000000-0005-0000-0000-0000A2630000}"/>
    <cellStyle name="Output 2 11 5 5 3" xfId="16520" xr:uid="{00000000-0005-0000-0000-0000A3630000}"/>
    <cellStyle name="Output 2 11 5 6" xfId="26790" xr:uid="{00000000-0005-0000-0000-0000A4630000}"/>
    <cellStyle name="Output 2 11 5 7" xfId="30269" xr:uid="{00000000-0005-0000-0000-0000A5630000}"/>
    <cellStyle name="Output 2 11 6" xfId="12400" xr:uid="{00000000-0005-0000-0000-0000A6630000}"/>
    <cellStyle name="Output 2 11 6 2" xfId="12403" xr:uid="{00000000-0005-0000-0000-0000A7630000}"/>
    <cellStyle name="Output 2 11 6 2 2" xfId="11662" xr:uid="{00000000-0005-0000-0000-0000A8630000}"/>
    <cellStyle name="Output 2 11 6 2 3" xfId="11676" xr:uid="{00000000-0005-0000-0000-0000A9630000}"/>
    <cellStyle name="Output 2 11 6 2 4" xfId="11688" xr:uid="{00000000-0005-0000-0000-0000AA630000}"/>
    <cellStyle name="Output 2 11 6 3" xfId="12406" xr:uid="{00000000-0005-0000-0000-0000AB630000}"/>
    <cellStyle name="Output 2 11 6 3 2" xfId="16671" xr:uid="{00000000-0005-0000-0000-0000AC630000}"/>
    <cellStyle name="Output 2 11 6 3 3" xfId="16677" xr:uid="{00000000-0005-0000-0000-0000AD630000}"/>
    <cellStyle name="Output 2 11 6 3 4" xfId="16683" xr:uid="{00000000-0005-0000-0000-0000AE630000}"/>
    <cellStyle name="Output 2 11 6 4" xfId="30270" xr:uid="{00000000-0005-0000-0000-0000AF630000}"/>
    <cellStyle name="Output 2 11 6 4 2" xfId="16701" xr:uid="{00000000-0005-0000-0000-0000B0630000}"/>
    <cellStyle name="Output 2 11 6 4 3" xfId="16705" xr:uid="{00000000-0005-0000-0000-0000B1630000}"/>
    <cellStyle name="Output 2 11 6 5" xfId="30271" xr:uid="{00000000-0005-0000-0000-0000B2630000}"/>
    <cellStyle name="Output 2 11 6 5 2" xfId="16726" xr:uid="{00000000-0005-0000-0000-0000B3630000}"/>
    <cellStyle name="Output 2 11 6 5 3" xfId="16730" xr:uid="{00000000-0005-0000-0000-0000B4630000}"/>
    <cellStyle name="Output 2 11 6 6" xfId="30272" xr:uid="{00000000-0005-0000-0000-0000B5630000}"/>
    <cellStyle name="Output 2 11 6 7" xfId="30273" xr:uid="{00000000-0005-0000-0000-0000B6630000}"/>
    <cellStyle name="Output 2 11 7" xfId="12409" xr:uid="{00000000-0005-0000-0000-0000B7630000}"/>
    <cellStyle name="Output 2 11 7 2" xfId="12413" xr:uid="{00000000-0005-0000-0000-0000B8630000}"/>
    <cellStyle name="Output 2 11 7 2 2" xfId="12646" xr:uid="{00000000-0005-0000-0000-0000B9630000}"/>
    <cellStyle name="Output 2 11 7 2 3" xfId="12656" xr:uid="{00000000-0005-0000-0000-0000BA630000}"/>
    <cellStyle name="Output 2 11 7 2 4" xfId="12664" xr:uid="{00000000-0005-0000-0000-0000BB630000}"/>
    <cellStyle name="Output 2 11 7 3" xfId="12417" xr:uid="{00000000-0005-0000-0000-0000BC630000}"/>
    <cellStyle name="Output 2 11 7 3 2" xfId="16838" xr:uid="{00000000-0005-0000-0000-0000BD630000}"/>
    <cellStyle name="Output 2 11 7 3 3" xfId="29238" xr:uid="{00000000-0005-0000-0000-0000BE630000}"/>
    <cellStyle name="Output 2 11 7 3 4" xfId="25697" xr:uid="{00000000-0005-0000-0000-0000BF630000}"/>
    <cellStyle name="Output 2 11 7 4" xfId="29240" xr:uid="{00000000-0005-0000-0000-0000C0630000}"/>
    <cellStyle name="Output 2 11 7 4 2" xfId="30274" xr:uid="{00000000-0005-0000-0000-0000C1630000}"/>
    <cellStyle name="Output 2 11 7 4 3" xfId="30275" xr:uid="{00000000-0005-0000-0000-0000C2630000}"/>
    <cellStyle name="Output 2 11 7 5" xfId="29242" xr:uid="{00000000-0005-0000-0000-0000C3630000}"/>
    <cellStyle name="Output 2 11 7 5 2" xfId="30276" xr:uid="{00000000-0005-0000-0000-0000C4630000}"/>
    <cellStyle name="Output 2 11 7 5 3" xfId="30277" xr:uid="{00000000-0005-0000-0000-0000C5630000}"/>
    <cellStyle name="Output 2 11 7 6" xfId="30278" xr:uid="{00000000-0005-0000-0000-0000C6630000}"/>
    <cellStyle name="Output 2 11 7 7" xfId="18707" xr:uid="{00000000-0005-0000-0000-0000C7630000}"/>
    <cellStyle name="Output 2 11 8" xfId="12419" xr:uid="{00000000-0005-0000-0000-0000C8630000}"/>
    <cellStyle name="Output 2 11 8 2" xfId="29254" xr:uid="{00000000-0005-0000-0000-0000C9630000}"/>
    <cellStyle name="Output 2 11 8 2 2" xfId="13391" xr:uid="{00000000-0005-0000-0000-0000CA630000}"/>
    <cellStyle name="Output 2 11 8 2 3" xfId="13394" xr:uid="{00000000-0005-0000-0000-0000CB630000}"/>
    <cellStyle name="Output 2 11 8 2 4" xfId="13397" xr:uid="{00000000-0005-0000-0000-0000CC630000}"/>
    <cellStyle name="Output 2 11 8 3" xfId="29257" xr:uid="{00000000-0005-0000-0000-0000CD630000}"/>
    <cellStyle name="Output 2 11 8 3 2" xfId="16862" xr:uid="{00000000-0005-0000-0000-0000CE630000}"/>
    <cellStyle name="Output 2 11 8 3 3" xfId="29259" xr:uid="{00000000-0005-0000-0000-0000CF630000}"/>
    <cellStyle name="Output 2 11 8 3 4" xfId="25925" xr:uid="{00000000-0005-0000-0000-0000D0630000}"/>
    <cellStyle name="Output 2 11 8 4" xfId="29261" xr:uid="{00000000-0005-0000-0000-0000D1630000}"/>
    <cellStyle name="Output 2 11 8 4 2" xfId="30279" xr:uid="{00000000-0005-0000-0000-0000D2630000}"/>
    <cellStyle name="Output 2 11 8 4 3" xfId="30280" xr:uid="{00000000-0005-0000-0000-0000D3630000}"/>
    <cellStyle name="Output 2 11 8 5" xfId="29263" xr:uid="{00000000-0005-0000-0000-0000D4630000}"/>
    <cellStyle name="Output 2 11 8 5 2" xfId="26146" xr:uid="{00000000-0005-0000-0000-0000D5630000}"/>
    <cellStyle name="Output 2 11 8 5 3" xfId="26148" xr:uid="{00000000-0005-0000-0000-0000D6630000}"/>
    <cellStyle name="Output 2 11 8 6" xfId="30281" xr:uid="{00000000-0005-0000-0000-0000D7630000}"/>
    <cellStyle name="Output 2 11 8 7" xfId="30282" xr:uid="{00000000-0005-0000-0000-0000D8630000}"/>
    <cellStyle name="Output 2 11 9" xfId="12421" xr:uid="{00000000-0005-0000-0000-0000D9630000}"/>
    <cellStyle name="Output 2 11 9 2" xfId="29275" xr:uid="{00000000-0005-0000-0000-0000DA630000}"/>
    <cellStyle name="Output 2 11 9 2 2" xfId="14023" xr:uid="{00000000-0005-0000-0000-0000DB630000}"/>
    <cellStyle name="Output 2 11 9 2 3" xfId="14028" xr:uid="{00000000-0005-0000-0000-0000DC630000}"/>
    <cellStyle name="Output 2 11 9 2 4" xfId="14032" xr:uid="{00000000-0005-0000-0000-0000DD630000}"/>
    <cellStyle name="Output 2 11 9 3" xfId="29278" xr:uid="{00000000-0005-0000-0000-0000DE630000}"/>
    <cellStyle name="Output 2 11 9 3 2" xfId="16896" xr:uid="{00000000-0005-0000-0000-0000DF630000}"/>
    <cellStyle name="Output 2 11 9 3 3" xfId="24952" xr:uid="{00000000-0005-0000-0000-0000E0630000}"/>
    <cellStyle name="Output 2 11 9 3 4" xfId="30283" xr:uid="{00000000-0005-0000-0000-0000E1630000}"/>
    <cellStyle name="Output 2 11 9 4" xfId="29280" xr:uid="{00000000-0005-0000-0000-0000E2630000}"/>
    <cellStyle name="Output 2 11 9 4 2" xfId="24965" xr:uid="{00000000-0005-0000-0000-0000E3630000}"/>
    <cellStyle name="Output 2 11 9 4 3" xfId="24967" xr:uid="{00000000-0005-0000-0000-0000E4630000}"/>
    <cellStyle name="Output 2 11 9 5" xfId="29282" xr:uid="{00000000-0005-0000-0000-0000E5630000}"/>
    <cellStyle name="Output 2 11 9 5 2" xfId="24971" xr:uid="{00000000-0005-0000-0000-0000E6630000}"/>
    <cellStyle name="Output 2 11 9 5 3" xfId="24974" xr:uid="{00000000-0005-0000-0000-0000E7630000}"/>
    <cellStyle name="Output 2 11 9 6" xfId="30285" xr:uid="{00000000-0005-0000-0000-0000E8630000}"/>
    <cellStyle name="Output 2 11 9 7" xfId="30286" xr:uid="{00000000-0005-0000-0000-0000E9630000}"/>
    <cellStyle name="Output 2 12" xfId="30287" xr:uid="{00000000-0005-0000-0000-0000EA630000}"/>
    <cellStyle name="Output 2 12 10" xfId="30288" xr:uid="{00000000-0005-0000-0000-0000EB630000}"/>
    <cellStyle name="Output 2 12 10 2" xfId="30289" xr:uid="{00000000-0005-0000-0000-0000EC630000}"/>
    <cellStyle name="Output 2 12 10 2 2" xfId="11952" xr:uid="{00000000-0005-0000-0000-0000ED630000}"/>
    <cellStyle name="Output 2 12 10 2 3" xfId="11958" xr:uid="{00000000-0005-0000-0000-0000EE630000}"/>
    <cellStyle name="Output 2 12 10 2 4" xfId="11964" xr:uid="{00000000-0005-0000-0000-0000EF630000}"/>
    <cellStyle name="Output 2 12 10 3" xfId="27688" xr:uid="{00000000-0005-0000-0000-0000F0630000}"/>
    <cellStyle name="Output 2 12 10 3 2" xfId="11993" xr:uid="{00000000-0005-0000-0000-0000F1630000}"/>
    <cellStyle name="Output 2 12 10 3 3" xfId="12007" xr:uid="{00000000-0005-0000-0000-0000F2630000}"/>
    <cellStyle name="Output 2 12 10 3 4" xfId="12018" xr:uid="{00000000-0005-0000-0000-0000F3630000}"/>
    <cellStyle name="Output 2 12 10 4" xfId="27690" xr:uid="{00000000-0005-0000-0000-0000F4630000}"/>
    <cellStyle name="Output 2 12 10 4 2" xfId="12047" xr:uid="{00000000-0005-0000-0000-0000F5630000}"/>
    <cellStyle name="Output 2 12 10 4 3" xfId="12060" xr:uid="{00000000-0005-0000-0000-0000F6630000}"/>
    <cellStyle name="Output 2 12 10 5" xfId="27692" xr:uid="{00000000-0005-0000-0000-0000F7630000}"/>
    <cellStyle name="Output 2 12 10 5 2" xfId="12091" xr:uid="{00000000-0005-0000-0000-0000F8630000}"/>
    <cellStyle name="Output 2 12 10 5 3" xfId="12101" xr:uid="{00000000-0005-0000-0000-0000F9630000}"/>
    <cellStyle name="Output 2 12 10 6" xfId="27694" xr:uid="{00000000-0005-0000-0000-0000FA630000}"/>
    <cellStyle name="Output 2 12 10 7" xfId="17184" xr:uid="{00000000-0005-0000-0000-0000FB630000}"/>
    <cellStyle name="Output 2 12 11" xfId="30291" xr:uid="{00000000-0005-0000-0000-0000FC630000}"/>
    <cellStyle name="Output 2 12 11 2" xfId="11269" xr:uid="{00000000-0005-0000-0000-0000FD630000}"/>
    <cellStyle name="Output 2 12 11 2 2" xfId="11272" xr:uid="{00000000-0005-0000-0000-0000FE630000}"/>
    <cellStyle name="Output 2 12 11 2 3" xfId="11275" xr:uid="{00000000-0005-0000-0000-0000FF630000}"/>
    <cellStyle name="Output 2 12 11 2 4" xfId="11278" xr:uid="{00000000-0005-0000-0000-000000640000}"/>
    <cellStyle name="Output 2 12 11 3" xfId="11281" xr:uid="{00000000-0005-0000-0000-000001640000}"/>
    <cellStyle name="Output 2 12 11 3 2" xfId="11286" xr:uid="{00000000-0005-0000-0000-000002640000}"/>
    <cellStyle name="Output 2 12 11 3 3" xfId="11291" xr:uid="{00000000-0005-0000-0000-000003640000}"/>
    <cellStyle name="Output 2 12 11 3 4" xfId="12314" xr:uid="{00000000-0005-0000-0000-000004640000}"/>
    <cellStyle name="Output 2 12 11 4" xfId="11294" xr:uid="{00000000-0005-0000-0000-000005640000}"/>
    <cellStyle name="Output 2 12 11 4 2" xfId="11300" xr:uid="{00000000-0005-0000-0000-000006640000}"/>
    <cellStyle name="Output 2 12 11 4 3" xfId="11306" xr:uid="{00000000-0005-0000-0000-000007640000}"/>
    <cellStyle name="Output 2 12 11 5" xfId="11309" xr:uid="{00000000-0005-0000-0000-000008640000}"/>
    <cellStyle name="Output 2 12 11 5 2" xfId="12401" xr:uid="{00000000-0005-0000-0000-000009640000}"/>
    <cellStyle name="Output 2 12 11 5 3" xfId="12410" xr:uid="{00000000-0005-0000-0000-00000A640000}"/>
    <cellStyle name="Output 2 12 11 6" xfId="11312" xr:uid="{00000000-0005-0000-0000-00000B640000}"/>
    <cellStyle name="Output 2 12 11 7" xfId="17194" xr:uid="{00000000-0005-0000-0000-00000C640000}"/>
    <cellStyle name="Output 2 12 12" xfId="30293" xr:uid="{00000000-0005-0000-0000-00000D640000}"/>
    <cellStyle name="Output 2 12 12 2" xfId="11316" xr:uid="{00000000-0005-0000-0000-00000E640000}"/>
    <cellStyle name="Output 2 12 12 2 2" xfId="14713" xr:uid="{00000000-0005-0000-0000-00000F640000}"/>
    <cellStyle name="Output 2 12 12 2 3" xfId="30295" xr:uid="{00000000-0005-0000-0000-000010640000}"/>
    <cellStyle name="Output 2 12 12 2 4" xfId="30296" xr:uid="{00000000-0005-0000-0000-000011640000}"/>
    <cellStyle name="Output 2 12 12 3" xfId="11319" xr:uid="{00000000-0005-0000-0000-000012640000}"/>
    <cellStyle name="Output 2 12 12 3 2" xfId="14720" xr:uid="{00000000-0005-0000-0000-000013640000}"/>
    <cellStyle name="Output 2 12 12 3 3" xfId="27697" xr:uid="{00000000-0005-0000-0000-000014640000}"/>
    <cellStyle name="Output 2 12 12 3 4" xfId="27699" xr:uid="{00000000-0005-0000-0000-000015640000}"/>
    <cellStyle name="Output 2 12 12 4" xfId="27701" xr:uid="{00000000-0005-0000-0000-000016640000}"/>
    <cellStyle name="Output 2 12 12 4 2" xfId="19249" xr:uid="{00000000-0005-0000-0000-000017640000}"/>
    <cellStyle name="Output 2 12 12 4 3" xfId="19460" xr:uid="{00000000-0005-0000-0000-000018640000}"/>
    <cellStyle name="Output 2 12 12 5" xfId="27703" xr:uid="{00000000-0005-0000-0000-000019640000}"/>
    <cellStyle name="Output 2 12 12 5 2" xfId="27706" xr:uid="{00000000-0005-0000-0000-00001A640000}"/>
    <cellStyle name="Output 2 12 12 5 3" xfId="27708" xr:uid="{00000000-0005-0000-0000-00001B640000}"/>
    <cellStyle name="Output 2 12 12 6" xfId="27710" xr:uid="{00000000-0005-0000-0000-00001C640000}"/>
    <cellStyle name="Output 2 12 12 7" xfId="17199" xr:uid="{00000000-0005-0000-0000-00001D640000}"/>
    <cellStyle name="Output 2 12 13" xfId="30297" xr:uid="{00000000-0005-0000-0000-00001E640000}"/>
    <cellStyle name="Output 2 12 13 2" xfId="11324" xr:uid="{00000000-0005-0000-0000-00001F640000}"/>
    <cellStyle name="Output 2 12 13 3" xfId="11328" xr:uid="{00000000-0005-0000-0000-000020640000}"/>
    <cellStyle name="Output 2 12 13 4" xfId="27715" xr:uid="{00000000-0005-0000-0000-000021640000}"/>
    <cellStyle name="Output 2 12 14" xfId="30298" xr:uid="{00000000-0005-0000-0000-000022640000}"/>
    <cellStyle name="Output 2 12 14 2" xfId="11333" xr:uid="{00000000-0005-0000-0000-000023640000}"/>
    <cellStyle name="Output 2 12 14 3" xfId="27724" xr:uid="{00000000-0005-0000-0000-000024640000}"/>
    <cellStyle name="Output 2 12 14 4" xfId="27728" xr:uid="{00000000-0005-0000-0000-000025640000}"/>
    <cellStyle name="Output 2 12 15" xfId="30299" xr:uid="{00000000-0005-0000-0000-000026640000}"/>
    <cellStyle name="Output 2 12 15 2" xfId="11339" xr:uid="{00000000-0005-0000-0000-000027640000}"/>
    <cellStyle name="Output 2 12 15 3" xfId="23828" xr:uid="{00000000-0005-0000-0000-000028640000}"/>
    <cellStyle name="Output 2 12 16" xfId="18583" xr:uid="{00000000-0005-0000-0000-000029640000}"/>
    <cellStyle name="Output 2 12 16 2" xfId="22876" xr:uid="{00000000-0005-0000-0000-00002A640000}"/>
    <cellStyle name="Output 2 12 16 3" xfId="22882" xr:uid="{00000000-0005-0000-0000-00002B640000}"/>
    <cellStyle name="Output 2 12 17" xfId="18585" xr:uid="{00000000-0005-0000-0000-00002C640000}"/>
    <cellStyle name="Output 2 12 18" xfId="18587" xr:uid="{00000000-0005-0000-0000-00002D640000}"/>
    <cellStyle name="Output 2 12 19" xfId="30301" xr:uid="{00000000-0005-0000-0000-00002E640000}"/>
    <cellStyle name="Output 2 12 2" xfId="30302" xr:uid="{00000000-0005-0000-0000-00002F640000}"/>
    <cellStyle name="Output 2 12 2 10" xfId="30303" xr:uid="{00000000-0005-0000-0000-000030640000}"/>
    <cellStyle name="Output 2 12 2 10 2" xfId="30304" xr:uid="{00000000-0005-0000-0000-000031640000}"/>
    <cellStyle name="Output 2 12 2 10 2 2" xfId="30305" xr:uid="{00000000-0005-0000-0000-000032640000}"/>
    <cellStyle name="Output 2 12 2 10 2 3" xfId="30306" xr:uid="{00000000-0005-0000-0000-000033640000}"/>
    <cellStyle name="Output 2 12 2 10 2 4" xfId="30307" xr:uid="{00000000-0005-0000-0000-000034640000}"/>
    <cellStyle name="Output 2 12 2 10 3" xfId="16629" xr:uid="{00000000-0005-0000-0000-000035640000}"/>
    <cellStyle name="Output 2 12 2 10 3 2" xfId="30308" xr:uid="{00000000-0005-0000-0000-000036640000}"/>
    <cellStyle name="Output 2 12 2 10 3 3" xfId="30309" xr:uid="{00000000-0005-0000-0000-000037640000}"/>
    <cellStyle name="Output 2 12 2 10 3 4" xfId="30310" xr:uid="{00000000-0005-0000-0000-000038640000}"/>
    <cellStyle name="Output 2 12 2 10 4" xfId="16632" xr:uid="{00000000-0005-0000-0000-000039640000}"/>
    <cellStyle name="Output 2 12 2 10 4 2" xfId="30311" xr:uid="{00000000-0005-0000-0000-00003A640000}"/>
    <cellStyle name="Output 2 12 2 10 4 3" xfId="30312" xr:uid="{00000000-0005-0000-0000-00003B640000}"/>
    <cellStyle name="Output 2 12 2 10 5" xfId="30313" xr:uid="{00000000-0005-0000-0000-00003C640000}"/>
    <cellStyle name="Output 2 12 2 10 5 2" xfId="30314" xr:uid="{00000000-0005-0000-0000-00003D640000}"/>
    <cellStyle name="Output 2 12 2 10 5 3" xfId="30315" xr:uid="{00000000-0005-0000-0000-00003E640000}"/>
    <cellStyle name="Output 2 12 2 10 6" xfId="30316" xr:uid="{00000000-0005-0000-0000-00003F640000}"/>
    <cellStyle name="Output 2 12 2 10 7" xfId="30317" xr:uid="{00000000-0005-0000-0000-000040640000}"/>
    <cellStyle name="Output 2 12 2 11" xfId="30318" xr:uid="{00000000-0005-0000-0000-000041640000}"/>
    <cellStyle name="Output 2 12 2 11 2" xfId="30319" xr:uid="{00000000-0005-0000-0000-000042640000}"/>
    <cellStyle name="Output 2 12 2 11 3" xfId="16638" xr:uid="{00000000-0005-0000-0000-000043640000}"/>
    <cellStyle name="Output 2 12 2 11 4" xfId="16640" xr:uid="{00000000-0005-0000-0000-000044640000}"/>
    <cellStyle name="Output 2 12 2 12" xfId="30320" xr:uid="{00000000-0005-0000-0000-000045640000}"/>
    <cellStyle name="Output 2 12 2 12 2" xfId="21010" xr:uid="{00000000-0005-0000-0000-000046640000}"/>
    <cellStyle name="Output 2 12 2 12 3" xfId="30321" xr:uid="{00000000-0005-0000-0000-000047640000}"/>
    <cellStyle name="Output 2 12 2 12 4" xfId="30322" xr:uid="{00000000-0005-0000-0000-000048640000}"/>
    <cellStyle name="Output 2 12 2 13" xfId="30323" xr:uid="{00000000-0005-0000-0000-000049640000}"/>
    <cellStyle name="Output 2 12 2 13 2" xfId="30324" xr:uid="{00000000-0005-0000-0000-00004A640000}"/>
    <cellStyle name="Output 2 12 2 13 3" xfId="30325" xr:uid="{00000000-0005-0000-0000-00004B640000}"/>
    <cellStyle name="Output 2 12 2 14" xfId="30326" xr:uid="{00000000-0005-0000-0000-00004C640000}"/>
    <cellStyle name="Output 2 12 2 14 2" xfId="26240" xr:uid="{00000000-0005-0000-0000-00004D640000}"/>
    <cellStyle name="Output 2 12 2 14 3" xfId="30327" xr:uid="{00000000-0005-0000-0000-00004E640000}"/>
    <cellStyle name="Output 2 12 2 15" xfId="30328" xr:uid="{00000000-0005-0000-0000-00004F640000}"/>
    <cellStyle name="Output 2 12 2 16" xfId="8879" xr:uid="{00000000-0005-0000-0000-000050640000}"/>
    <cellStyle name="Output 2 12 2 2" xfId="30329" xr:uid="{00000000-0005-0000-0000-000051640000}"/>
    <cellStyle name="Output 2 12 2 2 2" xfId="30331" xr:uid="{00000000-0005-0000-0000-000052640000}"/>
    <cellStyle name="Output 2 12 2 2 2 2" xfId="1031" xr:uid="{00000000-0005-0000-0000-000053640000}"/>
    <cellStyle name="Output 2 12 2 2 2 3" xfId="5685" xr:uid="{00000000-0005-0000-0000-000054640000}"/>
    <cellStyle name="Output 2 12 2 2 2 4" xfId="5693" xr:uid="{00000000-0005-0000-0000-000055640000}"/>
    <cellStyle name="Output 2 12 2 2 3" xfId="30333" xr:uid="{00000000-0005-0000-0000-000056640000}"/>
    <cellStyle name="Output 2 12 2 2 3 2" xfId="4450" xr:uid="{00000000-0005-0000-0000-000057640000}"/>
    <cellStyle name="Output 2 12 2 2 3 3" xfId="5700" xr:uid="{00000000-0005-0000-0000-000058640000}"/>
    <cellStyle name="Output 2 12 2 2 3 4" xfId="5706" xr:uid="{00000000-0005-0000-0000-000059640000}"/>
    <cellStyle name="Output 2 12 2 2 4" xfId="30335" xr:uid="{00000000-0005-0000-0000-00005A640000}"/>
    <cellStyle name="Output 2 12 2 2 4 2" xfId="4473" xr:uid="{00000000-0005-0000-0000-00005B640000}"/>
    <cellStyle name="Output 2 12 2 2 4 3" xfId="5724" xr:uid="{00000000-0005-0000-0000-00005C640000}"/>
    <cellStyle name="Output 2 12 2 2 5" xfId="30337" xr:uid="{00000000-0005-0000-0000-00005D640000}"/>
    <cellStyle name="Output 2 12 2 2 5 2" xfId="1372" xr:uid="{00000000-0005-0000-0000-00005E640000}"/>
    <cellStyle name="Output 2 12 2 2 5 3" xfId="1722" xr:uid="{00000000-0005-0000-0000-00005F640000}"/>
    <cellStyle name="Output 2 12 2 2 6" xfId="30338" xr:uid="{00000000-0005-0000-0000-000060640000}"/>
    <cellStyle name="Output 2 12 2 2 7" xfId="30339" xr:uid="{00000000-0005-0000-0000-000061640000}"/>
    <cellStyle name="Output 2 12 2 3" xfId="23036" xr:uid="{00000000-0005-0000-0000-000062640000}"/>
    <cellStyle name="Output 2 12 2 3 2" xfId="23039" xr:uid="{00000000-0005-0000-0000-000063640000}"/>
    <cellStyle name="Output 2 12 2 3 2 2" xfId="21502" xr:uid="{00000000-0005-0000-0000-000064640000}"/>
    <cellStyle name="Output 2 12 2 3 2 3" xfId="21508" xr:uid="{00000000-0005-0000-0000-000065640000}"/>
    <cellStyle name="Output 2 12 2 3 2 4" xfId="11169" xr:uid="{00000000-0005-0000-0000-000066640000}"/>
    <cellStyle name="Output 2 12 2 3 3" xfId="23042" xr:uid="{00000000-0005-0000-0000-000067640000}"/>
    <cellStyle name="Output 2 12 2 3 3 2" xfId="21526" xr:uid="{00000000-0005-0000-0000-000068640000}"/>
    <cellStyle name="Output 2 12 2 3 3 3" xfId="21534" xr:uid="{00000000-0005-0000-0000-000069640000}"/>
    <cellStyle name="Output 2 12 2 3 3 4" xfId="11176" xr:uid="{00000000-0005-0000-0000-00006A640000}"/>
    <cellStyle name="Output 2 12 2 3 4" xfId="23045" xr:uid="{00000000-0005-0000-0000-00006B640000}"/>
    <cellStyle name="Output 2 12 2 3 4 2" xfId="21555" xr:uid="{00000000-0005-0000-0000-00006C640000}"/>
    <cellStyle name="Output 2 12 2 3 4 3" xfId="21564" xr:uid="{00000000-0005-0000-0000-00006D640000}"/>
    <cellStyle name="Output 2 12 2 3 5" xfId="30340" xr:uid="{00000000-0005-0000-0000-00006E640000}"/>
    <cellStyle name="Output 2 12 2 3 5 2" xfId="1553" xr:uid="{00000000-0005-0000-0000-00006F640000}"/>
    <cellStyle name="Output 2 12 2 3 5 3" xfId="2057" xr:uid="{00000000-0005-0000-0000-000070640000}"/>
    <cellStyle name="Output 2 12 2 3 6" xfId="12278" xr:uid="{00000000-0005-0000-0000-000071640000}"/>
    <cellStyle name="Output 2 12 2 3 7" xfId="12281" xr:uid="{00000000-0005-0000-0000-000072640000}"/>
    <cellStyle name="Output 2 12 2 4" xfId="23049" xr:uid="{00000000-0005-0000-0000-000073640000}"/>
    <cellStyle name="Output 2 12 2 4 2" xfId="23052" xr:uid="{00000000-0005-0000-0000-000074640000}"/>
    <cellStyle name="Output 2 12 2 4 2 2" xfId="22144" xr:uid="{00000000-0005-0000-0000-000075640000}"/>
    <cellStyle name="Output 2 12 2 4 2 3" xfId="22148" xr:uid="{00000000-0005-0000-0000-000076640000}"/>
    <cellStyle name="Output 2 12 2 4 2 4" xfId="11197" xr:uid="{00000000-0005-0000-0000-000077640000}"/>
    <cellStyle name="Output 2 12 2 4 3" xfId="23055" xr:uid="{00000000-0005-0000-0000-000078640000}"/>
    <cellStyle name="Output 2 12 2 4 3 2" xfId="1524" xr:uid="{00000000-0005-0000-0000-000079640000}"/>
    <cellStyle name="Output 2 12 2 4 3 3" xfId="1529" xr:uid="{00000000-0005-0000-0000-00007A640000}"/>
    <cellStyle name="Output 2 12 2 4 3 4" xfId="206" xr:uid="{00000000-0005-0000-0000-00007B640000}"/>
    <cellStyle name="Output 2 12 2 4 4" xfId="23058" xr:uid="{00000000-0005-0000-0000-00007C640000}"/>
    <cellStyle name="Output 2 12 2 4 4 2" xfId="22192" xr:uid="{00000000-0005-0000-0000-00007D640000}"/>
    <cellStyle name="Output 2 12 2 4 4 3" xfId="22199" xr:uid="{00000000-0005-0000-0000-00007E640000}"/>
    <cellStyle name="Output 2 12 2 4 5" xfId="30342" xr:uid="{00000000-0005-0000-0000-00007F640000}"/>
    <cellStyle name="Output 2 12 2 4 5 2" xfId="2149" xr:uid="{00000000-0005-0000-0000-000080640000}"/>
    <cellStyle name="Output 2 12 2 4 5 3" xfId="2154" xr:uid="{00000000-0005-0000-0000-000081640000}"/>
    <cellStyle name="Output 2 12 2 4 6" xfId="12287" xr:uid="{00000000-0005-0000-0000-000082640000}"/>
    <cellStyle name="Output 2 12 2 4 7" xfId="12290" xr:uid="{00000000-0005-0000-0000-000083640000}"/>
    <cellStyle name="Output 2 12 2 5" xfId="23063" xr:uid="{00000000-0005-0000-0000-000084640000}"/>
    <cellStyle name="Output 2 12 2 5 2" xfId="23067" xr:uid="{00000000-0005-0000-0000-000085640000}"/>
    <cellStyle name="Output 2 12 2 5 2 2" xfId="22716" xr:uid="{00000000-0005-0000-0000-000086640000}"/>
    <cellStyle name="Output 2 12 2 5 2 3" xfId="22718" xr:uid="{00000000-0005-0000-0000-000087640000}"/>
    <cellStyle name="Output 2 12 2 5 2 4" xfId="11227" xr:uid="{00000000-0005-0000-0000-000088640000}"/>
    <cellStyle name="Output 2 12 2 5 3" xfId="23069" xr:uid="{00000000-0005-0000-0000-000089640000}"/>
    <cellStyle name="Output 2 12 2 5 3 2" xfId="10482" xr:uid="{00000000-0005-0000-0000-00008A640000}"/>
    <cellStyle name="Output 2 12 2 5 3 3" xfId="10489" xr:uid="{00000000-0005-0000-0000-00008B640000}"/>
    <cellStyle name="Output 2 12 2 5 3 4" xfId="10493" xr:uid="{00000000-0005-0000-0000-00008C640000}"/>
    <cellStyle name="Output 2 12 2 5 4" xfId="30344" xr:uid="{00000000-0005-0000-0000-00008D640000}"/>
    <cellStyle name="Output 2 12 2 5 4 2" xfId="22728" xr:uid="{00000000-0005-0000-0000-00008E640000}"/>
    <cellStyle name="Output 2 12 2 5 4 3" xfId="22733" xr:uid="{00000000-0005-0000-0000-00008F640000}"/>
    <cellStyle name="Output 2 12 2 5 5" xfId="30347" xr:uid="{00000000-0005-0000-0000-000090640000}"/>
    <cellStyle name="Output 2 12 2 5 5 2" xfId="22753" xr:uid="{00000000-0005-0000-0000-000091640000}"/>
    <cellStyle name="Output 2 12 2 5 5 3" xfId="22759" xr:uid="{00000000-0005-0000-0000-000092640000}"/>
    <cellStyle name="Output 2 12 2 5 6" xfId="12297" xr:uid="{00000000-0005-0000-0000-000093640000}"/>
    <cellStyle name="Output 2 12 2 5 7" xfId="12301" xr:uid="{00000000-0005-0000-0000-000094640000}"/>
    <cellStyle name="Output 2 12 2 6" xfId="23072" xr:uid="{00000000-0005-0000-0000-000095640000}"/>
    <cellStyle name="Output 2 12 2 6 2" xfId="23076" xr:uid="{00000000-0005-0000-0000-000096640000}"/>
    <cellStyle name="Output 2 12 2 6 2 2" xfId="5821" xr:uid="{00000000-0005-0000-0000-000097640000}"/>
    <cellStyle name="Output 2 12 2 6 2 3" xfId="5826" xr:uid="{00000000-0005-0000-0000-000098640000}"/>
    <cellStyle name="Output 2 12 2 6 2 4" xfId="5832" xr:uid="{00000000-0005-0000-0000-000099640000}"/>
    <cellStyle name="Output 2 12 2 6 3" xfId="23078" xr:uid="{00000000-0005-0000-0000-00009A640000}"/>
    <cellStyle name="Output 2 12 2 6 3 2" xfId="5854" xr:uid="{00000000-0005-0000-0000-00009B640000}"/>
    <cellStyle name="Output 2 12 2 6 3 3" xfId="5861" xr:uid="{00000000-0005-0000-0000-00009C640000}"/>
    <cellStyle name="Output 2 12 2 6 3 4" xfId="5871" xr:uid="{00000000-0005-0000-0000-00009D640000}"/>
    <cellStyle name="Output 2 12 2 6 4" xfId="30350" xr:uid="{00000000-0005-0000-0000-00009E640000}"/>
    <cellStyle name="Output 2 12 2 6 4 2" xfId="368" xr:uid="{00000000-0005-0000-0000-00009F640000}"/>
    <cellStyle name="Output 2 12 2 6 4 3" xfId="376" xr:uid="{00000000-0005-0000-0000-0000A0640000}"/>
    <cellStyle name="Output 2 12 2 6 5" xfId="30353" xr:uid="{00000000-0005-0000-0000-0000A1640000}"/>
    <cellStyle name="Output 2 12 2 6 5 2" xfId="5911" xr:uid="{00000000-0005-0000-0000-0000A2640000}"/>
    <cellStyle name="Output 2 12 2 6 5 3" xfId="5920" xr:uid="{00000000-0005-0000-0000-0000A3640000}"/>
    <cellStyle name="Output 2 12 2 6 6" xfId="12305" xr:uid="{00000000-0005-0000-0000-0000A4640000}"/>
    <cellStyle name="Output 2 12 2 6 7" xfId="12309" xr:uid="{00000000-0005-0000-0000-0000A5640000}"/>
    <cellStyle name="Output 2 12 2 7" xfId="23081" xr:uid="{00000000-0005-0000-0000-0000A6640000}"/>
    <cellStyle name="Output 2 12 2 7 2" xfId="30356" xr:uid="{00000000-0005-0000-0000-0000A7640000}"/>
    <cellStyle name="Output 2 12 2 7 2 2" xfId="6056" xr:uid="{00000000-0005-0000-0000-0000A8640000}"/>
    <cellStyle name="Output 2 12 2 7 2 3" xfId="6061" xr:uid="{00000000-0005-0000-0000-0000A9640000}"/>
    <cellStyle name="Output 2 12 2 7 2 4" xfId="1255" xr:uid="{00000000-0005-0000-0000-0000AA640000}"/>
    <cellStyle name="Output 2 12 2 7 3" xfId="30357" xr:uid="{00000000-0005-0000-0000-0000AB640000}"/>
    <cellStyle name="Output 2 12 2 7 3 2" xfId="6084" xr:uid="{00000000-0005-0000-0000-0000AC640000}"/>
    <cellStyle name="Output 2 12 2 7 3 3" xfId="6089" xr:uid="{00000000-0005-0000-0000-0000AD640000}"/>
    <cellStyle name="Output 2 12 2 7 3 4" xfId="6099" xr:uid="{00000000-0005-0000-0000-0000AE640000}"/>
    <cellStyle name="Output 2 12 2 7 4" xfId="30358" xr:uid="{00000000-0005-0000-0000-0000AF640000}"/>
    <cellStyle name="Output 2 12 2 7 4 2" xfId="616" xr:uid="{00000000-0005-0000-0000-0000B0640000}"/>
    <cellStyle name="Output 2 12 2 7 4 3" xfId="495" xr:uid="{00000000-0005-0000-0000-0000B1640000}"/>
    <cellStyle name="Output 2 12 2 7 5" xfId="30362" xr:uid="{00000000-0005-0000-0000-0000B2640000}"/>
    <cellStyle name="Output 2 12 2 7 5 2" xfId="6124" xr:uid="{00000000-0005-0000-0000-0000B3640000}"/>
    <cellStyle name="Output 2 12 2 7 5 3" xfId="6129" xr:uid="{00000000-0005-0000-0000-0000B4640000}"/>
    <cellStyle name="Output 2 12 2 7 6" xfId="30366" xr:uid="{00000000-0005-0000-0000-0000B5640000}"/>
    <cellStyle name="Output 2 12 2 7 7" xfId="14033" xr:uid="{00000000-0005-0000-0000-0000B6640000}"/>
    <cellStyle name="Output 2 12 2 8" xfId="23085" xr:uid="{00000000-0005-0000-0000-0000B7640000}"/>
    <cellStyle name="Output 2 12 2 8 2" xfId="30369" xr:uid="{00000000-0005-0000-0000-0000B8640000}"/>
    <cellStyle name="Output 2 12 2 8 2 2" xfId="6208" xr:uid="{00000000-0005-0000-0000-0000B9640000}"/>
    <cellStyle name="Output 2 12 2 8 2 3" xfId="30370" xr:uid="{00000000-0005-0000-0000-0000BA640000}"/>
    <cellStyle name="Output 2 12 2 8 2 4" xfId="30371" xr:uid="{00000000-0005-0000-0000-0000BB640000}"/>
    <cellStyle name="Output 2 12 2 8 3" xfId="30372" xr:uid="{00000000-0005-0000-0000-0000BC640000}"/>
    <cellStyle name="Output 2 12 2 8 3 2" xfId="30373" xr:uid="{00000000-0005-0000-0000-0000BD640000}"/>
    <cellStyle name="Output 2 12 2 8 3 3" xfId="30374" xr:uid="{00000000-0005-0000-0000-0000BE640000}"/>
    <cellStyle name="Output 2 12 2 8 3 4" xfId="30375" xr:uid="{00000000-0005-0000-0000-0000BF640000}"/>
    <cellStyle name="Output 2 12 2 8 4" xfId="30376" xr:uid="{00000000-0005-0000-0000-0000C0640000}"/>
    <cellStyle name="Output 2 12 2 8 4 2" xfId="30380" xr:uid="{00000000-0005-0000-0000-0000C1640000}"/>
    <cellStyle name="Output 2 12 2 8 4 3" xfId="30382" xr:uid="{00000000-0005-0000-0000-0000C2640000}"/>
    <cellStyle name="Output 2 12 2 8 5" xfId="30384" xr:uid="{00000000-0005-0000-0000-0000C3640000}"/>
    <cellStyle name="Output 2 12 2 8 5 2" xfId="28397" xr:uid="{00000000-0005-0000-0000-0000C4640000}"/>
    <cellStyle name="Output 2 12 2 8 5 3" xfId="28401" xr:uid="{00000000-0005-0000-0000-0000C5640000}"/>
    <cellStyle name="Output 2 12 2 8 6" xfId="30388" xr:uid="{00000000-0005-0000-0000-0000C6640000}"/>
    <cellStyle name="Output 2 12 2 8 7" xfId="30391" xr:uid="{00000000-0005-0000-0000-0000C7640000}"/>
    <cellStyle name="Output 2 12 2 9" xfId="29523" xr:uid="{00000000-0005-0000-0000-0000C8640000}"/>
    <cellStyle name="Output 2 12 2 9 2" xfId="30393" xr:uid="{00000000-0005-0000-0000-0000C9640000}"/>
    <cellStyle name="Output 2 12 2 9 2 2" xfId="6227" xr:uid="{00000000-0005-0000-0000-0000CA640000}"/>
    <cellStyle name="Output 2 12 2 9 2 3" xfId="30394" xr:uid="{00000000-0005-0000-0000-0000CB640000}"/>
    <cellStyle name="Output 2 12 2 9 2 4" xfId="30395" xr:uid="{00000000-0005-0000-0000-0000CC640000}"/>
    <cellStyle name="Output 2 12 2 9 3" xfId="30396" xr:uid="{00000000-0005-0000-0000-0000CD640000}"/>
    <cellStyle name="Output 2 12 2 9 3 2" xfId="30397" xr:uid="{00000000-0005-0000-0000-0000CE640000}"/>
    <cellStyle name="Output 2 12 2 9 3 3" xfId="30398" xr:uid="{00000000-0005-0000-0000-0000CF640000}"/>
    <cellStyle name="Output 2 12 2 9 3 4" xfId="30399" xr:uid="{00000000-0005-0000-0000-0000D0640000}"/>
    <cellStyle name="Output 2 12 2 9 4" xfId="30400" xr:uid="{00000000-0005-0000-0000-0000D1640000}"/>
    <cellStyle name="Output 2 12 2 9 4 2" xfId="30403" xr:uid="{00000000-0005-0000-0000-0000D2640000}"/>
    <cellStyle name="Output 2 12 2 9 4 3" xfId="19255" xr:uid="{00000000-0005-0000-0000-0000D3640000}"/>
    <cellStyle name="Output 2 12 2 9 5" xfId="28557" xr:uid="{00000000-0005-0000-0000-0000D4640000}"/>
    <cellStyle name="Output 2 12 2 9 5 2" xfId="28561" xr:uid="{00000000-0005-0000-0000-0000D5640000}"/>
    <cellStyle name="Output 2 12 2 9 5 3" xfId="19263" xr:uid="{00000000-0005-0000-0000-0000D6640000}"/>
    <cellStyle name="Output 2 12 2 9 6" xfId="28564" xr:uid="{00000000-0005-0000-0000-0000D7640000}"/>
    <cellStyle name="Output 2 12 2 9 7" xfId="28567" xr:uid="{00000000-0005-0000-0000-0000D8640000}"/>
    <cellStyle name="Output 2 12 20" xfId="30300" xr:uid="{00000000-0005-0000-0000-0000D9640000}"/>
    <cellStyle name="Output 2 12 3" xfId="30405" xr:uid="{00000000-0005-0000-0000-0000DA640000}"/>
    <cellStyle name="Output 2 12 3 10" xfId="30406" xr:uid="{00000000-0005-0000-0000-0000DB640000}"/>
    <cellStyle name="Output 2 12 3 10 2" xfId="24103" xr:uid="{00000000-0005-0000-0000-0000DC640000}"/>
    <cellStyle name="Output 2 12 3 10 2 2" xfId="30407" xr:uid="{00000000-0005-0000-0000-0000DD640000}"/>
    <cellStyle name="Output 2 12 3 10 2 3" xfId="16593" xr:uid="{00000000-0005-0000-0000-0000DE640000}"/>
    <cellStyle name="Output 2 12 3 10 2 4" xfId="16595" xr:uid="{00000000-0005-0000-0000-0000DF640000}"/>
    <cellStyle name="Output 2 12 3 10 3" xfId="30408" xr:uid="{00000000-0005-0000-0000-0000E0640000}"/>
    <cellStyle name="Output 2 12 3 10 3 2" xfId="23664" xr:uid="{00000000-0005-0000-0000-0000E1640000}"/>
    <cellStyle name="Output 2 12 3 10 3 3" xfId="16600" xr:uid="{00000000-0005-0000-0000-0000E2640000}"/>
    <cellStyle name="Output 2 12 3 10 3 4" xfId="16604" xr:uid="{00000000-0005-0000-0000-0000E3640000}"/>
    <cellStyle name="Output 2 12 3 10 4" xfId="30409" xr:uid="{00000000-0005-0000-0000-0000E4640000}"/>
    <cellStyle name="Output 2 12 3 10 4 2" xfId="30410" xr:uid="{00000000-0005-0000-0000-0000E5640000}"/>
    <cellStyle name="Output 2 12 3 10 4 3" xfId="30411" xr:uid="{00000000-0005-0000-0000-0000E6640000}"/>
    <cellStyle name="Output 2 12 3 10 5" xfId="30412" xr:uid="{00000000-0005-0000-0000-0000E7640000}"/>
    <cellStyle name="Output 2 12 3 10 5 2" xfId="30413" xr:uid="{00000000-0005-0000-0000-0000E8640000}"/>
    <cellStyle name="Output 2 12 3 10 5 3" xfId="30414" xr:uid="{00000000-0005-0000-0000-0000E9640000}"/>
    <cellStyle name="Output 2 12 3 10 6" xfId="30415" xr:uid="{00000000-0005-0000-0000-0000EA640000}"/>
    <cellStyle name="Output 2 12 3 10 7" xfId="30416" xr:uid="{00000000-0005-0000-0000-0000EB640000}"/>
    <cellStyle name="Output 2 12 3 11" xfId="30417" xr:uid="{00000000-0005-0000-0000-0000EC640000}"/>
    <cellStyle name="Output 2 12 3 11 2" xfId="30418" xr:uid="{00000000-0005-0000-0000-0000ED640000}"/>
    <cellStyle name="Output 2 12 3 11 3" xfId="30419" xr:uid="{00000000-0005-0000-0000-0000EE640000}"/>
    <cellStyle name="Output 2 12 3 11 4" xfId="30420" xr:uid="{00000000-0005-0000-0000-0000EF640000}"/>
    <cellStyle name="Output 2 12 3 12" xfId="18019" xr:uid="{00000000-0005-0000-0000-0000F0640000}"/>
    <cellStyle name="Output 2 12 3 12 2" xfId="21669" xr:uid="{00000000-0005-0000-0000-0000F1640000}"/>
    <cellStyle name="Output 2 12 3 12 3" xfId="30421" xr:uid="{00000000-0005-0000-0000-0000F2640000}"/>
    <cellStyle name="Output 2 12 3 12 4" xfId="30422" xr:uid="{00000000-0005-0000-0000-0000F3640000}"/>
    <cellStyle name="Output 2 12 3 13" xfId="18021" xr:uid="{00000000-0005-0000-0000-0000F4640000}"/>
    <cellStyle name="Output 2 12 3 13 2" xfId="30423" xr:uid="{00000000-0005-0000-0000-0000F5640000}"/>
    <cellStyle name="Output 2 12 3 13 3" xfId="30424" xr:uid="{00000000-0005-0000-0000-0000F6640000}"/>
    <cellStyle name="Output 2 12 3 14" xfId="30425" xr:uid="{00000000-0005-0000-0000-0000F7640000}"/>
    <cellStyle name="Output 2 12 3 14 2" xfId="30427" xr:uid="{00000000-0005-0000-0000-0000F8640000}"/>
    <cellStyle name="Output 2 12 3 14 3" xfId="30428" xr:uid="{00000000-0005-0000-0000-0000F9640000}"/>
    <cellStyle name="Output 2 12 3 15" xfId="30429" xr:uid="{00000000-0005-0000-0000-0000FA640000}"/>
    <cellStyle name="Output 2 12 3 16" xfId="30431" xr:uid="{00000000-0005-0000-0000-0000FB640000}"/>
    <cellStyle name="Output 2 12 3 2" xfId="597" xr:uid="{00000000-0005-0000-0000-0000FC640000}"/>
    <cellStyle name="Output 2 12 3 2 2" xfId="30433" xr:uid="{00000000-0005-0000-0000-0000FD640000}"/>
    <cellStyle name="Output 2 12 3 2 2 2" xfId="30435" xr:uid="{00000000-0005-0000-0000-0000FE640000}"/>
    <cellStyle name="Output 2 12 3 2 2 3" xfId="30436" xr:uid="{00000000-0005-0000-0000-0000FF640000}"/>
    <cellStyle name="Output 2 12 3 2 2 4" xfId="11434" xr:uid="{00000000-0005-0000-0000-000000650000}"/>
    <cellStyle name="Output 2 12 3 2 3" xfId="30437" xr:uid="{00000000-0005-0000-0000-000001650000}"/>
    <cellStyle name="Output 2 12 3 2 3 2" xfId="30439" xr:uid="{00000000-0005-0000-0000-000002650000}"/>
    <cellStyle name="Output 2 12 3 2 3 3" xfId="30440" xr:uid="{00000000-0005-0000-0000-000003650000}"/>
    <cellStyle name="Output 2 12 3 2 3 4" xfId="11438" xr:uid="{00000000-0005-0000-0000-000004650000}"/>
    <cellStyle name="Output 2 12 3 2 4" xfId="30441" xr:uid="{00000000-0005-0000-0000-000005650000}"/>
    <cellStyle name="Output 2 12 3 2 4 2" xfId="30443" xr:uid="{00000000-0005-0000-0000-000006650000}"/>
    <cellStyle name="Output 2 12 3 2 4 3" xfId="30444" xr:uid="{00000000-0005-0000-0000-000007650000}"/>
    <cellStyle name="Output 2 12 3 2 5" xfId="30445" xr:uid="{00000000-0005-0000-0000-000008650000}"/>
    <cellStyle name="Output 2 12 3 2 5 2" xfId="30446" xr:uid="{00000000-0005-0000-0000-000009650000}"/>
    <cellStyle name="Output 2 12 3 2 5 3" xfId="30447" xr:uid="{00000000-0005-0000-0000-00000A650000}"/>
    <cellStyle name="Output 2 12 3 2 6" xfId="29801" xr:uid="{00000000-0005-0000-0000-00000B650000}"/>
    <cellStyle name="Output 2 12 3 2 7" xfId="24943" xr:uid="{00000000-0005-0000-0000-00000C650000}"/>
    <cellStyle name="Output 2 12 3 3" xfId="604" xr:uid="{00000000-0005-0000-0000-00000D650000}"/>
    <cellStyle name="Output 2 12 3 3 2" xfId="23089" xr:uid="{00000000-0005-0000-0000-00000E650000}"/>
    <cellStyle name="Output 2 12 3 3 2 2" xfId="26639" xr:uid="{00000000-0005-0000-0000-00000F650000}"/>
    <cellStyle name="Output 2 12 3 3 2 3" xfId="26641" xr:uid="{00000000-0005-0000-0000-000010650000}"/>
    <cellStyle name="Output 2 12 3 3 2 4" xfId="11458" xr:uid="{00000000-0005-0000-0000-000011650000}"/>
    <cellStyle name="Output 2 12 3 3 3" xfId="23092" xr:uid="{00000000-0005-0000-0000-000012650000}"/>
    <cellStyle name="Output 2 12 3 3 3 2" xfId="26650" xr:uid="{00000000-0005-0000-0000-000013650000}"/>
    <cellStyle name="Output 2 12 3 3 3 3" xfId="26652" xr:uid="{00000000-0005-0000-0000-000014650000}"/>
    <cellStyle name="Output 2 12 3 3 3 4" xfId="11464" xr:uid="{00000000-0005-0000-0000-000015650000}"/>
    <cellStyle name="Output 2 12 3 3 4" xfId="23095" xr:uid="{00000000-0005-0000-0000-000016650000}"/>
    <cellStyle name="Output 2 12 3 3 4 2" xfId="26664" xr:uid="{00000000-0005-0000-0000-000017650000}"/>
    <cellStyle name="Output 2 12 3 3 4 3" xfId="26667" xr:uid="{00000000-0005-0000-0000-000018650000}"/>
    <cellStyle name="Output 2 12 3 3 5" xfId="30448" xr:uid="{00000000-0005-0000-0000-000019650000}"/>
    <cellStyle name="Output 2 12 3 3 5 2" xfId="26682" xr:uid="{00000000-0005-0000-0000-00001A650000}"/>
    <cellStyle name="Output 2 12 3 3 5 3" xfId="26686" xr:uid="{00000000-0005-0000-0000-00001B650000}"/>
    <cellStyle name="Output 2 12 3 3 6" xfId="12320" xr:uid="{00000000-0005-0000-0000-00001C650000}"/>
    <cellStyle name="Output 2 12 3 3 7" xfId="12325" xr:uid="{00000000-0005-0000-0000-00001D650000}"/>
    <cellStyle name="Output 2 12 3 4" xfId="612" xr:uid="{00000000-0005-0000-0000-00001E650000}"/>
    <cellStyle name="Output 2 12 3 4 2" xfId="23098" xr:uid="{00000000-0005-0000-0000-00001F650000}"/>
    <cellStyle name="Output 2 12 3 4 2 2" xfId="26853" xr:uid="{00000000-0005-0000-0000-000020650000}"/>
    <cellStyle name="Output 2 12 3 4 2 3" xfId="26855" xr:uid="{00000000-0005-0000-0000-000021650000}"/>
    <cellStyle name="Output 2 12 3 4 2 4" xfId="11483" xr:uid="{00000000-0005-0000-0000-000022650000}"/>
    <cellStyle name="Output 2 12 3 4 3" xfId="23101" xr:uid="{00000000-0005-0000-0000-000023650000}"/>
    <cellStyle name="Output 2 12 3 4 3 2" xfId="1595" xr:uid="{00000000-0005-0000-0000-000024650000}"/>
    <cellStyle name="Output 2 12 3 4 3 3" xfId="1599" xr:uid="{00000000-0005-0000-0000-000025650000}"/>
    <cellStyle name="Output 2 12 3 4 3 4" xfId="1603" xr:uid="{00000000-0005-0000-0000-000026650000}"/>
    <cellStyle name="Output 2 12 3 4 4" xfId="23104" xr:uid="{00000000-0005-0000-0000-000027650000}"/>
    <cellStyle name="Output 2 12 3 4 4 2" xfId="26901" xr:uid="{00000000-0005-0000-0000-000028650000}"/>
    <cellStyle name="Output 2 12 3 4 4 3" xfId="26904" xr:uid="{00000000-0005-0000-0000-000029650000}"/>
    <cellStyle name="Output 2 12 3 4 5" xfId="30450" xr:uid="{00000000-0005-0000-0000-00002A650000}"/>
    <cellStyle name="Output 2 12 3 4 5 2" xfId="26917" xr:uid="{00000000-0005-0000-0000-00002B650000}"/>
    <cellStyle name="Output 2 12 3 4 5 3" xfId="26921" xr:uid="{00000000-0005-0000-0000-00002C650000}"/>
    <cellStyle name="Output 2 12 3 4 6" xfId="12336" xr:uid="{00000000-0005-0000-0000-00002D650000}"/>
    <cellStyle name="Output 2 12 3 4 7" xfId="12341" xr:uid="{00000000-0005-0000-0000-00002E650000}"/>
    <cellStyle name="Output 2 12 3 5" xfId="490" xr:uid="{00000000-0005-0000-0000-00002F650000}"/>
    <cellStyle name="Output 2 12 3 5 2" xfId="23107" xr:uid="{00000000-0005-0000-0000-000030650000}"/>
    <cellStyle name="Output 2 12 3 5 2 2" xfId="30452" xr:uid="{00000000-0005-0000-0000-000031650000}"/>
    <cellStyle name="Output 2 12 3 5 2 3" xfId="30453" xr:uid="{00000000-0005-0000-0000-000032650000}"/>
    <cellStyle name="Output 2 12 3 5 2 4" xfId="11506" xr:uid="{00000000-0005-0000-0000-000033650000}"/>
    <cellStyle name="Output 2 12 3 5 3" xfId="23109" xr:uid="{00000000-0005-0000-0000-000034650000}"/>
    <cellStyle name="Output 2 12 3 5 3 2" xfId="30454" xr:uid="{00000000-0005-0000-0000-000035650000}"/>
    <cellStyle name="Output 2 12 3 5 3 3" xfId="30455" xr:uid="{00000000-0005-0000-0000-000036650000}"/>
    <cellStyle name="Output 2 12 3 5 3 4" xfId="1993" xr:uid="{00000000-0005-0000-0000-000037650000}"/>
    <cellStyle name="Output 2 12 3 5 4" xfId="30456" xr:uid="{00000000-0005-0000-0000-000038650000}"/>
    <cellStyle name="Output 2 12 3 5 4 2" xfId="30459" xr:uid="{00000000-0005-0000-0000-000039650000}"/>
    <cellStyle name="Output 2 12 3 5 4 3" xfId="30461" xr:uid="{00000000-0005-0000-0000-00003A650000}"/>
    <cellStyle name="Output 2 12 3 5 5" xfId="30463" xr:uid="{00000000-0005-0000-0000-00003B650000}"/>
    <cellStyle name="Output 2 12 3 5 5 2" xfId="30466" xr:uid="{00000000-0005-0000-0000-00003C650000}"/>
    <cellStyle name="Output 2 12 3 5 5 3" xfId="30469" xr:uid="{00000000-0005-0000-0000-00003D650000}"/>
    <cellStyle name="Output 2 12 3 5 6" xfId="12349" xr:uid="{00000000-0005-0000-0000-00003E650000}"/>
    <cellStyle name="Output 2 12 3 5 7" xfId="12354" xr:uid="{00000000-0005-0000-0000-00003F650000}"/>
    <cellStyle name="Output 2 12 3 6" xfId="23112" xr:uid="{00000000-0005-0000-0000-000040650000}"/>
    <cellStyle name="Output 2 12 3 6 2" xfId="23116" xr:uid="{00000000-0005-0000-0000-000041650000}"/>
    <cellStyle name="Output 2 12 3 6 2 2" xfId="6356" xr:uid="{00000000-0005-0000-0000-000042650000}"/>
    <cellStyle name="Output 2 12 3 6 2 3" xfId="6359" xr:uid="{00000000-0005-0000-0000-000043650000}"/>
    <cellStyle name="Output 2 12 3 6 2 4" xfId="6364" xr:uid="{00000000-0005-0000-0000-000044650000}"/>
    <cellStyle name="Output 2 12 3 6 3" xfId="23118" xr:uid="{00000000-0005-0000-0000-000045650000}"/>
    <cellStyle name="Output 2 12 3 6 3 2" xfId="6380" xr:uid="{00000000-0005-0000-0000-000046650000}"/>
    <cellStyle name="Output 2 12 3 6 3 3" xfId="6386" xr:uid="{00000000-0005-0000-0000-000047650000}"/>
    <cellStyle name="Output 2 12 3 6 3 4" xfId="6392" xr:uid="{00000000-0005-0000-0000-000048650000}"/>
    <cellStyle name="Output 2 12 3 6 4" xfId="30471" xr:uid="{00000000-0005-0000-0000-000049650000}"/>
    <cellStyle name="Output 2 12 3 6 4 2" xfId="6398" xr:uid="{00000000-0005-0000-0000-00004A650000}"/>
    <cellStyle name="Output 2 12 3 6 4 3" xfId="6405" xr:uid="{00000000-0005-0000-0000-00004B650000}"/>
    <cellStyle name="Output 2 12 3 6 5" xfId="30474" xr:uid="{00000000-0005-0000-0000-00004C650000}"/>
    <cellStyle name="Output 2 12 3 6 5 2" xfId="6422" xr:uid="{00000000-0005-0000-0000-00004D650000}"/>
    <cellStyle name="Output 2 12 3 6 5 3" xfId="6428" xr:uid="{00000000-0005-0000-0000-00004E650000}"/>
    <cellStyle name="Output 2 12 3 6 6" xfId="12358" xr:uid="{00000000-0005-0000-0000-00004F650000}"/>
    <cellStyle name="Output 2 12 3 6 7" xfId="12363" xr:uid="{00000000-0005-0000-0000-000050650000}"/>
    <cellStyle name="Output 2 12 3 7" xfId="23121" xr:uid="{00000000-0005-0000-0000-000051650000}"/>
    <cellStyle name="Output 2 12 3 7 2" xfId="30477" xr:uid="{00000000-0005-0000-0000-000052650000}"/>
    <cellStyle name="Output 2 12 3 7 2 2" xfId="6562" xr:uid="{00000000-0005-0000-0000-000053650000}"/>
    <cellStyle name="Output 2 12 3 7 2 3" xfId="6565" xr:uid="{00000000-0005-0000-0000-000054650000}"/>
    <cellStyle name="Output 2 12 3 7 2 4" xfId="6571" xr:uid="{00000000-0005-0000-0000-000055650000}"/>
    <cellStyle name="Output 2 12 3 7 3" xfId="30478" xr:uid="{00000000-0005-0000-0000-000056650000}"/>
    <cellStyle name="Output 2 12 3 7 3 2" xfId="1682" xr:uid="{00000000-0005-0000-0000-000057650000}"/>
    <cellStyle name="Output 2 12 3 7 3 3" xfId="6588" xr:uid="{00000000-0005-0000-0000-000058650000}"/>
    <cellStyle name="Output 2 12 3 7 3 4" xfId="6597" xr:uid="{00000000-0005-0000-0000-000059650000}"/>
    <cellStyle name="Output 2 12 3 7 4" xfId="30479" xr:uid="{00000000-0005-0000-0000-00005A650000}"/>
    <cellStyle name="Output 2 12 3 7 4 2" xfId="6620" xr:uid="{00000000-0005-0000-0000-00005B650000}"/>
    <cellStyle name="Output 2 12 3 7 4 3" xfId="6632" xr:uid="{00000000-0005-0000-0000-00005C650000}"/>
    <cellStyle name="Output 2 12 3 7 5" xfId="30483" xr:uid="{00000000-0005-0000-0000-00005D650000}"/>
    <cellStyle name="Output 2 12 3 7 5 2" xfId="6654" xr:uid="{00000000-0005-0000-0000-00005E650000}"/>
    <cellStyle name="Output 2 12 3 7 5 3" xfId="6658" xr:uid="{00000000-0005-0000-0000-00005F650000}"/>
    <cellStyle name="Output 2 12 3 7 6" xfId="29978" xr:uid="{00000000-0005-0000-0000-000060650000}"/>
    <cellStyle name="Output 2 12 3 7 7" xfId="29982" xr:uid="{00000000-0005-0000-0000-000061650000}"/>
    <cellStyle name="Output 2 12 3 8" xfId="23123" xr:uid="{00000000-0005-0000-0000-000062650000}"/>
    <cellStyle name="Output 2 12 3 8 2" xfId="30487" xr:uid="{00000000-0005-0000-0000-000063650000}"/>
    <cellStyle name="Output 2 12 3 8 2 2" xfId="6731" xr:uid="{00000000-0005-0000-0000-000064650000}"/>
    <cellStyle name="Output 2 12 3 8 2 3" xfId="30488" xr:uid="{00000000-0005-0000-0000-000065650000}"/>
    <cellStyle name="Output 2 12 3 8 2 4" xfId="30489" xr:uid="{00000000-0005-0000-0000-000066650000}"/>
    <cellStyle name="Output 2 12 3 8 3" xfId="30490" xr:uid="{00000000-0005-0000-0000-000067650000}"/>
    <cellStyle name="Output 2 12 3 8 3 2" xfId="30491" xr:uid="{00000000-0005-0000-0000-000068650000}"/>
    <cellStyle name="Output 2 12 3 8 3 3" xfId="30492" xr:uid="{00000000-0005-0000-0000-000069650000}"/>
    <cellStyle name="Output 2 12 3 8 3 4" xfId="30493" xr:uid="{00000000-0005-0000-0000-00006A650000}"/>
    <cellStyle name="Output 2 12 3 8 4" xfId="30494" xr:uid="{00000000-0005-0000-0000-00006B650000}"/>
    <cellStyle name="Output 2 12 3 8 4 2" xfId="30498" xr:uid="{00000000-0005-0000-0000-00006C650000}"/>
    <cellStyle name="Output 2 12 3 8 4 3" xfId="30500" xr:uid="{00000000-0005-0000-0000-00006D650000}"/>
    <cellStyle name="Output 2 12 3 8 5" xfId="30502" xr:uid="{00000000-0005-0000-0000-00006E650000}"/>
    <cellStyle name="Output 2 12 3 8 5 2" xfId="30506" xr:uid="{00000000-0005-0000-0000-00006F650000}"/>
    <cellStyle name="Output 2 12 3 8 5 3" xfId="30508" xr:uid="{00000000-0005-0000-0000-000070650000}"/>
    <cellStyle name="Output 2 12 3 8 6" xfId="29992" xr:uid="{00000000-0005-0000-0000-000071650000}"/>
    <cellStyle name="Output 2 12 3 8 7" xfId="29999" xr:uid="{00000000-0005-0000-0000-000072650000}"/>
    <cellStyle name="Output 2 12 3 9" xfId="30510" xr:uid="{00000000-0005-0000-0000-000073650000}"/>
    <cellStyle name="Output 2 12 3 9 2" xfId="30511" xr:uid="{00000000-0005-0000-0000-000074650000}"/>
    <cellStyle name="Output 2 12 3 9 2 2" xfId="6754" xr:uid="{00000000-0005-0000-0000-000075650000}"/>
    <cellStyle name="Output 2 12 3 9 2 3" xfId="30512" xr:uid="{00000000-0005-0000-0000-000076650000}"/>
    <cellStyle name="Output 2 12 3 9 2 4" xfId="30513" xr:uid="{00000000-0005-0000-0000-000077650000}"/>
    <cellStyle name="Output 2 12 3 9 3" xfId="20876" xr:uid="{00000000-0005-0000-0000-000078650000}"/>
    <cellStyle name="Output 2 12 3 9 3 2" xfId="30514" xr:uid="{00000000-0005-0000-0000-000079650000}"/>
    <cellStyle name="Output 2 12 3 9 3 3" xfId="30515" xr:uid="{00000000-0005-0000-0000-00007A650000}"/>
    <cellStyle name="Output 2 12 3 9 3 4" xfId="30516" xr:uid="{00000000-0005-0000-0000-00007B650000}"/>
    <cellStyle name="Output 2 12 3 9 4" xfId="20877" xr:uid="{00000000-0005-0000-0000-00007C650000}"/>
    <cellStyle name="Output 2 12 3 9 4 2" xfId="30517" xr:uid="{00000000-0005-0000-0000-00007D650000}"/>
    <cellStyle name="Output 2 12 3 9 4 3" xfId="30519" xr:uid="{00000000-0005-0000-0000-00007E650000}"/>
    <cellStyle name="Output 2 12 3 9 5" xfId="20882" xr:uid="{00000000-0005-0000-0000-00007F650000}"/>
    <cellStyle name="Output 2 12 3 9 5 2" xfId="30521" xr:uid="{00000000-0005-0000-0000-000080650000}"/>
    <cellStyle name="Output 2 12 3 9 5 3" xfId="30523" xr:uid="{00000000-0005-0000-0000-000081650000}"/>
    <cellStyle name="Output 2 12 3 9 6" xfId="28691" xr:uid="{00000000-0005-0000-0000-000082650000}"/>
    <cellStyle name="Output 2 12 3 9 7" xfId="28694" xr:uid="{00000000-0005-0000-0000-000083650000}"/>
    <cellStyle name="Output 2 12 4" xfId="12425" xr:uid="{00000000-0005-0000-0000-000084650000}"/>
    <cellStyle name="Output 2 12 4 2" xfId="12426" xr:uid="{00000000-0005-0000-0000-000085650000}"/>
    <cellStyle name="Output 2 12 4 2 2" xfId="27637" xr:uid="{00000000-0005-0000-0000-000086650000}"/>
    <cellStyle name="Output 2 12 4 2 3" xfId="191" xr:uid="{00000000-0005-0000-0000-000087650000}"/>
    <cellStyle name="Output 2 12 4 2 4" xfId="333" xr:uid="{00000000-0005-0000-0000-000088650000}"/>
    <cellStyle name="Output 2 12 4 3" xfId="12432" xr:uid="{00000000-0005-0000-0000-000089650000}"/>
    <cellStyle name="Output 2 12 4 3 2" xfId="26170" xr:uid="{00000000-0005-0000-0000-00008A650000}"/>
    <cellStyle name="Output 2 12 4 3 3" xfId="396" xr:uid="{00000000-0005-0000-0000-00008B650000}"/>
    <cellStyle name="Output 2 12 4 3 4" xfId="402" xr:uid="{00000000-0005-0000-0000-00008C650000}"/>
    <cellStyle name="Output 2 12 4 4" xfId="12437" xr:uid="{00000000-0005-0000-0000-00008D650000}"/>
    <cellStyle name="Output 2 12 4 4 2" xfId="30525" xr:uid="{00000000-0005-0000-0000-00008E650000}"/>
    <cellStyle name="Output 2 12 4 4 3" xfId="412" xr:uid="{00000000-0005-0000-0000-00008F650000}"/>
    <cellStyle name="Output 2 12 4 5" xfId="26801" xr:uid="{00000000-0005-0000-0000-000090650000}"/>
    <cellStyle name="Output 2 12 4 5 2" xfId="30527" xr:uid="{00000000-0005-0000-0000-000091650000}"/>
    <cellStyle name="Output 2 12 4 5 3" xfId="422" xr:uid="{00000000-0005-0000-0000-000092650000}"/>
    <cellStyle name="Output 2 12 4 6" xfId="26805" xr:uid="{00000000-0005-0000-0000-000093650000}"/>
    <cellStyle name="Output 2 12 4 7" xfId="30528" xr:uid="{00000000-0005-0000-0000-000094650000}"/>
    <cellStyle name="Output 2 12 5" xfId="12442" xr:uid="{00000000-0005-0000-0000-000095650000}"/>
    <cellStyle name="Output 2 12 5 2" xfId="12443" xr:uid="{00000000-0005-0000-0000-000096650000}"/>
    <cellStyle name="Output 2 12 5 2 2" xfId="17123" xr:uid="{00000000-0005-0000-0000-000097650000}"/>
    <cellStyle name="Output 2 12 5 2 3" xfId="469" xr:uid="{00000000-0005-0000-0000-000098650000}"/>
    <cellStyle name="Output 2 12 5 2 4" xfId="567" xr:uid="{00000000-0005-0000-0000-000099650000}"/>
    <cellStyle name="Output 2 12 5 3" xfId="12449" xr:uid="{00000000-0005-0000-0000-00009A650000}"/>
    <cellStyle name="Output 2 12 5 3 2" xfId="17149" xr:uid="{00000000-0005-0000-0000-00009B650000}"/>
    <cellStyle name="Output 2 12 5 3 3" xfId="17156" xr:uid="{00000000-0005-0000-0000-00009C650000}"/>
    <cellStyle name="Output 2 12 5 3 4" xfId="17167" xr:uid="{00000000-0005-0000-0000-00009D650000}"/>
    <cellStyle name="Output 2 12 5 4" xfId="12453" xr:uid="{00000000-0005-0000-0000-00009E650000}"/>
    <cellStyle name="Output 2 12 5 4 2" xfId="17190" xr:uid="{00000000-0005-0000-0000-00009F650000}"/>
    <cellStyle name="Output 2 12 5 4 3" xfId="623" xr:uid="{00000000-0005-0000-0000-0000A0650000}"/>
    <cellStyle name="Output 2 12 5 5" xfId="26809" xr:uid="{00000000-0005-0000-0000-0000A1650000}"/>
    <cellStyle name="Output 2 12 5 5 2" xfId="17217" xr:uid="{00000000-0005-0000-0000-0000A2650000}"/>
    <cellStyle name="Output 2 12 5 5 3" xfId="17221" xr:uid="{00000000-0005-0000-0000-0000A3650000}"/>
    <cellStyle name="Output 2 12 5 6" xfId="26812" xr:uid="{00000000-0005-0000-0000-0000A4650000}"/>
    <cellStyle name="Output 2 12 5 7" xfId="30529" xr:uid="{00000000-0005-0000-0000-0000A5650000}"/>
    <cellStyle name="Output 2 12 6" xfId="12459" xr:uid="{00000000-0005-0000-0000-0000A6650000}"/>
    <cellStyle name="Output 2 12 6 2" xfId="12460" xr:uid="{00000000-0005-0000-0000-0000A7650000}"/>
    <cellStyle name="Output 2 12 6 2 2" xfId="17389" xr:uid="{00000000-0005-0000-0000-0000A8650000}"/>
    <cellStyle name="Output 2 12 6 2 3" xfId="646" xr:uid="{00000000-0005-0000-0000-0000A9650000}"/>
    <cellStyle name="Output 2 12 6 2 4" xfId="699" xr:uid="{00000000-0005-0000-0000-0000AA650000}"/>
    <cellStyle name="Output 2 12 6 3" xfId="12465" xr:uid="{00000000-0005-0000-0000-0000AB650000}"/>
    <cellStyle name="Output 2 12 6 3 2" xfId="17399" xr:uid="{00000000-0005-0000-0000-0000AC650000}"/>
    <cellStyle name="Output 2 12 6 3 3" xfId="17406" xr:uid="{00000000-0005-0000-0000-0000AD650000}"/>
    <cellStyle name="Output 2 12 6 3 4" xfId="17413" xr:uid="{00000000-0005-0000-0000-0000AE650000}"/>
    <cellStyle name="Output 2 12 6 4" xfId="30530" xr:uid="{00000000-0005-0000-0000-0000AF650000}"/>
    <cellStyle name="Output 2 12 6 4 2" xfId="17422" xr:uid="{00000000-0005-0000-0000-0000B0650000}"/>
    <cellStyle name="Output 2 12 6 4 3" xfId="731" xr:uid="{00000000-0005-0000-0000-0000B1650000}"/>
    <cellStyle name="Output 2 12 6 5" xfId="30532" xr:uid="{00000000-0005-0000-0000-0000B2650000}"/>
    <cellStyle name="Output 2 12 6 5 2" xfId="17441" xr:uid="{00000000-0005-0000-0000-0000B3650000}"/>
    <cellStyle name="Output 2 12 6 5 3" xfId="17443" xr:uid="{00000000-0005-0000-0000-0000B4650000}"/>
    <cellStyle name="Output 2 12 6 6" xfId="30534" xr:uid="{00000000-0005-0000-0000-0000B5650000}"/>
    <cellStyle name="Output 2 12 6 7" xfId="30536" xr:uid="{00000000-0005-0000-0000-0000B6650000}"/>
    <cellStyle name="Output 2 12 7" xfId="12470" xr:uid="{00000000-0005-0000-0000-0000B7650000}"/>
    <cellStyle name="Output 2 12 7 2" xfId="12471" xr:uid="{00000000-0005-0000-0000-0000B8650000}"/>
    <cellStyle name="Output 2 12 7 2 2" xfId="17510" xr:uid="{00000000-0005-0000-0000-0000B9650000}"/>
    <cellStyle name="Output 2 12 7 2 3" xfId="746" xr:uid="{00000000-0005-0000-0000-0000BA650000}"/>
    <cellStyle name="Output 2 12 7 2 4" xfId="804" xr:uid="{00000000-0005-0000-0000-0000BB650000}"/>
    <cellStyle name="Output 2 12 7 3" xfId="12475" xr:uid="{00000000-0005-0000-0000-0000BC650000}"/>
    <cellStyle name="Output 2 12 7 3 2" xfId="17517" xr:uid="{00000000-0005-0000-0000-0000BD650000}"/>
    <cellStyle name="Output 2 12 7 3 3" xfId="30537" xr:uid="{00000000-0005-0000-0000-0000BE650000}"/>
    <cellStyle name="Output 2 12 7 3 4" xfId="30539" xr:uid="{00000000-0005-0000-0000-0000BF650000}"/>
    <cellStyle name="Output 2 12 7 4" xfId="30541" xr:uid="{00000000-0005-0000-0000-0000C0650000}"/>
    <cellStyle name="Output 2 12 7 4 2" xfId="30543" xr:uid="{00000000-0005-0000-0000-0000C1650000}"/>
    <cellStyle name="Output 2 12 7 4 3" xfId="819" xr:uid="{00000000-0005-0000-0000-0000C2650000}"/>
    <cellStyle name="Output 2 12 7 5" xfId="30545" xr:uid="{00000000-0005-0000-0000-0000C3650000}"/>
    <cellStyle name="Output 2 12 7 5 2" xfId="30547" xr:uid="{00000000-0005-0000-0000-0000C4650000}"/>
    <cellStyle name="Output 2 12 7 5 3" xfId="30548" xr:uid="{00000000-0005-0000-0000-0000C5650000}"/>
    <cellStyle name="Output 2 12 7 6" xfId="30549" xr:uid="{00000000-0005-0000-0000-0000C6650000}"/>
    <cellStyle name="Output 2 12 7 7" xfId="30551" xr:uid="{00000000-0005-0000-0000-0000C7650000}"/>
    <cellStyle name="Output 2 12 8" xfId="12479" xr:uid="{00000000-0005-0000-0000-0000C8650000}"/>
    <cellStyle name="Output 2 12 8 2" xfId="30552" xr:uid="{00000000-0005-0000-0000-0000C9650000}"/>
    <cellStyle name="Output 2 12 8 2 2" xfId="17538" xr:uid="{00000000-0005-0000-0000-0000CA650000}"/>
    <cellStyle name="Output 2 12 8 2 3" xfId="840" xr:uid="{00000000-0005-0000-0000-0000CB650000}"/>
    <cellStyle name="Output 2 12 8 2 4" xfId="480" xr:uid="{00000000-0005-0000-0000-0000CC650000}"/>
    <cellStyle name="Output 2 12 8 3" xfId="30555" xr:uid="{00000000-0005-0000-0000-0000CD650000}"/>
    <cellStyle name="Output 2 12 8 3 2" xfId="17545" xr:uid="{00000000-0005-0000-0000-0000CE650000}"/>
    <cellStyle name="Output 2 12 8 3 3" xfId="141" xr:uid="{00000000-0005-0000-0000-0000CF650000}"/>
    <cellStyle name="Output 2 12 8 3 4" xfId="151" xr:uid="{00000000-0005-0000-0000-0000D0650000}"/>
    <cellStyle name="Output 2 12 8 4" xfId="26096" xr:uid="{00000000-0005-0000-0000-0000D1650000}"/>
    <cellStyle name="Output 2 12 8 4 2" xfId="18461" xr:uid="{00000000-0005-0000-0000-0000D2650000}"/>
    <cellStyle name="Output 2 12 8 4 3" xfId="999" xr:uid="{00000000-0005-0000-0000-0000D3650000}"/>
    <cellStyle name="Output 2 12 8 5" xfId="30557" xr:uid="{00000000-0005-0000-0000-0000D4650000}"/>
    <cellStyle name="Output 2 12 8 5 2" xfId="18466" xr:uid="{00000000-0005-0000-0000-0000D5650000}"/>
    <cellStyle name="Output 2 12 8 5 3" xfId="1034" xr:uid="{00000000-0005-0000-0000-0000D6650000}"/>
    <cellStyle name="Output 2 12 8 6" xfId="30559" xr:uid="{00000000-0005-0000-0000-0000D7650000}"/>
    <cellStyle name="Output 2 12 8 7" xfId="30561" xr:uid="{00000000-0005-0000-0000-0000D8650000}"/>
    <cellStyle name="Output 2 12 9" xfId="12481" xr:uid="{00000000-0005-0000-0000-0000D9650000}"/>
    <cellStyle name="Output 2 12 9 2" xfId="30562" xr:uid="{00000000-0005-0000-0000-0000DA650000}"/>
    <cellStyle name="Output 2 12 9 2 2" xfId="17576" xr:uid="{00000000-0005-0000-0000-0000DB650000}"/>
    <cellStyle name="Output 2 12 9 2 3" xfId="1108" xr:uid="{00000000-0005-0000-0000-0000DC650000}"/>
    <cellStyle name="Output 2 12 9 2 4" xfId="1192" xr:uid="{00000000-0005-0000-0000-0000DD650000}"/>
    <cellStyle name="Output 2 12 9 3" xfId="30565" xr:uid="{00000000-0005-0000-0000-0000DE650000}"/>
    <cellStyle name="Output 2 12 9 3 2" xfId="17588" xr:uid="{00000000-0005-0000-0000-0000DF650000}"/>
    <cellStyle name="Output 2 12 9 3 3" xfId="669" xr:uid="{00000000-0005-0000-0000-0000E0650000}"/>
    <cellStyle name="Output 2 12 9 3 4" xfId="677" xr:uid="{00000000-0005-0000-0000-0000E1650000}"/>
    <cellStyle name="Output 2 12 9 4" xfId="30567" xr:uid="{00000000-0005-0000-0000-0000E2650000}"/>
    <cellStyle name="Output 2 12 9 4 2" xfId="30569" xr:uid="{00000000-0005-0000-0000-0000E3650000}"/>
    <cellStyle name="Output 2 12 9 4 3" xfId="22" xr:uid="{00000000-0005-0000-0000-0000E4650000}"/>
    <cellStyle name="Output 2 12 9 5" xfId="30571" xr:uid="{00000000-0005-0000-0000-0000E5650000}"/>
    <cellStyle name="Output 2 12 9 5 2" xfId="26321" xr:uid="{00000000-0005-0000-0000-0000E6650000}"/>
    <cellStyle name="Output 2 12 9 5 3" xfId="49" xr:uid="{00000000-0005-0000-0000-0000E7650000}"/>
    <cellStyle name="Output 2 12 9 6" xfId="30573" xr:uid="{00000000-0005-0000-0000-0000E8650000}"/>
    <cellStyle name="Output 2 12 9 7" xfId="30575" xr:uid="{00000000-0005-0000-0000-0000E9650000}"/>
    <cellStyle name="Output 2 13" xfId="15852" xr:uid="{00000000-0005-0000-0000-0000EA650000}"/>
    <cellStyle name="Output 2 13 10" xfId="6337" xr:uid="{00000000-0005-0000-0000-0000EB650000}"/>
    <cellStyle name="Output 2 13 10 2" xfId="14124" xr:uid="{00000000-0005-0000-0000-0000EC650000}"/>
    <cellStyle name="Output 2 13 10 2 2" xfId="2966" xr:uid="{00000000-0005-0000-0000-0000ED650000}"/>
    <cellStyle name="Output 2 13 10 2 3" xfId="30576" xr:uid="{00000000-0005-0000-0000-0000EE650000}"/>
    <cellStyle name="Output 2 13 10 2 4" xfId="30577" xr:uid="{00000000-0005-0000-0000-0000EF650000}"/>
    <cellStyle name="Output 2 13 10 3" xfId="20533" xr:uid="{00000000-0005-0000-0000-0000F0650000}"/>
    <cellStyle name="Output 2 13 10 3 2" xfId="30578" xr:uid="{00000000-0005-0000-0000-0000F1650000}"/>
    <cellStyle name="Output 2 13 10 3 3" xfId="30579" xr:uid="{00000000-0005-0000-0000-0000F2650000}"/>
    <cellStyle name="Output 2 13 10 3 4" xfId="30580" xr:uid="{00000000-0005-0000-0000-0000F3650000}"/>
    <cellStyle name="Output 2 13 10 4" xfId="27833" xr:uid="{00000000-0005-0000-0000-0000F4650000}"/>
    <cellStyle name="Output 2 13 10 4 2" xfId="30581" xr:uid="{00000000-0005-0000-0000-0000F5650000}"/>
    <cellStyle name="Output 2 13 10 4 3" xfId="30582" xr:uid="{00000000-0005-0000-0000-0000F6650000}"/>
    <cellStyle name="Output 2 13 10 5" xfId="7066" xr:uid="{00000000-0005-0000-0000-0000F7650000}"/>
    <cellStyle name="Output 2 13 10 5 2" xfId="30583" xr:uid="{00000000-0005-0000-0000-0000F8650000}"/>
    <cellStyle name="Output 2 13 10 5 3" xfId="30584" xr:uid="{00000000-0005-0000-0000-0000F9650000}"/>
    <cellStyle name="Output 2 13 10 6" xfId="7068" xr:uid="{00000000-0005-0000-0000-0000FA650000}"/>
    <cellStyle name="Output 2 13 10 7" xfId="7071" xr:uid="{00000000-0005-0000-0000-0000FB650000}"/>
    <cellStyle name="Output 2 13 11" xfId="14127" xr:uid="{00000000-0005-0000-0000-0000FC650000}"/>
    <cellStyle name="Output 2 13 11 2" xfId="20555" xr:uid="{00000000-0005-0000-0000-0000FD650000}"/>
    <cellStyle name="Output 2 13 11 2 2" xfId="30585" xr:uid="{00000000-0005-0000-0000-0000FE650000}"/>
    <cellStyle name="Output 2 13 11 2 3" xfId="30586" xr:uid="{00000000-0005-0000-0000-0000FF650000}"/>
    <cellStyle name="Output 2 13 11 2 4" xfId="30587" xr:uid="{00000000-0005-0000-0000-000000660000}"/>
    <cellStyle name="Output 2 13 11 3" xfId="20558" xr:uid="{00000000-0005-0000-0000-000001660000}"/>
    <cellStyle name="Output 2 13 11 3 2" xfId="30589" xr:uid="{00000000-0005-0000-0000-000002660000}"/>
    <cellStyle name="Output 2 13 11 3 3" xfId="30590" xr:uid="{00000000-0005-0000-0000-000003660000}"/>
    <cellStyle name="Output 2 13 11 3 4" xfId="30591" xr:uid="{00000000-0005-0000-0000-000004660000}"/>
    <cellStyle name="Output 2 13 11 4" xfId="27836" xr:uid="{00000000-0005-0000-0000-000005660000}"/>
    <cellStyle name="Output 2 13 11 4 2" xfId="30593" xr:uid="{00000000-0005-0000-0000-000006660000}"/>
    <cellStyle name="Output 2 13 11 4 3" xfId="30594" xr:uid="{00000000-0005-0000-0000-000007660000}"/>
    <cellStyle name="Output 2 13 11 5" xfId="7075" xr:uid="{00000000-0005-0000-0000-000008660000}"/>
    <cellStyle name="Output 2 13 11 5 2" xfId="30595" xr:uid="{00000000-0005-0000-0000-000009660000}"/>
    <cellStyle name="Output 2 13 11 5 3" xfId="30596" xr:uid="{00000000-0005-0000-0000-00000A660000}"/>
    <cellStyle name="Output 2 13 11 6" xfId="7077" xr:uid="{00000000-0005-0000-0000-00000B660000}"/>
    <cellStyle name="Output 2 13 11 7" xfId="7080" xr:uid="{00000000-0005-0000-0000-00000C660000}"/>
    <cellStyle name="Output 2 13 12" xfId="30597" xr:uid="{00000000-0005-0000-0000-00000D660000}"/>
    <cellStyle name="Output 2 13 12 2" xfId="20581" xr:uid="{00000000-0005-0000-0000-00000E660000}"/>
    <cellStyle name="Output 2 13 12 2 2" xfId="30598" xr:uid="{00000000-0005-0000-0000-00000F660000}"/>
    <cellStyle name="Output 2 13 12 2 3" xfId="30599" xr:uid="{00000000-0005-0000-0000-000010660000}"/>
    <cellStyle name="Output 2 13 12 2 4" xfId="30600" xr:uid="{00000000-0005-0000-0000-000011660000}"/>
    <cellStyle name="Output 2 13 12 3" xfId="20583" xr:uid="{00000000-0005-0000-0000-000012660000}"/>
    <cellStyle name="Output 2 13 12 3 2" xfId="30602" xr:uid="{00000000-0005-0000-0000-000013660000}"/>
    <cellStyle name="Output 2 13 12 3 3" xfId="30603" xr:uid="{00000000-0005-0000-0000-000014660000}"/>
    <cellStyle name="Output 2 13 12 3 4" xfId="30604" xr:uid="{00000000-0005-0000-0000-000015660000}"/>
    <cellStyle name="Output 2 13 12 4" xfId="30606" xr:uid="{00000000-0005-0000-0000-000016660000}"/>
    <cellStyle name="Output 2 13 12 4 2" xfId="30607" xr:uid="{00000000-0005-0000-0000-000017660000}"/>
    <cellStyle name="Output 2 13 12 4 3" xfId="30608" xr:uid="{00000000-0005-0000-0000-000018660000}"/>
    <cellStyle name="Output 2 13 12 5" xfId="7083" xr:uid="{00000000-0005-0000-0000-000019660000}"/>
    <cellStyle name="Output 2 13 12 5 2" xfId="30609" xr:uid="{00000000-0005-0000-0000-00001A660000}"/>
    <cellStyle name="Output 2 13 12 5 3" xfId="30610" xr:uid="{00000000-0005-0000-0000-00001B660000}"/>
    <cellStyle name="Output 2 13 12 6" xfId="7085" xr:uid="{00000000-0005-0000-0000-00001C660000}"/>
    <cellStyle name="Output 2 13 12 7" xfId="17317" xr:uid="{00000000-0005-0000-0000-00001D660000}"/>
    <cellStyle name="Output 2 13 13" xfId="30611" xr:uid="{00000000-0005-0000-0000-00001E660000}"/>
    <cellStyle name="Output 2 13 13 2" xfId="25023" xr:uid="{00000000-0005-0000-0000-00001F660000}"/>
    <cellStyle name="Output 2 13 13 3" xfId="30612" xr:uid="{00000000-0005-0000-0000-000020660000}"/>
    <cellStyle name="Output 2 13 13 4" xfId="30613" xr:uid="{00000000-0005-0000-0000-000021660000}"/>
    <cellStyle name="Output 2 13 14" xfId="30614" xr:uid="{00000000-0005-0000-0000-000022660000}"/>
    <cellStyle name="Output 2 13 14 2" xfId="17353" xr:uid="{00000000-0005-0000-0000-000023660000}"/>
    <cellStyle name="Output 2 13 14 3" xfId="23901" xr:uid="{00000000-0005-0000-0000-000024660000}"/>
    <cellStyle name="Output 2 13 14 4" xfId="30615" xr:uid="{00000000-0005-0000-0000-000025660000}"/>
    <cellStyle name="Output 2 13 15" xfId="30616" xr:uid="{00000000-0005-0000-0000-000026660000}"/>
    <cellStyle name="Output 2 13 15 2" xfId="30617" xr:uid="{00000000-0005-0000-0000-000027660000}"/>
    <cellStyle name="Output 2 13 15 3" xfId="30618" xr:uid="{00000000-0005-0000-0000-000028660000}"/>
    <cellStyle name="Output 2 13 16" xfId="30619" xr:uid="{00000000-0005-0000-0000-000029660000}"/>
    <cellStyle name="Output 2 13 16 2" xfId="30620" xr:uid="{00000000-0005-0000-0000-00002A660000}"/>
    <cellStyle name="Output 2 13 16 3" xfId="30621" xr:uid="{00000000-0005-0000-0000-00002B660000}"/>
    <cellStyle name="Output 2 13 17" xfId="30622" xr:uid="{00000000-0005-0000-0000-00002C660000}"/>
    <cellStyle name="Output 2 13 18" xfId="30623" xr:uid="{00000000-0005-0000-0000-00002D660000}"/>
    <cellStyle name="Output 2 13 19" xfId="30624" xr:uid="{00000000-0005-0000-0000-00002E660000}"/>
    <cellStyle name="Output 2 13 2" xfId="30625" xr:uid="{00000000-0005-0000-0000-00002F660000}"/>
    <cellStyle name="Output 2 13 2 10" xfId="30626" xr:uid="{00000000-0005-0000-0000-000030660000}"/>
    <cellStyle name="Output 2 13 2 10 2" xfId="14673" xr:uid="{00000000-0005-0000-0000-000031660000}"/>
    <cellStyle name="Output 2 13 2 10 2 2" xfId="8453" xr:uid="{00000000-0005-0000-0000-000032660000}"/>
    <cellStyle name="Output 2 13 2 10 2 3" xfId="8458" xr:uid="{00000000-0005-0000-0000-000033660000}"/>
    <cellStyle name="Output 2 13 2 10 2 4" xfId="8462" xr:uid="{00000000-0005-0000-0000-000034660000}"/>
    <cellStyle name="Output 2 13 2 10 3" xfId="17369" xr:uid="{00000000-0005-0000-0000-000035660000}"/>
    <cellStyle name="Output 2 13 2 10 3 2" xfId="30627" xr:uid="{00000000-0005-0000-0000-000036660000}"/>
    <cellStyle name="Output 2 13 2 10 3 3" xfId="30628" xr:uid="{00000000-0005-0000-0000-000037660000}"/>
    <cellStyle name="Output 2 13 2 10 3 4" xfId="30629" xr:uid="{00000000-0005-0000-0000-000038660000}"/>
    <cellStyle name="Output 2 13 2 10 4" xfId="17372" xr:uid="{00000000-0005-0000-0000-000039660000}"/>
    <cellStyle name="Output 2 13 2 10 4 2" xfId="30630" xr:uid="{00000000-0005-0000-0000-00003A660000}"/>
    <cellStyle name="Output 2 13 2 10 4 3" xfId="30632" xr:uid="{00000000-0005-0000-0000-00003B660000}"/>
    <cellStyle name="Output 2 13 2 10 5" xfId="25258" xr:uid="{00000000-0005-0000-0000-00003C660000}"/>
    <cellStyle name="Output 2 13 2 10 5 2" xfId="29608" xr:uid="{00000000-0005-0000-0000-00003D660000}"/>
    <cellStyle name="Output 2 13 2 10 5 3" xfId="29611" xr:uid="{00000000-0005-0000-0000-00003E660000}"/>
    <cellStyle name="Output 2 13 2 10 6" xfId="25260" xr:uid="{00000000-0005-0000-0000-00003F660000}"/>
    <cellStyle name="Output 2 13 2 10 7" xfId="30633" xr:uid="{00000000-0005-0000-0000-000040660000}"/>
    <cellStyle name="Output 2 13 2 11" xfId="26962" xr:uid="{00000000-0005-0000-0000-000041660000}"/>
    <cellStyle name="Output 2 13 2 11 2" xfId="14709" xr:uid="{00000000-0005-0000-0000-000042660000}"/>
    <cellStyle name="Output 2 13 2 11 3" xfId="24374" xr:uid="{00000000-0005-0000-0000-000043660000}"/>
    <cellStyle name="Output 2 13 2 11 4" xfId="24381" xr:uid="{00000000-0005-0000-0000-000044660000}"/>
    <cellStyle name="Output 2 13 2 12" xfId="26964" xr:uid="{00000000-0005-0000-0000-000045660000}"/>
    <cellStyle name="Output 2 13 2 12 2" xfId="26966" xr:uid="{00000000-0005-0000-0000-000046660000}"/>
    <cellStyle name="Output 2 13 2 12 3" xfId="26969" xr:uid="{00000000-0005-0000-0000-000047660000}"/>
    <cellStyle name="Output 2 13 2 12 4" xfId="25264" xr:uid="{00000000-0005-0000-0000-000048660000}"/>
    <cellStyle name="Output 2 13 2 13" xfId="26972" xr:uid="{00000000-0005-0000-0000-000049660000}"/>
    <cellStyle name="Output 2 13 2 13 2" xfId="19034" xr:uid="{00000000-0005-0000-0000-00004A660000}"/>
    <cellStyle name="Output 2 13 2 13 3" xfId="26974" xr:uid="{00000000-0005-0000-0000-00004B660000}"/>
    <cellStyle name="Output 2 13 2 14" xfId="26976" xr:uid="{00000000-0005-0000-0000-00004C660000}"/>
    <cellStyle name="Output 2 13 2 14 2" xfId="26978" xr:uid="{00000000-0005-0000-0000-00004D660000}"/>
    <cellStyle name="Output 2 13 2 14 3" xfId="26980" xr:uid="{00000000-0005-0000-0000-00004E660000}"/>
    <cellStyle name="Output 2 13 2 15" xfId="26982" xr:uid="{00000000-0005-0000-0000-00004F660000}"/>
    <cellStyle name="Output 2 13 2 16" xfId="9079" xr:uid="{00000000-0005-0000-0000-000050660000}"/>
    <cellStyle name="Output 2 13 2 2" xfId="30634" xr:uid="{00000000-0005-0000-0000-000051660000}"/>
    <cellStyle name="Output 2 13 2 2 2" xfId="30636" xr:uid="{00000000-0005-0000-0000-000052660000}"/>
    <cellStyle name="Output 2 13 2 2 2 2" xfId="30638" xr:uid="{00000000-0005-0000-0000-000053660000}"/>
    <cellStyle name="Output 2 13 2 2 2 3" xfId="30639" xr:uid="{00000000-0005-0000-0000-000054660000}"/>
    <cellStyle name="Output 2 13 2 2 2 4" xfId="11954" xr:uid="{00000000-0005-0000-0000-000055660000}"/>
    <cellStyle name="Output 2 13 2 2 3" xfId="30640" xr:uid="{00000000-0005-0000-0000-000056660000}"/>
    <cellStyle name="Output 2 13 2 2 3 2" xfId="30642" xr:uid="{00000000-0005-0000-0000-000057660000}"/>
    <cellStyle name="Output 2 13 2 2 3 3" xfId="30643" xr:uid="{00000000-0005-0000-0000-000058660000}"/>
    <cellStyle name="Output 2 13 2 2 3 4" xfId="11960" xr:uid="{00000000-0005-0000-0000-000059660000}"/>
    <cellStyle name="Output 2 13 2 2 4" xfId="30644" xr:uid="{00000000-0005-0000-0000-00005A660000}"/>
    <cellStyle name="Output 2 13 2 2 4 2" xfId="30646" xr:uid="{00000000-0005-0000-0000-00005B660000}"/>
    <cellStyle name="Output 2 13 2 2 4 3" xfId="30647" xr:uid="{00000000-0005-0000-0000-00005C660000}"/>
    <cellStyle name="Output 2 13 2 2 5" xfId="30648" xr:uid="{00000000-0005-0000-0000-00005D660000}"/>
    <cellStyle name="Output 2 13 2 2 5 2" xfId="30649" xr:uid="{00000000-0005-0000-0000-00005E660000}"/>
    <cellStyle name="Output 2 13 2 2 5 3" xfId="30650" xr:uid="{00000000-0005-0000-0000-00005F660000}"/>
    <cellStyle name="Output 2 13 2 2 6" xfId="30651" xr:uid="{00000000-0005-0000-0000-000060660000}"/>
    <cellStyle name="Output 2 13 2 2 7" xfId="30652" xr:uid="{00000000-0005-0000-0000-000061660000}"/>
    <cellStyle name="Output 2 13 2 3" xfId="23290" xr:uid="{00000000-0005-0000-0000-000062660000}"/>
    <cellStyle name="Output 2 13 2 3 2" xfId="23293" xr:uid="{00000000-0005-0000-0000-000063660000}"/>
    <cellStyle name="Output 2 13 2 3 2 2" xfId="24294" xr:uid="{00000000-0005-0000-0000-000064660000}"/>
    <cellStyle name="Output 2 13 2 3 2 3" xfId="24308" xr:uid="{00000000-0005-0000-0000-000065660000}"/>
    <cellStyle name="Output 2 13 2 3 2 4" xfId="11996" xr:uid="{00000000-0005-0000-0000-000066660000}"/>
    <cellStyle name="Output 2 13 2 3 3" xfId="23298" xr:uid="{00000000-0005-0000-0000-000067660000}"/>
    <cellStyle name="Output 2 13 2 3 3 2" xfId="30102" xr:uid="{00000000-0005-0000-0000-000068660000}"/>
    <cellStyle name="Output 2 13 2 3 3 3" xfId="30105" xr:uid="{00000000-0005-0000-0000-000069660000}"/>
    <cellStyle name="Output 2 13 2 3 3 4" xfId="12010" xr:uid="{00000000-0005-0000-0000-00006A660000}"/>
    <cellStyle name="Output 2 13 2 3 4" xfId="23302" xr:uid="{00000000-0005-0000-0000-00006B660000}"/>
    <cellStyle name="Output 2 13 2 3 4 2" xfId="30120" xr:uid="{00000000-0005-0000-0000-00006C660000}"/>
    <cellStyle name="Output 2 13 2 3 4 3" xfId="30128" xr:uid="{00000000-0005-0000-0000-00006D660000}"/>
    <cellStyle name="Output 2 13 2 3 5" xfId="30653" xr:uid="{00000000-0005-0000-0000-00006E660000}"/>
    <cellStyle name="Output 2 13 2 3 5 2" xfId="30145" xr:uid="{00000000-0005-0000-0000-00006F660000}"/>
    <cellStyle name="Output 2 13 2 3 5 3" xfId="30153" xr:uid="{00000000-0005-0000-0000-000070660000}"/>
    <cellStyle name="Output 2 13 2 3 6" xfId="30656" xr:uid="{00000000-0005-0000-0000-000071660000}"/>
    <cellStyle name="Output 2 13 2 3 7" xfId="30659" xr:uid="{00000000-0005-0000-0000-000072660000}"/>
    <cellStyle name="Output 2 13 2 4" xfId="23306" xr:uid="{00000000-0005-0000-0000-000073660000}"/>
    <cellStyle name="Output 2 13 2 4 2" xfId="23309" xr:uid="{00000000-0005-0000-0000-000074660000}"/>
    <cellStyle name="Output 2 13 2 4 2 2" xfId="24751" xr:uid="{00000000-0005-0000-0000-000075660000}"/>
    <cellStyle name="Output 2 13 2 4 2 3" xfId="24766" xr:uid="{00000000-0005-0000-0000-000076660000}"/>
    <cellStyle name="Output 2 13 2 4 2 4" xfId="12050" xr:uid="{00000000-0005-0000-0000-000077660000}"/>
    <cellStyle name="Output 2 13 2 4 3" xfId="23314" xr:uid="{00000000-0005-0000-0000-000078660000}"/>
    <cellStyle name="Output 2 13 2 4 3 2" xfId="30195" xr:uid="{00000000-0005-0000-0000-000079660000}"/>
    <cellStyle name="Output 2 13 2 4 3 3" xfId="30200" xr:uid="{00000000-0005-0000-0000-00007A660000}"/>
    <cellStyle name="Output 2 13 2 4 3 4" xfId="12063" xr:uid="{00000000-0005-0000-0000-00007B660000}"/>
    <cellStyle name="Output 2 13 2 4 4" xfId="23318" xr:uid="{00000000-0005-0000-0000-00007C660000}"/>
    <cellStyle name="Output 2 13 2 4 4 2" xfId="30211" xr:uid="{00000000-0005-0000-0000-00007D660000}"/>
    <cellStyle name="Output 2 13 2 4 4 3" xfId="30217" xr:uid="{00000000-0005-0000-0000-00007E660000}"/>
    <cellStyle name="Output 2 13 2 4 5" xfId="30662" xr:uid="{00000000-0005-0000-0000-00007F660000}"/>
    <cellStyle name="Output 2 13 2 4 5 2" xfId="30233" xr:uid="{00000000-0005-0000-0000-000080660000}"/>
    <cellStyle name="Output 2 13 2 4 5 3" xfId="30239" xr:uid="{00000000-0005-0000-0000-000081660000}"/>
    <cellStyle name="Output 2 13 2 4 6" xfId="30665" xr:uid="{00000000-0005-0000-0000-000082660000}"/>
    <cellStyle name="Output 2 13 2 4 7" xfId="30668" xr:uid="{00000000-0005-0000-0000-000083660000}"/>
    <cellStyle name="Output 2 13 2 5" xfId="462" xr:uid="{00000000-0005-0000-0000-000084660000}"/>
    <cellStyle name="Output 2 13 2 5 2" xfId="23322" xr:uid="{00000000-0005-0000-0000-000085660000}"/>
    <cellStyle name="Output 2 13 2 5 2 2" xfId="15766" xr:uid="{00000000-0005-0000-0000-000086660000}"/>
    <cellStyle name="Output 2 13 2 5 2 3" xfId="15776" xr:uid="{00000000-0005-0000-0000-000087660000}"/>
    <cellStyle name="Output 2 13 2 5 2 4" xfId="12095" xr:uid="{00000000-0005-0000-0000-000088660000}"/>
    <cellStyle name="Output 2 13 2 5 3" xfId="23326" xr:uid="{00000000-0005-0000-0000-000089660000}"/>
    <cellStyle name="Output 2 13 2 5 3 2" xfId="27018" xr:uid="{00000000-0005-0000-0000-00008A660000}"/>
    <cellStyle name="Output 2 13 2 5 3 3" xfId="27024" xr:uid="{00000000-0005-0000-0000-00008B660000}"/>
    <cellStyle name="Output 2 13 2 5 3 4" xfId="12104" xr:uid="{00000000-0005-0000-0000-00008C660000}"/>
    <cellStyle name="Output 2 13 2 5 4" xfId="26189" xr:uid="{00000000-0005-0000-0000-00008D660000}"/>
    <cellStyle name="Output 2 13 2 5 4 2" xfId="26195" xr:uid="{00000000-0005-0000-0000-00008E660000}"/>
    <cellStyle name="Output 2 13 2 5 4 3" xfId="27035" xr:uid="{00000000-0005-0000-0000-00008F660000}"/>
    <cellStyle name="Output 2 13 2 5 5" xfId="26200" xr:uid="{00000000-0005-0000-0000-000090660000}"/>
    <cellStyle name="Output 2 13 2 5 5 2" xfId="27046" xr:uid="{00000000-0005-0000-0000-000091660000}"/>
    <cellStyle name="Output 2 13 2 5 5 3" xfId="27055" xr:uid="{00000000-0005-0000-0000-000092660000}"/>
    <cellStyle name="Output 2 13 2 5 6" xfId="27063" xr:uid="{00000000-0005-0000-0000-000093660000}"/>
    <cellStyle name="Output 2 13 2 5 7" xfId="27074" xr:uid="{00000000-0005-0000-0000-000094660000}"/>
    <cellStyle name="Output 2 13 2 6" xfId="23331" xr:uid="{00000000-0005-0000-0000-000095660000}"/>
    <cellStyle name="Output 2 13 2 6 2" xfId="23334" xr:uid="{00000000-0005-0000-0000-000096660000}"/>
    <cellStyle name="Output 2 13 2 6 2 2" xfId="16526" xr:uid="{00000000-0005-0000-0000-000097660000}"/>
    <cellStyle name="Output 2 13 2 6 2 3" xfId="16530" xr:uid="{00000000-0005-0000-0000-000098660000}"/>
    <cellStyle name="Output 2 13 2 6 2 4" xfId="12132" xr:uid="{00000000-0005-0000-0000-000099660000}"/>
    <cellStyle name="Output 2 13 2 6 3" xfId="23338" xr:uid="{00000000-0005-0000-0000-00009A660000}"/>
    <cellStyle name="Output 2 13 2 6 3 2" xfId="6025" xr:uid="{00000000-0005-0000-0000-00009B660000}"/>
    <cellStyle name="Output 2 13 2 6 3 3" xfId="6030" xr:uid="{00000000-0005-0000-0000-00009C660000}"/>
    <cellStyle name="Output 2 13 2 6 3 4" xfId="5574" xr:uid="{00000000-0005-0000-0000-00009D660000}"/>
    <cellStyle name="Output 2 13 2 6 4" xfId="30671" xr:uid="{00000000-0005-0000-0000-00009E660000}"/>
    <cellStyle name="Output 2 13 2 6 4 2" xfId="16554" xr:uid="{00000000-0005-0000-0000-00009F660000}"/>
    <cellStyle name="Output 2 13 2 6 4 3" xfId="16557" xr:uid="{00000000-0005-0000-0000-0000A0660000}"/>
    <cellStyle name="Output 2 13 2 6 5" xfId="30674" xr:uid="{00000000-0005-0000-0000-0000A1660000}"/>
    <cellStyle name="Output 2 13 2 6 5 2" xfId="16574" xr:uid="{00000000-0005-0000-0000-0000A2660000}"/>
    <cellStyle name="Output 2 13 2 6 5 3" xfId="16578" xr:uid="{00000000-0005-0000-0000-0000A3660000}"/>
    <cellStyle name="Output 2 13 2 6 6" xfId="30677" xr:uid="{00000000-0005-0000-0000-0000A4660000}"/>
    <cellStyle name="Output 2 13 2 6 7" xfId="30679" xr:uid="{00000000-0005-0000-0000-0000A5660000}"/>
    <cellStyle name="Output 2 13 2 7" xfId="23342" xr:uid="{00000000-0005-0000-0000-0000A6660000}"/>
    <cellStyle name="Output 2 13 2 7 2" xfId="25588" xr:uid="{00000000-0005-0000-0000-0000A7660000}"/>
    <cellStyle name="Output 2 13 2 7 2 2" xfId="16734" xr:uid="{00000000-0005-0000-0000-0000A8660000}"/>
    <cellStyle name="Output 2 13 2 7 2 3" xfId="16738" xr:uid="{00000000-0005-0000-0000-0000A9660000}"/>
    <cellStyle name="Output 2 13 2 7 2 4" xfId="25598" xr:uid="{00000000-0005-0000-0000-0000AA660000}"/>
    <cellStyle name="Output 2 13 2 7 3" xfId="30681" xr:uid="{00000000-0005-0000-0000-0000AB660000}"/>
    <cellStyle name="Output 2 13 2 7 3 2" xfId="16759" xr:uid="{00000000-0005-0000-0000-0000AC660000}"/>
    <cellStyle name="Output 2 13 2 7 3 3" xfId="16762" xr:uid="{00000000-0005-0000-0000-0000AD660000}"/>
    <cellStyle name="Output 2 13 2 7 3 4" xfId="30683" xr:uid="{00000000-0005-0000-0000-0000AE660000}"/>
    <cellStyle name="Output 2 13 2 7 4" xfId="30684" xr:uid="{00000000-0005-0000-0000-0000AF660000}"/>
    <cellStyle name="Output 2 13 2 7 4 2" xfId="16778" xr:uid="{00000000-0005-0000-0000-0000B0660000}"/>
    <cellStyle name="Output 2 13 2 7 4 3" xfId="16781" xr:uid="{00000000-0005-0000-0000-0000B1660000}"/>
    <cellStyle name="Output 2 13 2 7 5" xfId="3398" xr:uid="{00000000-0005-0000-0000-0000B2660000}"/>
    <cellStyle name="Output 2 13 2 7 5 2" xfId="16799" xr:uid="{00000000-0005-0000-0000-0000B3660000}"/>
    <cellStyle name="Output 2 13 2 7 5 3" xfId="16802" xr:uid="{00000000-0005-0000-0000-0000B4660000}"/>
    <cellStyle name="Output 2 13 2 7 6" xfId="3402" xr:uid="{00000000-0005-0000-0000-0000B5660000}"/>
    <cellStyle name="Output 2 13 2 7 7" xfId="3407" xr:uid="{00000000-0005-0000-0000-0000B6660000}"/>
    <cellStyle name="Output 2 13 2 8" xfId="23346" xr:uid="{00000000-0005-0000-0000-0000B7660000}"/>
    <cellStyle name="Output 2 13 2 8 2" xfId="25756" xr:uid="{00000000-0005-0000-0000-0000B8660000}"/>
    <cellStyle name="Output 2 13 2 8 2 2" xfId="25759" xr:uid="{00000000-0005-0000-0000-0000B9660000}"/>
    <cellStyle name="Output 2 13 2 8 2 3" xfId="25765" xr:uid="{00000000-0005-0000-0000-0000BA660000}"/>
    <cellStyle name="Output 2 13 2 8 2 4" xfId="25772" xr:uid="{00000000-0005-0000-0000-0000BB660000}"/>
    <cellStyle name="Output 2 13 2 8 3" xfId="30687" xr:uid="{00000000-0005-0000-0000-0000BC660000}"/>
    <cellStyle name="Output 2 13 2 8 3 2" xfId="21027" xr:uid="{00000000-0005-0000-0000-0000BD660000}"/>
    <cellStyle name="Output 2 13 2 8 3 3" xfId="21032" xr:uid="{00000000-0005-0000-0000-0000BE660000}"/>
    <cellStyle name="Output 2 13 2 8 3 4" xfId="30689" xr:uid="{00000000-0005-0000-0000-0000BF660000}"/>
    <cellStyle name="Output 2 13 2 8 4" xfId="30690" xr:uid="{00000000-0005-0000-0000-0000C0660000}"/>
    <cellStyle name="Output 2 13 2 8 4 2" xfId="21050" xr:uid="{00000000-0005-0000-0000-0000C1660000}"/>
    <cellStyle name="Output 2 13 2 8 4 3" xfId="21056" xr:uid="{00000000-0005-0000-0000-0000C2660000}"/>
    <cellStyle name="Output 2 13 2 8 5" xfId="3413" xr:uid="{00000000-0005-0000-0000-0000C3660000}"/>
    <cellStyle name="Output 2 13 2 8 5 2" xfId="21077" xr:uid="{00000000-0005-0000-0000-0000C4660000}"/>
    <cellStyle name="Output 2 13 2 8 5 3" xfId="21080" xr:uid="{00000000-0005-0000-0000-0000C5660000}"/>
    <cellStyle name="Output 2 13 2 8 6" xfId="3418" xr:uid="{00000000-0005-0000-0000-0000C6660000}"/>
    <cellStyle name="Output 2 13 2 8 7" xfId="3425" xr:uid="{00000000-0005-0000-0000-0000C7660000}"/>
    <cellStyle name="Output 2 13 2 9" xfId="29541" xr:uid="{00000000-0005-0000-0000-0000C8660000}"/>
    <cellStyle name="Output 2 13 2 9 2" xfId="25962" xr:uid="{00000000-0005-0000-0000-0000C9660000}"/>
    <cellStyle name="Output 2 13 2 9 2 2" xfId="25966" xr:uid="{00000000-0005-0000-0000-0000CA660000}"/>
    <cellStyle name="Output 2 13 2 9 2 3" xfId="25971" xr:uid="{00000000-0005-0000-0000-0000CB660000}"/>
    <cellStyle name="Output 2 13 2 9 2 4" xfId="25977" xr:uid="{00000000-0005-0000-0000-0000CC660000}"/>
    <cellStyle name="Output 2 13 2 9 3" xfId="30693" xr:uid="{00000000-0005-0000-0000-0000CD660000}"/>
    <cellStyle name="Output 2 13 2 9 3 2" xfId="21273" xr:uid="{00000000-0005-0000-0000-0000CE660000}"/>
    <cellStyle name="Output 2 13 2 9 3 3" xfId="21276" xr:uid="{00000000-0005-0000-0000-0000CF660000}"/>
    <cellStyle name="Output 2 13 2 9 3 4" xfId="30695" xr:uid="{00000000-0005-0000-0000-0000D0660000}"/>
    <cellStyle name="Output 2 13 2 9 4" xfId="30696" xr:uid="{00000000-0005-0000-0000-0000D1660000}"/>
    <cellStyle name="Output 2 13 2 9 4 2" xfId="21295" xr:uid="{00000000-0005-0000-0000-0000D2660000}"/>
    <cellStyle name="Output 2 13 2 9 4 3" xfId="21298" xr:uid="{00000000-0005-0000-0000-0000D3660000}"/>
    <cellStyle name="Output 2 13 2 9 5" xfId="3433" xr:uid="{00000000-0005-0000-0000-0000D4660000}"/>
    <cellStyle name="Output 2 13 2 9 5 2" xfId="21325" xr:uid="{00000000-0005-0000-0000-0000D5660000}"/>
    <cellStyle name="Output 2 13 2 9 5 3" xfId="21329" xr:uid="{00000000-0005-0000-0000-0000D6660000}"/>
    <cellStyle name="Output 2 13 2 9 6" xfId="3439" xr:uid="{00000000-0005-0000-0000-0000D7660000}"/>
    <cellStyle name="Output 2 13 2 9 7" xfId="28992" xr:uid="{00000000-0005-0000-0000-0000D8660000}"/>
    <cellStyle name="Output 2 13 3" xfId="30699" xr:uid="{00000000-0005-0000-0000-0000D9660000}"/>
    <cellStyle name="Output 2 13 3 10" xfId="30700" xr:uid="{00000000-0005-0000-0000-0000DA660000}"/>
    <cellStyle name="Output 2 13 3 10 2" xfId="30701" xr:uid="{00000000-0005-0000-0000-0000DB660000}"/>
    <cellStyle name="Output 2 13 3 10 2 2" xfId="30702" xr:uid="{00000000-0005-0000-0000-0000DC660000}"/>
    <cellStyle name="Output 2 13 3 10 2 3" xfId="22255" xr:uid="{00000000-0005-0000-0000-0000DD660000}"/>
    <cellStyle name="Output 2 13 3 10 2 4" xfId="22257" xr:uid="{00000000-0005-0000-0000-0000DE660000}"/>
    <cellStyle name="Output 2 13 3 10 3" xfId="30703" xr:uid="{00000000-0005-0000-0000-0000DF660000}"/>
    <cellStyle name="Output 2 13 3 10 3 2" xfId="30704" xr:uid="{00000000-0005-0000-0000-0000E0660000}"/>
    <cellStyle name="Output 2 13 3 10 3 3" xfId="30705" xr:uid="{00000000-0005-0000-0000-0000E1660000}"/>
    <cellStyle name="Output 2 13 3 10 3 4" xfId="30706" xr:uid="{00000000-0005-0000-0000-0000E2660000}"/>
    <cellStyle name="Output 2 13 3 10 4" xfId="30707" xr:uid="{00000000-0005-0000-0000-0000E3660000}"/>
    <cellStyle name="Output 2 13 3 10 4 2" xfId="30708" xr:uid="{00000000-0005-0000-0000-0000E4660000}"/>
    <cellStyle name="Output 2 13 3 10 4 3" xfId="30709" xr:uid="{00000000-0005-0000-0000-0000E5660000}"/>
    <cellStyle name="Output 2 13 3 10 5" xfId="30710" xr:uid="{00000000-0005-0000-0000-0000E6660000}"/>
    <cellStyle name="Output 2 13 3 10 5 2" xfId="30711" xr:uid="{00000000-0005-0000-0000-0000E7660000}"/>
    <cellStyle name="Output 2 13 3 10 5 3" xfId="30712" xr:uid="{00000000-0005-0000-0000-0000E8660000}"/>
    <cellStyle name="Output 2 13 3 10 6" xfId="30713" xr:uid="{00000000-0005-0000-0000-0000E9660000}"/>
    <cellStyle name="Output 2 13 3 10 7" xfId="30714" xr:uid="{00000000-0005-0000-0000-0000EA660000}"/>
    <cellStyle name="Output 2 13 3 11" xfId="30715" xr:uid="{00000000-0005-0000-0000-0000EB660000}"/>
    <cellStyle name="Output 2 13 3 11 2" xfId="30716" xr:uid="{00000000-0005-0000-0000-0000EC660000}"/>
    <cellStyle name="Output 2 13 3 11 3" xfId="30717" xr:uid="{00000000-0005-0000-0000-0000ED660000}"/>
    <cellStyle name="Output 2 13 3 11 4" xfId="30718" xr:uid="{00000000-0005-0000-0000-0000EE660000}"/>
    <cellStyle name="Output 2 13 3 12" xfId="18201" xr:uid="{00000000-0005-0000-0000-0000EF660000}"/>
    <cellStyle name="Output 2 13 3 12 2" xfId="30719" xr:uid="{00000000-0005-0000-0000-0000F0660000}"/>
    <cellStyle name="Output 2 13 3 12 3" xfId="30721" xr:uid="{00000000-0005-0000-0000-0000F1660000}"/>
    <cellStyle name="Output 2 13 3 12 4" xfId="30723" xr:uid="{00000000-0005-0000-0000-0000F2660000}"/>
    <cellStyle name="Output 2 13 3 13" xfId="18203" xr:uid="{00000000-0005-0000-0000-0000F3660000}"/>
    <cellStyle name="Output 2 13 3 13 2" xfId="30725" xr:uid="{00000000-0005-0000-0000-0000F4660000}"/>
    <cellStyle name="Output 2 13 3 13 3" xfId="30726" xr:uid="{00000000-0005-0000-0000-0000F5660000}"/>
    <cellStyle name="Output 2 13 3 14" xfId="30727" xr:uid="{00000000-0005-0000-0000-0000F6660000}"/>
    <cellStyle name="Output 2 13 3 14 2" xfId="30728" xr:uid="{00000000-0005-0000-0000-0000F7660000}"/>
    <cellStyle name="Output 2 13 3 14 3" xfId="30729" xr:uid="{00000000-0005-0000-0000-0000F8660000}"/>
    <cellStyle name="Output 2 13 3 15" xfId="13062" xr:uid="{00000000-0005-0000-0000-0000F9660000}"/>
    <cellStyle name="Output 2 13 3 16" xfId="13064" xr:uid="{00000000-0005-0000-0000-0000FA660000}"/>
    <cellStyle name="Output 2 13 3 2" xfId="721" xr:uid="{00000000-0005-0000-0000-0000FB660000}"/>
    <cellStyle name="Output 2 13 3 2 2" xfId="30730" xr:uid="{00000000-0005-0000-0000-0000FC660000}"/>
    <cellStyle name="Output 2 13 3 2 2 2" xfId="30732" xr:uid="{00000000-0005-0000-0000-0000FD660000}"/>
    <cellStyle name="Output 2 13 3 2 2 3" xfId="30733" xr:uid="{00000000-0005-0000-0000-0000FE660000}"/>
    <cellStyle name="Output 2 13 3 2 2 4" xfId="12267" xr:uid="{00000000-0005-0000-0000-0000FF660000}"/>
    <cellStyle name="Output 2 13 3 2 3" xfId="30734" xr:uid="{00000000-0005-0000-0000-000000670000}"/>
    <cellStyle name="Output 2 13 3 2 3 2" xfId="30736" xr:uid="{00000000-0005-0000-0000-000001670000}"/>
    <cellStyle name="Output 2 13 3 2 3 3" xfId="30737" xr:uid="{00000000-0005-0000-0000-000002670000}"/>
    <cellStyle name="Output 2 13 3 2 3 4" xfId="12271" xr:uid="{00000000-0005-0000-0000-000003670000}"/>
    <cellStyle name="Output 2 13 3 2 4" xfId="30738" xr:uid="{00000000-0005-0000-0000-000004670000}"/>
    <cellStyle name="Output 2 13 3 2 4 2" xfId="30740" xr:uid="{00000000-0005-0000-0000-000005670000}"/>
    <cellStyle name="Output 2 13 3 2 4 3" xfId="30741" xr:uid="{00000000-0005-0000-0000-000006670000}"/>
    <cellStyle name="Output 2 13 3 2 5" xfId="30742" xr:uid="{00000000-0005-0000-0000-000007670000}"/>
    <cellStyle name="Output 2 13 3 2 5 2" xfId="30743" xr:uid="{00000000-0005-0000-0000-000008670000}"/>
    <cellStyle name="Output 2 13 3 2 5 3" xfId="30744" xr:uid="{00000000-0005-0000-0000-000009670000}"/>
    <cellStyle name="Output 2 13 3 2 6" xfId="19231" xr:uid="{00000000-0005-0000-0000-00000A670000}"/>
    <cellStyle name="Output 2 13 3 2 7" xfId="19234" xr:uid="{00000000-0005-0000-0000-00000B670000}"/>
    <cellStyle name="Output 2 13 3 3" xfId="74" xr:uid="{00000000-0005-0000-0000-00000C670000}"/>
    <cellStyle name="Output 2 13 3 3 2" xfId="23351" xr:uid="{00000000-0005-0000-0000-00000D670000}"/>
    <cellStyle name="Output 2 13 3 3 2 2" xfId="30345" xr:uid="{00000000-0005-0000-0000-00000E670000}"/>
    <cellStyle name="Output 2 13 3 3 2 3" xfId="30348" xr:uid="{00000000-0005-0000-0000-00000F670000}"/>
    <cellStyle name="Output 2 13 3 3 2 4" xfId="12298" xr:uid="{00000000-0005-0000-0000-000010670000}"/>
    <cellStyle name="Output 2 13 3 3 3" xfId="23355" xr:uid="{00000000-0005-0000-0000-000011670000}"/>
    <cellStyle name="Output 2 13 3 3 3 2" xfId="30351" xr:uid="{00000000-0005-0000-0000-000012670000}"/>
    <cellStyle name="Output 2 13 3 3 3 3" xfId="30354" xr:uid="{00000000-0005-0000-0000-000013670000}"/>
    <cellStyle name="Output 2 13 3 3 3 4" xfId="12306" xr:uid="{00000000-0005-0000-0000-000014670000}"/>
    <cellStyle name="Output 2 13 3 3 4" xfId="23359" xr:uid="{00000000-0005-0000-0000-000015670000}"/>
    <cellStyle name="Output 2 13 3 3 4 2" xfId="30359" xr:uid="{00000000-0005-0000-0000-000016670000}"/>
    <cellStyle name="Output 2 13 3 3 4 3" xfId="30363" xr:uid="{00000000-0005-0000-0000-000017670000}"/>
    <cellStyle name="Output 2 13 3 3 5" xfId="30745" xr:uid="{00000000-0005-0000-0000-000018670000}"/>
    <cellStyle name="Output 2 13 3 3 5 2" xfId="30377" xr:uid="{00000000-0005-0000-0000-000019670000}"/>
    <cellStyle name="Output 2 13 3 3 5 3" xfId="30385" xr:uid="{00000000-0005-0000-0000-00001A670000}"/>
    <cellStyle name="Output 2 13 3 3 6" xfId="19238" xr:uid="{00000000-0005-0000-0000-00001B670000}"/>
    <cellStyle name="Output 2 13 3 3 7" xfId="20431" xr:uid="{00000000-0005-0000-0000-00001C670000}"/>
    <cellStyle name="Output 2 13 3 4" xfId="28" xr:uid="{00000000-0005-0000-0000-00001D670000}"/>
    <cellStyle name="Output 2 13 3 4 2" xfId="23363" xr:uid="{00000000-0005-0000-0000-00001E670000}"/>
    <cellStyle name="Output 2 13 3 4 2 2" xfId="30457" xr:uid="{00000000-0005-0000-0000-00001F670000}"/>
    <cellStyle name="Output 2 13 3 4 2 3" xfId="30464" xr:uid="{00000000-0005-0000-0000-000020670000}"/>
    <cellStyle name="Output 2 13 3 4 2 4" xfId="12350" xr:uid="{00000000-0005-0000-0000-000021670000}"/>
    <cellStyle name="Output 2 13 3 4 3" xfId="23367" xr:uid="{00000000-0005-0000-0000-000022670000}"/>
    <cellStyle name="Output 2 13 3 4 3 2" xfId="30472" xr:uid="{00000000-0005-0000-0000-000023670000}"/>
    <cellStyle name="Output 2 13 3 4 3 3" xfId="30475" xr:uid="{00000000-0005-0000-0000-000024670000}"/>
    <cellStyle name="Output 2 13 3 4 3 4" xfId="12359" xr:uid="{00000000-0005-0000-0000-000025670000}"/>
    <cellStyle name="Output 2 13 3 4 4" xfId="23371" xr:uid="{00000000-0005-0000-0000-000026670000}"/>
    <cellStyle name="Output 2 13 3 4 4 2" xfId="30480" xr:uid="{00000000-0005-0000-0000-000027670000}"/>
    <cellStyle name="Output 2 13 3 4 4 3" xfId="30484" xr:uid="{00000000-0005-0000-0000-000028670000}"/>
    <cellStyle name="Output 2 13 3 4 5" xfId="30748" xr:uid="{00000000-0005-0000-0000-000029670000}"/>
    <cellStyle name="Output 2 13 3 4 5 2" xfId="30495" xr:uid="{00000000-0005-0000-0000-00002A670000}"/>
    <cellStyle name="Output 2 13 3 4 5 3" xfId="30503" xr:uid="{00000000-0005-0000-0000-00002B670000}"/>
    <cellStyle name="Output 2 13 3 4 6" xfId="19242" xr:uid="{00000000-0005-0000-0000-00002C670000}"/>
    <cellStyle name="Output 2 13 3 4 7" xfId="30751" xr:uid="{00000000-0005-0000-0000-00002D670000}"/>
    <cellStyle name="Output 2 13 3 5" xfId="81" xr:uid="{00000000-0005-0000-0000-00002E670000}"/>
    <cellStyle name="Output 2 13 3 5 2" xfId="23375" xr:uid="{00000000-0005-0000-0000-00002F670000}"/>
    <cellStyle name="Output 2 13 3 5 2 2" xfId="425" xr:uid="{00000000-0005-0000-0000-000030670000}"/>
    <cellStyle name="Output 2 13 3 5 2 3" xfId="431" xr:uid="{00000000-0005-0000-0000-000031670000}"/>
    <cellStyle name="Output 2 13 3 5 2 4" xfId="12404" xr:uid="{00000000-0005-0000-0000-000032670000}"/>
    <cellStyle name="Output 2 13 3 5 3" xfId="23378" xr:uid="{00000000-0005-0000-0000-000033670000}"/>
    <cellStyle name="Output 2 13 3 5 3 2" xfId="447" xr:uid="{00000000-0005-0000-0000-000034670000}"/>
    <cellStyle name="Output 2 13 3 5 3 3" xfId="457" xr:uid="{00000000-0005-0000-0000-000035670000}"/>
    <cellStyle name="Output 2 13 3 5 3 4" xfId="12414" xr:uid="{00000000-0005-0000-0000-000036670000}"/>
    <cellStyle name="Output 2 13 3 5 4" xfId="29243" xr:uid="{00000000-0005-0000-0000-000037670000}"/>
    <cellStyle name="Output 2 13 3 5 4 2" xfId="29248" xr:uid="{00000000-0005-0000-0000-000038670000}"/>
    <cellStyle name="Output 2 13 3 5 4 3" xfId="29251" xr:uid="{00000000-0005-0000-0000-000039670000}"/>
    <cellStyle name="Output 2 13 3 5 5" xfId="29264" xr:uid="{00000000-0005-0000-0000-00003A670000}"/>
    <cellStyle name="Output 2 13 3 5 5 2" xfId="29269" xr:uid="{00000000-0005-0000-0000-00003B670000}"/>
    <cellStyle name="Output 2 13 3 5 5 3" xfId="29272" xr:uid="{00000000-0005-0000-0000-00003C670000}"/>
    <cellStyle name="Output 2 13 3 5 6" xfId="19252" xr:uid="{00000000-0005-0000-0000-00003D670000}"/>
    <cellStyle name="Output 2 13 3 5 7" xfId="29284" xr:uid="{00000000-0005-0000-0000-00003E670000}"/>
    <cellStyle name="Output 2 13 3 6" xfId="23383" xr:uid="{00000000-0005-0000-0000-00003F670000}"/>
    <cellStyle name="Output 2 13 3 6 2" xfId="23386" xr:uid="{00000000-0005-0000-0000-000040670000}"/>
    <cellStyle name="Output 2 13 3 6 2 2" xfId="17225" xr:uid="{00000000-0005-0000-0000-000041670000}"/>
    <cellStyle name="Output 2 13 3 6 2 3" xfId="17228" xr:uid="{00000000-0005-0000-0000-000042670000}"/>
    <cellStyle name="Output 2 13 3 6 2 4" xfId="12461" xr:uid="{00000000-0005-0000-0000-000043670000}"/>
    <cellStyle name="Output 2 13 3 6 3" xfId="23389" xr:uid="{00000000-0005-0000-0000-000044670000}"/>
    <cellStyle name="Output 2 13 3 6 3 2" xfId="17249" xr:uid="{00000000-0005-0000-0000-000045670000}"/>
    <cellStyle name="Output 2 13 3 6 3 3" xfId="17252" xr:uid="{00000000-0005-0000-0000-000046670000}"/>
    <cellStyle name="Output 2 13 3 6 3 4" xfId="12472" xr:uid="{00000000-0005-0000-0000-000047670000}"/>
    <cellStyle name="Output 2 13 3 6 4" xfId="30754" xr:uid="{00000000-0005-0000-0000-000048670000}"/>
    <cellStyle name="Output 2 13 3 6 4 2" xfId="17270" xr:uid="{00000000-0005-0000-0000-000049670000}"/>
    <cellStyle name="Output 2 13 3 6 4 3" xfId="17273" xr:uid="{00000000-0005-0000-0000-00004A670000}"/>
    <cellStyle name="Output 2 13 3 6 5" xfId="30757" xr:uid="{00000000-0005-0000-0000-00004B670000}"/>
    <cellStyle name="Output 2 13 3 6 5 2" xfId="17296" xr:uid="{00000000-0005-0000-0000-00004C670000}"/>
    <cellStyle name="Output 2 13 3 6 5 3" xfId="17299" xr:uid="{00000000-0005-0000-0000-00004D670000}"/>
    <cellStyle name="Output 2 13 3 6 6" xfId="30760" xr:uid="{00000000-0005-0000-0000-00004E670000}"/>
    <cellStyle name="Output 2 13 3 6 7" xfId="30762" xr:uid="{00000000-0005-0000-0000-00004F670000}"/>
    <cellStyle name="Output 2 13 3 7" xfId="23393" xr:uid="{00000000-0005-0000-0000-000050670000}"/>
    <cellStyle name="Output 2 13 3 7 2" xfId="30764" xr:uid="{00000000-0005-0000-0000-000051670000}"/>
    <cellStyle name="Output 2 13 3 7 2 2" xfId="17445" xr:uid="{00000000-0005-0000-0000-000052670000}"/>
    <cellStyle name="Output 2 13 3 7 2 3" xfId="17448" xr:uid="{00000000-0005-0000-0000-000053670000}"/>
    <cellStyle name="Output 2 13 3 7 2 4" xfId="30766" xr:uid="{00000000-0005-0000-0000-000054670000}"/>
    <cellStyle name="Output 2 13 3 7 3" xfId="30769" xr:uid="{00000000-0005-0000-0000-000055670000}"/>
    <cellStyle name="Output 2 13 3 7 3 2" xfId="17458" xr:uid="{00000000-0005-0000-0000-000056670000}"/>
    <cellStyle name="Output 2 13 3 7 3 3" xfId="17461" xr:uid="{00000000-0005-0000-0000-000057670000}"/>
    <cellStyle name="Output 2 13 3 7 3 4" xfId="30771" xr:uid="{00000000-0005-0000-0000-000058670000}"/>
    <cellStyle name="Output 2 13 3 7 4" xfId="30774" xr:uid="{00000000-0005-0000-0000-000059670000}"/>
    <cellStyle name="Output 2 13 3 7 4 2" xfId="17470" xr:uid="{00000000-0005-0000-0000-00005A670000}"/>
    <cellStyle name="Output 2 13 3 7 4 3" xfId="17473" xr:uid="{00000000-0005-0000-0000-00005B670000}"/>
    <cellStyle name="Output 2 13 3 7 5" xfId="30777" xr:uid="{00000000-0005-0000-0000-00005C670000}"/>
    <cellStyle name="Output 2 13 3 7 5 2" xfId="17482" xr:uid="{00000000-0005-0000-0000-00005D670000}"/>
    <cellStyle name="Output 2 13 3 7 5 3" xfId="17485" xr:uid="{00000000-0005-0000-0000-00005E670000}"/>
    <cellStyle name="Output 2 13 3 7 6" xfId="30780" xr:uid="{00000000-0005-0000-0000-00005F670000}"/>
    <cellStyle name="Output 2 13 3 7 7" xfId="30782" xr:uid="{00000000-0005-0000-0000-000060670000}"/>
    <cellStyle name="Output 2 13 3 8" xfId="23395" xr:uid="{00000000-0005-0000-0000-000061670000}"/>
    <cellStyle name="Output 2 13 3 8 2" xfId="30784" xr:uid="{00000000-0005-0000-0000-000062670000}"/>
    <cellStyle name="Output 2 13 3 8 2 2" xfId="30786" xr:uid="{00000000-0005-0000-0000-000063670000}"/>
    <cellStyle name="Output 2 13 3 8 2 3" xfId="30788" xr:uid="{00000000-0005-0000-0000-000064670000}"/>
    <cellStyle name="Output 2 13 3 8 2 4" xfId="30790" xr:uid="{00000000-0005-0000-0000-000065670000}"/>
    <cellStyle name="Output 2 13 3 8 3" xfId="30792" xr:uid="{00000000-0005-0000-0000-000066670000}"/>
    <cellStyle name="Output 2 13 3 8 3 2" xfId="21684" xr:uid="{00000000-0005-0000-0000-000067670000}"/>
    <cellStyle name="Output 2 13 3 8 3 3" xfId="21687" xr:uid="{00000000-0005-0000-0000-000068670000}"/>
    <cellStyle name="Output 2 13 3 8 3 4" xfId="30794" xr:uid="{00000000-0005-0000-0000-000069670000}"/>
    <cellStyle name="Output 2 13 3 8 4" xfId="30796" xr:uid="{00000000-0005-0000-0000-00006A670000}"/>
    <cellStyle name="Output 2 13 3 8 4 2" xfId="21706" xr:uid="{00000000-0005-0000-0000-00006B670000}"/>
    <cellStyle name="Output 2 13 3 8 4 3" xfId="21709" xr:uid="{00000000-0005-0000-0000-00006C670000}"/>
    <cellStyle name="Output 2 13 3 8 5" xfId="30799" xr:uid="{00000000-0005-0000-0000-00006D670000}"/>
    <cellStyle name="Output 2 13 3 8 5 2" xfId="21728" xr:uid="{00000000-0005-0000-0000-00006E670000}"/>
    <cellStyle name="Output 2 13 3 8 5 3" xfId="21731" xr:uid="{00000000-0005-0000-0000-00006F670000}"/>
    <cellStyle name="Output 2 13 3 8 6" xfId="30802" xr:uid="{00000000-0005-0000-0000-000070670000}"/>
    <cellStyle name="Output 2 13 3 8 7" xfId="30804" xr:uid="{00000000-0005-0000-0000-000071670000}"/>
    <cellStyle name="Output 2 13 3 9" xfId="30806" xr:uid="{00000000-0005-0000-0000-000072670000}"/>
    <cellStyle name="Output 2 13 3 9 2" xfId="30807" xr:uid="{00000000-0005-0000-0000-000073670000}"/>
    <cellStyle name="Output 2 13 3 9 2 2" xfId="1050" xr:uid="{00000000-0005-0000-0000-000074670000}"/>
    <cellStyle name="Output 2 13 3 9 2 3" xfId="1064" xr:uid="{00000000-0005-0000-0000-000075670000}"/>
    <cellStyle name="Output 2 13 3 9 2 4" xfId="30809" xr:uid="{00000000-0005-0000-0000-000076670000}"/>
    <cellStyle name="Output 2 13 3 9 3" xfId="30811" xr:uid="{00000000-0005-0000-0000-000077670000}"/>
    <cellStyle name="Output 2 13 3 9 3 2" xfId="1095" xr:uid="{00000000-0005-0000-0000-000078670000}"/>
    <cellStyle name="Output 2 13 3 9 3 3" xfId="658" xr:uid="{00000000-0005-0000-0000-000079670000}"/>
    <cellStyle name="Output 2 13 3 9 3 4" xfId="30813" xr:uid="{00000000-0005-0000-0000-00007A670000}"/>
    <cellStyle name="Output 2 13 3 9 4" xfId="30815" xr:uid="{00000000-0005-0000-0000-00007B670000}"/>
    <cellStyle name="Output 2 13 3 9 4 2" xfId="21961" xr:uid="{00000000-0005-0000-0000-00007C670000}"/>
    <cellStyle name="Output 2 13 3 9 4 3" xfId="21964" xr:uid="{00000000-0005-0000-0000-00007D670000}"/>
    <cellStyle name="Output 2 13 3 9 5" xfId="29095" xr:uid="{00000000-0005-0000-0000-00007E670000}"/>
    <cellStyle name="Output 2 13 3 9 5 2" xfId="21984" xr:uid="{00000000-0005-0000-0000-00007F670000}"/>
    <cellStyle name="Output 2 13 3 9 5 3" xfId="21987" xr:uid="{00000000-0005-0000-0000-000080670000}"/>
    <cellStyle name="Output 2 13 3 9 6" xfId="29099" xr:uid="{00000000-0005-0000-0000-000081670000}"/>
    <cellStyle name="Output 2 13 3 9 7" xfId="29102" xr:uid="{00000000-0005-0000-0000-000082670000}"/>
    <cellStyle name="Output 2 13 4" xfId="30818" xr:uid="{00000000-0005-0000-0000-000083670000}"/>
    <cellStyle name="Output 2 13 4 2" xfId="30819" xr:uid="{00000000-0005-0000-0000-000084670000}"/>
    <cellStyle name="Output 2 13 4 2 2" xfId="28059" xr:uid="{00000000-0005-0000-0000-000085670000}"/>
    <cellStyle name="Output 2 13 4 2 3" xfId="28062" xr:uid="{00000000-0005-0000-0000-000086670000}"/>
    <cellStyle name="Output 2 13 4 2 4" xfId="30822" xr:uid="{00000000-0005-0000-0000-000087670000}"/>
    <cellStyle name="Output 2 13 4 3" xfId="26182" xr:uid="{00000000-0005-0000-0000-000088670000}"/>
    <cellStyle name="Output 2 13 4 3 2" xfId="26185" xr:uid="{00000000-0005-0000-0000-000089670000}"/>
    <cellStyle name="Output 2 13 4 3 3" xfId="26205" xr:uid="{00000000-0005-0000-0000-00008A670000}"/>
    <cellStyle name="Output 2 13 4 3 4" xfId="30824" xr:uid="{00000000-0005-0000-0000-00008B670000}"/>
    <cellStyle name="Output 2 13 4 4" xfId="30827" xr:uid="{00000000-0005-0000-0000-00008C670000}"/>
    <cellStyle name="Output 2 13 4 4 2" xfId="30829" xr:uid="{00000000-0005-0000-0000-00008D670000}"/>
    <cellStyle name="Output 2 13 4 4 3" xfId="30832" xr:uid="{00000000-0005-0000-0000-00008E670000}"/>
    <cellStyle name="Output 2 13 4 5" xfId="26818" xr:uid="{00000000-0005-0000-0000-00008F670000}"/>
    <cellStyle name="Output 2 13 4 5 2" xfId="7559" xr:uid="{00000000-0005-0000-0000-000090670000}"/>
    <cellStyle name="Output 2 13 4 5 3" xfId="7572" xr:uid="{00000000-0005-0000-0000-000091670000}"/>
    <cellStyle name="Output 2 13 4 6" xfId="26821" xr:uid="{00000000-0005-0000-0000-000092670000}"/>
    <cellStyle name="Output 2 13 4 7" xfId="30835" xr:uid="{00000000-0005-0000-0000-000093670000}"/>
    <cellStyle name="Output 2 13 5" xfId="30836" xr:uid="{00000000-0005-0000-0000-000094670000}"/>
    <cellStyle name="Output 2 13 5 2" xfId="30837" xr:uid="{00000000-0005-0000-0000-000095670000}"/>
    <cellStyle name="Output 2 13 5 2 2" xfId="17730" xr:uid="{00000000-0005-0000-0000-000096670000}"/>
    <cellStyle name="Output 2 13 5 2 3" xfId="28215" xr:uid="{00000000-0005-0000-0000-000097670000}"/>
    <cellStyle name="Output 2 13 5 2 4" xfId="7370" xr:uid="{00000000-0005-0000-0000-000098670000}"/>
    <cellStyle name="Output 2 13 5 3" xfId="26209" xr:uid="{00000000-0005-0000-0000-000099670000}"/>
    <cellStyle name="Output 2 13 5 3 2" xfId="17741" xr:uid="{00000000-0005-0000-0000-00009A670000}"/>
    <cellStyle name="Output 2 13 5 3 3" xfId="30840" xr:uid="{00000000-0005-0000-0000-00009B670000}"/>
    <cellStyle name="Output 2 13 5 3 4" xfId="7408" xr:uid="{00000000-0005-0000-0000-00009C670000}"/>
    <cellStyle name="Output 2 13 5 4" xfId="30843" xr:uid="{00000000-0005-0000-0000-00009D670000}"/>
    <cellStyle name="Output 2 13 5 4 2" xfId="30845" xr:uid="{00000000-0005-0000-0000-00009E670000}"/>
    <cellStyle name="Output 2 13 5 4 3" xfId="30848" xr:uid="{00000000-0005-0000-0000-00009F670000}"/>
    <cellStyle name="Output 2 13 5 5" xfId="26824" xr:uid="{00000000-0005-0000-0000-0000A0670000}"/>
    <cellStyle name="Output 2 13 5 5 2" xfId="30851" xr:uid="{00000000-0005-0000-0000-0000A1670000}"/>
    <cellStyle name="Output 2 13 5 5 3" xfId="30853" xr:uid="{00000000-0005-0000-0000-0000A2670000}"/>
    <cellStyle name="Output 2 13 5 6" xfId="26827" xr:uid="{00000000-0005-0000-0000-0000A3670000}"/>
    <cellStyle name="Output 2 13 5 7" xfId="30855" xr:uid="{00000000-0005-0000-0000-0000A4670000}"/>
    <cellStyle name="Output 2 13 6" xfId="30856" xr:uid="{00000000-0005-0000-0000-0000A5670000}"/>
    <cellStyle name="Output 2 13 6 2" xfId="30767" xr:uid="{00000000-0005-0000-0000-0000A6670000}"/>
    <cellStyle name="Output 2 13 6 2 2" xfId="9156" xr:uid="{00000000-0005-0000-0000-0000A7670000}"/>
    <cellStyle name="Output 2 13 6 2 3" xfId="9160" xr:uid="{00000000-0005-0000-0000-0000A8670000}"/>
    <cellStyle name="Output 2 13 6 2 4" xfId="7799" xr:uid="{00000000-0005-0000-0000-0000A9670000}"/>
    <cellStyle name="Output 2 13 6 3" xfId="30857" xr:uid="{00000000-0005-0000-0000-0000AA670000}"/>
    <cellStyle name="Output 2 13 6 3 2" xfId="9171" xr:uid="{00000000-0005-0000-0000-0000AB670000}"/>
    <cellStyle name="Output 2 13 6 3 3" xfId="9176" xr:uid="{00000000-0005-0000-0000-0000AC670000}"/>
    <cellStyle name="Output 2 13 6 3 4" xfId="7840" xr:uid="{00000000-0005-0000-0000-0000AD670000}"/>
    <cellStyle name="Output 2 13 6 4" xfId="30859" xr:uid="{00000000-0005-0000-0000-0000AE670000}"/>
    <cellStyle name="Output 2 13 6 4 2" xfId="9186" xr:uid="{00000000-0005-0000-0000-0000AF670000}"/>
    <cellStyle name="Output 2 13 6 4 3" xfId="9191" xr:uid="{00000000-0005-0000-0000-0000B0670000}"/>
    <cellStyle name="Output 2 13 6 5" xfId="30861" xr:uid="{00000000-0005-0000-0000-0000B1670000}"/>
    <cellStyle name="Output 2 13 6 5 2" xfId="30863" xr:uid="{00000000-0005-0000-0000-0000B2670000}"/>
    <cellStyle name="Output 2 13 6 5 3" xfId="30865" xr:uid="{00000000-0005-0000-0000-0000B3670000}"/>
    <cellStyle name="Output 2 13 6 6" xfId="30867" xr:uid="{00000000-0005-0000-0000-0000B4670000}"/>
    <cellStyle name="Output 2 13 6 7" xfId="30869" xr:uid="{00000000-0005-0000-0000-0000B5670000}"/>
    <cellStyle name="Output 2 13 7" xfId="30870" xr:uid="{00000000-0005-0000-0000-0000B6670000}"/>
    <cellStyle name="Output 2 13 7 2" xfId="30772" xr:uid="{00000000-0005-0000-0000-0000B7670000}"/>
    <cellStyle name="Output 2 13 7 2 2" xfId="17796" xr:uid="{00000000-0005-0000-0000-0000B8670000}"/>
    <cellStyle name="Output 2 13 7 2 3" xfId="30871" xr:uid="{00000000-0005-0000-0000-0000B9670000}"/>
    <cellStyle name="Output 2 13 7 2 4" xfId="14439" xr:uid="{00000000-0005-0000-0000-0000BA670000}"/>
    <cellStyle name="Output 2 13 7 3" xfId="30873" xr:uid="{00000000-0005-0000-0000-0000BB670000}"/>
    <cellStyle name="Output 2 13 7 3 2" xfId="17803" xr:uid="{00000000-0005-0000-0000-0000BC670000}"/>
    <cellStyle name="Output 2 13 7 3 3" xfId="30875" xr:uid="{00000000-0005-0000-0000-0000BD670000}"/>
    <cellStyle name="Output 2 13 7 3 4" xfId="14444" xr:uid="{00000000-0005-0000-0000-0000BE670000}"/>
    <cellStyle name="Output 2 13 7 4" xfId="30877" xr:uid="{00000000-0005-0000-0000-0000BF670000}"/>
    <cellStyle name="Output 2 13 7 4 2" xfId="30879" xr:uid="{00000000-0005-0000-0000-0000C0670000}"/>
    <cellStyle name="Output 2 13 7 4 3" xfId="30881" xr:uid="{00000000-0005-0000-0000-0000C1670000}"/>
    <cellStyle name="Output 2 13 7 5" xfId="30883" xr:uid="{00000000-0005-0000-0000-0000C2670000}"/>
    <cellStyle name="Output 2 13 7 5 2" xfId="10184" xr:uid="{00000000-0005-0000-0000-0000C3670000}"/>
    <cellStyle name="Output 2 13 7 5 3" xfId="10188" xr:uid="{00000000-0005-0000-0000-0000C4670000}"/>
    <cellStyle name="Output 2 13 7 6" xfId="30885" xr:uid="{00000000-0005-0000-0000-0000C5670000}"/>
    <cellStyle name="Output 2 13 7 7" xfId="30887" xr:uid="{00000000-0005-0000-0000-0000C6670000}"/>
    <cellStyle name="Output 2 13 8" xfId="30888" xr:uid="{00000000-0005-0000-0000-0000C7670000}"/>
    <cellStyle name="Output 2 13 8 2" xfId="30889" xr:uid="{00000000-0005-0000-0000-0000C8670000}"/>
    <cellStyle name="Output 2 13 8 2 2" xfId="17819" xr:uid="{00000000-0005-0000-0000-0000C9670000}"/>
    <cellStyle name="Output 2 13 8 2 3" xfId="30892" xr:uid="{00000000-0005-0000-0000-0000CA670000}"/>
    <cellStyle name="Output 2 13 8 2 4" xfId="23940" xr:uid="{00000000-0005-0000-0000-0000CB670000}"/>
    <cellStyle name="Output 2 13 8 3" xfId="27461" xr:uid="{00000000-0005-0000-0000-0000CC670000}"/>
    <cellStyle name="Output 2 13 8 3 2" xfId="17828" xr:uid="{00000000-0005-0000-0000-0000CD670000}"/>
    <cellStyle name="Output 2 13 8 3 3" xfId="30894" xr:uid="{00000000-0005-0000-0000-0000CE670000}"/>
    <cellStyle name="Output 2 13 8 3 4" xfId="23951" xr:uid="{00000000-0005-0000-0000-0000CF670000}"/>
    <cellStyle name="Output 2 13 8 4" xfId="27464" xr:uid="{00000000-0005-0000-0000-0000D0670000}"/>
    <cellStyle name="Output 2 13 8 4 2" xfId="30896" xr:uid="{00000000-0005-0000-0000-0000D1670000}"/>
    <cellStyle name="Output 2 13 8 4 3" xfId="30898" xr:uid="{00000000-0005-0000-0000-0000D2670000}"/>
    <cellStyle name="Output 2 13 8 5" xfId="27467" xr:uid="{00000000-0005-0000-0000-0000D3670000}"/>
    <cellStyle name="Output 2 13 8 5 2" xfId="30900" xr:uid="{00000000-0005-0000-0000-0000D4670000}"/>
    <cellStyle name="Output 2 13 8 5 3" xfId="30901" xr:uid="{00000000-0005-0000-0000-0000D5670000}"/>
    <cellStyle name="Output 2 13 8 6" xfId="30902" xr:uid="{00000000-0005-0000-0000-0000D6670000}"/>
    <cellStyle name="Output 2 13 8 7" xfId="30904" xr:uid="{00000000-0005-0000-0000-0000D7670000}"/>
    <cellStyle name="Output 2 13 9" xfId="30905" xr:uid="{00000000-0005-0000-0000-0000D8670000}"/>
    <cellStyle name="Output 2 13 9 2" xfId="30906" xr:uid="{00000000-0005-0000-0000-0000D9670000}"/>
    <cellStyle name="Output 2 13 9 2 2" xfId="17857" xr:uid="{00000000-0005-0000-0000-0000DA670000}"/>
    <cellStyle name="Output 2 13 9 2 3" xfId="30909" xr:uid="{00000000-0005-0000-0000-0000DB670000}"/>
    <cellStyle name="Output 2 13 9 2 4" xfId="24077" xr:uid="{00000000-0005-0000-0000-0000DC670000}"/>
    <cellStyle name="Output 2 13 9 3" xfId="27472" xr:uid="{00000000-0005-0000-0000-0000DD670000}"/>
    <cellStyle name="Output 2 13 9 3 2" xfId="17865" xr:uid="{00000000-0005-0000-0000-0000DE670000}"/>
    <cellStyle name="Output 2 13 9 3 3" xfId="30911" xr:uid="{00000000-0005-0000-0000-0000DF670000}"/>
    <cellStyle name="Output 2 13 9 3 4" xfId="24095" xr:uid="{00000000-0005-0000-0000-0000E0670000}"/>
    <cellStyle name="Output 2 13 9 4" xfId="27475" xr:uid="{00000000-0005-0000-0000-0000E1670000}"/>
    <cellStyle name="Output 2 13 9 4 2" xfId="30913" xr:uid="{00000000-0005-0000-0000-0000E2670000}"/>
    <cellStyle name="Output 2 13 9 4 3" xfId="30915" xr:uid="{00000000-0005-0000-0000-0000E3670000}"/>
    <cellStyle name="Output 2 13 9 5" xfId="27478" xr:uid="{00000000-0005-0000-0000-0000E4670000}"/>
    <cellStyle name="Output 2 13 9 5 2" xfId="30917" xr:uid="{00000000-0005-0000-0000-0000E5670000}"/>
    <cellStyle name="Output 2 13 9 5 3" xfId="30918" xr:uid="{00000000-0005-0000-0000-0000E6670000}"/>
    <cellStyle name="Output 2 13 9 6" xfId="30919" xr:uid="{00000000-0005-0000-0000-0000E7670000}"/>
    <cellStyle name="Output 2 13 9 7" xfId="30921" xr:uid="{00000000-0005-0000-0000-0000E8670000}"/>
    <cellStyle name="Output 2 14" xfId="15854" xr:uid="{00000000-0005-0000-0000-0000E9670000}"/>
    <cellStyle name="Output 2 14 10" xfId="12964" xr:uid="{00000000-0005-0000-0000-0000EA670000}"/>
    <cellStyle name="Output 2 14 10 2" xfId="28928" xr:uid="{00000000-0005-0000-0000-0000EB670000}"/>
    <cellStyle name="Output 2 14 10 2 2" xfId="24231" xr:uid="{00000000-0005-0000-0000-0000EC670000}"/>
    <cellStyle name="Output 2 14 10 2 3" xfId="20379" xr:uid="{00000000-0005-0000-0000-0000ED670000}"/>
    <cellStyle name="Output 2 14 10 2 4" xfId="20384" xr:uid="{00000000-0005-0000-0000-0000EE670000}"/>
    <cellStyle name="Output 2 14 10 3" xfId="28930" xr:uid="{00000000-0005-0000-0000-0000EF670000}"/>
    <cellStyle name="Output 2 14 10 3 2" xfId="24242" xr:uid="{00000000-0005-0000-0000-0000F0670000}"/>
    <cellStyle name="Output 2 14 10 3 3" xfId="20387" xr:uid="{00000000-0005-0000-0000-0000F1670000}"/>
    <cellStyle name="Output 2 14 10 3 4" xfId="20392" xr:uid="{00000000-0005-0000-0000-0000F2670000}"/>
    <cellStyle name="Output 2 14 10 4" xfId="30922" xr:uid="{00000000-0005-0000-0000-0000F3670000}"/>
    <cellStyle name="Output 2 14 10 4 2" xfId="24247" xr:uid="{00000000-0005-0000-0000-0000F4670000}"/>
    <cellStyle name="Output 2 14 10 4 3" xfId="20397" xr:uid="{00000000-0005-0000-0000-0000F5670000}"/>
    <cellStyle name="Output 2 14 10 5" xfId="30923" xr:uid="{00000000-0005-0000-0000-0000F6670000}"/>
    <cellStyle name="Output 2 14 10 5 2" xfId="24252" xr:uid="{00000000-0005-0000-0000-0000F7670000}"/>
    <cellStyle name="Output 2 14 10 5 3" xfId="20403" xr:uid="{00000000-0005-0000-0000-0000F8670000}"/>
    <cellStyle name="Output 2 14 10 6" xfId="30924" xr:uid="{00000000-0005-0000-0000-0000F9670000}"/>
    <cellStyle name="Output 2 14 10 7" xfId="30925" xr:uid="{00000000-0005-0000-0000-0000FA670000}"/>
    <cellStyle name="Output 2 14 11" xfId="12968" xr:uid="{00000000-0005-0000-0000-0000FB670000}"/>
    <cellStyle name="Output 2 14 11 2" xfId="30926" xr:uid="{00000000-0005-0000-0000-0000FC670000}"/>
    <cellStyle name="Output 2 14 11 2 2" xfId="24264" xr:uid="{00000000-0005-0000-0000-0000FD670000}"/>
    <cellStyle name="Output 2 14 11 2 3" xfId="24267" xr:uid="{00000000-0005-0000-0000-0000FE670000}"/>
    <cellStyle name="Output 2 14 11 2 4" xfId="30927" xr:uid="{00000000-0005-0000-0000-0000FF670000}"/>
    <cellStyle name="Output 2 14 11 3" xfId="30928" xr:uid="{00000000-0005-0000-0000-000000680000}"/>
    <cellStyle name="Output 2 14 11 3 2" xfId="24277" xr:uid="{00000000-0005-0000-0000-000001680000}"/>
    <cellStyle name="Output 2 14 11 3 3" xfId="24280" xr:uid="{00000000-0005-0000-0000-000002680000}"/>
    <cellStyle name="Output 2 14 11 3 4" xfId="30929" xr:uid="{00000000-0005-0000-0000-000003680000}"/>
    <cellStyle name="Output 2 14 11 4" xfId="30930" xr:uid="{00000000-0005-0000-0000-000004680000}"/>
    <cellStyle name="Output 2 14 11 4 2" xfId="24285" xr:uid="{00000000-0005-0000-0000-000005680000}"/>
    <cellStyle name="Output 2 14 11 4 3" xfId="30931" xr:uid="{00000000-0005-0000-0000-000006680000}"/>
    <cellStyle name="Output 2 14 11 5" xfId="30932" xr:uid="{00000000-0005-0000-0000-000007680000}"/>
    <cellStyle name="Output 2 14 11 5 2" xfId="24290" xr:uid="{00000000-0005-0000-0000-000008680000}"/>
    <cellStyle name="Output 2 14 11 5 3" xfId="30933" xr:uid="{00000000-0005-0000-0000-000009680000}"/>
    <cellStyle name="Output 2 14 11 6" xfId="30934" xr:uid="{00000000-0005-0000-0000-00000A680000}"/>
    <cellStyle name="Output 2 14 11 7" xfId="30935" xr:uid="{00000000-0005-0000-0000-00000B680000}"/>
    <cellStyle name="Output 2 14 12" xfId="28932" xr:uid="{00000000-0005-0000-0000-00000C680000}"/>
    <cellStyle name="Output 2 14 12 2" xfId="30936" xr:uid="{00000000-0005-0000-0000-00000D680000}"/>
    <cellStyle name="Output 2 14 12 2 2" xfId="24301" xr:uid="{00000000-0005-0000-0000-00000E680000}"/>
    <cellStyle name="Output 2 14 12 2 3" xfId="24304" xr:uid="{00000000-0005-0000-0000-00000F680000}"/>
    <cellStyle name="Output 2 14 12 2 4" xfId="30937" xr:uid="{00000000-0005-0000-0000-000010680000}"/>
    <cellStyle name="Output 2 14 12 3" xfId="30938" xr:uid="{00000000-0005-0000-0000-000011680000}"/>
    <cellStyle name="Output 2 14 12 3 2" xfId="24315" xr:uid="{00000000-0005-0000-0000-000012680000}"/>
    <cellStyle name="Output 2 14 12 3 3" xfId="24318" xr:uid="{00000000-0005-0000-0000-000013680000}"/>
    <cellStyle name="Output 2 14 12 3 4" xfId="30939" xr:uid="{00000000-0005-0000-0000-000014680000}"/>
    <cellStyle name="Output 2 14 12 4" xfId="30940" xr:uid="{00000000-0005-0000-0000-000015680000}"/>
    <cellStyle name="Output 2 14 12 4 2" xfId="24323" xr:uid="{00000000-0005-0000-0000-000016680000}"/>
    <cellStyle name="Output 2 14 12 4 3" xfId="30941" xr:uid="{00000000-0005-0000-0000-000017680000}"/>
    <cellStyle name="Output 2 14 12 5" xfId="30942" xr:uid="{00000000-0005-0000-0000-000018680000}"/>
    <cellStyle name="Output 2 14 12 5 2" xfId="24328" xr:uid="{00000000-0005-0000-0000-000019680000}"/>
    <cellStyle name="Output 2 14 12 5 3" xfId="30943" xr:uid="{00000000-0005-0000-0000-00001A680000}"/>
    <cellStyle name="Output 2 14 12 6" xfId="30944" xr:uid="{00000000-0005-0000-0000-00001B680000}"/>
    <cellStyle name="Output 2 14 12 7" xfId="30945" xr:uid="{00000000-0005-0000-0000-00001C680000}"/>
    <cellStyle name="Output 2 14 13" xfId="30946" xr:uid="{00000000-0005-0000-0000-00001D680000}"/>
    <cellStyle name="Output 2 14 13 2" xfId="30947" xr:uid="{00000000-0005-0000-0000-00001E680000}"/>
    <cellStyle name="Output 2 14 13 3" xfId="5198" xr:uid="{00000000-0005-0000-0000-00001F680000}"/>
    <cellStyle name="Output 2 14 13 4" xfId="5200" xr:uid="{00000000-0005-0000-0000-000020680000}"/>
    <cellStyle name="Output 2 14 14" xfId="30948" xr:uid="{00000000-0005-0000-0000-000021680000}"/>
    <cellStyle name="Output 2 14 14 2" xfId="30949" xr:uid="{00000000-0005-0000-0000-000022680000}"/>
    <cellStyle name="Output 2 14 14 3" xfId="5204" xr:uid="{00000000-0005-0000-0000-000023680000}"/>
    <cellStyle name="Output 2 14 14 4" xfId="5206" xr:uid="{00000000-0005-0000-0000-000024680000}"/>
    <cellStyle name="Output 2 14 15" xfId="30950" xr:uid="{00000000-0005-0000-0000-000025680000}"/>
    <cellStyle name="Output 2 14 15 2" xfId="30951" xr:uid="{00000000-0005-0000-0000-000026680000}"/>
    <cellStyle name="Output 2 14 15 3" xfId="5210" xr:uid="{00000000-0005-0000-0000-000027680000}"/>
    <cellStyle name="Output 2 14 16" xfId="30952" xr:uid="{00000000-0005-0000-0000-000028680000}"/>
    <cellStyle name="Output 2 14 16 2" xfId="30953" xr:uid="{00000000-0005-0000-0000-000029680000}"/>
    <cellStyle name="Output 2 14 16 3" xfId="5212" xr:uid="{00000000-0005-0000-0000-00002A680000}"/>
    <cellStyle name="Output 2 14 17" xfId="30954" xr:uid="{00000000-0005-0000-0000-00002B680000}"/>
    <cellStyle name="Output 2 14 18" xfId="14697" xr:uid="{00000000-0005-0000-0000-00002C680000}"/>
    <cellStyle name="Output 2 14 19" xfId="14702" xr:uid="{00000000-0005-0000-0000-00002D680000}"/>
    <cellStyle name="Output 2 14 2" xfId="30956" xr:uid="{00000000-0005-0000-0000-00002E680000}"/>
    <cellStyle name="Output 2 14 2 10" xfId="9728" xr:uid="{00000000-0005-0000-0000-00002F680000}"/>
    <cellStyle name="Output 2 14 2 10 2" xfId="30957" xr:uid="{00000000-0005-0000-0000-000030680000}"/>
    <cellStyle name="Output 2 14 2 10 2 2" xfId="22943" xr:uid="{00000000-0005-0000-0000-000031680000}"/>
    <cellStyle name="Output 2 14 2 10 2 3" xfId="22946" xr:uid="{00000000-0005-0000-0000-000032680000}"/>
    <cellStyle name="Output 2 14 2 10 2 4" xfId="30960" xr:uid="{00000000-0005-0000-0000-000033680000}"/>
    <cellStyle name="Output 2 14 2 10 3" xfId="30962" xr:uid="{00000000-0005-0000-0000-000034680000}"/>
    <cellStyle name="Output 2 14 2 10 3 2" xfId="22981" xr:uid="{00000000-0005-0000-0000-000035680000}"/>
    <cellStyle name="Output 2 14 2 10 3 3" xfId="22984" xr:uid="{00000000-0005-0000-0000-000036680000}"/>
    <cellStyle name="Output 2 14 2 10 3 4" xfId="29513" xr:uid="{00000000-0005-0000-0000-000037680000}"/>
    <cellStyle name="Output 2 14 2 10 4" xfId="30964" xr:uid="{00000000-0005-0000-0000-000038680000}"/>
    <cellStyle name="Output 2 14 2 10 4 2" xfId="23001" xr:uid="{00000000-0005-0000-0000-000039680000}"/>
    <cellStyle name="Output 2 14 2 10 4 3" xfId="23005" xr:uid="{00000000-0005-0000-0000-00003A680000}"/>
    <cellStyle name="Output 2 14 2 10 5" xfId="30966" xr:uid="{00000000-0005-0000-0000-00003B680000}"/>
    <cellStyle name="Output 2 14 2 10 5 2" xfId="23025" xr:uid="{00000000-0005-0000-0000-00003C680000}"/>
    <cellStyle name="Output 2 14 2 10 5 3" xfId="23030" xr:uid="{00000000-0005-0000-0000-00003D680000}"/>
    <cellStyle name="Output 2 14 2 10 6" xfId="30968" xr:uid="{00000000-0005-0000-0000-00003E680000}"/>
    <cellStyle name="Output 2 14 2 10 7" xfId="30970" xr:uid="{00000000-0005-0000-0000-00003F680000}"/>
    <cellStyle name="Output 2 14 2 11" xfId="9732" xr:uid="{00000000-0005-0000-0000-000040680000}"/>
    <cellStyle name="Output 2 14 2 11 2" xfId="29145" xr:uid="{00000000-0005-0000-0000-000041680000}"/>
    <cellStyle name="Output 2 14 2 11 3" xfId="29148" xr:uid="{00000000-0005-0000-0000-000042680000}"/>
    <cellStyle name="Output 2 14 2 11 4" xfId="29151" xr:uid="{00000000-0005-0000-0000-000043680000}"/>
    <cellStyle name="Output 2 14 2 12" xfId="29154" xr:uid="{00000000-0005-0000-0000-000044680000}"/>
    <cellStyle name="Output 2 14 2 12 2" xfId="29156" xr:uid="{00000000-0005-0000-0000-000045680000}"/>
    <cellStyle name="Output 2 14 2 12 3" xfId="29159" xr:uid="{00000000-0005-0000-0000-000046680000}"/>
    <cellStyle name="Output 2 14 2 12 4" xfId="29162" xr:uid="{00000000-0005-0000-0000-000047680000}"/>
    <cellStyle name="Output 2 14 2 13" xfId="29165" xr:uid="{00000000-0005-0000-0000-000048680000}"/>
    <cellStyle name="Output 2 14 2 13 2" xfId="29167" xr:uid="{00000000-0005-0000-0000-000049680000}"/>
    <cellStyle name="Output 2 14 2 13 3" xfId="29169" xr:uid="{00000000-0005-0000-0000-00004A680000}"/>
    <cellStyle name="Output 2 14 2 14" xfId="29172" xr:uid="{00000000-0005-0000-0000-00004B680000}"/>
    <cellStyle name="Output 2 14 2 14 2" xfId="29174" xr:uid="{00000000-0005-0000-0000-00004C680000}"/>
    <cellStyle name="Output 2 14 2 14 3" xfId="29176" xr:uid="{00000000-0005-0000-0000-00004D680000}"/>
    <cellStyle name="Output 2 14 2 15" xfId="29180" xr:uid="{00000000-0005-0000-0000-00004E680000}"/>
    <cellStyle name="Output 2 14 2 16" xfId="29183" xr:uid="{00000000-0005-0000-0000-00004F680000}"/>
    <cellStyle name="Output 2 14 2 2" xfId="30972" xr:uid="{00000000-0005-0000-0000-000050680000}"/>
    <cellStyle name="Output 2 14 2 2 2" xfId="30974" xr:uid="{00000000-0005-0000-0000-000051680000}"/>
    <cellStyle name="Output 2 14 2 2 2 2" xfId="30975" xr:uid="{00000000-0005-0000-0000-000052680000}"/>
    <cellStyle name="Output 2 14 2 2 2 3" xfId="30976" xr:uid="{00000000-0005-0000-0000-000053680000}"/>
    <cellStyle name="Output 2 14 2 2 2 4" xfId="12901" xr:uid="{00000000-0005-0000-0000-000054680000}"/>
    <cellStyle name="Output 2 14 2 2 3" xfId="30977" xr:uid="{00000000-0005-0000-0000-000055680000}"/>
    <cellStyle name="Output 2 14 2 2 3 2" xfId="30978" xr:uid="{00000000-0005-0000-0000-000056680000}"/>
    <cellStyle name="Output 2 14 2 2 3 3" xfId="1397" xr:uid="{00000000-0005-0000-0000-000057680000}"/>
    <cellStyle name="Output 2 14 2 2 3 4" xfId="12905" xr:uid="{00000000-0005-0000-0000-000058680000}"/>
    <cellStyle name="Output 2 14 2 2 4" xfId="30979" xr:uid="{00000000-0005-0000-0000-000059680000}"/>
    <cellStyle name="Output 2 14 2 2 4 2" xfId="30980" xr:uid="{00000000-0005-0000-0000-00005A680000}"/>
    <cellStyle name="Output 2 14 2 2 4 3" xfId="30981" xr:uid="{00000000-0005-0000-0000-00005B680000}"/>
    <cellStyle name="Output 2 14 2 2 5" xfId="30982" xr:uid="{00000000-0005-0000-0000-00005C680000}"/>
    <cellStyle name="Output 2 14 2 2 5 2" xfId="30983" xr:uid="{00000000-0005-0000-0000-00005D680000}"/>
    <cellStyle name="Output 2 14 2 2 5 3" xfId="30984" xr:uid="{00000000-0005-0000-0000-00005E680000}"/>
    <cellStyle name="Output 2 14 2 2 6" xfId="30985" xr:uid="{00000000-0005-0000-0000-00005F680000}"/>
    <cellStyle name="Output 2 14 2 2 7" xfId="30986" xr:uid="{00000000-0005-0000-0000-000060680000}"/>
    <cellStyle name="Output 2 14 2 3" xfId="30987" xr:uid="{00000000-0005-0000-0000-000061680000}"/>
    <cellStyle name="Output 2 14 2 3 2" xfId="30989" xr:uid="{00000000-0005-0000-0000-000062680000}"/>
    <cellStyle name="Output 2 14 2 3 2 2" xfId="30991" xr:uid="{00000000-0005-0000-0000-000063680000}"/>
    <cellStyle name="Output 2 14 2 3 2 3" xfId="30993" xr:uid="{00000000-0005-0000-0000-000064680000}"/>
    <cellStyle name="Output 2 14 2 3 2 4" xfId="12926" xr:uid="{00000000-0005-0000-0000-000065680000}"/>
    <cellStyle name="Output 2 14 2 3 3" xfId="30995" xr:uid="{00000000-0005-0000-0000-000066680000}"/>
    <cellStyle name="Output 2 14 2 3 3 2" xfId="30997" xr:uid="{00000000-0005-0000-0000-000067680000}"/>
    <cellStyle name="Output 2 14 2 3 3 3" xfId="30999" xr:uid="{00000000-0005-0000-0000-000068680000}"/>
    <cellStyle name="Output 2 14 2 3 3 4" xfId="12932" xr:uid="{00000000-0005-0000-0000-000069680000}"/>
    <cellStyle name="Output 2 14 2 3 4" xfId="31001" xr:uid="{00000000-0005-0000-0000-00006A680000}"/>
    <cellStyle name="Output 2 14 2 3 4 2" xfId="31005" xr:uid="{00000000-0005-0000-0000-00006B680000}"/>
    <cellStyle name="Output 2 14 2 3 4 3" xfId="31009" xr:uid="{00000000-0005-0000-0000-00006C680000}"/>
    <cellStyle name="Output 2 14 2 3 5" xfId="31013" xr:uid="{00000000-0005-0000-0000-00006D680000}"/>
    <cellStyle name="Output 2 14 2 3 5 2" xfId="31016" xr:uid="{00000000-0005-0000-0000-00006E680000}"/>
    <cellStyle name="Output 2 14 2 3 5 3" xfId="31019" xr:uid="{00000000-0005-0000-0000-00006F680000}"/>
    <cellStyle name="Output 2 14 2 3 6" xfId="31022" xr:uid="{00000000-0005-0000-0000-000070680000}"/>
    <cellStyle name="Output 2 14 2 3 7" xfId="31025" xr:uid="{00000000-0005-0000-0000-000071680000}"/>
    <cellStyle name="Output 2 14 2 4" xfId="31028" xr:uid="{00000000-0005-0000-0000-000072680000}"/>
    <cellStyle name="Output 2 14 2 4 2" xfId="31029" xr:uid="{00000000-0005-0000-0000-000073680000}"/>
    <cellStyle name="Output 2 14 2 4 2 2" xfId="28903" xr:uid="{00000000-0005-0000-0000-000074680000}"/>
    <cellStyle name="Output 2 14 2 4 2 3" xfId="28910" xr:uid="{00000000-0005-0000-0000-000075680000}"/>
    <cellStyle name="Output 2 14 2 4 2 4" xfId="12958" xr:uid="{00000000-0005-0000-0000-000076680000}"/>
    <cellStyle name="Output 2 14 2 4 3" xfId="24007" xr:uid="{00000000-0005-0000-0000-000077680000}"/>
    <cellStyle name="Output 2 14 2 4 3 2" xfId="28922" xr:uid="{00000000-0005-0000-0000-000078680000}"/>
    <cellStyle name="Output 2 14 2 4 3 3" xfId="28924" xr:uid="{00000000-0005-0000-0000-000079680000}"/>
    <cellStyle name="Output 2 14 2 4 3 4" xfId="12965" xr:uid="{00000000-0005-0000-0000-00007A680000}"/>
    <cellStyle name="Output 2 14 2 4 4" xfId="24009" xr:uid="{00000000-0005-0000-0000-00007B680000}"/>
    <cellStyle name="Output 2 14 2 4 4 2" xfId="26735" xr:uid="{00000000-0005-0000-0000-00007C680000}"/>
    <cellStyle name="Output 2 14 2 4 4 3" xfId="26745" xr:uid="{00000000-0005-0000-0000-00007D680000}"/>
    <cellStyle name="Output 2 14 2 4 5" xfId="24012" xr:uid="{00000000-0005-0000-0000-00007E680000}"/>
    <cellStyle name="Output 2 14 2 4 5 2" xfId="28939" xr:uid="{00000000-0005-0000-0000-00007F680000}"/>
    <cellStyle name="Output 2 14 2 4 5 3" xfId="28945" xr:uid="{00000000-0005-0000-0000-000080680000}"/>
    <cellStyle name="Output 2 14 2 4 6" xfId="31030" xr:uid="{00000000-0005-0000-0000-000081680000}"/>
    <cellStyle name="Output 2 14 2 4 7" xfId="31032" xr:uid="{00000000-0005-0000-0000-000082680000}"/>
    <cellStyle name="Output 2 14 2 5" xfId="26832" xr:uid="{00000000-0005-0000-0000-000083680000}"/>
    <cellStyle name="Output 2 14 2 5 2" xfId="30185" xr:uid="{00000000-0005-0000-0000-000084680000}"/>
    <cellStyle name="Output 2 14 2 5 2 2" xfId="29026" xr:uid="{00000000-0005-0000-0000-000085680000}"/>
    <cellStyle name="Output 2 14 2 5 2 3" xfId="29032" xr:uid="{00000000-0005-0000-0000-000086680000}"/>
    <cellStyle name="Output 2 14 2 5 2 4" xfId="13002" xr:uid="{00000000-0005-0000-0000-000087680000}"/>
    <cellStyle name="Output 2 14 2 5 3" xfId="24017" xr:uid="{00000000-0005-0000-0000-000088680000}"/>
    <cellStyle name="Output 2 14 2 5 3 2" xfId="29044" xr:uid="{00000000-0005-0000-0000-000089680000}"/>
    <cellStyle name="Output 2 14 2 5 3 3" xfId="29049" xr:uid="{00000000-0005-0000-0000-00008A680000}"/>
    <cellStyle name="Output 2 14 2 5 3 4" xfId="13008" xr:uid="{00000000-0005-0000-0000-00008B680000}"/>
    <cellStyle name="Output 2 14 2 5 4" xfId="24020" xr:uid="{00000000-0005-0000-0000-00008C680000}"/>
    <cellStyle name="Output 2 14 2 5 4 2" xfId="29061" xr:uid="{00000000-0005-0000-0000-00008D680000}"/>
    <cellStyle name="Output 2 14 2 5 4 3" xfId="29067" xr:uid="{00000000-0005-0000-0000-00008E680000}"/>
    <cellStyle name="Output 2 14 2 5 5" xfId="24023" xr:uid="{00000000-0005-0000-0000-00008F680000}"/>
    <cellStyle name="Output 2 14 2 5 5 2" xfId="27895" xr:uid="{00000000-0005-0000-0000-000090680000}"/>
    <cellStyle name="Output 2 14 2 5 5 3" xfId="27906" xr:uid="{00000000-0005-0000-0000-000091680000}"/>
    <cellStyle name="Output 2 14 2 5 6" xfId="31034" xr:uid="{00000000-0005-0000-0000-000092680000}"/>
    <cellStyle name="Output 2 14 2 5 7" xfId="31036" xr:uid="{00000000-0005-0000-0000-000093680000}"/>
    <cellStyle name="Output 2 14 2 6" xfId="26834" xr:uid="{00000000-0005-0000-0000-000094680000}"/>
    <cellStyle name="Output 2 14 2 6 2" xfId="31038" xr:uid="{00000000-0005-0000-0000-000095680000}"/>
    <cellStyle name="Output 2 14 2 6 2 2" xfId="29118" xr:uid="{00000000-0005-0000-0000-000096680000}"/>
    <cellStyle name="Output 2 14 2 6 2 3" xfId="31039" xr:uid="{00000000-0005-0000-0000-000097680000}"/>
    <cellStyle name="Output 2 14 2 6 2 4" xfId="13027" xr:uid="{00000000-0005-0000-0000-000098680000}"/>
    <cellStyle name="Output 2 14 2 6 3" xfId="24027" xr:uid="{00000000-0005-0000-0000-000099680000}"/>
    <cellStyle name="Output 2 14 2 6 3 2" xfId="31040" xr:uid="{00000000-0005-0000-0000-00009A680000}"/>
    <cellStyle name="Output 2 14 2 6 3 3" xfId="31041" xr:uid="{00000000-0005-0000-0000-00009B680000}"/>
    <cellStyle name="Output 2 14 2 6 3 4" xfId="13031" xr:uid="{00000000-0005-0000-0000-00009C680000}"/>
    <cellStyle name="Output 2 14 2 6 4" xfId="24029" xr:uid="{00000000-0005-0000-0000-00009D680000}"/>
    <cellStyle name="Output 2 14 2 6 4 2" xfId="31042" xr:uid="{00000000-0005-0000-0000-00009E680000}"/>
    <cellStyle name="Output 2 14 2 6 4 3" xfId="31044" xr:uid="{00000000-0005-0000-0000-00009F680000}"/>
    <cellStyle name="Output 2 14 2 6 5" xfId="31046" xr:uid="{00000000-0005-0000-0000-0000A0680000}"/>
    <cellStyle name="Output 2 14 2 6 5 2" xfId="3255" xr:uid="{00000000-0005-0000-0000-0000A1680000}"/>
    <cellStyle name="Output 2 14 2 6 5 3" xfId="3343" xr:uid="{00000000-0005-0000-0000-0000A2680000}"/>
    <cellStyle name="Output 2 14 2 6 6" xfId="31048" xr:uid="{00000000-0005-0000-0000-0000A3680000}"/>
    <cellStyle name="Output 2 14 2 6 7" xfId="31050" xr:uid="{00000000-0005-0000-0000-0000A4680000}"/>
    <cellStyle name="Output 2 14 2 7" xfId="26836" xr:uid="{00000000-0005-0000-0000-0000A5680000}"/>
    <cellStyle name="Output 2 14 2 7 2" xfId="31052" xr:uid="{00000000-0005-0000-0000-0000A6680000}"/>
    <cellStyle name="Output 2 14 2 7 2 2" xfId="29139" xr:uid="{00000000-0005-0000-0000-0000A7680000}"/>
    <cellStyle name="Output 2 14 2 7 2 3" xfId="31053" xr:uid="{00000000-0005-0000-0000-0000A8680000}"/>
    <cellStyle name="Output 2 14 2 7 2 4" xfId="31054" xr:uid="{00000000-0005-0000-0000-0000A9680000}"/>
    <cellStyle name="Output 2 14 2 7 3" xfId="24034" xr:uid="{00000000-0005-0000-0000-0000AA680000}"/>
    <cellStyle name="Output 2 14 2 7 3 2" xfId="31055" xr:uid="{00000000-0005-0000-0000-0000AB680000}"/>
    <cellStyle name="Output 2 14 2 7 3 3" xfId="31056" xr:uid="{00000000-0005-0000-0000-0000AC680000}"/>
    <cellStyle name="Output 2 14 2 7 3 4" xfId="31057" xr:uid="{00000000-0005-0000-0000-0000AD680000}"/>
    <cellStyle name="Output 2 14 2 7 4" xfId="7413" xr:uid="{00000000-0005-0000-0000-0000AE680000}"/>
    <cellStyle name="Output 2 14 2 7 4 2" xfId="31058" xr:uid="{00000000-0005-0000-0000-0000AF680000}"/>
    <cellStyle name="Output 2 14 2 7 4 3" xfId="31060" xr:uid="{00000000-0005-0000-0000-0000B0680000}"/>
    <cellStyle name="Output 2 14 2 7 5" xfId="3813" xr:uid="{00000000-0005-0000-0000-0000B1680000}"/>
    <cellStyle name="Output 2 14 2 7 5 2" xfId="4412" xr:uid="{00000000-0005-0000-0000-0000B2680000}"/>
    <cellStyle name="Output 2 14 2 7 5 3" xfId="4198" xr:uid="{00000000-0005-0000-0000-0000B3680000}"/>
    <cellStyle name="Output 2 14 2 7 6" xfId="3817" xr:uid="{00000000-0005-0000-0000-0000B4680000}"/>
    <cellStyle name="Output 2 14 2 7 7" xfId="3821" xr:uid="{00000000-0005-0000-0000-0000B5680000}"/>
    <cellStyle name="Output 2 14 2 8" xfId="31062" xr:uid="{00000000-0005-0000-0000-0000B6680000}"/>
    <cellStyle name="Output 2 14 2 8 2" xfId="31064" xr:uid="{00000000-0005-0000-0000-0000B7680000}"/>
    <cellStyle name="Output 2 14 2 8 2 2" xfId="29177" xr:uid="{00000000-0005-0000-0000-0000B8680000}"/>
    <cellStyle name="Output 2 14 2 8 2 3" xfId="31066" xr:uid="{00000000-0005-0000-0000-0000B9680000}"/>
    <cellStyle name="Output 2 14 2 8 2 4" xfId="31068" xr:uid="{00000000-0005-0000-0000-0000BA680000}"/>
    <cellStyle name="Output 2 14 2 8 3" xfId="14434" xr:uid="{00000000-0005-0000-0000-0000BB680000}"/>
    <cellStyle name="Output 2 14 2 8 3 2" xfId="14465" xr:uid="{00000000-0005-0000-0000-0000BC680000}"/>
    <cellStyle name="Output 2 14 2 8 3 3" xfId="14491" xr:uid="{00000000-0005-0000-0000-0000BD680000}"/>
    <cellStyle name="Output 2 14 2 8 3 4" xfId="14511" xr:uid="{00000000-0005-0000-0000-0000BE680000}"/>
    <cellStyle name="Output 2 14 2 8 4" xfId="7421" xr:uid="{00000000-0005-0000-0000-0000BF680000}"/>
    <cellStyle name="Output 2 14 2 8 4 2" xfId="14759" xr:uid="{00000000-0005-0000-0000-0000C0680000}"/>
    <cellStyle name="Output 2 14 2 8 4 3" xfId="14774" xr:uid="{00000000-0005-0000-0000-0000C1680000}"/>
    <cellStyle name="Output 2 14 2 8 5" xfId="3828" xr:uid="{00000000-0005-0000-0000-0000C2680000}"/>
    <cellStyle name="Output 2 14 2 8 5 2" xfId="5234" xr:uid="{00000000-0005-0000-0000-0000C3680000}"/>
    <cellStyle name="Output 2 14 2 8 5 3" xfId="5276" xr:uid="{00000000-0005-0000-0000-0000C4680000}"/>
    <cellStyle name="Output 2 14 2 8 6" xfId="3835" xr:uid="{00000000-0005-0000-0000-0000C5680000}"/>
    <cellStyle name="Output 2 14 2 8 7" xfId="3841" xr:uid="{00000000-0005-0000-0000-0000C6680000}"/>
    <cellStyle name="Output 2 14 2 9" xfId="31070" xr:uid="{00000000-0005-0000-0000-0000C7680000}"/>
    <cellStyle name="Output 2 14 2 9 2" xfId="31071" xr:uid="{00000000-0005-0000-0000-0000C8680000}"/>
    <cellStyle name="Output 2 14 2 9 2 2" xfId="29195" xr:uid="{00000000-0005-0000-0000-0000C9680000}"/>
    <cellStyle name="Output 2 14 2 9 2 3" xfId="31072" xr:uid="{00000000-0005-0000-0000-0000CA680000}"/>
    <cellStyle name="Output 2 14 2 9 2 4" xfId="31073" xr:uid="{00000000-0005-0000-0000-0000CB680000}"/>
    <cellStyle name="Output 2 14 2 9 3" xfId="15163" xr:uid="{00000000-0005-0000-0000-0000CC680000}"/>
    <cellStyle name="Output 2 14 2 9 3 2" xfId="15209" xr:uid="{00000000-0005-0000-0000-0000CD680000}"/>
    <cellStyle name="Output 2 14 2 9 3 3" xfId="15239" xr:uid="{00000000-0005-0000-0000-0000CE680000}"/>
    <cellStyle name="Output 2 14 2 9 3 4" xfId="15265" xr:uid="{00000000-0005-0000-0000-0000CF680000}"/>
    <cellStyle name="Output 2 14 2 9 4" xfId="7434" xr:uid="{00000000-0005-0000-0000-0000D0680000}"/>
    <cellStyle name="Output 2 14 2 9 4 2" xfId="15403" xr:uid="{00000000-0005-0000-0000-0000D1680000}"/>
    <cellStyle name="Output 2 14 2 9 4 3" xfId="15424" xr:uid="{00000000-0005-0000-0000-0000D2680000}"/>
    <cellStyle name="Output 2 14 2 9 5" xfId="3853" xr:uid="{00000000-0005-0000-0000-0000D3680000}"/>
    <cellStyle name="Output 2 14 2 9 5 2" xfId="5932" xr:uid="{00000000-0005-0000-0000-0000D4680000}"/>
    <cellStyle name="Output 2 14 2 9 5 3" xfId="5958" xr:uid="{00000000-0005-0000-0000-0000D5680000}"/>
    <cellStyle name="Output 2 14 2 9 6" xfId="3863" xr:uid="{00000000-0005-0000-0000-0000D6680000}"/>
    <cellStyle name="Output 2 14 2 9 7" xfId="15595" xr:uid="{00000000-0005-0000-0000-0000D7680000}"/>
    <cellStyle name="Output 2 14 3" xfId="31074" xr:uid="{00000000-0005-0000-0000-0000D8680000}"/>
    <cellStyle name="Output 2 14 3 10" xfId="31075" xr:uid="{00000000-0005-0000-0000-0000D9680000}"/>
    <cellStyle name="Output 2 14 3 10 2" xfId="31076" xr:uid="{00000000-0005-0000-0000-0000DA680000}"/>
    <cellStyle name="Output 2 14 3 10 2 2" xfId="19396" xr:uid="{00000000-0005-0000-0000-0000DB680000}"/>
    <cellStyle name="Output 2 14 3 10 2 3" xfId="31077" xr:uid="{00000000-0005-0000-0000-0000DC680000}"/>
    <cellStyle name="Output 2 14 3 10 2 4" xfId="31078" xr:uid="{00000000-0005-0000-0000-0000DD680000}"/>
    <cellStyle name="Output 2 14 3 10 3" xfId="31079" xr:uid="{00000000-0005-0000-0000-0000DE680000}"/>
    <cellStyle name="Output 2 14 3 10 3 2" xfId="31080" xr:uid="{00000000-0005-0000-0000-0000DF680000}"/>
    <cellStyle name="Output 2 14 3 10 3 3" xfId="31081" xr:uid="{00000000-0005-0000-0000-0000E0680000}"/>
    <cellStyle name="Output 2 14 3 10 3 4" xfId="31083" xr:uid="{00000000-0005-0000-0000-0000E1680000}"/>
    <cellStyle name="Output 2 14 3 10 4" xfId="31084" xr:uid="{00000000-0005-0000-0000-0000E2680000}"/>
    <cellStyle name="Output 2 14 3 10 4 2" xfId="31086" xr:uid="{00000000-0005-0000-0000-0000E3680000}"/>
    <cellStyle name="Output 2 14 3 10 4 3" xfId="31088" xr:uid="{00000000-0005-0000-0000-0000E4680000}"/>
    <cellStyle name="Output 2 14 3 10 5" xfId="31090" xr:uid="{00000000-0005-0000-0000-0000E5680000}"/>
    <cellStyle name="Output 2 14 3 10 5 2" xfId="31092" xr:uid="{00000000-0005-0000-0000-0000E6680000}"/>
    <cellStyle name="Output 2 14 3 10 5 3" xfId="31094" xr:uid="{00000000-0005-0000-0000-0000E7680000}"/>
    <cellStyle name="Output 2 14 3 10 6" xfId="31096" xr:uid="{00000000-0005-0000-0000-0000E8680000}"/>
    <cellStyle name="Output 2 14 3 10 7" xfId="31098" xr:uid="{00000000-0005-0000-0000-0000E9680000}"/>
    <cellStyle name="Output 2 14 3 11" xfId="31100" xr:uid="{00000000-0005-0000-0000-0000EA680000}"/>
    <cellStyle name="Output 2 14 3 11 2" xfId="31101" xr:uid="{00000000-0005-0000-0000-0000EB680000}"/>
    <cellStyle name="Output 2 14 3 11 3" xfId="31102" xr:uid="{00000000-0005-0000-0000-0000EC680000}"/>
    <cellStyle name="Output 2 14 3 11 4" xfId="31103" xr:uid="{00000000-0005-0000-0000-0000ED680000}"/>
    <cellStyle name="Output 2 14 3 12" xfId="31105" xr:uid="{00000000-0005-0000-0000-0000EE680000}"/>
    <cellStyle name="Output 2 14 3 12 2" xfId="31106" xr:uid="{00000000-0005-0000-0000-0000EF680000}"/>
    <cellStyle name="Output 2 14 3 12 3" xfId="31107" xr:uid="{00000000-0005-0000-0000-0000F0680000}"/>
    <cellStyle name="Output 2 14 3 12 4" xfId="31108" xr:uid="{00000000-0005-0000-0000-0000F1680000}"/>
    <cellStyle name="Output 2 14 3 13" xfId="30063" xr:uid="{00000000-0005-0000-0000-0000F2680000}"/>
    <cellStyle name="Output 2 14 3 13 2" xfId="31110" xr:uid="{00000000-0005-0000-0000-0000F3680000}"/>
    <cellStyle name="Output 2 14 3 13 3" xfId="31111" xr:uid="{00000000-0005-0000-0000-0000F4680000}"/>
    <cellStyle name="Output 2 14 3 14" xfId="30065" xr:uid="{00000000-0005-0000-0000-0000F5680000}"/>
    <cellStyle name="Output 2 14 3 14 2" xfId="31112" xr:uid="{00000000-0005-0000-0000-0000F6680000}"/>
    <cellStyle name="Output 2 14 3 14 3" xfId="31113" xr:uid="{00000000-0005-0000-0000-0000F7680000}"/>
    <cellStyle name="Output 2 14 3 15" xfId="31114" xr:uid="{00000000-0005-0000-0000-0000F8680000}"/>
    <cellStyle name="Output 2 14 3 16" xfId="3156" xr:uid="{00000000-0005-0000-0000-0000F9680000}"/>
    <cellStyle name="Output 2 14 3 2" xfId="776" xr:uid="{00000000-0005-0000-0000-0000FA680000}"/>
    <cellStyle name="Output 2 14 3 2 2" xfId="31115" xr:uid="{00000000-0005-0000-0000-0000FB680000}"/>
    <cellStyle name="Output 2 14 3 2 2 2" xfId="31116" xr:uid="{00000000-0005-0000-0000-0000FC680000}"/>
    <cellStyle name="Output 2 14 3 2 2 3" xfId="31117" xr:uid="{00000000-0005-0000-0000-0000FD680000}"/>
    <cellStyle name="Output 2 14 3 2 2 4" xfId="13156" xr:uid="{00000000-0005-0000-0000-0000FE680000}"/>
    <cellStyle name="Output 2 14 3 2 3" xfId="31118" xr:uid="{00000000-0005-0000-0000-0000FF680000}"/>
    <cellStyle name="Output 2 14 3 2 3 2" xfId="31119" xr:uid="{00000000-0005-0000-0000-000000690000}"/>
    <cellStyle name="Output 2 14 3 2 3 3" xfId="31120" xr:uid="{00000000-0005-0000-0000-000001690000}"/>
    <cellStyle name="Output 2 14 3 2 3 4" xfId="13160" xr:uid="{00000000-0005-0000-0000-000002690000}"/>
    <cellStyle name="Output 2 14 3 2 4" xfId="31121" xr:uid="{00000000-0005-0000-0000-000003690000}"/>
    <cellStyle name="Output 2 14 3 2 4 2" xfId="31122" xr:uid="{00000000-0005-0000-0000-000004690000}"/>
    <cellStyle name="Output 2 14 3 2 4 3" xfId="31123" xr:uid="{00000000-0005-0000-0000-000005690000}"/>
    <cellStyle name="Output 2 14 3 2 5" xfId="31124" xr:uid="{00000000-0005-0000-0000-000006690000}"/>
    <cellStyle name="Output 2 14 3 2 5 2" xfId="31125" xr:uid="{00000000-0005-0000-0000-000007690000}"/>
    <cellStyle name="Output 2 14 3 2 5 3" xfId="31126" xr:uid="{00000000-0005-0000-0000-000008690000}"/>
    <cellStyle name="Output 2 14 3 2 6" xfId="22269" xr:uid="{00000000-0005-0000-0000-000009690000}"/>
    <cellStyle name="Output 2 14 3 2 7" xfId="22271" xr:uid="{00000000-0005-0000-0000-00000A690000}"/>
    <cellStyle name="Output 2 14 3 3" xfId="781" xr:uid="{00000000-0005-0000-0000-00000B690000}"/>
    <cellStyle name="Output 2 14 3 3 2" xfId="31127" xr:uid="{00000000-0005-0000-0000-00000C690000}"/>
    <cellStyle name="Output 2 14 3 3 2 2" xfId="31128" xr:uid="{00000000-0005-0000-0000-00000D690000}"/>
    <cellStyle name="Output 2 14 3 3 2 3" xfId="31130" xr:uid="{00000000-0005-0000-0000-00000E690000}"/>
    <cellStyle name="Output 2 14 3 3 2 4" xfId="13177" xr:uid="{00000000-0005-0000-0000-00000F690000}"/>
    <cellStyle name="Output 2 14 3 3 3" xfId="31131" xr:uid="{00000000-0005-0000-0000-000010690000}"/>
    <cellStyle name="Output 2 14 3 3 3 2" xfId="31132" xr:uid="{00000000-0005-0000-0000-000011690000}"/>
    <cellStyle name="Output 2 14 3 3 3 3" xfId="31133" xr:uid="{00000000-0005-0000-0000-000012690000}"/>
    <cellStyle name="Output 2 14 3 3 3 4" xfId="13181" xr:uid="{00000000-0005-0000-0000-000013690000}"/>
    <cellStyle name="Output 2 14 3 3 4" xfId="31134" xr:uid="{00000000-0005-0000-0000-000014690000}"/>
    <cellStyle name="Output 2 14 3 3 4 2" xfId="31136" xr:uid="{00000000-0005-0000-0000-000015690000}"/>
    <cellStyle name="Output 2 14 3 3 4 3" xfId="31138" xr:uid="{00000000-0005-0000-0000-000016690000}"/>
    <cellStyle name="Output 2 14 3 3 5" xfId="31140" xr:uid="{00000000-0005-0000-0000-000017690000}"/>
    <cellStyle name="Output 2 14 3 3 5 2" xfId="31142" xr:uid="{00000000-0005-0000-0000-000018690000}"/>
    <cellStyle name="Output 2 14 3 3 5 3" xfId="31144" xr:uid="{00000000-0005-0000-0000-000019690000}"/>
    <cellStyle name="Output 2 14 3 3 6" xfId="22275" xr:uid="{00000000-0005-0000-0000-00001A690000}"/>
    <cellStyle name="Output 2 14 3 3 7" xfId="31146" xr:uid="{00000000-0005-0000-0000-00001B690000}"/>
    <cellStyle name="Output 2 14 3 4" xfId="784" xr:uid="{00000000-0005-0000-0000-00001C690000}"/>
    <cellStyle name="Output 2 14 3 4 2" xfId="31148" xr:uid="{00000000-0005-0000-0000-00001D690000}"/>
    <cellStyle name="Output 2 14 3 4 2 2" xfId="26997" xr:uid="{00000000-0005-0000-0000-00001E690000}"/>
    <cellStyle name="Output 2 14 3 4 2 3" xfId="27006" xr:uid="{00000000-0005-0000-0000-00001F690000}"/>
    <cellStyle name="Output 2 14 3 4 2 4" xfId="13202" xr:uid="{00000000-0005-0000-0000-000020690000}"/>
    <cellStyle name="Output 2 14 3 4 3" xfId="31149" xr:uid="{00000000-0005-0000-0000-000021690000}"/>
    <cellStyle name="Output 2 14 3 4 3 2" xfId="27422" xr:uid="{00000000-0005-0000-0000-000022690000}"/>
    <cellStyle name="Output 2 14 3 4 3 3" xfId="27441" xr:uid="{00000000-0005-0000-0000-000023690000}"/>
    <cellStyle name="Output 2 14 3 4 3 4" xfId="13208" xr:uid="{00000000-0005-0000-0000-000024690000}"/>
    <cellStyle name="Output 2 14 3 4 4" xfId="31150" xr:uid="{00000000-0005-0000-0000-000025690000}"/>
    <cellStyle name="Output 2 14 3 4 4 2" xfId="27814" xr:uid="{00000000-0005-0000-0000-000026690000}"/>
    <cellStyle name="Output 2 14 3 4 4 3" xfId="27840" xr:uid="{00000000-0005-0000-0000-000027690000}"/>
    <cellStyle name="Output 2 14 3 4 5" xfId="31152" xr:uid="{00000000-0005-0000-0000-000028690000}"/>
    <cellStyle name="Output 2 14 3 4 5 2" xfId="28284" xr:uid="{00000000-0005-0000-0000-000029690000}"/>
    <cellStyle name="Output 2 14 3 4 5 3" xfId="28306" xr:uid="{00000000-0005-0000-0000-00002A690000}"/>
    <cellStyle name="Output 2 14 3 4 6" xfId="31154" xr:uid="{00000000-0005-0000-0000-00002B690000}"/>
    <cellStyle name="Output 2 14 3 4 7" xfId="31156" xr:uid="{00000000-0005-0000-0000-00002C690000}"/>
    <cellStyle name="Output 2 14 3 5" xfId="791" xr:uid="{00000000-0005-0000-0000-00002D690000}"/>
    <cellStyle name="Output 2 14 3 5 2" xfId="31158" xr:uid="{00000000-0005-0000-0000-00002E690000}"/>
    <cellStyle name="Output 2 14 3 5 2 2" xfId="17532" xr:uid="{00000000-0005-0000-0000-00002F690000}"/>
    <cellStyle name="Output 2 14 3 5 2 3" xfId="17568" xr:uid="{00000000-0005-0000-0000-000030690000}"/>
    <cellStyle name="Output 2 14 3 5 2 4" xfId="13248" xr:uid="{00000000-0005-0000-0000-000031690000}"/>
    <cellStyle name="Output 2 14 3 5 3" xfId="31159" xr:uid="{00000000-0005-0000-0000-000032690000}"/>
    <cellStyle name="Output 2 14 3 5 3 2" xfId="17812" xr:uid="{00000000-0005-0000-0000-000033690000}"/>
    <cellStyle name="Output 2 14 3 5 3 3" xfId="17850" xr:uid="{00000000-0005-0000-0000-000034690000}"/>
    <cellStyle name="Output 2 14 3 5 3 4" xfId="13261" xr:uid="{00000000-0005-0000-0000-000035690000}"/>
    <cellStyle name="Output 2 14 3 5 4" xfId="31160" xr:uid="{00000000-0005-0000-0000-000036690000}"/>
    <cellStyle name="Output 2 14 3 5 4 2" xfId="18030" xr:uid="{00000000-0005-0000-0000-000037690000}"/>
    <cellStyle name="Output 2 14 3 5 4 3" xfId="18067" xr:uid="{00000000-0005-0000-0000-000038690000}"/>
    <cellStyle name="Output 2 14 3 5 5" xfId="31162" xr:uid="{00000000-0005-0000-0000-000039690000}"/>
    <cellStyle name="Output 2 14 3 5 5 2" xfId="18238" xr:uid="{00000000-0005-0000-0000-00003A690000}"/>
    <cellStyle name="Output 2 14 3 5 5 3" xfId="18250" xr:uid="{00000000-0005-0000-0000-00003B690000}"/>
    <cellStyle name="Output 2 14 3 5 6" xfId="31164" xr:uid="{00000000-0005-0000-0000-00003C690000}"/>
    <cellStyle name="Output 2 14 3 5 7" xfId="31166" xr:uid="{00000000-0005-0000-0000-00003D690000}"/>
    <cellStyle name="Output 2 14 3 6" xfId="26842" xr:uid="{00000000-0005-0000-0000-00003E690000}"/>
    <cellStyle name="Output 2 14 3 6 2" xfId="31168" xr:uid="{00000000-0005-0000-0000-00003F690000}"/>
    <cellStyle name="Output 2 14 3 6 2 2" xfId="29417" xr:uid="{00000000-0005-0000-0000-000040690000}"/>
    <cellStyle name="Output 2 14 3 6 2 3" xfId="31169" xr:uid="{00000000-0005-0000-0000-000041690000}"/>
    <cellStyle name="Output 2 14 3 6 2 4" xfId="13284" xr:uid="{00000000-0005-0000-0000-000042690000}"/>
    <cellStyle name="Output 2 14 3 6 3" xfId="31170" xr:uid="{00000000-0005-0000-0000-000043690000}"/>
    <cellStyle name="Output 2 14 3 6 3 2" xfId="31171" xr:uid="{00000000-0005-0000-0000-000044690000}"/>
    <cellStyle name="Output 2 14 3 6 3 3" xfId="31172" xr:uid="{00000000-0005-0000-0000-000045690000}"/>
    <cellStyle name="Output 2 14 3 6 3 4" xfId="13288" xr:uid="{00000000-0005-0000-0000-000046690000}"/>
    <cellStyle name="Output 2 14 3 6 4" xfId="31173" xr:uid="{00000000-0005-0000-0000-000047690000}"/>
    <cellStyle name="Output 2 14 3 6 4 2" xfId="31175" xr:uid="{00000000-0005-0000-0000-000048690000}"/>
    <cellStyle name="Output 2 14 3 6 4 3" xfId="31177" xr:uid="{00000000-0005-0000-0000-000049690000}"/>
    <cellStyle name="Output 2 14 3 6 5" xfId="31179" xr:uid="{00000000-0005-0000-0000-00004A690000}"/>
    <cellStyle name="Output 2 14 3 6 5 2" xfId="31181" xr:uid="{00000000-0005-0000-0000-00004B690000}"/>
    <cellStyle name="Output 2 14 3 6 5 3" xfId="31183" xr:uid="{00000000-0005-0000-0000-00004C690000}"/>
    <cellStyle name="Output 2 14 3 6 6" xfId="31185" xr:uid="{00000000-0005-0000-0000-00004D690000}"/>
    <cellStyle name="Output 2 14 3 6 7" xfId="31187" xr:uid="{00000000-0005-0000-0000-00004E690000}"/>
    <cellStyle name="Output 2 14 3 7" xfId="26845" xr:uid="{00000000-0005-0000-0000-00004F690000}"/>
    <cellStyle name="Output 2 14 3 7 2" xfId="31189" xr:uid="{00000000-0005-0000-0000-000050690000}"/>
    <cellStyle name="Output 2 14 3 7 2 2" xfId="29442" xr:uid="{00000000-0005-0000-0000-000051690000}"/>
    <cellStyle name="Output 2 14 3 7 2 3" xfId="31190" xr:uid="{00000000-0005-0000-0000-000052690000}"/>
    <cellStyle name="Output 2 14 3 7 2 4" xfId="31191" xr:uid="{00000000-0005-0000-0000-000053690000}"/>
    <cellStyle name="Output 2 14 3 7 3" xfId="31192" xr:uid="{00000000-0005-0000-0000-000054690000}"/>
    <cellStyle name="Output 2 14 3 7 3 2" xfId="31193" xr:uid="{00000000-0005-0000-0000-000055690000}"/>
    <cellStyle name="Output 2 14 3 7 3 3" xfId="31194" xr:uid="{00000000-0005-0000-0000-000056690000}"/>
    <cellStyle name="Output 2 14 3 7 3 4" xfId="31195" xr:uid="{00000000-0005-0000-0000-000057690000}"/>
    <cellStyle name="Output 2 14 3 7 4" xfId="7473" xr:uid="{00000000-0005-0000-0000-000058690000}"/>
    <cellStyle name="Output 2 14 3 7 4 2" xfId="31196" xr:uid="{00000000-0005-0000-0000-000059690000}"/>
    <cellStyle name="Output 2 14 3 7 4 3" xfId="31198" xr:uid="{00000000-0005-0000-0000-00005A690000}"/>
    <cellStyle name="Output 2 14 3 7 5" xfId="7476" xr:uid="{00000000-0005-0000-0000-00005B690000}"/>
    <cellStyle name="Output 2 14 3 7 5 2" xfId="31200" xr:uid="{00000000-0005-0000-0000-00005C690000}"/>
    <cellStyle name="Output 2 14 3 7 5 3" xfId="14064" xr:uid="{00000000-0005-0000-0000-00005D690000}"/>
    <cellStyle name="Output 2 14 3 7 6" xfId="7480" xr:uid="{00000000-0005-0000-0000-00005E690000}"/>
    <cellStyle name="Output 2 14 3 7 7" xfId="31202" xr:uid="{00000000-0005-0000-0000-00005F690000}"/>
    <cellStyle name="Output 2 14 3 8" xfId="31204" xr:uid="{00000000-0005-0000-0000-000060690000}"/>
    <cellStyle name="Output 2 14 3 8 2" xfId="31205" xr:uid="{00000000-0005-0000-0000-000061690000}"/>
    <cellStyle name="Output 2 14 3 8 2 2" xfId="29479" xr:uid="{00000000-0005-0000-0000-000062690000}"/>
    <cellStyle name="Output 2 14 3 8 2 3" xfId="31206" xr:uid="{00000000-0005-0000-0000-000063690000}"/>
    <cellStyle name="Output 2 14 3 8 2 4" xfId="31207" xr:uid="{00000000-0005-0000-0000-000064690000}"/>
    <cellStyle name="Output 2 14 3 8 3" xfId="31208" xr:uid="{00000000-0005-0000-0000-000065690000}"/>
    <cellStyle name="Output 2 14 3 8 3 2" xfId="29941" xr:uid="{00000000-0005-0000-0000-000066690000}"/>
    <cellStyle name="Output 2 14 3 8 3 3" xfId="31209" xr:uid="{00000000-0005-0000-0000-000067690000}"/>
    <cellStyle name="Output 2 14 3 8 3 4" xfId="31210" xr:uid="{00000000-0005-0000-0000-000068690000}"/>
    <cellStyle name="Output 2 14 3 8 4" xfId="7487" xr:uid="{00000000-0005-0000-0000-000069690000}"/>
    <cellStyle name="Output 2 14 3 8 4 2" xfId="31211" xr:uid="{00000000-0005-0000-0000-00006A690000}"/>
    <cellStyle name="Output 2 14 3 8 4 3" xfId="31213" xr:uid="{00000000-0005-0000-0000-00006B690000}"/>
    <cellStyle name="Output 2 14 3 8 5" xfId="7491" xr:uid="{00000000-0005-0000-0000-00006C690000}"/>
    <cellStyle name="Output 2 14 3 8 5 2" xfId="31215" xr:uid="{00000000-0005-0000-0000-00006D690000}"/>
    <cellStyle name="Output 2 14 3 8 5 3" xfId="31217" xr:uid="{00000000-0005-0000-0000-00006E690000}"/>
    <cellStyle name="Output 2 14 3 8 6" xfId="7496" xr:uid="{00000000-0005-0000-0000-00006F690000}"/>
    <cellStyle name="Output 2 14 3 8 7" xfId="31219" xr:uid="{00000000-0005-0000-0000-000070690000}"/>
    <cellStyle name="Output 2 14 3 9" xfId="31221" xr:uid="{00000000-0005-0000-0000-000071690000}"/>
    <cellStyle name="Output 2 14 3 9 2" xfId="31222" xr:uid="{00000000-0005-0000-0000-000072690000}"/>
    <cellStyle name="Output 2 14 3 9 2 2" xfId="29503" xr:uid="{00000000-0005-0000-0000-000073690000}"/>
    <cellStyle name="Output 2 14 3 9 2 3" xfId="31223" xr:uid="{00000000-0005-0000-0000-000074690000}"/>
    <cellStyle name="Output 2 14 3 9 2 4" xfId="31224" xr:uid="{00000000-0005-0000-0000-000075690000}"/>
    <cellStyle name="Output 2 14 3 9 3" xfId="31225" xr:uid="{00000000-0005-0000-0000-000076690000}"/>
    <cellStyle name="Output 2 14 3 9 3 2" xfId="30248" xr:uid="{00000000-0005-0000-0000-000077690000}"/>
    <cellStyle name="Output 2 14 3 9 3 3" xfId="31226" xr:uid="{00000000-0005-0000-0000-000078690000}"/>
    <cellStyle name="Output 2 14 3 9 3 4" xfId="31227" xr:uid="{00000000-0005-0000-0000-000079690000}"/>
    <cellStyle name="Output 2 14 3 9 4" xfId="7505" xr:uid="{00000000-0005-0000-0000-00007A690000}"/>
    <cellStyle name="Output 2 14 3 9 4 2" xfId="29359" xr:uid="{00000000-0005-0000-0000-00007B690000}"/>
    <cellStyle name="Output 2 14 3 9 4 3" xfId="29364" xr:uid="{00000000-0005-0000-0000-00007C690000}"/>
    <cellStyle name="Output 2 14 3 9 5" xfId="7510" xr:uid="{00000000-0005-0000-0000-00007D690000}"/>
    <cellStyle name="Output 2 14 3 9 5 2" xfId="31228" xr:uid="{00000000-0005-0000-0000-00007E690000}"/>
    <cellStyle name="Output 2 14 3 9 5 3" xfId="31230" xr:uid="{00000000-0005-0000-0000-00007F690000}"/>
    <cellStyle name="Output 2 14 3 9 6" xfId="29397" xr:uid="{00000000-0005-0000-0000-000080690000}"/>
    <cellStyle name="Output 2 14 3 9 7" xfId="29401" xr:uid="{00000000-0005-0000-0000-000081690000}"/>
    <cellStyle name="Output 2 14 4" xfId="31232" xr:uid="{00000000-0005-0000-0000-000082690000}"/>
    <cellStyle name="Output 2 14 4 2" xfId="31233" xr:uid="{00000000-0005-0000-0000-000083690000}"/>
    <cellStyle name="Output 2 14 4 2 2" xfId="28527" xr:uid="{00000000-0005-0000-0000-000084690000}"/>
    <cellStyle name="Output 2 14 4 2 3" xfId="28529" xr:uid="{00000000-0005-0000-0000-000085690000}"/>
    <cellStyle name="Output 2 14 4 2 4" xfId="31236" xr:uid="{00000000-0005-0000-0000-000086690000}"/>
    <cellStyle name="Output 2 14 4 3" xfId="26212" xr:uid="{00000000-0005-0000-0000-000087690000}"/>
    <cellStyle name="Output 2 14 4 3 2" xfId="31237" xr:uid="{00000000-0005-0000-0000-000088690000}"/>
    <cellStyle name="Output 2 14 4 3 3" xfId="31238" xr:uid="{00000000-0005-0000-0000-000089690000}"/>
    <cellStyle name="Output 2 14 4 3 4" xfId="31239" xr:uid="{00000000-0005-0000-0000-00008A690000}"/>
    <cellStyle name="Output 2 14 4 4" xfId="31241" xr:uid="{00000000-0005-0000-0000-00008B690000}"/>
    <cellStyle name="Output 2 14 4 4 2" xfId="31242" xr:uid="{00000000-0005-0000-0000-00008C690000}"/>
    <cellStyle name="Output 2 14 4 4 3" xfId="31243" xr:uid="{00000000-0005-0000-0000-00008D690000}"/>
    <cellStyle name="Output 2 14 4 5" xfId="26848" xr:uid="{00000000-0005-0000-0000-00008E690000}"/>
    <cellStyle name="Output 2 14 4 5 2" xfId="31244" xr:uid="{00000000-0005-0000-0000-00008F690000}"/>
    <cellStyle name="Output 2 14 4 5 3" xfId="31245" xr:uid="{00000000-0005-0000-0000-000090690000}"/>
    <cellStyle name="Output 2 14 4 6" xfId="26851" xr:uid="{00000000-0005-0000-0000-000091690000}"/>
    <cellStyle name="Output 2 14 4 7" xfId="31246" xr:uid="{00000000-0005-0000-0000-000092690000}"/>
    <cellStyle name="Output 2 14 5" xfId="31247" xr:uid="{00000000-0005-0000-0000-000093690000}"/>
    <cellStyle name="Output 2 14 5 2" xfId="31248" xr:uid="{00000000-0005-0000-0000-000094690000}"/>
    <cellStyle name="Output 2 14 5 2 2" xfId="17951" xr:uid="{00000000-0005-0000-0000-000095690000}"/>
    <cellStyle name="Output 2 14 5 2 3" xfId="7304" xr:uid="{00000000-0005-0000-0000-000096690000}"/>
    <cellStyle name="Output 2 14 5 2 4" xfId="8547" xr:uid="{00000000-0005-0000-0000-000097690000}"/>
    <cellStyle name="Output 2 14 5 3" xfId="7667" xr:uid="{00000000-0005-0000-0000-000098690000}"/>
    <cellStyle name="Output 2 14 5 3 2" xfId="17957" xr:uid="{00000000-0005-0000-0000-000099690000}"/>
    <cellStyle name="Output 2 14 5 3 3" xfId="31251" xr:uid="{00000000-0005-0000-0000-00009A690000}"/>
    <cellStyle name="Output 2 14 5 3 4" xfId="8561" xr:uid="{00000000-0005-0000-0000-00009B690000}"/>
    <cellStyle name="Output 2 14 5 4" xfId="2220" xr:uid="{00000000-0005-0000-0000-00009C690000}"/>
    <cellStyle name="Output 2 14 5 4 2" xfId="2222" xr:uid="{00000000-0005-0000-0000-00009D690000}"/>
    <cellStyle name="Output 2 14 5 4 3" xfId="2227" xr:uid="{00000000-0005-0000-0000-00009E690000}"/>
    <cellStyle name="Output 2 14 5 5" xfId="2257" xr:uid="{00000000-0005-0000-0000-00009F690000}"/>
    <cellStyle name="Output 2 14 5 5 2" xfId="31252" xr:uid="{00000000-0005-0000-0000-0000A0690000}"/>
    <cellStyle name="Output 2 14 5 5 3" xfId="31253" xr:uid="{00000000-0005-0000-0000-0000A1690000}"/>
    <cellStyle name="Output 2 14 5 6" xfId="2261" xr:uid="{00000000-0005-0000-0000-0000A2690000}"/>
    <cellStyle name="Output 2 14 5 7" xfId="1918" xr:uid="{00000000-0005-0000-0000-0000A3690000}"/>
    <cellStyle name="Output 2 14 6" xfId="31254" xr:uid="{00000000-0005-0000-0000-0000A4690000}"/>
    <cellStyle name="Output 2 14 6 2" xfId="30791" xr:uid="{00000000-0005-0000-0000-0000A5690000}"/>
    <cellStyle name="Output 2 14 6 2 2" xfId="13451" xr:uid="{00000000-0005-0000-0000-0000A6690000}"/>
    <cellStyle name="Output 2 14 6 2 3" xfId="13453" xr:uid="{00000000-0005-0000-0000-0000A7690000}"/>
    <cellStyle name="Output 2 14 6 2 4" xfId="8786" xr:uid="{00000000-0005-0000-0000-0000A8690000}"/>
    <cellStyle name="Output 2 14 6 3" xfId="31255" xr:uid="{00000000-0005-0000-0000-0000A9690000}"/>
    <cellStyle name="Output 2 14 6 3 2" xfId="13463" xr:uid="{00000000-0005-0000-0000-0000AA690000}"/>
    <cellStyle name="Output 2 14 6 3 3" xfId="31256" xr:uid="{00000000-0005-0000-0000-0000AB690000}"/>
    <cellStyle name="Output 2 14 6 3 4" xfId="8805" xr:uid="{00000000-0005-0000-0000-0000AC690000}"/>
    <cellStyle name="Output 2 14 6 4" xfId="1696" xr:uid="{00000000-0005-0000-0000-0000AD690000}"/>
    <cellStyle name="Output 2 14 6 4 2" xfId="2326" xr:uid="{00000000-0005-0000-0000-0000AE690000}"/>
    <cellStyle name="Output 2 14 6 4 3" xfId="1322" xr:uid="{00000000-0005-0000-0000-0000AF690000}"/>
    <cellStyle name="Output 2 14 6 5" xfId="1699" xr:uid="{00000000-0005-0000-0000-0000B0690000}"/>
    <cellStyle name="Output 2 14 6 5 2" xfId="31257" xr:uid="{00000000-0005-0000-0000-0000B1690000}"/>
    <cellStyle name="Output 2 14 6 5 3" xfId="31258" xr:uid="{00000000-0005-0000-0000-0000B2690000}"/>
    <cellStyle name="Output 2 14 6 6" xfId="2376" xr:uid="{00000000-0005-0000-0000-0000B3690000}"/>
    <cellStyle name="Output 2 14 6 7" xfId="2378" xr:uid="{00000000-0005-0000-0000-0000B4690000}"/>
    <cellStyle name="Output 2 14 7" xfId="31259" xr:uid="{00000000-0005-0000-0000-0000B5690000}"/>
    <cellStyle name="Output 2 14 7 2" xfId="30795" xr:uid="{00000000-0005-0000-0000-0000B6690000}"/>
    <cellStyle name="Output 2 14 7 2 2" xfId="18005" xr:uid="{00000000-0005-0000-0000-0000B7690000}"/>
    <cellStyle name="Output 2 14 7 2 3" xfId="31260" xr:uid="{00000000-0005-0000-0000-0000B8690000}"/>
    <cellStyle name="Output 2 14 7 2 4" xfId="31261" xr:uid="{00000000-0005-0000-0000-0000B9690000}"/>
    <cellStyle name="Output 2 14 7 3" xfId="31262" xr:uid="{00000000-0005-0000-0000-0000BA690000}"/>
    <cellStyle name="Output 2 14 7 3 2" xfId="18012" xr:uid="{00000000-0005-0000-0000-0000BB690000}"/>
    <cellStyle name="Output 2 14 7 3 3" xfId="31263" xr:uid="{00000000-0005-0000-0000-0000BC690000}"/>
    <cellStyle name="Output 2 14 7 3 4" xfId="31264" xr:uid="{00000000-0005-0000-0000-0000BD690000}"/>
    <cellStyle name="Output 2 14 7 4" xfId="2428" xr:uid="{00000000-0005-0000-0000-0000BE690000}"/>
    <cellStyle name="Output 2 14 7 4 2" xfId="2430" xr:uid="{00000000-0005-0000-0000-0000BF690000}"/>
    <cellStyle name="Output 2 14 7 4 3" xfId="2439" xr:uid="{00000000-0005-0000-0000-0000C0690000}"/>
    <cellStyle name="Output 2 14 7 5" xfId="2453" xr:uid="{00000000-0005-0000-0000-0000C1690000}"/>
    <cellStyle name="Output 2 14 7 5 2" xfId="30426" xr:uid="{00000000-0005-0000-0000-0000C2690000}"/>
    <cellStyle name="Output 2 14 7 5 3" xfId="30430" xr:uid="{00000000-0005-0000-0000-0000C3690000}"/>
    <cellStyle name="Output 2 14 7 6" xfId="2" xr:uid="{00000000-0005-0000-0000-0000C4690000}"/>
    <cellStyle name="Output 2 14 7 7" xfId="2455" xr:uid="{00000000-0005-0000-0000-0000C5690000}"/>
    <cellStyle name="Output 2 14 8" xfId="31266" xr:uid="{00000000-0005-0000-0000-0000C6690000}"/>
    <cellStyle name="Output 2 14 8 2" xfId="31267" xr:uid="{00000000-0005-0000-0000-0000C7690000}"/>
    <cellStyle name="Output 2 14 8 2 2" xfId="18038" xr:uid="{00000000-0005-0000-0000-0000C8690000}"/>
    <cellStyle name="Output 2 14 8 2 3" xfId="31269" xr:uid="{00000000-0005-0000-0000-0000C9690000}"/>
    <cellStyle name="Output 2 14 8 2 4" xfId="24433" xr:uid="{00000000-0005-0000-0000-0000CA690000}"/>
    <cellStyle name="Output 2 14 8 3" xfId="27494" xr:uid="{00000000-0005-0000-0000-0000CB690000}"/>
    <cellStyle name="Output 2 14 8 3 2" xfId="18046" xr:uid="{00000000-0005-0000-0000-0000CC690000}"/>
    <cellStyle name="Output 2 14 8 3 3" xfId="31270" xr:uid="{00000000-0005-0000-0000-0000CD690000}"/>
    <cellStyle name="Output 2 14 8 3 4" xfId="24441" xr:uid="{00000000-0005-0000-0000-0000CE690000}"/>
    <cellStyle name="Output 2 14 8 4" xfId="2508" xr:uid="{00000000-0005-0000-0000-0000CF690000}"/>
    <cellStyle name="Output 2 14 8 4 2" xfId="2511" xr:uid="{00000000-0005-0000-0000-0000D0690000}"/>
    <cellStyle name="Output 2 14 8 4 3" xfId="2518" xr:uid="{00000000-0005-0000-0000-0000D1690000}"/>
    <cellStyle name="Output 2 14 8 5" xfId="2555" xr:uid="{00000000-0005-0000-0000-0000D2690000}"/>
    <cellStyle name="Output 2 14 8 5 2" xfId="31271" xr:uid="{00000000-0005-0000-0000-0000D3690000}"/>
    <cellStyle name="Output 2 14 8 5 3" xfId="31272" xr:uid="{00000000-0005-0000-0000-0000D4690000}"/>
    <cellStyle name="Output 2 14 8 6" xfId="2558" xr:uid="{00000000-0005-0000-0000-0000D5690000}"/>
    <cellStyle name="Output 2 14 8 7" xfId="2562" xr:uid="{00000000-0005-0000-0000-0000D6690000}"/>
    <cellStyle name="Output 2 14 9" xfId="31273" xr:uid="{00000000-0005-0000-0000-0000D7690000}"/>
    <cellStyle name="Output 2 14 9 2" xfId="31274" xr:uid="{00000000-0005-0000-0000-0000D8690000}"/>
    <cellStyle name="Output 2 14 9 2 2" xfId="18079" xr:uid="{00000000-0005-0000-0000-0000D9690000}"/>
    <cellStyle name="Output 2 14 9 2 3" xfId="31276" xr:uid="{00000000-0005-0000-0000-0000DA690000}"/>
    <cellStyle name="Output 2 14 9 2 4" xfId="24547" xr:uid="{00000000-0005-0000-0000-0000DB690000}"/>
    <cellStyle name="Output 2 14 9 3" xfId="27498" xr:uid="{00000000-0005-0000-0000-0000DC690000}"/>
    <cellStyle name="Output 2 14 9 3 2" xfId="18089" xr:uid="{00000000-0005-0000-0000-0000DD690000}"/>
    <cellStyle name="Output 2 14 9 3 3" xfId="31277" xr:uid="{00000000-0005-0000-0000-0000DE690000}"/>
    <cellStyle name="Output 2 14 9 3 4" xfId="24561" xr:uid="{00000000-0005-0000-0000-0000DF690000}"/>
    <cellStyle name="Output 2 14 9 4" xfId="1289" xr:uid="{00000000-0005-0000-0000-0000E0690000}"/>
    <cellStyle name="Output 2 14 9 4 2" xfId="508" xr:uid="{00000000-0005-0000-0000-0000E1690000}"/>
    <cellStyle name="Output 2 14 9 4 3" xfId="2610" xr:uid="{00000000-0005-0000-0000-0000E2690000}"/>
    <cellStyle name="Output 2 14 9 5" xfId="2612" xr:uid="{00000000-0005-0000-0000-0000E3690000}"/>
    <cellStyle name="Output 2 14 9 5 2" xfId="31278" xr:uid="{00000000-0005-0000-0000-0000E4690000}"/>
    <cellStyle name="Output 2 14 9 5 3" xfId="31279" xr:uid="{00000000-0005-0000-0000-0000E5690000}"/>
    <cellStyle name="Output 2 14 9 6" xfId="861" xr:uid="{00000000-0005-0000-0000-0000E6690000}"/>
    <cellStyle name="Output 2 14 9 7" xfId="2615" xr:uid="{00000000-0005-0000-0000-0000E7690000}"/>
    <cellStyle name="Output 2 15" xfId="14942" xr:uid="{00000000-0005-0000-0000-0000E8690000}"/>
    <cellStyle name="Output 2 15 10" xfId="31280" xr:uid="{00000000-0005-0000-0000-0000E9690000}"/>
    <cellStyle name="Output 2 15 10 2" xfId="31281" xr:uid="{00000000-0005-0000-0000-0000EA690000}"/>
    <cellStyle name="Output 2 15 10 2 2" xfId="25703" xr:uid="{00000000-0005-0000-0000-0000EB690000}"/>
    <cellStyle name="Output 2 15 10 2 3" xfId="25706" xr:uid="{00000000-0005-0000-0000-0000EC690000}"/>
    <cellStyle name="Output 2 15 10 2 4" xfId="31282" xr:uid="{00000000-0005-0000-0000-0000ED690000}"/>
    <cellStyle name="Output 2 15 10 3" xfId="31283" xr:uid="{00000000-0005-0000-0000-0000EE690000}"/>
    <cellStyle name="Output 2 15 10 3 2" xfId="25714" xr:uid="{00000000-0005-0000-0000-0000EF690000}"/>
    <cellStyle name="Output 2 15 10 3 3" xfId="25717" xr:uid="{00000000-0005-0000-0000-0000F0690000}"/>
    <cellStyle name="Output 2 15 10 3 4" xfId="31284" xr:uid="{00000000-0005-0000-0000-0000F1690000}"/>
    <cellStyle name="Output 2 15 10 4" xfId="31285" xr:uid="{00000000-0005-0000-0000-0000F2690000}"/>
    <cellStyle name="Output 2 15 10 4 2" xfId="25726" xr:uid="{00000000-0005-0000-0000-0000F3690000}"/>
    <cellStyle name="Output 2 15 10 4 3" xfId="31286" xr:uid="{00000000-0005-0000-0000-0000F4690000}"/>
    <cellStyle name="Output 2 15 10 5" xfId="31288" xr:uid="{00000000-0005-0000-0000-0000F5690000}"/>
    <cellStyle name="Output 2 15 10 5 2" xfId="25732" xr:uid="{00000000-0005-0000-0000-0000F6690000}"/>
    <cellStyle name="Output 2 15 10 5 3" xfId="17206" xr:uid="{00000000-0005-0000-0000-0000F7690000}"/>
    <cellStyle name="Output 2 15 10 6" xfId="31289" xr:uid="{00000000-0005-0000-0000-0000F8690000}"/>
    <cellStyle name="Output 2 15 10 7" xfId="31290" xr:uid="{00000000-0005-0000-0000-0000F9690000}"/>
    <cellStyle name="Output 2 15 11" xfId="31291" xr:uid="{00000000-0005-0000-0000-0000FA690000}"/>
    <cellStyle name="Output 2 15 11 2" xfId="31293" xr:uid="{00000000-0005-0000-0000-0000FB690000}"/>
    <cellStyle name="Output 2 15 11 3" xfId="31294" xr:uid="{00000000-0005-0000-0000-0000FC690000}"/>
    <cellStyle name="Output 2 15 11 4" xfId="31295" xr:uid="{00000000-0005-0000-0000-0000FD690000}"/>
    <cellStyle name="Output 2 15 12" xfId="31296" xr:uid="{00000000-0005-0000-0000-0000FE690000}"/>
    <cellStyle name="Output 2 15 12 2" xfId="31298" xr:uid="{00000000-0005-0000-0000-0000FF690000}"/>
    <cellStyle name="Output 2 15 12 3" xfId="31299" xr:uid="{00000000-0005-0000-0000-0000006A0000}"/>
    <cellStyle name="Output 2 15 12 4" xfId="31300" xr:uid="{00000000-0005-0000-0000-0000016A0000}"/>
    <cellStyle name="Output 2 15 13" xfId="31301" xr:uid="{00000000-0005-0000-0000-0000026A0000}"/>
    <cellStyle name="Output 2 15 13 2" xfId="31303" xr:uid="{00000000-0005-0000-0000-0000036A0000}"/>
    <cellStyle name="Output 2 15 13 3" xfId="9216" xr:uid="{00000000-0005-0000-0000-0000046A0000}"/>
    <cellStyle name="Output 2 15 14" xfId="31304" xr:uid="{00000000-0005-0000-0000-0000056A0000}"/>
    <cellStyle name="Output 2 15 14 2" xfId="31306" xr:uid="{00000000-0005-0000-0000-0000066A0000}"/>
    <cellStyle name="Output 2 15 14 3" xfId="9222" xr:uid="{00000000-0005-0000-0000-0000076A0000}"/>
    <cellStyle name="Output 2 15 15" xfId="31307" xr:uid="{00000000-0005-0000-0000-0000086A0000}"/>
    <cellStyle name="Output 2 15 16" xfId="31309" xr:uid="{00000000-0005-0000-0000-0000096A0000}"/>
    <cellStyle name="Output 2 15 17" xfId="31310" xr:uid="{00000000-0005-0000-0000-00000A6A0000}"/>
    <cellStyle name="Output 2 15 2" xfId="14945" xr:uid="{00000000-0005-0000-0000-00000B6A0000}"/>
    <cellStyle name="Output 2 15 2 2" xfId="31311" xr:uid="{00000000-0005-0000-0000-00000C6A0000}"/>
    <cellStyle name="Output 2 15 2 2 2" xfId="31314" xr:uid="{00000000-0005-0000-0000-00000D6A0000}"/>
    <cellStyle name="Output 2 15 2 2 3" xfId="31315" xr:uid="{00000000-0005-0000-0000-00000E6A0000}"/>
    <cellStyle name="Output 2 15 2 2 4" xfId="31316" xr:uid="{00000000-0005-0000-0000-00000F6A0000}"/>
    <cellStyle name="Output 2 15 2 3" xfId="31317" xr:uid="{00000000-0005-0000-0000-0000106A0000}"/>
    <cellStyle name="Output 2 15 2 3 2" xfId="31320" xr:uid="{00000000-0005-0000-0000-0000116A0000}"/>
    <cellStyle name="Output 2 15 2 3 3" xfId="31321" xr:uid="{00000000-0005-0000-0000-0000126A0000}"/>
    <cellStyle name="Output 2 15 2 3 4" xfId="31322" xr:uid="{00000000-0005-0000-0000-0000136A0000}"/>
    <cellStyle name="Output 2 15 2 4" xfId="31324" xr:uid="{00000000-0005-0000-0000-0000146A0000}"/>
    <cellStyle name="Output 2 15 2 4 2" xfId="31326" xr:uid="{00000000-0005-0000-0000-0000156A0000}"/>
    <cellStyle name="Output 2 15 2 4 3" xfId="31327" xr:uid="{00000000-0005-0000-0000-0000166A0000}"/>
    <cellStyle name="Output 2 15 2 5" xfId="26858" xr:uid="{00000000-0005-0000-0000-0000176A0000}"/>
    <cellStyle name="Output 2 15 2 5 2" xfId="31328" xr:uid="{00000000-0005-0000-0000-0000186A0000}"/>
    <cellStyle name="Output 2 15 2 5 3" xfId="31329" xr:uid="{00000000-0005-0000-0000-0000196A0000}"/>
    <cellStyle name="Output 2 15 2 6" xfId="26860" xr:uid="{00000000-0005-0000-0000-00001A6A0000}"/>
    <cellStyle name="Output 2 15 2 7" xfId="26862" xr:uid="{00000000-0005-0000-0000-00001B6A0000}"/>
    <cellStyle name="Output 2 15 3" xfId="14949" xr:uid="{00000000-0005-0000-0000-00001C6A0000}"/>
    <cellStyle name="Output 2 15 3 2" xfId="932" xr:uid="{00000000-0005-0000-0000-00001D6A0000}"/>
    <cellStyle name="Output 2 15 3 2 2" xfId="31330" xr:uid="{00000000-0005-0000-0000-00001E6A0000}"/>
    <cellStyle name="Output 2 15 3 2 3" xfId="31331" xr:uid="{00000000-0005-0000-0000-00001F6A0000}"/>
    <cellStyle name="Output 2 15 3 2 4" xfId="31332" xr:uid="{00000000-0005-0000-0000-0000206A0000}"/>
    <cellStyle name="Output 2 15 3 3" xfId="939" xr:uid="{00000000-0005-0000-0000-0000216A0000}"/>
    <cellStyle name="Output 2 15 3 3 2" xfId="944" xr:uid="{00000000-0005-0000-0000-0000226A0000}"/>
    <cellStyle name="Output 2 15 3 3 3" xfId="953" xr:uid="{00000000-0005-0000-0000-0000236A0000}"/>
    <cellStyle name="Output 2 15 3 3 4" xfId="31333" xr:uid="{00000000-0005-0000-0000-0000246A0000}"/>
    <cellStyle name="Output 2 15 3 4" xfId="958" xr:uid="{00000000-0005-0000-0000-0000256A0000}"/>
    <cellStyle name="Output 2 15 3 4 2" xfId="29569" xr:uid="{00000000-0005-0000-0000-0000266A0000}"/>
    <cellStyle name="Output 2 15 3 4 3" xfId="29581" xr:uid="{00000000-0005-0000-0000-0000276A0000}"/>
    <cellStyle name="Output 2 15 3 5" xfId="960" xr:uid="{00000000-0005-0000-0000-0000286A0000}"/>
    <cellStyle name="Output 2 15 3 5 2" xfId="1583" xr:uid="{00000000-0005-0000-0000-0000296A0000}"/>
    <cellStyle name="Output 2 15 3 5 3" xfId="1326" xr:uid="{00000000-0005-0000-0000-00002A6A0000}"/>
    <cellStyle name="Output 2 15 3 6" xfId="967" xr:uid="{00000000-0005-0000-0000-00002B6A0000}"/>
    <cellStyle name="Output 2 15 3 7" xfId="26866" xr:uid="{00000000-0005-0000-0000-00002C6A0000}"/>
    <cellStyle name="Output 2 15 4" xfId="14954" xr:uid="{00000000-0005-0000-0000-00002D6A0000}"/>
    <cellStyle name="Output 2 15 4 2" xfId="31335" xr:uid="{00000000-0005-0000-0000-00002E6A0000}"/>
    <cellStyle name="Output 2 15 4 2 2" xfId="28971" xr:uid="{00000000-0005-0000-0000-00002F6A0000}"/>
    <cellStyle name="Output 2 15 4 2 3" xfId="28973" xr:uid="{00000000-0005-0000-0000-0000306A0000}"/>
    <cellStyle name="Output 2 15 4 2 4" xfId="31339" xr:uid="{00000000-0005-0000-0000-0000316A0000}"/>
    <cellStyle name="Output 2 15 4 3" xfId="26214" xr:uid="{00000000-0005-0000-0000-0000326A0000}"/>
    <cellStyle name="Output 2 15 4 3 2" xfId="31340" xr:uid="{00000000-0005-0000-0000-0000336A0000}"/>
    <cellStyle name="Output 2 15 4 3 3" xfId="31341" xr:uid="{00000000-0005-0000-0000-0000346A0000}"/>
    <cellStyle name="Output 2 15 4 3 4" xfId="31342" xr:uid="{00000000-0005-0000-0000-0000356A0000}"/>
    <cellStyle name="Output 2 15 4 4" xfId="31344" xr:uid="{00000000-0005-0000-0000-0000366A0000}"/>
    <cellStyle name="Output 2 15 4 4 2" xfId="31292" xr:uid="{00000000-0005-0000-0000-0000376A0000}"/>
    <cellStyle name="Output 2 15 4 4 3" xfId="31297" xr:uid="{00000000-0005-0000-0000-0000386A0000}"/>
    <cellStyle name="Output 2 15 4 5" xfId="26869" xr:uid="{00000000-0005-0000-0000-0000396A0000}"/>
    <cellStyle name="Output 2 15 4 5 2" xfId="31345" xr:uid="{00000000-0005-0000-0000-00003A6A0000}"/>
    <cellStyle name="Output 2 15 4 5 3" xfId="31346" xr:uid="{00000000-0005-0000-0000-00003B6A0000}"/>
    <cellStyle name="Output 2 15 4 6" xfId="26872" xr:uid="{00000000-0005-0000-0000-00003C6A0000}"/>
    <cellStyle name="Output 2 15 4 7" xfId="31347" xr:uid="{00000000-0005-0000-0000-00003D6A0000}"/>
    <cellStyle name="Output 2 15 5" xfId="24171" xr:uid="{00000000-0005-0000-0000-00003E6A0000}"/>
    <cellStyle name="Output 2 15 5 2" xfId="31348" xr:uid="{00000000-0005-0000-0000-00003F6A0000}"/>
    <cellStyle name="Output 2 15 5 2 2" xfId="18369" xr:uid="{00000000-0005-0000-0000-0000406A0000}"/>
    <cellStyle name="Output 2 15 5 2 3" xfId="18372" xr:uid="{00000000-0005-0000-0000-0000416A0000}"/>
    <cellStyle name="Output 2 15 5 2 4" xfId="9439" xr:uid="{00000000-0005-0000-0000-0000426A0000}"/>
    <cellStyle name="Output 2 15 5 3" xfId="31352" xr:uid="{00000000-0005-0000-0000-0000436A0000}"/>
    <cellStyle name="Output 2 15 5 3 2" xfId="18377" xr:uid="{00000000-0005-0000-0000-0000446A0000}"/>
    <cellStyle name="Output 2 15 5 3 3" xfId="18379" xr:uid="{00000000-0005-0000-0000-0000456A0000}"/>
    <cellStyle name="Output 2 15 5 3 4" xfId="9472" xr:uid="{00000000-0005-0000-0000-0000466A0000}"/>
    <cellStyle name="Output 2 15 5 4" xfId="31354" xr:uid="{00000000-0005-0000-0000-0000476A0000}"/>
    <cellStyle name="Output 2 15 5 4 2" xfId="18384" xr:uid="{00000000-0005-0000-0000-0000486A0000}"/>
    <cellStyle name="Output 2 15 5 4 3" xfId="11704" xr:uid="{00000000-0005-0000-0000-0000496A0000}"/>
    <cellStyle name="Output 2 15 5 5" xfId="26875" xr:uid="{00000000-0005-0000-0000-00004A6A0000}"/>
    <cellStyle name="Output 2 15 5 5 2" xfId="18389" xr:uid="{00000000-0005-0000-0000-00004B6A0000}"/>
    <cellStyle name="Output 2 15 5 5 3" xfId="11707" xr:uid="{00000000-0005-0000-0000-00004C6A0000}"/>
    <cellStyle name="Output 2 15 5 6" xfId="26878" xr:uid="{00000000-0005-0000-0000-00004D6A0000}"/>
    <cellStyle name="Output 2 15 5 7" xfId="31355" xr:uid="{00000000-0005-0000-0000-00004E6A0000}"/>
    <cellStyle name="Output 2 15 6" xfId="24174" xr:uid="{00000000-0005-0000-0000-00004F6A0000}"/>
    <cellStyle name="Output 2 15 6 2" xfId="30810" xr:uid="{00000000-0005-0000-0000-0000506A0000}"/>
    <cellStyle name="Output 2 15 6 2 2" xfId="18394" xr:uid="{00000000-0005-0000-0000-0000516A0000}"/>
    <cellStyle name="Output 2 15 6 2 3" xfId="18396" xr:uid="{00000000-0005-0000-0000-0000526A0000}"/>
    <cellStyle name="Output 2 15 6 2 4" xfId="9750" xr:uid="{00000000-0005-0000-0000-0000536A0000}"/>
    <cellStyle name="Output 2 15 6 3" xfId="31356" xr:uid="{00000000-0005-0000-0000-0000546A0000}"/>
    <cellStyle name="Output 2 15 6 3 2" xfId="18401" xr:uid="{00000000-0005-0000-0000-0000556A0000}"/>
    <cellStyle name="Output 2 15 6 3 3" xfId="18403" xr:uid="{00000000-0005-0000-0000-0000566A0000}"/>
    <cellStyle name="Output 2 15 6 3 4" xfId="9777" xr:uid="{00000000-0005-0000-0000-0000576A0000}"/>
    <cellStyle name="Output 2 15 6 4" xfId="31357" xr:uid="{00000000-0005-0000-0000-0000586A0000}"/>
    <cellStyle name="Output 2 15 6 4 2" xfId="18409" xr:uid="{00000000-0005-0000-0000-0000596A0000}"/>
    <cellStyle name="Output 2 15 6 4 3" xfId="11717" xr:uid="{00000000-0005-0000-0000-00005A6A0000}"/>
    <cellStyle name="Output 2 15 6 5" xfId="31358" xr:uid="{00000000-0005-0000-0000-00005B6A0000}"/>
    <cellStyle name="Output 2 15 6 5 2" xfId="18414" xr:uid="{00000000-0005-0000-0000-00005C6A0000}"/>
    <cellStyle name="Output 2 15 6 5 3" xfId="11720" xr:uid="{00000000-0005-0000-0000-00005D6A0000}"/>
    <cellStyle name="Output 2 15 6 6" xfId="31359" xr:uid="{00000000-0005-0000-0000-00005E6A0000}"/>
    <cellStyle name="Output 2 15 6 7" xfId="31360" xr:uid="{00000000-0005-0000-0000-00005F6A0000}"/>
    <cellStyle name="Output 2 15 7" xfId="31361" xr:uid="{00000000-0005-0000-0000-0000606A0000}"/>
    <cellStyle name="Output 2 15 7 2" xfId="30814" xr:uid="{00000000-0005-0000-0000-0000616A0000}"/>
    <cellStyle name="Output 2 15 7 2 2" xfId="18417" xr:uid="{00000000-0005-0000-0000-0000626A0000}"/>
    <cellStyle name="Output 2 15 7 2 3" xfId="18420" xr:uid="{00000000-0005-0000-0000-0000636A0000}"/>
    <cellStyle name="Output 2 15 7 2 4" xfId="18874" xr:uid="{00000000-0005-0000-0000-0000646A0000}"/>
    <cellStyle name="Output 2 15 7 3" xfId="31363" xr:uid="{00000000-0005-0000-0000-0000656A0000}"/>
    <cellStyle name="Output 2 15 7 3 2" xfId="18425" xr:uid="{00000000-0005-0000-0000-0000666A0000}"/>
    <cellStyle name="Output 2 15 7 3 3" xfId="18428" xr:uid="{00000000-0005-0000-0000-0000676A0000}"/>
    <cellStyle name="Output 2 15 7 3 4" xfId="19040" xr:uid="{00000000-0005-0000-0000-0000686A0000}"/>
    <cellStyle name="Output 2 15 7 4" xfId="31364" xr:uid="{00000000-0005-0000-0000-0000696A0000}"/>
    <cellStyle name="Output 2 15 7 4 2" xfId="18433" xr:uid="{00000000-0005-0000-0000-00006A6A0000}"/>
    <cellStyle name="Output 2 15 7 4 3" xfId="11739" xr:uid="{00000000-0005-0000-0000-00006B6A0000}"/>
    <cellStyle name="Output 2 15 7 5" xfId="31365" xr:uid="{00000000-0005-0000-0000-00006C6A0000}"/>
    <cellStyle name="Output 2 15 7 5 2" xfId="18437" xr:uid="{00000000-0005-0000-0000-00006D6A0000}"/>
    <cellStyle name="Output 2 15 7 5 3" xfId="11751" xr:uid="{00000000-0005-0000-0000-00006E6A0000}"/>
    <cellStyle name="Output 2 15 7 6" xfId="31366" xr:uid="{00000000-0005-0000-0000-00006F6A0000}"/>
    <cellStyle name="Output 2 15 7 7" xfId="31367" xr:uid="{00000000-0005-0000-0000-0000706A0000}"/>
    <cellStyle name="Output 2 15 8" xfId="31368" xr:uid="{00000000-0005-0000-0000-0000716A0000}"/>
    <cellStyle name="Output 2 15 8 2" xfId="31370" xr:uid="{00000000-0005-0000-0000-0000726A0000}"/>
    <cellStyle name="Output 2 15 8 2 2" xfId="15005" xr:uid="{00000000-0005-0000-0000-0000736A0000}"/>
    <cellStyle name="Output 2 15 8 2 3" xfId="14397" xr:uid="{00000000-0005-0000-0000-0000746A0000}"/>
    <cellStyle name="Output 2 15 8 2 4" xfId="15012" xr:uid="{00000000-0005-0000-0000-0000756A0000}"/>
    <cellStyle name="Output 2 15 8 3" xfId="27513" xr:uid="{00000000-0005-0000-0000-0000766A0000}"/>
    <cellStyle name="Output 2 15 8 3 2" xfId="15025" xr:uid="{00000000-0005-0000-0000-0000776A0000}"/>
    <cellStyle name="Output 2 15 8 3 3" xfId="15030" xr:uid="{00000000-0005-0000-0000-0000786A0000}"/>
    <cellStyle name="Output 2 15 8 3 4" xfId="15034" xr:uid="{00000000-0005-0000-0000-0000796A0000}"/>
    <cellStyle name="Output 2 15 8 4" xfId="27515" xr:uid="{00000000-0005-0000-0000-00007A6A0000}"/>
    <cellStyle name="Output 2 15 8 4 2" xfId="15052" xr:uid="{00000000-0005-0000-0000-00007B6A0000}"/>
    <cellStyle name="Output 2 15 8 4 3" xfId="15057" xr:uid="{00000000-0005-0000-0000-00007C6A0000}"/>
    <cellStyle name="Output 2 15 8 5" xfId="27517" xr:uid="{00000000-0005-0000-0000-00007D6A0000}"/>
    <cellStyle name="Output 2 15 8 5 2" xfId="15083" xr:uid="{00000000-0005-0000-0000-00007E6A0000}"/>
    <cellStyle name="Output 2 15 8 5 3" xfId="15088" xr:uid="{00000000-0005-0000-0000-00007F6A0000}"/>
    <cellStyle name="Output 2 15 8 6" xfId="31372" xr:uid="{00000000-0005-0000-0000-0000806A0000}"/>
    <cellStyle name="Output 2 15 8 7" xfId="31373" xr:uid="{00000000-0005-0000-0000-0000816A0000}"/>
    <cellStyle name="Output 2 15 9" xfId="31374" xr:uid="{00000000-0005-0000-0000-0000826A0000}"/>
    <cellStyle name="Output 2 15 9 2" xfId="31375" xr:uid="{00000000-0005-0000-0000-0000836A0000}"/>
    <cellStyle name="Output 2 15 9 2 2" xfId="6266" xr:uid="{00000000-0005-0000-0000-0000846A0000}"/>
    <cellStyle name="Output 2 15 9 2 3" xfId="6270" xr:uid="{00000000-0005-0000-0000-0000856A0000}"/>
    <cellStyle name="Output 2 15 9 2 4" xfId="5145" xr:uid="{00000000-0005-0000-0000-0000866A0000}"/>
    <cellStyle name="Output 2 15 9 3" xfId="27522" xr:uid="{00000000-0005-0000-0000-0000876A0000}"/>
    <cellStyle name="Output 2 15 9 3 2" xfId="15619" xr:uid="{00000000-0005-0000-0000-0000886A0000}"/>
    <cellStyle name="Output 2 15 9 3 3" xfId="15625" xr:uid="{00000000-0005-0000-0000-0000896A0000}"/>
    <cellStyle name="Output 2 15 9 3 4" xfId="15629" xr:uid="{00000000-0005-0000-0000-00008A6A0000}"/>
    <cellStyle name="Output 2 15 9 4" xfId="27524" xr:uid="{00000000-0005-0000-0000-00008B6A0000}"/>
    <cellStyle name="Output 2 15 9 4 2" xfId="15650" xr:uid="{00000000-0005-0000-0000-00008C6A0000}"/>
    <cellStyle name="Output 2 15 9 4 3" xfId="15655" xr:uid="{00000000-0005-0000-0000-00008D6A0000}"/>
    <cellStyle name="Output 2 15 9 5" xfId="27526" xr:uid="{00000000-0005-0000-0000-00008E6A0000}"/>
    <cellStyle name="Output 2 15 9 5 2" xfId="15681" xr:uid="{00000000-0005-0000-0000-00008F6A0000}"/>
    <cellStyle name="Output 2 15 9 5 3" xfId="15686" xr:uid="{00000000-0005-0000-0000-0000906A0000}"/>
    <cellStyle name="Output 2 15 9 6" xfId="31377" xr:uid="{00000000-0005-0000-0000-0000916A0000}"/>
    <cellStyle name="Output 2 15 9 7" xfId="31378" xr:uid="{00000000-0005-0000-0000-0000926A0000}"/>
    <cellStyle name="Output 2 16" xfId="14958" xr:uid="{00000000-0005-0000-0000-0000936A0000}"/>
    <cellStyle name="Output 2 16 10" xfId="4072" xr:uid="{00000000-0005-0000-0000-0000946A0000}"/>
    <cellStyle name="Output 2 16 10 2" xfId="31379" xr:uid="{00000000-0005-0000-0000-0000956A0000}"/>
    <cellStyle name="Output 2 16 10 2 2" xfId="31380" xr:uid="{00000000-0005-0000-0000-0000966A0000}"/>
    <cellStyle name="Output 2 16 10 2 3" xfId="31382" xr:uid="{00000000-0005-0000-0000-0000976A0000}"/>
    <cellStyle name="Output 2 16 10 2 4" xfId="31384" xr:uid="{00000000-0005-0000-0000-0000986A0000}"/>
    <cellStyle name="Output 2 16 10 3" xfId="31385" xr:uid="{00000000-0005-0000-0000-0000996A0000}"/>
    <cellStyle name="Output 2 16 10 3 2" xfId="31386" xr:uid="{00000000-0005-0000-0000-00009A6A0000}"/>
    <cellStyle name="Output 2 16 10 3 3" xfId="31388" xr:uid="{00000000-0005-0000-0000-00009B6A0000}"/>
    <cellStyle name="Output 2 16 10 3 4" xfId="31390" xr:uid="{00000000-0005-0000-0000-00009C6A0000}"/>
    <cellStyle name="Output 2 16 10 4" xfId="31391" xr:uid="{00000000-0005-0000-0000-00009D6A0000}"/>
    <cellStyle name="Output 2 16 10 4 2" xfId="30052" xr:uid="{00000000-0005-0000-0000-00009E6A0000}"/>
    <cellStyle name="Output 2 16 10 4 3" xfId="30055" xr:uid="{00000000-0005-0000-0000-00009F6A0000}"/>
    <cellStyle name="Output 2 16 10 5" xfId="31392" xr:uid="{00000000-0005-0000-0000-0000A06A0000}"/>
    <cellStyle name="Output 2 16 10 5 2" xfId="31393" xr:uid="{00000000-0005-0000-0000-0000A16A0000}"/>
    <cellStyle name="Output 2 16 10 5 3" xfId="26325" xr:uid="{00000000-0005-0000-0000-0000A26A0000}"/>
    <cellStyle name="Output 2 16 10 6" xfId="31395" xr:uid="{00000000-0005-0000-0000-0000A36A0000}"/>
    <cellStyle name="Output 2 16 10 7" xfId="31396" xr:uid="{00000000-0005-0000-0000-0000A46A0000}"/>
    <cellStyle name="Output 2 16 11" xfId="4074" xr:uid="{00000000-0005-0000-0000-0000A56A0000}"/>
    <cellStyle name="Output 2 16 11 2" xfId="31397" xr:uid="{00000000-0005-0000-0000-0000A66A0000}"/>
    <cellStyle name="Output 2 16 11 3" xfId="31398" xr:uid="{00000000-0005-0000-0000-0000A76A0000}"/>
    <cellStyle name="Output 2 16 11 4" xfId="31399" xr:uid="{00000000-0005-0000-0000-0000A86A0000}"/>
    <cellStyle name="Output 2 16 12" xfId="31400" xr:uid="{00000000-0005-0000-0000-0000A96A0000}"/>
    <cellStyle name="Output 2 16 12 2" xfId="31401" xr:uid="{00000000-0005-0000-0000-0000AA6A0000}"/>
    <cellStyle name="Output 2 16 12 3" xfId="31402" xr:uid="{00000000-0005-0000-0000-0000AB6A0000}"/>
    <cellStyle name="Output 2 16 12 4" xfId="31403" xr:uid="{00000000-0005-0000-0000-0000AC6A0000}"/>
    <cellStyle name="Output 2 16 13" xfId="31404" xr:uid="{00000000-0005-0000-0000-0000AD6A0000}"/>
    <cellStyle name="Output 2 16 13 2" xfId="31406" xr:uid="{00000000-0005-0000-0000-0000AE6A0000}"/>
    <cellStyle name="Output 2 16 13 3" xfId="19388" xr:uid="{00000000-0005-0000-0000-0000AF6A0000}"/>
    <cellStyle name="Output 2 16 14" xfId="31407" xr:uid="{00000000-0005-0000-0000-0000B06A0000}"/>
    <cellStyle name="Output 2 16 14 2" xfId="11088" xr:uid="{00000000-0005-0000-0000-0000B16A0000}"/>
    <cellStyle name="Output 2 16 14 3" xfId="11094" xr:uid="{00000000-0005-0000-0000-0000B26A0000}"/>
    <cellStyle name="Output 2 16 15" xfId="31409" xr:uid="{00000000-0005-0000-0000-0000B36A0000}"/>
    <cellStyle name="Output 2 16 16" xfId="31411" xr:uid="{00000000-0005-0000-0000-0000B46A0000}"/>
    <cellStyle name="Output 2 16 17" xfId="31412" xr:uid="{00000000-0005-0000-0000-0000B56A0000}"/>
    <cellStyle name="Output 2 16 2" xfId="14961" xr:uid="{00000000-0005-0000-0000-0000B66A0000}"/>
    <cellStyle name="Output 2 16 2 2" xfId="31413" xr:uid="{00000000-0005-0000-0000-0000B76A0000}"/>
    <cellStyle name="Output 2 16 2 2 2" xfId="31416" xr:uid="{00000000-0005-0000-0000-0000B86A0000}"/>
    <cellStyle name="Output 2 16 2 2 3" xfId="31417" xr:uid="{00000000-0005-0000-0000-0000B96A0000}"/>
    <cellStyle name="Output 2 16 2 2 4" xfId="31418" xr:uid="{00000000-0005-0000-0000-0000BA6A0000}"/>
    <cellStyle name="Output 2 16 2 3" xfId="31419" xr:uid="{00000000-0005-0000-0000-0000BB6A0000}"/>
    <cellStyle name="Output 2 16 2 3 2" xfId="31422" xr:uid="{00000000-0005-0000-0000-0000BC6A0000}"/>
    <cellStyle name="Output 2 16 2 3 3" xfId="31423" xr:uid="{00000000-0005-0000-0000-0000BD6A0000}"/>
    <cellStyle name="Output 2 16 2 3 4" xfId="31424" xr:uid="{00000000-0005-0000-0000-0000BE6A0000}"/>
    <cellStyle name="Output 2 16 2 4" xfId="31425" xr:uid="{00000000-0005-0000-0000-0000BF6A0000}"/>
    <cellStyle name="Output 2 16 2 4 2" xfId="31427" xr:uid="{00000000-0005-0000-0000-0000C06A0000}"/>
    <cellStyle name="Output 2 16 2 4 3" xfId="31428" xr:uid="{00000000-0005-0000-0000-0000C16A0000}"/>
    <cellStyle name="Output 2 16 2 5" xfId="26881" xr:uid="{00000000-0005-0000-0000-0000C26A0000}"/>
    <cellStyle name="Output 2 16 2 5 2" xfId="31429" xr:uid="{00000000-0005-0000-0000-0000C36A0000}"/>
    <cellStyle name="Output 2 16 2 5 3" xfId="31430" xr:uid="{00000000-0005-0000-0000-0000C46A0000}"/>
    <cellStyle name="Output 2 16 2 6" xfId="26883" xr:uid="{00000000-0005-0000-0000-0000C56A0000}"/>
    <cellStyle name="Output 2 16 2 7" xfId="26885" xr:uid="{00000000-0005-0000-0000-0000C66A0000}"/>
    <cellStyle name="Output 2 16 3" xfId="14965" xr:uid="{00000000-0005-0000-0000-0000C76A0000}"/>
    <cellStyle name="Output 2 16 3 2" xfId="1209" xr:uid="{00000000-0005-0000-0000-0000C86A0000}"/>
    <cellStyle name="Output 2 16 3 2 2" xfId="31431" xr:uid="{00000000-0005-0000-0000-0000C96A0000}"/>
    <cellStyle name="Output 2 16 3 2 3" xfId="31432" xr:uid="{00000000-0005-0000-0000-0000CA6A0000}"/>
    <cellStyle name="Output 2 16 3 2 4" xfId="31433" xr:uid="{00000000-0005-0000-0000-0000CB6A0000}"/>
    <cellStyle name="Output 2 16 3 3" xfId="1214" xr:uid="{00000000-0005-0000-0000-0000CC6A0000}"/>
    <cellStyle name="Output 2 16 3 3 2" xfId="975" xr:uid="{00000000-0005-0000-0000-0000CD6A0000}"/>
    <cellStyle name="Output 2 16 3 3 3" xfId="1223" xr:uid="{00000000-0005-0000-0000-0000CE6A0000}"/>
    <cellStyle name="Output 2 16 3 3 4" xfId="31434" xr:uid="{00000000-0005-0000-0000-0000CF6A0000}"/>
    <cellStyle name="Output 2 16 3 4" xfId="217" xr:uid="{00000000-0005-0000-0000-0000D06A0000}"/>
    <cellStyle name="Output 2 16 3 4 2" xfId="31435" xr:uid="{00000000-0005-0000-0000-0000D16A0000}"/>
    <cellStyle name="Output 2 16 3 4 3" xfId="31436" xr:uid="{00000000-0005-0000-0000-0000D26A0000}"/>
    <cellStyle name="Output 2 16 3 5" xfId="265" xr:uid="{00000000-0005-0000-0000-0000D36A0000}"/>
    <cellStyle name="Output 2 16 3 5 2" xfId="31437" xr:uid="{00000000-0005-0000-0000-0000D46A0000}"/>
    <cellStyle name="Output 2 16 3 5 3" xfId="31438" xr:uid="{00000000-0005-0000-0000-0000D56A0000}"/>
    <cellStyle name="Output 2 16 3 6" xfId="274" xr:uid="{00000000-0005-0000-0000-0000D66A0000}"/>
    <cellStyle name="Output 2 16 3 7" xfId="26888" xr:uid="{00000000-0005-0000-0000-0000D76A0000}"/>
    <cellStyle name="Output 2 16 4" xfId="14970" xr:uid="{00000000-0005-0000-0000-0000D86A0000}"/>
    <cellStyle name="Output 2 16 4 2" xfId="31439" xr:uid="{00000000-0005-0000-0000-0000D96A0000}"/>
    <cellStyle name="Output 2 16 4 2 2" xfId="29348" xr:uid="{00000000-0005-0000-0000-0000DA6A0000}"/>
    <cellStyle name="Output 2 16 4 2 3" xfId="29350" xr:uid="{00000000-0005-0000-0000-0000DB6A0000}"/>
    <cellStyle name="Output 2 16 4 2 4" xfId="31443" xr:uid="{00000000-0005-0000-0000-0000DC6A0000}"/>
    <cellStyle name="Output 2 16 4 3" xfId="26217" xr:uid="{00000000-0005-0000-0000-0000DD6A0000}"/>
    <cellStyle name="Output 2 16 4 3 2" xfId="26220" xr:uid="{00000000-0005-0000-0000-0000DE6A0000}"/>
    <cellStyle name="Output 2 16 4 3 3" xfId="31444" xr:uid="{00000000-0005-0000-0000-0000DF6A0000}"/>
    <cellStyle name="Output 2 16 4 3 4" xfId="10173" xr:uid="{00000000-0005-0000-0000-0000E06A0000}"/>
    <cellStyle name="Output 2 16 4 4" xfId="31445" xr:uid="{00000000-0005-0000-0000-0000E16A0000}"/>
    <cellStyle name="Output 2 16 4 4 2" xfId="31446" xr:uid="{00000000-0005-0000-0000-0000E26A0000}"/>
    <cellStyle name="Output 2 16 4 4 3" xfId="31447" xr:uid="{00000000-0005-0000-0000-0000E36A0000}"/>
    <cellStyle name="Output 2 16 4 5" xfId="26892" xr:uid="{00000000-0005-0000-0000-0000E46A0000}"/>
    <cellStyle name="Output 2 16 4 5 2" xfId="31448" xr:uid="{00000000-0005-0000-0000-0000E56A0000}"/>
    <cellStyle name="Output 2 16 4 5 3" xfId="31449" xr:uid="{00000000-0005-0000-0000-0000E66A0000}"/>
    <cellStyle name="Output 2 16 4 6" xfId="26894" xr:uid="{00000000-0005-0000-0000-0000E76A0000}"/>
    <cellStyle name="Output 2 16 4 7" xfId="26173" xr:uid="{00000000-0005-0000-0000-0000E86A0000}"/>
    <cellStyle name="Output 2 16 5" xfId="24178" xr:uid="{00000000-0005-0000-0000-0000E96A0000}"/>
    <cellStyle name="Output 2 16 5 2" xfId="31450" xr:uid="{00000000-0005-0000-0000-0000EA6A0000}"/>
    <cellStyle name="Output 2 16 5 2 2" xfId="18307" xr:uid="{00000000-0005-0000-0000-0000EB6A0000}"/>
    <cellStyle name="Output 2 16 5 2 3" xfId="29393" xr:uid="{00000000-0005-0000-0000-0000EC6A0000}"/>
    <cellStyle name="Output 2 16 5 2 4" xfId="10358" xr:uid="{00000000-0005-0000-0000-0000ED6A0000}"/>
    <cellStyle name="Output 2 16 5 3" xfId="31454" xr:uid="{00000000-0005-0000-0000-0000EE6A0000}"/>
    <cellStyle name="Output 2 16 5 3 2" xfId="18359" xr:uid="{00000000-0005-0000-0000-0000EF6A0000}"/>
    <cellStyle name="Output 2 16 5 3 3" xfId="31456" xr:uid="{00000000-0005-0000-0000-0000F06A0000}"/>
    <cellStyle name="Output 2 16 5 3 4" xfId="10380" xr:uid="{00000000-0005-0000-0000-0000F16A0000}"/>
    <cellStyle name="Output 2 16 5 4" xfId="31458" xr:uid="{00000000-0005-0000-0000-0000F26A0000}"/>
    <cellStyle name="Output 2 16 5 4 2" xfId="19138" xr:uid="{00000000-0005-0000-0000-0000F36A0000}"/>
    <cellStyle name="Output 2 16 5 4 3" xfId="31459" xr:uid="{00000000-0005-0000-0000-0000F46A0000}"/>
    <cellStyle name="Output 2 16 5 5" xfId="26897" xr:uid="{00000000-0005-0000-0000-0000F56A0000}"/>
    <cellStyle name="Output 2 16 5 5 2" xfId="31460" xr:uid="{00000000-0005-0000-0000-0000F66A0000}"/>
    <cellStyle name="Output 2 16 5 5 3" xfId="31461" xr:uid="{00000000-0005-0000-0000-0000F76A0000}"/>
    <cellStyle name="Output 2 16 5 6" xfId="26899" xr:uid="{00000000-0005-0000-0000-0000F86A0000}"/>
    <cellStyle name="Output 2 16 5 7" xfId="31462" xr:uid="{00000000-0005-0000-0000-0000F96A0000}"/>
    <cellStyle name="Output 2 16 6" xfId="24181" xr:uid="{00000000-0005-0000-0000-0000FA6A0000}"/>
    <cellStyle name="Output 2 16 6 2" xfId="31463" xr:uid="{00000000-0005-0000-0000-0000FB6A0000}"/>
    <cellStyle name="Output 2 16 6 2 2" xfId="31464" xr:uid="{00000000-0005-0000-0000-0000FC6A0000}"/>
    <cellStyle name="Output 2 16 6 2 3" xfId="31465" xr:uid="{00000000-0005-0000-0000-0000FD6A0000}"/>
    <cellStyle name="Output 2 16 6 2 4" xfId="10606" xr:uid="{00000000-0005-0000-0000-0000FE6A0000}"/>
    <cellStyle name="Output 2 16 6 3" xfId="31466" xr:uid="{00000000-0005-0000-0000-0000FF6A0000}"/>
    <cellStyle name="Output 2 16 6 3 2" xfId="31467" xr:uid="{00000000-0005-0000-0000-0000006B0000}"/>
    <cellStyle name="Output 2 16 6 3 3" xfId="31468" xr:uid="{00000000-0005-0000-0000-0000016B0000}"/>
    <cellStyle name="Output 2 16 6 3 4" xfId="10638" xr:uid="{00000000-0005-0000-0000-0000026B0000}"/>
    <cellStyle name="Output 2 16 6 4" xfId="31469" xr:uid="{00000000-0005-0000-0000-0000036B0000}"/>
    <cellStyle name="Output 2 16 6 4 2" xfId="31470" xr:uid="{00000000-0005-0000-0000-0000046B0000}"/>
    <cellStyle name="Output 2 16 6 4 3" xfId="31471" xr:uid="{00000000-0005-0000-0000-0000056B0000}"/>
    <cellStyle name="Output 2 16 6 5" xfId="31472" xr:uid="{00000000-0005-0000-0000-0000066B0000}"/>
    <cellStyle name="Output 2 16 6 5 2" xfId="31473" xr:uid="{00000000-0005-0000-0000-0000076B0000}"/>
    <cellStyle name="Output 2 16 6 5 3" xfId="31474" xr:uid="{00000000-0005-0000-0000-0000086B0000}"/>
    <cellStyle name="Output 2 16 6 6" xfId="31475" xr:uid="{00000000-0005-0000-0000-0000096B0000}"/>
    <cellStyle name="Output 2 16 6 7" xfId="31476" xr:uid="{00000000-0005-0000-0000-00000A6B0000}"/>
    <cellStyle name="Output 2 16 7" xfId="31477" xr:uid="{00000000-0005-0000-0000-00000B6B0000}"/>
    <cellStyle name="Output 2 16 7 2" xfId="31479" xr:uid="{00000000-0005-0000-0000-00000C6B0000}"/>
    <cellStyle name="Output 2 16 7 2 2" xfId="31480" xr:uid="{00000000-0005-0000-0000-00000D6B0000}"/>
    <cellStyle name="Output 2 16 7 2 3" xfId="29634" xr:uid="{00000000-0005-0000-0000-00000E6B0000}"/>
    <cellStyle name="Output 2 16 7 2 4" xfId="29636" xr:uid="{00000000-0005-0000-0000-00000F6B0000}"/>
    <cellStyle name="Output 2 16 7 3" xfId="31481" xr:uid="{00000000-0005-0000-0000-0000106B0000}"/>
    <cellStyle name="Output 2 16 7 3 2" xfId="31482" xr:uid="{00000000-0005-0000-0000-0000116B0000}"/>
    <cellStyle name="Output 2 16 7 3 3" xfId="29638" xr:uid="{00000000-0005-0000-0000-0000126B0000}"/>
    <cellStyle name="Output 2 16 7 3 4" xfId="22320" xr:uid="{00000000-0005-0000-0000-0000136B0000}"/>
    <cellStyle name="Output 2 16 7 4" xfId="31483" xr:uid="{00000000-0005-0000-0000-0000146B0000}"/>
    <cellStyle name="Output 2 16 7 4 2" xfId="31484" xr:uid="{00000000-0005-0000-0000-0000156B0000}"/>
    <cellStyle name="Output 2 16 7 4 3" xfId="29641" xr:uid="{00000000-0005-0000-0000-0000166B0000}"/>
    <cellStyle name="Output 2 16 7 5" xfId="31485" xr:uid="{00000000-0005-0000-0000-0000176B0000}"/>
    <cellStyle name="Output 2 16 7 5 2" xfId="31486" xr:uid="{00000000-0005-0000-0000-0000186B0000}"/>
    <cellStyle name="Output 2 16 7 5 3" xfId="29644" xr:uid="{00000000-0005-0000-0000-0000196B0000}"/>
    <cellStyle name="Output 2 16 7 6" xfId="31487" xr:uid="{00000000-0005-0000-0000-00001A6B0000}"/>
    <cellStyle name="Output 2 16 7 7" xfId="31488" xr:uid="{00000000-0005-0000-0000-00001B6B0000}"/>
    <cellStyle name="Output 2 16 8" xfId="31489" xr:uid="{00000000-0005-0000-0000-00001C6B0000}"/>
    <cellStyle name="Output 2 16 8 2" xfId="31491" xr:uid="{00000000-0005-0000-0000-00001D6B0000}"/>
    <cellStyle name="Output 2 16 8 2 2" xfId="31493" xr:uid="{00000000-0005-0000-0000-00001E6B0000}"/>
    <cellStyle name="Output 2 16 8 2 3" xfId="31494" xr:uid="{00000000-0005-0000-0000-00001F6B0000}"/>
    <cellStyle name="Output 2 16 8 2 4" xfId="25007" xr:uid="{00000000-0005-0000-0000-0000206B0000}"/>
    <cellStyle name="Output 2 16 8 3" xfId="31495" xr:uid="{00000000-0005-0000-0000-0000216B0000}"/>
    <cellStyle name="Output 2 16 8 3 2" xfId="31496" xr:uid="{00000000-0005-0000-0000-0000226B0000}"/>
    <cellStyle name="Output 2 16 8 3 3" xfId="31498" xr:uid="{00000000-0005-0000-0000-0000236B0000}"/>
    <cellStyle name="Output 2 16 8 3 4" xfId="22337" xr:uid="{00000000-0005-0000-0000-0000246B0000}"/>
    <cellStyle name="Output 2 16 8 4" xfId="31499" xr:uid="{00000000-0005-0000-0000-0000256B0000}"/>
    <cellStyle name="Output 2 16 8 4 2" xfId="31500" xr:uid="{00000000-0005-0000-0000-0000266B0000}"/>
    <cellStyle name="Output 2 16 8 4 3" xfId="31501" xr:uid="{00000000-0005-0000-0000-0000276B0000}"/>
    <cellStyle name="Output 2 16 8 5" xfId="31502" xr:uid="{00000000-0005-0000-0000-0000286B0000}"/>
    <cellStyle name="Output 2 16 8 5 2" xfId="31503" xr:uid="{00000000-0005-0000-0000-0000296B0000}"/>
    <cellStyle name="Output 2 16 8 5 3" xfId="31504" xr:uid="{00000000-0005-0000-0000-00002A6B0000}"/>
    <cellStyle name="Output 2 16 8 6" xfId="31505" xr:uid="{00000000-0005-0000-0000-00002B6B0000}"/>
    <cellStyle name="Output 2 16 8 7" xfId="31506" xr:uid="{00000000-0005-0000-0000-00002C6B0000}"/>
    <cellStyle name="Output 2 16 9" xfId="31507" xr:uid="{00000000-0005-0000-0000-00002D6B0000}"/>
    <cellStyle name="Output 2 16 9 2" xfId="31508" xr:uid="{00000000-0005-0000-0000-00002E6B0000}"/>
    <cellStyle name="Output 2 16 9 2 2" xfId="31510" xr:uid="{00000000-0005-0000-0000-00002F6B0000}"/>
    <cellStyle name="Output 2 16 9 2 3" xfId="31511" xr:uid="{00000000-0005-0000-0000-0000306B0000}"/>
    <cellStyle name="Output 2 16 9 2 4" xfId="18867" xr:uid="{00000000-0005-0000-0000-0000316B0000}"/>
    <cellStyle name="Output 2 16 9 3" xfId="31512" xr:uid="{00000000-0005-0000-0000-0000326B0000}"/>
    <cellStyle name="Output 2 16 9 3 2" xfId="31513" xr:uid="{00000000-0005-0000-0000-0000336B0000}"/>
    <cellStyle name="Output 2 16 9 3 3" xfId="31514" xr:uid="{00000000-0005-0000-0000-0000346B0000}"/>
    <cellStyle name="Output 2 16 9 3 4" xfId="22362" xr:uid="{00000000-0005-0000-0000-0000356B0000}"/>
    <cellStyle name="Output 2 16 9 4" xfId="31515" xr:uid="{00000000-0005-0000-0000-0000366B0000}"/>
    <cellStyle name="Output 2 16 9 4 2" xfId="31516" xr:uid="{00000000-0005-0000-0000-0000376B0000}"/>
    <cellStyle name="Output 2 16 9 4 3" xfId="31517" xr:uid="{00000000-0005-0000-0000-0000386B0000}"/>
    <cellStyle name="Output 2 16 9 5" xfId="31518" xr:uid="{00000000-0005-0000-0000-0000396B0000}"/>
    <cellStyle name="Output 2 16 9 5 2" xfId="31519" xr:uid="{00000000-0005-0000-0000-00003A6B0000}"/>
    <cellStyle name="Output 2 16 9 5 3" xfId="31520" xr:uid="{00000000-0005-0000-0000-00003B6B0000}"/>
    <cellStyle name="Output 2 16 9 6" xfId="31521" xr:uid="{00000000-0005-0000-0000-00003C6B0000}"/>
    <cellStyle name="Output 2 16 9 7" xfId="31522" xr:uid="{00000000-0005-0000-0000-00003D6B0000}"/>
    <cellStyle name="Output 2 17" xfId="14973" xr:uid="{00000000-0005-0000-0000-00003E6B0000}"/>
    <cellStyle name="Output 2 17 2" xfId="14976" xr:uid="{00000000-0005-0000-0000-00003F6B0000}"/>
    <cellStyle name="Output 2 17 2 2" xfId="31523" xr:uid="{00000000-0005-0000-0000-0000406B0000}"/>
    <cellStyle name="Output 2 17 2 3" xfId="31526" xr:uid="{00000000-0005-0000-0000-0000416B0000}"/>
    <cellStyle name="Output 2 17 2 4" xfId="31529" xr:uid="{00000000-0005-0000-0000-0000426B0000}"/>
    <cellStyle name="Output 2 17 3" xfId="14980" xr:uid="{00000000-0005-0000-0000-0000436B0000}"/>
    <cellStyle name="Output 2 17 3 2" xfId="31531" xr:uid="{00000000-0005-0000-0000-0000446B0000}"/>
    <cellStyle name="Output 2 17 3 3" xfId="31534" xr:uid="{00000000-0005-0000-0000-0000456B0000}"/>
    <cellStyle name="Output 2 17 3 4" xfId="31537" xr:uid="{00000000-0005-0000-0000-0000466B0000}"/>
    <cellStyle name="Output 2 17 4" xfId="24185" xr:uid="{00000000-0005-0000-0000-0000476B0000}"/>
    <cellStyle name="Output 2 17 4 2" xfId="31539" xr:uid="{00000000-0005-0000-0000-0000486B0000}"/>
    <cellStyle name="Output 2 17 4 3" xfId="31542" xr:uid="{00000000-0005-0000-0000-0000496B0000}"/>
    <cellStyle name="Output 2 17 5" xfId="24188" xr:uid="{00000000-0005-0000-0000-00004A6B0000}"/>
    <cellStyle name="Output 2 17 5 2" xfId="31544" xr:uid="{00000000-0005-0000-0000-00004B6B0000}"/>
    <cellStyle name="Output 2 17 5 3" xfId="31547" xr:uid="{00000000-0005-0000-0000-00004C6B0000}"/>
    <cellStyle name="Output 2 17 6" xfId="31549" xr:uid="{00000000-0005-0000-0000-00004D6B0000}"/>
    <cellStyle name="Output 2 17 7" xfId="31551" xr:uid="{00000000-0005-0000-0000-00004E6B0000}"/>
    <cellStyle name="Output 2 17 8" xfId="31553" xr:uid="{00000000-0005-0000-0000-00004F6B0000}"/>
    <cellStyle name="Output 2 18" xfId="14984" xr:uid="{00000000-0005-0000-0000-0000506B0000}"/>
    <cellStyle name="Output 2 18 2" xfId="14987" xr:uid="{00000000-0005-0000-0000-0000516B0000}"/>
    <cellStyle name="Output 2 18 2 2" xfId="25780" xr:uid="{00000000-0005-0000-0000-0000526B0000}"/>
    <cellStyle name="Output 2 18 2 3" xfId="25784" xr:uid="{00000000-0005-0000-0000-0000536B0000}"/>
    <cellStyle name="Output 2 18 2 4" xfId="25788" xr:uid="{00000000-0005-0000-0000-0000546B0000}"/>
    <cellStyle name="Output 2 18 3" xfId="14993" xr:uid="{00000000-0005-0000-0000-0000556B0000}"/>
    <cellStyle name="Output 2 18 3 2" xfId="25791" xr:uid="{00000000-0005-0000-0000-0000566B0000}"/>
    <cellStyle name="Output 2 18 3 3" xfId="25795" xr:uid="{00000000-0005-0000-0000-0000576B0000}"/>
    <cellStyle name="Output 2 18 3 4" xfId="25799" xr:uid="{00000000-0005-0000-0000-0000586B0000}"/>
    <cellStyle name="Output 2 18 4" xfId="24193" xr:uid="{00000000-0005-0000-0000-0000596B0000}"/>
    <cellStyle name="Output 2 18 4 2" xfId="25802" xr:uid="{00000000-0005-0000-0000-00005A6B0000}"/>
    <cellStyle name="Output 2 18 4 3" xfId="128" xr:uid="{00000000-0005-0000-0000-00005B6B0000}"/>
    <cellStyle name="Output 2 18 5" xfId="24197" xr:uid="{00000000-0005-0000-0000-00005C6B0000}"/>
    <cellStyle name="Output 2 18 5 2" xfId="25806" xr:uid="{00000000-0005-0000-0000-00005D6B0000}"/>
    <cellStyle name="Output 2 18 5 3" xfId="25810" xr:uid="{00000000-0005-0000-0000-00005E6B0000}"/>
    <cellStyle name="Output 2 18 6" xfId="22953" xr:uid="{00000000-0005-0000-0000-00005F6B0000}"/>
    <cellStyle name="Output 2 18 7" xfId="22957" xr:uid="{00000000-0005-0000-0000-0000606B0000}"/>
    <cellStyle name="Output 2 18 8" xfId="22960" xr:uid="{00000000-0005-0000-0000-0000616B0000}"/>
    <cellStyle name="Output 2 19" xfId="14997" xr:uid="{00000000-0005-0000-0000-0000626B0000}"/>
    <cellStyle name="Output 2 19 2" xfId="25813" xr:uid="{00000000-0005-0000-0000-0000636B0000}"/>
    <cellStyle name="Output 2 19 2 2" xfId="31555" xr:uid="{00000000-0005-0000-0000-0000646B0000}"/>
    <cellStyle name="Output 2 19 2 3" xfId="31558" xr:uid="{00000000-0005-0000-0000-0000656B0000}"/>
    <cellStyle name="Output 2 19 2 4" xfId="31561" xr:uid="{00000000-0005-0000-0000-0000666B0000}"/>
    <cellStyle name="Output 2 19 3" xfId="25816" xr:uid="{00000000-0005-0000-0000-0000676B0000}"/>
    <cellStyle name="Output 2 19 3 2" xfId="31563" xr:uid="{00000000-0005-0000-0000-0000686B0000}"/>
    <cellStyle name="Output 2 19 3 3" xfId="31566" xr:uid="{00000000-0005-0000-0000-0000696B0000}"/>
    <cellStyle name="Output 2 19 3 4" xfId="31569" xr:uid="{00000000-0005-0000-0000-00006A6B0000}"/>
    <cellStyle name="Output 2 19 4" xfId="25819" xr:uid="{00000000-0005-0000-0000-00006B6B0000}"/>
    <cellStyle name="Output 2 19 4 2" xfId="31571" xr:uid="{00000000-0005-0000-0000-00006C6B0000}"/>
    <cellStyle name="Output 2 19 4 3" xfId="31574" xr:uid="{00000000-0005-0000-0000-00006D6B0000}"/>
    <cellStyle name="Output 2 19 5" xfId="31576" xr:uid="{00000000-0005-0000-0000-00006E6B0000}"/>
    <cellStyle name="Output 2 19 5 2" xfId="31578" xr:uid="{00000000-0005-0000-0000-00006F6B0000}"/>
    <cellStyle name="Output 2 19 5 3" xfId="31581" xr:uid="{00000000-0005-0000-0000-0000706B0000}"/>
    <cellStyle name="Output 2 19 6" xfId="22964" xr:uid="{00000000-0005-0000-0000-0000716B0000}"/>
    <cellStyle name="Output 2 19 7" xfId="22967" xr:uid="{00000000-0005-0000-0000-0000726B0000}"/>
    <cellStyle name="Output 2 19 8" xfId="22970" xr:uid="{00000000-0005-0000-0000-0000736B0000}"/>
    <cellStyle name="Output 2 2" xfId="29013" xr:uid="{00000000-0005-0000-0000-0000746B0000}"/>
    <cellStyle name="Output 2 2 10" xfId="27572" xr:uid="{00000000-0005-0000-0000-0000756B0000}"/>
    <cellStyle name="Output 2 2 10 2" xfId="19181" xr:uid="{00000000-0005-0000-0000-0000766B0000}"/>
    <cellStyle name="Output 2 2 10 2 2" xfId="31583" xr:uid="{00000000-0005-0000-0000-0000776B0000}"/>
    <cellStyle name="Output 2 2 10 2 3" xfId="31584" xr:uid="{00000000-0005-0000-0000-0000786B0000}"/>
    <cellStyle name="Output 2 2 10 2 4" xfId="23747" xr:uid="{00000000-0005-0000-0000-0000796B0000}"/>
    <cellStyle name="Output 2 2 10 3" xfId="13627" xr:uid="{00000000-0005-0000-0000-00007A6B0000}"/>
    <cellStyle name="Output 2 2 10 3 2" xfId="13630" xr:uid="{00000000-0005-0000-0000-00007B6B0000}"/>
    <cellStyle name="Output 2 2 10 3 3" xfId="13633" xr:uid="{00000000-0005-0000-0000-00007C6B0000}"/>
    <cellStyle name="Output 2 2 10 3 4" xfId="13636" xr:uid="{00000000-0005-0000-0000-00007D6B0000}"/>
    <cellStyle name="Output 2 2 10 4" xfId="13639" xr:uid="{00000000-0005-0000-0000-00007E6B0000}"/>
    <cellStyle name="Output 2 2 10 4 2" xfId="13642" xr:uid="{00000000-0005-0000-0000-00007F6B0000}"/>
    <cellStyle name="Output 2 2 10 4 3" xfId="13645" xr:uid="{00000000-0005-0000-0000-0000806B0000}"/>
    <cellStyle name="Output 2 2 10 5" xfId="13650" xr:uid="{00000000-0005-0000-0000-0000816B0000}"/>
    <cellStyle name="Output 2 2 10 5 2" xfId="13653" xr:uid="{00000000-0005-0000-0000-0000826B0000}"/>
    <cellStyle name="Output 2 2 10 5 3" xfId="13656" xr:uid="{00000000-0005-0000-0000-0000836B0000}"/>
    <cellStyle name="Output 2 2 10 6" xfId="13659" xr:uid="{00000000-0005-0000-0000-0000846B0000}"/>
    <cellStyle name="Output 2 2 10 7" xfId="13666" xr:uid="{00000000-0005-0000-0000-0000856B0000}"/>
    <cellStyle name="Output 2 2 11" xfId="27574" xr:uid="{00000000-0005-0000-0000-0000866B0000}"/>
    <cellStyle name="Output 2 2 11 2" xfId="19186" xr:uid="{00000000-0005-0000-0000-0000876B0000}"/>
    <cellStyle name="Output 2 2 11 2 2" xfId="31585" xr:uid="{00000000-0005-0000-0000-0000886B0000}"/>
    <cellStyle name="Output 2 2 11 2 3" xfId="31586" xr:uid="{00000000-0005-0000-0000-0000896B0000}"/>
    <cellStyle name="Output 2 2 11 2 4" xfId="23753" xr:uid="{00000000-0005-0000-0000-00008A6B0000}"/>
    <cellStyle name="Output 2 2 11 3" xfId="13675" xr:uid="{00000000-0005-0000-0000-00008B6B0000}"/>
    <cellStyle name="Output 2 2 11 3 2" xfId="13677" xr:uid="{00000000-0005-0000-0000-00008C6B0000}"/>
    <cellStyle name="Output 2 2 11 3 3" xfId="13679" xr:uid="{00000000-0005-0000-0000-00008D6B0000}"/>
    <cellStyle name="Output 2 2 11 3 4" xfId="13681" xr:uid="{00000000-0005-0000-0000-00008E6B0000}"/>
    <cellStyle name="Output 2 2 11 4" xfId="13684" xr:uid="{00000000-0005-0000-0000-00008F6B0000}"/>
    <cellStyle name="Output 2 2 11 4 2" xfId="13686" xr:uid="{00000000-0005-0000-0000-0000906B0000}"/>
    <cellStyle name="Output 2 2 11 4 3" xfId="13688" xr:uid="{00000000-0005-0000-0000-0000916B0000}"/>
    <cellStyle name="Output 2 2 11 5" xfId="13692" xr:uid="{00000000-0005-0000-0000-0000926B0000}"/>
    <cellStyle name="Output 2 2 11 5 2" xfId="13694" xr:uid="{00000000-0005-0000-0000-0000936B0000}"/>
    <cellStyle name="Output 2 2 11 5 3" xfId="13696" xr:uid="{00000000-0005-0000-0000-0000946B0000}"/>
    <cellStyle name="Output 2 2 11 6" xfId="13698" xr:uid="{00000000-0005-0000-0000-0000956B0000}"/>
    <cellStyle name="Output 2 2 11 7" xfId="13702" xr:uid="{00000000-0005-0000-0000-0000966B0000}"/>
    <cellStyle name="Output 2 2 12" xfId="12681" xr:uid="{00000000-0005-0000-0000-0000976B0000}"/>
    <cellStyle name="Output 2 2 12 2" xfId="12683" xr:uid="{00000000-0005-0000-0000-0000986B0000}"/>
    <cellStyle name="Output 2 2 12 3" xfId="12687" xr:uid="{00000000-0005-0000-0000-0000996B0000}"/>
    <cellStyle name="Output 2 2 12 4" xfId="12691" xr:uid="{00000000-0005-0000-0000-00009A6B0000}"/>
    <cellStyle name="Output 2 2 13" xfId="12693" xr:uid="{00000000-0005-0000-0000-00009B6B0000}"/>
    <cellStyle name="Output 2 2 13 2" xfId="12695" xr:uid="{00000000-0005-0000-0000-00009C6B0000}"/>
    <cellStyle name="Output 2 2 13 3" xfId="12698" xr:uid="{00000000-0005-0000-0000-00009D6B0000}"/>
    <cellStyle name="Output 2 2 13 4" xfId="12701" xr:uid="{00000000-0005-0000-0000-00009E6B0000}"/>
    <cellStyle name="Output 2 2 14" xfId="12703" xr:uid="{00000000-0005-0000-0000-00009F6B0000}"/>
    <cellStyle name="Output 2 2 14 2" xfId="12705" xr:uid="{00000000-0005-0000-0000-0000A06B0000}"/>
    <cellStyle name="Output 2 2 14 3" xfId="12708" xr:uid="{00000000-0005-0000-0000-0000A16B0000}"/>
    <cellStyle name="Output 2 2 15" xfId="12710" xr:uid="{00000000-0005-0000-0000-0000A26B0000}"/>
    <cellStyle name="Output 2 2 15 2" xfId="4985" xr:uid="{00000000-0005-0000-0000-0000A36B0000}"/>
    <cellStyle name="Output 2 2 15 3" xfId="12713" xr:uid="{00000000-0005-0000-0000-0000A46B0000}"/>
    <cellStyle name="Output 2 2 16" xfId="12715" xr:uid="{00000000-0005-0000-0000-0000A56B0000}"/>
    <cellStyle name="Output 2 2 17" xfId="12717" xr:uid="{00000000-0005-0000-0000-0000A66B0000}"/>
    <cellStyle name="Output 2 2 18" xfId="31587" xr:uid="{00000000-0005-0000-0000-0000A76B0000}"/>
    <cellStyle name="Output 2 2 19" xfId="31588" xr:uid="{00000000-0005-0000-0000-0000A86B0000}"/>
    <cellStyle name="Output 2 2 2" xfId="31589" xr:uid="{00000000-0005-0000-0000-0000A96B0000}"/>
    <cellStyle name="Output 2 2 2 10" xfId="31590" xr:uid="{00000000-0005-0000-0000-0000AA6B0000}"/>
    <cellStyle name="Output 2 2 2 10 2" xfId="31592" xr:uid="{00000000-0005-0000-0000-0000AB6B0000}"/>
    <cellStyle name="Output 2 2 2 10 2 2" xfId="3050" xr:uid="{00000000-0005-0000-0000-0000AC6B0000}"/>
    <cellStyle name="Output 2 2 2 10 2 3" xfId="4535" xr:uid="{00000000-0005-0000-0000-0000AD6B0000}"/>
    <cellStyle name="Output 2 2 2 10 2 4" xfId="31594" xr:uid="{00000000-0005-0000-0000-0000AE6B0000}"/>
    <cellStyle name="Output 2 2 2 10 3" xfId="16288" xr:uid="{00000000-0005-0000-0000-0000AF6B0000}"/>
    <cellStyle name="Output 2 2 2 10 3 2" xfId="4541" xr:uid="{00000000-0005-0000-0000-0000B06B0000}"/>
    <cellStyle name="Output 2 2 2 10 3 3" xfId="4842" xr:uid="{00000000-0005-0000-0000-0000B16B0000}"/>
    <cellStyle name="Output 2 2 2 10 3 4" xfId="31595" xr:uid="{00000000-0005-0000-0000-0000B26B0000}"/>
    <cellStyle name="Output 2 2 2 10 4" xfId="16291" xr:uid="{00000000-0005-0000-0000-0000B36B0000}"/>
    <cellStyle name="Output 2 2 2 10 4 2" xfId="65" xr:uid="{00000000-0005-0000-0000-0000B46B0000}"/>
    <cellStyle name="Output 2 2 2 10 4 3" xfId="4853" xr:uid="{00000000-0005-0000-0000-0000B56B0000}"/>
    <cellStyle name="Output 2 2 2 10 5" xfId="16294" xr:uid="{00000000-0005-0000-0000-0000B66B0000}"/>
    <cellStyle name="Output 2 2 2 10 5 2" xfId="7266" xr:uid="{00000000-0005-0000-0000-0000B76B0000}"/>
    <cellStyle name="Output 2 2 2 10 5 3" xfId="7270" xr:uid="{00000000-0005-0000-0000-0000B86B0000}"/>
    <cellStyle name="Output 2 2 2 10 6" xfId="31596" xr:uid="{00000000-0005-0000-0000-0000B96B0000}"/>
    <cellStyle name="Output 2 2 2 10 7" xfId="31597" xr:uid="{00000000-0005-0000-0000-0000BA6B0000}"/>
    <cellStyle name="Output 2 2 2 11" xfId="13116" xr:uid="{00000000-0005-0000-0000-0000BB6B0000}"/>
    <cellStyle name="Output 2 2 2 11 2" xfId="31598" xr:uid="{00000000-0005-0000-0000-0000BC6B0000}"/>
    <cellStyle name="Output 2 2 2 11 3" xfId="16296" xr:uid="{00000000-0005-0000-0000-0000BD6B0000}"/>
    <cellStyle name="Output 2 2 2 11 4" xfId="16299" xr:uid="{00000000-0005-0000-0000-0000BE6B0000}"/>
    <cellStyle name="Output 2 2 2 12" xfId="13119" xr:uid="{00000000-0005-0000-0000-0000BF6B0000}"/>
    <cellStyle name="Output 2 2 2 12 2" xfId="31600" xr:uid="{00000000-0005-0000-0000-0000C06B0000}"/>
    <cellStyle name="Output 2 2 2 12 3" xfId="16303" xr:uid="{00000000-0005-0000-0000-0000C16B0000}"/>
    <cellStyle name="Output 2 2 2 12 4" xfId="16307" xr:uid="{00000000-0005-0000-0000-0000C26B0000}"/>
    <cellStyle name="Output 2 2 2 13" xfId="31602" xr:uid="{00000000-0005-0000-0000-0000C36B0000}"/>
    <cellStyle name="Output 2 2 2 13 2" xfId="31604" xr:uid="{00000000-0005-0000-0000-0000C46B0000}"/>
    <cellStyle name="Output 2 2 2 13 3" xfId="20861" xr:uid="{00000000-0005-0000-0000-0000C56B0000}"/>
    <cellStyle name="Output 2 2 2 14" xfId="17043" xr:uid="{00000000-0005-0000-0000-0000C66B0000}"/>
    <cellStyle name="Output 2 2 2 14 2" xfId="17047" xr:uid="{00000000-0005-0000-0000-0000C76B0000}"/>
    <cellStyle name="Output 2 2 2 14 3" xfId="4433" xr:uid="{00000000-0005-0000-0000-0000C86B0000}"/>
    <cellStyle name="Output 2 2 2 15" xfId="17049" xr:uid="{00000000-0005-0000-0000-0000C96B0000}"/>
    <cellStyle name="Output 2 2 2 15 2" xfId="17053" xr:uid="{00000000-0005-0000-0000-0000CA6B0000}"/>
    <cellStyle name="Output 2 2 2 15 2 2" xfId="7126" xr:uid="{00000000-0005-0000-0000-0000CB6B0000}"/>
    <cellStyle name="Output 2 2 2 16" xfId="17055" xr:uid="{00000000-0005-0000-0000-0000CC6B0000}"/>
    <cellStyle name="Output 2 2 2 17" xfId="17059" xr:uid="{00000000-0005-0000-0000-0000CD6B0000}"/>
    <cellStyle name="Output 2 2 2 2" xfId="31606" xr:uid="{00000000-0005-0000-0000-0000CE6B0000}"/>
    <cellStyle name="Output 2 2 2 2 2" xfId="31607" xr:uid="{00000000-0005-0000-0000-0000CF6B0000}"/>
    <cellStyle name="Output 2 2 2 2 2 2" xfId="31608" xr:uid="{00000000-0005-0000-0000-0000D06B0000}"/>
    <cellStyle name="Output 2 2 2 2 2 2 2" xfId="28322" xr:uid="{00000000-0005-0000-0000-0000D16B0000}"/>
    <cellStyle name="Output 2 2 2 2 2 2 2 2" xfId="31609" xr:uid="{00000000-0005-0000-0000-0000D26B0000}"/>
    <cellStyle name="Output 2 2 2 2 2 2 2 2 2" xfId="31610" xr:uid="{00000000-0005-0000-0000-0000D36B0000}"/>
    <cellStyle name="Output 2 2 2 2 2 2 2 2 2 2" xfId="31611" xr:uid="{00000000-0005-0000-0000-0000D46B0000}"/>
    <cellStyle name="Output 2 2 2 2 2 2 2 2 2 2 2" xfId="16036" xr:uid="{00000000-0005-0000-0000-0000D56B0000}"/>
    <cellStyle name="Output 2 2 2 2 2 2 2 2 2 2 2 2" xfId="13068" xr:uid="{00000000-0005-0000-0000-0000D66B0000}"/>
    <cellStyle name="Output 2 2 2 2 2 2 2 2 2 3" xfId="31612" xr:uid="{00000000-0005-0000-0000-0000D76B0000}"/>
    <cellStyle name="Output 2 2 2 2 2 2 2 2 3" xfId="31613" xr:uid="{00000000-0005-0000-0000-0000D86B0000}"/>
    <cellStyle name="Output 2 2 2 2 2 2 2 3" xfId="23904" xr:uid="{00000000-0005-0000-0000-0000D96B0000}"/>
    <cellStyle name="Output 2 2 2 2 2 2 3" xfId="31615" xr:uid="{00000000-0005-0000-0000-0000DA6B0000}"/>
    <cellStyle name="Output 2 2 2 2 2 3" xfId="31616" xr:uid="{00000000-0005-0000-0000-0000DB6B0000}"/>
    <cellStyle name="Output 2 2 2 2 2 3 2" xfId="31617" xr:uid="{00000000-0005-0000-0000-0000DC6B0000}"/>
    <cellStyle name="Output 2 2 2 2 2 3 2 2" xfId="31618" xr:uid="{00000000-0005-0000-0000-0000DD6B0000}"/>
    <cellStyle name="Output 2 2 2 2 2 4" xfId="7358" xr:uid="{00000000-0005-0000-0000-0000DE6B0000}"/>
    <cellStyle name="Output 2 2 2 2 3" xfId="31619" xr:uid="{00000000-0005-0000-0000-0000DF6B0000}"/>
    <cellStyle name="Output 2 2 2 2 3 2" xfId="31620" xr:uid="{00000000-0005-0000-0000-0000E06B0000}"/>
    <cellStyle name="Output 2 2 2 2 3 2 2" xfId="27566" xr:uid="{00000000-0005-0000-0000-0000E16B0000}"/>
    <cellStyle name="Output 2 2 2 2 3 3" xfId="31621" xr:uid="{00000000-0005-0000-0000-0000E26B0000}"/>
    <cellStyle name="Output 2 2 2 2 3 4" xfId="31622" xr:uid="{00000000-0005-0000-0000-0000E36B0000}"/>
    <cellStyle name="Output 2 2 2 2 4" xfId="31623" xr:uid="{00000000-0005-0000-0000-0000E46B0000}"/>
    <cellStyle name="Output 2 2 2 2 4 2" xfId="31624" xr:uid="{00000000-0005-0000-0000-0000E56B0000}"/>
    <cellStyle name="Output 2 2 2 2 4 2 2" xfId="31625" xr:uid="{00000000-0005-0000-0000-0000E66B0000}"/>
    <cellStyle name="Output 2 2 2 2 4 3" xfId="31626" xr:uid="{00000000-0005-0000-0000-0000E76B0000}"/>
    <cellStyle name="Output 2 2 2 2 5" xfId="16415" xr:uid="{00000000-0005-0000-0000-0000E86B0000}"/>
    <cellStyle name="Output 2 2 2 2 5 2" xfId="31627" xr:uid="{00000000-0005-0000-0000-0000E96B0000}"/>
    <cellStyle name="Output 2 2 2 2 5 2 2" xfId="31628" xr:uid="{00000000-0005-0000-0000-0000EA6B0000}"/>
    <cellStyle name="Output 2 2 2 2 5 3" xfId="31629" xr:uid="{00000000-0005-0000-0000-0000EB6B0000}"/>
    <cellStyle name="Output 2 2 2 2 6" xfId="16418" xr:uid="{00000000-0005-0000-0000-0000EC6B0000}"/>
    <cellStyle name="Output 2 2 2 2 6 2" xfId="13930" xr:uid="{00000000-0005-0000-0000-0000ED6B0000}"/>
    <cellStyle name="Output 2 2 2 2 6 2 2" xfId="31630" xr:uid="{00000000-0005-0000-0000-0000EE6B0000}"/>
    <cellStyle name="Output 2 2 2 2 6 2 2 2" xfId="15230" xr:uid="{00000000-0005-0000-0000-0000EF6B0000}"/>
    <cellStyle name="Output 2 2 2 2 6 3" xfId="31631" xr:uid="{00000000-0005-0000-0000-0000F06B0000}"/>
    <cellStyle name="Output 2 2 2 2 7" xfId="16421" xr:uid="{00000000-0005-0000-0000-0000F16B0000}"/>
    <cellStyle name="Output 2 2 2 2 8" xfId="24992" xr:uid="{00000000-0005-0000-0000-0000F26B0000}"/>
    <cellStyle name="Output 2 2 2 2 9" xfId="24994" xr:uid="{00000000-0005-0000-0000-0000F36B0000}"/>
    <cellStyle name="Output 2 2 2 3" xfId="735" xr:uid="{00000000-0005-0000-0000-0000F46B0000}"/>
    <cellStyle name="Output 2 2 2 3 2" xfId="1364" xr:uid="{00000000-0005-0000-0000-0000F56B0000}"/>
    <cellStyle name="Output 2 2 2 3 2 2" xfId="26344" xr:uid="{00000000-0005-0000-0000-0000F66B0000}"/>
    <cellStyle name="Output 2 2 2 3 2 3" xfId="26362" xr:uid="{00000000-0005-0000-0000-0000F76B0000}"/>
    <cellStyle name="Output 2 2 2 3 2 4" xfId="7395" xr:uid="{00000000-0005-0000-0000-0000F86B0000}"/>
    <cellStyle name="Output 2 2 2 3 3" xfId="31632" xr:uid="{00000000-0005-0000-0000-0000F96B0000}"/>
    <cellStyle name="Output 2 2 2 3 3 2" xfId="26931" xr:uid="{00000000-0005-0000-0000-0000FA6B0000}"/>
    <cellStyle name="Output 2 2 2 3 3 3" xfId="26947" xr:uid="{00000000-0005-0000-0000-0000FB6B0000}"/>
    <cellStyle name="Output 2 2 2 3 3 4" xfId="26960" xr:uid="{00000000-0005-0000-0000-0000FC6B0000}"/>
    <cellStyle name="Output 2 2 2 3 4" xfId="31633" xr:uid="{00000000-0005-0000-0000-0000FD6B0000}"/>
    <cellStyle name="Output 2 2 2 3 4 2" xfId="27334" xr:uid="{00000000-0005-0000-0000-0000FE6B0000}"/>
    <cellStyle name="Output 2 2 2 3 4 3" xfId="27356" xr:uid="{00000000-0005-0000-0000-0000FF6B0000}"/>
    <cellStyle name="Output 2 2 2 3 5" xfId="10841" xr:uid="{00000000-0005-0000-0000-0000006C0000}"/>
    <cellStyle name="Output 2 2 2 3 5 2" xfId="27748" xr:uid="{00000000-0005-0000-0000-0000016C0000}"/>
    <cellStyle name="Output 2 2 2 3 5 3" xfId="27764" xr:uid="{00000000-0005-0000-0000-0000026C0000}"/>
    <cellStyle name="Output 2 2 2 3 6" xfId="10845" xr:uid="{00000000-0005-0000-0000-0000036C0000}"/>
    <cellStyle name="Output 2 2 2 3 6 2" xfId="13945" xr:uid="{00000000-0005-0000-0000-0000046C0000}"/>
    <cellStyle name="Output 2 2 2 3 7" xfId="10849" xr:uid="{00000000-0005-0000-0000-0000056C0000}"/>
    <cellStyle name="Output 2 2 2 4" xfId="23208" xr:uid="{00000000-0005-0000-0000-0000066C0000}"/>
    <cellStyle name="Output 2 2 2 4 2" xfId="31634" xr:uid="{00000000-0005-0000-0000-0000076C0000}"/>
    <cellStyle name="Output 2 2 2 4 2 2" xfId="31635" xr:uid="{00000000-0005-0000-0000-0000086C0000}"/>
    <cellStyle name="Output 2 2 2 4 2 2 2" xfId="29232" xr:uid="{00000000-0005-0000-0000-0000096C0000}"/>
    <cellStyle name="Output 2 2 2 4 2 2 2 2" xfId="27223" xr:uid="{00000000-0005-0000-0000-00000A6C0000}"/>
    <cellStyle name="Output 2 2 2 4 2 2 2 2 2" xfId="22037" xr:uid="{00000000-0005-0000-0000-00000B6C0000}"/>
    <cellStyle name="Output 2 2 2 4 2 2 2 2 2 2" xfId="31636" xr:uid="{00000000-0005-0000-0000-00000C6C0000}"/>
    <cellStyle name="Output 2 2 2 4 2 2 2 3" xfId="10032" xr:uid="{00000000-0005-0000-0000-00000D6C0000}"/>
    <cellStyle name="Output 2 2 2 4 2 2 3" xfId="31637" xr:uid="{00000000-0005-0000-0000-00000E6C0000}"/>
    <cellStyle name="Output 2 2 2 4 2 3" xfId="16379" xr:uid="{00000000-0005-0000-0000-00000F6C0000}"/>
    <cellStyle name="Output 2 2 2 4 2 4" xfId="7453" xr:uid="{00000000-0005-0000-0000-0000106C0000}"/>
    <cellStyle name="Output 2 2 2 4 3" xfId="31638" xr:uid="{00000000-0005-0000-0000-0000116C0000}"/>
    <cellStyle name="Output 2 2 2 4 3 2" xfId="31639" xr:uid="{00000000-0005-0000-0000-0000126C0000}"/>
    <cellStyle name="Output 2 2 2 4 3 2 2" xfId="31640" xr:uid="{00000000-0005-0000-0000-0000136C0000}"/>
    <cellStyle name="Output 2 2 2 4 3 2 2 2" xfId="27634" xr:uid="{00000000-0005-0000-0000-0000146C0000}"/>
    <cellStyle name="Output 2 2 2 4 3 3" xfId="17084" xr:uid="{00000000-0005-0000-0000-0000156C0000}"/>
    <cellStyle name="Output 2 2 2 4 3 4" xfId="17328" xr:uid="{00000000-0005-0000-0000-0000166C0000}"/>
    <cellStyle name="Output 2 2 2 4 4" xfId="31641" xr:uid="{00000000-0005-0000-0000-0000176C0000}"/>
    <cellStyle name="Output 2 2 2 4 4 2" xfId="31642" xr:uid="{00000000-0005-0000-0000-0000186C0000}"/>
    <cellStyle name="Output 2 2 2 4 4 3" xfId="17721" xr:uid="{00000000-0005-0000-0000-0000196C0000}"/>
    <cellStyle name="Output 2 2 2 4 5" xfId="10856" xr:uid="{00000000-0005-0000-0000-00001A6C0000}"/>
    <cellStyle name="Output 2 2 2 4 5 2" xfId="31643" xr:uid="{00000000-0005-0000-0000-00001B6C0000}"/>
    <cellStyle name="Output 2 2 2 4 5 3" xfId="17942" xr:uid="{00000000-0005-0000-0000-00001C6C0000}"/>
    <cellStyle name="Output 2 2 2 4 6" xfId="10859" xr:uid="{00000000-0005-0000-0000-00001D6C0000}"/>
    <cellStyle name="Output 2 2 2 4 6 2" xfId="13975" xr:uid="{00000000-0005-0000-0000-00001E6C0000}"/>
    <cellStyle name="Output 2 2 2 4 6 2 2" xfId="31644" xr:uid="{00000000-0005-0000-0000-00001F6C0000}"/>
    <cellStyle name="Output 2 2 2 4 7" xfId="10862" xr:uid="{00000000-0005-0000-0000-0000206C0000}"/>
    <cellStyle name="Output 2 2 2 5" xfId="23210" xr:uid="{00000000-0005-0000-0000-0000216C0000}"/>
    <cellStyle name="Output 2 2 2 5 2" xfId="31645" xr:uid="{00000000-0005-0000-0000-0000226C0000}"/>
    <cellStyle name="Output 2 2 2 5 2 2" xfId="31646" xr:uid="{00000000-0005-0000-0000-0000236C0000}"/>
    <cellStyle name="Output 2 2 2 5 2 3" xfId="31647" xr:uid="{00000000-0005-0000-0000-0000246C0000}"/>
    <cellStyle name="Output 2 2 2 5 2 4" xfId="7528" xr:uid="{00000000-0005-0000-0000-0000256C0000}"/>
    <cellStyle name="Output 2 2 2 5 3" xfId="31648" xr:uid="{00000000-0005-0000-0000-0000266C0000}"/>
    <cellStyle name="Output 2 2 2 5 3 2" xfId="31649" xr:uid="{00000000-0005-0000-0000-0000276C0000}"/>
    <cellStyle name="Output 2 2 2 5 3 3" xfId="31650" xr:uid="{00000000-0005-0000-0000-0000286C0000}"/>
    <cellStyle name="Output 2 2 2 5 3 4" xfId="14169" xr:uid="{00000000-0005-0000-0000-0000296C0000}"/>
    <cellStyle name="Output 2 2 2 5 4" xfId="31651" xr:uid="{00000000-0005-0000-0000-00002A6C0000}"/>
    <cellStyle name="Output 2 2 2 5 4 2" xfId="31652" xr:uid="{00000000-0005-0000-0000-00002B6C0000}"/>
    <cellStyle name="Output 2 2 2 5 4 3" xfId="1708" xr:uid="{00000000-0005-0000-0000-00002C6C0000}"/>
    <cellStyle name="Output 2 2 2 5 5" xfId="10869" xr:uid="{00000000-0005-0000-0000-00002D6C0000}"/>
    <cellStyle name="Output 2 2 2 5 5 2" xfId="31653" xr:uid="{00000000-0005-0000-0000-00002E6C0000}"/>
    <cellStyle name="Output 2 2 2 5 5 3" xfId="31654" xr:uid="{00000000-0005-0000-0000-00002F6C0000}"/>
    <cellStyle name="Output 2 2 2 5 6" xfId="10872" xr:uid="{00000000-0005-0000-0000-0000306C0000}"/>
    <cellStyle name="Output 2 2 2 5 6 2" xfId="13996" xr:uid="{00000000-0005-0000-0000-0000316C0000}"/>
    <cellStyle name="Output 2 2 2 5 6 2 2" xfId="14567" xr:uid="{00000000-0005-0000-0000-0000326C0000}"/>
    <cellStyle name="Output 2 2 2 5 7" xfId="19663" xr:uid="{00000000-0005-0000-0000-0000336C0000}"/>
    <cellStyle name="Output 2 2 2 6" xfId="23213" xr:uid="{00000000-0005-0000-0000-0000346C0000}"/>
    <cellStyle name="Output 2 2 2 6 2" xfId="31655" xr:uid="{00000000-0005-0000-0000-0000356C0000}"/>
    <cellStyle name="Output 2 2 2 6 2 2" xfId="31656" xr:uid="{00000000-0005-0000-0000-0000366C0000}"/>
    <cellStyle name="Output 2 2 2 6 2 3" xfId="31657" xr:uid="{00000000-0005-0000-0000-0000376C0000}"/>
    <cellStyle name="Output 2 2 2 6 2 4" xfId="31658" xr:uid="{00000000-0005-0000-0000-0000386C0000}"/>
    <cellStyle name="Output 2 2 2 6 3" xfId="31660" xr:uid="{00000000-0005-0000-0000-0000396C0000}"/>
    <cellStyle name="Output 2 2 2 6 3 2" xfId="31661" xr:uid="{00000000-0005-0000-0000-00003A6C0000}"/>
    <cellStyle name="Output 2 2 2 6 3 3" xfId="31662" xr:uid="{00000000-0005-0000-0000-00003B6C0000}"/>
    <cellStyle name="Output 2 2 2 6 3 4" xfId="31663" xr:uid="{00000000-0005-0000-0000-00003C6C0000}"/>
    <cellStyle name="Output 2 2 2 6 4" xfId="31664" xr:uid="{00000000-0005-0000-0000-00003D6C0000}"/>
    <cellStyle name="Output 2 2 2 6 4 2" xfId="31665" xr:uid="{00000000-0005-0000-0000-00003E6C0000}"/>
    <cellStyle name="Output 2 2 2 6 4 3" xfId="31666" xr:uid="{00000000-0005-0000-0000-00003F6C0000}"/>
    <cellStyle name="Output 2 2 2 6 5" xfId="10879" xr:uid="{00000000-0005-0000-0000-0000406C0000}"/>
    <cellStyle name="Output 2 2 2 6 5 2" xfId="31667" xr:uid="{00000000-0005-0000-0000-0000416C0000}"/>
    <cellStyle name="Output 2 2 2 6 5 3" xfId="31669" xr:uid="{00000000-0005-0000-0000-0000426C0000}"/>
    <cellStyle name="Output 2 2 2 6 6" xfId="10882" xr:uid="{00000000-0005-0000-0000-0000436C0000}"/>
    <cellStyle name="Output 2 2 2 6 6 2" xfId="14017" xr:uid="{00000000-0005-0000-0000-0000446C0000}"/>
    <cellStyle name="Output 2 2 2 6 6 2 2" xfId="15304" xr:uid="{00000000-0005-0000-0000-0000456C0000}"/>
    <cellStyle name="Output 2 2 2 6 7" xfId="25197" xr:uid="{00000000-0005-0000-0000-0000466C0000}"/>
    <cellStyle name="Output 2 2 2 7" xfId="28011" xr:uid="{00000000-0005-0000-0000-0000476C0000}"/>
    <cellStyle name="Output 2 2 2 7 2" xfId="31670" xr:uid="{00000000-0005-0000-0000-0000486C0000}"/>
    <cellStyle name="Output 2 2 2 7 2 2" xfId="23451" xr:uid="{00000000-0005-0000-0000-0000496C0000}"/>
    <cellStyle name="Output 2 2 2 7 2 3" xfId="31671" xr:uid="{00000000-0005-0000-0000-00004A6C0000}"/>
    <cellStyle name="Output 2 2 2 7 2 4" xfId="31672" xr:uid="{00000000-0005-0000-0000-00004B6C0000}"/>
    <cellStyle name="Output 2 2 2 7 3" xfId="31674" xr:uid="{00000000-0005-0000-0000-00004C6C0000}"/>
    <cellStyle name="Output 2 2 2 7 3 2" xfId="24938" xr:uid="{00000000-0005-0000-0000-00004D6C0000}"/>
    <cellStyle name="Output 2 2 2 7 3 3" xfId="29716" xr:uid="{00000000-0005-0000-0000-00004E6C0000}"/>
    <cellStyle name="Output 2 2 2 7 3 4" xfId="29734" xr:uid="{00000000-0005-0000-0000-00004F6C0000}"/>
    <cellStyle name="Output 2 2 2 7 4" xfId="29767" xr:uid="{00000000-0005-0000-0000-0000506C0000}"/>
    <cellStyle name="Output 2 2 2 7 4 2" xfId="24949" xr:uid="{00000000-0005-0000-0000-0000516C0000}"/>
    <cellStyle name="Output 2 2 2 7 4 3" xfId="29770" xr:uid="{00000000-0005-0000-0000-0000526C0000}"/>
    <cellStyle name="Output 2 2 2 7 5" xfId="25200" xr:uid="{00000000-0005-0000-0000-0000536C0000}"/>
    <cellStyle name="Output 2 2 2 7 5 2" xfId="29774" xr:uid="{00000000-0005-0000-0000-0000546C0000}"/>
    <cellStyle name="Output 2 2 2 7 5 3" xfId="29779" xr:uid="{00000000-0005-0000-0000-0000556C0000}"/>
    <cellStyle name="Output 2 2 2 7 6" xfId="25203" xr:uid="{00000000-0005-0000-0000-0000566C0000}"/>
    <cellStyle name="Output 2 2 2 7 6 2" xfId="29783" xr:uid="{00000000-0005-0000-0000-0000576C0000}"/>
    <cellStyle name="Output 2 2 2 7 6 2 2" xfId="15930" xr:uid="{00000000-0005-0000-0000-0000586C0000}"/>
    <cellStyle name="Output 2 2 2 7 7" xfId="25206" xr:uid="{00000000-0005-0000-0000-0000596C0000}"/>
    <cellStyle name="Output 2 2 2 8" xfId="31675" xr:uid="{00000000-0005-0000-0000-00005A6C0000}"/>
    <cellStyle name="Output 2 2 2 8 2" xfId="31676" xr:uid="{00000000-0005-0000-0000-00005B6C0000}"/>
    <cellStyle name="Output 2 2 2 8 2 2" xfId="31677" xr:uid="{00000000-0005-0000-0000-00005C6C0000}"/>
    <cellStyle name="Output 2 2 2 8 2 3" xfId="31678" xr:uid="{00000000-0005-0000-0000-00005D6C0000}"/>
    <cellStyle name="Output 2 2 2 8 2 4" xfId="31679" xr:uid="{00000000-0005-0000-0000-00005E6C0000}"/>
    <cellStyle name="Output 2 2 2 8 3" xfId="26768" xr:uid="{00000000-0005-0000-0000-00005F6C0000}"/>
    <cellStyle name="Output 2 2 2 8 3 2" xfId="24962" xr:uid="{00000000-0005-0000-0000-0000606C0000}"/>
    <cellStyle name="Output 2 2 2 8 3 3" xfId="26771" xr:uid="{00000000-0005-0000-0000-0000616C0000}"/>
    <cellStyle name="Output 2 2 2 8 3 4" xfId="26774" xr:uid="{00000000-0005-0000-0000-0000626C0000}"/>
    <cellStyle name="Output 2 2 2 8 4" xfId="26777" xr:uid="{00000000-0005-0000-0000-0000636C0000}"/>
    <cellStyle name="Output 2 2 2 8 4 2" xfId="382" xr:uid="{00000000-0005-0000-0000-0000646C0000}"/>
    <cellStyle name="Output 2 2 2 8 4 3" xfId="389" xr:uid="{00000000-0005-0000-0000-0000656C0000}"/>
    <cellStyle name="Output 2 2 2 8 5" xfId="25210" xr:uid="{00000000-0005-0000-0000-0000666C0000}"/>
    <cellStyle name="Output 2 2 2 8 5 2" xfId="26782" xr:uid="{00000000-0005-0000-0000-0000676C0000}"/>
    <cellStyle name="Output 2 2 2 8 5 3" xfId="26785" xr:uid="{00000000-0005-0000-0000-0000686C0000}"/>
    <cellStyle name="Output 2 2 2 8 6" xfId="25214" xr:uid="{00000000-0005-0000-0000-0000696C0000}"/>
    <cellStyle name="Output 2 2 2 8 6 2" xfId="26788" xr:uid="{00000000-0005-0000-0000-00006A6C0000}"/>
    <cellStyle name="Output 2 2 2 8 6 2 2" xfId="16510" xr:uid="{00000000-0005-0000-0000-00006B6C0000}"/>
    <cellStyle name="Output 2 2 2 8 7" xfId="26792" xr:uid="{00000000-0005-0000-0000-00006C6C0000}"/>
    <cellStyle name="Output 2 2 2 9" xfId="31681" xr:uid="{00000000-0005-0000-0000-00006D6C0000}"/>
    <cellStyle name="Output 2 2 2 9 2" xfId="31682" xr:uid="{00000000-0005-0000-0000-00006E6C0000}"/>
    <cellStyle name="Output 2 2 2 9 2 2" xfId="23017" xr:uid="{00000000-0005-0000-0000-00006F6C0000}"/>
    <cellStyle name="Output 2 2 2 9 2 3" xfId="23021" xr:uid="{00000000-0005-0000-0000-0000706C0000}"/>
    <cellStyle name="Output 2 2 2 9 2 4" xfId="23026" xr:uid="{00000000-0005-0000-0000-0000716C0000}"/>
    <cellStyle name="Output 2 2 2 9 3" xfId="26796" xr:uid="{00000000-0005-0000-0000-0000726C0000}"/>
    <cellStyle name="Output 2 2 2 9 3 2" xfId="23064" xr:uid="{00000000-0005-0000-0000-0000736C0000}"/>
    <cellStyle name="Output 2 2 2 9 3 3" xfId="23073" xr:uid="{00000000-0005-0000-0000-0000746C0000}"/>
    <cellStyle name="Output 2 2 2 9 3 4" xfId="23082" xr:uid="{00000000-0005-0000-0000-0000756C0000}"/>
    <cellStyle name="Output 2 2 2 9 4" xfId="26799" xr:uid="{00000000-0005-0000-0000-0000766C0000}"/>
    <cellStyle name="Output 2 2 2 9 4 2" xfId="489" xr:uid="{00000000-0005-0000-0000-0000776C0000}"/>
    <cellStyle name="Output 2 2 2 9 4 3" xfId="23113" xr:uid="{00000000-0005-0000-0000-0000786C0000}"/>
    <cellStyle name="Output 2 2 2 9 5" xfId="22455" xr:uid="{00000000-0005-0000-0000-0000796C0000}"/>
    <cellStyle name="Output 2 2 2 9 5 2" xfId="26802" xr:uid="{00000000-0005-0000-0000-00007A6C0000}"/>
    <cellStyle name="Output 2 2 2 9 5 3" xfId="26806" xr:uid="{00000000-0005-0000-0000-00007B6C0000}"/>
    <cellStyle name="Output 2 2 2 9 6" xfId="22460" xr:uid="{00000000-0005-0000-0000-00007C6C0000}"/>
    <cellStyle name="Output 2 2 2 9 7" xfId="22463" xr:uid="{00000000-0005-0000-0000-00007D6C0000}"/>
    <cellStyle name="Output 2 2 3" xfId="31683" xr:uid="{00000000-0005-0000-0000-00007E6C0000}"/>
    <cellStyle name="Output 2 2 3 10" xfId="31684" xr:uid="{00000000-0005-0000-0000-00007F6C0000}"/>
    <cellStyle name="Output 2 2 3 10 2" xfId="14486" xr:uid="{00000000-0005-0000-0000-0000806C0000}"/>
    <cellStyle name="Output 2 2 3 10 2 2" xfId="31686" xr:uid="{00000000-0005-0000-0000-0000816C0000}"/>
    <cellStyle name="Output 2 2 3 10 2 3" xfId="31687" xr:uid="{00000000-0005-0000-0000-0000826C0000}"/>
    <cellStyle name="Output 2 2 3 10 2 4" xfId="31689" xr:uid="{00000000-0005-0000-0000-0000836C0000}"/>
    <cellStyle name="Output 2 2 3 10 3" xfId="23930" xr:uid="{00000000-0005-0000-0000-0000846C0000}"/>
    <cellStyle name="Output 2 2 3 10 3 2" xfId="31691" xr:uid="{00000000-0005-0000-0000-0000856C0000}"/>
    <cellStyle name="Output 2 2 3 10 3 3" xfId="31692" xr:uid="{00000000-0005-0000-0000-0000866C0000}"/>
    <cellStyle name="Output 2 2 3 10 3 4" xfId="31694" xr:uid="{00000000-0005-0000-0000-0000876C0000}"/>
    <cellStyle name="Output 2 2 3 10 4" xfId="23934" xr:uid="{00000000-0005-0000-0000-0000886C0000}"/>
    <cellStyle name="Output 2 2 3 10 4 2" xfId="11870" xr:uid="{00000000-0005-0000-0000-0000896C0000}"/>
    <cellStyle name="Output 2 2 3 10 4 3" xfId="11876" xr:uid="{00000000-0005-0000-0000-00008A6C0000}"/>
    <cellStyle name="Output 2 2 3 10 5" xfId="31696" xr:uid="{00000000-0005-0000-0000-00008B6C0000}"/>
    <cellStyle name="Output 2 2 3 10 5 2" xfId="11896" xr:uid="{00000000-0005-0000-0000-00008C6C0000}"/>
    <cellStyle name="Output 2 2 3 10 5 3" xfId="11902" xr:uid="{00000000-0005-0000-0000-00008D6C0000}"/>
    <cellStyle name="Output 2 2 3 10 6" xfId="31697" xr:uid="{00000000-0005-0000-0000-00008E6C0000}"/>
    <cellStyle name="Output 2 2 3 10 7" xfId="26507" xr:uid="{00000000-0005-0000-0000-00008F6C0000}"/>
    <cellStyle name="Output 2 2 3 11" xfId="31698" xr:uid="{00000000-0005-0000-0000-0000906C0000}"/>
    <cellStyle name="Output 2 2 3 11 2" xfId="31700" xr:uid="{00000000-0005-0000-0000-0000916C0000}"/>
    <cellStyle name="Output 2 2 3 11 3" xfId="31703" xr:uid="{00000000-0005-0000-0000-0000926C0000}"/>
    <cellStyle name="Output 2 2 3 11 4" xfId="31706" xr:uid="{00000000-0005-0000-0000-0000936C0000}"/>
    <cellStyle name="Output 2 2 3 12" xfId="31707" xr:uid="{00000000-0005-0000-0000-0000946C0000}"/>
    <cellStyle name="Output 2 2 3 12 2" xfId="31709" xr:uid="{00000000-0005-0000-0000-0000956C0000}"/>
    <cellStyle name="Output 2 2 3 12 3" xfId="31710" xr:uid="{00000000-0005-0000-0000-0000966C0000}"/>
    <cellStyle name="Output 2 2 3 12 4" xfId="31711" xr:uid="{00000000-0005-0000-0000-0000976C0000}"/>
    <cellStyle name="Output 2 2 3 13" xfId="28352" xr:uid="{00000000-0005-0000-0000-0000986C0000}"/>
    <cellStyle name="Output 2 2 3 13 2" xfId="31712" xr:uid="{00000000-0005-0000-0000-0000996C0000}"/>
    <cellStyle name="Output 2 2 3 13 3" xfId="31713" xr:uid="{00000000-0005-0000-0000-00009A6C0000}"/>
    <cellStyle name="Output 2 2 3 14" xfId="28355" xr:uid="{00000000-0005-0000-0000-00009B6C0000}"/>
    <cellStyle name="Output 2 2 3 14 2" xfId="20565" xr:uid="{00000000-0005-0000-0000-00009C6C0000}"/>
    <cellStyle name="Output 2 2 3 14 3" xfId="20567" xr:uid="{00000000-0005-0000-0000-00009D6C0000}"/>
    <cellStyle name="Output 2 2 3 15" xfId="23618" xr:uid="{00000000-0005-0000-0000-00009E6C0000}"/>
    <cellStyle name="Output 2 2 3 15 2" xfId="20572" xr:uid="{00000000-0005-0000-0000-00009F6C0000}"/>
    <cellStyle name="Output 2 2 3 15 2 2" xfId="31714" xr:uid="{00000000-0005-0000-0000-0000A06C0000}"/>
    <cellStyle name="Output 2 2 3 16" xfId="23620" xr:uid="{00000000-0005-0000-0000-0000A16C0000}"/>
    <cellStyle name="Output 2 2 3 17" xfId="31715" xr:uid="{00000000-0005-0000-0000-0000A26C0000}"/>
    <cellStyle name="Output 2 2 3 2" xfId="31716" xr:uid="{00000000-0005-0000-0000-0000A36C0000}"/>
    <cellStyle name="Output 2 2 3 2 2" xfId="31717" xr:uid="{00000000-0005-0000-0000-0000A46C0000}"/>
    <cellStyle name="Output 2 2 3 2 2 2" xfId="18449" xr:uid="{00000000-0005-0000-0000-0000A56C0000}"/>
    <cellStyle name="Output 2 2 3 2 2 3" xfId="31718" xr:uid="{00000000-0005-0000-0000-0000A66C0000}"/>
    <cellStyle name="Output 2 2 3 2 2 4" xfId="4190" xr:uid="{00000000-0005-0000-0000-0000A76C0000}"/>
    <cellStyle name="Output 2 2 3 2 3" xfId="31719" xr:uid="{00000000-0005-0000-0000-0000A86C0000}"/>
    <cellStyle name="Output 2 2 3 2 3 2" xfId="14323" xr:uid="{00000000-0005-0000-0000-0000A96C0000}"/>
    <cellStyle name="Output 2 2 3 2 3 3" xfId="14327" xr:uid="{00000000-0005-0000-0000-0000AA6C0000}"/>
    <cellStyle name="Output 2 2 3 2 3 4" xfId="4202" xr:uid="{00000000-0005-0000-0000-0000AB6C0000}"/>
    <cellStyle name="Output 2 2 3 2 4" xfId="31720" xr:uid="{00000000-0005-0000-0000-0000AC6C0000}"/>
    <cellStyle name="Output 2 2 3 2 4 2" xfId="31721" xr:uid="{00000000-0005-0000-0000-0000AD6C0000}"/>
    <cellStyle name="Output 2 2 3 2 4 3" xfId="31722" xr:uid="{00000000-0005-0000-0000-0000AE6C0000}"/>
    <cellStyle name="Output 2 2 3 2 5" xfId="16427" xr:uid="{00000000-0005-0000-0000-0000AF6C0000}"/>
    <cellStyle name="Output 2 2 3 2 5 2" xfId="31723" xr:uid="{00000000-0005-0000-0000-0000B06C0000}"/>
    <cellStyle name="Output 2 2 3 2 5 3" xfId="31724" xr:uid="{00000000-0005-0000-0000-0000B16C0000}"/>
    <cellStyle name="Output 2 2 3 2 6" xfId="16430" xr:uid="{00000000-0005-0000-0000-0000B26C0000}"/>
    <cellStyle name="Output 2 2 3 2 6 2" xfId="4500" xr:uid="{00000000-0005-0000-0000-0000B36C0000}"/>
    <cellStyle name="Output 2 2 3 2 7" xfId="13506" xr:uid="{00000000-0005-0000-0000-0000B46C0000}"/>
    <cellStyle name="Output 2 2 3 2 8" xfId="13509" xr:uid="{00000000-0005-0000-0000-0000B56C0000}"/>
    <cellStyle name="Output 2 2 3 3" xfId="31725" xr:uid="{00000000-0005-0000-0000-0000B66C0000}"/>
    <cellStyle name="Output 2 2 3 3 2" xfId="31726" xr:uid="{00000000-0005-0000-0000-0000B76C0000}"/>
    <cellStyle name="Output 2 2 3 3 2 2" xfId="31727" xr:uid="{00000000-0005-0000-0000-0000B86C0000}"/>
    <cellStyle name="Output 2 2 3 3 2 3" xfId="31728" xr:uid="{00000000-0005-0000-0000-0000B96C0000}"/>
    <cellStyle name="Output 2 2 3 3 2 4" xfId="7832" xr:uid="{00000000-0005-0000-0000-0000BA6C0000}"/>
    <cellStyle name="Output 2 2 3 3 3" xfId="31729" xr:uid="{00000000-0005-0000-0000-0000BB6C0000}"/>
    <cellStyle name="Output 2 2 3 3 3 2" xfId="14378" xr:uid="{00000000-0005-0000-0000-0000BC6C0000}"/>
    <cellStyle name="Output 2 2 3 3 3 3" xfId="14380" xr:uid="{00000000-0005-0000-0000-0000BD6C0000}"/>
    <cellStyle name="Output 2 2 3 3 3 4" xfId="14382" xr:uid="{00000000-0005-0000-0000-0000BE6C0000}"/>
    <cellStyle name="Output 2 2 3 3 4" xfId="31730" xr:uid="{00000000-0005-0000-0000-0000BF6C0000}"/>
    <cellStyle name="Output 2 2 3 3 4 2" xfId="31731" xr:uid="{00000000-0005-0000-0000-0000C06C0000}"/>
    <cellStyle name="Output 2 2 3 3 4 3" xfId="31732" xr:uid="{00000000-0005-0000-0000-0000C16C0000}"/>
    <cellStyle name="Output 2 2 3 3 5" xfId="16434" xr:uid="{00000000-0005-0000-0000-0000C26C0000}"/>
    <cellStyle name="Output 2 2 3 3 5 2" xfId="31733" xr:uid="{00000000-0005-0000-0000-0000C36C0000}"/>
    <cellStyle name="Output 2 2 3 3 5 3" xfId="31734" xr:uid="{00000000-0005-0000-0000-0000C46C0000}"/>
    <cellStyle name="Output 2 2 3 3 6" xfId="16436" xr:uid="{00000000-0005-0000-0000-0000C56C0000}"/>
    <cellStyle name="Output 2 2 3 3 6 2" xfId="201" xr:uid="{00000000-0005-0000-0000-0000C66C0000}"/>
    <cellStyle name="Output 2 2 3 3 7" xfId="13515" xr:uid="{00000000-0005-0000-0000-0000C76C0000}"/>
    <cellStyle name="Output 2 2 3 4" xfId="23216" xr:uid="{00000000-0005-0000-0000-0000C86C0000}"/>
    <cellStyle name="Output 2 2 3 4 2" xfId="31735" xr:uid="{00000000-0005-0000-0000-0000C96C0000}"/>
    <cellStyle name="Output 2 2 3 4 2 2" xfId="18806" xr:uid="{00000000-0005-0000-0000-0000CA6C0000}"/>
    <cellStyle name="Output 2 2 3 4 2 3" xfId="18809" xr:uid="{00000000-0005-0000-0000-0000CB6C0000}"/>
    <cellStyle name="Output 2 2 3 4 2 4" xfId="7890" xr:uid="{00000000-0005-0000-0000-0000CC6C0000}"/>
    <cellStyle name="Output 2 2 3 4 3" xfId="31736" xr:uid="{00000000-0005-0000-0000-0000CD6C0000}"/>
    <cellStyle name="Output 2 2 3 4 3 2" xfId="18815" xr:uid="{00000000-0005-0000-0000-0000CE6C0000}"/>
    <cellStyle name="Output 2 2 3 4 3 3" xfId="12144" xr:uid="{00000000-0005-0000-0000-0000CF6C0000}"/>
    <cellStyle name="Output 2 2 3 4 3 4" xfId="12149" xr:uid="{00000000-0005-0000-0000-0000D06C0000}"/>
    <cellStyle name="Output 2 2 3 4 4" xfId="31737" xr:uid="{00000000-0005-0000-0000-0000D16C0000}"/>
    <cellStyle name="Output 2 2 3 4 4 2" xfId="18821" xr:uid="{00000000-0005-0000-0000-0000D26C0000}"/>
    <cellStyle name="Output 2 2 3 4 4 3" xfId="12164" xr:uid="{00000000-0005-0000-0000-0000D36C0000}"/>
    <cellStyle name="Output 2 2 3 4 5" xfId="16441" xr:uid="{00000000-0005-0000-0000-0000D46C0000}"/>
    <cellStyle name="Output 2 2 3 4 5 2" xfId="18825" xr:uid="{00000000-0005-0000-0000-0000D56C0000}"/>
    <cellStyle name="Output 2 2 3 4 5 3" xfId="12169" xr:uid="{00000000-0005-0000-0000-0000D66C0000}"/>
    <cellStyle name="Output 2 2 3 4 6" xfId="16443" xr:uid="{00000000-0005-0000-0000-0000D76C0000}"/>
    <cellStyle name="Output 2 2 3 4 7" xfId="13520" xr:uid="{00000000-0005-0000-0000-0000D86C0000}"/>
    <cellStyle name="Output 2 2 3 5" xfId="23218" xr:uid="{00000000-0005-0000-0000-0000D96C0000}"/>
    <cellStyle name="Output 2 2 3 5 2" xfId="31738" xr:uid="{00000000-0005-0000-0000-0000DA6C0000}"/>
    <cellStyle name="Output 2 2 3 5 2 2" xfId="31739" xr:uid="{00000000-0005-0000-0000-0000DB6C0000}"/>
    <cellStyle name="Output 2 2 3 5 2 3" xfId="31740" xr:uid="{00000000-0005-0000-0000-0000DC6C0000}"/>
    <cellStyle name="Output 2 2 3 5 2 4" xfId="6528" xr:uid="{00000000-0005-0000-0000-0000DD6C0000}"/>
    <cellStyle name="Output 2 2 3 5 3" xfId="31741" xr:uid="{00000000-0005-0000-0000-0000DE6C0000}"/>
    <cellStyle name="Output 2 2 3 5 3 2" xfId="31742" xr:uid="{00000000-0005-0000-0000-0000DF6C0000}"/>
    <cellStyle name="Output 2 2 3 5 3 3" xfId="31743" xr:uid="{00000000-0005-0000-0000-0000E06C0000}"/>
    <cellStyle name="Output 2 2 3 5 3 4" xfId="6467" xr:uid="{00000000-0005-0000-0000-0000E16C0000}"/>
    <cellStyle name="Output 2 2 3 5 4" xfId="31744" xr:uid="{00000000-0005-0000-0000-0000E26C0000}"/>
    <cellStyle name="Output 2 2 3 5 4 2" xfId="31745" xr:uid="{00000000-0005-0000-0000-0000E36C0000}"/>
    <cellStyle name="Output 2 2 3 5 4 3" xfId="31746" xr:uid="{00000000-0005-0000-0000-0000E46C0000}"/>
    <cellStyle name="Output 2 2 3 5 5" xfId="16448" xr:uid="{00000000-0005-0000-0000-0000E56C0000}"/>
    <cellStyle name="Output 2 2 3 5 5 2" xfId="30292" xr:uid="{00000000-0005-0000-0000-0000E66C0000}"/>
    <cellStyle name="Output 2 2 3 5 5 3" xfId="30294" xr:uid="{00000000-0005-0000-0000-0000E76C0000}"/>
    <cellStyle name="Output 2 2 3 5 6" xfId="16450" xr:uid="{00000000-0005-0000-0000-0000E86C0000}"/>
    <cellStyle name="Output 2 2 3 5 7" xfId="25003" xr:uid="{00000000-0005-0000-0000-0000E96C0000}"/>
    <cellStyle name="Output 2 2 3 6" xfId="23221" xr:uid="{00000000-0005-0000-0000-0000EA6C0000}"/>
    <cellStyle name="Output 2 2 3 6 2" xfId="31747" xr:uid="{00000000-0005-0000-0000-0000EB6C0000}"/>
    <cellStyle name="Output 2 2 3 6 2 2" xfId="26545" xr:uid="{00000000-0005-0000-0000-0000EC6C0000}"/>
    <cellStyle name="Output 2 2 3 6 2 3" xfId="26551" xr:uid="{00000000-0005-0000-0000-0000ED6C0000}"/>
    <cellStyle name="Output 2 2 3 6 2 4" xfId="26555" xr:uid="{00000000-0005-0000-0000-0000EE6C0000}"/>
    <cellStyle name="Output 2 2 3 6 3" xfId="31748" xr:uid="{00000000-0005-0000-0000-0000EF6C0000}"/>
    <cellStyle name="Output 2 2 3 6 3 2" xfId="31749" xr:uid="{00000000-0005-0000-0000-0000F06C0000}"/>
    <cellStyle name="Output 2 2 3 6 3 3" xfId="31750" xr:uid="{00000000-0005-0000-0000-0000F16C0000}"/>
    <cellStyle name="Output 2 2 3 6 3 4" xfId="31751" xr:uid="{00000000-0005-0000-0000-0000F26C0000}"/>
    <cellStyle name="Output 2 2 3 6 4" xfId="31752" xr:uid="{00000000-0005-0000-0000-0000F36C0000}"/>
    <cellStyle name="Output 2 2 3 6 4 2" xfId="31753" xr:uid="{00000000-0005-0000-0000-0000F46C0000}"/>
    <cellStyle name="Output 2 2 3 6 4 3" xfId="31754" xr:uid="{00000000-0005-0000-0000-0000F56C0000}"/>
    <cellStyle name="Output 2 2 3 6 5" xfId="25218" xr:uid="{00000000-0005-0000-0000-0000F66C0000}"/>
    <cellStyle name="Output 2 2 3 6 5 2" xfId="31755" xr:uid="{00000000-0005-0000-0000-0000F76C0000}"/>
    <cellStyle name="Output 2 2 3 6 5 3" xfId="31757" xr:uid="{00000000-0005-0000-0000-0000F86C0000}"/>
    <cellStyle name="Output 2 2 3 6 6" xfId="25220" xr:uid="{00000000-0005-0000-0000-0000F96C0000}"/>
    <cellStyle name="Output 2 2 3 6 7" xfId="25222" xr:uid="{00000000-0005-0000-0000-0000FA6C0000}"/>
    <cellStyle name="Output 2 2 3 7" xfId="28014" xr:uid="{00000000-0005-0000-0000-0000FB6C0000}"/>
    <cellStyle name="Output 2 2 3 7 2" xfId="31758" xr:uid="{00000000-0005-0000-0000-0000FC6C0000}"/>
    <cellStyle name="Output 2 2 3 7 2 2" xfId="19220" xr:uid="{00000000-0005-0000-0000-0000FD6C0000}"/>
    <cellStyle name="Output 2 2 3 7 2 3" xfId="28840" xr:uid="{00000000-0005-0000-0000-0000FE6C0000}"/>
    <cellStyle name="Output 2 2 3 7 2 4" xfId="5047" xr:uid="{00000000-0005-0000-0000-0000FF6C0000}"/>
    <cellStyle name="Output 2 2 3 7 3" xfId="14210" xr:uid="{00000000-0005-0000-0000-0000006D0000}"/>
    <cellStyle name="Output 2 2 3 7 3 2" xfId="14213" xr:uid="{00000000-0005-0000-0000-0000016D0000}"/>
    <cellStyle name="Output 2 2 3 7 3 3" xfId="31759" xr:uid="{00000000-0005-0000-0000-0000026D0000}"/>
    <cellStyle name="Output 2 2 3 7 3 4" xfId="31760" xr:uid="{00000000-0005-0000-0000-0000036D0000}"/>
    <cellStyle name="Output 2 2 3 7 4" xfId="31761" xr:uid="{00000000-0005-0000-0000-0000046D0000}"/>
    <cellStyle name="Output 2 2 3 7 4 2" xfId="31762" xr:uid="{00000000-0005-0000-0000-0000056D0000}"/>
    <cellStyle name="Output 2 2 3 7 4 3" xfId="31763" xr:uid="{00000000-0005-0000-0000-0000066D0000}"/>
    <cellStyle name="Output 2 2 3 7 5" xfId="25224" xr:uid="{00000000-0005-0000-0000-0000076D0000}"/>
    <cellStyle name="Output 2 2 3 7 5 2" xfId="31764" xr:uid="{00000000-0005-0000-0000-0000086D0000}"/>
    <cellStyle name="Output 2 2 3 7 5 3" xfId="31766" xr:uid="{00000000-0005-0000-0000-0000096D0000}"/>
    <cellStyle name="Output 2 2 3 7 6" xfId="25226" xr:uid="{00000000-0005-0000-0000-00000A6D0000}"/>
    <cellStyle name="Output 2 2 3 7 7" xfId="25228" xr:uid="{00000000-0005-0000-0000-00000B6D0000}"/>
    <cellStyle name="Output 2 2 3 8" xfId="31767" xr:uid="{00000000-0005-0000-0000-00000C6D0000}"/>
    <cellStyle name="Output 2 2 3 8 2" xfId="31768" xr:uid="{00000000-0005-0000-0000-00000D6D0000}"/>
    <cellStyle name="Output 2 2 3 8 2 2" xfId="31769" xr:uid="{00000000-0005-0000-0000-00000E6D0000}"/>
    <cellStyle name="Output 2 2 3 8 2 3" xfId="31770" xr:uid="{00000000-0005-0000-0000-00000F6D0000}"/>
    <cellStyle name="Output 2 2 3 8 2 4" xfId="31771" xr:uid="{00000000-0005-0000-0000-0000106D0000}"/>
    <cellStyle name="Output 2 2 3 8 3" xfId="26933" xr:uid="{00000000-0005-0000-0000-0000116D0000}"/>
    <cellStyle name="Output 2 2 3 8 3 2" xfId="31772" xr:uid="{00000000-0005-0000-0000-0000126D0000}"/>
    <cellStyle name="Output 2 2 3 8 3 3" xfId="31773" xr:uid="{00000000-0005-0000-0000-0000136D0000}"/>
    <cellStyle name="Output 2 2 3 8 3 4" xfId="31774" xr:uid="{00000000-0005-0000-0000-0000146D0000}"/>
    <cellStyle name="Output 2 2 3 8 4" xfId="26935" xr:uid="{00000000-0005-0000-0000-0000156D0000}"/>
    <cellStyle name="Output 2 2 3 8 4 2" xfId="31775" xr:uid="{00000000-0005-0000-0000-0000166D0000}"/>
    <cellStyle name="Output 2 2 3 8 4 3" xfId="31776" xr:uid="{00000000-0005-0000-0000-0000176D0000}"/>
    <cellStyle name="Output 2 2 3 8 5" xfId="25231" xr:uid="{00000000-0005-0000-0000-0000186D0000}"/>
    <cellStyle name="Output 2 2 3 8 5 2" xfId="31777" xr:uid="{00000000-0005-0000-0000-0000196D0000}"/>
    <cellStyle name="Output 2 2 3 8 5 3" xfId="31778" xr:uid="{00000000-0005-0000-0000-00001A6D0000}"/>
    <cellStyle name="Output 2 2 3 8 6" xfId="25233" xr:uid="{00000000-0005-0000-0000-00001B6D0000}"/>
    <cellStyle name="Output 2 2 3 8 7" xfId="31779" xr:uid="{00000000-0005-0000-0000-00001C6D0000}"/>
    <cellStyle name="Output 2 2 3 9" xfId="31780" xr:uid="{00000000-0005-0000-0000-00001D6D0000}"/>
    <cellStyle name="Output 2 2 3 9 2" xfId="31781" xr:uid="{00000000-0005-0000-0000-00001E6D0000}"/>
    <cellStyle name="Output 2 2 3 9 2 2" xfId="7327" xr:uid="{00000000-0005-0000-0000-00001F6D0000}"/>
    <cellStyle name="Output 2 2 3 9 2 3" xfId="7330" xr:uid="{00000000-0005-0000-0000-0000206D0000}"/>
    <cellStyle name="Output 2 2 3 9 2 4" xfId="31782" xr:uid="{00000000-0005-0000-0000-0000216D0000}"/>
    <cellStyle name="Output 2 2 3 9 3" xfId="26938" xr:uid="{00000000-0005-0000-0000-0000226D0000}"/>
    <cellStyle name="Output 2 2 3 9 3 2" xfId="7363" xr:uid="{00000000-0005-0000-0000-0000236D0000}"/>
    <cellStyle name="Output 2 2 3 9 3 3" xfId="7366" xr:uid="{00000000-0005-0000-0000-0000246D0000}"/>
    <cellStyle name="Output 2 2 3 9 3 4" xfId="31784" xr:uid="{00000000-0005-0000-0000-0000256D0000}"/>
    <cellStyle name="Output 2 2 3 9 4" xfId="26940" xr:uid="{00000000-0005-0000-0000-0000266D0000}"/>
    <cellStyle name="Output 2 2 3 9 4 2" xfId="7400" xr:uid="{00000000-0005-0000-0000-0000276D0000}"/>
    <cellStyle name="Output 2 2 3 9 4 3" xfId="7403" xr:uid="{00000000-0005-0000-0000-0000286D0000}"/>
    <cellStyle name="Output 2 2 3 9 5" xfId="25237" xr:uid="{00000000-0005-0000-0000-0000296D0000}"/>
    <cellStyle name="Output 2 2 3 9 5 2" xfId="7460" xr:uid="{00000000-0005-0000-0000-00002A6D0000}"/>
    <cellStyle name="Output 2 2 3 9 5 3" xfId="7464" xr:uid="{00000000-0005-0000-0000-00002B6D0000}"/>
    <cellStyle name="Output 2 2 3 9 6" xfId="14167" xr:uid="{00000000-0005-0000-0000-00002C6D0000}"/>
    <cellStyle name="Output 2 2 3 9 7" xfId="14172" xr:uid="{00000000-0005-0000-0000-00002D6D0000}"/>
    <cellStyle name="Output 2 2 4" xfId="31785" xr:uid="{00000000-0005-0000-0000-00002E6D0000}"/>
    <cellStyle name="Output 2 2 4 2" xfId="31786" xr:uid="{00000000-0005-0000-0000-00002F6D0000}"/>
    <cellStyle name="Output 2 2 4 2 2" xfId="31787" xr:uid="{00000000-0005-0000-0000-0000306D0000}"/>
    <cellStyle name="Output 2 2 4 2 3" xfId="31788" xr:uid="{00000000-0005-0000-0000-0000316D0000}"/>
    <cellStyle name="Output 2 2 4 2 4" xfId="31789" xr:uid="{00000000-0005-0000-0000-0000326D0000}"/>
    <cellStyle name="Output 2 2 4 3" xfId="6864" xr:uid="{00000000-0005-0000-0000-0000336D0000}"/>
    <cellStyle name="Output 2 2 4 3 2" xfId="2107" xr:uid="{00000000-0005-0000-0000-0000346D0000}"/>
    <cellStyle name="Output 2 2 4 3 3" xfId="2111" xr:uid="{00000000-0005-0000-0000-0000356D0000}"/>
    <cellStyle name="Output 2 2 4 3 4" xfId="2115" xr:uid="{00000000-0005-0000-0000-0000366D0000}"/>
    <cellStyle name="Output 2 2 4 4" xfId="6868" xr:uid="{00000000-0005-0000-0000-0000376D0000}"/>
    <cellStyle name="Output 2 2 4 4 2" xfId="3911" xr:uid="{00000000-0005-0000-0000-0000386D0000}"/>
    <cellStyle name="Output 2 2 4 4 3" xfId="3916" xr:uid="{00000000-0005-0000-0000-0000396D0000}"/>
    <cellStyle name="Output 2 2 4 5" xfId="6873" xr:uid="{00000000-0005-0000-0000-00003A6D0000}"/>
    <cellStyle name="Output 2 2 4 5 2" xfId="3924" xr:uid="{00000000-0005-0000-0000-00003B6D0000}"/>
    <cellStyle name="Output 2 2 4 5 3" xfId="3929" xr:uid="{00000000-0005-0000-0000-00003C6D0000}"/>
    <cellStyle name="Output 2 2 4 6" xfId="2317" xr:uid="{00000000-0005-0000-0000-00003D6D0000}"/>
    <cellStyle name="Output 2 2 4 6 2" xfId="3950" xr:uid="{00000000-0005-0000-0000-00003E6D0000}"/>
    <cellStyle name="Output 2 2 4 7" xfId="2323" xr:uid="{00000000-0005-0000-0000-00003F6D0000}"/>
    <cellStyle name="Output 2 2 5" xfId="31790" xr:uid="{00000000-0005-0000-0000-0000406D0000}"/>
    <cellStyle name="Output 2 2 5 2" xfId="31791" xr:uid="{00000000-0005-0000-0000-0000416D0000}"/>
    <cellStyle name="Output 2 2 5 2 2" xfId="14507" xr:uid="{00000000-0005-0000-0000-0000426D0000}"/>
    <cellStyle name="Output 2 2 5 2 2 2" xfId="31792" xr:uid="{00000000-0005-0000-0000-0000436D0000}"/>
    <cellStyle name="Output 2 2 5 2 2 2 2" xfId="31793" xr:uid="{00000000-0005-0000-0000-0000446D0000}"/>
    <cellStyle name="Output 2 2 5 2 2 2 2 2" xfId="31794" xr:uid="{00000000-0005-0000-0000-0000456D0000}"/>
    <cellStyle name="Output 2 2 5 2 2 2 2 2 2" xfId="31795" xr:uid="{00000000-0005-0000-0000-0000466D0000}"/>
    <cellStyle name="Output 2 2 5 2 2 2 3" xfId="31796" xr:uid="{00000000-0005-0000-0000-0000476D0000}"/>
    <cellStyle name="Output 2 2 5 2 3" xfId="14509" xr:uid="{00000000-0005-0000-0000-0000486D0000}"/>
    <cellStyle name="Output 2 2 5 2 4" xfId="29566" xr:uid="{00000000-0005-0000-0000-0000496D0000}"/>
    <cellStyle name="Output 2 2 5 3" xfId="6880" xr:uid="{00000000-0005-0000-0000-00004A6D0000}"/>
    <cellStyle name="Output 2 2 5 3 2" xfId="14544" xr:uid="{00000000-0005-0000-0000-00004B6D0000}"/>
    <cellStyle name="Output 2 2 5 3 2 2" xfId="23866" xr:uid="{00000000-0005-0000-0000-00004C6D0000}"/>
    <cellStyle name="Output 2 2 5 3 3" xfId="14548" xr:uid="{00000000-0005-0000-0000-00004D6D0000}"/>
    <cellStyle name="Output 2 2 5 3 4" xfId="17332" xr:uid="{00000000-0005-0000-0000-00004E6D0000}"/>
    <cellStyle name="Output 2 2 5 4" xfId="6884" xr:uid="{00000000-0005-0000-0000-00004F6D0000}"/>
    <cellStyle name="Output 2 2 5 4 2" xfId="14584" xr:uid="{00000000-0005-0000-0000-0000506D0000}"/>
    <cellStyle name="Output 2 2 5 4 3" xfId="14588" xr:uid="{00000000-0005-0000-0000-0000516D0000}"/>
    <cellStyle name="Output 2 2 5 5" xfId="3020" xr:uid="{00000000-0005-0000-0000-0000526D0000}"/>
    <cellStyle name="Output 2 2 5 5 2" xfId="14619" xr:uid="{00000000-0005-0000-0000-0000536D0000}"/>
    <cellStyle name="Output 2 2 5 5 3" xfId="14621" xr:uid="{00000000-0005-0000-0000-0000546D0000}"/>
    <cellStyle name="Output 2 2 5 6" xfId="3035" xr:uid="{00000000-0005-0000-0000-0000556D0000}"/>
    <cellStyle name="Output 2 2 5 6 2" xfId="14647" xr:uid="{00000000-0005-0000-0000-0000566D0000}"/>
    <cellStyle name="Output 2 2 5 6 2 2" xfId="31797" xr:uid="{00000000-0005-0000-0000-0000576D0000}"/>
    <cellStyle name="Output 2 2 5 7" xfId="31798" xr:uid="{00000000-0005-0000-0000-0000586D0000}"/>
    <cellStyle name="Output 2 2 6" xfId="31799" xr:uid="{00000000-0005-0000-0000-0000596D0000}"/>
    <cellStyle name="Output 2 2 6 2" xfId="31800" xr:uid="{00000000-0005-0000-0000-00005A6D0000}"/>
    <cellStyle name="Output 2 2 6 2 2" xfId="14793" xr:uid="{00000000-0005-0000-0000-00005B6D0000}"/>
    <cellStyle name="Output 2 2 6 2 3" xfId="14795" xr:uid="{00000000-0005-0000-0000-00005C6D0000}"/>
    <cellStyle name="Output 2 2 6 2 4" xfId="29577" xr:uid="{00000000-0005-0000-0000-00005D6D0000}"/>
    <cellStyle name="Output 2 2 6 3" xfId="1754" xr:uid="{00000000-0005-0000-0000-00005E6D0000}"/>
    <cellStyle name="Output 2 2 6 3 2" xfId="14826" xr:uid="{00000000-0005-0000-0000-00005F6D0000}"/>
    <cellStyle name="Output 2 2 6 3 3" xfId="14829" xr:uid="{00000000-0005-0000-0000-0000606D0000}"/>
    <cellStyle name="Output 2 2 6 3 4" xfId="25627" xr:uid="{00000000-0005-0000-0000-0000616D0000}"/>
    <cellStyle name="Output 2 2 6 4" xfId="6887" xr:uid="{00000000-0005-0000-0000-0000626D0000}"/>
    <cellStyle name="Output 2 2 6 4 2" xfId="14866" xr:uid="{00000000-0005-0000-0000-0000636D0000}"/>
    <cellStyle name="Output 2 2 6 4 3" xfId="14868" xr:uid="{00000000-0005-0000-0000-0000646D0000}"/>
    <cellStyle name="Output 2 2 6 5" xfId="3079" xr:uid="{00000000-0005-0000-0000-0000656D0000}"/>
    <cellStyle name="Output 2 2 6 5 2" xfId="8849" xr:uid="{00000000-0005-0000-0000-0000666D0000}"/>
    <cellStyle name="Output 2 2 6 5 3" xfId="14894" xr:uid="{00000000-0005-0000-0000-0000676D0000}"/>
    <cellStyle name="Output 2 2 6 6" xfId="3084" xr:uid="{00000000-0005-0000-0000-0000686D0000}"/>
    <cellStyle name="Output 2 2 6 6 2" xfId="14914" xr:uid="{00000000-0005-0000-0000-0000696D0000}"/>
    <cellStyle name="Output 2 2 6 6 2 2" xfId="31801" xr:uid="{00000000-0005-0000-0000-00006A6D0000}"/>
    <cellStyle name="Output 2 2 6 7" xfId="3087" xr:uid="{00000000-0005-0000-0000-00006B6D0000}"/>
    <cellStyle name="Output 2 2 7" xfId="31802" xr:uid="{00000000-0005-0000-0000-00006C6D0000}"/>
    <cellStyle name="Output 2 2 7 2" xfId="31803" xr:uid="{00000000-0005-0000-0000-00006D6D0000}"/>
    <cellStyle name="Output 2 2 7 2 2" xfId="561" xr:uid="{00000000-0005-0000-0000-00006E6D0000}"/>
    <cellStyle name="Output 2 2 7 2 3" xfId="1130" xr:uid="{00000000-0005-0000-0000-00006F6D0000}"/>
    <cellStyle name="Output 2 2 7 2 4" xfId="29593" xr:uid="{00000000-0005-0000-0000-0000706D0000}"/>
    <cellStyle name="Output 2 2 7 3" xfId="847" xr:uid="{00000000-0005-0000-0000-0000716D0000}"/>
    <cellStyle name="Output 2 2 7 3 2" xfId="5329" xr:uid="{00000000-0005-0000-0000-0000726D0000}"/>
    <cellStyle name="Output 2 2 7 3 3" xfId="5333" xr:uid="{00000000-0005-0000-0000-0000736D0000}"/>
    <cellStyle name="Output 2 2 7 3 4" xfId="31804" xr:uid="{00000000-0005-0000-0000-0000746D0000}"/>
    <cellStyle name="Output 2 2 7 4" xfId="874" xr:uid="{00000000-0005-0000-0000-0000756D0000}"/>
    <cellStyle name="Output 2 2 7 4 2" xfId="9234" xr:uid="{00000000-0005-0000-0000-0000766D0000}"/>
    <cellStyle name="Output 2 2 7 4 3" xfId="9236" xr:uid="{00000000-0005-0000-0000-0000776D0000}"/>
    <cellStyle name="Output 2 2 7 5" xfId="879" xr:uid="{00000000-0005-0000-0000-0000786D0000}"/>
    <cellStyle name="Output 2 2 7 5 2" xfId="19329" xr:uid="{00000000-0005-0000-0000-0000796D0000}"/>
    <cellStyle name="Output 2 2 7 5 3" xfId="19331" xr:uid="{00000000-0005-0000-0000-00007A6D0000}"/>
    <cellStyle name="Output 2 2 7 6" xfId="31805" xr:uid="{00000000-0005-0000-0000-00007B6D0000}"/>
    <cellStyle name="Output 2 2 7 6 2" xfId="19346" xr:uid="{00000000-0005-0000-0000-00007C6D0000}"/>
    <cellStyle name="Output 2 2 7 6 2 2" xfId="31806" xr:uid="{00000000-0005-0000-0000-00007D6D0000}"/>
    <cellStyle name="Output 2 2 7 7" xfId="892" xr:uid="{00000000-0005-0000-0000-00007E6D0000}"/>
    <cellStyle name="Output 2 2 8" xfId="31807" xr:uid="{00000000-0005-0000-0000-00007F6D0000}"/>
    <cellStyle name="Output 2 2 8 2" xfId="31808" xr:uid="{00000000-0005-0000-0000-0000806D0000}"/>
    <cellStyle name="Output 2 2 8 2 2" xfId="5566" xr:uid="{00000000-0005-0000-0000-0000816D0000}"/>
    <cellStyle name="Output 2 2 8 2 3" xfId="5569" xr:uid="{00000000-0005-0000-0000-0000826D0000}"/>
    <cellStyle name="Output 2 2 8 2 4" xfId="31809" xr:uid="{00000000-0005-0000-0000-0000836D0000}"/>
    <cellStyle name="Output 2 2 8 3" xfId="7226" xr:uid="{00000000-0005-0000-0000-0000846D0000}"/>
    <cellStyle name="Output 2 2 8 3 2" xfId="5588" xr:uid="{00000000-0005-0000-0000-0000856D0000}"/>
    <cellStyle name="Output 2 2 8 3 3" xfId="5591" xr:uid="{00000000-0005-0000-0000-0000866D0000}"/>
    <cellStyle name="Output 2 2 8 3 4" xfId="31810" xr:uid="{00000000-0005-0000-0000-0000876D0000}"/>
    <cellStyle name="Output 2 2 8 4" xfId="6274" xr:uid="{00000000-0005-0000-0000-0000886D0000}"/>
    <cellStyle name="Output 2 2 8 4 2" xfId="31811" xr:uid="{00000000-0005-0000-0000-0000896D0000}"/>
    <cellStyle name="Output 2 2 8 4 3" xfId="31812" xr:uid="{00000000-0005-0000-0000-00008A6D0000}"/>
    <cellStyle name="Output 2 2 8 5" xfId="3099" xr:uid="{00000000-0005-0000-0000-00008B6D0000}"/>
    <cellStyle name="Output 2 2 8 5 2" xfId="19508" xr:uid="{00000000-0005-0000-0000-00008C6D0000}"/>
    <cellStyle name="Output 2 2 8 5 3" xfId="19511" xr:uid="{00000000-0005-0000-0000-00008D6D0000}"/>
    <cellStyle name="Output 2 2 8 6" xfId="31813" xr:uid="{00000000-0005-0000-0000-00008E6D0000}"/>
    <cellStyle name="Output 2 2 8 6 2" xfId="19526" xr:uid="{00000000-0005-0000-0000-00008F6D0000}"/>
    <cellStyle name="Output 2 2 8 6 2 2" xfId="31815" xr:uid="{00000000-0005-0000-0000-0000906D0000}"/>
    <cellStyle name="Output 2 2 8 7" xfId="3233" xr:uid="{00000000-0005-0000-0000-0000916D0000}"/>
    <cellStyle name="Output 2 2 9" xfId="31816" xr:uid="{00000000-0005-0000-0000-0000926D0000}"/>
    <cellStyle name="Output 2 2 9 2" xfId="31817" xr:uid="{00000000-0005-0000-0000-0000936D0000}"/>
    <cellStyle name="Output 2 2 9 2 2" xfId="31818" xr:uid="{00000000-0005-0000-0000-0000946D0000}"/>
    <cellStyle name="Output 2 2 9 2 3" xfId="21054" xr:uid="{00000000-0005-0000-0000-0000956D0000}"/>
    <cellStyle name="Output 2 2 9 2 4" xfId="31819" xr:uid="{00000000-0005-0000-0000-0000966D0000}"/>
    <cellStyle name="Output 2 2 9 3" xfId="294" xr:uid="{00000000-0005-0000-0000-0000976D0000}"/>
    <cellStyle name="Output 2 2 9 3 2" xfId="31820" xr:uid="{00000000-0005-0000-0000-0000986D0000}"/>
    <cellStyle name="Output 2 2 9 3 3" xfId="31821" xr:uid="{00000000-0005-0000-0000-0000996D0000}"/>
    <cellStyle name="Output 2 2 9 3 4" xfId="31822" xr:uid="{00000000-0005-0000-0000-00009A6D0000}"/>
    <cellStyle name="Output 2 2 9 4" xfId="31823" xr:uid="{00000000-0005-0000-0000-00009B6D0000}"/>
    <cellStyle name="Output 2 2 9 4 2" xfId="31824" xr:uid="{00000000-0005-0000-0000-00009C6D0000}"/>
    <cellStyle name="Output 2 2 9 4 3" xfId="31825" xr:uid="{00000000-0005-0000-0000-00009D6D0000}"/>
    <cellStyle name="Output 2 2 9 5" xfId="31826" xr:uid="{00000000-0005-0000-0000-00009E6D0000}"/>
    <cellStyle name="Output 2 2 9 5 2" xfId="23571" xr:uid="{00000000-0005-0000-0000-00009F6D0000}"/>
    <cellStyle name="Output 2 2 9 5 3" xfId="23574" xr:uid="{00000000-0005-0000-0000-0000A06D0000}"/>
    <cellStyle name="Output 2 2 9 6" xfId="31827" xr:uid="{00000000-0005-0000-0000-0000A16D0000}"/>
    <cellStyle name="Output 2 2 9 6 2" xfId="31828" xr:uid="{00000000-0005-0000-0000-0000A26D0000}"/>
    <cellStyle name="Output 2 2 9 6 2 2" xfId="31830" xr:uid="{00000000-0005-0000-0000-0000A36D0000}"/>
    <cellStyle name="Output 2 2 9 7" xfId="3248" xr:uid="{00000000-0005-0000-0000-0000A46D0000}"/>
    <cellStyle name="Output 2 20" xfId="14943" xr:uid="{00000000-0005-0000-0000-0000A56D0000}"/>
    <cellStyle name="Output 2 20 2" xfId="14946" xr:uid="{00000000-0005-0000-0000-0000A66D0000}"/>
    <cellStyle name="Output 2 20 2 2" xfId="31312" xr:uid="{00000000-0005-0000-0000-0000A76D0000}"/>
    <cellStyle name="Output 2 20 2 3" xfId="31318" xr:uid="{00000000-0005-0000-0000-0000A86D0000}"/>
    <cellStyle name="Output 2 20 2 4" xfId="31325" xr:uid="{00000000-0005-0000-0000-0000A96D0000}"/>
    <cellStyle name="Output 2 20 3" xfId="14950" xr:uid="{00000000-0005-0000-0000-0000AA6D0000}"/>
    <cellStyle name="Output 2 20 3 2" xfId="931" xr:uid="{00000000-0005-0000-0000-0000AB6D0000}"/>
    <cellStyle name="Output 2 20 3 3" xfId="938" xr:uid="{00000000-0005-0000-0000-0000AC6D0000}"/>
    <cellStyle name="Output 2 20 3 4" xfId="957" xr:uid="{00000000-0005-0000-0000-0000AD6D0000}"/>
    <cellStyle name="Output 2 20 4" xfId="14955" xr:uid="{00000000-0005-0000-0000-0000AE6D0000}"/>
    <cellStyle name="Output 2 20 4 2" xfId="31336" xr:uid="{00000000-0005-0000-0000-0000AF6D0000}"/>
    <cellStyle name="Output 2 20 4 3" xfId="26215" xr:uid="{00000000-0005-0000-0000-0000B06D0000}"/>
    <cellStyle name="Output 2 20 5" xfId="24172" xr:uid="{00000000-0005-0000-0000-0000B16D0000}"/>
    <cellStyle name="Output 2 20 5 2" xfId="31349" xr:uid="{00000000-0005-0000-0000-0000B26D0000}"/>
    <cellStyle name="Output 2 20 5 3" xfId="31353" xr:uid="{00000000-0005-0000-0000-0000B36D0000}"/>
    <cellStyle name="Output 2 20 6" xfId="24175" xr:uid="{00000000-0005-0000-0000-0000B46D0000}"/>
    <cellStyle name="Output 2 20 7" xfId="31362" xr:uid="{00000000-0005-0000-0000-0000B56D0000}"/>
    <cellStyle name="Output 2 20 8" xfId="31369" xr:uid="{00000000-0005-0000-0000-0000B66D0000}"/>
    <cellStyle name="Output 2 21" xfId="14959" xr:uid="{00000000-0005-0000-0000-0000B76D0000}"/>
    <cellStyle name="Output 2 21 2" xfId="14962" xr:uid="{00000000-0005-0000-0000-0000B86D0000}"/>
    <cellStyle name="Output 2 21 2 2" xfId="31414" xr:uid="{00000000-0005-0000-0000-0000B96D0000}"/>
    <cellStyle name="Output 2 21 2 3" xfId="31420" xr:uid="{00000000-0005-0000-0000-0000BA6D0000}"/>
    <cellStyle name="Output 2 21 2 4" xfId="31426" xr:uid="{00000000-0005-0000-0000-0000BB6D0000}"/>
    <cellStyle name="Output 2 21 3" xfId="14966" xr:uid="{00000000-0005-0000-0000-0000BC6D0000}"/>
    <cellStyle name="Output 2 21 3 2" xfId="1208" xr:uid="{00000000-0005-0000-0000-0000BD6D0000}"/>
    <cellStyle name="Output 2 21 3 3" xfId="1213" xr:uid="{00000000-0005-0000-0000-0000BE6D0000}"/>
    <cellStyle name="Output 2 21 3 4" xfId="218" xr:uid="{00000000-0005-0000-0000-0000BF6D0000}"/>
    <cellStyle name="Output 2 21 4" xfId="14971" xr:uid="{00000000-0005-0000-0000-0000C06D0000}"/>
    <cellStyle name="Output 2 21 4 2" xfId="31440" xr:uid="{00000000-0005-0000-0000-0000C16D0000}"/>
    <cellStyle name="Output 2 21 4 3" xfId="26218" xr:uid="{00000000-0005-0000-0000-0000C26D0000}"/>
    <cellStyle name="Output 2 21 5" xfId="24179" xr:uid="{00000000-0005-0000-0000-0000C36D0000}"/>
    <cellStyle name="Output 2 21 5 2" xfId="31451" xr:uid="{00000000-0005-0000-0000-0000C46D0000}"/>
    <cellStyle name="Output 2 21 5 3" xfId="31455" xr:uid="{00000000-0005-0000-0000-0000C56D0000}"/>
    <cellStyle name="Output 2 21 6" xfId="24182" xr:uid="{00000000-0005-0000-0000-0000C66D0000}"/>
    <cellStyle name="Output 2 21 7" xfId="31478" xr:uid="{00000000-0005-0000-0000-0000C76D0000}"/>
    <cellStyle name="Output 2 21 8" xfId="31490" xr:uid="{00000000-0005-0000-0000-0000C86D0000}"/>
    <cellStyle name="Output 2 22" xfId="14974" xr:uid="{00000000-0005-0000-0000-0000C96D0000}"/>
    <cellStyle name="Output 2 22 2" xfId="14977" xr:uid="{00000000-0005-0000-0000-0000CA6D0000}"/>
    <cellStyle name="Output 2 22 2 2" xfId="31524" xr:uid="{00000000-0005-0000-0000-0000CB6D0000}"/>
    <cellStyle name="Output 2 22 2 3" xfId="31527" xr:uid="{00000000-0005-0000-0000-0000CC6D0000}"/>
    <cellStyle name="Output 2 22 2 4" xfId="31530" xr:uid="{00000000-0005-0000-0000-0000CD6D0000}"/>
    <cellStyle name="Output 2 22 3" xfId="14981" xr:uid="{00000000-0005-0000-0000-0000CE6D0000}"/>
    <cellStyle name="Output 2 22 3 2" xfId="31532" xr:uid="{00000000-0005-0000-0000-0000CF6D0000}"/>
    <cellStyle name="Output 2 22 3 3" xfId="31535" xr:uid="{00000000-0005-0000-0000-0000D06D0000}"/>
    <cellStyle name="Output 2 22 3 4" xfId="31538" xr:uid="{00000000-0005-0000-0000-0000D16D0000}"/>
    <cellStyle name="Output 2 22 4" xfId="24186" xr:uid="{00000000-0005-0000-0000-0000D26D0000}"/>
    <cellStyle name="Output 2 22 4 2" xfId="31540" xr:uid="{00000000-0005-0000-0000-0000D36D0000}"/>
    <cellStyle name="Output 2 22 4 3" xfId="31543" xr:uid="{00000000-0005-0000-0000-0000D46D0000}"/>
    <cellStyle name="Output 2 22 5" xfId="24189" xr:uid="{00000000-0005-0000-0000-0000D56D0000}"/>
    <cellStyle name="Output 2 22 5 2" xfId="31545" xr:uid="{00000000-0005-0000-0000-0000D66D0000}"/>
    <cellStyle name="Output 2 22 5 3" xfId="31548" xr:uid="{00000000-0005-0000-0000-0000D76D0000}"/>
    <cellStyle name="Output 2 22 6" xfId="31550" xr:uid="{00000000-0005-0000-0000-0000D86D0000}"/>
    <cellStyle name="Output 2 22 7" xfId="31552" xr:uid="{00000000-0005-0000-0000-0000D96D0000}"/>
    <cellStyle name="Output 2 22 8" xfId="31554" xr:uid="{00000000-0005-0000-0000-0000DA6D0000}"/>
    <cellStyle name="Output 2 23" xfId="14985" xr:uid="{00000000-0005-0000-0000-0000DB6D0000}"/>
    <cellStyle name="Output 2 23 2" xfId="14988" xr:uid="{00000000-0005-0000-0000-0000DC6D0000}"/>
    <cellStyle name="Output 2 23 2 2" xfId="25781" xr:uid="{00000000-0005-0000-0000-0000DD6D0000}"/>
    <cellStyle name="Output 2 23 2 3" xfId="25785" xr:uid="{00000000-0005-0000-0000-0000DE6D0000}"/>
    <cellStyle name="Output 2 23 2 4" xfId="25789" xr:uid="{00000000-0005-0000-0000-0000DF6D0000}"/>
    <cellStyle name="Output 2 23 3" xfId="14994" xr:uid="{00000000-0005-0000-0000-0000E06D0000}"/>
    <cellStyle name="Output 2 23 3 2" xfId="25792" xr:uid="{00000000-0005-0000-0000-0000E16D0000}"/>
    <cellStyle name="Output 2 23 3 3" xfId="25796" xr:uid="{00000000-0005-0000-0000-0000E26D0000}"/>
    <cellStyle name="Output 2 23 3 4" xfId="25800" xr:uid="{00000000-0005-0000-0000-0000E36D0000}"/>
    <cellStyle name="Output 2 23 4" xfId="24194" xr:uid="{00000000-0005-0000-0000-0000E46D0000}"/>
    <cellStyle name="Output 2 23 4 2" xfId="25803" xr:uid="{00000000-0005-0000-0000-0000E56D0000}"/>
    <cellStyle name="Output 2 23 4 3" xfId="129" xr:uid="{00000000-0005-0000-0000-0000E66D0000}"/>
    <cellStyle name="Output 2 23 5" xfId="24198" xr:uid="{00000000-0005-0000-0000-0000E76D0000}"/>
    <cellStyle name="Output 2 23 5 2" xfId="25807" xr:uid="{00000000-0005-0000-0000-0000E86D0000}"/>
    <cellStyle name="Output 2 23 5 3" xfId="25811" xr:uid="{00000000-0005-0000-0000-0000E96D0000}"/>
    <cellStyle name="Output 2 23 6" xfId="22954" xr:uid="{00000000-0005-0000-0000-0000EA6D0000}"/>
    <cellStyle name="Output 2 23 7" xfId="22958" xr:uid="{00000000-0005-0000-0000-0000EB6D0000}"/>
    <cellStyle name="Output 2 23 8" xfId="22961" xr:uid="{00000000-0005-0000-0000-0000EC6D0000}"/>
    <cellStyle name="Output 2 24" xfId="14998" xr:uid="{00000000-0005-0000-0000-0000ED6D0000}"/>
    <cellStyle name="Output 2 24 2" xfId="25814" xr:uid="{00000000-0005-0000-0000-0000EE6D0000}"/>
    <cellStyle name="Output 2 24 2 2" xfId="31556" xr:uid="{00000000-0005-0000-0000-0000EF6D0000}"/>
    <cellStyle name="Output 2 24 2 3" xfId="31559" xr:uid="{00000000-0005-0000-0000-0000F06D0000}"/>
    <cellStyle name="Output 2 24 2 4" xfId="31562" xr:uid="{00000000-0005-0000-0000-0000F16D0000}"/>
    <cellStyle name="Output 2 24 3" xfId="25817" xr:uid="{00000000-0005-0000-0000-0000F26D0000}"/>
    <cellStyle name="Output 2 24 3 2" xfId="31564" xr:uid="{00000000-0005-0000-0000-0000F36D0000}"/>
    <cellStyle name="Output 2 24 3 3" xfId="31567" xr:uid="{00000000-0005-0000-0000-0000F46D0000}"/>
    <cellStyle name="Output 2 24 3 4" xfId="31570" xr:uid="{00000000-0005-0000-0000-0000F56D0000}"/>
    <cellStyle name="Output 2 24 4" xfId="25820" xr:uid="{00000000-0005-0000-0000-0000F66D0000}"/>
    <cellStyle name="Output 2 24 4 2" xfId="31572" xr:uid="{00000000-0005-0000-0000-0000F76D0000}"/>
    <cellStyle name="Output 2 24 4 3" xfId="31575" xr:uid="{00000000-0005-0000-0000-0000F86D0000}"/>
    <cellStyle name="Output 2 24 5" xfId="31577" xr:uid="{00000000-0005-0000-0000-0000F96D0000}"/>
    <cellStyle name="Output 2 24 5 2" xfId="31579" xr:uid="{00000000-0005-0000-0000-0000FA6D0000}"/>
    <cellStyle name="Output 2 24 5 3" xfId="31582" xr:uid="{00000000-0005-0000-0000-0000FB6D0000}"/>
    <cellStyle name="Output 2 24 6" xfId="22965" xr:uid="{00000000-0005-0000-0000-0000FC6D0000}"/>
    <cellStyle name="Output 2 24 7" xfId="22968" xr:uid="{00000000-0005-0000-0000-0000FD6D0000}"/>
    <cellStyle name="Output 2 24 8" xfId="22971" xr:uid="{00000000-0005-0000-0000-0000FE6D0000}"/>
    <cellStyle name="Output 2 25" xfId="15002" xr:uid="{00000000-0005-0000-0000-0000FF6D0000}"/>
    <cellStyle name="Output 2 25 2" xfId="25822" xr:uid="{00000000-0005-0000-0000-0000006E0000}"/>
    <cellStyle name="Output 2 25 2 2" xfId="31831" xr:uid="{00000000-0005-0000-0000-0000016E0000}"/>
    <cellStyle name="Output 2 25 2 3" xfId="31832" xr:uid="{00000000-0005-0000-0000-0000026E0000}"/>
    <cellStyle name="Output 2 25 2 4" xfId="31833" xr:uid="{00000000-0005-0000-0000-0000036E0000}"/>
    <cellStyle name="Output 2 25 3" xfId="25825" xr:uid="{00000000-0005-0000-0000-0000046E0000}"/>
    <cellStyle name="Output 2 25 3 2" xfId="31834" xr:uid="{00000000-0005-0000-0000-0000056E0000}"/>
    <cellStyle name="Output 2 25 3 3" xfId="31835" xr:uid="{00000000-0005-0000-0000-0000066E0000}"/>
    <cellStyle name="Output 2 25 3 4" xfId="31836" xr:uid="{00000000-0005-0000-0000-0000076E0000}"/>
    <cellStyle name="Output 2 25 4" xfId="25828" xr:uid="{00000000-0005-0000-0000-0000086E0000}"/>
    <cellStyle name="Output 2 25 4 2" xfId="31837" xr:uid="{00000000-0005-0000-0000-0000096E0000}"/>
    <cellStyle name="Output 2 25 4 3" xfId="31838" xr:uid="{00000000-0005-0000-0000-00000A6E0000}"/>
    <cellStyle name="Output 2 25 5" xfId="31839" xr:uid="{00000000-0005-0000-0000-00000B6E0000}"/>
    <cellStyle name="Output 2 25 5 2" xfId="31840" xr:uid="{00000000-0005-0000-0000-00000C6E0000}"/>
    <cellStyle name="Output 2 25 5 3" xfId="31841" xr:uid="{00000000-0005-0000-0000-00000D6E0000}"/>
    <cellStyle name="Output 2 25 6" xfId="22974" xr:uid="{00000000-0005-0000-0000-00000E6E0000}"/>
    <cellStyle name="Output 2 25 7" xfId="22976" xr:uid="{00000000-0005-0000-0000-00000F6E0000}"/>
    <cellStyle name="Output 2 25 8" xfId="31842" xr:uid="{00000000-0005-0000-0000-0000106E0000}"/>
    <cellStyle name="Output 2 26" xfId="25831" xr:uid="{00000000-0005-0000-0000-0000116E0000}"/>
    <cellStyle name="Output 2 26 2" xfId="25834" xr:uid="{00000000-0005-0000-0000-0000126E0000}"/>
    <cellStyle name="Output 2 26 3" xfId="25836" xr:uid="{00000000-0005-0000-0000-0000136E0000}"/>
    <cellStyle name="Output 2 26 4" xfId="31843" xr:uid="{00000000-0005-0000-0000-0000146E0000}"/>
    <cellStyle name="Output 2 26 5" xfId="31844" xr:uid="{00000000-0005-0000-0000-0000156E0000}"/>
    <cellStyle name="Output 2 27" xfId="25839" xr:uid="{00000000-0005-0000-0000-0000166E0000}"/>
    <cellStyle name="Output 2 27 2" xfId="25842" xr:uid="{00000000-0005-0000-0000-0000176E0000}"/>
    <cellStyle name="Output 2 27 3" xfId="25844" xr:uid="{00000000-0005-0000-0000-0000186E0000}"/>
    <cellStyle name="Output 2 27 4" xfId="31845" xr:uid="{00000000-0005-0000-0000-0000196E0000}"/>
    <cellStyle name="Output 2 27 5" xfId="31846" xr:uid="{00000000-0005-0000-0000-00001A6E0000}"/>
    <cellStyle name="Output 2 28" xfId="25846" xr:uid="{00000000-0005-0000-0000-00001B6E0000}"/>
    <cellStyle name="Output 2 28 2" xfId="31847" xr:uid="{00000000-0005-0000-0000-00001C6E0000}"/>
    <cellStyle name="Output 2 28 3" xfId="31848" xr:uid="{00000000-0005-0000-0000-00001D6E0000}"/>
    <cellStyle name="Output 2 28 4" xfId="31849" xr:uid="{00000000-0005-0000-0000-00001E6E0000}"/>
    <cellStyle name="Output 2 29" xfId="25849" xr:uid="{00000000-0005-0000-0000-00001F6E0000}"/>
    <cellStyle name="Output 2 29 2" xfId="31850" xr:uid="{00000000-0005-0000-0000-0000206E0000}"/>
    <cellStyle name="Output 2 29 3" xfId="31851" xr:uid="{00000000-0005-0000-0000-0000216E0000}"/>
    <cellStyle name="Output 2 29 4" xfId="31852" xr:uid="{00000000-0005-0000-0000-0000226E0000}"/>
    <cellStyle name="Output 2 3" xfId="29015" xr:uid="{00000000-0005-0000-0000-0000236E0000}"/>
    <cellStyle name="Output 2 3 10" xfId="19605" xr:uid="{00000000-0005-0000-0000-0000246E0000}"/>
    <cellStyle name="Output 2 3 10 2" xfId="31853" xr:uid="{00000000-0005-0000-0000-0000256E0000}"/>
    <cellStyle name="Output 2 3 10 2 2" xfId="31854" xr:uid="{00000000-0005-0000-0000-0000266E0000}"/>
    <cellStyle name="Output 2 3 10 2 3" xfId="31855" xr:uid="{00000000-0005-0000-0000-0000276E0000}"/>
    <cellStyle name="Output 2 3 10 2 4" xfId="31856" xr:uid="{00000000-0005-0000-0000-0000286E0000}"/>
    <cellStyle name="Output 2 3 10 3" xfId="25059" xr:uid="{00000000-0005-0000-0000-0000296E0000}"/>
    <cellStyle name="Output 2 3 10 3 2" xfId="25061" xr:uid="{00000000-0005-0000-0000-00002A6E0000}"/>
    <cellStyle name="Output 2 3 10 3 3" xfId="25063" xr:uid="{00000000-0005-0000-0000-00002B6E0000}"/>
    <cellStyle name="Output 2 3 10 3 4" xfId="25065" xr:uid="{00000000-0005-0000-0000-00002C6E0000}"/>
    <cellStyle name="Output 2 3 10 4" xfId="25068" xr:uid="{00000000-0005-0000-0000-00002D6E0000}"/>
    <cellStyle name="Output 2 3 10 4 2" xfId="25070" xr:uid="{00000000-0005-0000-0000-00002E6E0000}"/>
    <cellStyle name="Output 2 3 10 4 3" xfId="25072" xr:uid="{00000000-0005-0000-0000-00002F6E0000}"/>
    <cellStyle name="Output 2 3 10 5" xfId="25076" xr:uid="{00000000-0005-0000-0000-0000306E0000}"/>
    <cellStyle name="Output 2 3 10 5 2" xfId="25078" xr:uid="{00000000-0005-0000-0000-0000316E0000}"/>
    <cellStyle name="Output 2 3 10 5 3" xfId="25080" xr:uid="{00000000-0005-0000-0000-0000326E0000}"/>
    <cellStyle name="Output 2 3 10 6" xfId="19154" xr:uid="{00000000-0005-0000-0000-0000336E0000}"/>
    <cellStyle name="Output 2 3 10 7" xfId="19157" xr:uid="{00000000-0005-0000-0000-0000346E0000}"/>
    <cellStyle name="Output 2 3 11" xfId="27585" xr:uid="{00000000-0005-0000-0000-0000356E0000}"/>
    <cellStyle name="Output 2 3 11 2" xfId="31857" xr:uid="{00000000-0005-0000-0000-0000366E0000}"/>
    <cellStyle name="Output 2 3 11 2 2" xfId="31858" xr:uid="{00000000-0005-0000-0000-0000376E0000}"/>
    <cellStyle name="Output 2 3 11 2 3" xfId="31859" xr:uid="{00000000-0005-0000-0000-0000386E0000}"/>
    <cellStyle name="Output 2 3 11 2 4" xfId="31860" xr:uid="{00000000-0005-0000-0000-0000396E0000}"/>
    <cellStyle name="Output 2 3 11 3" xfId="25083" xr:uid="{00000000-0005-0000-0000-00003A6E0000}"/>
    <cellStyle name="Output 2 3 11 3 2" xfId="31861" xr:uid="{00000000-0005-0000-0000-00003B6E0000}"/>
    <cellStyle name="Output 2 3 11 3 3" xfId="31862" xr:uid="{00000000-0005-0000-0000-00003C6E0000}"/>
    <cellStyle name="Output 2 3 11 3 4" xfId="31863" xr:uid="{00000000-0005-0000-0000-00003D6E0000}"/>
    <cellStyle name="Output 2 3 11 4" xfId="25086" xr:uid="{00000000-0005-0000-0000-00003E6E0000}"/>
    <cellStyle name="Output 2 3 11 4 2" xfId="31864" xr:uid="{00000000-0005-0000-0000-00003F6E0000}"/>
    <cellStyle name="Output 2 3 11 4 3" xfId="31865" xr:uid="{00000000-0005-0000-0000-0000406E0000}"/>
    <cellStyle name="Output 2 3 11 5" xfId="25089" xr:uid="{00000000-0005-0000-0000-0000416E0000}"/>
    <cellStyle name="Output 2 3 11 5 2" xfId="31866" xr:uid="{00000000-0005-0000-0000-0000426E0000}"/>
    <cellStyle name="Output 2 3 11 5 3" xfId="31867" xr:uid="{00000000-0005-0000-0000-0000436E0000}"/>
    <cellStyle name="Output 2 3 11 6" xfId="19164" xr:uid="{00000000-0005-0000-0000-0000446E0000}"/>
    <cellStyle name="Output 2 3 11 7" xfId="19166" xr:uid="{00000000-0005-0000-0000-0000456E0000}"/>
    <cellStyle name="Output 2 3 12" xfId="12780" xr:uid="{00000000-0005-0000-0000-0000466E0000}"/>
    <cellStyle name="Output 2 3 12 2" xfId="31868" xr:uid="{00000000-0005-0000-0000-0000476E0000}"/>
    <cellStyle name="Output 2 3 12 3" xfId="25092" xr:uid="{00000000-0005-0000-0000-0000486E0000}"/>
    <cellStyle name="Output 2 3 12 4" xfId="25094" xr:uid="{00000000-0005-0000-0000-0000496E0000}"/>
    <cellStyle name="Output 2 3 13" xfId="12783" xr:uid="{00000000-0005-0000-0000-00004A6E0000}"/>
    <cellStyle name="Output 2 3 13 2" xfId="31869" xr:uid="{00000000-0005-0000-0000-00004B6E0000}"/>
    <cellStyle name="Output 2 3 13 3" xfId="25098" xr:uid="{00000000-0005-0000-0000-00004C6E0000}"/>
    <cellStyle name="Output 2 3 13 4" xfId="25100" xr:uid="{00000000-0005-0000-0000-00004D6E0000}"/>
    <cellStyle name="Output 2 3 14" xfId="31870" xr:uid="{00000000-0005-0000-0000-00004E6E0000}"/>
    <cellStyle name="Output 2 3 14 2" xfId="31871" xr:uid="{00000000-0005-0000-0000-00004F6E0000}"/>
    <cellStyle name="Output 2 3 14 3" xfId="25103" xr:uid="{00000000-0005-0000-0000-0000506E0000}"/>
    <cellStyle name="Output 2 3 15" xfId="28208" xr:uid="{00000000-0005-0000-0000-0000516E0000}"/>
    <cellStyle name="Output 2 3 15 2" xfId="19634" xr:uid="{00000000-0005-0000-0000-0000526E0000}"/>
    <cellStyle name="Output 2 3 15 3" xfId="19636" xr:uid="{00000000-0005-0000-0000-0000536E0000}"/>
    <cellStyle name="Output 2 3 16" xfId="28210" xr:uid="{00000000-0005-0000-0000-0000546E0000}"/>
    <cellStyle name="Output 2 3 16 2" xfId="19640" xr:uid="{00000000-0005-0000-0000-0000556E0000}"/>
    <cellStyle name="Output 2 3 16 2 2" xfId="3643" xr:uid="{00000000-0005-0000-0000-0000566E0000}"/>
    <cellStyle name="Output 2 3 17" xfId="31872" xr:uid="{00000000-0005-0000-0000-0000576E0000}"/>
    <cellStyle name="Output 2 3 18" xfId="31873" xr:uid="{00000000-0005-0000-0000-0000586E0000}"/>
    <cellStyle name="Output 2 3 19" xfId="31874" xr:uid="{00000000-0005-0000-0000-0000596E0000}"/>
    <cellStyle name="Output 2 3 2" xfId="31085" xr:uid="{00000000-0005-0000-0000-00005A6E0000}"/>
    <cellStyle name="Output 2 3 2 10" xfId="17569" xr:uid="{00000000-0005-0000-0000-00005B6E0000}"/>
    <cellStyle name="Output 2 3 2 10 2" xfId="7059" xr:uid="{00000000-0005-0000-0000-00005C6E0000}"/>
    <cellStyle name="Output 2 3 2 10 2 2" xfId="17572" xr:uid="{00000000-0005-0000-0000-00005D6E0000}"/>
    <cellStyle name="Output 2 3 2 10 2 3" xfId="17574" xr:uid="{00000000-0005-0000-0000-00005E6E0000}"/>
    <cellStyle name="Output 2 3 2 10 2 4" xfId="17577" xr:uid="{00000000-0005-0000-0000-00005F6E0000}"/>
    <cellStyle name="Output 2 3 2 10 3" xfId="17581" xr:uid="{00000000-0005-0000-0000-0000606E0000}"/>
    <cellStyle name="Output 2 3 2 10 3 2" xfId="17584" xr:uid="{00000000-0005-0000-0000-0000616E0000}"/>
    <cellStyle name="Output 2 3 2 10 3 3" xfId="17586" xr:uid="{00000000-0005-0000-0000-0000626E0000}"/>
    <cellStyle name="Output 2 3 2 10 3 4" xfId="17589" xr:uid="{00000000-0005-0000-0000-0000636E0000}"/>
    <cellStyle name="Output 2 3 2 10 4" xfId="17592" xr:uid="{00000000-0005-0000-0000-0000646E0000}"/>
    <cellStyle name="Output 2 3 2 10 4 2" xfId="17595" xr:uid="{00000000-0005-0000-0000-0000656E0000}"/>
    <cellStyle name="Output 2 3 2 10 4 3" xfId="17597" xr:uid="{00000000-0005-0000-0000-0000666E0000}"/>
    <cellStyle name="Output 2 3 2 10 5" xfId="17600" xr:uid="{00000000-0005-0000-0000-0000676E0000}"/>
    <cellStyle name="Output 2 3 2 10 5 2" xfId="17603" xr:uid="{00000000-0005-0000-0000-0000686E0000}"/>
    <cellStyle name="Output 2 3 2 10 5 3" xfId="17606" xr:uid="{00000000-0005-0000-0000-0000696E0000}"/>
    <cellStyle name="Output 2 3 2 10 6" xfId="17610" xr:uid="{00000000-0005-0000-0000-00006A6E0000}"/>
    <cellStyle name="Output 2 3 2 10 7" xfId="17615" xr:uid="{00000000-0005-0000-0000-00006B6E0000}"/>
    <cellStyle name="Output 2 3 2 11" xfId="13249" xr:uid="{00000000-0005-0000-0000-00006C6E0000}"/>
    <cellStyle name="Output 2 3 2 11 2" xfId="7093" xr:uid="{00000000-0005-0000-0000-00006D6E0000}"/>
    <cellStyle name="Output 2 3 2 11 3" xfId="17622" xr:uid="{00000000-0005-0000-0000-00006E6E0000}"/>
    <cellStyle name="Output 2 3 2 11 4" xfId="17629" xr:uid="{00000000-0005-0000-0000-00006F6E0000}"/>
    <cellStyle name="Output 2 3 2 12" xfId="13254" xr:uid="{00000000-0005-0000-0000-0000706E0000}"/>
    <cellStyle name="Output 2 3 2 12 2" xfId="7111" xr:uid="{00000000-0005-0000-0000-0000716E0000}"/>
    <cellStyle name="Output 2 3 2 12 3" xfId="17647" xr:uid="{00000000-0005-0000-0000-0000726E0000}"/>
    <cellStyle name="Output 2 3 2 12 4" xfId="17654" xr:uid="{00000000-0005-0000-0000-0000736E0000}"/>
    <cellStyle name="Output 2 3 2 13" xfId="17671" xr:uid="{00000000-0005-0000-0000-0000746E0000}"/>
    <cellStyle name="Output 2 3 2 13 2" xfId="7129" xr:uid="{00000000-0005-0000-0000-0000756E0000}"/>
    <cellStyle name="Output 2 3 2 13 3" xfId="17677" xr:uid="{00000000-0005-0000-0000-0000766E0000}"/>
    <cellStyle name="Output 2 3 2 14" xfId="10277" xr:uid="{00000000-0005-0000-0000-0000776E0000}"/>
    <cellStyle name="Output 2 3 2 14 2" xfId="2593" xr:uid="{00000000-0005-0000-0000-0000786E0000}"/>
    <cellStyle name="Output 2 3 2 14 3" xfId="1023" xr:uid="{00000000-0005-0000-0000-0000796E0000}"/>
    <cellStyle name="Output 2 3 2 15" xfId="10281" xr:uid="{00000000-0005-0000-0000-00007A6E0000}"/>
    <cellStyle name="Output 2 3 2 16" xfId="10285" xr:uid="{00000000-0005-0000-0000-00007B6E0000}"/>
    <cellStyle name="Output 2 3 2 17" xfId="10288" xr:uid="{00000000-0005-0000-0000-00007C6E0000}"/>
    <cellStyle name="Output 2 3 2 2" xfId="31087" xr:uid="{00000000-0005-0000-0000-00007D6E0000}"/>
    <cellStyle name="Output 2 3 2 2 2" xfId="31614" xr:uid="{00000000-0005-0000-0000-00007E6E0000}"/>
    <cellStyle name="Output 2 3 2 2 2 2" xfId="31875" xr:uid="{00000000-0005-0000-0000-00007F6E0000}"/>
    <cellStyle name="Output 2 3 2 2 2 3" xfId="31876" xr:uid="{00000000-0005-0000-0000-0000806E0000}"/>
    <cellStyle name="Output 2 3 2 2 2 4" xfId="31877" xr:uid="{00000000-0005-0000-0000-0000816E0000}"/>
    <cellStyle name="Output 2 3 2 2 3" xfId="31878" xr:uid="{00000000-0005-0000-0000-0000826E0000}"/>
    <cellStyle name="Output 2 3 2 2 3 2" xfId="31879" xr:uid="{00000000-0005-0000-0000-0000836E0000}"/>
    <cellStyle name="Output 2 3 2 2 3 3" xfId="31880" xr:uid="{00000000-0005-0000-0000-0000846E0000}"/>
    <cellStyle name="Output 2 3 2 2 3 4" xfId="31881" xr:uid="{00000000-0005-0000-0000-0000856E0000}"/>
    <cellStyle name="Output 2 3 2 2 4" xfId="31882" xr:uid="{00000000-0005-0000-0000-0000866E0000}"/>
    <cellStyle name="Output 2 3 2 2 4 2" xfId="28412" xr:uid="{00000000-0005-0000-0000-0000876E0000}"/>
    <cellStyle name="Output 2 3 2 2 4 3" xfId="31883" xr:uid="{00000000-0005-0000-0000-0000886E0000}"/>
    <cellStyle name="Output 2 3 2 2 5" xfId="16647" xr:uid="{00000000-0005-0000-0000-0000896E0000}"/>
    <cellStyle name="Output 2 3 2 2 5 2" xfId="31884" xr:uid="{00000000-0005-0000-0000-00008A6E0000}"/>
    <cellStyle name="Output 2 3 2 2 5 3" xfId="31885" xr:uid="{00000000-0005-0000-0000-00008B6E0000}"/>
    <cellStyle name="Output 2 3 2 2 6" xfId="16649" xr:uid="{00000000-0005-0000-0000-00008C6E0000}"/>
    <cellStyle name="Output 2 3 2 2 7" xfId="16652" xr:uid="{00000000-0005-0000-0000-00008D6E0000}"/>
    <cellStyle name="Output 2 3 2 3" xfId="31089" xr:uid="{00000000-0005-0000-0000-00008E6E0000}"/>
    <cellStyle name="Output 2 3 2 3 2" xfId="23907" xr:uid="{00000000-0005-0000-0000-00008F6E0000}"/>
    <cellStyle name="Output 2 3 2 3 2 2" xfId="31886" xr:uid="{00000000-0005-0000-0000-0000906E0000}"/>
    <cellStyle name="Output 2 3 2 3 2 3" xfId="31887" xr:uid="{00000000-0005-0000-0000-0000916E0000}"/>
    <cellStyle name="Output 2 3 2 3 2 4" xfId="31888" xr:uid="{00000000-0005-0000-0000-0000926E0000}"/>
    <cellStyle name="Output 2 3 2 3 3" xfId="23909" xr:uid="{00000000-0005-0000-0000-0000936E0000}"/>
    <cellStyle name="Output 2 3 2 3 3 2" xfId="31889" xr:uid="{00000000-0005-0000-0000-0000946E0000}"/>
    <cellStyle name="Output 2 3 2 3 3 3" xfId="31890" xr:uid="{00000000-0005-0000-0000-0000956E0000}"/>
    <cellStyle name="Output 2 3 2 3 3 4" xfId="31891" xr:uid="{00000000-0005-0000-0000-0000966E0000}"/>
    <cellStyle name="Output 2 3 2 3 4" xfId="31892" xr:uid="{00000000-0005-0000-0000-0000976E0000}"/>
    <cellStyle name="Output 2 3 2 3 4 2" xfId="31893" xr:uid="{00000000-0005-0000-0000-0000986E0000}"/>
    <cellStyle name="Output 2 3 2 3 4 3" xfId="31894" xr:uid="{00000000-0005-0000-0000-0000996E0000}"/>
    <cellStyle name="Output 2 3 2 3 5" xfId="11650" xr:uid="{00000000-0005-0000-0000-00009A6E0000}"/>
    <cellStyle name="Output 2 3 2 3 5 2" xfId="16994" xr:uid="{00000000-0005-0000-0000-00009B6E0000}"/>
    <cellStyle name="Output 2 3 2 3 5 3" xfId="17003" xr:uid="{00000000-0005-0000-0000-00009C6E0000}"/>
    <cellStyle name="Output 2 3 2 3 6" xfId="11654" xr:uid="{00000000-0005-0000-0000-00009D6E0000}"/>
    <cellStyle name="Output 2 3 2 3 7" xfId="11659" xr:uid="{00000000-0005-0000-0000-00009E6E0000}"/>
    <cellStyle name="Output 2 3 2 4" xfId="23232" xr:uid="{00000000-0005-0000-0000-00009F6E0000}"/>
    <cellStyle name="Output 2 3 2 4 2" xfId="23913" xr:uid="{00000000-0005-0000-0000-0000A06E0000}"/>
    <cellStyle name="Output 2 3 2 4 2 2" xfId="31895" xr:uid="{00000000-0005-0000-0000-0000A16E0000}"/>
    <cellStyle name="Output 2 3 2 4 2 3" xfId="31896" xr:uid="{00000000-0005-0000-0000-0000A26E0000}"/>
    <cellStyle name="Output 2 3 2 4 2 4" xfId="31897" xr:uid="{00000000-0005-0000-0000-0000A36E0000}"/>
    <cellStyle name="Output 2 3 2 4 3" xfId="23915" xr:uid="{00000000-0005-0000-0000-0000A46E0000}"/>
    <cellStyle name="Output 2 3 2 4 3 2" xfId="31898" xr:uid="{00000000-0005-0000-0000-0000A56E0000}"/>
    <cellStyle name="Output 2 3 2 4 3 3" xfId="31899" xr:uid="{00000000-0005-0000-0000-0000A66E0000}"/>
    <cellStyle name="Output 2 3 2 4 3 4" xfId="31900" xr:uid="{00000000-0005-0000-0000-0000A76E0000}"/>
    <cellStyle name="Output 2 3 2 4 4" xfId="31901" xr:uid="{00000000-0005-0000-0000-0000A86E0000}"/>
    <cellStyle name="Output 2 3 2 4 4 2" xfId="31902" xr:uid="{00000000-0005-0000-0000-0000A96E0000}"/>
    <cellStyle name="Output 2 3 2 4 4 3" xfId="31903" xr:uid="{00000000-0005-0000-0000-0000AA6E0000}"/>
    <cellStyle name="Output 2 3 2 4 5" xfId="11666" xr:uid="{00000000-0005-0000-0000-0000AB6E0000}"/>
    <cellStyle name="Output 2 3 2 4 5 2" xfId="31904" xr:uid="{00000000-0005-0000-0000-0000AC6E0000}"/>
    <cellStyle name="Output 2 3 2 4 5 3" xfId="31905" xr:uid="{00000000-0005-0000-0000-0000AD6E0000}"/>
    <cellStyle name="Output 2 3 2 4 6" xfId="11670" xr:uid="{00000000-0005-0000-0000-0000AE6E0000}"/>
    <cellStyle name="Output 2 3 2 4 7" xfId="11673" xr:uid="{00000000-0005-0000-0000-0000AF6E0000}"/>
    <cellStyle name="Output 2 3 2 5" xfId="23234" xr:uid="{00000000-0005-0000-0000-0000B06E0000}"/>
    <cellStyle name="Output 2 3 2 5 2" xfId="23919" xr:uid="{00000000-0005-0000-0000-0000B16E0000}"/>
    <cellStyle name="Output 2 3 2 5 2 2" xfId="31906" xr:uid="{00000000-0005-0000-0000-0000B26E0000}"/>
    <cellStyle name="Output 2 3 2 5 2 3" xfId="31907" xr:uid="{00000000-0005-0000-0000-0000B36E0000}"/>
    <cellStyle name="Output 2 3 2 5 2 4" xfId="31908" xr:uid="{00000000-0005-0000-0000-0000B46E0000}"/>
    <cellStyle name="Output 2 3 2 5 3" xfId="31909" xr:uid="{00000000-0005-0000-0000-0000B56E0000}"/>
    <cellStyle name="Output 2 3 2 5 3 2" xfId="31910" xr:uid="{00000000-0005-0000-0000-0000B66E0000}"/>
    <cellStyle name="Output 2 3 2 5 3 3" xfId="31911" xr:uid="{00000000-0005-0000-0000-0000B76E0000}"/>
    <cellStyle name="Output 2 3 2 5 3 4" xfId="31912" xr:uid="{00000000-0005-0000-0000-0000B86E0000}"/>
    <cellStyle name="Output 2 3 2 5 4" xfId="31913" xr:uid="{00000000-0005-0000-0000-0000B96E0000}"/>
    <cellStyle name="Output 2 3 2 5 4 2" xfId="31914" xr:uid="{00000000-0005-0000-0000-0000BA6E0000}"/>
    <cellStyle name="Output 2 3 2 5 4 3" xfId="31915" xr:uid="{00000000-0005-0000-0000-0000BB6E0000}"/>
    <cellStyle name="Output 2 3 2 5 5" xfId="11680" xr:uid="{00000000-0005-0000-0000-0000BC6E0000}"/>
    <cellStyle name="Output 2 3 2 5 5 2" xfId="31916" xr:uid="{00000000-0005-0000-0000-0000BD6E0000}"/>
    <cellStyle name="Output 2 3 2 5 5 3" xfId="31917" xr:uid="{00000000-0005-0000-0000-0000BE6E0000}"/>
    <cellStyle name="Output 2 3 2 5 6" xfId="11684" xr:uid="{00000000-0005-0000-0000-0000BF6E0000}"/>
    <cellStyle name="Output 2 3 2 5 7" xfId="15190" xr:uid="{00000000-0005-0000-0000-0000C06E0000}"/>
    <cellStyle name="Output 2 3 2 6" xfId="23237" xr:uid="{00000000-0005-0000-0000-0000C16E0000}"/>
    <cellStyle name="Output 2 3 2 6 2" xfId="18746" xr:uid="{00000000-0005-0000-0000-0000C26E0000}"/>
    <cellStyle name="Output 2 3 2 6 2 2" xfId="31918" xr:uid="{00000000-0005-0000-0000-0000C36E0000}"/>
    <cellStyle name="Output 2 3 2 6 2 3" xfId="31919" xr:uid="{00000000-0005-0000-0000-0000C46E0000}"/>
    <cellStyle name="Output 2 3 2 6 2 4" xfId="31920" xr:uid="{00000000-0005-0000-0000-0000C56E0000}"/>
    <cellStyle name="Output 2 3 2 6 3" xfId="18748" xr:uid="{00000000-0005-0000-0000-0000C66E0000}"/>
    <cellStyle name="Output 2 3 2 6 3 2" xfId="31921" xr:uid="{00000000-0005-0000-0000-0000C76E0000}"/>
    <cellStyle name="Output 2 3 2 6 3 3" xfId="31922" xr:uid="{00000000-0005-0000-0000-0000C86E0000}"/>
    <cellStyle name="Output 2 3 2 6 3 4" xfId="31923" xr:uid="{00000000-0005-0000-0000-0000C96E0000}"/>
    <cellStyle name="Output 2 3 2 6 4" xfId="31924" xr:uid="{00000000-0005-0000-0000-0000CA6E0000}"/>
    <cellStyle name="Output 2 3 2 6 4 2" xfId="31925" xr:uid="{00000000-0005-0000-0000-0000CB6E0000}"/>
    <cellStyle name="Output 2 3 2 6 4 3" xfId="31926" xr:uid="{00000000-0005-0000-0000-0000CC6E0000}"/>
    <cellStyle name="Output 2 3 2 6 5" xfId="11691" xr:uid="{00000000-0005-0000-0000-0000CD6E0000}"/>
    <cellStyle name="Output 2 3 2 6 5 2" xfId="31927" xr:uid="{00000000-0005-0000-0000-0000CE6E0000}"/>
    <cellStyle name="Output 2 3 2 6 5 3" xfId="31928" xr:uid="{00000000-0005-0000-0000-0000CF6E0000}"/>
    <cellStyle name="Output 2 3 2 6 6" xfId="11694" xr:uid="{00000000-0005-0000-0000-0000D06E0000}"/>
    <cellStyle name="Output 2 3 2 6 7" xfId="25543" xr:uid="{00000000-0005-0000-0000-0000D16E0000}"/>
    <cellStyle name="Output 2 3 2 7" xfId="28036" xr:uid="{00000000-0005-0000-0000-0000D26E0000}"/>
    <cellStyle name="Output 2 3 2 7 2" xfId="18752" xr:uid="{00000000-0005-0000-0000-0000D36E0000}"/>
    <cellStyle name="Output 2 3 2 7 2 2" xfId="31929" xr:uid="{00000000-0005-0000-0000-0000D46E0000}"/>
    <cellStyle name="Output 2 3 2 7 2 3" xfId="31930" xr:uid="{00000000-0005-0000-0000-0000D56E0000}"/>
    <cellStyle name="Output 2 3 2 7 2 4" xfId="31931" xr:uid="{00000000-0005-0000-0000-0000D66E0000}"/>
    <cellStyle name="Output 2 3 2 7 3" xfId="18754" xr:uid="{00000000-0005-0000-0000-0000D76E0000}"/>
    <cellStyle name="Output 2 3 2 7 3 2" xfId="31932" xr:uid="{00000000-0005-0000-0000-0000D86E0000}"/>
    <cellStyle name="Output 2 3 2 7 3 3" xfId="31933" xr:uid="{00000000-0005-0000-0000-0000D96E0000}"/>
    <cellStyle name="Output 2 3 2 7 3 4" xfId="31934" xr:uid="{00000000-0005-0000-0000-0000DA6E0000}"/>
    <cellStyle name="Output 2 3 2 7 4" xfId="31935" xr:uid="{00000000-0005-0000-0000-0000DB6E0000}"/>
    <cellStyle name="Output 2 3 2 7 4 2" xfId="28874" xr:uid="{00000000-0005-0000-0000-0000DC6E0000}"/>
    <cellStyle name="Output 2 3 2 7 4 3" xfId="31936" xr:uid="{00000000-0005-0000-0000-0000DD6E0000}"/>
    <cellStyle name="Output 2 3 2 7 5" xfId="25545" xr:uid="{00000000-0005-0000-0000-0000DE6E0000}"/>
    <cellStyle name="Output 2 3 2 7 5 2" xfId="31937" xr:uid="{00000000-0005-0000-0000-0000DF6E0000}"/>
    <cellStyle name="Output 2 3 2 7 5 3" xfId="31938" xr:uid="{00000000-0005-0000-0000-0000E06E0000}"/>
    <cellStyle name="Output 2 3 2 7 6" xfId="25547" xr:uid="{00000000-0005-0000-0000-0000E16E0000}"/>
    <cellStyle name="Output 2 3 2 7 7" xfId="25549" xr:uid="{00000000-0005-0000-0000-0000E26E0000}"/>
    <cellStyle name="Output 2 3 2 8" xfId="31939" xr:uid="{00000000-0005-0000-0000-0000E36E0000}"/>
    <cellStyle name="Output 2 3 2 8 2" xfId="18760" xr:uid="{00000000-0005-0000-0000-0000E46E0000}"/>
    <cellStyle name="Output 2 3 2 8 2 2" xfId="31941" xr:uid="{00000000-0005-0000-0000-0000E56E0000}"/>
    <cellStyle name="Output 2 3 2 8 2 3" xfId="31942" xr:uid="{00000000-0005-0000-0000-0000E66E0000}"/>
    <cellStyle name="Output 2 3 2 8 2 4" xfId="31943" xr:uid="{00000000-0005-0000-0000-0000E76E0000}"/>
    <cellStyle name="Output 2 3 2 8 3" xfId="27238" xr:uid="{00000000-0005-0000-0000-0000E86E0000}"/>
    <cellStyle name="Output 2 3 2 8 3 2" xfId="27242" xr:uid="{00000000-0005-0000-0000-0000E96E0000}"/>
    <cellStyle name="Output 2 3 2 8 3 3" xfId="27244" xr:uid="{00000000-0005-0000-0000-0000EA6E0000}"/>
    <cellStyle name="Output 2 3 2 8 3 4" xfId="27246" xr:uid="{00000000-0005-0000-0000-0000EB6E0000}"/>
    <cellStyle name="Output 2 3 2 8 4" xfId="27247" xr:uid="{00000000-0005-0000-0000-0000EC6E0000}"/>
    <cellStyle name="Output 2 3 2 8 4 2" xfId="27251" xr:uid="{00000000-0005-0000-0000-0000ED6E0000}"/>
    <cellStyle name="Output 2 3 2 8 4 3" xfId="27253" xr:uid="{00000000-0005-0000-0000-0000EE6E0000}"/>
    <cellStyle name="Output 2 3 2 8 5" xfId="17702" xr:uid="{00000000-0005-0000-0000-0000EF6E0000}"/>
    <cellStyle name="Output 2 3 2 8 5 2" xfId="17708" xr:uid="{00000000-0005-0000-0000-0000F06E0000}"/>
    <cellStyle name="Output 2 3 2 8 5 3" xfId="17713" xr:uid="{00000000-0005-0000-0000-0000F16E0000}"/>
    <cellStyle name="Output 2 3 2 8 6" xfId="10250" xr:uid="{00000000-0005-0000-0000-0000F26E0000}"/>
    <cellStyle name="Output 2 3 2 8 7" xfId="10274" xr:uid="{00000000-0005-0000-0000-0000F36E0000}"/>
    <cellStyle name="Output 2 3 2 9" xfId="31944" xr:uid="{00000000-0005-0000-0000-0000F46E0000}"/>
    <cellStyle name="Output 2 3 2 9 2" xfId="18765" xr:uid="{00000000-0005-0000-0000-0000F56E0000}"/>
    <cellStyle name="Output 2 3 2 9 2 2" xfId="31946" xr:uid="{00000000-0005-0000-0000-0000F66E0000}"/>
    <cellStyle name="Output 2 3 2 9 2 3" xfId="31947" xr:uid="{00000000-0005-0000-0000-0000F76E0000}"/>
    <cellStyle name="Output 2 3 2 9 2 4" xfId="31948" xr:uid="{00000000-0005-0000-0000-0000F86E0000}"/>
    <cellStyle name="Output 2 3 2 9 3" xfId="27257" xr:uid="{00000000-0005-0000-0000-0000F96E0000}"/>
    <cellStyle name="Output 2 3 2 9 3 2" xfId="27261" xr:uid="{00000000-0005-0000-0000-0000FA6E0000}"/>
    <cellStyle name="Output 2 3 2 9 3 3" xfId="27263" xr:uid="{00000000-0005-0000-0000-0000FB6E0000}"/>
    <cellStyle name="Output 2 3 2 9 3 4" xfId="27265" xr:uid="{00000000-0005-0000-0000-0000FC6E0000}"/>
    <cellStyle name="Output 2 3 2 9 4" xfId="27266" xr:uid="{00000000-0005-0000-0000-0000FD6E0000}"/>
    <cellStyle name="Output 2 3 2 9 4 2" xfId="27270" xr:uid="{00000000-0005-0000-0000-0000FE6E0000}"/>
    <cellStyle name="Output 2 3 2 9 4 3" xfId="27272" xr:uid="{00000000-0005-0000-0000-0000FF6E0000}"/>
    <cellStyle name="Output 2 3 2 9 5" xfId="22668" xr:uid="{00000000-0005-0000-0000-0000006F0000}"/>
    <cellStyle name="Output 2 3 2 9 5 2" xfId="22766" xr:uid="{00000000-0005-0000-0000-0000016F0000}"/>
    <cellStyle name="Output 2 3 2 9 5 3" xfId="22785" xr:uid="{00000000-0005-0000-0000-0000026F0000}"/>
    <cellStyle name="Output 2 3 2 9 6" xfId="10498" xr:uid="{00000000-0005-0000-0000-0000036F0000}"/>
    <cellStyle name="Output 2 3 2 9 7" xfId="10519" xr:uid="{00000000-0005-0000-0000-0000046F0000}"/>
    <cellStyle name="Output 2 3 3" xfId="31091" xr:uid="{00000000-0005-0000-0000-0000056F0000}"/>
    <cellStyle name="Output 2 3 3 10" xfId="18352" xr:uid="{00000000-0005-0000-0000-0000066F0000}"/>
    <cellStyle name="Output 2 3 3 10 2" xfId="18657" xr:uid="{00000000-0005-0000-0000-0000076F0000}"/>
    <cellStyle name="Output 2 3 3 10 2 2" xfId="18659" xr:uid="{00000000-0005-0000-0000-0000086F0000}"/>
    <cellStyle name="Output 2 3 3 10 2 3" xfId="18661" xr:uid="{00000000-0005-0000-0000-0000096F0000}"/>
    <cellStyle name="Output 2 3 3 10 2 4" xfId="31949" xr:uid="{00000000-0005-0000-0000-00000A6F0000}"/>
    <cellStyle name="Output 2 3 3 10 3" xfId="18665" xr:uid="{00000000-0005-0000-0000-00000B6F0000}"/>
    <cellStyle name="Output 2 3 3 10 3 2" xfId="18667" xr:uid="{00000000-0005-0000-0000-00000C6F0000}"/>
    <cellStyle name="Output 2 3 3 10 3 3" xfId="18669" xr:uid="{00000000-0005-0000-0000-00000D6F0000}"/>
    <cellStyle name="Output 2 3 3 10 3 4" xfId="31951" xr:uid="{00000000-0005-0000-0000-00000E6F0000}"/>
    <cellStyle name="Output 2 3 3 10 4" xfId="18673" xr:uid="{00000000-0005-0000-0000-00000F6F0000}"/>
    <cellStyle name="Output 2 3 3 10 4 2" xfId="18675" xr:uid="{00000000-0005-0000-0000-0000106F0000}"/>
    <cellStyle name="Output 2 3 3 10 4 3" xfId="31953" xr:uid="{00000000-0005-0000-0000-0000116F0000}"/>
    <cellStyle name="Output 2 3 3 10 5" xfId="18678" xr:uid="{00000000-0005-0000-0000-0000126F0000}"/>
    <cellStyle name="Output 2 3 3 10 5 2" xfId="31955" xr:uid="{00000000-0005-0000-0000-0000136F0000}"/>
    <cellStyle name="Output 2 3 3 10 5 3" xfId="31956" xr:uid="{00000000-0005-0000-0000-0000146F0000}"/>
    <cellStyle name="Output 2 3 3 10 6" xfId="18681" xr:uid="{00000000-0005-0000-0000-0000156F0000}"/>
    <cellStyle name="Output 2 3 3 10 7" xfId="26434" xr:uid="{00000000-0005-0000-0000-0000166F0000}"/>
    <cellStyle name="Output 2 3 3 11" xfId="18356" xr:uid="{00000000-0005-0000-0000-0000176F0000}"/>
    <cellStyle name="Output 2 3 3 11 2" xfId="18692" xr:uid="{00000000-0005-0000-0000-0000186F0000}"/>
    <cellStyle name="Output 2 3 3 11 3" xfId="18697" xr:uid="{00000000-0005-0000-0000-0000196F0000}"/>
    <cellStyle name="Output 2 3 3 11 4" xfId="18704" xr:uid="{00000000-0005-0000-0000-00001A6F0000}"/>
    <cellStyle name="Output 2 3 3 12" xfId="18360" xr:uid="{00000000-0005-0000-0000-00001B6F0000}"/>
    <cellStyle name="Output 2 3 3 12 2" xfId="18724" xr:uid="{00000000-0005-0000-0000-00001C6F0000}"/>
    <cellStyle name="Output 2 3 3 12 3" xfId="18728" xr:uid="{00000000-0005-0000-0000-00001D6F0000}"/>
    <cellStyle name="Output 2 3 3 12 4" xfId="18732" xr:uid="{00000000-0005-0000-0000-00001E6F0000}"/>
    <cellStyle name="Output 2 3 3 13" xfId="31457" xr:uid="{00000000-0005-0000-0000-00001F6F0000}"/>
    <cellStyle name="Output 2 3 3 13 2" xfId="18757" xr:uid="{00000000-0005-0000-0000-0000206F0000}"/>
    <cellStyle name="Output 2 3 3 13 3" xfId="18762" xr:uid="{00000000-0005-0000-0000-0000216F0000}"/>
    <cellStyle name="Output 2 3 3 14" xfId="10381" xr:uid="{00000000-0005-0000-0000-0000226F0000}"/>
    <cellStyle name="Output 2 3 3 14 2" xfId="10383" xr:uid="{00000000-0005-0000-0000-0000236F0000}"/>
    <cellStyle name="Output 2 3 3 14 3" xfId="6185" xr:uid="{00000000-0005-0000-0000-0000246F0000}"/>
    <cellStyle name="Output 2 3 3 15" xfId="10388" xr:uid="{00000000-0005-0000-0000-0000256F0000}"/>
    <cellStyle name="Output 2 3 3 16" xfId="10395" xr:uid="{00000000-0005-0000-0000-0000266F0000}"/>
    <cellStyle name="Output 2 3 3 2" xfId="31093" xr:uid="{00000000-0005-0000-0000-0000276F0000}"/>
    <cellStyle name="Output 2 3 3 2 2" xfId="31958" xr:uid="{00000000-0005-0000-0000-0000286F0000}"/>
    <cellStyle name="Output 2 3 3 2 2 2" xfId="30588" xr:uid="{00000000-0005-0000-0000-0000296F0000}"/>
    <cellStyle name="Output 2 3 3 2 2 3" xfId="31959" xr:uid="{00000000-0005-0000-0000-00002A6F0000}"/>
    <cellStyle name="Output 2 3 3 2 2 4" xfId="31960" xr:uid="{00000000-0005-0000-0000-00002B6F0000}"/>
    <cellStyle name="Output 2 3 3 2 3" xfId="31961" xr:uid="{00000000-0005-0000-0000-00002C6F0000}"/>
    <cellStyle name="Output 2 3 3 2 3 2" xfId="30592" xr:uid="{00000000-0005-0000-0000-00002D6F0000}"/>
    <cellStyle name="Output 2 3 3 2 3 3" xfId="31962" xr:uid="{00000000-0005-0000-0000-00002E6F0000}"/>
    <cellStyle name="Output 2 3 3 2 3 4" xfId="31963" xr:uid="{00000000-0005-0000-0000-00002F6F0000}"/>
    <cellStyle name="Output 2 3 3 2 4" xfId="31964" xr:uid="{00000000-0005-0000-0000-0000306F0000}"/>
    <cellStyle name="Output 2 3 3 2 4 2" xfId="31965" xr:uid="{00000000-0005-0000-0000-0000316F0000}"/>
    <cellStyle name="Output 2 3 3 2 4 3" xfId="31966" xr:uid="{00000000-0005-0000-0000-0000326F0000}"/>
    <cellStyle name="Output 2 3 3 2 5" xfId="16656" xr:uid="{00000000-0005-0000-0000-0000336F0000}"/>
    <cellStyle name="Output 2 3 3 2 5 2" xfId="31967" xr:uid="{00000000-0005-0000-0000-0000346F0000}"/>
    <cellStyle name="Output 2 3 3 2 5 3" xfId="31968" xr:uid="{00000000-0005-0000-0000-0000356F0000}"/>
    <cellStyle name="Output 2 3 3 2 6" xfId="16658" xr:uid="{00000000-0005-0000-0000-0000366F0000}"/>
    <cellStyle name="Output 2 3 3 2 7" xfId="16661" xr:uid="{00000000-0005-0000-0000-0000376F0000}"/>
    <cellStyle name="Output 2 3 3 3" xfId="31095" xr:uid="{00000000-0005-0000-0000-0000386F0000}"/>
    <cellStyle name="Output 2 3 3 3 2" xfId="31969" xr:uid="{00000000-0005-0000-0000-0000396F0000}"/>
    <cellStyle name="Output 2 3 3 3 2 2" xfId="30601" xr:uid="{00000000-0005-0000-0000-00003A6F0000}"/>
    <cellStyle name="Output 2 3 3 3 2 3" xfId="31970" xr:uid="{00000000-0005-0000-0000-00003B6F0000}"/>
    <cellStyle name="Output 2 3 3 3 2 4" xfId="31971" xr:uid="{00000000-0005-0000-0000-00003C6F0000}"/>
    <cellStyle name="Output 2 3 3 3 3" xfId="31972" xr:uid="{00000000-0005-0000-0000-00003D6F0000}"/>
    <cellStyle name="Output 2 3 3 3 3 2" xfId="30605" xr:uid="{00000000-0005-0000-0000-00003E6F0000}"/>
    <cellStyle name="Output 2 3 3 3 3 3" xfId="31973" xr:uid="{00000000-0005-0000-0000-00003F6F0000}"/>
    <cellStyle name="Output 2 3 3 3 3 4" xfId="31974" xr:uid="{00000000-0005-0000-0000-0000406F0000}"/>
    <cellStyle name="Output 2 3 3 3 4" xfId="31975" xr:uid="{00000000-0005-0000-0000-0000416F0000}"/>
    <cellStyle name="Output 2 3 3 3 4 2" xfId="31976" xr:uid="{00000000-0005-0000-0000-0000426F0000}"/>
    <cellStyle name="Output 2 3 3 3 4 3" xfId="31977" xr:uid="{00000000-0005-0000-0000-0000436F0000}"/>
    <cellStyle name="Output 2 3 3 3 5" xfId="16664" xr:uid="{00000000-0005-0000-0000-0000446F0000}"/>
    <cellStyle name="Output 2 3 3 3 5 2" xfId="31978" xr:uid="{00000000-0005-0000-0000-0000456F0000}"/>
    <cellStyle name="Output 2 3 3 3 5 3" xfId="31979" xr:uid="{00000000-0005-0000-0000-0000466F0000}"/>
    <cellStyle name="Output 2 3 3 3 6" xfId="16666" xr:uid="{00000000-0005-0000-0000-0000476F0000}"/>
    <cellStyle name="Output 2 3 3 3 7" xfId="16669" xr:uid="{00000000-0005-0000-0000-0000486F0000}"/>
    <cellStyle name="Output 2 3 3 4" xfId="23240" xr:uid="{00000000-0005-0000-0000-0000496F0000}"/>
    <cellStyle name="Output 2 3 3 4 2" xfId="31980" xr:uid="{00000000-0005-0000-0000-00004A6F0000}"/>
    <cellStyle name="Output 2 3 3 4 2 2" xfId="21906" xr:uid="{00000000-0005-0000-0000-00004B6F0000}"/>
    <cellStyle name="Output 2 3 3 4 2 3" xfId="5058" xr:uid="{00000000-0005-0000-0000-00004C6F0000}"/>
    <cellStyle name="Output 2 3 3 4 2 4" xfId="5335" xr:uid="{00000000-0005-0000-0000-00004D6F0000}"/>
    <cellStyle name="Output 2 3 3 4 3" xfId="31981" xr:uid="{00000000-0005-0000-0000-00004E6F0000}"/>
    <cellStyle name="Output 2 3 3 4 3 2" xfId="21912" xr:uid="{00000000-0005-0000-0000-00004F6F0000}"/>
    <cellStyle name="Output 2 3 3 4 3 3" xfId="726" xr:uid="{00000000-0005-0000-0000-0000506F0000}"/>
    <cellStyle name="Output 2 3 3 4 3 4" xfId="5998" xr:uid="{00000000-0005-0000-0000-0000516F0000}"/>
    <cellStyle name="Output 2 3 3 4 4" xfId="31982" xr:uid="{00000000-0005-0000-0000-0000526F0000}"/>
    <cellStyle name="Output 2 3 3 4 4 2" xfId="21918" xr:uid="{00000000-0005-0000-0000-0000536F0000}"/>
    <cellStyle name="Output 2 3 3 4 4 3" xfId="6272" xr:uid="{00000000-0005-0000-0000-0000546F0000}"/>
    <cellStyle name="Output 2 3 3 4 5" xfId="16673" xr:uid="{00000000-0005-0000-0000-0000556F0000}"/>
    <cellStyle name="Output 2 3 3 4 5 2" xfId="21924" xr:uid="{00000000-0005-0000-0000-0000566F0000}"/>
    <cellStyle name="Output 2 3 3 4 5 3" xfId="534" xr:uid="{00000000-0005-0000-0000-0000576F0000}"/>
    <cellStyle name="Output 2 3 3 4 6" xfId="16675" xr:uid="{00000000-0005-0000-0000-0000586F0000}"/>
    <cellStyle name="Output 2 3 3 4 7" xfId="25121" xr:uid="{00000000-0005-0000-0000-0000596F0000}"/>
    <cellStyle name="Output 2 3 3 5" xfId="23242" xr:uid="{00000000-0005-0000-0000-00005A6F0000}"/>
    <cellStyle name="Output 2 3 3 5 2" xfId="31983" xr:uid="{00000000-0005-0000-0000-00005B6F0000}"/>
    <cellStyle name="Output 2 3 3 5 2 2" xfId="31984" xr:uid="{00000000-0005-0000-0000-00005C6F0000}"/>
    <cellStyle name="Output 2 3 3 5 2 3" xfId="31985" xr:uid="{00000000-0005-0000-0000-00005D6F0000}"/>
    <cellStyle name="Output 2 3 3 5 2 4" xfId="31986" xr:uid="{00000000-0005-0000-0000-00005E6F0000}"/>
    <cellStyle name="Output 2 3 3 5 3" xfId="31987" xr:uid="{00000000-0005-0000-0000-00005F6F0000}"/>
    <cellStyle name="Output 2 3 3 5 3 2" xfId="31988" xr:uid="{00000000-0005-0000-0000-0000606F0000}"/>
    <cellStyle name="Output 2 3 3 5 3 3" xfId="31989" xr:uid="{00000000-0005-0000-0000-0000616F0000}"/>
    <cellStyle name="Output 2 3 3 5 3 4" xfId="31990" xr:uid="{00000000-0005-0000-0000-0000626F0000}"/>
    <cellStyle name="Output 2 3 3 5 4" xfId="31991" xr:uid="{00000000-0005-0000-0000-0000636F0000}"/>
    <cellStyle name="Output 2 3 3 5 4 2" xfId="31992" xr:uid="{00000000-0005-0000-0000-0000646F0000}"/>
    <cellStyle name="Output 2 3 3 5 4 3" xfId="31993" xr:uid="{00000000-0005-0000-0000-0000656F0000}"/>
    <cellStyle name="Output 2 3 3 5 5" xfId="16679" xr:uid="{00000000-0005-0000-0000-0000666F0000}"/>
    <cellStyle name="Output 2 3 3 5 5 2" xfId="26380" xr:uid="{00000000-0005-0000-0000-0000676F0000}"/>
    <cellStyle name="Output 2 3 3 5 5 3" xfId="26382" xr:uid="{00000000-0005-0000-0000-0000686F0000}"/>
    <cellStyle name="Output 2 3 3 5 6" xfId="16681" xr:uid="{00000000-0005-0000-0000-0000696F0000}"/>
    <cellStyle name="Output 2 3 3 5 7" xfId="25125" xr:uid="{00000000-0005-0000-0000-00006A6F0000}"/>
    <cellStyle name="Output 2 3 3 6" xfId="23245" xr:uid="{00000000-0005-0000-0000-00006B6F0000}"/>
    <cellStyle name="Output 2 3 3 6 2" xfId="31994" xr:uid="{00000000-0005-0000-0000-00006C6F0000}"/>
    <cellStyle name="Output 2 3 3 6 2 2" xfId="31995" xr:uid="{00000000-0005-0000-0000-00006D6F0000}"/>
    <cellStyle name="Output 2 3 3 6 2 3" xfId="31996" xr:uid="{00000000-0005-0000-0000-00006E6F0000}"/>
    <cellStyle name="Output 2 3 3 6 2 4" xfId="31997" xr:uid="{00000000-0005-0000-0000-00006F6F0000}"/>
    <cellStyle name="Output 2 3 3 6 3" xfId="31998" xr:uid="{00000000-0005-0000-0000-0000706F0000}"/>
    <cellStyle name="Output 2 3 3 6 3 2" xfId="31999" xr:uid="{00000000-0005-0000-0000-0000716F0000}"/>
    <cellStyle name="Output 2 3 3 6 3 3" xfId="32000" xr:uid="{00000000-0005-0000-0000-0000726F0000}"/>
    <cellStyle name="Output 2 3 3 6 3 4" xfId="32001" xr:uid="{00000000-0005-0000-0000-0000736F0000}"/>
    <cellStyle name="Output 2 3 3 6 4" xfId="32002" xr:uid="{00000000-0005-0000-0000-0000746F0000}"/>
    <cellStyle name="Output 2 3 3 6 4 2" xfId="32003" xr:uid="{00000000-0005-0000-0000-0000756F0000}"/>
    <cellStyle name="Output 2 3 3 6 4 3" xfId="32004" xr:uid="{00000000-0005-0000-0000-0000766F0000}"/>
    <cellStyle name="Output 2 3 3 6 5" xfId="25553" xr:uid="{00000000-0005-0000-0000-0000776F0000}"/>
    <cellStyle name="Output 2 3 3 6 5 2" xfId="32005" xr:uid="{00000000-0005-0000-0000-0000786F0000}"/>
    <cellStyle name="Output 2 3 3 6 5 3" xfId="32006" xr:uid="{00000000-0005-0000-0000-0000796F0000}"/>
    <cellStyle name="Output 2 3 3 6 6" xfId="25555" xr:uid="{00000000-0005-0000-0000-00007A6F0000}"/>
    <cellStyle name="Output 2 3 3 6 7" xfId="25557" xr:uid="{00000000-0005-0000-0000-00007B6F0000}"/>
    <cellStyle name="Output 2 3 3 7" xfId="28039" xr:uid="{00000000-0005-0000-0000-00007C6F0000}"/>
    <cellStyle name="Output 2 3 3 7 2" xfId="32007" xr:uid="{00000000-0005-0000-0000-00007D6F0000}"/>
    <cellStyle name="Output 2 3 3 7 2 2" xfId="32008" xr:uid="{00000000-0005-0000-0000-00007E6F0000}"/>
    <cellStyle name="Output 2 3 3 7 2 3" xfId="32009" xr:uid="{00000000-0005-0000-0000-00007F6F0000}"/>
    <cellStyle name="Output 2 3 3 7 2 4" xfId="32010" xr:uid="{00000000-0005-0000-0000-0000806F0000}"/>
    <cellStyle name="Output 2 3 3 7 3" xfId="32011" xr:uid="{00000000-0005-0000-0000-0000816F0000}"/>
    <cellStyle name="Output 2 3 3 7 3 2" xfId="32012" xr:uid="{00000000-0005-0000-0000-0000826F0000}"/>
    <cellStyle name="Output 2 3 3 7 3 3" xfId="32013" xr:uid="{00000000-0005-0000-0000-0000836F0000}"/>
    <cellStyle name="Output 2 3 3 7 3 4" xfId="32014" xr:uid="{00000000-0005-0000-0000-0000846F0000}"/>
    <cellStyle name="Output 2 3 3 7 4" xfId="32015" xr:uid="{00000000-0005-0000-0000-0000856F0000}"/>
    <cellStyle name="Output 2 3 3 7 4 2" xfId="32016" xr:uid="{00000000-0005-0000-0000-0000866F0000}"/>
    <cellStyle name="Output 2 3 3 7 4 3" xfId="32017" xr:uid="{00000000-0005-0000-0000-0000876F0000}"/>
    <cellStyle name="Output 2 3 3 7 5" xfId="25559" xr:uid="{00000000-0005-0000-0000-0000886F0000}"/>
    <cellStyle name="Output 2 3 3 7 5 2" xfId="32018" xr:uid="{00000000-0005-0000-0000-0000896F0000}"/>
    <cellStyle name="Output 2 3 3 7 5 3" xfId="32019" xr:uid="{00000000-0005-0000-0000-00008A6F0000}"/>
    <cellStyle name="Output 2 3 3 7 6" xfId="25561" xr:uid="{00000000-0005-0000-0000-00008B6F0000}"/>
    <cellStyle name="Output 2 3 3 7 7" xfId="25563" xr:uid="{00000000-0005-0000-0000-00008C6F0000}"/>
    <cellStyle name="Output 2 3 3 8" xfId="32020" xr:uid="{00000000-0005-0000-0000-00008D6F0000}"/>
    <cellStyle name="Output 2 3 3 8 2" xfId="32022" xr:uid="{00000000-0005-0000-0000-00008E6F0000}"/>
    <cellStyle name="Output 2 3 3 8 2 2" xfId="32023" xr:uid="{00000000-0005-0000-0000-00008F6F0000}"/>
    <cellStyle name="Output 2 3 3 8 2 3" xfId="32024" xr:uid="{00000000-0005-0000-0000-0000906F0000}"/>
    <cellStyle name="Output 2 3 3 8 2 4" xfId="32025" xr:uid="{00000000-0005-0000-0000-0000916F0000}"/>
    <cellStyle name="Output 2 3 3 8 3" xfId="27339" xr:uid="{00000000-0005-0000-0000-0000926F0000}"/>
    <cellStyle name="Output 2 3 3 8 3 2" xfId="32026" xr:uid="{00000000-0005-0000-0000-0000936F0000}"/>
    <cellStyle name="Output 2 3 3 8 3 3" xfId="32027" xr:uid="{00000000-0005-0000-0000-0000946F0000}"/>
    <cellStyle name="Output 2 3 3 8 3 4" xfId="32028" xr:uid="{00000000-0005-0000-0000-0000956F0000}"/>
    <cellStyle name="Output 2 3 3 8 4" xfId="27341" xr:uid="{00000000-0005-0000-0000-0000966F0000}"/>
    <cellStyle name="Output 2 3 3 8 4 2" xfId="32029" xr:uid="{00000000-0005-0000-0000-0000976F0000}"/>
    <cellStyle name="Output 2 3 3 8 4 3" xfId="32030" xr:uid="{00000000-0005-0000-0000-0000986F0000}"/>
    <cellStyle name="Output 2 3 3 8 5" xfId="25568" xr:uid="{00000000-0005-0000-0000-0000996F0000}"/>
    <cellStyle name="Output 2 3 3 8 5 2" xfId="32031" xr:uid="{00000000-0005-0000-0000-00009A6F0000}"/>
    <cellStyle name="Output 2 3 3 8 5 3" xfId="32032" xr:uid="{00000000-0005-0000-0000-00009B6F0000}"/>
    <cellStyle name="Output 2 3 3 8 6" xfId="11073" xr:uid="{00000000-0005-0000-0000-00009C6F0000}"/>
    <cellStyle name="Output 2 3 3 8 7" xfId="11096" xr:uid="{00000000-0005-0000-0000-00009D6F0000}"/>
    <cellStyle name="Output 2 3 3 9" xfId="32033" xr:uid="{00000000-0005-0000-0000-00009E6F0000}"/>
    <cellStyle name="Output 2 3 3 9 2" xfId="32035" xr:uid="{00000000-0005-0000-0000-00009F6F0000}"/>
    <cellStyle name="Output 2 3 3 9 2 2" xfId="32036" xr:uid="{00000000-0005-0000-0000-0000A06F0000}"/>
    <cellStyle name="Output 2 3 3 9 2 3" xfId="32037" xr:uid="{00000000-0005-0000-0000-0000A16F0000}"/>
    <cellStyle name="Output 2 3 3 9 2 4" xfId="32038" xr:uid="{00000000-0005-0000-0000-0000A26F0000}"/>
    <cellStyle name="Output 2 3 3 9 3" xfId="27345" xr:uid="{00000000-0005-0000-0000-0000A36F0000}"/>
    <cellStyle name="Output 2 3 3 9 3 2" xfId="32039" xr:uid="{00000000-0005-0000-0000-0000A46F0000}"/>
    <cellStyle name="Output 2 3 3 9 3 3" xfId="32040" xr:uid="{00000000-0005-0000-0000-0000A56F0000}"/>
    <cellStyle name="Output 2 3 3 9 3 4" xfId="32041" xr:uid="{00000000-0005-0000-0000-0000A66F0000}"/>
    <cellStyle name="Output 2 3 3 9 4" xfId="27347" xr:uid="{00000000-0005-0000-0000-0000A76F0000}"/>
    <cellStyle name="Output 2 3 3 9 4 2" xfId="32042" xr:uid="{00000000-0005-0000-0000-0000A86F0000}"/>
    <cellStyle name="Output 2 3 3 9 4 3" xfId="32043" xr:uid="{00000000-0005-0000-0000-0000A96F0000}"/>
    <cellStyle name="Output 2 3 3 9 5" xfId="25572" xr:uid="{00000000-0005-0000-0000-0000AA6F0000}"/>
    <cellStyle name="Output 2 3 3 9 5 2" xfId="26155" xr:uid="{00000000-0005-0000-0000-0000AB6F0000}"/>
    <cellStyle name="Output 2 3 3 9 5 3" xfId="26157" xr:uid="{00000000-0005-0000-0000-0000AC6F0000}"/>
    <cellStyle name="Output 2 3 3 9 6" xfId="11348" xr:uid="{00000000-0005-0000-0000-0000AD6F0000}"/>
    <cellStyle name="Output 2 3 3 9 7" xfId="11367" xr:uid="{00000000-0005-0000-0000-0000AE6F0000}"/>
    <cellStyle name="Output 2 3 4" xfId="31097" xr:uid="{00000000-0005-0000-0000-0000AF6F0000}"/>
    <cellStyle name="Output 2 3 4 2" xfId="32044" xr:uid="{00000000-0005-0000-0000-0000B06F0000}"/>
    <cellStyle name="Output 2 3 4 2 2" xfId="32045" xr:uid="{00000000-0005-0000-0000-0000B16F0000}"/>
    <cellStyle name="Output 2 3 4 2 3" xfId="32046" xr:uid="{00000000-0005-0000-0000-0000B26F0000}"/>
    <cellStyle name="Output 2 3 4 2 4" xfId="32047" xr:uid="{00000000-0005-0000-0000-0000B36F0000}"/>
    <cellStyle name="Output 2 3 4 3" xfId="32048" xr:uid="{00000000-0005-0000-0000-0000B46F0000}"/>
    <cellStyle name="Output 2 3 4 3 2" xfId="32049" xr:uid="{00000000-0005-0000-0000-0000B56F0000}"/>
    <cellStyle name="Output 2 3 4 3 3" xfId="32050" xr:uid="{00000000-0005-0000-0000-0000B66F0000}"/>
    <cellStyle name="Output 2 3 4 3 4" xfId="32051" xr:uid="{00000000-0005-0000-0000-0000B76F0000}"/>
    <cellStyle name="Output 2 3 4 4" xfId="23248" xr:uid="{00000000-0005-0000-0000-0000B86F0000}"/>
    <cellStyle name="Output 2 3 4 4 2" xfId="32052" xr:uid="{00000000-0005-0000-0000-0000B96F0000}"/>
    <cellStyle name="Output 2 3 4 4 3" xfId="32053" xr:uid="{00000000-0005-0000-0000-0000BA6F0000}"/>
    <cellStyle name="Output 2 3 4 5" xfId="23250" xr:uid="{00000000-0005-0000-0000-0000BB6F0000}"/>
    <cellStyle name="Output 2 3 4 5 2" xfId="32054" xr:uid="{00000000-0005-0000-0000-0000BC6F0000}"/>
    <cellStyle name="Output 2 3 4 5 3" xfId="32055" xr:uid="{00000000-0005-0000-0000-0000BD6F0000}"/>
    <cellStyle name="Output 2 3 4 6" xfId="32056" xr:uid="{00000000-0005-0000-0000-0000BE6F0000}"/>
    <cellStyle name="Output 2 3 4 7" xfId="32057" xr:uid="{00000000-0005-0000-0000-0000BF6F0000}"/>
    <cellStyle name="Output 2 3 5" xfId="31099" xr:uid="{00000000-0005-0000-0000-0000C06F0000}"/>
    <cellStyle name="Output 2 3 5 2" xfId="32058" xr:uid="{00000000-0005-0000-0000-0000C16F0000}"/>
    <cellStyle name="Output 2 3 5 2 2" xfId="15261" xr:uid="{00000000-0005-0000-0000-0000C26F0000}"/>
    <cellStyle name="Output 2 3 5 2 3" xfId="15263" xr:uid="{00000000-0005-0000-0000-0000C36F0000}"/>
    <cellStyle name="Output 2 3 5 2 4" xfId="32059" xr:uid="{00000000-0005-0000-0000-0000C46F0000}"/>
    <cellStyle name="Output 2 3 5 3" xfId="32060" xr:uid="{00000000-0005-0000-0000-0000C56F0000}"/>
    <cellStyle name="Output 2 3 5 3 2" xfId="15287" xr:uid="{00000000-0005-0000-0000-0000C66F0000}"/>
    <cellStyle name="Output 2 3 5 3 3" xfId="15289" xr:uid="{00000000-0005-0000-0000-0000C76F0000}"/>
    <cellStyle name="Output 2 3 5 3 4" xfId="32061" xr:uid="{00000000-0005-0000-0000-0000C86F0000}"/>
    <cellStyle name="Output 2 3 5 4" xfId="23253" xr:uid="{00000000-0005-0000-0000-0000C96F0000}"/>
    <cellStyle name="Output 2 3 5 4 2" xfId="15311" xr:uid="{00000000-0005-0000-0000-0000CA6F0000}"/>
    <cellStyle name="Output 2 3 5 4 3" xfId="15313" xr:uid="{00000000-0005-0000-0000-0000CB6F0000}"/>
    <cellStyle name="Output 2 3 5 5" xfId="23255" xr:uid="{00000000-0005-0000-0000-0000CC6F0000}"/>
    <cellStyle name="Output 2 3 5 5 2" xfId="15331" xr:uid="{00000000-0005-0000-0000-0000CD6F0000}"/>
    <cellStyle name="Output 2 3 5 5 3" xfId="15333" xr:uid="{00000000-0005-0000-0000-0000CE6F0000}"/>
    <cellStyle name="Output 2 3 5 6" xfId="32062" xr:uid="{00000000-0005-0000-0000-0000CF6F0000}"/>
    <cellStyle name="Output 2 3 5 7" xfId="32063" xr:uid="{00000000-0005-0000-0000-0000D06F0000}"/>
    <cellStyle name="Output 2 3 6" xfId="24796" xr:uid="{00000000-0005-0000-0000-0000D16F0000}"/>
    <cellStyle name="Output 2 3 6 2" xfId="32064" xr:uid="{00000000-0005-0000-0000-0000D26F0000}"/>
    <cellStyle name="Output 2 3 6 2 2" xfId="15446" xr:uid="{00000000-0005-0000-0000-0000D36F0000}"/>
    <cellStyle name="Output 2 3 6 2 3" xfId="15448" xr:uid="{00000000-0005-0000-0000-0000D46F0000}"/>
    <cellStyle name="Output 2 3 6 2 4" xfId="32065" xr:uid="{00000000-0005-0000-0000-0000D56F0000}"/>
    <cellStyle name="Output 2 3 6 3" xfId="32066" xr:uid="{00000000-0005-0000-0000-0000D66F0000}"/>
    <cellStyle name="Output 2 3 6 3 2" xfId="15473" xr:uid="{00000000-0005-0000-0000-0000D76F0000}"/>
    <cellStyle name="Output 2 3 6 3 3" xfId="15475" xr:uid="{00000000-0005-0000-0000-0000D86F0000}"/>
    <cellStyle name="Output 2 3 6 3 4" xfId="32067" xr:uid="{00000000-0005-0000-0000-0000D96F0000}"/>
    <cellStyle name="Output 2 3 6 4" xfId="32068" xr:uid="{00000000-0005-0000-0000-0000DA6F0000}"/>
    <cellStyle name="Output 2 3 6 4 2" xfId="15494" xr:uid="{00000000-0005-0000-0000-0000DB6F0000}"/>
    <cellStyle name="Output 2 3 6 4 3" xfId="15496" xr:uid="{00000000-0005-0000-0000-0000DC6F0000}"/>
    <cellStyle name="Output 2 3 6 5" xfId="32069" xr:uid="{00000000-0005-0000-0000-0000DD6F0000}"/>
    <cellStyle name="Output 2 3 6 5 2" xfId="15516" xr:uid="{00000000-0005-0000-0000-0000DE6F0000}"/>
    <cellStyle name="Output 2 3 6 5 3" xfId="15518" xr:uid="{00000000-0005-0000-0000-0000DF6F0000}"/>
    <cellStyle name="Output 2 3 6 6" xfId="32070" xr:uid="{00000000-0005-0000-0000-0000E06F0000}"/>
    <cellStyle name="Output 2 3 6 7" xfId="3263" xr:uid="{00000000-0005-0000-0000-0000E16F0000}"/>
    <cellStyle name="Output 2 3 7" xfId="24798" xr:uid="{00000000-0005-0000-0000-0000E26F0000}"/>
    <cellStyle name="Output 2 3 7 2" xfId="32071" xr:uid="{00000000-0005-0000-0000-0000E36F0000}"/>
    <cellStyle name="Output 2 3 7 2 2" xfId="5972" xr:uid="{00000000-0005-0000-0000-0000E46F0000}"/>
    <cellStyle name="Output 2 3 7 2 3" xfId="5974" xr:uid="{00000000-0005-0000-0000-0000E56F0000}"/>
    <cellStyle name="Output 2 3 7 2 4" xfId="32073" xr:uid="{00000000-0005-0000-0000-0000E66F0000}"/>
    <cellStyle name="Output 2 3 7 3" xfId="32074" xr:uid="{00000000-0005-0000-0000-0000E76F0000}"/>
    <cellStyle name="Output 2 3 7 3 2" xfId="5992" xr:uid="{00000000-0005-0000-0000-0000E86F0000}"/>
    <cellStyle name="Output 2 3 7 3 3" xfId="5996" xr:uid="{00000000-0005-0000-0000-0000E96F0000}"/>
    <cellStyle name="Output 2 3 7 3 4" xfId="32075" xr:uid="{00000000-0005-0000-0000-0000EA6F0000}"/>
    <cellStyle name="Output 2 3 7 4" xfId="32076" xr:uid="{00000000-0005-0000-0000-0000EB6F0000}"/>
    <cellStyle name="Output 2 3 7 4 2" xfId="32077" xr:uid="{00000000-0005-0000-0000-0000EC6F0000}"/>
    <cellStyle name="Output 2 3 7 4 3" xfId="32078" xr:uid="{00000000-0005-0000-0000-0000ED6F0000}"/>
    <cellStyle name="Output 2 3 7 5" xfId="32079" xr:uid="{00000000-0005-0000-0000-0000EE6F0000}"/>
    <cellStyle name="Output 2 3 7 5 2" xfId="19905" xr:uid="{00000000-0005-0000-0000-0000EF6F0000}"/>
    <cellStyle name="Output 2 3 7 5 3" xfId="19907" xr:uid="{00000000-0005-0000-0000-0000F06F0000}"/>
    <cellStyle name="Output 2 3 7 6" xfId="32080" xr:uid="{00000000-0005-0000-0000-0000F16F0000}"/>
    <cellStyle name="Output 2 3 7 7" xfId="3287" xr:uid="{00000000-0005-0000-0000-0000F26F0000}"/>
    <cellStyle name="Output 2 3 8" xfId="24800" xr:uid="{00000000-0005-0000-0000-0000F36F0000}"/>
    <cellStyle name="Output 2 3 8 2" xfId="32081" xr:uid="{00000000-0005-0000-0000-0000F46F0000}"/>
    <cellStyle name="Output 2 3 8 2 2" xfId="6177" xr:uid="{00000000-0005-0000-0000-0000F56F0000}"/>
    <cellStyle name="Output 2 3 8 2 3" xfId="6179" xr:uid="{00000000-0005-0000-0000-0000F66F0000}"/>
    <cellStyle name="Output 2 3 8 2 4" xfId="32083" xr:uid="{00000000-0005-0000-0000-0000F76F0000}"/>
    <cellStyle name="Output 2 3 8 3" xfId="32084" xr:uid="{00000000-0005-0000-0000-0000F86F0000}"/>
    <cellStyle name="Output 2 3 8 3 2" xfId="6199" xr:uid="{00000000-0005-0000-0000-0000F96F0000}"/>
    <cellStyle name="Output 2 3 8 3 3" xfId="6204" xr:uid="{00000000-0005-0000-0000-0000FA6F0000}"/>
    <cellStyle name="Output 2 3 8 3 4" xfId="32085" xr:uid="{00000000-0005-0000-0000-0000FB6F0000}"/>
    <cellStyle name="Output 2 3 8 4" xfId="32086" xr:uid="{00000000-0005-0000-0000-0000FC6F0000}"/>
    <cellStyle name="Output 2 3 8 4 2" xfId="32087" xr:uid="{00000000-0005-0000-0000-0000FD6F0000}"/>
    <cellStyle name="Output 2 3 8 4 3" xfId="32088" xr:uid="{00000000-0005-0000-0000-0000FE6F0000}"/>
    <cellStyle name="Output 2 3 8 5" xfId="32089" xr:uid="{00000000-0005-0000-0000-0000FF6F0000}"/>
    <cellStyle name="Output 2 3 8 5 2" xfId="20089" xr:uid="{00000000-0005-0000-0000-000000700000}"/>
    <cellStyle name="Output 2 3 8 5 3" xfId="20091" xr:uid="{00000000-0005-0000-0000-000001700000}"/>
    <cellStyle name="Output 2 3 8 6" xfId="32090" xr:uid="{00000000-0005-0000-0000-000002700000}"/>
    <cellStyle name="Output 2 3 8 7" xfId="3306" xr:uid="{00000000-0005-0000-0000-000003700000}"/>
    <cellStyle name="Output 2 3 9" xfId="32091" xr:uid="{00000000-0005-0000-0000-000004700000}"/>
    <cellStyle name="Output 2 3 9 2" xfId="32092" xr:uid="{00000000-0005-0000-0000-000005700000}"/>
    <cellStyle name="Output 2 3 9 2 2" xfId="32093" xr:uid="{00000000-0005-0000-0000-000006700000}"/>
    <cellStyle name="Output 2 3 9 2 3" xfId="32094" xr:uid="{00000000-0005-0000-0000-000007700000}"/>
    <cellStyle name="Output 2 3 9 2 4" xfId="32096" xr:uid="{00000000-0005-0000-0000-000008700000}"/>
    <cellStyle name="Output 2 3 9 3" xfId="32097" xr:uid="{00000000-0005-0000-0000-000009700000}"/>
    <cellStyle name="Output 2 3 9 3 2" xfId="32098" xr:uid="{00000000-0005-0000-0000-00000A700000}"/>
    <cellStyle name="Output 2 3 9 3 3" xfId="32099" xr:uid="{00000000-0005-0000-0000-00000B700000}"/>
    <cellStyle name="Output 2 3 9 3 4" xfId="32100" xr:uid="{00000000-0005-0000-0000-00000C700000}"/>
    <cellStyle name="Output 2 3 9 4" xfId="32101" xr:uid="{00000000-0005-0000-0000-00000D700000}"/>
    <cellStyle name="Output 2 3 9 4 2" xfId="32102" xr:uid="{00000000-0005-0000-0000-00000E700000}"/>
    <cellStyle name="Output 2 3 9 4 3" xfId="32103" xr:uid="{00000000-0005-0000-0000-00000F700000}"/>
    <cellStyle name="Output 2 3 9 5" xfId="32104" xr:uid="{00000000-0005-0000-0000-000010700000}"/>
    <cellStyle name="Output 2 3 9 5 2" xfId="32105" xr:uid="{00000000-0005-0000-0000-000011700000}"/>
    <cellStyle name="Output 2 3 9 5 3" xfId="32106" xr:uid="{00000000-0005-0000-0000-000012700000}"/>
    <cellStyle name="Output 2 3 9 6" xfId="32107" xr:uid="{00000000-0005-0000-0000-000013700000}"/>
    <cellStyle name="Output 2 3 9 7" xfId="3322" xr:uid="{00000000-0005-0000-0000-000014700000}"/>
    <cellStyle name="Output 2 30" xfId="15003" xr:uid="{00000000-0005-0000-0000-000015700000}"/>
    <cellStyle name="Output 2 30 2" xfId="25823" xr:uid="{00000000-0005-0000-0000-000016700000}"/>
    <cellStyle name="Output 2 30 3" xfId="25826" xr:uid="{00000000-0005-0000-0000-000017700000}"/>
    <cellStyle name="Output 2 31" xfId="25832" xr:uid="{00000000-0005-0000-0000-000018700000}"/>
    <cellStyle name="Output 2 32" xfId="25840" xr:uid="{00000000-0005-0000-0000-000019700000}"/>
    <cellStyle name="Output 2 33" xfId="25847" xr:uid="{00000000-0005-0000-0000-00001A700000}"/>
    <cellStyle name="Output 2 4" xfId="32108" xr:uid="{00000000-0005-0000-0000-00001B700000}"/>
    <cellStyle name="Output 2 4 10" xfId="32109" xr:uid="{00000000-0005-0000-0000-00001C700000}"/>
    <cellStyle name="Output 2 4 10 2" xfId="28730" xr:uid="{00000000-0005-0000-0000-00001D700000}"/>
    <cellStyle name="Output 2 4 10 2 2" xfId="17619" xr:uid="{00000000-0005-0000-0000-00001E700000}"/>
    <cellStyle name="Output 2 4 10 2 3" xfId="32110" xr:uid="{00000000-0005-0000-0000-00001F700000}"/>
    <cellStyle name="Output 2 4 10 2 4" xfId="18848" xr:uid="{00000000-0005-0000-0000-000020700000}"/>
    <cellStyle name="Output 2 4 10 3" xfId="28732" xr:uid="{00000000-0005-0000-0000-000021700000}"/>
    <cellStyle name="Output 2 4 10 3 2" xfId="17627" xr:uid="{00000000-0005-0000-0000-000022700000}"/>
    <cellStyle name="Output 2 4 10 3 3" xfId="32111" xr:uid="{00000000-0005-0000-0000-000023700000}"/>
    <cellStyle name="Output 2 4 10 3 4" xfId="32112" xr:uid="{00000000-0005-0000-0000-000024700000}"/>
    <cellStyle name="Output 2 4 10 4" xfId="32113" xr:uid="{00000000-0005-0000-0000-000025700000}"/>
    <cellStyle name="Output 2 4 10 4 2" xfId="32114" xr:uid="{00000000-0005-0000-0000-000026700000}"/>
    <cellStyle name="Output 2 4 10 4 3" xfId="32115" xr:uid="{00000000-0005-0000-0000-000027700000}"/>
    <cellStyle name="Output 2 4 10 5" xfId="32116" xr:uid="{00000000-0005-0000-0000-000028700000}"/>
    <cellStyle name="Output 2 4 10 5 2" xfId="26332" xr:uid="{00000000-0005-0000-0000-000029700000}"/>
    <cellStyle name="Output 2 4 10 5 3" xfId="32117" xr:uid="{00000000-0005-0000-0000-00002A700000}"/>
    <cellStyle name="Output 2 4 10 6" xfId="32118" xr:uid="{00000000-0005-0000-0000-00002B700000}"/>
    <cellStyle name="Output 2 4 10 7" xfId="32119" xr:uid="{00000000-0005-0000-0000-00002C700000}"/>
    <cellStyle name="Output 2 4 11" xfId="32120" xr:uid="{00000000-0005-0000-0000-00002D700000}"/>
    <cellStyle name="Output 2 4 11 2" xfId="28735" xr:uid="{00000000-0005-0000-0000-00002E700000}"/>
    <cellStyle name="Output 2 4 11 2 2" xfId="17645" xr:uid="{00000000-0005-0000-0000-00002F700000}"/>
    <cellStyle name="Output 2 4 11 2 3" xfId="32121" xr:uid="{00000000-0005-0000-0000-000030700000}"/>
    <cellStyle name="Output 2 4 11 2 4" xfId="32122" xr:uid="{00000000-0005-0000-0000-000031700000}"/>
    <cellStyle name="Output 2 4 11 3" xfId="28737" xr:uid="{00000000-0005-0000-0000-000032700000}"/>
    <cellStyle name="Output 2 4 11 3 2" xfId="17652" xr:uid="{00000000-0005-0000-0000-000033700000}"/>
    <cellStyle name="Output 2 4 11 3 3" xfId="32123" xr:uid="{00000000-0005-0000-0000-000034700000}"/>
    <cellStyle name="Output 2 4 11 3 4" xfId="32124" xr:uid="{00000000-0005-0000-0000-000035700000}"/>
    <cellStyle name="Output 2 4 11 4" xfId="32125" xr:uid="{00000000-0005-0000-0000-000036700000}"/>
    <cellStyle name="Output 2 4 11 4 2" xfId="32126" xr:uid="{00000000-0005-0000-0000-000037700000}"/>
    <cellStyle name="Output 2 4 11 4 3" xfId="32127" xr:uid="{00000000-0005-0000-0000-000038700000}"/>
    <cellStyle name="Output 2 4 11 5" xfId="21691" xr:uid="{00000000-0005-0000-0000-000039700000}"/>
    <cellStyle name="Output 2 4 11 5 2" xfId="26335" xr:uid="{00000000-0005-0000-0000-00003A700000}"/>
    <cellStyle name="Output 2 4 11 5 3" xfId="32128" xr:uid="{00000000-0005-0000-0000-00003B700000}"/>
    <cellStyle name="Output 2 4 11 6" xfId="21693" xr:uid="{00000000-0005-0000-0000-00003C700000}"/>
    <cellStyle name="Output 2 4 11 7" xfId="21695" xr:uid="{00000000-0005-0000-0000-00003D700000}"/>
    <cellStyle name="Output 2 4 12" xfId="23513" xr:uid="{00000000-0005-0000-0000-00003E700000}"/>
    <cellStyle name="Output 2 4 12 2" xfId="28741" xr:uid="{00000000-0005-0000-0000-00003F700000}"/>
    <cellStyle name="Output 2 4 12 3" xfId="32129" xr:uid="{00000000-0005-0000-0000-000040700000}"/>
    <cellStyle name="Output 2 4 12 4" xfId="32130" xr:uid="{00000000-0005-0000-0000-000041700000}"/>
    <cellStyle name="Output 2 4 13" xfId="32131" xr:uid="{00000000-0005-0000-0000-000042700000}"/>
    <cellStyle name="Output 2 4 13 2" xfId="28745" xr:uid="{00000000-0005-0000-0000-000043700000}"/>
    <cellStyle name="Output 2 4 13 3" xfId="32132" xr:uid="{00000000-0005-0000-0000-000044700000}"/>
    <cellStyle name="Output 2 4 13 4" xfId="32133" xr:uid="{00000000-0005-0000-0000-000045700000}"/>
    <cellStyle name="Output 2 4 14" xfId="32134" xr:uid="{00000000-0005-0000-0000-000046700000}"/>
    <cellStyle name="Output 2 4 14 2" xfId="32135" xr:uid="{00000000-0005-0000-0000-000047700000}"/>
    <cellStyle name="Output 2 4 14 3" xfId="32136" xr:uid="{00000000-0005-0000-0000-000048700000}"/>
    <cellStyle name="Output 2 4 15" xfId="7376" xr:uid="{00000000-0005-0000-0000-000049700000}"/>
    <cellStyle name="Output 2 4 15 2" xfId="32138" xr:uid="{00000000-0005-0000-0000-00004A700000}"/>
    <cellStyle name="Output 2 4 15 3" xfId="32140" xr:uid="{00000000-0005-0000-0000-00004B700000}"/>
    <cellStyle name="Output 2 4 16" xfId="3760" xr:uid="{00000000-0005-0000-0000-00004C700000}"/>
    <cellStyle name="Output 2 4 17" xfId="3764" xr:uid="{00000000-0005-0000-0000-00004D700000}"/>
    <cellStyle name="Output 2 4 18" xfId="3767" xr:uid="{00000000-0005-0000-0000-00004E700000}"/>
    <cellStyle name="Output 2 4 19" xfId="32141" xr:uid="{00000000-0005-0000-0000-00004F700000}"/>
    <cellStyle name="Output 2 4 2" xfId="31104" xr:uid="{00000000-0005-0000-0000-000050700000}"/>
    <cellStyle name="Output 2 4 2 10" xfId="32143" xr:uid="{00000000-0005-0000-0000-000051700000}"/>
    <cellStyle name="Output 2 4 2 10 2" xfId="2579" xr:uid="{00000000-0005-0000-0000-000052700000}"/>
    <cellStyle name="Output 2 4 2 10 2 2" xfId="5090" xr:uid="{00000000-0005-0000-0000-000053700000}"/>
    <cellStyle name="Output 2 4 2 10 2 3" xfId="32144" xr:uid="{00000000-0005-0000-0000-000054700000}"/>
    <cellStyle name="Output 2 4 2 10 2 4" xfId="32145" xr:uid="{00000000-0005-0000-0000-000055700000}"/>
    <cellStyle name="Output 2 4 2 10 3" xfId="32147" xr:uid="{00000000-0005-0000-0000-000056700000}"/>
    <cellStyle name="Output 2 4 2 10 3 2" xfId="11335" xr:uid="{00000000-0005-0000-0000-000057700000}"/>
    <cellStyle name="Output 2 4 2 10 3 3" xfId="11342" xr:uid="{00000000-0005-0000-0000-000058700000}"/>
    <cellStyle name="Output 2 4 2 10 3 4" xfId="11344" xr:uid="{00000000-0005-0000-0000-000059700000}"/>
    <cellStyle name="Output 2 4 2 10 4" xfId="32149" xr:uid="{00000000-0005-0000-0000-00005A700000}"/>
    <cellStyle name="Output 2 4 2 10 4 2" xfId="32152" xr:uid="{00000000-0005-0000-0000-00005B700000}"/>
    <cellStyle name="Output 2 4 2 10 4 3" xfId="32154" xr:uid="{00000000-0005-0000-0000-00005C700000}"/>
    <cellStyle name="Output 2 4 2 10 5" xfId="28578" xr:uid="{00000000-0005-0000-0000-00005D700000}"/>
    <cellStyle name="Output 2 4 2 10 5 2" xfId="28582" xr:uid="{00000000-0005-0000-0000-00005E700000}"/>
    <cellStyle name="Output 2 4 2 10 5 3" xfId="28585" xr:uid="{00000000-0005-0000-0000-00005F700000}"/>
    <cellStyle name="Output 2 4 2 10 6" xfId="28590" xr:uid="{00000000-0005-0000-0000-000060700000}"/>
    <cellStyle name="Output 2 4 2 10 7" xfId="28596" xr:uid="{00000000-0005-0000-0000-000061700000}"/>
    <cellStyle name="Output 2 4 2 11" xfId="32157" xr:uid="{00000000-0005-0000-0000-000062700000}"/>
    <cellStyle name="Output 2 4 2 11 2" xfId="32159" xr:uid="{00000000-0005-0000-0000-000063700000}"/>
    <cellStyle name="Output 2 4 2 11 3" xfId="32161" xr:uid="{00000000-0005-0000-0000-000064700000}"/>
    <cellStyle name="Output 2 4 2 11 4" xfId="32163" xr:uid="{00000000-0005-0000-0000-000065700000}"/>
    <cellStyle name="Output 2 4 2 12" xfId="32165" xr:uid="{00000000-0005-0000-0000-000066700000}"/>
    <cellStyle name="Output 2 4 2 12 2" xfId="32167" xr:uid="{00000000-0005-0000-0000-000067700000}"/>
    <cellStyle name="Output 2 4 2 12 3" xfId="32169" xr:uid="{00000000-0005-0000-0000-000068700000}"/>
    <cellStyle name="Output 2 4 2 12 4" xfId="32170" xr:uid="{00000000-0005-0000-0000-000069700000}"/>
    <cellStyle name="Output 2 4 2 13" xfId="17098" xr:uid="{00000000-0005-0000-0000-00006A700000}"/>
    <cellStyle name="Output 2 4 2 13 2" xfId="32172" xr:uid="{00000000-0005-0000-0000-00006B700000}"/>
    <cellStyle name="Output 2 4 2 13 3" xfId="32174" xr:uid="{00000000-0005-0000-0000-00006C700000}"/>
    <cellStyle name="Output 2 4 2 14" xfId="10795" xr:uid="{00000000-0005-0000-0000-00006D700000}"/>
    <cellStyle name="Output 2 4 2 14 2" xfId="32175" xr:uid="{00000000-0005-0000-0000-00006E700000}"/>
    <cellStyle name="Output 2 4 2 14 3" xfId="32176" xr:uid="{00000000-0005-0000-0000-00006F700000}"/>
    <cellStyle name="Output 2 4 2 15" xfId="10800" xr:uid="{00000000-0005-0000-0000-000070700000}"/>
    <cellStyle name="Output 2 4 2 16" xfId="10803" xr:uid="{00000000-0005-0000-0000-000071700000}"/>
    <cellStyle name="Output 2 4 2 17" xfId="11337" xr:uid="{00000000-0005-0000-0000-000072700000}"/>
    <cellStyle name="Output 2 4 2 2" xfId="32177" xr:uid="{00000000-0005-0000-0000-000073700000}"/>
    <cellStyle name="Output 2 4 2 2 2" xfId="29668" xr:uid="{00000000-0005-0000-0000-000074700000}"/>
    <cellStyle name="Output 2 4 2 2 2 2" xfId="14265" xr:uid="{00000000-0005-0000-0000-000075700000}"/>
    <cellStyle name="Output 2 4 2 2 2 3" xfId="14268" xr:uid="{00000000-0005-0000-0000-000076700000}"/>
    <cellStyle name="Output 2 4 2 2 2 4" xfId="32178" xr:uid="{00000000-0005-0000-0000-000077700000}"/>
    <cellStyle name="Output 2 4 2 2 3" xfId="29670" xr:uid="{00000000-0005-0000-0000-000078700000}"/>
    <cellStyle name="Output 2 4 2 2 3 2" xfId="29672" xr:uid="{00000000-0005-0000-0000-000079700000}"/>
    <cellStyle name="Output 2 4 2 2 3 3" xfId="29674" xr:uid="{00000000-0005-0000-0000-00007A700000}"/>
    <cellStyle name="Output 2 4 2 2 3 4" xfId="32179" xr:uid="{00000000-0005-0000-0000-00007B700000}"/>
    <cellStyle name="Output 2 4 2 2 4" xfId="29676" xr:uid="{00000000-0005-0000-0000-00007C700000}"/>
    <cellStyle name="Output 2 4 2 2 4 2" xfId="32180" xr:uid="{00000000-0005-0000-0000-00007D700000}"/>
    <cellStyle name="Output 2 4 2 2 4 3" xfId="32181" xr:uid="{00000000-0005-0000-0000-00007E700000}"/>
    <cellStyle name="Output 2 4 2 2 5" xfId="29678" xr:uid="{00000000-0005-0000-0000-00007F700000}"/>
    <cellStyle name="Output 2 4 2 2 5 2" xfId="32182" xr:uid="{00000000-0005-0000-0000-000080700000}"/>
    <cellStyle name="Output 2 4 2 2 5 3" xfId="32183" xr:uid="{00000000-0005-0000-0000-000081700000}"/>
    <cellStyle name="Output 2 4 2 2 6" xfId="32184" xr:uid="{00000000-0005-0000-0000-000082700000}"/>
    <cellStyle name="Output 2 4 2 2 7" xfId="32185" xr:uid="{00000000-0005-0000-0000-000083700000}"/>
    <cellStyle name="Output 2 4 2 3" xfId="8361" xr:uid="{00000000-0005-0000-0000-000084700000}"/>
    <cellStyle name="Output 2 4 2 3 2" xfId="29686" xr:uid="{00000000-0005-0000-0000-000085700000}"/>
    <cellStyle name="Output 2 4 2 3 2 2" xfId="29688" xr:uid="{00000000-0005-0000-0000-000086700000}"/>
    <cellStyle name="Output 2 4 2 3 2 3" xfId="850" xr:uid="{00000000-0005-0000-0000-000087700000}"/>
    <cellStyle name="Output 2 4 2 3 2 4" xfId="867" xr:uid="{00000000-0005-0000-0000-000088700000}"/>
    <cellStyle name="Output 2 4 2 3 3" xfId="29690" xr:uid="{00000000-0005-0000-0000-000089700000}"/>
    <cellStyle name="Output 2 4 2 3 3 2" xfId="7632" xr:uid="{00000000-0005-0000-0000-00008A700000}"/>
    <cellStyle name="Output 2 4 2 3 3 3" xfId="29692" xr:uid="{00000000-0005-0000-0000-00008B700000}"/>
    <cellStyle name="Output 2 4 2 3 3 4" xfId="32186" xr:uid="{00000000-0005-0000-0000-00008C700000}"/>
    <cellStyle name="Output 2 4 2 3 4" xfId="29694" xr:uid="{00000000-0005-0000-0000-00008D700000}"/>
    <cellStyle name="Output 2 4 2 3 4 2" xfId="32187" xr:uid="{00000000-0005-0000-0000-00008E700000}"/>
    <cellStyle name="Output 2 4 2 3 4 3" xfId="32188" xr:uid="{00000000-0005-0000-0000-00008F700000}"/>
    <cellStyle name="Output 2 4 2 3 5" xfId="12638" xr:uid="{00000000-0005-0000-0000-000090700000}"/>
    <cellStyle name="Output 2 4 2 3 5 2" xfId="32189" xr:uid="{00000000-0005-0000-0000-000091700000}"/>
    <cellStyle name="Output 2 4 2 3 5 3" xfId="32190" xr:uid="{00000000-0005-0000-0000-000092700000}"/>
    <cellStyle name="Output 2 4 2 3 6" xfId="12640" xr:uid="{00000000-0005-0000-0000-000093700000}"/>
    <cellStyle name="Output 2 4 2 3 7" xfId="12642" xr:uid="{00000000-0005-0000-0000-000094700000}"/>
    <cellStyle name="Output 2 4 2 4" xfId="8364" xr:uid="{00000000-0005-0000-0000-000095700000}"/>
    <cellStyle name="Output 2 4 2 4 2" xfId="29702" xr:uid="{00000000-0005-0000-0000-000096700000}"/>
    <cellStyle name="Output 2 4 2 4 2 2" xfId="29704" xr:uid="{00000000-0005-0000-0000-000097700000}"/>
    <cellStyle name="Output 2 4 2 4 2 3" xfId="29706" xr:uid="{00000000-0005-0000-0000-000098700000}"/>
    <cellStyle name="Output 2 4 2 4 2 4" xfId="32191" xr:uid="{00000000-0005-0000-0000-000099700000}"/>
    <cellStyle name="Output 2 4 2 4 3" xfId="29708" xr:uid="{00000000-0005-0000-0000-00009A700000}"/>
    <cellStyle name="Output 2 4 2 4 3 2" xfId="29710" xr:uid="{00000000-0005-0000-0000-00009B700000}"/>
    <cellStyle name="Output 2 4 2 4 3 3" xfId="29712" xr:uid="{00000000-0005-0000-0000-00009C700000}"/>
    <cellStyle name="Output 2 4 2 4 3 4" xfId="32192" xr:uid="{00000000-0005-0000-0000-00009D700000}"/>
    <cellStyle name="Output 2 4 2 4 4" xfId="29714" xr:uid="{00000000-0005-0000-0000-00009E700000}"/>
    <cellStyle name="Output 2 4 2 4 4 2" xfId="32193" xr:uid="{00000000-0005-0000-0000-00009F700000}"/>
    <cellStyle name="Output 2 4 2 4 4 3" xfId="32194" xr:uid="{00000000-0005-0000-0000-0000A0700000}"/>
    <cellStyle name="Output 2 4 2 4 5" xfId="12649" xr:uid="{00000000-0005-0000-0000-0000A1700000}"/>
    <cellStyle name="Output 2 4 2 4 5 2" xfId="32195" xr:uid="{00000000-0005-0000-0000-0000A2700000}"/>
    <cellStyle name="Output 2 4 2 4 5 3" xfId="32196" xr:uid="{00000000-0005-0000-0000-0000A3700000}"/>
    <cellStyle name="Output 2 4 2 4 6" xfId="12651" xr:uid="{00000000-0005-0000-0000-0000A4700000}"/>
    <cellStyle name="Output 2 4 2 4 7" xfId="12653" xr:uid="{00000000-0005-0000-0000-0000A5700000}"/>
    <cellStyle name="Output 2 4 2 5" xfId="8367" xr:uid="{00000000-0005-0000-0000-0000A6700000}"/>
    <cellStyle name="Output 2 4 2 5 2" xfId="29722" xr:uid="{00000000-0005-0000-0000-0000A7700000}"/>
    <cellStyle name="Output 2 4 2 5 2 2" xfId="29724" xr:uid="{00000000-0005-0000-0000-0000A8700000}"/>
    <cellStyle name="Output 2 4 2 5 2 3" xfId="909" xr:uid="{00000000-0005-0000-0000-0000A9700000}"/>
    <cellStyle name="Output 2 4 2 5 2 4" xfId="19480" xr:uid="{00000000-0005-0000-0000-0000AA700000}"/>
    <cellStyle name="Output 2 4 2 5 3" xfId="29726" xr:uid="{00000000-0005-0000-0000-0000AB700000}"/>
    <cellStyle name="Output 2 4 2 5 3 2" xfId="29728" xr:uid="{00000000-0005-0000-0000-0000AC700000}"/>
    <cellStyle name="Output 2 4 2 5 3 3" xfId="29730" xr:uid="{00000000-0005-0000-0000-0000AD700000}"/>
    <cellStyle name="Output 2 4 2 5 3 4" xfId="19484" xr:uid="{00000000-0005-0000-0000-0000AE700000}"/>
    <cellStyle name="Output 2 4 2 5 4" xfId="29732" xr:uid="{00000000-0005-0000-0000-0000AF700000}"/>
    <cellStyle name="Output 2 4 2 5 4 2" xfId="32197" xr:uid="{00000000-0005-0000-0000-0000B0700000}"/>
    <cellStyle name="Output 2 4 2 5 4 3" xfId="32198" xr:uid="{00000000-0005-0000-0000-0000B1700000}"/>
    <cellStyle name="Output 2 4 2 5 5" xfId="12659" xr:uid="{00000000-0005-0000-0000-0000B2700000}"/>
    <cellStyle name="Output 2 4 2 5 5 2" xfId="32199" xr:uid="{00000000-0005-0000-0000-0000B3700000}"/>
    <cellStyle name="Output 2 4 2 5 5 3" xfId="32200" xr:uid="{00000000-0005-0000-0000-0000B4700000}"/>
    <cellStyle name="Output 2 4 2 5 6" xfId="12661" xr:uid="{00000000-0005-0000-0000-0000B5700000}"/>
    <cellStyle name="Output 2 4 2 5 7" xfId="32201" xr:uid="{00000000-0005-0000-0000-0000B6700000}"/>
    <cellStyle name="Output 2 4 2 6" xfId="23265" xr:uid="{00000000-0005-0000-0000-0000B7700000}"/>
    <cellStyle name="Output 2 4 2 6 2" xfId="18999" xr:uid="{00000000-0005-0000-0000-0000B8700000}"/>
    <cellStyle name="Output 2 4 2 6 2 2" xfId="29738" xr:uid="{00000000-0005-0000-0000-0000B9700000}"/>
    <cellStyle name="Output 2 4 2 6 2 3" xfId="29740" xr:uid="{00000000-0005-0000-0000-0000BA700000}"/>
    <cellStyle name="Output 2 4 2 6 2 4" xfId="32202" xr:uid="{00000000-0005-0000-0000-0000BB700000}"/>
    <cellStyle name="Output 2 4 2 6 3" xfId="19002" xr:uid="{00000000-0005-0000-0000-0000BC700000}"/>
    <cellStyle name="Output 2 4 2 6 3 2" xfId="29742" xr:uid="{00000000-0005-0000-0000-0000BD700000}"/>
    <cellStyle name="Output 2 4 2 6 3 3" xfId="29744" xr:uid="{00000000-0005-0000-0000-0000BE700000}"/>
    <cellStyle name="Output 2 4 2 6 3 4" xfId="32203" xr:uid="{00000000-0005-0000-0000-0000BF700000}"/>
    <cellStyle name="Output 2 4 2 6 4" xfId="29746" xr:uid="{00000000-0005-0000-0000-0000C0700000}"/>
    <cellStyle name="Output 2 4 2 6 4 2" xfId="32204" xr:uid="{00000000-0005-0000-0000-0000C1700000}"/>
    <cellStyle name="Output 2 4 2 6 4 3" xfId="32205" xr:uid="{00000000-0005-0000-0000-0000C2700000}"/>
    <cellStyle name="Output 2 4 2 6 5" xfId="12668" xr:uid="{00000000-0005-0000-0000-0000C3700000}"/>
    <cellStyle name="Output 2 4 2 6 5 2" xfId="32206" xr:uid="{00000000-0005-0000-0000-0000C4700000}"/>
    <cellStyle name="Output 2 4 2 6 5 3" xfId="32207" xr:uid="{00000000-0005-0000-0000-0000C5700000}"/>
    <cellStyle name="Output 2 4 2 6 6" xfId="12671" xr:uid="{00000000-0005-0000-0000-0000C6700000}"/>
    <cellStyle name="Output 2 4 2 6 7" xfId="25672" xr:uid="{00000000-0005-0000-0000-0000C7700000}"/>
    <cellStyle name="Output 2 4 2 7" xfId="2160" xr:uid="{00000000-0005-0000-0000-0000C8700000}"/>
    <cellStyle name="Output 2 4 2 7 2" xfId="2165" xr:uid="{00000000-0005-0000-0000-0000C9700000}"/>
    <cellStyle name="Output 2 4 2 7 2 2" xfId="29749" xr:uid="{00000000-0005-0000-0000-0000CA700000}"/>
    <cellStyle name="Output 2 4 2 7 2 3" xfId="29751" xr:uid="{00000000-0005-0000-0000-0000CB700000}"/>
    <cellStyle name="Output 2 4 2 7 2 4" xfId="32208" xr:uid="{00000000-0005-0000-0000-0000CC700000}"/>
    <cellStyle name="Output 2 4 2 7 3" xfId="19008" xr:uid="{00000000-0005-0000-0000-0000CD700000}"/>
    <cellStyle name="Output 2 4 2 7 3 2" xfId="29753" xr:uid="{00000000-0005-0000-0000-0000CE700000}"/>
    <cellStyle name="Output 2 4 2 7 3 3" xfId="29755" xr:uid="{00000000-0005-0000-0000-0000CF700000}"/>
    <cellStyle name="Output 2 4 2 7 3 4" xfId="32209" xr:uid="{00000000-0005-0000-0000-0000D0700000}"/>
    <cellStyle name="Output 2 4 2 7 4" xfId="29757" xr:uid="{00000000-0005-0000-0000-0000D1700000}"/>
    <cellStyle name="Output 2 4 2 7 4 2" xfId="32210" xr:uid="{00000000-0005-0000-0000-0000D2700000}"/>
    <cellStyle name="Output 2 4 2 7 4 3" xfId="32211" xr:uid="{00000000-0005-0000-0000-0000D3700000}"/>
    <cellStyle name="Output 2 4 2 7 5" xfId="25675" xr:uid="{00000000-0005-0000-0000-0000D4700000}"/>
    <cellStyle name="Output 2 4 2 7 5 2" xfId="32212" xr:uid="{00000000-0005-0000-0000-0000D5700000}"/>
    <cellStyle name="Output 2 4 2 7 5 3" xfId="32213" xr:uid="{00000000-0005-0000-0000-0000D6700000}"/>
    <cellStyle name="Output 2 4 2 7 6" xfId="25677" xr:uid="{00000000-0005-0000-0000-0000D7700000}"/>
    <cellStyle name="Output 2 4 2 7 7" xfId="25679" xr:uid="{00000000-0005-0000-0000-0000D8700000}"/>
    <cellStyle name="Output 2 4 2 8" xfId="32214" xr:uid="{00000000-0005-0000-0000-0000D9700000}"/>
    <cellStyle name="Output 2 4 2 8 2" xfId="19014" xr:uid="{00000000-0005-0000-0000-0000DA700000}"/>
    <cellStyle name="Output 2 4 2 8 2 2" xfId="29763" xr:uid="{00000000-0005-0000-0000-0000DB700000}"/>
    <cellStyle name="Output 2 4 2 8 2 3" xfId="20984" xr:uid="{00000000-0005-0000-0000-0000DC700000}"/>
    <cellStyle name="Output 2 4 2 8 2 4" xfId="20986" xr:uid="{00000000-0005-0000-0000-0000DD700000}"/>
    <cellStyle name="Output 2 4 2 8 3" xfId="116" xr:uid="{00000000-0005-0000-0000-0000DE700000}"/>
    <cellStyle name="Output 2 4 2 8 3 2" xfId="27653" xr:uid="{00000000-0005-0000-0000-0000DF700000}"/>
    <cellStyle name="Output 2 4 2 8 3 3" xfId="20992" xr:uid="{00000000-0005-0000-0000-0000E0700000}"/>
    <cellStyle name="Output 2 4 2 8 3 4" xfId="20995" xr:uid="{00000000-0005-0000-0000-0000E1700000}"/>
    <cellStyle name="Output 2 4 2 8 4" xfId="27657" xr:uid="{00000000-0005-0000-0000-0000E2700000}"/>
    <cellStyle name="Output 2 4 2 8 4 2" xfId="27659" xr:uid="{00000000-0005-0000-0000-0000E3700000}"/>
    <cellStyle name="Output 2 4 2 8 4 3" xfId="21000" xr:uid="{00000000-0005-0000-0000-0000E4700000}"/>
    <cellStyle name="Output 2 4 2 8 5" xfId="25683" xr:uid="{00000000-0005-0000-0000-0000E5700000}"/>
    <cellStyle name="Output 2 4 2 8 5 2" xfId="27661" xr:uid="{00000000-0005-0000-0000-0000E6700000}"/>
    <cellStyle name="Output 2 4 2 8 5 3" xfId="21006" xr:uid="{00000000-0005-0000-0000-0000E7700000}"/>
    <cellStyle name="Output 2 4 2 8 6" xfId="25686" xr:uid="{00000000-0005-0000-0000-0000E8700000}"/>
    <cellStyle name="Output 2 4 2 8 7" xfId="27665" xr:uid="{00000000-0005-0000-0000-0000E9700000}"/>
    <cellStyle name="Output 2 4 2 9" xfId="32215" xr:uid="{00000000-0005-0000-0000-0000EA700000}"/>
    <cellStyle name="Output 2 4 2 9 2" xfId="19018" xr:uid="{00000000-0005-0000-0000-0000EB700000}"/>
    <cellStyle name="Output 2 4 2 9 2 2" xfId="32216" xr:uid="{00000000-0005-0000-0000-0000EC700000}"/>
    <cellStyle name="Output 2 4 2 9 2 3" xfId="32217" xr:uid="{00000000-0005-0000-0000-0000ED700000}"/>
    <cellStyle name="Output 2 4 2 9 2 4" xfId="32218" xr:uid="{00000000-0005-0000-0000-0000EE700000}"/>
    <cellStyle name="Output 2 4 2 9 3" xfId="27669" xr:uid="{00000000-0005-0000-0000-0000EF700000}"/>
    <cellStyle name="Output 2 4 2 9 3 2" xfId="27671" xr:uid="{00000000-0005-0000-0000-0000F0700000}"/>
    <cellStyle name="Output 2 4 2 9 3 3" xfId="27673" xr:uid="{00000000-0005-0000-0000-0000F1700000}"/>
    <cellStyle name="Output 2 4 2 9 3 4" xfId="27675" xr:uid="{00000000-0005-0000-0000-0000F2700000}"/>
    <cellStyle name="Output 2 4 2 9 4" xfId="27677" xr:uid="{00000000-0005-0000-0000-0000F3700000}"/>
    <cellStyle name="Output 2 4 2 9 4 2" xfId="27679" xr:uid="{00000000-0005-0000-0000-0000F4700000}"/>
    <cellStyle name="Output 2 4 2 9 4 3" xfId="27681" xr:uid="{00000000-0005-0000-0000-0000F5700000}"/>
    <cellStyle name="Output 2 4 2 9 5" xfId="25690" xr:uid="{00000000-0005-0000-0000-0000F6700000}"/>
    <cellStyle name="Output 2 4 2 9 5 2" xfId="23475" xr:uid="{00000000-0005-0000-0000-0000F7700000}"/>
    <cellStyle name="Output 2 4 2 9 5 3" xfId="23478" xr:uid="{00000000-0005-0000-0000-0000F8700000}"/>
    <cellStyle name="Output 2 4 2 9 6" xfId="25693" xr:uid="{00000000-0005-0000-0000-0000F9700000}"/>
    <cellStyle name="Output 2 4 2 9 7" xfId="17176" xr:uid="{00000000-0005-0000-0000-0000FA700000}"/>
    <cellStyle name="Output 2 4 3" xfId="32219" xr:uid="{00000000-0005-0000-0000-0000FB700000}"/>
    <cellStyle name="Output 2 4 3 10" xfId="32220" xr:uid="{00000000-0005-0000-0000-0000FC700000}"/>
    <cellStyle name="Output 2 4 3 10 2" xfId="21769" xr:uid="{00000000-0005-0000-0000-0000FD700000}"/>
    <cellStyle name="Output 2 4 3 10 2 2" xfId="21772" xr:uid="{00000000-0005-0000-0000-0000FE700000}"/>
    <cellStyle name="Output 2 4 3 10 2 3" xfId="21775" xr:uid="{00000000-0005-0000-0000-0000FF700000}"/>
    <cellStyle name="Output 2 4 3 10 2 4" xfId="9001" xr:uid="{00000000-0005-0000-0000-000000710000}"/>
    <cellStyle name="Output 2 4 3 10 3" xfId="21777" xr:uid="{00000000-0005-0000-0000-000001710000}"/>
    <cellStyle name="Output 2 4 3 10 3 2" xfId="21780" xr:uid="{00000000-0005-0000-0000-000002710000}"/>
    <cellStyle name="Output 2 4 3 10 3 3" xfId="917" xr:uid="{00000000-0005-0000-0000-000003710000}"/>
    <cellStyle name="Output 2 4 3 10 3 4" xfId="9011" xr:uid="{00000000-0005-0000-0000-000004710000}"/>
    <cellStyle name="Output 2 4 3 10 4" xfId="21782" xr:uid="{00000000-0005-0000-0000-000005710000}"/>
    <cellStyle name="Output 2 4 3 10 4 2" xfId="26392" xr:uid="{00000000-0005-0000-0000-000006710000}"/>
    <cellStyle name="Output 2 4 3 10 4 3" xfId="26396" xr:uid="{00000000-0005-0000-0000-000007710000}"/>
    <cellStyle name="Output 2 4 3 10 5" xfId="21786" xr:uid="{00000000-0005-0000-0000-000008710000}"/>
    <cellStyle name="Output 2 4 3 10 5 2" xfId="26419" xr:uid="{00000000-0005-0000-0000-000009710000}"/>
    <cellStyle name="Output 2 4 3 10 5 3" xfId="26423" xr:uid="{00000000-0005-0000-0000-00000A710000}"/>
    <cellStyle name="Output 2 4 3 10 6" xfId="28776" xr:uid="{00000000-0005-0000-0000-00000B710000}"/>
    <cellStyle name="Output 2 4 3 10 7" xfId="27506" xr:uid="{00000000-0005-0000-0000-00000C710000}"/>
    <cellStyle name="Output 2 4 3 11" xfId="32222" xr:uid="{00000000-0005-0000-0000-00000D710000}"/>
    <cellStyle name="Output 2 4 3 11 2" xfId="21800" xr:uid="{00000000-0005-0000-0000-00000E710000}"/>
    <cellStyle name="Output 2 4 3 11 3" xfId="21806" xr:uid="{00000000-0005-0000-0000-00000F710000}"/>
    <cellStyle name="Output 2 4 3 11 4" xfId="21812" xr:uid="{00000000-0005-0000-0000-000010710000}"/>
    <cellStyle name="Output 2 4 3 12" xfId="32223" xr:uid="{00000000-0005-0000-0000-000011710000}"/>
    <cellStyle name="Output 2 4 3 12 2" xfId="21838" xr:uid="{00000000-0005-0000-0000-000012710000}"/>
    <cellStyle name="Output 2 4 3 12 3" xfId="21844" xr:uid="{00000000-0005-0000-0000-000013710000}"/>
    <cellStyle name="Output 2 4 3 12 4" xfId="21850" xr:uid="{00000000-0005-0000-0000-000014710000}"/>
    <cellStyle name="Output 2 4 3 13" xfId="32224" xr:uid="{00000000-0005-0000-0000-000015710000}"/>
    <cellStyle name="Output 2 4 3 13 2" xfId="21874" xr:uid="{00000000-0005-0000-0000-000016710000}"/>
    <cellStyle name="Output 2 4 3 13 3" xfId="21880" xr:uid="{00000000-0005-0000-0000-000017710000}"/>
    <cellStyle name="Output 2 4 3 14" xfId="22393" xr:uid="{00000000-0005-0000-0000-000018710000}"/>
    <cellStyle name="Output 2 4 3 14 2" xfId="32225" xr:uid="{00000000-0005-0000-0000-000019710000}"/>
    <cellStyle name="Output 2 4 3 14 3" xfId="32226" xr:uid="{00000000-0005-0000-0000-00001A710000}"/>
    <cellStyle name="Output 2 4 3 15" xfId="22397" xr:uid="{00000000-0005-0000-0000-00001B710000}"/>
    <cellStyle name="Output 2 4 3 16" xfId="22400" xr:uid="{00000000-0005-0000-0000-00001C710000}"/>
    <cellStyle name="Output 2 4 3 2" xfId="32227" xr:uid="{00000000-0005-0000-0000-00001D710000}"/>
    <cellStyle name="Output 2 4 3 2 2" xfId="29829" xr:uid="{00000000-0005-0000-0000-00001E710000}"/>
    <cellStyle name="Output 2 4 3 2 2 2" xfId="29831" xr:uid="{00000000-0005-0000-0000-00001F710000}"/>
    <cellStyle name="Output 2 4 3 2 2 3" xfId="29833" xr:uid="{00000000-0005-0000-0000-000020710000}"/>
    <cellStyle name="Output 2 4 3 2 2 4" xfId="32228" xr:uid="{00000000-0005-0000-0000-000021710000}"/>
    <cellStyle name="Output 2 4 3 2 3" xfId="29835" xr:uid="{00000000-0005-0000-0000-000022710000}"/>
    <cellStyle name="Output 2 4 3 2 3 2" xfId="29837" xr:uid="{00000000-0005-0000-0000-000023710000}"/>
    <cellStyle name="Output 2 4 3 2 3 3" xfId="29839" xr:uid="{00000000-0005-0000-0000-000024710000}"/>
    <cellStyle name="Output 2 4 3 2 3 4" xfId="32229" xr:uid="{00000000-0005-0000-0000-000025710000}"/>
    <cellStyle name="Output 2 4 3 2 4" xfId="29841" xr:uid="{00000000-0005-0000-0000-000026710000}"/>
    <cellStyle name="Output 2 4 3 2 4 2" xfId="32230" xr:uid="{00000000-0005-0000-0000-000027710000}"/>
    <cellStyle name="Output 2 4 3 2 4 3" xfId="32231" xr:uid="{00000000-0005-0000-0000-000028710000}"/>
    <cellStyle name="Output 2 4 3 2 5" xfId="29843" xr:uid="{00000000-0005-0000-0000-000029710000}"/>
    <cellStyle name="Output 2 4 3 2 5 2" xfId="32232" xr:uid="{00000000-0005-0000-0000-00002A710000}"/>
    <cellStyle name="Output 2 4 3 2 5 3" xfId="32233" xr:uid="{00000000-0005-0000-0000-00002B710000}"/>
    <cellStyle name="Output 2 4 3 2 6" xfId="32234" xr:uid="{00000000-0005-0000-0000-00002C710000}"/>
    <cellStyle name="Output 2 4 3 2 7" xfId="32235" xr:uid="{00000000-0005-0000-0000-00002D710000}"/>
    <cellStyle name="Output 2 4 3 3" xfId="8371" xr:uid="{00000000-0005-0000-0000-00002E710000}"/>
    <cellStyle name="Output 2 4 3 3 2" xfId="29851" xr:uid="{00000000-0005-0000-0000-00002F710000}"/>
    <cellStyle name="Output 2 4 3 3 2 2" xfId="29853" xr:uid="{00000000-0005-0000-0000-000030710000}"/>
    <cellStyle name="Output 2 4 3 3 2 3" xfId="29855" xr:uid="{00000000-0005-0000-0000-000031710000}"/>
    <cellStyle name="Output 2 4 3 3 2 4" xfId="32236" xr:uid="{00000000-0005-0000-0000-000032710000}"/>
    <cellStyle name="Output 2 4 3 3 3" xfId="29857" xr:uid="{00000000-0005-0000-0000-000033710000}"/>
    <cellStyle name="Output 2 4 3 3 3 2" xfId="26732" xr:uid="{00000000-0005-0000-0000-000034710000}"/>
    <cellStyle name="Output 2 4 3 3 3 3" xfId="29859" xr:uid="{00000000-0005-0000-0000-000035710000}"/>
    <cellStyle name="Output 2 4 3 3 3 4" xfId="32237" xr:uid="{00000000-0005-0000-0000-000036710000}"/>
    <cellStyle name="Output 2 4 3 3 4" xfId="29861" xr:uid="{00000000-0005-0000-0000-000037710000}"/>
    <cellStyle name="Output 2 4 3 3 4 2" xfId="32238" xr:uid="{00000000-0005-0000-0000-000038710000}"/>
    <cellStyle name="Output 2 4 3 3 4 3" xfId="32239" xr:uid="{00000000-0005-0000-0000-000039710000}"/>
    <cellStyle name="Output 2 4 3 3 5" xfId="29863" xr:uid="{00000000-0005-0000-0000-00003A710000}"/>
    <cellStyle name="Output 2 4 3 3 5 2" xfId="32240" xr:uid="{00000000-0005-0000-0000-00003B710000}"/>
    <cellStyle name="Output 2 4 3 3 5 3" xfId="32241" xr:uid="{00000000-0005-0000-0000-00003C710000}"/>
    <cellStyle name="Output 2 4 3 3 6" xfId="32242" xr:uid="{00000000-0005-0000-0000-00003D710000}"/>
    <cellStyle name="Output 2 4 3 3 7" xfId="32243" xr:uid="{00000000-0005-0000-0000-00003E710000}"/>
    <cellStyle name="Output 2 4 3 4" xfId="8374" xr:uid="{00000000-0005-0000-0000-00003F710000}"/>
    <cellStyle name="Output 2 4 3 4 2" xfId="29871" xr:uid="{00000000-0005-0000-0000-000040710000}"/>
    <cellStyle name="Output 2 4 3 4 2 2" xfId="29873" xr:uid="{00000000-0005-0000-0000-000041710000}"/>
    <cellStyle name="Output 2 4 3 4 2 3" xfId="29875" xr:uid="{00000000-0005-0000-0000-000042710000}"/>
    <cellStyle name="Output 2 4 3 4 2 4" xfId="32244" xr:uid="{00000000-0005-0000-0000-000043710000}"/>
    <cellStyle name="Output 2 4 3 4 3" xfId="29877" xr:uid="{00000000-0005-0000-0000-000044710000}"/>
    <cellStyle name="Output 2 4 3 4 3 2" xfId="29879" xr:uid="{00000000-0005-0000-0000-000045710000}"/>
    <cellStyle name="Output 2 4 3 4 3 3" xfId="29881" xr:uid="{00000000-0005-0000-0000-000046710000}"/>
    <cellStyle name="Output 2 4 3 4 3 4" xfId="32245" xr:uid="{00000000-0005-0000-0000-000047710000}"/>
    <cellStyle name="Output 2 4 3 4 4" xfId="29883" xr:uid="{00000000-0005-0000-0000-000048710000}"/>
    <cellStyle name="Output 2 4 3 4 4 2" xfId="32246" xr:uid="{00000000-0005-0000-0000-000049710000}"/>
    <cellStyle name="Output 2 4 3 4 4 3" xfId="32247" xr:uid="{00000000-0005-0000-0000-00004A710000}"/>
    <cellStyle name="Output 2 4 3 4 5" xfId="29885" xr:uid="{00000000-0005-0000-0000-00004B710000}"/>
    <cellStyle name="Output 2 4 3 4 5 2" xfId="32248" xr:uid="{00000000-0005-0000-0000-00004C710000}"/>
    <cellStyle name="Output 2 4 3 4 5 3" xfId="32249" xr:uid="{00000000-0005-0000-0000-00004D710000}"/>
    <cellStyle name="Output 2 4 3 4 6" xfId="32250" xr:uid="{00000000-0005-0000-0000-00004E710000}"/>
    <cellStyle name="Output 2 4 3 4 7" xfId="32251" xr:uid="{00000000-0005-0000-0000-00004F710000}"/>
    <cellStyle name="Output 2 4 3 5" xfId="8377" xr:uid="{00000000-0005-0000-0000-000050710000}"/>
    <cellStyle name="Output 2 4 3 5 2" xfId="29893" xr:uid="{00000000-0005-0000-0000-000051710000}"/>
    <cellStyle name="Output 2 4 3 5 2 2" xfId="29895" xr:uid="{00000000-0005-0000-0000-000052710000}"/>
    <cellStyle name="Output 2 4 3 5 2 3" xfId="29897" xr:uid="{00000000-0005-0000-0000-000053710000}"/>
    <cellStyle name="Output 2 4 3 5 2 4" xfId="32252" xr:uid="{00000000-0005-0000-0000-000054710000}"/>
    <cellStyle name="Output 2 4 3 5 3" xfId="29899" xr:uid="{00000000-0005-0000-0000-000055710000}"/>
    <cellStyle name="Output 2 4 3 5 3 2" xfId="29901" xr:uid="{00000000-0005-0000-0000-000056710000}"/>
    <cellStyle name="Output 2 4 3 5 3 3" xfId="29903" xr:uid="{00000000-0005-0000-0000-000057710000}"/>
    <cellStyle name="Output 2 4 3 5 3 4" xfId="32253" xr:uid="{00000000-0005-0000-0000-000058710000}"/>
    <cellStyle name="Output 2 4 3 5 4" xfId="29905" xr:uid="{00000000-0005-0000-0000-000059710000}"/>
    <cellStyle name="Output 2 4 3 5 4 2" xfId="32254" xr:uid="{00000000-0005-0000-0000-00005A710000}"/>
    <cellStyle name="Output 2 4 3 5 4 3" xfId="32255" xr:uid="{00000000-0005-0000-0000-00005B710000}"/>
    <cellStyle name="Output 2 4 3 5 5" xfId="29907" xr:uid="{00000000-0005-0000-0000-00005C710000}"/>
    <cellStyle name="Output 2 4 3 5 5 2" xfId="32256" xr:uid="{00000000-0005-0000-0000-00005D710000}"/>
    <cellStyle name="Output 2 4 3 5 5 3" xfId="32257" xr:uid="{00000000-0005-0000-0000-00005E710000}"/>
    <cellStyle name="Output 2 4 3 5 6" xfId="32258" xr:uid="{00000000-0005-0000-0000-00005F710000}"/>
    <cellStyle name="Output 2 4 3 5 7" xfId="32259" xr:uid="{00000000-0005-0000-0000-000060710000}"/>
    <cellStyle name="Output 2 4 3 6" xfId="23269" xr:uid="{00000000-0005-0000-0000-000061710000}"/>
    <cellStyle name="Output 2 4 3 6 2" xfId="29914" xr:uid="{00000000-0005-0000-0000-000062710000}"/>
    <cellStyle name="Output 2 4 3 6 2 2" xfId="7989" xr:uid="{00000000-0005-0000-0000-000063710000}"/>
    <cellStyle name="Output 2 4 3 6 2 3" xfId="8040" xr:uid="{00000000-0005-0000-0000-000064710000}"/>
    <cellStyle name="Output 2 4 3 6 2 4" xfId="8084" xr:uid="{00000000-0005-0000-0000-000065710000}"/>
    <cellStyle name="Output 2 4 3 6 3" xfId="29916" xr:uid="{00000000-0005-0000-0000-000066710000}"/>
    <cellStyle name="Output 2 4 3 6 3 2" xfId="8890" xr:uid="{00000000-0005-0000-0000-000067710000}"/>
    <cellStyle name="Output 2 4 3 6 3 3" xfId="8927" xr:uid="{00000000-0005-0000-0000-000068710000}"/>
    <cellStyle name="Output 2 4 3 6 3 4" xfId="8945" xr:uid="{00000000-0005-0000-0000-000069710000}"/>
    <cellStyle name="Output 2 4 3 6 4" xfId="29918" xr:uid="{00000000-0005-0000-0000-00006A710000}"/>
    <cellStyle name="Output 2 4 3 6 4 2" xfId="9850" xr:uid="{00000000-0005-0000-0000-00006B710000}"/>
    <cellStyle name="Output 2 4 3 6 4 3" xfId="9893" xr:uid="{00000000-0005-0000-0000-00006C710000}"/>
    <cellStyle name="Output 2 4 3 6 5" xfId="25702" xr:uid="{00000000-0005-0000-0000-00006D710000}"/>
    <cellStyle name="Output 2 4 3 6 5 2" xfId="10730" xr:uid="{00000000-0005-0000-0000-00006E710000}"/>
    <cellStyle name="Output 2 4 3 6 5 3" xfId="10751" xr:uid="{00000000-0005-0000-0000-00006F710000}"/>
    <cellStyle name="Output 2 4 3 6 6" xfId="25705" xr:uid="{00000000-0005-0000-0000-000070710000}"/>
    <cellStyle name="Output 2 4 3 6 7" xfId="25708" xr:uid="{00000000-0005-0000-0000-000071710000}"/>
    <cellStyle name="Output 2 4 3 7" xfId="28057" xr:uid="{00000000-0005-0000-0000-000072710000}"/>
    <cellStyle name="Output 2 4 3 7 2" xfId="29927" xr:uid="{00000000-0005-0000-0000-000073710000}"/>
    <cellStyle name="Output 2 4 3 7 2 2" xfId="29929" xr:uid="{00000000-0005-0000-0000-000074710000}"/>
    <cellStyle name="Output 2 4 3 7 2 3" xfId="29931" xr:uid="{00000000-0005-0000-0000-000075710000}"/>
    <cellStyle name="Output 2 4 3 7 2 4" xfId="32260" xr:uid="{00000000-0005-0000-0000-000076710000}"/>
    <cellStyle name="Output 2 4 3 7 3" xfId="29933" xr:uid="{00000000-0005-0000-0000-000077710000}"/>
    <cellStyle name="Output 2 4 3 7 3 2" xfId="29935" xr:uid="{00000000-0005-0000-0000-000078710000}"/>
    <cellStyle name="Output 2 4 3 7 3 3" xfId="29937" xr:uid="{00000000-0005-0000-0000-000079710000}"/>
    <cellStyle name="Output 2 4 3 7 3 4" xfId="32261" xr:uid="{00000000-0005-0000-0000-00007A710000}"/>
    <cellStyle name="Output 2 4 3 7 4" xfId="29939" xr:uid="{00000000-0005-0000-0000-00007B710000}"/>
    <cellStyle name="Output 2 4 3 7 4 2" xfId="32262" xr:uid="{00000000-0005-0000-0000-00007C710000}"/>
    <cellStyle name="Output 2 4 3 7 4 3" xfId="32263" xr:uid="{00000000-0005-0000-0000-00007D710000}"/>
    <cellStyle name="Output 2 4 3 7 5" xfId="25713" xr:uid="{00000000-0005-0000-0000-00007E710000}"/>
    <cellStyle name="Output 2 4 3 7 5 2" xfId="32264" xr:uid="{00000000-0005-0000-0000-00007F710000}"/>
    <cellStyle name="Output 2 4 3 7 5 3" xfId="32265" xr:uid="{00000000-0005-0000-0000-000080710000}"/>
    <cellStyle name="Output 2 4 3 7 6" xfId="25716" xr:uid="{00000000-0005-0000-0000-000081710000}"/>
    <cellStyle name="Output 2 4 3 7 7" xfId="25719" xr:uid="{00000000-0005-0000-0000-000082710000}"/>
    <cellStyle name="Output 2 4 3 8" xfId="32266" xr:uid="{00000000-0005-0000-0000-000083710000}"/>
    <cellStyle name="Output 2 4 3 8 2" xfId="29947" xr:uid="{00000000-0005-0000-0000-000084710000}"/>
    <cellStyle name="Output 2 4 3 8 2 2" xfId="29949" xr:uid="{00000000-0005-0000-0000-000085710000}"/>
    <cellStyle name="Output 2 4 3 8 2 3" xfId="29951" xr:uid="{00000000-0005-0000-0000-000086710000}"/>
    <cellStyle name="Output 2 4 3 8 2 4" xfId="32267" xr:uid="{00000000-0005-0000-0000-000087710000}"/>
    <cellStyle name="Output 2 4 3 8 3" xfId="27752" xr:uid="{00000000-0005-0000-0000-000088710000}"/>
    <cellStyle name="Output 2 4 3 8 3 2" xfId="29953" xr:uid="{00000000-0005-0000-0000-000089710000}"/>
    <cellStyle name="Output 2 4 3 8 3 3" xfId="29955" xr:uid="{00000000-0005-0000-0000-00008A710000}"/>
    <cellStyle name="Output 2 4 3 8 3 4" xfId="32268" xr:uid="{00000000-0005-0000-0000-00008B710000}"/>
    <cellStyle name="Output 2 4 3 8 4" xfId="27755" xr:uid="{00000000-0005-0000-0000-00008C710000}"/>
    <cellStyle name="Output 2 4 3 8 4 2" xfId="32269" xr:uid="{00000000-0005-0000-0000-00008D710000}"/>
    <cellStyle name="Output 2 4 3 8 4 3" xfId="32270" xr:uid="{00000000-0005-0000-0000-00008E710000}"/>
    <cellStyle name="Output 2 4 3 8 5" xfId="25725" xr:uid="{00000000-0005-0000-0000-00008F710000}"/>
    <cellStyle name="Output 2 4 3 8 5 2" xfId="32271" xr:uid="{00000000-0005-0000-0000-000090710000}"/>
    <cellStyle name="Output 2 4 3 8 5 3" xfId="32272" xr:uid="{00000000-0005-0000-0000-000091710000}"/>
    <cellStyle name="Output 2 4 3 8 6" xfId="25728" xr:uid="{00000000-0005-0000-0000-000092710000}"/>
    <cellStyle name="Output 2 4 3 8 7" xfId="31287" xr:uid="{00000000-0005-0000-0000-000093710000}"/>
    <cellStyle name="Output 2 4 3 9" xfId="6278" xr:uid="{00000000-0005-0000-0000-000094710000}"/>
    <cellStyle name="Output 2 4 3 9 2" xfId="6285" xr:uid="{00000000-0005-0000-0000-000095710000}"/>
    <cellStyle name="Output 2 4 3 9 2 2" xfId="25474" xr:uid="{00000000-0005-0000-0000-000096710000}"/>
    <cellStyle name="Output 2 4 3 9 2 3" xfId="25477" xr:uid="{00000000-0005-0000-0000-000097710000}"/>
    <cellStyle name="Output 2 4 3 9 2 4" xfId="26060" xr:uid="{00000000-0005-0000-0000-000098710000}"/>
    <cellStyle name="Output 2 4 3 9 3" xfId="6292" xr:uid="{00000000-0005-0000-0000-000099710000}"/>
    <cellStyle name="Output 2 4 3 9 3 2" xfId="25484" xr:uid="{00000000-0005-0000-0000-00009A710000}"/>
    <cellStyle name="Output 2 4 3 9 3 3" xfId="26069" xr:uid="{00000000-0005-0000-0000-00009B710000}"/>
    <cellStyle name="Output 2 4 3 9 3 4" xfId="26071" xr:uid="{00000000-0005-0000-0000-00009C710000}"/>
    <cellStyle name="Output 2 4 3 9 4" xfId="6297" xr:uid="{00000000-0005-0000-0000-00009D710000}"/>
    <cellStyle name="Output 2 4 3 9 4 2" xfId="25488" xr:uid="{00000000-0005-0000-0000-00009E710000}"/>
    <cellStyle name="Output 2 4 3 9 4 3" xfId="32273" xr:uid="{00000000-0005-0000-0000-00009F710000}"/>
    <cellStyle name="Output 2 4 3 9 5" xfId="25731" xr:uid="{00000000-0005-0000-0000-0000A0710000}"/>
    <cellStyle name="Output 2 4 3 9 5 2" xfId="32274" xr:uid="{00000000-0005-0000-0000-0000A1710000}"/>
    <cellStyle name="Output 2 4 3 9 5 3" xfId="32275" xr:uid="{00000000-0005-0000-0000-0000A2710000}"/>
    <cellStyle name="Output 2 4 3 9 6" xfId="25734" xr:uid="{00000000-0005-0000-0000-0000A3710000}"/>
    <cellStyle name="Output 2 4 3 9 7" xfId="17207" xr:uid="{00000000-0005-0000-0000-0000A4710000}"/>
    <cellStyle name="Output 2 4 4" xfId="32276" xr:uid="{00000000-0005-0000-0000-0000A5710000}"/>
    <cellStyle name="Output 2 4 4 2" xfId="32277" xr:uid="{00000000-0005-0000-0000-0000A6710000}"/>
    <cellStyle name="Output 2 4 4 2 2" xfId="29961" xr:uid="{00000000-0005-0000-0000-0000A7710000}"/>
    <cellStyle name="Output 2 4 4 2 3" xfId="32278" xr:uid="{00000000-0005-0000-0000-0000A8710000}"/>
    <cellStyle name="Output 2 4 4 2 4" xfId="32279" xr:uid="{00000000-0005-0000-0000-0000A9710000}"/>
    <cellStyle name="Output 2 4 4 3" xfId="8381" xr:uid="{00000000-0005-0000-0000-0000AA710000}"/>
    <cellStyle name="Output 2 4 4 3 2" xfId="32280" xr:uid="{00000000-0005-0000-0000-0000AB710000}"/>
    <cellStyle name="Output 2 4 4 3 3" xfId="19067" xr:uid="{00000000-0005-0000-0000-0000AC710000}"/>
    <cellStyle name="Output 2 4 4 3 4" xfId="32281" xr:uid="{00000000-0005-0000-0000-0000AD710000}"/>
    <cellStyle name="Output 2 4 4 4" xfId="23272" xr:uid="{00000000-0005-0000-0000-0000AE710000}"/>
    <cellStyle name="Output 2 4 4 4 2" xfId="32282" xr:uid="{00000000-0005-0000-0000-0000AF710000}"/>
    <cellStyle name="Output 2 4 4 4 3" xfId="32283" xr:uid="{00000000-0005-0000-0000-0000B0710000}"/>
    <cellStyle name="Output 2 4 4 5" xfId="23274" xr:uid="{00000000-0005-0000-0000-0000B1710000}"/>
    <cellStyle name="Output 2 4 4 5 2" xfId="32284" xr:uid="{00000000-0005-0000-0000-0000B2710000}"/>
    <cellStyle name="Output 2 4 4 5 3" xfId="32285" xr:uid="{00000000-0005-0000-0000-0000B3710000}"/>
    <cellStyle name="Output 2 4 4 6" xfId="32286" xr:uid="{00000000-0005-0000-0000-0000B4710000}"/>
    <cellStyle name="Output 2 4 4 7" xfId="32287" xr:uid="{00000000-0005-0000-0000-0000B5710000}"/>
    <cellStyle name="Output 2 4 5" xfId="32288" xr:uid="{00000000-0005-0000-0000-0000B6710000}"/>
    <cellStyle name="Output 2 4 5 2" xfId="24408" xr:uid="{00000000-0005-0000-0000-0000B7710000}"/>
    <cellStyle name="Output 2 4 5 2 2" xfId="15890" xr:uid="{00000000-0005-0000-0000-0000B8710000}"/>
    <cellStyle name="Output 2 4 5 2 3" xfId="15893" xr:uid="{00000000-0005-0000-0000-0000B9710000}"/>
    <cellStyle name="Output 2 4 5 2 4" xfId="24410" xr:uid="{00000000-0005-0000-0000-0000BA710000}"/>
    <cellStyle name="Output 2 4 5 3" xfId="8386" xr:uid="{00000000-0005-0000-0000-0000BB710000}"/>
    <cellStyle name="Output 2 4 5 3 2" xfId="10903" xr:uid="{00000000-0005-0000-0000-0000BC710000}"/>
    <cellStyle name="Output 2 4 5 3 3" xfId="10907" xr:uid="{00000000-0005-0000-0000-0000BD710000}"/>
    <cellStyle name="Output 2 4 5 3 4" xfId="24412" xr:uid="{00000000-0005-0000-0000-0000BE710000}"/>
    <cellStyle name="Output 2 4 5 4" xfId="23278" xr:uid="{00000000-0005-0000-0000-0000BF710000}"/>
    <cellStyle name="Output 2 4 5 4 2" xfId="10914" xr:uid="{00000000-0005-0000-0000-0000C0710000}"/>
    <cellStyle name="Output 2 4 5 4 3" xfId="10918" xr:uid="{00000000-0005-0000-0000-0000C1710000}"/>
    <cellStyle name="Output 2 4 5 5" xfId="23281" xr:uid="{00000000-0005-0000-0000-0000C2710000}"/>
    <cellStyle name="Output 2 4 5 5 2" xfId="10925" xr:uid="{00000000-0005-0000-0000-0000C3710000}"/>
    <cellStyle name="Output 2 4 5 5 3" xfId="15951" xr:uid="{00000000-0005-0000-0000-0000C4710000}"/>
    <cellStyle name="Output 2 4 5 6" xfId="24414" xr:uid="{00000000-0005-0000-0000-0000C5710000}"/>
    <cellStyle name="Output 2 4 5 7" xfId="24416" xr:uid="{00000000-0005-0000-0000-0000C6710000}"/>
    <cellStyle name="Output 2 4 6" xfId="24803" xr:uid="{00000000-0005-0000-0000-0000C7710000}"/>
    <cellStyle name="Output 2 4 6 2" xfId="32289" xr:uid="{00000000-0005-0000-0000-0000C8710000}"/>
    <cellStyle name="Output 2 4 6 2 2" xfId="16084" xr:uid="{00000000-0005-0000-0000-0000C9710000}"/>
    <cellStyle name="Output 2 4 6 2 3" xfId="16086" xr:uid="{00000000-0005-0000-0000-0000CA710000}"/>
    <cellStyle name="Output 2 4 6 2 4" xfId="8623" xr:uid="{00000000-0005-0000-0000-0000CB710000}"/>
    <cellStyle name="Output 2 4 6 3" xfId="8390" xr:uid="{00000000-0005-0000-0000-0000CC710000}"/>
    <cellStyle name="Output 2 4 6 3 2" xfId="10941" xr:uid="{00000000-0005-0000-0000-0000CD710000}"/>
    <cellStyle name="Output 2 4 6 3 3" xfId="10944" xr:uid="{00000000-0005-0000-0000-0000CE710000}"/>
    <cellStyle name="Output 2 4 6 3 4" xfId="32290" xr:uid="{00000000-0005-0000-0000-0000CF710000}"/>
    <cellStyle name="Output 2 4 6 4" xfId="32291" xr:uid="{00000000-0005-0000-0000-0000D0710000}"/>
    <cellStyle name="Output 2 4 6 4 2" xfId="10951" xr:uid="{00000000-0005-0000-0000-0000D1710000}"/>
    <cellStyle name="Output 2 4 6 4 3" xfId="10954" xr:uid="{00000000-0005-0000-0000-0000D2710000}"/>
    <cellStyle name="Output 2 4 6 5" xfId="32292" xr:uid="{00000000-0005-0000-0000-0000D3710000}"/>
    <cellStyle name="Output 2 4 6 5 2" xfId="10960" xr:uid="{00000000-0005-0000-0000-0000D4710000}"/>
    <cellStyle name="Output 2 4 6 5 3" xfId="16140" xr:uid="{00000000-0005-0000-0000-0000D5710000}"/>
    <cellStyle name="Output 2 4 6 6" xfId="32293" xr:uid="{00000000-0005-0000-0000-0000D6710000}"/>
    <cellStyle name="Output 2 4 6 7" xfId="3349" xr:uid="{00000000-0005-0000-0000-0000D7710000}"/>
    <cellStyle name="Output 2 4 7" xfId="24805" xr:uid="{00000000-0005-0000-0000-0000D8710000}"/>
    <cellStyle name="Output 2 4 7 2" xfId="32294" xr:uid="{00000000-0005-0000-0000-0000D9710000}"/>
    <cellStyle name="Output 2 4 7 2 2" xfId="6492" xr:uid="{00000000-0005-0000-0000-0000DA710000}"/>
    <cellStyle name="Output 2 4 7 2 3" xfId="6494" xr:uid="{00000000-0005-0000-0000-0000DB710000}"/>
    <cellStyle name="Output 2 4 7 2 4" xfId="32295" xr:uid="{00000000-0005-0000-0000-0000DC710000}"/>
    <cellStyle name="Output 2 4 7 3" xfId="32296" xr:uid="{00000000-0005-0000-0000-0000DD710000}"/>
    <cellStyle name="Output 2 4 7 3 2" xfId="6508" xr:uid="{00000000-0005-0000-0000-0000DE710000}"/>
    <cellStyle name="Output 2 4 7 3 3" xfId="580" xr:uid="{00000000-0005-0000-0000-0000DF710000}"/>
    <cellStyle name="Output 2 4 7 3 4" xfId="32297" xr:uid="{00000000-0005-0000-0000-0000E0710000}"/>
    <cellStyle name="Output 2 4 7 4" xfId="32299" xr:uid="{00000000-0005-0000-0000-0000E1710000}"/>
    <cellStyle name="Output 2 4 7 4 2" xfId="10973" xr:uid="{00000000-0005-0000-0000-0000E2710000}"/>
    <cellStyle name="Output 2 4 7 4 3" xfId="10975" xr:uid="{00000000-0005-0000-0000-0000E3710000}"/>
    <cellStyle name="Output 2 4 7 5" xfId="32300" xr:uid="{00000000-0005-0000-0000-0000E4710000}"/>
    <cellStyle name="Output 2 4 7 5 2" xfId="10981" xr:uid="{00000000-0005-0000-0000-0000E5710000}"/>
    <cellStyle name="Output 2 4 7 5 3" xfId="20442" xr:uid="{00000000-0005-0000-0000-0000E6710000}"/>
    <cellStyle name="Output 2 4 7 6" xfId="32301" xr:uid="{00000000-0005-0000-0000-0000E7710000}"/>
    <cellStyle name="Output 2 4 7 7" xfId="3360" xr:uid="{00000000-0005-0000-0000-0000E8710000}"/>
    <cellStyle name="Output 2 4 8" xfId="24808" xr:uid="{00000000-0005-0000-0000-0000E9710000}"/>
    <cellStyle name="Output 2 4 8 2" xfId="32302" xr:uid="{00000000-0005-0000-0000-0000EA710000}"/>
    <cellStyle name="Output 2 4 8 2 2" xfId="5373" xr:uid="{00000000-0005-0000-0000-0000EB710000}"/>
    <cellStyle name="Output 2 4 8 2 3" xfId="6706" xr:uid="{00000000-0005-0000-0000-0000EC710000}"/>
    <cellStyle name="Output 2 4 8 2 4" xfId="32303" xr:uid="{00000000-0005-0000-0000-0000ED710000}"/>
    <cellStyle name="Output 2 4 8 3" xfId="32304" xr:uid="{00000000-0005-0000-0000-0000EE710000}"/>
    <cellStyle name="Output 2 4 8 3 2" xfId="6727" xr:uid="{00000000-0005-0000-0000-0000EF710000}"/>
    <cellStyle name="Output 2 4 8 3 3" xfId="6729" xr:uid="{00000000-0005-0000-0000-0000F0710000}"/>
    <cellStyle name="Output 2 4 8 3 4" xfId="32305" xr:uid="{00000000-0005-0000-0000-0000F1710000}"/>
    <cellStyle name="Output 2 4 8 4" xfId="32306" xr:uid="{00000000-0005-0000-0000-0000F2710000}"/>
    <cellStyle name="Output 2 4 8 4 2" xfId="24982" xr:uid="{00000000-0005-0000-0000-0000F3710000}"/>
    <cellStyle name="Output 2 4 8 4 3" xfId="24984" xr:uid="{00000000-0005-0000-0000-0000F4710000}"/>
    <cellStyle name="Output 2 4 8 5" xfId="32307" xr:uid="{00000000-0005-0000-0000-0000F5710000}"/>
    <cellStyle name="Output 2 4 8 5 2" xfId="20633" xr:uid="{00000000-0005-0000-0000-0000F6710000}"/>
    <cellStyle name="Output 2 4 8 5 3" xfId="20635" xr:uid="{00000000-0005-0000-0000-0000F7710000}"/>
    <cellStyle name="Output 2 4 8 6" xfId="32308" xr:uid="{00000000-0005-0000-0000-0000F8710000}"/>
    <cellStyle name="Output 2 4 8 7" xfId="3373" xr:uid="{00000000-0005-0000-0000-0000F9710000}"/>
    <cellStyle name="Output 2 4 9" xfId="29615" xr:uid="{00000000-0005-0000-0000-0000FA710000}"/>
    <cellStyle name="Output 2 4 9 2" xfId="32309" xr:uid="{00000000-0005-0000-0000-0000FB710000}"/>
    <cellStyle name="Output 2 4 9 2 2" xfId="30005" xr:uid="{00000000-0005-0000-0000-0000FC710000}"/>
    <cellStyle name="Output 2 4 9 2 3" xfId="32310" xr:uid="{00000000-0005-0000-0000-0000FD710000}"/>
    <cellStyle name="Output 2 4 9 2 4" xfId="32311" xr:uid="{00000000-0005-0000-0000-0000FE710000}"/>
    <cellStyle name="Output 2 4 9 3" xfId="32312" xr:uid="{00000000-0005-0000-0000-0000FF710000}"/>
    <cellStyle name="Output 2 4 9 3 2" xfId="32313" xr:uid="{00000000-0005-0000-0000-000000720000}"/>
    <cellStyle name="Output 2 4 9 3 3" xfId="32314" xr:uid="{00000000-0005-0000-0000-000001720000}"/>
    <cellStyle name="Output 2 4 9 3 4" xfId="32315" xr:uid="{00000000-0005-0000-0000-000002720000}"/>
    <cellStyle name="Output 2 4 9 4" xfId="32316" xr:uid="{00000000-0005-0000-0000-000003720000}"/>
    <cellStyle name="Output 2 4 9 4 2" xfId="32317" xr:uid="{00000000-0005-0000-0000-000004720000}"/>
    <cellStyle name="Output 2 4 9 4 3" xfId="32318" xr:uid="{00000000-0005-0000-0000-000005720000}"/>
    <cellStyle name="Output 2 4 9 5" xfId="32319" xr:uid="{00000000-0005-0000-0000-000006720000}"/>
    <cellStyle name="Output 2 4 9 5 2" xfId="32320" xr:uid="{00000000-0005-0000-0000-000007720000}"/>
    <cellStyle name="Output 2 4 9 5 3" xfId="32321" xr:uid="{00000000-0005-0000-0000-000008720000}"/>
    <cellStyle name="Output 2 4 9 6" xfId="32322" xr:uid="{00000000-0005-0000-0000-000009720000}"/>
    <cellStyle name="Output 2 4 9 7" xfId="47" xr:uid="{00000000-0005-0000-0000-00000A720000}"/>
    <cellStyle name="Output 2 5" xfId="32323" xr:uid="{00000000-0005-0000-0000-00000B720000}"/>
    <cellStyle name="Output 2 5 10" xfId="32324" xr:uid="{00000000-0005-0000-0000-00000C720000}"/>
    <cellStyle name="Output 2 5 10 2" xfId="32325" xr:uid="{00000000-0005-0000-0000-00000D720000}"/>
    <cellStyle name="Output 2 5 10 2 2" xfId="32326" xr:uid="{00000000-0005-0000-0000-00000E720000}"/>
    <cellStyle name="Output 2 5 10 2 3" xfId="20974" xr:uid="{00000000-0005-0000-0000-00000F720000}"/>
    <cellStyle name="Output 2 5 10 2 4" xfId="20977" xr:uid="{00000000-0005-0000-0000-000010720000}"/>
    <cellStyle name="Output 2 5 10 3" xfId="32327" xr:uid="{00000000-0005-0000-0000-000011720000}"/>
    <cellStyle name="Output 2 5 10 3 2" xfId="32328" xr:uid="{00000000-0005-0000-0000-000012720000}"/>
    <cellStyle name="Output 2 5 10 3 3" xfId="32330" xr:uid="{00000000-0005-0000-0000-000013720000}"/>
    <cellStyle name="Output 2 5 10 3 4" xfId="22624" xr:uid="{00000000-0005-0000-0000-000014720000}"/>
    <cellStyle name="Output 2 5 10 4" xfId="32332" xr:uid="{00000000-0005-0000-0000-000015720000}"/>
    <cellStyle name="Output 2 5 10 4 2" xfId="32333" xr:uid="{00000000-0005-0000-0000-000016720000}"/>
    <cellStyle name="Output 2 5 10 4 3" xfId="32334" xr:uid="{00000000-0005-0000-0000-000017720000}"/>
    <cellStyle name="Output 2 5 10 5" xfId="32335" xr:uid="{00000000-0005-0000-0000-000018720000}"/>
    <cellStyle name="Output 2 5 10 5 2" xfId="32336" xr:uid="{00000000-0005-0000-0000-000019720000}"/>
    <cellStyle name="Output 2 5 10 5 3" xfId="32337" xr:uid="{00000000-0005-0000-0000-00001A720000}"/>
    <cellStyle name="Output 2 5 10 6" xfId="32338" xr:uid="{00000000-0005-0000-0000-00001B720000}"/>
    <cellStyle name="Output 2 5 10 7" xfId="32339" xr:uid="{00000000-0005-0000-0000-00001C720000}"/>
    <cellStyle name="Output 2 5 11" xfId="27100" xr:uid="{00000000-0005-0000-0000-00001D720000}"/>
    <cellStyle name="Output 2 5 11 2" xfId="27133" xr:uid="{00000000-0005-0000-0000-00001E720000}"/>
    <cellStyle name="Output 2 5 11 2 2" xfId="27136" xr:uid="{00000000-0005-0000-0000-00001F720000}"/>
    <cellStyle name="Output 2 5 11 2 3" xfId="27142" xr:uid="{00000000-0005-0000-0000-000020720000}"/>
    <cellStyle name="Output 2 5 11 2 4" xfId="14404" xr:uid="{00000000-0005-0000-0000-000021720000}"/>
    <cellStyle name="Output 2 5 11 3" xfId="27153" xr:uid="{00000000-0005-0000-0000-000022720000}"/>
    <cellStyle name="Output 2 5 11 3 2" xfId="27155" xr:uid="{00000000-0005-0000-0000-000023720000}"/>
    <cellStyle name="Output 2 5 11 3 3" xfId="27160" xr:uid="{00000000-0005-0000-0000-000024720000}"/>
    <cellStyle name="Output 2 5 11 3 4" xfId="22644" xr:uid="{00000000-0005-0000-0000-000025720000}"/>
    <cellStyle name="Output 2 5 11 4" xfId="27167" xr:uid="{00000000-0005-0000-0000-000026720000}"/>
    <cellStyle name="Output 2 5 11 4 2" xfId="27169" xr:uid="{00000000-0005-0000-0000-000027720000}"/>
    <cellStyle name="Output 2 5 11 4 3" xfId="27174" xr:uid="{00000000-0005-0000-0000-000028720000}"/>
    <cellStyle name="Output 2 5 11 5" xfId="21819" xr:uid="{00000000-0005-0000-0000-000029720000}"/>
    <cellStyle name="Output 2 5 11 5 2" xfId="27180" xr:uid="{00000000-0005-0000-0000-00002A720000}"/>
    <cellStyle name="Output 2 5 11 5 3" xfId="27185" xr:uid="{00000000-0005-0000-0000-00002B720000}"/>
    <cellStyle name="Output 2 5 11 6" xfId="21822" xr:uid="{00000000-0005-0000-0000-00002C720000}"/>
    <cellStyle name="Output 2 5 11 7" xfId="21825" xr:uid="{00000000-0005-0000-0000-00002D720000}"/>
    <cellStyle name="Output 2 5 12" xfId="27230" xr:uid="{00000000-0005-0000-0000-00002E720000}"/>
    <cellStyle name="Output 2 5 12 2" xfId="27237" xr:uid="{00000000-0005-0000-0000-00002F720000}"/>
    <cellStyle name="Output 2 5 12 2 2" xfId="27240" xr:uid="{00000000-0005-0000-0000-000030720000}"/>
    <cellStyle name="Output 2 5 12 2 3" xfId="27249" xr:uid="{00000000-0005-0000-0000-000031720000}"/>
    <cellStyle name="Output 2 5 12 2 4" xfId="17704" xr:uid="{00000000-0005-0000-0000-000032720000}"/>
    <cellStyle name="Output 2 5 12 3" xfId="27256" xr:uid="{00000000-0005-0000-0000-000033720000}"/>
    <cellStyle name="Output 2 5 12 3 2" xfId="27259" xr:uid="{00000000-0005-0000-0000-000034720000}"/>
    <cellStyle name="Output 2 5 12 3 3" xfId="27268" xr:uid="{00000000-0005-0000-0000-000035720000}"/>
    <cellStyle name="Output 2 5 12 3 4" xfId="22670" xr:uid="{00000000-0005-0000-0000-000036720000}"/>
    <cellStyle name="Output 2 5 12 4" xfId="27275" xr:uid="{00000000-0005-0000-0000-000037720000}"/>
    <cellStyle name="Output 2 5 12 4 2" xfId="27277" xr:uid="{00000000-0005-0000-0000-000038720000}"/>
    <cellStyle name="Output 2 5 12 4 3" xfId="27282" xr:uid="{00000000-0005-0000-0000-000039720000}"/>
    <cellStyle name="Output 2 5 12 5" xfId="21830" xr:uid="{00000000-0005-0000-0000-00003A720000}"/>
    <cellStyle name="Output 2 5 12 5 2" xfId="27289" xr:uid="{00000000-0005-0000-0000-00003B720000}"/>
    <cellStyle name="Output 2 5 12 5 3" xfId="27294" xr:uid="{00000000-0005-0000-0000-00003C720000}"/>
    <cellStyle name="Output 2 5 12 6" xfId="21833" xr:uid="{00000000-0005-0000-0000-00003D720000}"/>
    <cellStyle name="Output 2 5 12 7" xfId="21836" xr:uid="{00000000-0005-0000-0000-00003E720000}"/>
    <cellStyle name="Output 2 5 13" xfId="27335" xr:uid="{00000000-0005-0000-0000-00003F720000}"/>
    <cellStyle name="Output 2 5 13 2" xfId="27337" xr:uid="{00000000-0005-0000-0000-000040720000}"/>
    <cellStyle name="Output 2 5 13 3" xfId="27343" xr:uid="{00000000-0005-0000-0000-000041720000}"/>
    <cellStyle name="Output 2 5 13 4" xfId="27349" xr:uid="{00000000-0005-0000-0000-000042720000}"/>
    <cellStyle name="Output 2 5 14" xfId="27357" xr:uid="{00000000-0005-0000-0000-000043720000}"/>
    <cellStyle name="Output 2 5 14 2" xfId="27359" xr:uid="{00000000-0005-0000-0000-000044720000}"/>
    <cellStyle name="Output 2 5 14 3" xfId="27363" xr:uid="{00000000-0005-0000-0000-000045720000}"/>
    <cellStyle name="Output 2 5 14 4" xfId="27367" xr:uid="{00000000-0005-0000-0000-000046720000}"/>
    <cellStyle name="Output 2 5 15" xfId="27377" xr:uid="{00000000-0005-0000-0000-000047720000}"/>
    <cellStyle name="Output 2 5 15 2" xfId="9626" xr:uid="{00000000-0005-0000-0000-000048720000}"/>
    <cellStyle name="Output 2 5 15 3" xfId="27383" xr:uid="{00000000-0005-0000-0000-000049720000}"/>
    <cellStyle name="Output 2 5 16" xfId="27404" xr:uid="{00000000-0005-0000-0000-00004A720000}"/>
    <cellStyle name="Output 2 5 16 2" xfId="9634" xr:uid="{00000000-0005-0000-0000-00004B720000}"/>
    <cellStyle name="Output 2 5 16 3" xfId="27409" xr:uid="{00000000-0005-0000-0000-00004C720000}"/>
    <cellStyle name="Output 2 5 17" xfId="27424" xr:uid="{00000000-0005-0000-0000-00004D720000}"/>
    <cellStyle name="Output 2 5 17 2" xfId="27427" xr:uid="{00000000-0005-0000-0000-00004E720000}"/>
    <cellStyle name="Output 2 5 17 2 2" xfId="19966" xr:uid="{00000000-0005-0000-0000-00004F720000}"/>
    <cellStyle name="Output 2 5 18" xfId="27443" xr:uid="{00000000-0005-0000-0000-000050720000}"/>
    <cellStyle name="Output 2 5 19" xfId="13209" xr:uid="{00000000-0005-0000-0000-000051720000}"/>
    <cellStyle name="Output 2 5 2" xfId="31109" xr:uid="{00000000-0005-0000-0000-000052720000}"/>
    <cellStyle name="Output 2 5 2 10" xfId="14573" xr:uid="{00000000-0005-0000-0000-000053720000}"/>
    <cellStyle name="Output 2 5 2 10 2" xfId="14577" xr:uid="{00000000-0005-0000-0000-000054720000}"/>
    <cellStyle name="Output 2 5 2 10 2 2" xfId="18490" xr:uid="{00000000-0005-0000-0000-000055720000}"/>
    <cellStyle name="Output 2 5 2 10 2 3" xfId="18492" xr:uid="{00000000-0005-0000-0000-000056720000}"/>
    <cellStyle name="Output 2 5 2 10 2 4" xfId="11811" xr:uid="{00000000-0005-0000-0000-000057720000}"/>
    <cellStyle name="Output 2 5 2 10 3" xfId="14582" xr:uid="{00000000-0005-0000-0000-000058720000}"/>
    <cellStyle name="Output 2 5 2 10 3 2" xfId="18494" xr:uid="{00000000-0005-0000-0000-000059720000}"/>
    <cellStyle name="Output 2 5 2 10 3 3" xfId="18496" xr:uid="{00000000-0005-0000-0000-00005A720000}"/>
    <cellStyle name="Output 2 5 2 10 3 4" xfId="11845" xr:uid="{00000000-0005-0000-0000-00005B720000}"/>
    <cellStyle name="Output 2 5 2 10 4" xfId="18501" xr:uid="{00000000-0005-0000-0000-00005C720000}"/>
    <cellStyle name="Output 2 5 2 10 4 2" xfId="18503" xr:uid="{00000000-0005-0000-0000-00005D720000}"/>
    <cellStyle name="Output 2 5 2 10 4 3" xfId="18506" xr:uid="{00000000-0005-0000-0000-00005E720000}"/>
    <cellStyle name="Output 2 5 2 10 5" xfId="18510" xr:uid="{00000000-0005-0000-0000-00005F720000}"/>
    <cellStyle name="Output 2 5 2 10 5 2" xfId="18512" xr:uid="{00000000-0005-0000-0000-000060720000}"/>
    <cellStyle name="Output 2 5 2 10 5 3" xfId="32341" xr:uid="{00000000-0005-0000-0000-000061720000}"/>
    <cellStyle name="Output 2 5 2 10 6" xfId="18515" xr:uid="{00000000-0005-0000-0000-000062720000}"/>
    <cellStyle name="Output 2 5 2 10 7" xfId="18519" xr:uid="{00000000-0005-0000-0000-000063720000}"/>
    <cellStyle name="Output 2 5 2 11" xfId="14586" xr:uid="{00000000-0005-0000-0000-000064720000}"/>
    <cellStyle name="Output 2 5 2 11 2" xfId="32343" xr:uid="{00000000-0005-0000-0000-000065720000}"/>
    <cellStyle name="Output 2 5 2 11 3" xfId="32345" xr:uid="{00000000-0005-0000-0000-000066720000}"/>
    <cellStyle name="Output 2 5 2 11 4" xfId="32347" xr:uid="{00000000-0005-0000-0000-000067720000}"/>
    <cellStyle name="Output 2 5 2 12" xfId="14590" xr:uid="{00000000-0005-0000-0000-000068720000}"/>
    <cellStyle name="Output 2 5 2 12 2" xfId="32349" xr:uid="{00000000-0005-0000-0000-000069720000}"/>
    <cellStyle name="Output 2 5 2 12 3" xfId="32351" xr:uid="{00000000-0005-0000-0000-00006A720000}"/>
    <cellStyle name="Output 2 5 2 12 4" xfId="32352" xr:uid="{00000000-0005-0000-0000-00006B720000}"/>
    <cellStyle name="Output 2 5 2 13" xfId="17359" xr:uid="{00000000-0005-0000-0000-00006C720000}"/>
    <cellStyle name="Output 2 5 2 13 2" xfId="32354" xr:uid="{00000000-0005-0000-0000-00006D720000}"/>
    <cellStyle name="Output 2 5 2 13 3" xfId="32356" xr:uid="{00000000-0005-0000-0000-00006E720000}"/>
    <cellStyle name="Output 2 5 2 14" xfId="16514" xr:uid="{00000000-0005-0000-0000-00006F720000}"/>
    <cellStyle name="Output 2 5 2 14 2" xfId="32357" xr:uid="{00000000-0005-0000-0000-000070720000}"/>
    <cellStyle name="Output 2 5 2 14 3" xfId="32358" xr:uid="{00000000-0005-0000-0000-000071720000}"/>
    <cellStyle name="Output 2 5 2 15" xfId="16518" xr:uid="{00000000-0005-0000-0000-000072720000}"/>
    <cellStyle name="Output 2 5 2 16" xfId="25025" xr:uid="{00000000-0005-0000-0000-000073720000}"/>
    <cellStyle name="Output 2 5 2 17" xfId="25027" xr:uid="{00000000-0005-0000-0000-000074720000}"/>
    <cellStyle name="Output 2 5 2 2" xfId="14463" xr:uid="{00000000-0005-0000-0000-000075720000}"/>
    <cellStyle name="Output 2 5 2 2 2" xfId="24225" xr:uid="{00000000-0005-0000-0000-000076720000}"/>
    <cellStyle name="Output 2 5 2 2 2 2" xfId="24228" xr:uid="{00000000-0005-0000-0000-000077720000}"/>
    <cellStyle name="Output 2 5 2 2 2 2 2" xfId="18329" xr:uid="{00000000-0005-0000-0000-000078720000}"/>
    <cellStyle name="Output 2 5 2 2 2 3" xfId="24233" xr:uid="{00000000-0005-0000-0000-000079720000}"/>
    <cellStyle name="Output 2 5 2 2 2 4" xfId="20382" xr:uid="{00000000-0005-0000-0000-00007A720000}"/>
    <cellStyle name="Output 2 5 2 2 3" xfId="24236" xr:uid="{00000000-0005-0000-0000-00007B720000}"/>
    <cellStyle name="Output 2 5 2 2 3 2" xfId="24239" xr:uid="{00000000-0005-0000-0000-00007C720000}"/>
    <cellStyle name="Output 2 5 2 2 3 3" xfId="24244" xr:uid="{00000000-0005-0000-0000-00007D720000}"/>
    <cellStyle name="Output 2 5 2 2 3 4" xfId="20390" xr:uid="{00000000-0005-0000-0000-00007E720000}"/>
    <cellStyle name="Output 2 5 2 2 4" xfId="11971" xr:uid="{00000000-0005-0000-0000-00007F720000}"/>
    <cellStyle name="Output 2 5 2 2 4 2" xfId="24246" xr:uid="{00000000-0005-0000-0000-000080720000}"/>
    <cellStyle name="Output 2 5 2 2 4 3" xfId="24249" xr:uid="{00000000-0005-0000-0000-000081720000}"/>
    <cellStyle name="Output 2 5 2 2 5" xfId="11975" xr:uid="{00000000-0005-0000-0000-000082720000}"/>
    <cellStyle name="Output 2 5 2 2 5 2" xfId="24251" xr:uid="{00000000-0005-0000-0000-000083720000}"/>
    <cellStyle name="Output 2 5 2 2 5 3" xfId="24254" xr:uid="{00000000-0005-0000-0000-000084720000}"/>
    <cellStyle name="Output 2 5 2 2 6" xfId="11979" xr:uid="{00000000-0005-0000-0000-000085720000}"/>
    <cellStyle name="Output 2 5 2 2 6 2" xfId="32359" xr:uid="{00000000-0005-0000-0000-000086720000}"/>
    <cellStyle name="Output 2 5 2 2 6 2 2" xfId="32360" xr:uid="{00000000-0005-0000-0000-000087720000}"/>
    <cellStyle name="Output 2 5 2 2 7" xfId="21900" xr:uid="{00000000-0005-0000-0000-000088720000}"/>
    <cellStyle name="Output 2 5 2 3" xfId="24256" xr:uid="{00000000-0005-0000-0000-000089720000}"/>
    <cellStyle name="Output 2 5 2 3 2" xfId="24259" xr:uid="{00000000-0005-0000-0000-00008A720000}"/>
    <cellStyle name="Output 2 5 2 3 2 2" xfId="24262" xr:uid="{00000000-0005-0000-0000-00008B720000}"/>
    <cellStyle name="Output 2 5 2 3 2 3" xfId="24266" xr:uid="{00000000-0005-0000-0000-00008C720000}"/>
    <cellStyle name="Output 2 5 2 3 2 4" xfId="24269" xr:uid="{00000000-0005-0000-0000-00008D720000}"/>
    <cellStyle name="Output 2 5 2 3 3" xfId="24272" xr:uid="{00000000-0005-0000-0000-00008E720000}"/>
    <cellStyle name="Output 2 5 2 3 3 2" xfId="24275" xr:uid="{00000000-0005-0000-0000-00008F720000}"/>
    <cellStyle name="Output 2 5 2 3 3 3" xfId="24279" xr:uid="{00000000-0005-0000-0000-000090720000}"/>
    <cellStyle name="Output 2 5 2 3 3 4" xfId="24282" xr:uid="{00000000-0005-0000-0000-000091720000}"/>
    <cellStyle name="Output 2 5 2 3 4" xfId="11984" xr:uid="{00000000-0005-0000-0000-000092720000}"/>
    <cellStyle name="Output 2 5 2 3 4 2" xfId="24284" xr:uid="{00000000-0005-0000-0000-000093720000}"/>
    <cellStyle name="Output 2 5 2 3 4 3" xfId="24287" xr:uid="{00000000-0005-0000-0000-000094720000}"/>
    <cellStyle name="Output 2 5 2 3 5" xfId="11989" xr:uid="{00000000-0005-0000-0000-000095720000}"/>
    <cellStyle name="Output 2 5 2 3 5 2" xfId="24289" xr:uid="{00000000-0005-0000-0000-000096720000}"/>
    <cellStyle name="Output 2 5 2 3 5 3" xfId="24292" xr:uid="{00000000-0005-0000-0000-000097720000}"/>
    <cellStyle name="Output 2 5 2 3 6" xfId="4279" xr:uid="{00000000-0005-0000-0000-000098720000}"/>
    <cellStyle name="Output 2 5 2 3 7" xfId="1809" xr:uid="{00000000-0005-0000-0000-000099720000}"/>
    <cellStyle name="Output 2 5 2 4" xfId="23295" xr:uid="{00000000-0005-0000-0000-00009A720000}"/>
    <cellStyle name="Output 2 5 2 4 2" xfId="24296" xr:uid="{00000000-0005-0000-0000-00009B720000}"/>
    <cellStyle name="Output 2 5 2 4 2 2" xfId="24299" xr:uid="{00000000-0005-0000-0000-00009C720000}"/>
    <cellStyle name="Output 2 5 2 4 2 3" xfId="24303" xr:uid="{00000000-0005-0000-0000-00009D720000}"/>
    <cellStyle name="Output 2 5 2 4 2 4" xfId="24306" xr:uid="{00000000-0005-0000-0000-00009E720000}"/>
    <cellStyle name="Output 2 5 2 4 3" xfId="24310" xr:uid="{00000000-0005-0000-0000-00009F720000}"/>
    <cellStyle name="Output 2 5 2 4 3 2" xfId="24313" xr:uid="{00000000-0005-0000-0000-0000A0720000}"/>
    <cellStyle name="Output 2 5 2 4 3 3" xfId="24317" xr:uid="{00000000-0005-0000-0000-0000A1720000}"/>
    <cellStyle name="Output 2 5 2 4 3 4" xfId="24320" xr:uid="{00000000-0005-0000-0000-0000A2720000}"/>
    <cellStyle name="Output 2 5 2 4 4" xfId="11998" xr:uid="{00000000-0005-0000-0000-0000A3720000}"/>
    <cellStyle name="Output 2 5 2 4 4 2" xfId="24322" xr:uid="{00000000-0005-0000-0000-0000A4720000}"/>
    <cellStyle name="Output 2 5 2 4 4 3" xfId="24325" xr:uid="{00000000-0005-0000-0000-0000A5720000}"/>
    <cellStyle name="Output 2 5 2 4 5" xfId="12003" xr:uid="{00000000-0005-0000-0000-0000A6720000}"/>
    <cellStyle name="Output 2 5 2 4 5 2" xfId="24327" xr:uid="{00000000-0005-0000-0000-0000A7720000}"/>
    <cellStyle name="Output 2 5 2 4 5 3" xfId="24330" xr:uid="{00000000-0005-0000-0000-0000A8720000}"/>
    <cellStyle name="Output 2 5 2 4 6" xfId="4556" xr:uid="{00000000-0005-0000-0000-0000A9720000}"/>
    <cellStyle name="Output 2 5 2 4 7" xfId="4581" xr:uid="{00000000-0005-0000-0000-0000AA720000}"/>
    <cellStyle name="Output 2 5 2 5" xfId="23299" xr:uid="{00000000-0005-0000-0000-0000AB720000}"/>
    <cellStyle name="Output 2 5 2 5 2" xfId="30103" xr:uid="{00000000-0005-0000-0000-0000AC720000}"/>
    <cellStyle name="Output 2 5 2 5 2 2" xfId="10984" xr:uid="{00000000-0005-0000-0000-0000AD720000}"/>
    <cellStyle name="Output 2 5 2 5 2 3" xfId="10993" xr:uid="{00000000-0005-0000-0000-0000AE720000}"/>
    <cellStyle name="Output 2 5 2 5 2 4" xfId="10996" xr:uid="{00000000-0005-0000-0000-0000AF720000}"/>
    <cellStyle name="Output 2 5 2 5 3" xfId="30106" xr:uid="{00000000-0005-0000-0000-0000B0720000}"/>
    <cellStyle name="Output 2 5 2 5 3 2" xfId="30108" xr:uid="{00000000-0005-0000-0000-0000B1720000}"/>
    <cellStyle name="Output 2 5 2 5 3 3" xfId="30110" xr:uid="{00000000-0005-0000-0000-0000B2720000}"/>
    <cellStyle name="Output 2 5 2 5 3 4" xfId="22502" xr:uid="{00000000-0005-0000-0000-0000B3720000}"/>
    <cellStyle name="Output 2 5 2 5 4" xfId="12011" xr:uid="{00000000-0005-0000-0000-0000B4720000}"/>
    <cellStyle name="Output 2 5 2 5 4 2" xfId="28844" xr:uid="{00000000-0005-0000-0000-0000B5720000}"/>
    <cellStyle name="Output 2 5 2 5 4 3" xfId="32361" xr:uid="{00000000-0005-0000-0000-0000B6720000}"/>
    <cellStyle name="Output 2 5 2 5 5" xfId="12015" xr:uid="{00000000-0005-0000-0000-0000B7720000}"/>
    <cellStyle name="Output 2 5 2 5 5 2" xfId="28849" xr:uid="{00000000-0005-0000-0000-0000B8720000}"/>
    <cellStyle name="Output 2 5 2 5 5 3" xfId="32362" xr:uid="{00000000-0005-0000-0000-0000B9720000}"/>
    <cellStyle name="Output 2 5 2 5 6" xfId="4774" xr:uid="{00000000-0005-0000-0000-0000BA720000}"/>
    <cellStyle name="Output 2 5 2 5 7" xfId="4779" xr:uid="{00000000-0005-0000-0000-0000BB720000}"/>
    <cellStyle name="Output 2 5 2 6" xfId="23303" xr:uid="{00000000-0005-0000-0000-0000BC720000}"/>
    <cellStyle name="Output 2 5 2 6 2" xfId="30121" xr:uid="{00000000-0005-0000-0000-0000BD720000}"/>
    <cellStyle name="Output 2 5 2 6 2 2" xfId="30124" xr:uid="{00000000-0005-0000-0000-0000BE720000}"/>
    <cellStyle name="Output 2 5 2 6 2 3" xfId="30126" xr:uid="{00000000-0005-0000-0000-0000BF720000}"/>
    <cellStyle name="Output 2 5 2 6 2 4" xfId="32363" xr:uid="{00000000-0005-0000-0000-0000C0720000}"/>
    <cellStyle name="Output 2 5 2 6 3" xfId="30129" xr:uid="{00000000-0005-0000-0000-0000C1720000}"/>
    <cellStyle name="Output 2 5 2 6 3 2" xfId="30132" xr:uid="{00000000-0005-0000-0000-0000C2720000}"/>
    <cellStyle name="Output 2 5 2 6 3 3" xfId="30134" xr:uid="{00000000-0005-0000-0000-0000C3720000}"/>
    <cellStyle name="Output 2 5 2 6 3 4" xfId="32364" xr:uid="{00000000-0005-0000-0000-0000C4720000}"/>
    <cellStyle name="Output 2 5 2 6 4" xfId="30136" xr:uid="{00000000-0005-0000-0000-0000C5720000}"/>
    <cellStyle name="Output 2 5 2 6 4 2" xfId="32365" xr:uid="{00000000-0005-0000-0000-0000C6720000}"/>
    <cellStyle name="Output 2 5 2 6 4 3" xfId="32366" xr:uid="{00000000-0005-0000-0000-0000C7720000}"/>
    <cellStyle name="Output 2 5 2 6 5" xfId="13401" xr:uid="{00000000-0005-0000-0000-0000C8720000}"/>
    <cellStyle name="Output 2 5 2 6 5 2" xfId="32367" xr:uid="{00000000-0005-0000-0000-0000C9720000}"/>
    <cellStyle name="Output 2 5 2 6 5 3" xfId="32368" xr:uid="{00000000-0005-0000-0000-0000CA720000}"/>
    <cellStyle name="Output 2 5 2 6 6" xfId="4800" xr:uid="{00000000-0005-0000-0000-0000CB720000}"/>
    <cellStyle name="Output 2 5 2 6 7" xfId="4806" xr:uid="{00000000-0005-0000-0000-0000CC720000}"/>
    <cellStyle name="Output 2 5 2 7" xfId="30654" xr:uid="{00000000-0005-0000-0000-0000CD720000}"/>
    <cellStyle name="Output 2 5 2 7 2" xfId="30146" xr:uid="{00000000-0005-0000-0000-0000CE720000}"/>
    <cellStyle name="Output 2 5 2 7 2 2" xfId="30149" xr:uid="{00000000-0005-0000-0000-0000CF720000}"/>
    <cellStyle name="Output 2 5 2 7 2 3" xfId="30151" xr:uid="{00000000-0005-0000-0000-0000D0720000}"/>
    <cellStyle name="Output 2 5 2 7 2 4" xfId="20944" xr:uid="{00000000-0005-0000-0000-0000D1720000}"/>
    <cellStyle name="Output 2 5 2 7 3" xfId="30154" xr:uid="{00000000-0005-0000-0000-0000D2720000}"/>
    <cellStyle name="Output 2 5 2 7 3 2" xfId="26109" xr:uid="{00000000-0005-0000-0000-0000D3720000}"/>
    <cellStyle name="Output 2 5 2 7 3 3" xfId="26112" xr:uid="{00000000-0005-0000-0000-0000D4720000}"/>
    <cellStyle name="Output 2 5 2 7 3 4" xfId="20951" xr:uid="{00000000-0005-0000-0000-0000D5720000}"/>
    <cellStyle name="Output 2 5 2 7 4" xfId="30157" xr:uid="{00000000-0005-0000-0000-0000D6720000}"/>
    <cellStyle name="Output 2 5 2 7 4 2" xfId="26114" xr:uid="{00000000-0005-0000-0000-0000D7720000}"/>
    <cellStyle name="Output 2 5 2 7 4 3" xfId="32369" xr:uid="{00000000-0005-0000-0000-0000D8720000}"/>
    <cellStyle name="Output 2 5 2 7 5" xfId="25910" xr:uid="{00000000-0005-0000-0000-0000D9720000}"/>
    <cellStyle name="Output 2 5 2 7 5 2" xfId="26120" xr:uid="{00000000-0005-0000-0000-0000DA720000}"/>
    <cellStyle name="Output 2 5 2 7 5 3" xfId="32370" xr:uid="{00000000-0005-0000-0000-0000DB720000}"/>
    <cellStyle name="Output 2 5 2 7 6" xfId="4816" xr:uid="{00000000-0005-0000-0000-0000DC720000}"/>
    <cellStyle name="Output 2 5 2 7 7" xfId="4822" xr:uid="{00000000-0005-0000-0000-0000DD720000}"/>
    <cellStyle name="Output 2 5 2 8" xfId="30657" xr:uid="{00000000-0005-0000-0000-0000DE720000}"/>
    <cellStyle name="Output 2 5 2 8 2" xfId="30168" xr:uid="{00000000-0005-0000-0000-0000DF720000}"/>
    <cellStyle name="Output 2 5 2 8 2 2" xfId="30171" xr:uid="{00000000-0005-0000-0000-0000E0720000}"/>
    <cellStyle name="Output 2 5 2 8 2 3" xfId="30173" xr:uid="{00000000-0005-0000-0000-0000E1720000}"/>
    <cellStyle name="Output 2 5 2 8 2 4" xfId="32371" xr:uid="{00000000-0005-0000-0000-0000E2720000}"/>
    <cellStyle name="Output 2 5 2 8 3" xfId="28097" xr:uid="{00000000-0005-0000-0000-0000E3720000}"/>
    <cellStyle name="Output 2 5 2 8 3 2" xfId="28101" xr:uid="{00000000-0005-0000-0000-0000E4720000}"/>
    <cellStyle name="Output 2 5 2 8 3 3" xfId="28104" xr:uid="{00000000-0005-0000-0000-0000E5720000}"/>
    <cellStyle name="Output 2 5 2 8 3 4" xfId="28106" xr:uid="{00000000-0005-0000-0000-0000E6720000}"/>
    <cellStyle name="Output 2 5 2 8 4" xfId="28109" xr:uid="{00000000-0005-0000-0000-0000E7720000}"/>
    <cellStyle name="Output 2 5 2 8 4 2" xfId="28111" xr:uid="{00000000-0005-0000-0000-0000E8720000}"/>
    <cellStyle name="Output 2 5 2 8 4 3" xfId="28113" xr:uid="{00000000-0005-0000-0000-0000E9720000}"/>
    <cellStyle name="Output 2 5 2 8 5" xfId="25914" xr:uid="{00000000-0005-0000-0000-0000EA720000}"/>
    <cellStyle name="Output 2 5 2 8 5 2" xfId="28116" xr:uid="{00000000-0005-0000-0000-0000EB720000}"/>
    <cellStyle name="Output 2 5 2 8 5 3" xfId="28118" xr:uid="{00000000-0005-0000-0000-0000EC720000}"/>
    <cellStyle name="Output 2 5 2 8 6" xfId="4829" xr:uid="{00000000-0005-0000-0000-0000ED720000}"/>
    <cellStyle name="Output 2 5 2 8 7" xfId="4832" xr:uid="{00000000-0005-0000-0000-0000EE720000}"/>
    <cellStyle name="Output 2 5 2 9" xfId="30660" xr:uid="{00000000-0005-0000-0000-0000EF720000}"/>
    <cellStyle name="Output 2 5 2 9 2" xfId="32372" xr:uid="{00000000-0005-0000-0000-0000F0720000}"/>
    <cellStyle name="Output 2 5 2 9 2 2" xfId="32374" xr:uid="{00000000-0005-0000-0000-0000F1720000}"/>
    <cellStyle name="Output 2 5 2 9 2 3" xfId="32375" xr:uid="{00000000-0005-0000-0000-0000F2720000}"/>
    <cellStyle name="Output 2 5 2 9 2 4" xfId="32376" xr:uid="{00000000-0005-0000-0000-0000F3720000}"/>
    <cellStyle name="Output 2 5 2 9 3" xfId="28121" xr:uid="{00000000-0005-0000-0000-0000F4720000}"/>
    <cellStyle name="Output 2 5 2 9 3 2" xfId="28124" xr:uid="{00000000-0005-0000-0000-0000F5720000}"/>
    <cellStyle name="Output 2 5 2 9 3 3" xfId="28126" xr:uid="{00000000-0005-0000-0000-0000F6720000}"/>
    <cellStyle name="Output 2 5 2 9 3 4" xfId="28128" xr:uid="{00000000-0005-0000-0000-0000F7720000}"/>
    <cellStyle name="Output 2 5 2 9 4" xfId="28130" xr:uid="{00000000-0005-0000-0000-0000F8720000}"/>
    <cellStyle name="Output 2 5 2 9 4 2" xfId="28132" xr:uid="{00000000-0005-0000-0000-0000F9720000}"/>
    <cellStyle name="Output 2 5 2 9 4 3" xfId="28134" xr:uid="{00000000-0005-0000-0000-0000FA720000}"/>
    <cellStyle name="Output 2 5 2 9 5" xfId="25918" xr:uid="{00000000-0005-0000-0000-0000FB720000}"/>
    <cellStyle name="Output 2 5 2 9 5 2" xfId="28137" xr:uid="{00000000-0005-0000-0000-0000FC720000}"/>
    <cellStyle name="Output 2 5 2 9 5 3" xfId="28139" xr:uid="{00000000-0005-0000-0000-0000FD720000}"/>
    <cellStyle name="Output 2 5 2 9 6" xfId="3215" xr:uid="{00000000-0005-0000-0000-0000FE720000}"/>
    <cellStyle name="Output 2 5 2 9 7" xfId="3220" xr:uid="{00000000-0005-0000-0000-0000FF720000}"/>
    <cellStyle name="Output 2 5 20" xfId="27378" xr:uid="{00000000-0005-0000-0000-000000730000}"/>
    <cellStyle name="Output 2 5 3" xfId="32377" xr:uid="{00000000-0005-0000-0000-000001730000}"/>
    <cellStyle name="Output 2 5 3 10" xfId="32378" xr:uid="{00000000-0005-0000-0000-000002730000}"/>
    <cellStyle name="Output 2 5 3 10 2" xfId="9382" xr:uid="{00000000-0005-0000-0000-000003730000}"/>
    <cellStyle name="Output 2 5 3 10 2 2" xfId="19288" xr:uid="{00000000-0005-0000-0000-000004730000}"/>
    <cellStyle name="Output 2 5 3 10 2 3" xfId="19290" xr:uid="{00000000-0005-0000-0000-000005730000}"/>
    <cellStyle name="Output 2 5 3 10 2 4" xfId="12799" xr:uid="{00000000-0005-0000-0000-000006730000}"/>
    <cellStyle name="Output 2 5 3 10 3" xfId="19292" xr:uid="{00000000-0005-0000-0000-000007730000}"/>
    <cellStyle name="Output 2 5 3 10 3 2" xfId="19294" xr:uid="{00000000-0005-0000-0000-000008730000}"/>
    <cellStyle name="Output 2 5 3 10 3 3" xfId="19296" xr:uid="{00000000-0005-0000-0000-000009730000}"/>
    <cellStyle name="Output 2 5 3 10 3 4" xfId="12822" xr:uid="{00000000-0005-0000-0000-00000A730000}"/>
    <cellStyle name="Output 2 5 3 10 4" xfId="19298" xr:uid="{00000000-0005-0000-0000-00000B730000}"/>
    <cellStyle name="Output 2 5 3 10 4 2" xfId="19300" xr:uid="{00000000-0005-0000-0000-00000C730000}"/>
    <cellStyle name="Output 2 5 3 10 4 3" xfId="19302" xr:uid="{00000000-0005-0000-0000-00000D730000}"/>
    <cellStyle name="Output 2 5 3 10 5" xfId="19305" xr:uid="{00000000-0005-0000-0000-00000E730000}"/>
    <cellStyle name="Output 2 5 3 10 5 2" xfId="19307" xr:uid="{00000000-0005-0000-0000-00000F730000}"/>
    <cellStyle name="Output 2 5 3 10 5 3" xfId="32379" xr:uid="{00000000-0005-0000-0000-000010730000}"/>
    <cellStyle name="Output 2 5 3 10 6" xfId="19312" xr:uid="{00000000-0005-0000-0000-000011730000}"/>
    <cellStyle name="Output 2 5 3 10 7" xfId="19318" xr:uid="{00000000-0005-0000-0000-000012730000}"/>
    <cellStyle name="Output 2 5 3 11" xfId="32380" xr:uid="{00000000-0005-0000-0000-000013730000}"/>
    <cellStyle name="Output 2 5 3 11 2" xfId="9402" xr:uid="{00000000-0005-0000-0000-000014730000}"/>
    <cellStyle name="Output 2 5 3 11 3" xfId="32381" xr:uid="{00000000-0005-0000-0000-000015730000}"/>
    <cellStyle name="Output 2 5 3 11 4" xfId="32382" xr:uid="{00000000-0005-0000-0000-000016730000}"/>
    <cellStyle name="Output 2 5 3 12" xfId="26967" xr:uid="{00000000-0005-0000-0000-000017730000}"/>
    <cellStyle name="Output 2 5 3 12 2" xfId="9432" xr:uid="{00000000-0005-0000-0000-000018730000}"/>
    <cellStyle name="Output 2 5 3 12 3" xfId="28065" xr:uid="{00000000-0005-0000-0000-000019730000}"/>
    <cellStyle name="Output 2 5 3 12 4" xfId="32383" xr:uid="{00000000-0005-0000-0000-00001A730000}"/>
    <cellStyle name="Output 2 5 3 13" xfId="26970" xr:uid="{00000000-0005-0000-0000-00001B730000}"/>
    <cellStyle name="Output 2 5 3 13 2" xfId="9463" xr:uid="{00000000-0005-0000-0000-00001C730000}"/>
    <cellStyle name="Output 2 5 3 13 3" xfId="32384" xr:uid="{00000000-0005-0000-0000-00001D730000}"/>
    <cellStyle name="Output 2 5 3 14" xfId="25265" xr:uid="{00000000-0005-0000-0000-00001E730000}"/>
    <cellStyle name="Output 2 5 3 14 2" xfId="9490" xr:uid="{00000000-0005-0000-0000-00001F730000}"/>
    <cellStyle name="Output 2 5 3 14 3" xfId="32385" xr:uid="{00000000-0005-0000-0000-000020730000}"/>
    <cellStyle name="Output 2 5 3 15" xfId="25267" xr:uid="{00000000-0005-0000-0000-000021730000}"/>
    <cellStyle name="Output 2 5 3 16" xfId="32386" xr:uid="{00000000-0005-0000-0000-000022730000}"/>
    <cellStyle name="Output 2 5 3 2" xfId="24665" xr:uid="{00000000-0005-0000-0000-000023730000}"/>
    <cellStyle name="Output 2 5 3 2 2" xfId="24668" xr:uid="{00000000-0005-0000-0000-000024730000}"/>
    <cellStyle name="Output 2 5 3 2 2 2" xfId="24673" xr:uid="{00000000-0005-0000-0000-000025730000}"/>
    <cellStyle name="Output 2 5 3 2 2 3" xfId="24678" xr:uid="{00000000-0005-0000-0000-000026730000}"/>
    <cellStyle name="Output 2 5 3 2 2 4" xfId="24681" xr:uid="{00000000-0005-0000-0000-000027730000}"/>
    <cellStyle name="Output 2 5 3 2 3" xfId="24684" xr:uid="{00000000-0005-0000-0000-000028730000}"/>
    <cellStyle name="Output 2 5 3 2 3 2" xfId="24688" xr:uid="{00000000-0005-0000-0000-000029730000}"/>
    <cellStyle name="Output 2 5 3 2 3 3" xfId="24693" xr:uid="{00000000-0005-0000-0000-00002A730000}"/>
    <cellStyle name="Output 2 5 3 2 3 4" xfId="2099" xr:uid="{00000000-0005-0000-0000-00002B730000}"/>
    <cellStyle name="Output 2 5 3 2 4" xfId="12025" xr:uid="{00000000-0005-0000-0000-00002C730000}"/>
    <cellStyle name="Output 2 5 3 2 4 2" xfId="24696" xr:uid="{00000000-0005-0000-0000-00002D730000}"/>
    <cellStyle name="Output 2 5 3 2 4 3" xfId="24699" xr:uid="{00000000-0005-0000-0000-00002E730000}"/>
    <cellStyle name="Output 2 5 3 2 5" xfId="12029" xr:uid="{00000000-0005-0000-0000-00002F730000}"/>
    <cellStyle name="Output 2 5 3 2 5 2" xfId="24702" xr:uid="{00000000-0005-0000-0000-000030730000}"/>
    <cellStyle name="Output 2 5 3 2 5 3" xfId="24705" xr:uid="{00000000-0005-0000-0000-000031730000}"/>
    <cellStyle name="Output 2 5 3 2 6" xfId="12033" xr:uid="{00000000-0005-0000-0000-000032730000}"/>
    <cellStyle name="Output 2 5 3 2 7" xfId="24707" xr:uid="{00000000-0005-0000-0000-000033730000}"/>
    <cellStyle name="Output 2 5 3 3" xfId="24709" xr:uid="{00000000-0005-0000-0000-000034730000}"/>
    <cellStyle name="Output 2 5 3 3 2" xfId="24712" xr:uid="{00000000-0005-0000-0000-000035730000}"/>
    <cellStyle name="Output 2 5 3 3 2 2" xfId="24716" xr:uid="{00000000-0005-0000-0000-000036730000}"/>
    <cellStyle name="Output 2 5 3 3 2 3" xfId="24720" xr:uid="{00000000-0005-0000-0000-000037730000}"/>
    <cellStyle name="Output 2 5 3 3 2 4" xfId="24722" xr:uid="{00000000-0005-0000-0000-000038730000}"/>
    <cellStyle name="Output 2 5 3 3 3" xfId="24725" xr:uid="{00000000-0005-0000-0000-000039730000}"/>
    <cellStyle name="Output 2 5 3 3 3 2" xfId="24730" xr:uid="{00000000-0005-0000-0000-00003A730000}"/>
    <cellStyle name="Output 2 5 3 3 3 3" xfId="24735" xr:uid="{00000000-0005-0000-0000-00003B730000}"/>
    <cellStyle name="Output 2 5 3 3 3 4" xfId="24737" xr:uid="{00000000-0005-0000-0000-00003C730000}"/>
    <cellStyle name="Output 2 5 3 3 4" xfId="12039" xr:uid="{00000000-0005-0000-0000-00003D730000}"/>
    <cellStyle name="Output 2 5 3 3 4 2" xfId="24740" xr:uid="{00000000-0005-0000-0000-00003E730000}"/>
    <cellStyle name="Output 2 5 3 3 4 3" xfId="24743" xr:uid="{00000000-0005-0000-0000-00003F730000}"/>
    <cellStyle name="Output 2 5 3 3 5" xfId="12043" xr:uid="{00000000-0005-0000-0000-000040730000}"/>
    <cellStyle name="Output 2 5 3 3 5 2" xfId="24746" xr:uid="{00000000-0005-0000-0000-000041730000}"/>
    <cellStyle name="Output 2 5 3 3 5 3" xfId="24749" xr:uid="{00000000-0005-0000-0000-000042730000}"/>
    <cellStyle name="Output 2 5 3 3 6" xfId="5139" xr:uid="{00000000-0005-0000-0000-000043730000}"/>
    <cellStyle name="Output 2 5 3 3 7" xfId="5162" xr:uid="{00000000-0005-0000-0000-000044730000}"/>
    <cellStyle name="Output 2 5 3 4" xfId="23311" xr:uid="{00000000-0005-0000-0000-000045730000}"/>
    <cellStyle name="Output 2 5 3 4 2" xfId="24753" xr:uid="{00000000-0005-0000-0000-000046730000}"/>
    <cellStyle name="Output 2 5 3 4 2 2" xfId="24757" xr:uid="{00000000-0005-0000-0000-000047730000}"/>
    <cellStyle name="Output 2 5 3 4 2 3" xfId="24761" xr:uid="{00000000-0005-0000-0000-000048730000}"/>
    <cellStyle name="Output 2 5 3 4 2 4" xfId="24764" xr:uid="{00000000-0005-0000-0000-000049730000}"/>
    <cellStyle name="Output 2 5 3 4 3" xfId="24768" xr:uid="{00000000-0005-0000-0000-00004A730000}"/>
    <cellStyle name="Output 2 5 3 4 3 2" xfId="24772" xr:uid="{00000000-0005-0000-0000-00004B730000}"/>
    <cellStyle name="Output 2 5 3 4 3 3" xfId="24777" xr:uid="{00000000-0005-0000-0000-00004C730000}"/>
    <cellStyle name="Output 2 5 3 4 3 4" xfId="24779" xr:uid="{00000000-0005-0000-0000-00004D730000}"/>
    <cellStyle name="Output 2 5 3 4 4" xfId="12052" xr:uid="{00000000-0005-0000-0000-00004E730000}"/>
    <cellStyle name="Output 2 5 3 4 4 2" xfId="24782" xr:uid="{00000000-0005-0000-0000-00004F730000}"/>
    <cellStyle name="Output 2 5 3 4 4 3" xfId="24785" xr:uid="{00000000-0005-0000-0000-000050730000}"/>
    <cellStyle name="Output 2 5 3 4 5" xfId="12056" xr:uid="{00000000-0005-0000-0000-000051730000}"/>
    <cellStyle name="Output 2 5 3 4 5 2" xfId="24788" xr:uid="{00000000-0005-0000-0000-000052730000}"/>
    <cellStyle name="Output 2 5 3 4 5 3" xfId="24791" xr:uid="{00000000-0005-0000-0000-000053730000}"/>
    <cellStyle name="Output 2 5 3 4 6" xfId="5392" xr:uid="{00000000-0005-0000-0000-000054730000}"/>
    <cellStyle name="Output 2 5 3 4 7" xfId="5420" xr:uid="{00000000-0005-0000-0000-000055730000}"/>
    <cellStyle name="Output 2 5 3 5" xfId="23315" xr:uid="{00000000-0005-0000-0000-000056730000}"/>
    <cellStyle name="Output 2 5 3 5 2" xfId="30196" xr:uid="{00000000-0005-0000-0000-000057730000}"/>
    <cellStyle name="Output 2 5 3 5 2 2" xfId="28749" xr:uid="{00000000-0005-0000-0000-000058730000}"/>
    <cellStyle name="Output 2 5 3 5 2 3" xfId="30198" xr:uid="{00000000-0005-0000-0000-000059730000}"/>
    <cellStyle name="Output 2 5 3 5 2 4" xfId="32387" xr:uid="{00000000-0005-0000-0000-00005A730000}"/>
    <cellStyle name="Output 2 5 3 5 3" xfId="30201" xr:uid="{00000000-0005-0000-0000-00005B730000}"/>
    <cellStyle name="Output 2 5 3 5 3 2" xfId="28766" xr:uid="{00000000-0005-0000-0000-00005C730000}"/>
    <cellStyle name="Output 2 5 3 5 3 3" xfId="30203" xr:uid="{00000000-0005-0000-0000-00005D730000}"/>
    <cellStyle name="Output 2 5 3 5 3 4" xfId="32388" xr:uid="{00000000-0005-0000-0000-00005E730000}"/>
    <cellStyle name="Output 2 5 3 5 4" xfId="12064" xr:uid="{00000000-0005-0000-0000-00005F730000}"/>
    <cellStyle name="Output 2 5 3 5 4 2" xfId="28784" xr:uid="{00000000-0005-0000-0000-000060730000}"/>
    <cellStyle name="Output 2 5 3 5 4 3" xfId="32389" xr:uid="{00000000-0005-0000-0000-000061730000}"/>
    <cellStyle name="Output 2 5 3 5 5" xfId="12067" xr:uid="{00000000-0005-0000-0000-000062730000}"/>
    <cellStyle name="Output 2 5 3 5 5 2" xfId="28797" xr:uid="{00000000-0005-0000-0000-000063730000}"/>
    <cellStyle name="Output 2 5 3 5 5 3" xfId="32390" xr:uid="{00000000-0005-0000-0000-000064730000}"/>
    <cellStyle name="Output 2 5 3 5 6" xfId="5594" xr:uid="{00000000-0005-0000-0000-000065730000}"/>
    <cellStyle name="Output 2 5 3 5 7" xfId="5598" xr:uid="{00000000-0005-0000-0000-000066730000}"/>
    <cellStyle name="Output 2 5 3 6" xfId="23319" xr:uid="{00000000-0005-0000-0000-000067730000}"/>
    <cellStyle name="Output 2 5 3 6 2" xfId="30212" xr:uid="{00000000-0005-0000-0000-000068730000}"/>
    <cellStyle name="Output 2 5 3 6 2 2" xfId="29184" xr:uid="{00000000-0005-0000-0000-000069730000}"/>
    <cellStyle name="Output 2 5 3 6 2 3" xfId="30215" xr:uid="{00000000-0005-0000-0000-00006A730000}"/>
    <cellStyle name="Output 2 5 3 6 2 4" xfId="32391" xr:uid="{00000000-0005-0000-0000-00006B730000}"/>
    <cellStyle name="Output 2 5 3 6 3" xfId="30218" xr:uid="{00000000-0005-0000-0000-00006C730000}"/>
    <cellStyle name="Output 2 5 3 6 3 2" xfId="29199" xr:uid="{00000000-0005-0000-0000-00006D730000}"/>
    <cellStyle name="Output 2 5 3 6 3 3" xfId="30221" xr:uid="{00000000-0005-0000-0000-00006E730000}"/>
    <cellStyle name="Output 2 5 3 6 3 4" xfId="32392" xr:uid="{00000000-0005-0000-0000-00006F730000}"/>
    <cellStyle name="Output 2 5 3 6 4" xfId="30223" xr:uid="{00000000-0005-0000-0000-000070730000}"/>
    <cellStyle name="Output 2 5 3 6 4 2" xfId="29217" xr:uid="{00000000-0005-0000-0000-000071730000}"/>
    <cellStyle name="Output 2 5 3 6 4 3" xfId="32393" xr:uid="{00000000-0005-0000-0000-000072730000}"/>
    <cellStyle name="Output 2 5 3 6 5" xfId="25930" xr:uid="{00000000-0005-0000-0000-000073730000}"/>
    <cellStyle name="Output 2 5 3 6 5 2" xfId="29236" xr:uid="{00000000-0005-0000-0000-000074730000}"/>
    <cellStyle name="Output 2 5 3 6 5 3" xfId="32394" xr:uid="{00000000-0005-0000-0000-000075730000}"/>
    <cellStyle name="Output 2 5 3 6 6" xfId="5615" xr:uid="{00000000-0005-0000-0000-000076730000}"/>
    <cellStyle name="Output 2 5 3 6 7" xfId="5620" xr:uid="{00000000-0005-0000-0000-000077730000}"/>
    <cellStyle name="Output 2 5 3 7" xfId="30663" xr:uid="{00000000-0005-0000-0000-000078730000}"/>
    <cellStyle name="Output 2 5 3 7 2" xfId="30234" xr:uid="{00000000-0005-0000-0000-000079730000}"/>
    <cellStyle name="Output 2 5 3 7 2 2" xfId="29485" xr:uid="{00000000-0005-0000-0000-00007A730000}"/>
    <cellStyle name="Output 2 5 3 7 2 3" xfId="30237" xr:uid="{00000000-0005-0000-0000-00007B730000}"/>
    <cellStyle name="Output 2 5 3 7 2 4" xfId="32395" xr:uid="{00000000-0005-0000-0000-00007C730000}"/>
    <cellStyle name="Output 2 5 3 7 3" xfId="30240" xr:uid="{00000000-0005-0000-0000-00007D730000}"/>
    <cellStyle name="Output 2 5 3 7 3 2" xfId="29507" xr:uid="{00000000-0005-0000-0000-00007E730000}"/>
    <cellStyle name="Output 2 5 3 7 3 3" xfId="30243" xr:uid="{00000000-0005-0000-0000-00007F730000}"/>
    <cellStyle name="Output 2 5 3 7 3 4" xfId="32396" xr:uid="{00000000-0005-0000-0000-000080730000}"/>
    <cellStyle name="Output 2 5 3 7 4" xfId="30245" xr:uid="{00000000-0005-0000-0000-000081730000}"/>
    <cellStyle name="Output 2 5 3 7 4 2" xfId="29526" xr:uid="{00000000-0005-0000-0000-000082730000}"/>
    <cellStyle name="Output 2 5 3 7 4 3" xfId="32397" xr:uid="{00000000-0005-0000-0000-000083730000}"/>
    <cellStyle name="Output 2 5 3 7 5" xfId="25935" xr:uid="{00000000-0005-0000-0000-000084730000}"/>
    <cellStyle name="Output 2 5 3 7 5 2" xfId="29544" xr:uid="{00000000-0005-0000-0000-000085730000}"/>
    <cellStyle name="Output 2 5 3 7 5 3" xfId="32398" xr:uid="{00000000-0005-0000-0000-000086730000}"/>
    <cellStyle name="Output 2 5 3 7 6" xfId="2320" xr:uid="{00000000-0005-0000-0000-000087730000}"/>
    <cellStyle name="Output 2 5 3 7 7" xfId="5634" xr:uid="{00000000-0005-0000-0000-000088730000}"/>
    <cellStyle name="Output 2 5 3 8" xfId="30666" xr:uid="{00000000-0005-0000-0000-000089730000}"/>
    <cellStyle name="Output 2 5 3 8 2" xfId="30258" xr:uid="{00000000-0005-0000-0000-00008A730000}"/>
    <cellStyle name="Output 2 5 3 8 2 2" xfId="30261" xr:uid="{00000000-0005-0000-0000-00008B730000}"/>
    <cellStyle name="Output 2 5 3 8 2 3" xfId="30263" xr:uid="{00000000-0005-0000-0000-00008C730000}"/>
    <cellStyle name="Output 2 5 3 8 2 4" xfId="32399" xr:uid="{00000000-0005-0000-0000-00008D730000}"/>
    <cellStyle name="Output 2 5 3 8 3" xfId="28220" xr:uid="{00000000-0005-0000-0000-00008E730000}"/>
    <cellStyle name="Output 2 5 3 8 3 2" xfId="30265" xr:uid="{00000000-0005-0000-0000-00008F730000}"/>
    <cellStyle name="Output 2 5 3 8 3 3" xfId="30267" xr:uid="{00000000-0005-0000-0000-000090730000}"/>
    <cellStyle name="Output 2 5 3 8 3 4" xfId="32400" xr:uid="{00000000-0005-0000-0000-000091730000}"/>
    <cellStyle name="Output 2 5 3 8 4" xfId="28224" xr:uid="{00000000-0005-0000-0000-000092730000}"/>
    <cellStyle name="Output 2 5 3 8 4 2" xfId="32401" xr:uid="{00000000-0005-0000-0000-000093730000}"/>
    <cellStyle name="Output 2 5 3 8 4 3" xfId="32402" xr:uid="{00000000-0005-0000-0000-000094730000}"/>
    <cellStyle name="Output 2 5 3 8 5" xfId="25941" xr:uid="{00000000-0005-0000-0000-000095730000}"/>
    <cellStyle name="Output 2 5 3 8 5 2" xfId="32403" xr:uid="{00000000-0005-0000-0000-000096730000}"/>
    <cellStyle name="Output 2 5 3 8 5 3" xfId="32404" xr:uid="{00000000-0005-0000-0000-000097730000}"/>
    <cellStyle name="Output 2 5 3 8 6" xfId="3053" xr:uid="{00000000-0005-0000-0000-000098730000}"/>
    <cellStyle name="Output 2 5 3 8 7" xfId="3067" xr:uid="{00000000-0005-0000-0000-000099730000}"/>
    <cellStyle name="Output 2 5 3 9" xfId="30669" xr:uid="{00000000-0005-0000-0000-00009A730000}"/>
    <cellStyle name="Output 2 5 3 9 2" xfId="32405" xr:uid="{00000000-0005-0000-0000-00009B730000}"/>
    <cellStyle name="Output 2 5 3 9 2 2" xfId="32407" xr:uid="{00000000-0005-0000-0000-00009C730000}"/>
    <cellStyle name="Output 2 5 3 9 2 3" xfId="32408" xr:uid="{00000000-0005-0000-0000-00009D730000}"/>
    <cellStyle name="Output 2 5 3 9 2 4" xfId="32409" xr:uid="{00000000-0005-0000-0000-00009E730000}"/>
    <cellStyle name="Output 2 5 3 9 3" xfId="28227" xr:uid="{00000000-0005-0000-0000-00009F730000}"/>
    <cellStyle name="Output 2 5 3 9 3 2" xfId="32410" xr:uid="{00000000-0005-0000-0000-0000A0730000}"/>
    <cellStyle name="Output 2 5 3 9 3 3" xfId="32411" xr:uid="{00000000-0005-0000-0000-0000A1730000}"/>
    <cellStyle name="Output 2 5 3 9 3 4" xfId="32412" xr:uid="{00000000-0005-0000-0000-0000A2730000}"/>
    <cellStyle name="Output 2 5 3 9 4" xfId="28230" xr:uid="{00000000-0005-0000-0000-0000A3730000}"/>
    <cellStyle name="Output 2 5 3 9 4 2" xfId="32413" xr:uid="{00000000-0005-0000-0000-0000A4730000}"/>
    <cellStyle name="Output 2 5 3 9 4 3" xfId="32414" xr:uid="{00000000-0005-0000-0000-0000A5730000}"/>
    <cellStyle name="Output 2 5 3 9 5" xfId="25944" xr:uid="{00000000-0005-0000-0000-0000A6730000}"/>
    <cellStyle name="Output 2 5 3 9 5 2" xfId="32415" xr:uid="{00000000-0005-0000-0000-0000A7730000}"/>
    <cellStyle name="Output 2 5 3 9 5 3" xfId="32416" xr:uid="{00000000-0005-0000-0000-0000A8730000}"/>
    <cellStyle name="Output 2 5 3 9 6" xfId="3089" xr:uid="{00000000-0005-0000-0000-0000A9730000}"/>
    <cellStyle name="Output 2 5 3 9 7" xfId="2832" xr:uid="{00000000-0005-0000-0000-0000AA730000}"/>
    <cellStyle name="Output 2 5 4" xfId="22048" xr:uid="{00000000-0005-0000-0000-0000AB730000}"/>
    <cellStyle name="Output 2 5 4 2" xfId="24904" xr:uid="{00000000-0005-0000-0000-0000AC730000}"/>
    <cellStyle name="Output 2 5 4 2 2" xfId="24907" xr:uid="{00000000-0005-0000-0000-0000AD730000}"/>
    <cellStyle name="Output 2 5 4 2 3" xfId="24506" xr:uid="{00000000-0005-0000-0000-0000AE730000}"/>
    <cellStyle name="Output 2 5 4 2 4" xfId="12077" xr:uid="{00000000-0005-0000-0000-0000AF730000}"/>
    <cellStyle name="Output 2 5 4 3" xfId="24915" xr:uid="{00000000-0005-0000-0000-0000B0730000}"/>
    <cellStyle name="Output 2 5 4 3 2" xfId="24917" xr:uid="{00000000-0005-0000-0000-0000B1730000}"/>
    <cellStyle name="Output 2 5 4 3 3" xfId="24923" xr:uid="{00000000-0005-0000-0000-0000B2730000}"/>
    <cellStyle name="Output 2 5 4 3 4" xfId="12085" xr:uid="{00000000-0005-0000-0000-0000B3730000}"/>
    <cellStyle name="Output 2 5 4 4" xfId="23324" xr:uid="{00000000-0005-0000-0000-0000B4730000}"/>
    <cellStyle name="Output 2 5 4 4 2" xfId="15769" xr:uid="{00000000-0005-0000-0000-0000B5730000}"/>
    <cellStyle name="Output 2 5 4 4 3" xfId="15780" xr:uid="{00000000-0005-0000-0000-0000B6730000}"/>
    <cellStyle name="Output 2 5 4 5" xfId="23328" xr:uid="{00000000-0005-0000-0000-0000B7730000}"/>
    <cellStyle name="Output 2 5 4 5 2" xfId="27020" xr:uid="{00000000-0005-0000-0000-0000B8730000}"/>
    <cellStyle name="Output 2 5 4 5 3" xfId="27026" xr:uid="{00000000-0005-0000-0000-0000B9730000}"/>
    <cellStyle name="Output 2 5 4 6" xfId="26191" xr:uid="{00000000-0005-0000-0000-0000BA730000}"/>
    <cellStyle name="Output 2 5 4 7" xfId="26202" xr:uid="{00000000-0005-0000-0000-0000BB730000}"/>
    <cellStyle name="Output 2 5 5" xfId="22050" xr:uid="{00000000-0005-0000-0000-0000BC730000}"/>
    <cellStyle name="Output 2 5 5 2" xfId="25216" xr:uid="{00000000-0005-0000-0000-0000BD730000}"/>
    <cellStyle name="Output 2 5 5 2 2" xfId="16455" xr:uid="{00000000-0005-0000-0000-0000BE730000}"/>
    <cellStyle name="Output 2 5 5 2 3" xfId="16458" xr:uid="{00000000-0005-0000-0000-0000BF730000}"/>
    <cellStyle name="Output 2 5 5 2 4" xfId="12114" xr:uid="{00000000-0005-0000-0000-0000C0730000}"/>
    <cellStyle name="Output 2 5 5 3" xfId="25241" xr:uid="{00000000-0005-0000-0000-0000C1730000}"/>
    <cellStyle name="Output 2 5 5 3 2" xfId="16480" xr:uid="{00000000-0005-0000-0000-0000C2730000}"/>
    <cellStyle name="Output 2 5 5 3 3" xfId="16483" xr:uid="{00000000-0005-0000-0000-0000C3730000}"/>
    <cellStyle name="Output 2 5 5 3 4" xfId="12124" xr:uid="{00000000-0005-0000-0000-0000C4730000}"/>
    <cellStyle name="Output 2 5 5 4" xfId="23336" xr:uid="{00000000-0005-0000-0000-0000C5730000}"/>
    <cellStyle name="Output 2 5 5 4 2" xfId="16528" xr:uid="{00000000-0005-0000-0000-0000C6730000}"/>
    <cellStyle name="Output 2 5 5 4 3" xfId="16532" xr:uid="{00000000-0005-0000-0000-0000C7730000}"/>
    <cellStyle name="Output 2 5 5 5" xfId="23339" xr:uid="{00000000-0005-0000-0000-0000C8730000}"/>
    <cellStyle name="Output 2 5 5 5 2" xfId="6026" xr:uid="{00000000-0005-0000-0000-0000C9730000}"/>
    <cellStyle name="Output 2 5 5 5 3" xfId="6031" xr:uid="{00000000-0005-0000-0000-0000CA730000}"/>
    <cellStyle name="Output 2 5 5 6" xfId="30672" xr:uid="{00000000-0005-0000-0000-0000CB730000}"/>
    <cellStyle name="Output 2 5 5 7" xfId="30675" xr:uid="{00000000-0005-0000-0000-0000CC730000}"/>
    <cellStyle name="Output 2 5 6" xfId="22053" xr:uid="{00000000-0005-0000-0000-0000CD730000}"/>
    <cellStyle name="Output 2 5 6 2" xfId="25551" xr:uid="{00000000-0005-0000-0000-0000CE730000}"/>
    <cellStyle name="Output 2 5 6 2 2" xfId="16685" xr:uid="{00000000-0005-0000-0000-0000CF730000}"/>
    <cellStyle name="Output 2 5 6 2 3" xfId="16688" xr:uid="{00000000-0005-0000-0000-0000D0730000}"/>
    <cellStyle name="Output 2 5 6 2 4" xfId="25565" xr:uid="{00000000-0005-0000-0000-0000D1730000}"/>
    <cellStyle name="Output 2 5 6 3" xfId="25574" xr:uid="{00000000-0005-0000-0000-0000D2730000}"/>
    <cellStyle name="Output 2 5 6 3 2" xfId="16710" xr:uid="{00000000-0005-0000-0000-0000D3730000}"/>
    <cellStyle name="Output 2 5 6 3 3" xfId="16713" xr:uid="{00000000-0005-0000-0000-0000D4730000}"/>
    <cellStyle name="Output 2 5 6 3 4" xfId="25582" xr:uid="{00000000-0005-0000-0000-0000D5730000}"/>
    <cellStyle name="Output 2 5 6 4" xfId="25590" xr:uid="{00000000-0005-0000-0000-0000D6730000}"/>
    <cellStyle name="Output 2 5 6 4 2" xfId="16736" xr:uid="{00000000-0005-0000-0000-0000D7730000}"/>
    <cellStyle name="Output 2 5 6 4 3" xfId="16740" xr:uid="{00000000-0005-0000-0000-0000D8730000}"/>
    <cellStyle name="Output 2 5 6 5" xfId="30682" xr:uid="{00000000-0005-0000-0000-0000D9730000}"/>
    <cellStyle name="Output 2 5 6 5 2" xfId="16760" xr:uid="{00000000-0005-0000-0000-0000DA730000}"/>
    <cellStyle name="Output 2 5 6 5 3" xfId="16763" xr:uid="{00000000-0005-0000-0000-0000DB730000}"/>
    <cellStyle name="Output 2 5 6 6" xfId="30685" xr:uid="{00000000-0005-0000-0000-0000DC730000}"/>
    <cellStyle name="Output 2 5 6 7" xfId="3397" xr:uid="{00000000-0005-0000-0000-0000DD730000}"/>
    <cellStyle name="Output 2 5 7" xfId="24811" xr:uid="{00000000-0005-0000-0000-0000DE730000}"/>
    <cellStyle name="Output 2 5 7 2" xfId="14757" xr:uid="{00000000-0005-0000-0000-0000DF730000}"/>
    <cellStyle name="Output 2 5 7 2 2" xfId="25699" xr:uid="{00000000-0005-0000-0000-0000E0730000}"/>
    <cellStyle name="Output 2 5 7 2 3" xfId="25710" xr:uid="{00000000-0005-0000-0000-0000E1730000}"/>
    <cellStyle name="Output 2 5 7 2 4" xfId="25721" xr:uid="{00000000-0005-0000-0000-0000E2730000}"/>
    <cellStyle name="Output 2 5 7 3" xfId="25737" xr:uid="{00000000-0005-0000-0000-0000E3730000}"/>
    <cellStyle name="Output 2 5 7 3 2" xfId="25739" xr:uid="{00000000-0005-0000-0000-0000E4730000}"/>
    <cellStyle name="Output 2 5 7 3 3" xfId="25744" xr:uid="{00000000-0005-0000-0000-0000E5730000}"/>
    <cellStyle name="Output 2 5 7 3 4" xfId="25749" xr:uid="{00000000-0005-0000-0000-0000E6730000}"/>
    <cellStyle name="Output 2 5 7 4" xfId="25758" xr:uid="{00000000-0005-0000-0000-0000E7730000}"/>
    <cellStyle name="Output 2 5 7 4 2" xfId="25761" xr:uid="{00000000-0005-0000-0000-0000E8730000}"/>
    <cellStyle name="Output 2 5 7 4 3" xfId="25767" xr:uid="{00000000-0005-0000-0000-0000E9730000}"/>
    <cellStyle name="Output 2 5 7 5" xfId="30688" xr:uid="{00000000-0005-0000-0000-0000EA730000}"/>
    <cellStyle name="Output 2 5 7 5 2" xfId="21028" xr:uid="{00000000-0005-0000-0000-0000EB730000}"/>
    <cellStyle name="Output 2 5 7 5 3" xfId="21033" xr:uid="{00000000-0005-0000-0000-0000EC730000}"/>
    <cellStyle name="Output 2 5 7 6" xfId="30691" xr:uid="{00000000-0005-0000-0000-0000ED730000}"/>
    <cellStyle name="Output 2 5 7 7" xfId="3412" xr:uid="{00000000-0005-0000-0000-0000EE730000}"/>
    <cellStyle name="Output 2 5 8" xfId="29618" xr:uid="{00000000-0005-0000-0000-0000EF730000}"/>
    <cellStyle name="Output 2 5 8 2" xfId="25924" xr:uid="{00000000-0005-0000-0000-0000F0730000}"/>
    <cellStyle name="Output 2 5 8 2 2" xfId="25927" xr:uid="{00000000-0005-0000-0000-0000F1730000}"/>
    <cellStyle name="Output 2 5 8 2 3" xfId="25932" xr:uid="{00000000-0005-0000-0000-0000F2730000}"/>
    <cellStyle name="Output 2 5 8 2 4" xfId="25937" xr:uid="{00000000-0005-0000-0000-0000F3730000}"/>
    <cellStyle name="Output 2 5 8 3" xfId="25947" xr:uid="{00000000-0005-0000-0000-0000F4730000}"/>
    <cellStyle name="Output 2 5 8 3 2" xfId="25949" xr:uid="{00000000-0005-0000-0000-0000F5730000}"/>
    <cellStyle name="Output 2 5 8 3 3" xfId="25953" xr:uid="{00000000-0005-0000-0000-0000F6730000}"/>
    <cellStyle name="Output 2 5 8 3 4" xfId="25958" xr:uid="{00000000-0005-0000-0000-0000F7730000}"/>
    <cellStyle name="Output 2 5 8 4" xfId="25964" xr:uid="{00000000-0005-0000-0000-0000F8730000}"/>
    <cellStyle name="Output 2 5 8 4 2" xfId="25968" xr:uid="{00000000-0005-0000-0000-0000F9730000}"/>
    <cellStyle name="Output 2 5 8 4 3" xfId="25973" xr:uid="{00000000-0005-0000-0000-0000FA730000}"/>
    <cellStyle name="Output 2 5 8 5" xfId="30694" xr:uid="{00000000-0005-0000-0000-0000FB730000}"/>
    <cellStyle name="Output 2 5 8 5 2" xfId="21274" xr:uid="{00000000-0005-0000-0000-0000FC730000}"/>
    <cellStyle name="Output 2 5 8 5 3" xfId="21277" xr:uid="{00000000-0005-0000-0000-0000FD730000}"/>
    <cellStyle name="Output 2 5 8 6" xfId="30697" xr:uid="{00000000-0005-0000-0000-0000FE730000}"/>
    <cellStyle name="Output 2 5 8 7" xfId="3432" xr:uid="{00000000-0005-0000-0000-0000FF730000}"/>
    <cellStyle name="Output 2 5 9" xfId="29620" xr:uid="{00000000-0005-0000-0000-000000740000}"/>
    <cellStyle name="Output 2 5 9 2" xfId="25994" xr:uid="{00000000-0005-0000-0000-000001740000}"/>
    <cellStyle name="Output 2 5 9 2 2" xfId="30284" xr:uid="{00000000-0005-0000-0000-000002740000}"/>
    <cellStyle name="Output 2 5 9 2 3" xfId="32417" xr:uid="{00000000-0005-0000-0000-000003740000}"/>
    <cellStyle name="Output 2 5 9 2 4" xfId="32418" xr:uid="{00000000-0005-0000-0000-000004740000}"/>
    <cellStyle name="Output 2 5 9 3" xfId="25997" xr:uid="{00000000-0005-0000-0000-000005740000}"/>
    <cellStyle name="Output 2 5 9 3 2" xfId="32419" xr:uid="{00000000-0005-0000-0000-000006740000}"/>
    <cellStyle name="Output 2 5 9 3 3" xfId="32420" xr:uid="{00000000-0005-0000-0000-000007740000}"/>
    <cellStyle name="Output 2 5 9 3 4" xfId="32421" xr:uid="{00000000-0005-0000-0000-000008740000}"/>
    <cellStyle name="Output 2 5 9 4" xfId="32422" xr:uid="{00000000-0005-0000-0000-000009740000}"/>
    <cellStyle name="Output 2 5 9 4 2" xfId="26177" xr:uid="{00000000-0005-0000-0000-00000A740000}"/>
    <cellStyle name="Output 2 5 9 4 3" xfId="26179" xr:uid="{00000000-0005-0000-0000-00000B740000}"/>
    <cellStyle name="Output 2 5 9 5" xfId="27457" xr:uid="{00000000-0005-0000-0000-00000C740000}"/>
    <cellStyle name="Output 2 5 9 5 2" xfId="27459" xr:uid="{00000000-0005-0000-0000-00000D740000}"/>
    <cellStyle name="Output 2 5 9 5 3" xfId="27470" xr:uid="{00000000-0005-0000-0000-00000E740000}"/>
    <cellStyle name="Output 2 5 9 6" xfId="27489" xr:uid="{00000000-0005-0000-0000-00000F740000}"/>
    <cellStyle name="Output 2 5 9 7" xfId="3448" xr:uid="{00000000-0005-0000-0000-000010740000}"/>
    <cellStyle name="Output 2 6" xfId="2790" xr:uid="{00000000-0005-0000-0000-000011740000}"/>
    <cellStyle name="Output 2 6 10" xfId="28807" xr:uid="{00000000-0005-0000-0000-000012740000}"/>
    <cellStyle name="Output 2 6 10 2" xfId="3710" xr:uid="{00000000-0005-0000-0000-000013740000}"/>
    <cellStyle name="Output 2 6 10 2 2" xfId="3714" xr:uid="{00000000-0005-0000-0000-000014740000}"/>
    <cellStyle name="Output 2 6 10 2 3" xfId="3720" xr:uid="{00000000-0005-0000-0000-000015740000}"/>
    <cellStyle name="Output 2 6 10 2 4" xfId="21220" xr:uid="{00000000-0005-0000-0000-000016740000}"/>
    <cellStyle name="Output 2 6 10 3" xfId="3724" xr:uid="{00000000-0005-0000-0000-000017740000}"/>
    <cellStyle name="Output 2 6 10 3 2" xfId="3728" xr:uid="{00000000-0005-0000-0000-000018740000}"/>
    <cellStyle name="Output 2 6 10 3 3" xfId="3733" xr:uid="{00000000-0005-0000-0000-000019740000}"/>
    <cellStyle name="Output 2 6 10 3 4" xfId="32423" xr:uid="{00000000-0005-0000-0000-00001A740000}"/>
    <cellStyle name="Output 2 6 10 4" xfId="3736" xr:uid="{00000000-0005-0000-0000-00001B740000}"/>
    <cellStyle name="Output 2 6 10 4 2" xfId="32424" xr:uid="{00000000-0005-0000-0000-00001C740000}"/>
    <cellStyle name="Output 2 6 10 4 3" xfId="32426" xr:uid="{00000000-0005-0000-0000-00001D740000}"/>
    <cellStyle name="Output 2 6 10 5" xfId="3738" xr:uid="{00000000-0005-0000-0000-00001E740000}"/>
    <cellStyle name="Output 2 6 10 5 2" xfId="32427" xr:uid="{00000000-0005-0000-0000-00001F740000}"/>
    <cellStyle name="Output 2 6 10 5 3" xfId="31129" xr:uid="{00000000-0005-0000-0000-000020740000}"/>
    <cellStyle name="Output 2 6 10 6" xfId="32428" xr:uid="{00000000-0005-0000-0000-000021740000}"/>
    <cellStyle name="Output 2 6 10 7" xfId="32429" xr:uid="{00000000-0005-0000-0000-000022740000}"/>
    <cellStyle name="Output 2 6 11" xfId="13964" xr:uid="{00000000-0005-0000-0000-000023740000}"/>
    <cellStyle name="Output 2 6 11 2" xfId="3771" xr:uid="{00000000-0005-0000-0000-000024740000}"/>
    <cellStyle name="Output 2 6 11 2 2" xfId="3775" xr:uid="{00000000-0005-0000-0000-000025740000}"/>
    <cellStyle name="Output 2 6 11 2 3" xfId="3784" xr:uid="{00000000-0005-0000-0000-000026740000}"/>
    <cellStyle name="Output 2 6 11 2 4" xfId="28861" xr:uid="{00000000-0005-0000-0000-000027740000}"/>
    <cellStyle name="Output 2 6 11 3" xfId="3790" xr:uid="{00000000-0005-0000-0000-000028740000}"/>
    <cellStyle name="Output 2 6 11 3 2" xfId="3795" xr:uid="{00000000-0005-0000-0000-000029740000}"/>
    <cellStyle name="Output 2 6 11 3 3" xfId="1704" xr:uid="{00000000-0005-0000-0000-00002A740000}"/>
    <cellStyle name="Output 2 6 11 3 4" xfId="29323" xr:uid="{00000000-0005-0000-0000-00002B740000}"/>
    <cellStyle name="Output 2 6 11 4" xfId="3802" xr:uid="{00000000-0005-0000-0000-00002C740000}"/>
    <cellStyle name="Output 2 6 11 4 2" xfId="26400" xr:uid="{00000000-0005-0000-0000-00002D740000}"/>
    <cellStyle name="Output 2 6 11 4 3" xfId="26427" xr:uid="{00000000-0005-0000-0000-00002E740000}"/>
    <cellStyle name="Output 2 6 11 5" xfId="3805" xr:uid="{00000000-0005-0000-0000-00002F740000}"/>
    <cellStyle name="Output 2 6 11 5 2" xfId="26985" xr:uid="{00000000-0005-0000-0000-000030740000}"/>
    <cellStyle name="Output 2 6 11 5 3" xfId="26999" xr:uid="{00000000-0005-0000-0000-000031740000}"/>
    <cellStyle name="Output 2 6 11 6" xfId="29330" xr:uid="{00000000-0005-0000-0000-000032740000}"/>
    <cellStyle name="Output 2 6 11 7" xfId="29335" xr:uid="{00000000-0005-0000-0000-000033740000}"/>
    <cellStyle name="Output 2 6 12" xfId="13969" xr:uid="{00000000-0005-0000-0000-000034740000}"/>
    <cellStyle name="Output 2 6 12 2" xfId="3846" xr:uid="{00000000-0005-0000-0000-000035740000}"/>
    <cellStyle name="Output 2 6 12 2 2" xfId="3851" xr:uid="{00000000-0005-0000-0000-000036740000}"/>
    <cellStyle name="Output 2 6 12 2 3" xfId="3861" xr:uid="{00000000-0005-0000-0000-000037740000}"/>
    <cellStyle name="Output 2 6 12 2 4" xfId="15597" xr:uid="{00000000-0005-0000-0000-000038740000}"/>
    <cellStyle name="Output 2 6 12 3" xfId="3868" xr:uid="{00000000-0005-0000-0000-000039740000}"/>
    <cellStyle name="Output 2 6 12 3 2" xfId="3874" xr:uid="{00000000-0005-0000-0000-00003A740000}"/>
    <cellStyle name="Output 2 6 12 3 3" xfId="3883" xr:uid="{00000000-0005-0000-0000-00003B740000}"/>
    <cellStyle name="Output 2 6 12 3 4" xfId="16212" xr:uid="{00000000-0005-0000-0000-00003C740000}"/>
    <cellStyle name="Output 2 6 12 4" xfId="3890" xr:uid="{00000000-0005-0000-0000-00003D740000}"/>
    <cellStyle name="Output 2 6 12 4 2" xfId="16829" xr:uid="{00000000-0005-0000-0000-00003E740000}"/>
    <cellStyle name="Output 2 6 12 4 3" xfId="16853" xr:uid="{00000000-0005-0000-0000-00003F740000}"/>
    <cellStyle name="Output 2 6 12 5" xfId="1984" xr:uid="{00000000-0005-0000-0000-000040740000}"/>
    <cellStyle name="Output 2 6 12 5 2" xfId="17506" xr:uid="{00000000-0005-0000-0000-000041740000}"/>
    <cellStyle name="Output 2 6 12 5 3" xfId="17534" xr:uid="{00000000-0005-0000-0000-000042740000}"/>
    <cellStyle name="Output 2 6 12 6" xfId="29375" xr:uid="{00000000-0005-0000-0000-000043740000}"/>
    <cellStyle name="Output 2 6 12 7" xfId="29377" xr:uid="{00000000-0005-0000-0000-000044740000}"/>
    <cellStyle name="Output 2 6 13" xfId="26042" xr:uid="{00000000-0005-0000-0000-000045740000}"/>
    <cellStyle name="Output 2 6 13 2" xfId="29395" xr:uid="{00000000-0005-0000-0000-000046740000}"/>
    <cellStyle name="Output 2 6 13 3" xfId="29404" xr:uid="{00000000-0005-0000-0000-000047740000}"/>
    <cellStyle name="Output 2 6 13 4" xfId="29410" xr:uid="{00000000-0005-0000-0000-000048740000}"/>
    <cellStyle name="Output 2 6 14" xfId="26045" xr:uid="{00000000-0005-0000-0000-000049740000}"/>
    <cellStyle name="Output 2 6 14 2" xfId="29422" xr:uid="{00000000-0005-0000-0000-00004A740000}"/>
    <cellStyle name="Output 2 6 14 3" xfId="29429" xr:uid="{00000000-0005-0000-0000-00004B740000}"/>
    <cellStyle name="Output 2 6 14 4" xfId="29435" xr:uid="{00000000-0005-0000-0000-00004C740000}"/>
    <cellStyle name="Output 2 6 15" xfId="29447" xr:uid="{00000000-0005-0000-0000-00004D740000}"/>
    <cellStyle name="Output 2 6 15 2" xfId="9756" xr:uid="{00000000-0005-0000-0000-00004E740000}"/>
    <cellStyle name="Output 2 6 15 3" xfId="8200" xr:uid="{00000000-0005-0000-0000-00004F740000}"/>
    <cellStyle name="Output 2 6 16" xfId="29487" xr:uid="{00000000-0005-0000-0000-000050740000}"/>
    <cellStyle name="Output 2 6 16 2" xfId="9763" xr:uid="{00000000-0005-0000-0000-000051740000}"/>
    <cellStyle name="Output 2 6 16 3" xfId="29489" xr:uid="{00000000-0005-0000-0000-000052740000}"/>
    <cellStyle name="Output 2 6 17" xfId="29509" xr:uid="{00000000-0005-0000-0000-000053740000}"/>
    <cellStyle name="Output 2 6 17 2" xfId="29511" xr:uid="{00000000-0005-0000-0000-000054740000}"/>
    <cellStyle name="Output 2 6 17 2 2" xfId="22986" xr:uid="{00000000-0005-0000-0000-000055740000}"/>
    <cellStyle name="Output 2 6 18" xfId="29528" xr:uid="{00000000-0005-0000-0000-000056740000}"/>
    <cellStyle name="Output 2 6 19" xfId="32430" xr:uid="{00000000-0005-0000-0000-000057740000}"/>
    <cellStyle name="Output 2 6 2" xfId="32431" xr:uid="{00000000-0005-0000-0000-000058740000}"/>
    <cellStyle name="Output 2 6 2 10" xfId="32433" xr:uid="{00000000-0005-0000-0000-000059740000}"/>
    <cellStyle name="Output 2 6 2 10 2" xfId="32435" xr:uid="{00000000-0005-0000-0000-00005A740000}"/>
    <cellStyle name="Output 2 6 2 10 2 2" xfId="32436" xr:uid="{00000000-0005-0000-0000-00005B740000}"/>
    <cellStyle name="Output 2 6 2 10 2 3" xfId="28810" xr:uid="{00000000-0005-0000-0000-00005C740000}"/>
    <cellStyle name="Output 2 6 2 10 2 4" xfId="28815" xr:uid="{00000000-0005-0000-0000-00005D740000}"/>
    <cellStyle name="Output 2 6 2 10 3" xfId="32438" xr:uid="{00000000-0005-0000-0000-00005E740000}"/>
    <cellStyle name="Output 2 6 2 10 3 2" xfId="32439" xr:uid="{00000000-0005-0000-0000-00005F740000}"/>
    <cellStyle name="Output 2 6 2 10 3 3" xfId="28824" xr:uid="{00000000-0005-0000-0000-000060740000}"/>
    <cellStyle name="Output 2 6 2 10 3 4" xfId="28826" xr:uid="{00000000-0005-0000-0000-000061740000}"/>
    <cellStyle name="Output 2 6 2 10 4" xfId="32441" xr:uid="{00000000-0005-0000-0000-000062740000}"/>
    <cellStyle name="Output 2 6 2 10 4 2" xfId="32443" xr:uid="{00000000-0005-0000-0000-000063740000}"/>
    <cellStyle name="Output 2 6 2 10 4 3" xfId="28830" xr:uid="{00000000-0005-0000-0000-000064740000}"/>
    <cellStyle name="Output 2 6 2 10 5" xfId="32444" xr:uid="{00000000-0005-0000-0000-000065740000}"/>
    <cellStyle name="Output 2 6 2 10 5 2" xfId="32446" xr:uid="{00000000-0005-0000-0000-000066740000}"/>
    <cellStyle name="Output 2 6 2 10 5 3" xfId="28835" xr:uid="{00000000-0005-0000-0000-000067740000}"/>
    <cellStyle name="Output 2 6 2 10 6" xfId="32447" xr:uid="{00000000-0005-0000-0000-000068740000}"/>
    <cellStyle name="Output 2 6 2 10 7" xfId="32448" xr:uid="{00000000-0005-0000-0000-000069740000}"/>
    <cellStyle name="Output 2 6 2 11" xfId="32450" xr:uid="{00000000-0005-0000-0000-00006A740000}"/>
    <cellStyle name="Output 2 6 2 11 2" xfId="32452" xr:uid="{00000000-0005-0000-0000-00006B740000}"/>
    <cellStyle name="Output 2 6 2 11 3" xfId="32454" xr:uid="{00000000-0005-0000-0000-00006C740000}"/>
    <cellStyle name="Output 2 6 2 11 4" xfId="32456" xr:uid="{00000000-0005-0000-0000-00006D740000}"/>
    <cellStyle name="Output 2 6 2 12" xfId="32458" xr:uid="{00000000-0005-0000-0000-00006E740000}"/>
    <cellStyle name="Output 2 6 2 12 2" xfId="32460" xr:uid="{00000000-0005-0000-0000-00006F740000}"/>
    <cellStyle name="Output 2 6 2 12 3" xfId="32462" xr:uid="{00000000-0005-0000-0000-000070740000}"/>
    <cellStyle name="Output 2 6 2 12 4" xfId="32463" xr:uid="{00000000-0005-0000-0000-000071740000}"/>
    <cellStyle name="Output 2 6 2 13" xfId="32465" xr:uid="{00000000-0005-0000-0000-000072740000}"/>
    <cellStyle name="Output 2 6 2 13 2" xfId="32467" xr:uid="{00000000-0005-0000-0000-000073740000}"/>
    <cellStyle name="Output 2 6 2 13 3" xfId="32469" xr:uid="{00000000-0005-0000-0000-000074740000}"/>
    <cellStyle name="Output 2 6 2 14" xfId="32471" xr:uid="{00000000-0005-0000-0000-000075740000}"/>
    <cellStyle name="Output 2 6 2 14 2" xfId="32472" xr:uid="{00000000-0005-0000-0000-000076740000}"/>
    <cellStyle name="Output 2 6 2 14 3" xfId="20874" xr:uid="{00000000-0005-0000-0000-000077740000}"/>
    <cellStyle name="Output 2 6 2 15" xfId="32474" xr:uid="{00000000-0005-0000-0000-000078740000}"/>
    <cellStyle name="Output 2 6 2 16" xfId="32475" xr:uid="{00000000-0005-0000-0000-000079740000}"/>
    <cellStyle name="Output 2 6 2 17" xfId="32476" xr:uid="{00000000-0005-0000-0000-00007A740000}"/>
    <cellStyle name="Output 2 6 2 2" xfId="32477" xr:uid="{00000000-0005-0000-0000-00007B740000}"/>
    <cellStyle name="Output 2 6 2 2 2" xfId="23046" xr:uid="{00000000-0005-0000-0000-00007C740000}"/>
    <cellStyle name="Output 2 6 2 2 2 2" xfId="21556" xr:uid="{00000000-0005-0000-0000-00007D740000}"/>
    <cellStyle name="Output 2 6 2 2 2 3" xfId="21565" xr:uid="{00000000-0005-0000-0000-00007E740000}"/>
    <cellStyle name="Output 2 6 2 2 2 4" xfId="21568" xr:uid="{00000000-0005-0000-0000-00007F740000}"/>
    <cellStyle name="Output 2 6 2 2 3" xfId="30341" xr:uid="{00000000-0005-0000-0000-000080740000}"/>
    <cellStyle name="Output 2 6 2 2 3 2" xfId="1552" xr:uid="{00000000-0005-0000-0000-000081740000}"/>
    <cellStyle name="Output 2 6 2 2 3 3" xfId="2056" xr:uid="{00000000-0005-0000-0000-000082740000}"/>
    <cellStyle name="Output 2 6 2 2 3 4" xfId="2066" xr:uid="{00000000-0005-0000-0000-000083740000}"/>
    <cellStyle name="Output 2 6 2 2 4" xfId="12279" xr:uid="{00000000-0005-0000-0000-000084740000}"/>
    <cellStyle name="Output 2 6 2 2 4 2" xfId="26248" xr:uid="{00000000-0005-0000-0000-000085740000}"/>
    <cellStyle name="Output 2 6 2 2 4 3" xfId="26251" xr:uid="{00000000-0005-0000-0000-000086740000}"/>
    <cellStyle name="Output 2 6 2 2 5" xfId="12282" xr:uid="{00000000-0005-0000-0000-000087740000}"/>
    <cellStyle name="Output 2 6 2 2 5 2" xfId="14092" xr:uid="{00000000-0005-0000-0000-000088740000}"/>
    <cellStyle name="Output 2 6 2 2 5 3" xfId="32478" xr:uid="{00000000-0005-0000-0000-000089740000}"/>
    <cellStyle name="Output 2 6 2 2 6" xfId="12284" xr:uid="{00000000-0005-0000-0000-00008A740000}"/>
    <cellStyle name="Output 2 6 2 2 7" xfId="31668" xr:uid="{00000000-0005-0000-0000-00008B740000}"/>
    <cellStyle name="Output 2 6 2 3" xfId="32479" xr:uid="{00000000-0005-0000-0000-00008C740000}"/>
    <cellStyle name="Output 2 6 2 3 2" xfId="23059" xr:uid="{00000000-0005-0000-0000-00008D740000}"/>
    <cellStyle name="Output 2 6 2 3 2 2" xfId="22193" xr:uid="{00000000-0005-0000-0000-00008E740000}"/>
    <cellStyle name="Output 2 6 2 3 2 3" xfId="22200" xr:uid="{00000000-0005-0000-0000-00008F740000}"/>
    <cellStyle name="Output 2 6 2 3 2 4" xfId="22203" xr:uid="{00000000-0005-0000-0000-000090740000}"/>
    <cellStyle name="Output 2 6 2 3 3" xfId="30343" xr:uid="{00000000-0005-0000-0000-000091740000}"/>
    <cellStyle name="Output 2 6 2 3 3 2" xfId="2148" xr:uid="{00000000-0005-0000-0000-000092740000}"/>
    <cellStyle name="Output 2 6 2 3 3 3" xfId="2153" xr:uid="{00000000-0005-0000-0000-000093740000}"/>
    <cellStyle name="Output 2 6 2 3 3 4" xfId="2175" xr:uid="{00000000-0005-0000-0000-000094740000}"/>
    <cellStyle name="Output 2 6 2 3 4" xfId="12288" xr:uid="{00000000-0005-0000-0000-000095740000}"/>
    <cellStyle name="Output 2 6 2 3 4 2" xfId="15224" xr:uid="{00000000-0005-0000-0000-000096740000}"/>
    <cellStyle name="Output 2 6 2 3 4 3" xfId="15231" xr:uid="{00000000-0005-0000-0000-000097740000}"/>
    <cellStyle name="Output 2 6 2 3 5" xfId="12292" xr:uid="{00000000-0005-0000-0000-000098740000}"/>
    <cellStyle name="Output 2 6 2 3 5 2" xfId="15250" xr:uid="{00000000-0005-0000-0000-000099740000}"/>
    <cellStyle name="Output 2 6 2 3 5 3" xfId="15256" xr:uid="{00000000-0005-0000-0000-00009A740000}"/>
    <cellStyle name="Output 2 6 2 3 6" xfId="12295" xr:uid="{00000000-0005-0000-0000-00009B740000}"/>
    <cellStyle name="Output 2 6 2 3 7" xfId="14019" xr:uid="{00000000-0005-0000-0000-00009C740000}"/>
    <cellStyle name="Output 2 6 2 4" xfId="23352" xr:uid="{00000000-0005-0000-0000-00009D740000}"/>
    <cellStyle name="Output 2 6 2 4 2" xfId="30346" xr:uid="{00000000-0005-0000-0000-00009E740000}"/>
    <cellStyle name="Output 2 6 2 4 2 2" xfId="22729" xr:uid="{00000000-0005-0000-0000-00009F740000}"/>
    <cellStyle name="Output 2 6 2 4 2 3" xfId="22734" xr:uid="{00000000-0005-0000-0000-0000A0740000}"/>
    <cellStyle name="Output 2 6 2 4 2 4" xfId="22736" xr:uid="{00000000-0005-0000-0000-0000A1740000}"/>
    <cellStyle name="Output 2 6 2 4 3" xfId="30349" xr:uid="{00000000-0005-0000-0000-0000A2740000}"/>
    <cellStyle name="Output 2 6 2 4 3 2" xfId="22754" xr:uid="{00000000-0005-0000-0000-0000A3740000}"/>
    <cellStyle name="Output 2 6 2 4 3 3" xfId="22760" xr:uid="{00000000-0005-0000-0000-0000A4740000}"/>
    <cellStyle name="Output 2 6 2 4 3 4" xfId="22763" xr:uid="{00000000-0005-0000-0000-0000A5740000}"/>
    <cellStyle name="Output 2 6 2 4 4" xfId="12299" xr:uid="{00000000-0005-0000-0000-0000A6740000}"/>
    <cellStyle name="Output 2 6 2 4 4 2" xfId="15414" xr:uid="{00000000-0005-0000-0000-0000A7740000}"/>
    <cellStyle name="Output 2 6 2 4 4 3" xfId="15417" xr:uid="{00000000-0005-0000-0000-0000A8740000}"/>
    <cellStyle name="Output 2 6 2 4 5" xfId="12303" xr:uid="{00000000-0005-0000-0000-0000A9740000}"/>
    <cellStyle name="Output 2 6 2 4 5 2" xfId="15440" xr:uid="{00000000-0005-0000-0000-0000AA740000}"/>
    <cellStyle name="Output 2 6 2 4 5 3" xfId="15443" xr:uid="{00000000-0005-0000-0000-0000AB740000}"/>
    <cellStyle name="Output 2 6 2 4 6" xfId="2361" xr:uid="{00000000-0005-0000-0000-0000AC740000}"/>
    <cellStyle name="Output 2 6 2 4 7" xfId="14025" xr:uid="{00000000-0005-0000-0000-0000AD740000}"/>
    <cellStyle name="Output 2 6 2 5" xfId="23356" xr:uid="{00000000-0005-0000-0000-0000AE740000}"/>
    <cellStyle name="Output 2 6 2 5 2" xfId="30352" xr:uid="{00000000-0005-0000-0000-0000AF740000}"/>
    <cellStyle name="Output 2 6 2 5 2 2" xfId="369" xr:uid="{00000000-0005-0000-0000-0000B0740000}"/>
    <cellStyle name="Output 2 6 2 5 2 3" xfId="377" xr:uid="{00000000-0005-0000-0000-0000B1740000}"/>
    <cellStyle name="Output 2 6 2 5 2 4" xfId="385" xr:uid="{00000000-0005-0000-0000-0000B2740000}"/>
    <cellStyle name="Output 2 6 2 5 3" xfId="30355" xr:uid="{00000000-0005-0000-0000-0000B3740000}"/>
    <cellStyle name="Output 2 6 2 5 3 2" xfId="5912" xr:uid="{00000000-0005-0000-0000-0000B4740000}"/>
    <cellStyle name="Output 2 6 2 5 3 3" xfId="5921" xr:uid="{00000000-0005-0000-0000-0000B5740000}"/>
    <cellStyle name="Output 2 6 2 5 3 4" xfId="5927" xr:uid="{00000000-0005-0000-0000-0000B6740000}"/>
    <cellStyle name="Output 2 6 2 5 4" xfId="12307" xr:uid="{00000000-0005-0000-0000-0000B7740000}"/>
    <cellStyle name="Output 2 6 2 5 4 2" xfId="5947" xr:uid="{00000000-0005-0000-0000-0000B8740000}"/>
    <cellStyle name="Output 2 6 2 5 4 3" xfId="5951" xr:uid="{00000000-0005-0000-0000-0000B9740000}"/>
    <cellStyle name="Output 2 6 2 5 5" xfId="12311" xr:uid="{00000000-0005-0000-0000-0000BA740000}"/>
    <cellStyle name="Output 2 6 2 5 5 2" xfId="5966" xr:uid="{00000000-0005-0000-0000-0000BB740000}"/>
    <cellStyle name="Output 2 6 2 5 5 3" xfId="5968" xr:uid="{00000000-0005-0000-0000-0000BC740000}"/>
    <cellStyle name="Output 2 6 2 5 6" xfId="14030" xr:uid="{00000000-0005-0000-0000-0000BD740000}"/>
    <cellStyle name="Output 2 6 2 5 7" xfId="32480" xr:uid="{00000000-0005-0000-0000-0000BE740000}"/>
    <cellStyle name="Output 2 6 2 6" xfId="23360" xr:uid="{00000000-0005-0000-0000-0000BF740000}"/>
    <cellStyle name="Output 2 6 2 6 2" xfId="30360" xr:uid="{00000000-0005-0000-0000-0000C0740000}"/>
    <cellStyle name="Output 2 6 2 6 2 2" xfId="615" xr:uid="{00000000-0005-0000-0000-0000C1740000}"/>
    <cellStyle name="Output 2 6 2 6 2 3" xfId="494" xr:uid="{00000000-0005-0000-0000-0000C2740000}"/>
    <cellStyle name="Output 2 6 2 6 2 4" xfId="6111" xr:uid="{00000000-0005-0000-0000-0000C3740000}"/>
    <cellStyle name="Output 2 6 2 6 3" xfId="30364" xr:uid="{00000000-0005-0000-0000-0000C4740000}"/>
    <cellStyle name="Output 2 6 2 6 3 2" xfId="6125" xr:uid="{00000000-0005-0000-0000-0000C5740000}"/>
    <cellStyle name="Output 2 6 2 6 3 3" xfId="6130" xr:uid="{00000000-0005-0000-0000-0000C6740000}"/>
    <cellStyle name="Output 2 6 2 6 3 4" xfId="6134" xr:uid="{00000000-0005-0000-0000-0000C7740000}"/>
    <cellStyle name="Output 2 6 2 6 4" xfId="30367" xr:uid="{00000000-0005-0000-0000-0000C8740000}"/>
    <cellStyle name="Output 2 6 2 6 4 2" xfId="6147" xr:uid="{00000000-0005-0000-0000-0000C9740000}"/>
    <cellStyle name="Output 2 6 2 6 4 3" xfId="6149" xr:uid="{00000000-0005-0000-0000-0000CA740000}"/>
    <cellStyle name="Output 2 6 2 6 5" xfId="14035" xr:uid="{00000000-0005-0000-0000-0000CB740000}"/>
    <cellStyle name="Output 2 6 2 6 5 2" xfId="6169" xr:uid="{00000000-0005-0000-0000-0000CC740000}"/>
    <cellStyle name="Output 2 6 2 6 5 3" xfId="6173" xr:uid="{00000000-0005-0000-0000-0000CD740000}"/>
    <cellStyle name="Output 2 6 2 6 6" xfId="14037" xr:uid="{00000000-0005-0000-0000-0000CE740000}"/>
    <cellStyle name="Output 2 6 2 6 7" xfId="32481" xr:uid="{00000000-0005-0000-0000-0000CF740000}"/>
    <cellStyle name="Output 2 6 2 7" xfId="30746" xr:uid="{00000000-0005-0000-0000-0000D0740000}"/>
    <cellStyle name="Output 2 6 2 7 2" xfId="30378" xr:uid="{00000000-0005-0000-0000-0000D1740000}"/>
    <cellStyle name="Output 2 6 2 7 2 2" xfId="30381" xr:uid="{00000000-0005-0000-0000-0000D2740000}"/>
    <cellStyle name="Output 2 6 2 7 2 3" xfId="30383" xr:uid="{00000000-0005-0000-0000-0000D3740000}"/>
    <cellStyle name="Output 2 6 2 7 2 4" xfId="32482" xr:uid="{00000000-0005-0000-0000-0000D4740000}"/>
    <cellStyle name="Output 2 6 2 7 3" xfId="30386" xr:uid="{00000000-0005-0000-0000-0000D5740000}"/>
    <cellStyle name="Output 2 6 2 7 3 2" xfId="28398" xr:uid="{00000000-0005-0000-0000-0000D6740000}"/>
    <cellStyle name="Output 2 6 2 7 3 3" xfId="28402" xr:uid="{00000000-0005-0000-0000-0000D7740000}"/>
    <cellStyle name="Output 2 6 2 7 3 4" xfId="28404" xr:uid="{00000000-0005-0000-0000-0000D8740000}"/>
    <cellStyle name="Output 2 6 2 7 4" xfId="30389" xr:uid="{00000000-0005-0000-0000-0000D9740000}"/>
    <cellStyle name="Output 2 6 2 7 4 2" xfId="15604" xr:uid="{00000000-0005-0000-0000-0000DA740000}"/>
    <cellStyle name="Output 2 6 2 7 4 3" xfId="32483" xr:uid="{00000000-0005-0000-0000-0000DB740000}"/>
    <cellStyle name="Output 2 6 2 7 5" xfId="30392" xr:uid="{00000000-0005-0000-0000-0000DC740000}"/>
    <cellStyle name="Output 2 6 2 7 5 2" xfId="15613" xr:uid="{00000000-0005-0000-0000-0000DD740000}"/>
    <cellStyle name="Output 2 6 2 7 5 3" xfId="32484" xr:uid="{00000000-0005-0000-0000-0000DE740000}"/>
    <cellStyle name="Output 2 6 2 7 6" xfId="32485" xr:uid="{00000000-0005-0000-0000-0000DF740000}"/>
    <cellStyle name="Output 2 6 2 7 7" xfId="32486" xr:uid="{00000000-0005-0000-0000-0000E0740000}"/>
    <cellStyle name="Output 2 6 2 8" xfId="19239" xr:uid="{00000000-0005-0000-0000-0000E1740000}"/>
    <cellStyle name="Output 2 6 2 8 2" xfId="30401" xr:uid="{00000000-0005-0000-0000-0000E2740000}"/>
    <cellStyle name="Output 2 6 2 8 2 2" xfId="30404" xr:uid="{00000000-0005-0000-0000-0000E3740000}"/>
    <cellStyle name="Output 2 6 2 8 2 3" xfId="19256" xr:uid="{00000000-0005-0000-0000-0000E4740000}"/>
    <cellStyle name="Output 2 6 2 8 2 4" xfId="19258" xr:uid="{00000000-0005-0000-0000-0000E5740000}"/>
    <cellStyle name="Output 2 6 2 8 3" xfId="28558" xr:uid="{00000000-0005-0000-0000-0000E6740000}"/>
    <cellStyle name="Output 2 6 2 8 3 2" xfId="28562" xr:uid="{00000000-0005-0000-0000-0000E7740000}"/>
    <cellStyle name="Output 2 6 2 8 3 3" xfId="19264" xr:uid="{00000000-0005-0000-0000-0000E8740000}"/>
    <cellStyle name="Output 2 6 2 8 3 4" xfId="19267" xr:uid="{00000000-0005-0000-0000-0000E9740000}"/>
    <cellStyle name="Output 2 6 2 8 4" xfId="28565" xr:uid="{00000000-0005-0000-0000-0000EA740000}"/>
    <cellStyle name="Output 2 6 2 8 4 2" xfId="15638" xr:uid="{00000000-0005-0000-0000-0000EB740000}"/>
    <cellStyle name="Output 2 6 2 8 4 3" xfId="19272" xr:uid="{00000000-0005-0000-0000-0000EC740000}"/>
    <cellStyle name="Output 2 6 2 8 5" xfId="28568" xr:uid="{00000000-0005-0000-0000-0000ED740000}"/>
    <cellStyle name="Output 2 6 2 8 5 2" xfId="15645" xr:uid="{00000000-0005-0000-0000-0000EE740000}"/>
    <cellStyle name="Output 2 6 2 8 5 3" xfId="19278" xr:uid="{00000000-0005-0000-0000-0000EF740000}"/>
    <cellStyle name="Output 2 6 2 8 6" xfId="28570" xr:uid="{00000000-0005-0000-0000-0000F0740000}"/>
    <cellStyle name="Output 2 6 2 8 7" xfId="28574" xr:uid="{00000000-0005-0000-0000-0000F1740000}"/>
    <cellStyle name="Output 2 6 2 9" xfId="20432" xr:uid="{00000000-0005-0000-0000-0000F2740000}"/>
    <cellStyle name="Output 2 6 2 9 2" xfId="32150" xr:uid="{00000000-0005-0000-0000-0000F3740000}"/>
    <cellStyle name="Output 2 6 2 9 2 2" xfId="32153" xr:uid="{00000000-0005-0000-0000-0000F4740000}"/>
    <cellStyle name="Output 2 6 2 9 2 3" xfId="32155" xr:uid="{00000000-0005-0000-0000-0000F5740000}"/>
    <cellStyle name="Output 2 6 2 9 2 4" xfId="32487" xr:uid="{00000000-0005-0000-0000-0000F6740000}"/>
    <cellStyle name="Output 2 6 2 9 3" xfId="28579" xr:uid="{00000000-0005-0000-0000-0000F7740000}"/>
    <cellStyle name="Output 2 6 2 9 3 2" xfId="28583" xr:uid="{00000000-0005-0000-0000-0000F8740000}"/>
    <cellStyle name="Output 2 6 2 9 3 3" xfId="28586" xr:uid="{00000000-0005-0000-0000-0000F9740000}"/>
    <cellStyle name="Output 2 6 2 9 3 4" xfId="28588" xr:uid="{00000000-0005-0000-0000-0000FA740000}"/>
    <cellStyle name="Output 2 6 2 9 4" xfId="28591" xr:uid="{00000000-0005-0000-0000-0000FB740000}"/>
    <cellStyle name="Output 2 6 2 9 4 2" xfId="15667" xr:uid="{00000000-0005-0000-0000-0000FC740000}"/>
    <cellStyle name="Output 2 6 2 9 4 3" xfId="28593" xr:uid="{00000000-0005-0000-0000-0000FD740000}"/>
    <cellStyle name="Output 2 6 2 9 5" xfId="28597" xr:uid="{00000000-0005-0000-0000-0000FE740000}"/>
    <cellStyle name="Output 2 6 2 9 5 2" xfId="15676" xr:uid="{00000000-0005-0000-0000-0000FF740000}"/>
    <cellStyle name="Output 2 6 2 9 5 3" xfId="28599" xr:uid="{00000000-0005-0000-0000-000000750000}"/>
    <cellStyle name="Output 2 6 2 9 6" xfId="28601" xr:uid="{00000000-0005-0000-0000-000001750000}"/>
    <cellStyle name="Output 2 6 2 9 7" xfId="28605" xr:uid="{00000000-0005-0000-0000-000002750000}"/>
    <cellStyle name="Output 2 6 20" xfId="29448" xr:uid="{00000000-0005-0000-0000-000003750000}"/>
    <cellStyle name="Output 2 6 3" xfId="32488" xr:uid="{00000000-0005-0000-0000-000004750000}"/>
    <cellStyle name="Output 2 6 3 10" xfId="32489" xr:uid="{00000000-0005-0000-0000-000005750000}"/>
    <cellStyle name="Output 2 6 3 10 2" xfId="13580" xr:uid="{00000000-0005-0000-0000-000006750000}"/>
    <cellStyle name="Output 2 6 3 10 2 2" xfId="14475" xr:uid="{00000000-0005-0000-0000-000007750000}"/>
    <cellStyle name="Output 2 6 3 10 2 3" xfId="14478" xr:uid="{00000000-0005-0000-0000-000008750000}"/>
    <cellStyle name="Output 2 6 3 10 2 4" xfId="23704" xr:uid="{00000000-0005-0000-0000-000009750000}"/>
    <cellStyle name="Output 2 6 3 10 3" xfId="32490" xr:uid="{00000000-0005-0000-0000-00000A750000}"/>
    <cellStyle name="Output 2 6 3 10 3 2" xfId="14482" xr:uid="{00000000-0005-0000-0000-00000B750000}"/>
    <cellStyle name="Output 2 6 3 10 3 3" xfId="23927" xr:uid="{00000000-0005-0000-0000-00000C750000}"/>
    <cellStyle name="Output 2 6 3 10 3 4" xfId="23713" xr:uid="{00000000-0005-0000-0000-00000D750000}"/>
    <cellStyle name="Output 2 6 3 10 4" xfId="31685" xr:uid="{00000000-0005-0000-0000-00000E750000}"/>
    <cellStyle name="Output 2 6 3 10 4 2" xfId="14487" xr:uid="{00000000-0005-0000-0000-00000F750000}"/>
    <cellStyle name="Output 2 6 3 10 4 3" xfId="23931" xr:uid="{00000000-0005-0000-0000-000010750000}"/>
    <cellStyle name="Output 2 6 3 10 5" xfId="31699" xr:uid="{00000000-0005-0000-0000-000011750000}"/>
    <cellStyle name="Output 2 6 3 10 5 2" xfId="31701" xr:uid="{00000000-0005-0000-0000-000012750000}"/>
    <cellStyle name="Output 2 6 3 10 5 3" xfId="31704" xr:uid="{00000000-0005-0000-0000-000013750000}"/>
    <cellStyle name="Output 2 6 3 10 6" xfId="31708" xr:uid="{00000000-0005-0000-0000-000014750000}"/>
    <cellStyle name="Output 2 6 3 10 7" xfId="28353" xr:uid="{00000000-0005-0000-0000-000015750000}"/>
    <cellStyle name="Output 2 6 3 11" xfId="32491" xr:uid="{00000000-0005-0000-0000-000016750000}"/>
    <cellStyle name="Output 2 6 3 11 2" xfId="13603" xr:uid="{00000000-0005-0000-0000-000017750000}"/>
    <cellStyle name="Output 2 6 3 11 3" xfId="32492" xr:uid="{00000000-0005-0000-0000-000018750000}"/>
    <cellStyle name="Output 2 6 3 11 4" xfId="32493" xr:uid="{00000000-0005-0000-0000-000019750000}"/>
    <cellStyle name="Output 2 6 3 12" xfId="30720" xr:uid="{00000000-0005-0000-0000-00001A750000}"/>
    <cellStyle name="Output 2 6 3 12 2" xfId="13622" xr:uid="{00000000-0005-0000-0000-00001B750000}"/>
    <cellStyle name="Output 2 6 3 12 3" xfId="32494" xr:uid="{00000000-0005-0000-0000-00001C750000}"/>
    <cellStyle name="Output 2 6 3 12 4" xfId="32495" xr:uid="{00000000-0005-0000-0000-00001D750000}"/>
    <cellStyle name="Output 2 6 3 13" xfId="30722" xr:uid="{00000000-0005-0000-0000-00001E750000}"/>
    <cellStyle name="Output 2 6 3 13 2" xfId="13669" xr:uid="{00000000-0005-0000-0000-00001F750000}"/>
    <cellStyle name="Output 2 6 3 13 3" xfId="32496" xr:uid="{00000000-0005-0000-0000-000020750000}"/>
    <cellStyle name="Output 2 6 3 14" xfId="30724" xr:uid="{00000000-0005-0000-0000-000021750000}"/>
    <cellStyle name="Output 2 6 3 14 2" xfId="13704" xr:uid="{00000000-0005-0000-0000-000022750000}"/>
    <cellStyle name="Output 2 6 3 14 3" xfId="21581" xr:uid="{00000000-0005-0000-0000-000023750000}"/>
    <cellStyle name="Output 2 6 3 15" xfId="32497" xr:uid="{00000000-0005-0000-0000-000024750000}"/>
    <cellStyle name="Output 2 6 3 16" xfId="32498" xr:uid="{00000000-0005-0000-0000-000025750000}"/>
    <cellStyle name="Output 2 6 3 2" xfId="32499" xr:uid="{00000000-0005-0000-0000-000026750000}"/>
    <cellStyle name="Output 2 6 3 2 2" xfId="23096" xr:uid="{00000000-0005-0000-0000-000027750000}"/>
    <cellStyle name="Output 2 6 3 2 2 2" xfId="26665" xr:uid="{00000000-0005-0000-0000-000028750000}"/>
    <cellStyle name="Output 2 6 3 2 2 3" xfId="26668" xr:uid="{00000000-0005-0000-0000-000029750000}"/>
    <cellStyle name="Output 2 6 3 2 2 4" xfId="26670" xr:uid="{00000000-0005-0000-0000-00002A750000}"/>
    <cellStyle name="Output 2 6 3 2 3" xfId="30449" xr:uid="{00000000-0005-0000-0000-00002B750000}"/>
    <cellStyle name="Output 2 6 3 2 3 2" xfId="26683" xr:uid="{00000000-0005-0000-0000-00002C750000}"/>
    <cellStyle name="Output 2 6 3 2 3 3" xfId="26687" xr:uid="{00000000-0005-0000-0000-00002D750000}"/>
    <cellStyle name="Output 2 6 3 2 3 4" xfId="26689" xr:uid="{00000000-0005-0000-0000-00002E750000}"/>
    <cellStyle name="Output 2 6 3 2 4" xfId="12322" xr:uid="{00000000-0005-0000-0000-00002F750000}"/>
    <cellStyle name="Output 2 6 3 2 4 2" xfId="26704" xr:uid="{00000000-0005-0000-0000-000030750000}"/>
    <cellStyle name="Output 2 6 3 2 4 3" xfId="26707" xr:uid="{00000000-0005-0000-0000-000031750000}"/>
    <cellStyle name="Output 2 6 3 2 5" xfId="12327" xr:uid="{00000000-0005-0000-0000-000032750000}"/>
    <cellStyle name="Output 2 6 3 2 5 2" xfId="29957" xr:uid="{00000000-0005-0000-0000-000033750000}"/>
    <cellStyle name="Output 2 6 3 2 5 3" xfId="29959" xr:uid="{00000000-0005-0000-0000-000034750000}"/>
    <cellStyle name="Output 2 6 3 2 6" xfId="12331" xr:uid="{00000000-0005-0000-0000-000035750000}"/>
    <cellStyle name="Output 2 6 3 2 7" xfId="29776" xr:uid="{00000000-0005-0000-0000-000036750000}"/>
    <cellStyle name="Output 2 6 3 3" xfId="32500" xr:uid="{00000000-0005-0000-0000-000037750000}"/>
    <cellStyle name="Output 2 6 3 3 2" xfId="23105" xr:uid="{00000000-0005-0000-0000-000038750000}"/>
    <cellStyle name="Output 2 6 3 3 2 2" xfId="26902" xr:uid="{00000000-0005-0000-0000-000039750000}"/>
    <cellStyle name="Output 2 6 3 3 2 3" xfId="26905" xr:uid="{00000000-0005-0000-0000-00003A750000}"/>
    <cellStyle name="Output 2 6 3 3 2 4" xfId="32501" xr:uid="{00000000-0005-0000-0000-00003B750000}"/>
    <cellStyle name="Output 2 6 3 3 3" xfId="30451" xr:uid="{00000000-0005-0000-0000-00003C750000}"/>
    <cellStyle name="Output 2 6 3 3 3 2" xfId="26918" xr:uid="{00000000-0005-0000-0000-00003D750000}"/>
    <cellStyle name="Output 2 6 3 3 3 3" xfId="26922" xr:uid="{00000000-0005-0000-0000-00003E750000}"/>
    <cellStyle name="Output 2 6 3 3 3 4" xfId="32502" xr:uid="{00000000-0005-0000-0000-00003F750000}"/>
    <cellStyle name="Output 2 6 3 3 4" xfId="12338" xr:uid="{00000000-0005-0000-0000-000040750000}"/>
    <cellStyle name="Output 2 6 3 3 4 2" xfId="15850" xr:uid="{00000000-0005-0000-0000-000041750000}"/>
    <cellStyle name="Output 2 6 3 3 4 3" xfId="15859" xr:uid="{00000000-0005-0000-0000-000042750000}"/>
    <cellStyle name="Output 2 6 3 3 5" xfId="12343" xr:uid="{00000000-0005-0000-0000-000043750000}"/>
    <cellStyle name="Output 2 6 3 3 5 2" xfId="15878" xr:uid="{00000000-0005-0000-0000-000044750000}"/>
    <cellStyle name="Output 2 6 3 3 5 3" xfId="15884" xr:uid="{00000000-0005-0000-0000-000045750000}"/>
    <cellStyle name="Output 2 6 3 3 6" xfId="12347" xr:uid="{00000000-0005-0000-0000-000046750000}"/>
    <cellStyle name="Output 2 6 3 3 7" xfId="29785" xr:uid="{00000000-0005-0000-0000-000047750000}"/>
    <cellStyle name="Output 2 6 3 4" xfId="23364" xr:uid="{00000000-0005-0000-0000-000048750000}"/>
    <cellStyle name="Output 2 6 3 4 2" xfId="30458" xr:uid="{00000000-0005-0000-0000-000049750000}"/>
    <cellStyle name="Output 2 6 3 4 2 2" xfId="30460" xr:uid="{00000000-0005-0000-0000-00004A750000}"/>
    <cellStyle name="Output 2 6 3 4 2 3" xfId="30462" xr:uid="{00000000-0005-0000-0000-00004B750000}"/>
    <cellStyle name="Output 2 6 3 4 2 4" xfId="32503" xr:uid="{00000000-0005-0000-0000-00004C750000}"/>
    <cellStyle name="Output 2 6 3 4 3" xfId="30465" xr:uid="{00000000-0005-0000-0000-00004D750000}"/>
    <cellStyle name="Output 2 6 3 4 3 2" xfId="30467" xr:uid="{00000000-0005-0000-0000-00004E750000}"/>
    <cellStyle name="Output 2 6 3 4 3 3" xfId="30470" xr:uid="{00000000-0005-0000-0000-00004F750000}"/>
    <cellStyle name="Output 2 6 3 4 3 4" xfId="32504" xr:uid="{00000000-0005-0000-0000-000050750000}"/>
    <cellStyle name="Output 2 6 3 4 4" xfId="12352" xr:uid="{00000000-0005-0000-0000-000051750000}"/>
    <cellStyle name="Output 2 6 3 4 4 2" xfId="16043" xr:uid="{00000000-0005-0000-0000-000052750000}"/>
    <cellStyle name="Output 2 6 3 4 4 3" xfId="16049" xr:uid="{00000000-0005-0000-0000-000053750000}"/>
    <cellStyle name="Output 2 6 3 4 5" xfId="12356" xr:uid="{00000000-0005-0000-0000-000054750000}"/>
    <cellStyle name="Output 2 6 3 4 5 2" xfId="16074" xr:uid="{00000000-0005-0000-0000-000055750000}"/>
    <cellStyle name="Output 2 6 3 4 5 3" xfId="16080" xr:uid="{00000000-0005-0000-0000-000056750000}"/>
    <cellStyle name="Output 2 6 3 4 6" xfId="29968" xr:uid="{00000000-0005-0000-0000-000057750000}"/>
    <cellStyle name="Output 2 6 3 4 7" xfId="29790" xr:uid="{00000000-0005-0000-0000-000058750000}"/>
    <cellStyle name="Output 2 6 3 5" xfId="23368" xr:uid="{00000000-0005-0000-0000-000059750000}"/>
    <cellStyle name="Output 2 6 3 5 2" xfId="30473" xr:uid="{00000000-0005-0000-0000-00005A750000}"/>
    <cellStyle name="Output 2 6 3 5 2 2" xfId="6399" xr:uid="{00000000-0005-0000-0000-00005B750000}"/>
    <cellStyle name="Output 2 6 3 5 2 3" xfId="6406" xr:uid="{00000000-0005-0000-0000-00005C750000}"/>
    <cellStyle name="Output 2 6 3 5 2 4" xfId="6411" xr:uid="{00000000-0005-0000-0000-00005D750000}"/>
    <cellStyle name="Output 2 6 3 5 3" xfId="30476" xr:uid="{00000000-0005-0000-0000-00005E750000}"/>
    <cellStyle name="Output 2 6 3 5 3 2" xfId="6423" xr:uid="{00000000-0005-0000-0000-00005F750000}"/>
    <cellStyle name="Output 2 6 3 5 3 3" xfId="6429" xr:uid="{00000000-0005-0000-0000-000060750000}"/>
    <cellStyle name="Output 2 6 3 5 3 4" xfId="6433" xr:uid="{00000000-0005-0000-0000-000061750000}"/>
    <cellStyle name="Output 2 6 3 5 4" xfId="12361" xr:uid="{00000000-0005-0000-0000-000062750000}"/>
    <cellStyle name="Output 2 6 3 5 4 2" xfId="6456" xr:uid="{00000000-0005-0000-0000-000063750000}"/>
    <cellStyle name="Output 2 6 3 5 4 3" xfId="6461" xr:uid="{00000000-0005-0000-0000-000064750000}"/>
    <cellStyle name="Output 2 6 3 5 5" xfId="12365" xr:uid="{00000000-0005-0000-0000-000065750000}"/>
    <cellStyle name="Output 2 6 3 5 5 2" xfId="6483" xr:uid="{00000000-0005-0000-0000-000066750000}"/>
    <cellStyle name="Output 2 6 3 5 5 3" xfId="6488" xr:uid="{00000000-0005-0000-0000-000067750000}"/>
    <cellStyle name="Output 2 6 3 5 6" xfId="29971" xr:uid="{00000000-0005-0000-0000-000068750000}"/>
    <cellStyle name="Output 2 6 3 5 7" xfId="29973" xr:uid="{00000000-0005-0000-0000-000069750000}"/>
    <cellStyle name="Output 2 6 3 6" xfId="23372" xr:uid="{00000000-0005-0000-0000-00006A750000}"/>
    <cellStyle name="Output 2 6 3 6 2" xfId="30481" xr:uid="{00000000-0005-0000-0000-00006B750000}"/>
    <cellStyle name="Output 2 6 3 6 2 2" xfId="6621" xr:uid="{00000000-0005-0000-0000-00006C750000}"/>
    <cellStyle name="Output 2 6 3 6 2 3" xfId="6633" xr:uid="{00000000-0005-0000-0000-00006D750000}"/>
    <cellStyle name="Output 2 6 3 6 2 4" xfId="1650" xr:uid="{00000000-0005-0000-0000-00006E750000}"/>
    <cellStyle name="Output 2 6 3 6 3" xfId="30485" xr:uid="{00000000-0005-0000-0000-00006F750000}"/>
    <cellStyle name="Output 2 6 3 6 3 2" xfId="6655" xr:uid="{00000000-0005-0000-0000-000070750000}"/>
    <cellStyle name="Output 2 6 3 6 3 3" xfId="6659" xr:uid="{00000000-0005-0000-0000-000071750000}"/>
    <cellStyle name="Output 2 6 3 6 3 4" xfId="6661" xr:uid="{00000000-0005-0000-0000-000072750000}"/>
    <cellStyle name="Output 2 6 3 6 4" xfId="29980" xr:uid="{00000000-0005-0000-0000-000073750000}"/>
    <cellStyle name="Output 2 6 3 6 4 2" xfId="6691" xr:uid="{00000000-0005-0000-0000-000074750000}"/>
    <cellStyle name="Output 2 6 3 6 4 3" xfId="6698" xr:uid="{00000000-0005-0000-0000-000075750000}"/>
    <cellStyle name="Output 2 6 3 6 5" xfId="29984" xr:uid="{00000000-0005-0000-0000-000076750000}"/>
    <cellStyle name="Output 2 6 3 6 5 2" xfId="5357" xr:uid="{00000000-0005-0000-0000-000077750000}"/>
    <cellStyle name="Output 2 6 3 6 5 3" xfId="5367" xr:uid="{00000000-0005-0000-0000-000078750000}"/>
    <cellStyle name="Output 2 6 3 6 6" xfId="29986" xr:uid="{00000000-0005-0000-0000-000079750000}"/>
    <cellStyle name="Output 2 6 3 6 7" xfId="29988" xr:uid="{00000000-0005-0000-0000-00007A750000}"/>
    <cellStyle name="Output 2 6 3 7" xfId="30749" xr:uid="{00000000-0005-0000-0000-00007B750000}"/>
    <cellStyle name="Output 2 6 3 7 2" xfId="30496" xr:uid="{00000000-0005-0000-0000-00007C750000}"/>
    <cellStyle name="Output 2 6 3 7 2 2" xfId="30499" xr:uid="{00000000-0005-0000-0000-00007D750000}"/>
    <cellStyle name="Output 2 6 3 7 2 3" xfId="30501" xr:uid="{00000000-0005-0000-0000-00007E750000}"/>
    <cellStyle name="Output 2 6 3 7 2 4" xfId="32505" xr:uid="{00000000-0005-0000-0000-00007F750000}"/>
    <cellStyle name="Output 2 6 3 7 3" xfId="30504" xr:uid="{00000000-0005-0000-0000-000080750000}"/>
    <cellStyle name="Output 2 6 3 7 3 2" xfId="30507" xr:uid="{00000000-0005-0000-0000-000081750000}"/>
    <cellStyle name="Output 2 6 3 7 3 3" xfId="30509" xr:uid="{00000000-0005-0000-0000-000082750000}"/>
    <cellStyle name="Output 2 6 3 7 3 4" xfId="32506" xr:uid="{00000000-0005-0000-0000-000083750000}"/>
    <cellStyle name="Output 2 6 3 7 4" xfId="29994" xr:uid="{00000000-0005-0000-0000-000084750000}"/>
    <cellStyle name="Output 2 6 3 7 4 2" xfId="16223" xr:uid="{00000000-0005-0000-0000-000085750000}"/>
    <cellStyle name="Output 2 6 3 7 4 3" xfId="29997" xr:uid="{00000000-0005-0000-0000-000086750000}"/>
    <cellStyle name="Output 2 6 3 7 5" xfId="30001" xr:uid="{00000000-0005-0000-0000-000087750000}"/>
    <cellStyle name="Output 2 6 3 7 5 2" xfId="16232" xr:uid="{00000000-0005-0000-0000-000088750000}"/>
    <cellStyle name="Output 2 6 3 7 5 3" xfId="30003" xr:uid="{00000000-0005-0000-0000-000089750000}"/>
    <cellStyle name="Output 2 6 3 7 6" xfId="30007" xr:uid="{00000000-0005-0000-0000-00008A750000}"/>
    <cellStyle name="Output 2 6 3 7 7" xfId="30011" xr:uid="{00000000-0005-0000-0000-00008B750000}"/>
    <cellStyle name="Output 2 6 3 8" xfId="19243" xr:uid="{00000000-0005-0000-0000-00008C750000}"/>
    <cellStyle name="Output 2 6 3 8 2" xfId="20879" xr:uid="{00000000-0005-0000-0000-00008D750000}"/>
    <cellStyle name="Output 2 6 3 8 2 2" xfId="30518" xr:uid="{00000000-0005-0000-0000-00008E750000}"/>
    <cellStyle name="Output 2 6 3 8 2 3" xfId="30520" xr:uid="{00000000-0005-0000-0000-00008F750000}"/>
    <cellStyle name="Output 2 6 3 8 2 4" xfId="32507" xr:uid="{00000000-0005-0000-0000-000090750000}"/>
    <cellStyle name="Output 2 6 3 8 3" xfId="20884" xr:uid="{00000000-0005-0000-0000-000091750000}"/>
    <cellStyle name="Output 2 6 3 8 3 2" xfId="30522" xr:uid="{00000000-0005-0000-0000-000092750000}"/>
    <cellStyle name="Output 2 6 3 8 3 3" xfId="30524" xr:uid="{00000000-0005-0000-0000-000093750000}"/>
    <cellStyle name="Output 2 6 3 8 3 4" xfId="32508" xr:uid="{00000000-0005-0000-0000-000094750000}"/>
    <cellStyle name="Output 2 6 3 8 4" xfId="28692" xr:uid="{00000000-0005-0000-0000-000095750000}"/>
    <cellStyle name="Output 2 6 3 8 4 2" xfId="16245" xr:uid="{00000000-0005-0000-0000-000096750000}"/>
    <cellStyle name="Output 2 6 3 8 4 3" xfId="32509" xr:uid="{00000000-0005-0000-0000-000097750000}"/>
    <cellStyle name="Output 2 6 3 8 5" xfId="28695" xr:uid="{00000000-0005-0000-0000-000098750000}"/>
    <cellStyle name="Output 2 6 3 8 5 2" xfId="16254" xr:uid="{00000000-0005-0000-0000-000099750000}"/>
    <cellStyle name="Output 2 6 3 8 5 3" xfId="32510" xr:uid="{00000000-0005-0000-0000-00009A750000}"/>
    <cellStyle name="Output 2 6 3 8 6" xfId="32511" xr:uid="{00000000-0005-0000-0000-00009B750000}"/>
    <cellStyle name="Output 2 6 3 8 7" xfId="32512" xr:uid="{00000000-0005-0000-0000-00009C750000}"/>
    <cellStyle name="Output 2 6 3 9" xfId="30752" xr:uid="{00000000-0005-0000-0000-00009D750000}"/>
    <cellStyle name="Output 2 6 3 9 2" xfId="20888" xr:uid="{00000000-0005-0000-0000-00009E750000}"/>
    <cellStyle name="Output 2 6 3 9 2 2" xfId="32513" xr:uid="{00000000-0005-0000-0000-00009F750000}"/>
    <cellStyle name="Output 2 6 3 9 2 3" xfId="32514" xr:uid="{00000000-0005-0000-0000-0000A0750000}"/>
    <cellStyle name="Output 2 6 3 9 2 4" xfId="32515" xr:uid="{00000000-0005-0000-0000-0000A1750000}"/>
    <cellStyle name="Output 2 6 3 9 3" xfId="20892" xr:uid="{00000000-0005-0000-0000-0000A2750000}"/>
    <cellStyle name="Output 2 6 3 9 3 2" xfId="32516" xr:uid="{00000000-0005-0000-0000-0000A3750000}"/>
    <cellStyle name="Output 2 6 3 9 3 3" xfId="32517" xr:uid="{00000000-0005-0000-0000-0000A4750000}"/>
    <cellStyle name="Output 2 6 3 9 3 4" xfId="32518" xr:uid="{00000000-0005-0000-0000-0000A5750000}"/>
    <cellStyle name="Output 2 6 3 9 4" xfId="28698" xr:uid="{00000000-0005-0000-0000-0000A6750000}"/>
    <cellStyle name="Output 2 6 3 9 4 2" xfId="16263" xr:uid="{00000000-0005-0000-0000-0000A7750000}"/>
    <cellStyle name="Output 2 6 3 9 4 3" xfId="32519" xr:uid="{00000000-0005-0000-0000-0000A8750000}"/>
    <cellStyle name="Output 2 6 3 9 5" xfId="26160" xr:uid="{00000000-0005-0000-0000-0000A9750000}"/>
    <cellStyle name="Output 2 6 3 9 5 2" xfId="16271" xr:uid="{00000000-0005-0000-0000-0000AA750000}"/>
    <cellStyle name="Output 2 6 3 9 5 3" xfId="32520" xr:uid="{00000000-0005-0000-0000-0000AB750000}"/>
    <cellStyle name="Output 2 6 3 9 6" xfId="32521" xr:uid="{00000000-0005-0000-0000-0000AC750000}"/>
    <cellStyle name="Output 2 6 3 9 7" xfId="32522" xr:uid="{00000000-0005-0000-0000-0000AD750000}"/>
    <cellStyle name="Output 2 6 4" xfId="22055" xr:uid="{00000000-0005-0000-0000-0000AE750000}"/>
    <cellStyle name="Output 2 6 4 2" xfId="32523" xr:uid="{00000000-0005-0000-0000-0000AF750000}"/>
    <cellStyle name="Output 2 6 4 2 2" xfId="403" xr:uid="{00000000-0005-0000-0000-0000B0750000}"/>
    <cellStyle name="Output 2 6 4 2 3" xfId="407" xr:uid="{00000000-0005-0000-0000-0000B1750000}"/>
    <cellStyle name="Output 2 6 4 2 4" xfId="12377" xr:uid="{00000000-0005-0000-0000-0000B2750000}"/>
    <cellStyle name="Output 2 6 4 3" xfId="32524" xr:uid="{00000000-0005-0000-0000-0000B3750000}"/>
    <cellStyle name="Output 2 6 4 3 2" xfId="32525" xr:uid="{00000000-0005-0000-0000-0000B4750000}"/>
    <cellStyle name="Output 2 6 4 3 3" xfId="32526" xr:uid="{00000000-0005-0000-0000-0000B5750000}"/>
    <cellStyle name="Output 2 6 4 3 4" xfId="12389" xr:uid="{00000000-0005-0000-0000-0000B6750000}"/>
    <cellStyle name="Output 2 6 4 4" xfId="23376" xr:uid="{00000000-0005-0000-0000-0000B7750000}"/>
    <cellStyle name="Output 2 6 4 4 2" xfId="426" xr:uid="{00000000-0005-0000-0000-0000B8750000}"/>
    <cellStyle name="Output 2 6 4 4 3" xfId="432" xr:uid="{00000000-0005-0000-0000-0000B9750000}"/>
    <cellStyle name="Output 2 6 4 5" xfId="23380" xr:uid="{00000000-0005-0000-0000-0000BA750000}"/>
    <cellStyle name="Output 2 6 4 5 2" xfId="449" xr:uid="{00000000-0005-0000-0000-0000BB750000}"/>
    <cellStyle name="Output 2 6 4 5 3" xfId="459" xr:uid="{00000000-0005-0000-0000-0000BC750000}"/>
    <cellStyle name="Output 2 6 4 6" xfId="29245" xr:uid="{00000000-0005-0000-0000-0000BD750000}"/>
    <cellStyle name="Output 2 6 4 7" xfId="29266" xr:uid="{00000000-0005-0000-0000-0000BE750000}"/>
    <cellStyle name="Output 2 6 5" xfId="22057" xr:uid="{00000000-0005-0000-0000-0000BF750000}"/>
    <cellStyle name="Output 2 6 5 2" xfId="32527" xr:uid="{00000000-0005-0000-0000-0000C0750000}"/>
    <cellStyle name="Output 2 6 5 2 2" xfId="17168" xr:uid="{00000000-0005-0000-0000-0000C1750000}"/>
    <cellStyle name="Output 2 6 5 2 3" xfId="17170" xr:uid="{00000000-0005-0000-0000-0000C2750000}"/>
    <cellStyle name="Output 2 6 5 2 4" xfId="12427" xr:uid="{00000000-0005-0000-0000-0000C3750000}"/>
    <cellStyle name="Output 2 6 5 3" xfId="32528" xr:uid="{00000000-0005-0000-0000-0000C4750000}"/>
    <cellStyle name="Output 2 6 5 3 2" xfId="629" xr:uid="{00000000-0005-0000-0000-0000C5750000}"/>
    <cellStyle name="Output 2 6 5 3 3" xfId="635" xr:uid="{00000000-0005-0000-0000-0000C6750000}"/>
    <cellStyle name="Output 2 6 5 3 4" xfId="12444" xr:uid="{00000000-0005-0000-0000-0000C7750000}"/>
    <cellStyle name="Output 2 6 5 4" xfId="23387" xr:uid="{00000000-0005-0000-0000-0000C8750000}"/>
    <cellStyle name="Output 2 6 5 4 2" xfId="17226" xr:uid="{00000000-0005-0000-0000-0000C9750000}"/>
    <cellStyle name="Output 2 6 5 4 3" xfId="17229" xr:uid="{00000000-0005-0000-0000-0000CA750000}"/>
    <cellStyle name="Output 2 6 5 5" xfId="23390" xr:uid="{00000000-0005-0000-0000-0000CB750000}"/>
    <cellStyle name="Output 2 6 5 5 2" xfId="17250" xr:uid="{00000000-0005-0000-0000-0000CC750000}"/>
    <cellStyle name="Output 2 6 5 5 3" xfId="17253" xr:uid="{00000000-0005-0000-0000-0000CD750000}"/>
    <cellStyle name="Output 2 6 5 6" xfId="30755" xr:uid="{00000000-0005-0000-0000-0000CE750000}"/>
    <cellStyle name="Output 2 6 5 7" xfId="30758" xr:uid="{00000000-0005-0000-0000-0000CF750000}"/>
    <cellStyle name="Output 2 6 6" xfId="22060" xr:uid="{00000000-0005-0000-0000-0000D0750000}"/>
    <cellStyle name="Output 2 6 6 2" xfId="32529" xr:uid="{00000000-0005-0000-0000-0000D1750000}"/>
    <cellStyle name="Output 2 6 6 2 2" xfId="17414" xr:uid="{00000000-0005-0000-0000-0000D2750000}"/>
    <cellStyle name="Output 2 6 6 2 3" xfId="17416" xr:uid="{00000000-0005-0000-0000-0000D3750000}"/>
    <cellStyle name="Output 2 6 6 2 4" xfId="30820" xr:uid="{00000000-0005-0000-0000-0000D4750000}"/>
    <cellStyle name="Output 2 6 6 3" xfId="32530" xr:uid="{00000000-0005-0000-0000-0000D5750000}"/>
    <cellStyle name="Output 2 6 6 3 2" xfId="17433" xr:uid="{00000000-0005-0000-0000-0000D6750000}"/>
    <cellStyle name="Output 2 6 6 3 3" xfId="17435" xr:uid="{00000000-0005-0000-0000-0000D7750000}"/>
    <cellStyle name="Output 2 6 6 3 4" xfId="30838" xr:uid="{00000000-0005-0000-0000-0000D8750000}"/>
    <cellStyle name="Output 2 6 6 4" xfId="30765" xr:uid="{00000000-0005-0000-0000-0000D9750000}"/>
    <cellStyle name="Output 2 6 6 4 2" xfId="17446" xr:uid="{00000000-0005-0000-0000-0000DA750000}"/>
    <cellStyle name="Output 2 6 6 4 3" xfId="17449" xr:uid="{00000000-0005-0000-0000-0000DB750000}"/>
    <cellStyle name="Output 2 6 6 5" xfId="30770" xr:uid="{00000000-0005-0000-0000-0000DC750000}"/>
    <cellStyle name="Output 2 6 6 5 2" xfId="17459" xr:uid="{00000000-0005-0000-0000-0000DD750000}"/>
    <cellStyle name="Output 2 6 6 5 3" xfId="17462" xr:uid="{00000000-0005-0000-0000-0000DE750000}"/>
    <cellStyle name="Output 2 6 6 6" xfId="30775" xr:uid="{00000000-0005-0000-0000-0000DF750000}"/>
    <cellStyle name="Output 2 6 6 7" xfId="30778" xr:uid="{00000000-0005-0000-0000-0000E0750000}"/>
    <cellStyle name="Output 2 6 7" xfId="24814" xr:uid="{00000000-0005-0000-0000-0000E1750000}"/>
    <cellStyle name="Output 2 6 7 2" xfId="32531" xr:uid="{00000000-0005-0000-0000-0000E2750000}"/>
    <cellStyle name="Output 2 6 7 2 2" xfId="30540" xr:uid="{00000000-0005-0000-0000-0000E3750000}"/>
    <cellStyle name="Output 2 6 7 2 3" xfId="32532" xr:uid="{00000000-0005-0000-0000-0000E4750000}"/>
    <cellStyle name="Output 2 6 7 2 4" xfId="31234" xr:uid="{00000000-0005-0000-0000-0000E5750000}"/>
    <cellStyle name="Output 2 6 7 3" xfId="32534" xr:uid="{00000000-0005-0000-0000-0000E6750000}"/>
    <cellStyle name="Output 2 6 7 3 2" xfId="32535" xr:uid="{00000000-0005-0000-0000-0000E7750000}"/>
    <cellStyle name="Output 2 6 7 3 3" xfId="32536" xr:uid="{00000000-0005-0000-0000-0000E8750000}"/>
    <cellStyle name="Output 2 6 7 3 4" xfId="31249" xr:uid="{00000000-0005-0000-0000-0000E9750000}"/>
    <cellStyle name="Output 2 6 7 4" xfId="30785" xr:uid="{00000000-0005-0000-0000-0000EA750000}"/>
    <cellStyle name="Output 2 6 7 4 2" xfId="30787" xr:uid="{00000000-0005-0000-0000-0000EB750000}"/>
    <cellStyle name="Output 2 6 7 4 3" xfId="30789" xr:uid="{00000000-0005-0000-0000-0000EC750000}"/>
    <cellStyle name="Output 2 6 7 5" xfId="30793" xr:uid="{00000000-0005-0000-0000-0000ED750000}"/>
    <cellStyle name="Output 2 6 7 5 2" xfId="21685" xr:uid="{00000000-0005-0000-0000-0000EE750000}"/>
    <cellStyle name="Output 2 6 7 5 3" xfId="21688" xr:uid="{00000000-0005-0000-0000-0000EF750000}"/>
    <cellStyle name="Output 2 6 7 6" xfId="30797" xr:uid="{00000000-0005-0000-0000-0000F0750000}"/>
    <cellStyle name="Output 2 6 7 7" xfId="30800" xr:uid="{00000000-0005-0000-0000-0000F1750000}"/>
    <cellStyle name="Output 2 6 8" xfId="29623" xr:uid="{00000000-0005-0000-0000-0000F2750000}"/>
    <cellStyle name="Output 2 6 8 2" xfId="32538" xr:uid="{00000000-0005-0000-0000-0000F3750000}"/>
    <cellStyle name="Output 2 6 8 2 2" xfId="152" xr:uid="{00000000-0005-0000-0000-0000F4750000}"/>
    <cellStyle name="Output 2 6 8 2 3" xfId="155" xr:uid="{00000000-0005-0000-0000-0000F5750000}"/>
    <cellStyle name="Output 2 6 8 2 4" xfId="31337" xr:uid="{00000000-0005-0000-0000-0000F6750000}"/>
    <cellStyle name="Output 2 6 8 3" xfId="32539" xr:uid="{00000000-0005-0000-0000-0000F7750000}"/>
    <cellStyle name="Output 2 6 8 3 2" xfId="1006" xr:uid="{00000000-0005-0000-0000-0000F8750000}"/>
    <cellStyle name="Output 2 6 8 3 3" xfId="1013" xr:uid="{00000000-0005-0000-0000-0000F9750000}"/>
    <cellStyle name="Output 2 6 8 3 4" xfId="31350" xr:uid="{00000000-0005-0000-0000-0000FA750000}"/>
    <cellStyle name="Output 2 6 8 4" xfId="30808" xr:uid="{00000000-0005-0000-0000-0000FB750000}"/>
    <cellStyle name="Output 2 6 8 4 2" xfId="1049" xr:uid="{00000000-0005-0000-0000-0000FC750000}"/>
    <cellStyle name="Output 2 6 8 4 3" xfId="1063" xr:uid="{00000000-0005-0000-0000-0000FD750000}"/>
    <cellStyle name="Output 2 6 8 5" xfId="30812" xr:uid="{00000000-0005-0000-0000-0000FE750000}"/>
    <cellStyle name="Output 2 6 8 5 2" xfId="1094" xr:uid="{00000000-0005-0000-0000-0000FF750000}"/>
    <cellStyle name="Output 2 6 8 5 3" xfId="657" xr:uid="{00000000-0005-0000-0000-000000760000}"/>
    <cellStyle name="Output 2 6 8 6" xfId="30816" xr:uid="{00000000-0005-0000-0000-000001760000}"/>
    <cellStyle name="Output 2 6 8 7" xfId="29096" xr:uid="{00000000-0005-0000-0000-000002760000}"/>
    <cellStyle name="Output 2 6 9" xfId="29625" xr:uid="{00000000-0005-0000-0000-000003760000}"/>
    <cellStyle name="Output 2 6 9 2" xfId="18844" xr:uid="{00000000-0005-0000-0000-000004760000}"/>
    <cellStyle name="Output 2 6 9 2 2" xfId="676" xr:uid="{00000000-0005-0000-0000-000005760000}"/>
    <cellStyle name="Output 2 6 9 2 3" xfId="685" xr:uid="{00000000-0005-0000-0000-000006760000}"/>
    <cellStyle name="Output 2 6 9 2 4" xfId="31441" xr:uid="{00000000-0005-0000-0000-000007760000}"/>
    <cellStyle name="Output 2 6 9 3" xfId="32540" xr:uid="{00000000-0005-0000-0000-000008760000}"/>
    <cellStyle name="Output 2 6 9 3 2" xfId="1233" xr:uid="{00000000-0005-0000-0000-000009760000}"/>
    <cellStyle name="Output 2 6 9 3 3" xfId="764" xr:uid="{00000000-0005-0000-0000-00000A760000}"/>
    <cellStyle name="Output 2 6 9 3 4" xfId="31452" xr:uid="{00000000-0005-0000-0000-00000B760000}"/>
    <cellStyle name="Output 2 6 9 4" xfId="32541" xr:uid="{00000000-0005-0000-0000-00000C760000}"/>
    <cellStyle name="Output 2 6 9 4 2" xfId="165" xr:uid="{00000000-0005-0000-0000-00000D760000}"/>
    <cellStyle name="Output 2 6 9 4 3" xfId="171" xr:uid="{00000000-0005-0000-0000-00000E760000}"/>
    <cellStyle name="Output 2 6 9 5" xfId="32542" xr:uid="{00000000-0005-0000-0000-00000F760000}"/>
    <cellStyle name="Output 2 6 9 5 2" xfId="1246" xr:uid="{00000000-0005-0000-0000-000010760000}"/>
    <cellStyle name="Output 2 6 9 5 3" xfId="1248" xr:uid="{00000000-0005-0000-0000-000011760000}"/>
    <cellStyle name="Output 2 6 9 6" xfId="32543" xr:uid="{00000000-0005-0000-0000-000012760000}"/>
    <cellStyle name="Output 2 6 9 7" xfId="29106" xr:uid="{00000000-0005-0000-0000-000013760000}"/>
    <cellStyle name="Output 2 7" xfId="2794" xr:uid="{00000000-0005-0000-0000-000014760000}"/>
    <cellStyle name="Output 2 7 10" xfId="32545" xr:uid="{00000000-0005-0000-0000-000015760000}"/>
    <cellStyle name="Output 2 7 10 2" xfId="3129" xr:uid="{00000000-0005-0000-0000-000016760000}"/>
    <cellStyle name="Output 2 7 10 2 2" xfId="32546" xr:uid="{00000000-0005-0000-0000-000017760000}"/>
    <cellStyle name="Output 2 7 10 2 3" xfId="32547" xr:uid="{00000000-0005-0000-0000-000018760000}"/>
    <cellStyle name="Output 2 7 10 2 4" xfId="32548" xr:uid="{00000000-0005-0000-0000-000019760000}"/>
    <cellStyle name="Output 2 7 10 3" xfId="32549" xr:uid="{00000000-0005-0000-0000-00001A760000}"/>
    <cellStyle name="Output 2 7 10 3 2" xfId="32550" xr:uid="{00000000-0005-0000-0000-00001B760000}"/>
    <cellStyle name="Output 2 7 10 3 3" xfId="32551" xr:uid="{00000000-0005-0000-0000-00001C760000}"/>
    <cellStyle name="Output 2 7 10 3 4" xfId="23481" xr:uid="{00000000-0005-0000-0000-00001D760000}"/>
    <cellStyle name="Output 2 7 10 4" xfId="32552" xr:uid="{00000000-0005-0000-0000-00001E760000}"/>
    <cellStyle name="Output 2 7 10 4 2" xfId="32553" xr:uid="{00000000-0005-0000-0000-00001F760000}"/>
    <cellStyle name="Output 2 7 10 4 3" xfId="32554" xr:uid="{00000000-0005-0000-0000-000020760000}"/>
    <cellStyle name="Output 2 7 10 5" xfId="32555" xr:uid="{00000000-0005-0000-0000-000021760000}"/>
    <cellStyle name="Output 2 7 10 5 2" xfId="32556" xr:uid="{00000000-0005-0000-0000-000022760000}"/>
    <cellStyle name="Output 2 7 10 5 3" xfId="32557" xr:uid="{00000000-0005-0000-0000-000023760000}"/>
    <cellStyle name="Output 2 7 10 6" xfId="32558" xr:uid="{00000000-0005-0000-0000-000024760000}"/>
    <cellStyle name="Output 2 7 10 7" xfId="32559" xr:uid="{00000000-0005-0000-0000-000025760000}"/>
    <cellStyle name="Output 2 7 11" xfId="32560" xr:uid="{00000000-0005-0000-0000-000026760000}"/>
    <cellStyle name="Output 2 7 11 2" xfId="3132" xr:uid="{00000000-0005-0000-0000-000027760000}"/>
    <cellStyle name="Output 2 7 11 2 2" xfId="32561" xr:uid="{00000000-0005-0000-0000-000028760000}"/>
    <cellStyle name="Output 2 7 11 2 3" xfId="32562" xr:uid="{00000000-0005-0000-0000-000029760000}"/>
    <cellStyle name="Output 2 7 11 2 4" xfId="32563" xr:uid="{00000000-0005-0000-0000-00002A760000}"/>
    <cellStyle name="Output 2 7 11 3" xfId="32564" xr:uid="{00000000-0005-0000-0000-00002B760000}"/>
    <cellStyle name="Output 2 7 11 3 2" xfId="32565" xr:uid="{00000000-0005-0000-0000-00002C760000}"/>
    <cellStyle name="Output 2 7 11 3 3" xfId="32566" xr:uid="{00000000-0005-0000-0000-00002D760000}"/>
    <cellStyle name="Output 2 7 11 3 4" xfId="32567" xr:uid="{00000000-0005-0000-0000-00002E760000}"/>
    <cellStyle name="Output 2 7 11 4" xfId="32568" xr:uid="{00000000-0005-0000-0000-00002F760000}"/>
    <cellStyle name="Output 2 7 11 4 2" xfId="32569" xr:uid="{00000000-0005-0000-0000-000030760000}"/>
    <cellStyle name="Output 2 7 11 4 3" xfId="32570" xr:uid="{00000000-0005-0000-0000-000031760000}"/>
    <cellStyle name="Output 2 7 11 5" xfId="32571" xr:uid="{00000000-0005-0000-0000-000032760000}"/>
    <cellStyle name="Output 2 7 11 5 2" xfId="32572" xr:uid="{00000000-0005-0000-0000-000033760000}"/>
    <cellStyle name="Output 2 7 11 5 3" xfId="2513" xr:uid="{00000000-0005-0000-0000-000034760000}"/>
    <cellStyle name="Output 2 7 11 6" xfId="32573" xr:uid="{00000000-0005-0000-0000-000035760000}"/>
    <cellStyle name="Output 2 7 11 7" xfId="32574" xr:uid="{00000000-0005-0000-0000-000036760000}"/>
    <cellStyle name="Output 2 7 12" xfId="32575" xr:uid="{00000000-0005-0000-0000-000037760000}"/>
    <cellStyle name="Output 2 7 12 2" xfId="32576" xr:uid="{00000000-0005-0000-0000-000038760000}"/>
    <cellStyle name="Output 2 7 12 2 2" xfId="32577" xr:uid="{00000000-0005-0000-0000-000039760000}"/>
    <cellStyle name="Output 2 7 12 2 3" xfId="32578" xr:uid="{00000000-0005-0000-0000-00003A760000}"/>
    <cellStyle name="Output 2 7 12 2 4" xfId="32579" xr:uid="{00000000-0005-0000-0000-00003B760000}"/>
    <cellStyle name="Output 2 7 12 3" xfId="32580" xr:uid="{00000000-0005-0000-0000-00003C760000}"/>
    <cellStyle name="Output 2 7 12 3 2" xfId="32581" xr:uid="{00000000-0005-0000-0000-00003D760000}"/>
    <cellStyle name="Output 2 7 12 3 3" xfId="32582" xr:uid="{00000000-0005-0000-0000-00003E760000}"/>
    <cellStyle name="Output 2 7 12 3 4" xfId="32583" xr:uid="{00000000-0005-0000-0000-00003F760000}"/>
    <cellStyle name="Output 2 7 12 4" xfId="32584" xr:uid="{00000000-0005-0000-0000-000040760000}"/>
    <cellStyle name="Output 2 7 12 4 2" xfId="32585" xr:uid="{00000000-0005-0000-0000-000041760000}"/>
    <cellStyle name="Output 2 7 12 4 3" xfId="32586" xr:uid="{00000000-0005-0000-0000-000042760000}"/>
    <cellStyle name="Output 2 7 12 5" xfId="32587" xr:uid="{00000000-0005-0000-0000-000043760000}"/>
    <cellStyle name="Output 2 7 12 5 2" xfId="32588" xr:uid="{00000000-0005-0000-0000-000044760000}"/>
    <cellStyle name="Output 2 7 12 5 3" xfId="32589" xr:uid="{00000000-0005-0000-0000-000045760000}"/>
    <cellStyle name="Output 2 7 12 6" xfId="32590" xr:uid="{00000000-0005-0000-0000-000046760000}"/>
    <cellStyle name="Output 2 7 12 7" xfId="32591" xr:uid="{00000000-0005-0000-0000-000047760000}"/>
    <cellStyle name="Output 2 7 13" xfId="32592" xr:uid="{00000000-0005-0000-0000-000048760000}"/>
    <cellStyle name="Output 2 7 13 2" xfId="7216" xr:uid="{00000000-0005-0000-0000-000049760000}"/>
    <cellStyle name="Output 2 7 13 3" xfId="6001" xr:uid="{00000000-0005-0000-0000-00004A760000}"/>
    <cellStyle name="Output 2 7 13 4" xfId="6006" xr:uid="{00000000-0005-0000-0000-00004B760000}"/>
    <cellStyle name="Output 2 7 14" xfId="32593" xr:uid="{00000000-0005-0000-0000-00004C760000}"/>
    <cellStyle name="Output 2 7 14 2" xfId="32594" xr:uid="{00000000-0005-0000-0000-00004D760000}"/>
    <cellStyle name="Output 2 7 14 3" xfId="1335" xr:uid="{00000000-0005-0000-0000-00004E760000}"/>
    <cellStyle name="Output 2 7 14 4" xfId="1081" xr:uid="{00000000-0005-0000-0000-00004F760000}"/>
    <cellStyle name="Output 2 7 15" xfId="32595" xr:uid="{00000000-0005-0000-0000-000050760000}"/>
    <cellStyle name="Output 2 7 15 2" xfId="32598" xr:uid="{00000000-0005-0000-0000-000051760000}"/>
    <cellStyle name="Output 2 7 15 3" xfId="32600" xr:uid="{00000000-0005-0000-0000-000052760000}"/>
    <cellStyle name="Output 2 7 16" xfId="32601" xr:uid="{00000000-0005-0000-0000-000053760000}"/>
    <cellStyle name="Output 2 7 16 2" xfId="32602" xr:uid="{00000000-0005-0000-0000-000054760000}"/>
    <cellStyle name="Output 2 7 16 3" xfId="1361" xr:uid="{00000000-0005-0000-0000-000055760000}"/>
    <cellStyle name="Output 2 7 17" xfId="32603" xr:uid="{00000000-0005-0000-0000-000056760000}"/>
    <cellStyle name="Output 2 7 17 2" xfId="32604" xr:uid="{00000000-0005-0000-0000-000057760000}"/>
    <cellStyle name="Output 2 7 17 2 2" xfId="31082" xr:uid="{00000000-0005-0000-0000-000058760000}"/>
    <cellStyle name="Output 2 7 18" xfId="32605" xr:uid="{00000000-0005-0000-0000-000059760000}"/>
    <cellStyle name="Output 2 7 19" xfId="32606" xr:uid="{00000000-0005-0000-0000-00005A760000}"/>
    <cellStyle name="Output 2 7 2" xfId="32607" xr:uid="{00000000-0005-0000-0000-00005B760000}"/>
    <cellStyle name="Output 2 7 2 10" xfId="11838" xr:uid="{00000000-0005-0000-0000-00005C760000}"/>
    <cellStyle name="Output 2 7 2 10 2" xfId="32608" xr:uid="{00000000-0005-0000-0000-00005D760000}"/>
    <cellStyle name="Output 2 7 2 10 2 2" xfId="32609" xr:uid="{00000000-0005-0000-0000-00005E760000}"/>
    <cellStyle name="Output 2 7 2 10 2 3" xfId="32610" xr:uid="{00000000-0005-0000-0000-00005F760000}"/>
    <cellStyle name="Output 2 7 2 10 2 4" xfId="11622" xr:uid="{00000000-0005-0000-0000-000060760000}"/>
    <cellStyle name="Output 2 7 2 10 3" xfId="32611" xr:uid="{00000000-0005-0000-0000-000061760000}"/>
    <cellStyle name="Output 2 7 2 10 3 2" xfId="32612" xr:uid="{00000000-0005-0000-0000-000062760000}"/>
    <cellStyle name="Output 2 7 2 10 3 3" xfId="32613" xr:uid="{00000000-0005-0000-0000-000063760000}"/>
    <cellStyle name="Output 2 7 2 10 3 4" xfId="11628" xr:uid="{00000000-0005-0000-0000-000064760000}"/>
    <cellStyle name="Output 2 7 2 10 4" xfId="32614" xr:uid="{00000000-0005-0000-0000-000065760000}"/>
    <cellStyle name="Output 2 7 2 10 4 2" xfId="32616" xr:uid="{00000000-0005-0000-0000-000066760000}"/>
    <cellStyle name="Output 2 7 2 10 4 3" xfId="32618" xr:uid="{00000000-0005-0000-0000-000067760000}"/>
    <cellStyle name="Output 2 7 2 10 5" xfId="32619" xr:uid="{00000000-0005-0000-0000-000068760000}"/>
    <cellStyle name="Output 2 7 2 10 5 2" xfId="18718" xr:uid="{00000000-0005-0000-0000-000069760000}"/>
    <cellStyle name="Output 2 7 2 10 5 3" xfId="32621" xr:uid="{00000000-0005-0000-0000-00006A760000}"/>
    <cellStyle name="Output 2 7 2 10 6" xfId="32622" xr:uid="{00000000-0005-0000-0000-00006B760000}"/>
    <cellStyle name="Output 2 7 2 10 7" xfId="27134" xr:uid="{00000000-0005-0000-0000-00006C760000}"/>
    <cellStyle name="Output 2 7 2 11" xfId="11841" xr:uid="{00000000-0005-0000-0000-00006D760000}"/>
    <cellStyle name="Output 2 7 2 11 2" xfId="32623" xr:uid="{00000000-0005-0000-0000-00006E760000}"/>
    <cellStyle name="Output 2 7 2 11 3" xfId="32624" xr:uid="{00000000-0005-0000-0000-00006F760000}"/>
    <cellStyle name="Output 2 7 2 11 4" xfId="32625" xr:uid="{00000000-0005-0000-0000-000070760000}"/>
    <cellStyle name="Output 2 7 2 12" xfId="32627" xr:uid="{00000000-0005-0000-0000-000071760000}"/>
    <cellStyle name="Output 2 7 2 12 2" xfId="32628" xr:uid="{00000000-0005-0000-0000-000072760000}"/>
    <cellStyle name="Output 2 7 2 12 3" xfId="32629" xr:uid="{00000000-0005-0000-0000-000073760000}"/>
    <cellStyle name="Output 2 7 2 12 4" xfId="32630" xr:uid="{00000000-0005-0000-0000-000074760000}"/>
    <cellStyle name="Output 2 7 2 13" xfId="32631" xr:uid="{00000000-0005-0000-0000-000075760000}"/>
    <cellStyle name="Output 2 7 2 13 2" xfId="32632" xr:uid="{00000000-0005-0000-0000-000076760000}"/>
    <cellStyle name="Output 2 7 2 13 3" xfId="32633" xr:uid="{00000000-0005-0000-0000-000077760000}"/>
    <cellStyle name="Output 2 7 2 14" xfId="32634" xr:uid="{00000000-0005-0000-0000-000078760000}"/>
    <cellStyle name="Output 2 7 2 14 2" xfId="21063" xr:uid="{00000000-0005-0000-0000-000079760000}"/>
    <cellStyle name="Output 2 7 2 14 3" xfId="21065" xr:uid="{00000000-0005-0000-0000-00007A760000}"/>
    <cellStyle name="Output 2 7 2 15" xfId="32635" xr:uid="{00000000-0005-0000-0000-00007B760000}"/>
    <cellStyle name="Output 2 7 2 16" xfId="32636" xr:uid="{00000000-0005-0000-0000-00007C760000}"/>
    <cellStyle name="Output 2 7 2 17" xfId="32637" xr:uid="{00000000-0005-0000-0000-00007D760000}"/>
    <cellStyle name="Output 2 7 2 2" xfId="32638" xr:uid="{00000000-0005-0000-0000-00007E760000}"/>
    <cellStyle name="Output 2 7 2 2 2" xfId="23304" xr:uid="{00000000-0005-0000-0000-00007F760000}"/>
    <cellStyle name="Output 2 7 2 2 2 2" xfId="30122" xr:uid="{00000000-0005-0000-0000-000080760000}"/>
    <cellStyle name="Output 2 7 2 2 2 3" xfId="30130" xr:uid="{00000000-0005-0000-0000-000081760000}"/>
    <cellStyle name="Output 2 7 2 2 2 4" xfId="30137" xr:uid="{00000000-0005-0000-0000-000082760000}"/>
    <cellStyle name="Output 2 7 2 2 3" xfId="30655" xr:uid="{00000000-0005-0000-0000-000083760000}"/>
    <cellStyle name="Output 2 7 2 2 3 2" xfId="30147" xr:uid="{00000000-0005-0000-0000-000084760000}"/>
    <cellStyle name="Output 2 7 2 2 3 3" xfId="30155" xr:uid="{00000000-0005-0000-0000-000085760000}"/>
    <cellStyle name="Output 2 7 2 2 3 4" xfId="30158" xr:uid="{00000000-0005-0000-0000-000086760000}"/>
    <cellStyle name="Output 2 7 2 2 4" xfId="30658" xr:uid="{00000000-0005-0000-0000-000087760000}"/>
    <cellStyle name="Output 2 7 2 2 4 2" xfId="30169" xr:uid="{00000000-0005-0000-0000-000088760000}"/>
    <cellStyle name="Output 2 7 2 2 4 3" xfId="28098" xr:uid="{00000000-0005-0000-0000-000089760000}"/>
    <cellStyle name="Output 2 7 2 2 5" xfId="30661" xr:uid="{00000000-0005-0000-0000-00008A760000}"/>
    <cellStyle name="Output 2 7 2 2 5 2" xfId="32373" xr:uid="{00000000-0005-0000-0000-00008B760000}"/>
    <cellStyle name="Output 2 7 2 2 5 3" xfId="28122" xr:uid="{00000000-0005-0000-0000-00008C760000}"/>
    <cellStyle name="Output 2 7 2 2 6" xfId="32639" xr:uid="{00000000-0005-0000-0000-00008D760000}"/>
    <cellStyle name="Output 2 7 2 2 7" xfId="31756" xr:uid="{00000000-0005-0000-0000-00008E760000}"/>
    <cellStyle name="Output 2 7 2 3" xfId="32640" xr:uid="{00000000-0005-0000-0000-00008F760000}"/>
    <cellStyle name="Output 2 7 2 3 2" xfId="23320" xr:uid="{00000000-0005-0000-0000-000090760000}"/>
    <cellStyle name="Output 2 7 2 3 2 2" xfId="30213" xr:uid="{00000000-0005-0000-0000-000091760000}"/>
    <cellStyle name="Output 2 7 2 3 2 3" xfId="30219" xr:uid="{00000000-0005-0000-0000-000092760000}"/>
    <cellStyle name="Output 2 7 2 3 2 4" xfId="30224" xr:uid="{00000000-0005-0000-0000-000093760000}"/>
    <cellStyle name="Output 2 7 2 3 3" xfId="30664" xr:uid="{00000000-0005-0000-0000-000094760000}"/>
    <cellStyle name="Output 2 7 2 3 3 2" xfId="30235" xr:uid="{00000000-0005-0000-0000-000095760000}"/>
    <cellStyle name="Output 2 7 2 3 3 3" xfId="30241" xr:uid="{00000000-0005-0000-0000-000096760000}"/>
    <cellStyle name="Output 2 7 2 3 3 4" xfId="30246" xr:uid="{00000000-0005-0000-0000-000097760000}"/>
    <cellStyle name="Output 2 7 2 3 4" xfId="30667" xr:uid="{00000000-0005-0000-0000-000098760000}"/>
    <cellStyle name="Output 2 7 2 3 4 2" xfId="30259" xr:uid="{00000000-0005-0000-0000-000099760000}"/>
    <cellStyle name="Output 2 7 2 3 4 3" xfId="28221" xr:uid="{00000000-0005-0000-0000-00009A760000}"/>
    <cellStyle name="Output 2 7 2 3 5" xfId="30670" xr:uid="{00000000-0005-0000-0000-00009B760000}"/>
    <cellStyle name="Output 2 7 2 3 5 2" xfId="32406" xr:uid="{00000000-0005-0000-0000-00009C760000}"/>
    <cellStyle name="Output 2 7 2 3 5 3" xfId="28228" xr:uid="{00000000-0005-0000-0000-00009D760000}"/>
    <cellStyle name="Output 2 7 2 3 6" xfId="32641" xr:uid="{00000000-0005-0000-0000-00009E760000}"/>
    <cellStyle name="Output 2 7 2 3 7" xfId="32642" xr:uid="{00000000-0005-0000-0000-00009F760000}"/>
    <cellStyle name="Output 2 7 2 4" xfId="26186" xr:uid="{00000000-0005-0000-0000-0000A0760000}"/>
    <cellStyle name="Output 2 7 2 4 2" xfId="26192" xr:uid="{00000000-0005-0000-0000-0000A1760000}"/>
    <cellStyle name="Output 2 7 2 4 2 2" xfId="26196" xr:uid="{00000000-0005-0000-0000-0000A2760000}"/>
    <cellStyle name="Output 2 7 2 4 2 3" xfId="27036" xr:uid="{00000000-0005-0000-0000-0000A3760000}"/>
    <cellStyle name="Output 2 7 2 4 2 4" xfId="27041" xr:uid="{00000000-0005-0000-0000-0000A4760000}"/>
    <cellStyle name="Output 2 7 2 4 3" xfId="26203" xr:uid="{00000000-0005-0000-0000-0000A5760000}"/>
    <cellStyle name="Output 2 7 2 4 3 2" xfId="27047" xr:uid="{00000000-0005-0000-0000-0000A6760000}"/>
    <cellStyle name="Output 2 7 2 4 3 3" xfId="27056" xr:uid="{00000000-0005-0000-0000-0000A7760000}"/>
    <cellStyle name="Output 2 7 2 4 3 4" xfId="27059" xr:uid="{00000000-0005-0000-0000-0000A8760000}"/>
    <cellStyle name="Output 2 7 2 4 4" xfId="27064" xr:uid="{00000000-0005-0000-0000-0000A9760000}"/>
    <cellStyle name="Output 2 7 2 4 4 2" xfId="27067" xr:uid="{00000000-0005-0000-0000-0000AA760000}"/>
    <cellStyle name="Output 2 7 2 4 4 3" xfId="27070" xr:uid="{00000000-0005-0000-0000-0000AB760000}"/>
    <cellStyle name="Output 2 7 2 4 5" xfId="27075" xr:uid="{00000000-0005-0000-0000-0000AC760000}"/>
    <cellStyle name="Output 2 7 2 4 5 2" xfId="16359" xr:uid="{00000000-0005-0000-0000-0000AD760000}"/>
    <cellStyle name="Output 2 7 2 4 5 3" xfId="16366" xr:uid="{00000000-0005-0000-0000-0000AE760000}"/>
    <cellStyle name="Output 2 7 2 4 6" xfId="27078" xr:uid="{00000000-0005-0000-0000-0000AF760000}"/>
    <cellStyle name="Output 2 7 2 4 7" xfId="27086" xr:uid="{00000000-0005-0000-0000-0000B0760000}"/>
    <cellStyle name="Output 2 7 2 5" xfId="26206" xr:uid="{00000000-0005-0000-0000-0000B1760000}"/>
    <cellStyle name="Output 2 7 2 5 2" xfId="30673" xr:uid="{00000000-0005-0000-0000-0000B2760000}"/>
    <cellStyle name="Output 2 7 2 5 2 2" xfId="16555" xr:uid="{00000000-0005-0000-0000-0000B3760000}"/>
    <cellStyle name="Output 2 7 2 5 2 3" xfId="16558" xr:uid="{00000000-0005-0000-0000-0000B4760000}"/>
    <cellStyle name="Output 2 7 2 5 2 4" xfId="32643" xr:uid="{00000000-0005-0000-0000-0000B5760000}"/>
    <cellStyle name="Output 2 7 2 5 3" xfId="30676" xr:uid="{00000000-0005-0000-0000-0000B6760000}"/>
    <cellStyle name="Output 2 7 2 5 3 2" xfId="16576" xr:uid="{00000000-0005-0000-0000-0000B7760000}"/>
    <cellStyle name="Output 2 7 2 5 3 3" xfId="16579" xr:uid="{00000000-0005-0000-0000-0000B8760000}"/>
    <cellStyle name="Output 2 7 2 5 3 4" xfId="32644" xr:uid="{00000000-0005-0000-0000-0000B9760000}"/>
    <cellStyle name="Output 2 7 2 5 4" xfId="30678" xr:uid="{00000000-0005-0000-0000-0000BA760000}"/>
    <cellStyle name="Output 2 7 2 5 4 2" xfId="16606" xr:uid="{00000000-0005-0000-0000-0000BB760000}"/>
    <cellStyle name="Output 2 7 2 5 4 3" xfId="16609" xr:uid="{00000000-0005-0000-0000-0000BC760000}"/>
    <cellStyle name="Output 2 7 2 5 5" xfId="30680" xr:uid="{00000000-0005-0000-0000-0000BD760000}"/>
    <cellStyle name="Output 2 7 2 5 5 2" xfId="32645" xr:uid="{00000000-0005-0000-0000-0000BE760000}"/>
    <cellStyle name="Output 2 7 2 5 5 3" xfId="28256" xr:uid="{00000000-0005-0000-0000-0000BF760000}"/>
    <cellStyle name="Output 2 7 2 5 6" xfId="32646" xr:uid="{00000000-0005-0000-0000-0000C0760000}"/>
    <cellStyle name="Output 2 7 2 5 7" xfId="32647" xr:uid="{00000000-0005-0000-0000-0000C1760000}"/>
    <cellStyle name="Output 2 7 2 6" xfId="30825" xr:uid="{00000000-0005-0000-0000-0000C2760000}"/>
    <cellStyle name="Output 2 7 2 6 2" xfId="30686" xr:uid="{00000000-0005-0000-0000-0000C3760000}"/>
    <cellStyle name="Output 2 7 2 6 2 2" xfId="16779" xr:uid="{00000000-0005-0000-0000-0000C4760000}"/>
    <cellStyle name="Output 2 7 2 6 2 3" xfId="16782" xr:uid="{00000000-0005-0000-0000-0000C5760000}"/>
    <cellStyle name="Output 2 7 2 6 2 4" xfId="32648" xr:uid="{00000000-0005-0000-0000-0000C6760000}"/>
    <cellStyle name="Output 2 7 2 6 3" xfId="3396" xr:uid="{00000000-0005-0000-0000-0000C7760000}"/>
    <cellStyle name="Output 2 7 2 6 3 2" xfId="16800" xr:uid="{00000000-0005-0000-0000-0000C8760000}"/>
    <cellStyle name="Output 2 7 2 6 3 3" xfId="16803" xr:uid="{00000000-0005-0000-0000-0000C9760000}"/>
    <cellStyle name="Output 2 7 2 6 3 4" xfId="32649" xr:uid="{00000000-0005-0000-0000-0000CA760000}"/>
    <cellStyle name="Output 2 7 2 6 4" xfId="3401" xr:uid="{00000000-0005-0000-0000-0000CB760000}"/>
    <cellStyle name="Output 2 7 2 6 4 2" xfId="16823" xr:uid="{00000000-0005-0000-0000-0000CC760000}"/>
    <cellStyle name="Output 2 7 2 6 4 3" xfId="16826" xr:uid="{00000000-0005-0000-0000-0000CD760000}"/>
    <cellStyle name="Output 2 7 2 6 5" xfId="3406" xr:uid="{00000000-0005-0000-0000-0000CE760000}"/>
    <cellStyle name="Output 2 7 2 6 5 2" xfId="32650" xr:uid="{00000000-0005-0000-0000-0000CF760000}"/>
    <cellStyle name="Output 2 7 2 6 5 3" xfId="28272" xr:uid="{00000000-0005-0000-0000-0000D0760000}"/>
    <cellStyle name="Output 2 7 2 6 6" xfId="32651" xr:uid="{00000000-0005-0000-0000-0000D1760000}"/>
    <cellStyle name="Output 2 7 2 6 7" xfId="32652" xr:uid="{00000000-0005-0000-0000-0000D2760000}"/>
    <cellStyle name="Output 2 7 2 7" xfId="32653" xr:uid="{00000000-0005-0000-0000-0000D3760000}"/>
    <cellStyle name="Output 2 7 2 7 2" xfId="30692" xr:uid="{00000000-0005-0000-0000-0000D4760000}"/>
    <cellStyle name="Output 2 7 2 7 2 2" xfId="21051" xr:uid="{00000000-0005-0000-0000-0000D5760000}"/>
    <cellStyle name="Output 2 7 2 7 2 3" xfId="21057" xr:uid="{00000000-0005-0000-0000-0000D6760000}"/>
    <cellStyle name="Output 2 7 2 7 2 4" xfId="32655" xr:uid="{00000000-0005-0000-0000-0000D7760000}"/>
    <cellStyle name="Output 2 7 2 7 3" xfId="3411" xr:uid="{00000000-0005-0000-0000-0000D8760000}"/>
    <cellStyle name="Output 2 7 2 7 3 2" xfId="21078" xr:uid="{00000000-0005-0000-0000-0000D9760000}"/>
    <cellStyle name="Output 2 7 2 7 3 3" xfId="21081" xr:uid="{00000000-0005-0000-0000-0000DA760000}"/>
    <cellStyle name="Output 2 7 2 7 3 4" xfId="32656" xr:uid="{00000000-0005-0000-0000-0000DB760000}"/>
    <cellStyle name="Output 2 7 2 7 4" xfId="3417" xr:uid="{00000000-0005-0000-0000-0000DC760000}"/>
    <cellStyle name="Output 2 7 2 7 4 2" xfId="21102" xr:uid="{00000000-0005-0000-0000-0000DD760000}"/>
    <cellStyle name="Output 2 7 2 7 4 3" xfId="21106" xr:uid="{00000000-0005-0000-0000-0000DE760000}"/>
    <cellStyle name="Output 2 7 2 7 5" xfId="3424" xr:uid="{00000000-0005-0000-0000-0000DF760000}"/>
    <cellStyle name="Output 2 7 2 7 5 2" xfId="21125" xr:uid="{00000000-0005-0000-0000-0000E0760000}"/>
    <cellStyle name="Output 2 7 2 7 5 3" xfId="21129" xr:uid="{00000000-0005-0000-0000-0000E1760000}"/>
    <cellStyle name="Output 2 7 2 7 6" xfId="30177" xr:uid="{00000000-0005-0000-0000-0000E2760000}"/>
    <cellStyle name="Output 2 7 2 7 7" xfId="30179" xr:uid="{00000000-0005-0000-0000-0000E3760000}"/>
    <cellStyle name="Output 2 7 2 8" xfId="32657" xr:uid="{00000000-0005-0000-0000-0000E4760000}"/>
    <cellStyle name="Output 2 7 2 8 2" xfId="30698" xr:uid="{00000000-0005-0000-0000-0000E5760000}"/>
    <cellStyle name="Output 2 7 2 8 2 2" xfId="21296" xr:uid="{00000000-0005-0000-0000-0000E6760000}"/>
    <cellStyle name="Output 2 7 2 8 2 3" xfId="21299" xr:uid="{00000000-0005-0000-0000-0000E7760000}"/>
    <cellStyle name="Output 2 7 2 8 2 4" xfId="32659" xr:uid="{00000000-0005-0000-0000-0000E8760000}"/>
    <cellStyle name="Output 2 7 2 8 3" xfId="3431" xr:uid="{00000000-0005-0000-0000-0000E9760000}"/>
    <cellStyle name="Output 2 7 2 8 3 2" xfId="21326" xr:uid="{00000000-0005-0000-0000-0000EA760000}"/>
    <cellStyle name="Output 2 7 2 8 3 3" xfId="21330" xr:uid="{00000000-0005-0000-0000-0000EB760000}"/>
    <cellStyle name="Output 2 7 2 8 3 4" xfId="28989" xr:uid="{00000000-0005-0000-0000-0000EC760000}"/>
    <cellStyle name="Output 2 7 2 8 4" xfId="3438" xr:uid="{00000000-0005-0000-0000-0000ED760000}"/>
    <cellStyle name="Output 2 7 2 8 4 2" xfId="21352" xr:uid="{00000000-0005-0000-0000-0000EE760000}"/>
    <cellStyle name="Output 2 7 2 8 4 3" xfId="21356" xr:uid="{00000000-0005-0000-0000-0000EF760000}"/>
    <cellStyle name="Output 2 7 2 8 5" xfId="28993" xr:uid="{00000000-0005-0000-0000-0000F0760000}"/>
    <cellStyle name="Output 2 7 2 8 5 2" xfId="21373" xr:uid="{00000000-0005-0000-0000-0000F1760000}"/>
    <cellStyle name="Output 2 7 2 8 5 3" xfId="21377" xr:uid="{00000000-0005-0000-0000-0000F2760000}"/>
    <cellStyle name="Output 2 7 2 8 6" xfId="28996" xr:uid="{00000000-0005-0000-0000-0000F3760000}"/>
    <cellStyle name="Output 2 7 2 8 7" xfId="28998" xr:uid="{00000000-0005-0000-0000-0000F4760000}"/>
    <cellStyle name="Output 2 7 2 9" xfId="32660" xr:uid="{00000000-0005-0000-0000-0000F5760000}"/>
    <cellStyle name="Output 2 7 2 9 2" xfId="27490" xr:uid="{00000000-0005-0000-0000-0000F6760000}"/>
    <cellStyle name="Output 2 7 2 9 2 2" xfId="27492" xr:uid="{00000000-0005-0000-0000-0000F7760000}"/>
    <cellStyle name="Output 2 7 2 9 2 3" xfId="27496" xr:uid="{00000000-0005-0000-0000-0000F8760000}"/>
    <cellStyle name="Output 2 7 2 9 2 4" xfId="27500" xr:uid="{00000000-0005-0000-0000-0000F9760000}"/>
    <cellStyle name="Output 2 7 2 9 3" xfId="3447" xr:uid="{00000000-0005-0000-0000-0000FA760000}"/>
    <cellStyle name="Output 2 7 2 9 3 2" xfId="27511" xr:uid="{00000000-0005-0000-0000-0000FB760000}"/>
    <cellStyle name="Output 2 7 2 9 3 3" xfId="27520" xr:uid="{00000000-0005-0000-0000-0000FC760000}"/>
    <cellStyle name="Output 2 7 2 9 3 4" xfId="27529" xr:uid="{00000000-0005-0000-0000-0000FD760000}"/>
    <cellStyle name="Output 2 7 2 9 4" xfId="3454" xr:uid="{00000000-0005-0000-0000-0000FE760000}"/>
    <cellStyle name="Output 2 7 2 9 4 2" xfId="27539" xr:uid="{00000000-0005-0000-0000-0000FF760000}"/>
    <cellStyle name="Output 2 7 2 9 4 3" xfId="27542" xr:uid="{00000000-0005-0000-0000-000000770000}"/>
    <cellStyle name="Output 2 7 2 9 5" xfId="27549" xr:uid="{00000000-0005-0000-0000-000001770000}"/>
    <cellStyle name="Output 2 7 2 9 5 2" xfId="27552" xr:uid="{00000000-0005-0000-0000-000002770000}"/>
    <cellStyle name="Output 2 7 2 9 5 3" xfId="27555" xr:uid="{00000000-0005-0000-0000-000003770000}"/>
    <cellStyle name="Output 2 7 2 9 6" xfId="12979" xr:uid="{00000000-0005-0000-0000-000004770000}"/>
    <cellStyle name="Output 2 7 2 9 7" xfId="12984" xr:uid="{00000000-0005-0000-0000-000005770000}"/>
    <cellStyle name="Output 2 7 20" xfId="32596" xr:uid="{00000000-0005-0000-0000-000006770000}"/>
    <cellStyle name="Output 2 7 3" xfId="32661" xr:uid="{00000000-0005-0000-0000-000007770000}"/>
    <cellStyle name="Output 2 7 3 10" xfId="4400" xr:uid="{00000000-0005-0000-0000-000008770000}"/>
    <cellStyle name="Output 2 7 3 10 2" xfId="15234" xr:uid="{00000000-0005-0000-0000-000009770000}"/>
    <cellStyle name="Output 2 7 3 10 2 2" xfId="28213" xr:uid="{00000000-0005-0000-0000-00000A770000}"/>
    <cellStyle name="Output 2 7 3 10 2 3" xfId="32662" xr:uid="{00000000-0005-0000-0000-00000B770000}"/>
    <cellStyle name="Output 2 7 3 10 2 4" xfId="32663" xr:uid="{00000000-0005-0000-0000-00000C770000}"/>
    <cellStyle name="Output 2 7 3 10 3" xfId="24422" xr:uid="{00000000-0005-0000-0000-00000D770000}"/>
    <cellStyle name="Output 2 7 3 10 3 2" xfId="32664" xr:uid="{00000000-0005-0000-0000-00000E770000}"/>
    <cellStyle name="Output 2 7 3 10 3 3" xfId="32665" xr:uid="{00000000-0005-0000-0000-00000F770000}"/>
    <cellStyle name="Output 2 7 3 10 3 4" xfId="32666" xr:uid="{00000000-0005-0000-0000-000010770000}"/>
    <cellStyle name="Output 2 7 3 10 4" xfId="24424" xr:uid="{00000000-0005-0000-0000-000011770000}"/>
    <cellStyle name="Output 2 7 3 10 4 2" xfId="32667" xr:uid="{00000000-0005-0000-0000-000012770000}"/>
    <cellStyle name="Output 2 7 3 10 4 3" xfId="32668" xr:uid="{00000000-0005-0000-0000-000013770000}"/>
    <cellStyle name="Output 2 7 3 10 5" xfId="3744" xr:uid="{00000000-0005-0000-0000-000014770000}"/>
    <cellStyle name="Output 2 7 3 10 5 2" xfId="3748" xr:uid="{00000000-0005-0000-0000-000015770000}"/>
    <cellStyle name="Output 2 7 3 10 5 3" xfId="3751" xr:uid="{00000000-0005-0000-0000-000016770000}"/>
    <cellStyle name="Output 2 7 3 10 6" xfId="3755" xr:uid="{00000000-0005-0000-0000-000017770000}"/>
    <cellStyle name="Output 2 7 3 10 7" xfId="3769" xr:uid="{00000000-0005-0000-0000-000018770000}"/>
    <cellStyle name="Output 2 7 3 11" xfId="4405" xr:uid="{00000000-0005-0000-0000-000019770000}"/>
    <cellStyle name="Output 2 7 3 11 2" xfId="32669" xr:uid="{00000000-0005-0000-0000-00001A770000}"/>
    <cellStyle name="Output 2 7 3 11 3" xfId="32670" xr:uid="{00000000-0005-0000-0000-00001B770000}"/>
    <cellStyle name="Output 2 7 3 11 4" xfId="32671" xr:uid="{00000000-0005-0000-0000-00001C770000}"/>
    <cellStyle name="Output 2 7 3 12" xfId="32672" xr:uid="{00000000-0005-0000-0000-00001D770000}"/>
    <cellStyle name="Output 2 7 3 12 2" xfId="32673" xr:uid="{00000000-0005-0000-0000-00001E770000}"/>
    <cellStyle name="Output 2 7 3 12 3" xfId="32674" xr:uid="{00000000-0005-0000-0000-00001F770000}"/>
    <cellStyle name="Output 2 7 3 12 4" xfId="32675" xr:uid="{00000000-0005-0000-0000-000020770000}"/>
    <cellStyle name="Output 2 7 3 13" xfId="13584" xr:uid="{00000000-0005-0000-0000-000021770000}"/>
    <cellStyle name="Output 2 7 3 13 2" xfId="25344" xr:uid="{00000000-0005-0000-0000-000022770000}"/>
    <cellStyle name="Output 2 7 3 13 3" xfId="32676" xr:uid="{00000000-0005-0000-0000-000023770000}"/>
    <cellStyle name="Output 2 7 3 14" xfId="13586" xr:uid="{00000000-0005-0000-0000-000024770000}"/>
    <cellStyle name="Output 2 7 3 14 2" xfId="21193" xr:uid="{00000000-0005-0000-0000-000025770000}"/>
    <cellStyle name="Output 2 7 3 14 3" xfId="21195" xr:uid="{00000000-0005-0000-0000-000026770000}"/>
    <cellStyle name="Output 2 7 3 15" xfId="13589" xr:uid="{00000000-0005-0000-0000-000027770000}"/>
    <cellStyle name="Output 2 7 3 16" xfId="23721" xr:uid="{00000000-0005-0000-0000-000028770000}"/>
    <cellStyle name="Output 2 7 3 2" xfId="32677" xr:uid="{00000000-0005-0000-0000-000029770000}"/>
    <cellStyle name="Output 2 7 3 2 2" xfId="23361" xr:uid="{00000000-0005-0000-0000-00002A770000}"/>
    <cellStyle name="Output 2 7 3 2 2 2" xfId="30361" xr:uid="{00000000-0005-0000-0000-00002B770000}"/>
    <cellStyle name="Output 2 7 3 2 2 3" xfId="30365" xr:uid="{00000000-0005-0000-0000-00002C770000}"/>
    <cellStyle name="Output 2 7 3 2 2 4" xfId="30368" xr:uid="{00000000-0005-0000-0000-00002D770000}"/>
    <cellStyle name="Output 2 7 3 2 3" xfId="30747" xr:uid="{00000000-0005-0000-0000-00002E770000}"/>
    <cellStyle name="Output 2 7 3 2 3 2" xfId="30379" xr:uid="{00000000-0005-0000-0000-00002F770000}"/>
    <cellStyle name="Output 2 7 3 2 3 3" xfId="30387" xr:uid="{00000000-0005-0000-0000-000030770000}"/>
    <cellStyle name="Output 2 7 3 2 3 4" xfId="30390" xr:uid="{00000000-0005-0000-0000-000031770000}"/>
    <cellStyle name="Output 2 7 3 2 4" xfId="19240" xr:uid="{00000000-0005-0000-0000-000032770000}"/>
    <cellStyle name="Output 2 7 3 2 4 2" xfId="30402" xr:uid="{00000000-0005-0000-0000-000033770000}"/>
    <cellStyle name="Output 2 7 3 2 4 3" xfId="28559" xr:uid="{00000000-0005-0000-0000-000034770000}"/>
    <cellStyle name="Output 2 7 3 2 5" xfId="20433" xr:uid="{00000000-0005-0000-0000-000035770000}"/>
    <cellStyle name="Output 2 7 3 2 5 2" xfId="32151" xr:uid="{00000000-0005-0000-0000-000036770000}"/>
    <cellStyle name="Output 2 7 3 2 5 3" xfId="28580" xr:uid="{00000000-0005-0000-0000-000037770000}"/>
    <cellStyle name="Output 2 7 3 2 6" xfId="20435" xr:uid="{00000000-0005-0000-0000-000038770000}"/>
    <cellStyle name="Output 2 7 3 2 7" xfId="31765" xr:uid="{00000000-0005-0000-0000-000039770000}"/>
    <cellStyle name="Output 2 7 3 3" xfId="32678" xr:uid="{00000000-0005-0000-0000-00003A770000}"/>
    <cellStyle name="Output 2 7 3 3 2" xfId="23373" xr:uid="{00000000-0005-0000-0000-00003B770000}"/>
    <cellStyle name="Output 2 7 3 3 2 2" xfId="30482" xr:uid="{00000000-0005-0000-0000-00003C770000}"/>
    <cellStyle name="Output 2 7 3 3 2 3" xfId="30486" xr:uid="{00000000-0005-0000-0000-00003D770000}"/>
    <cellStyle name="Output 2 7 3 3 2 4" xfId="29981" xr:uid="{00000000-0005-0000-0000-00003E770000}"/>
    <cellStyle name="Output 2 7 3 3 3" xfId="30750" xr:uid="{00000000-0005-0000-0000-00003F770000}"/>
    <cellStyle name="Output 2 7 3 3 3 2" xfId="30497" xr:uid="{00000000-0005-0000-0000-000040770000}"/>
    <cellStyle name="Output 2 7 3 3 3 3" xfId="30505" xr:uid="{00000000-0005-0000-0000-000041770000}"/>
    <cellStyle name="Output 2 7 3 3 3 4" xfId="29995" xr:uid="{00000000-0005-0000-0000-000042770000}"/>
    <cellStyle name="Output 2 7 3 3 4" xfId="19244" xr:uid="{00000000-0005-0000-0000-000043770000}"/>
    <cellStyle name="Output 2 7 3 3 4 2" xfId="20880" xr:uid="{00000000-0005-0000-0000-000044770000}"/>
    <cellStyle name="Output 2 7 3 3 4 3" xfId="20885" xr:uid="{00000000-0005-0000-0000-000045770000}"/>
    <cellStyle name="Output 2 7 3 3 5" xfId="30753" xr:uid="{00000000-0005-0000-0000-000046770000}"/>
    <cellStyle name="Output 2 7 3 3 5 2" xfId="20889" xr:uid="{00000000-0005-0000-0000-000047770000}"/>
    <cellStyle name="Output 2 7 3 3 5 3" xfId="20893" xr:uid="{00000000-0005-0000-0000-000048770000}"/>
    <cellStyle name="Output 2 7 3 3 6" xfId="32679" xr:uid="{00000000-0005-0000-0000-000049770000}"/>
    <cellStyle name="Output 2 7 3 3 7" xfId="32680" xr:uid="{00000000-0005-0000-0000-00004A770000}"/>
    <cellStyle name="Output 2 7 3 4" xfId="30830" xr:uid="{00000000-0005-0000-0000-00004B770000}"/>
    <cellStyle name="Output 2 7 3 4 2" xfId="29246" xr:uid="{00000000-0005-0000-0000-00004C770000}"/>
    <cellStyle name="Output 2 7 3 4 2 2" xfId="29249" xr:uid="{00000000-0005-0000-0000-00004D770000}"/>
    <cellStyle name="Output 2 7 3 4 2 3" xfId="29252" xr:uid="{00000000-0005-0000-0000-00004E770000}"/>
    <cellStyle name="Output 2 7 3 4 2 4" xfId="29255" xr:uid="{00000000-0005-0000-0000-00004F770000}"/>
    <cellStyle name="Output 2 7 3 4 3" xfId="29267" xr:uid="{00000000-0005-0000-0000-000050770000}"/>
    <cellStyle name="Output 2 7 3 4 3 2" xfId="29270" xr:uid="{00000000-0005-0000-0000-000051770000}"/>
    <cellStyle name="Output 2 7 3 4 3 3" xfId="29273" xr:uid="{00000000-0005-0000-0000-000052770000}"/>
    <cellStyle name="Output 2 7 3 4 3 4" xfId="29276" xr:uid="{00000000-0005-0000-0000-000053770000}"/>
    <cellStyle name="Output 2 7 3 4 4" xfId="19253" xr:uid="{00000000-0005-0000-0000-000054770000}"/>
    <cellStyle name="Output 2 7 3 4 4 2" xfId="20904" xr:uid="{00000000-0005-0000-0000-000055770000}"/>
    <cellStyle name="Output 2 7 3 4 4 3" xfId="20908" xr:uid="{00000000-0005-0000-0000-000056770000}"/>
    <cellStyle name="Output 2 7 3 4 5" xfId="29285" xr:uid="{00000000-0005-0000-0000-000057770000}"/>
    <cellStyle name="Output 2 7 3 4 5 2" xfId="20912" xr:uid="{00000000-0005-0000-0000-000058770000}"/>
    <cellStyle name="Output 2 7 3 4 5 3" xfId="20916" xr:uid="{00000000-0005-0000-0000-000059770000}"/>
    <cellStyle name="Output 2 7 3 4 6" xfId="29288" xr:uid="{00000000-0005-0000-0000-00005A770000}"/>
    <cellStyle name="Output 2 7 3 4 7" xfId="29290" xr:uid="{00000000-0005-0000-0000-00005B770000}"/>
    <cellStyle name="Output 2 7 3 5" xfId="30833" xr:uid="{00000000-0005-0000-0000-00005C770000}"/>
    <cellStyle name="Output 2 7 3 5 2" xfId="30756" xr:uid="{00000000-0005-0000-0000-00005D770000}"/>
    <cellStyle name="Output 2 7 3 5 2 2" xfId="17271" xr:uid="{00000000-0005-0000-0000-00005E770000}"/>
    <cellStyle name="Output 2 7 3 5 2 3" xfId="17274" xr:uid="{00000000-0005-0000-0000-00005F770000}"/>
    <cellStyle name="Output 2 7 3 5 2 4" xfId="30553" xr:uid="{00000000-0005-0000-0000-000060770000}"/>
    <cellStyle name="Output 2 7 3 5 3" xfId="30759" xr:uid="{00000000-0005-0000-0000-000061770000}"/>
    <cellStyle name="Output 2 7 3 5 3 2" xfId="17297" xr:uid="{00000000-0005-0000-0000-000062770000}"/>
    <cellStyle name="Output 2 7 3 5 3 3" xfId="17300" xr:uid="{00000000-0005-0000-0000-000063770000}"/>
    <cellStyle name="Output 2 7 3 5 3 4" xfId="30563" xr:uid="{00000000-0005-0000-0000-000064770000}"/>
    <cellStyle name="Output 2 7 3 5 4" xfId="30761" xr:uid="{00000000-0005-0000-0000-000065770000}"/>
    <cellStyle name="Output 2 7 3 5 4 2" xfId="17321" xr:uid="{00000000-0005-0000-0000-000066770000}"/>
    <cellStyle name="Output 2 7 3 5 4 3" xfId="17325" xr:uid="{00000000-0005-0000-0000-000067770000}"/>
    <cellStyle name="Output 2 7 3 5 5" xfId="30763" xr:uid="{00000000-0005-0000-0000-000068770000}"/>
    <cellStyle name="Output 2 7 3 5 5 2" xfId="20929" xr:uid="{00000000-0005-0000-0000-000069770000}"/>
    <cellStyle name="Output 2 7 3 5 5 3" xfId="20932" xr:uid="{00000000-0005-0000-0000-00006A770000}"/>
    <cellStyle name="Output 2 7 3 5 6" xfId="32681" xr:uid="{00000000-0005-0000-0000-00006B770000}"/>
    <cellStyle name="Output 2 7 3 5 7" xfId="32682" xr:uid="{00000000-0005-0000-0000-00006C770000}"/>
    <cellStyle name="Output 2 7 3 6" xfId="7550" xr:uid="{00000000-0005-0000-0000-00006D770000}"/>
    <cellStyle name="Output 2 7 3 6 2" xfId="30776" xr:uid="{00000000-0005-0000-0000-00006E770000}"/>
    <cellStyle name="Output 2 7 3 6 2 2" xfId="17471" xr:uid="{00000000-0005-0000-0000-00006F770000}"/>
    <cellStyle name="Output 2 7 3 6 2 3" xfId="17474" xr:uid="{00000000-0005-0000-0000-000070770000}"/>
    <cellStyle name="Output 2 7 3 6 2 4" xfId="30890" xr:uid="{00000000-0005-0000-0000-000071770000}"/>
    <cellStyle name="Output 2 7 3 6 3" xfId="30779" xr:uid="{00000000-0005-0000-0000-000072770000}"/>
    <cellStyle name="Output 2 7 3 6 3 2" xfId="17483" xr:uid="{00000000-0005-0000-0000-000073770000}"/>
    <cellStyle name="Output 2 7 3 6 3 3" xfId="17486" xr:uid="{00000000-0005-0000-0000-000074770000}"/>
    <cellStyle name="Output 2 7 3 6 3 4" xfId="30907" xr:uid="{00000000-0005-0000-0000-000075770000}"/>
    <cellStyle name="Output 2 7 3 6 4" xfId="30781" xr:uid="{00000000-0005-0000-0000-000076770000}"/>
    <cellStyle name="Output 2 7 3 6 4 2" xfId="17499" xr:uid="{00000000-0005-0000-0000-000077770000}"/>
    <cellStyle name="Output 2 7 3 6 4 3" xfId="17502" xr:uid="{00000000-0005-0000-0000-000078770000}"/>
    <cellStyle name="Output 2 7 3 6 5" xfId="30783" xr:uid="{00000000-0005-0000-0000-000079770000}"/>
    <cellStyle name="Output 2 7 3 6 5 2" xfId="32683" xr:uid="{00000000-0005-0000-0000-00007A770000}"/>
    <cellStyle name="Output 2 7 3 6 5 3" xfId="28756" xr:uid="{00000000-0005-0000-0000-00007B770000}"/>
    <cellStyle name="Output 2 7 3 6 6" xfId="32684" xr:uid="{00000000-0005-0000-0000-00007C770000}"/>
    <cellStyle name="Output 2 7 3 6 7" xfId="32685" xr:uid="{00000000-0005-0000-0000-00007D770000}"/>
    <cellStyle name="Output 2 7 3 7" xfId="7553" xr:uid="{00000000-0005-0000-0000-00007E770000}"/>
    <cellStyle name="Output 2 7 3 7 2" xfId="30798" xr:uid="{00000000-0005-0000-0000-00007F770000}"/>
    <cellStyle name="Output 2 7 3 7 2 2" xfId="21707" xr:uid="{00000000-0005-0000-0000-000080770000}"/>
    <cellStyle name="Output 2 7 3 7 2 3" xfId="21710" xr:uid="{00000000-0005-0000-0000-000081770000}"/>
    <cellStyle name="Output 2 7 3 7 2 4" xfId="31268" xr:uid="{00000000-0005-0000-0000-000082770000}"/>
    <cellStyle name="Output 2 7 3 7 3" xfId="30801" xr:uid="{00000000-0005-0000-0000-000083770000}"/>
    <cellStyle name="Output 2 7 3 7 3 2" xfId="21729" xr:uid="{00000000-0005-0000-0000-000084770000}"/>
    <cellStyle name="Output 2 7 3 7 3 3" xfId="21732" xr:uid="{00000000-0005-0000-0000-000085770000}"/>
    <cellStyle name="Output 2 7 3 7 3 4" xfId="31275" xr:uid="{00000000-0005-0000-0000-000086770000}"/>
    <cellStyle name="Output 2 7 3 7 4" xfId="30803" xr:uid="{00000000-0005-0000-0000-000087770000}"/>
    <cellStyle name="Output 2 7 3 7 4 2" xfId="21750" xr:uid="{00000000-0005-0000-0000-000088770000}"/>
    <cellStyle name="Output 2 7 3 7 4 3" xfId="21753" xr:uid="{00000000-0005-0000-0000-000089770000}"/>
    <cellStyle name="Output 2 7 3 7 5" xfId="30805" xr:uid="{00000000-0005-0000-0000-00008A770000}"/>
    <cellStyle name="Output 2 7 3 7 5 2" xfId="21783" xr:uid="{00000000-0005-0000-0000-00008B770000}"/>
    <cellStyle name="Output 2 7 3 7 5 3" xfId="21787" xr:uid="{00000000-0005-0000-0000-00008C770000}"/>
    <cellStyle name="Output 2 7 3 7 6" xfId="32686" xr:uid="{00000000-0005-0000-0000-00008D770000}"/>
    <cellStyle name="Output 2 7 3 7 7" xfId="32687" xr:uid="{00000000-0005-0000-0000-00008E770000}"/>
    <cellStyle name="Output 2 7 3 8" xfId="7556" xr:uid="{00000000-0005-0000-0000-00008F770000}"/>
    <cellStyle name="Output 2 7 3 8 2" xfId="30817" xr:uid="{00000000-0005-0000-0000-000090770000}"/>
    <cellStyle name="Output 2 7 3 8 2 2" xfId="21962" xr:uid="{00000000-0005-0000-0000-000091770000}"/>
    <cellStyle name="Output 2 7 3 8 2 3" xfId="21965" xr:uid="{00000000-0005-0000-0000-000092770000}"/>
    <cellStyle name="Output 2 7 3 8 2 4" xfId="31371" xr:uid="{00000000-0005-0000-0000-000093770000}"/>
    <cellStyle name="Output 2 7 3 8 3" xfId="29097" xr:uid="{00000000-0005-0000-0000-000094770000}"/>
    <cellStyle name="Output 2 7 3 8 3 2" xfId="21985" xr:uid="{00000000-0005-0000-0000-000095770000}"/>
    <cellStyle name="Output 2 7 3 8 3 3" xfId="21988" xr:uid="{00000000-0005-0000-0000-000096770000}"/>
    <cellStyle name="Output 2 7 3 8 3 4" xfId="31376" xr:uid="{00000000-0005-0000-0000-000097770000}"/>
    <cellStyle name="Output 2 7 3 8 4" xfId="29100" xr:uid="{00000000-0005-0000-0000-000098770000}"/>
    <cellStyle name="Output 2 7 3 8 4 2" xfId="22006" xr:uid="{00000000-0005-0000-0000-000099770000}"/>
    <cellStyle name="Output 2 7 3 8 4 3" xfId="22009" xr:uid="{00000000-0005-0000-0000-00009A770000}"/>
    <cellStyle name="Output 2 7 3 8 5" xfId="29103" xr:uid="{00000000-0005-0000-0000-00009B770000}"/>
    <cellStyle name="Output 2 7 3 8 5 2" xfId="22027" xr:uid="{00000000-0005-0000-0000-00009C770000}"/>
    <cellStyle name="Output 2 7 3 8 5 3" xfId="22030" xr:uid="{00000000-0005-0000-0000-00009D770000}"/>
    <cellStyle name="Output 2 7 3 8 6" xfId="32688" xr:uid="{00000000-0005-0000-0000-00009E770000}"/>
    <cellStyle name="Output 2 7 3 8 7" xfId="32689" xr:uid="{00000000-0005-0000-0000-00009F770000}"/>
    <cellStyle name="Output 2 7 3 9" xfId="32690" xr:uid="{00000000-0005-0000-0000-0000A0770000}"/>
    <cellStyle name="Output 2 7 3 9 2" xfId="32544" xr:uid="{00000000-0005-0000-0000-0000A1770000}"/>
    <cellStyle name="Output 2 7 3 9 2 2" xfId="32691" xr:uid="{00000000-0005-0000-0000-0000A2770000}"/>
    <cellStyle name="Output 2 7 3 9 2 3" xfId="32692" xr:uid="{00000000-0005-0000-0000-0000A3770000}"/>
    <cellStyle name="Output 2 7 3 9 2 4" xfId="31492" xr:uid="{00000000-0005-0000-0000-0000A4770000}"/>
    <cellStyle name="Output 2 7 3 9 3" xfId="29107" xr:uid="{00000000-0005-0000-0000-0000A5770000}"/>
    <cellStyle name="Output 2 7 3 9 3 2" xfId="32693" xr:uid="{00000000-0005-0000-0000-0000A6770000}"/>
    <cellStyle name="Output 2 7 3 9 3 3" xfId="32694" xr:uid="{00000000-0005-0000-0000-0000A7770000}"/>
    <cellStyle name="Output 2 7 3 9 3 4" xfId="31509" xr:uid="{00000000-0005-0000-0000-0000A8770000}"/>
    <cellStyle name="Output 2 7 3 9 4" xfId="29109" xr:uid="{00000000-0005-0000-0000-0000A9770000}"/>
    <cellStyle name="Output 2 7 3 9 4 2" xfId="32695" xr:uid="{00000000-0005-0000-0000-0000AA770000}"/>
    <cellStyle name="Output 2 7 3 9 4 3" xfId="32696" xr:uid="{00000000-0005-0000-0000-0000AB770000}"/>
    <cellStyle name="Output 2 7 3 9 5" xfId="29111" xr:uid="{00000000-0005-0000-0000-0000AC770000}"/>
    <cellStyle name="Output 2 7 3 9 5 2" xfId="32697" xr:uid="{00000000-0005-0000-0000-0000AD770000}"/>
    <cellStyle name="Output 2 7 3 9 5 3" xfId="32698" xr:uid="{00000000-0005-0000-0000-0000AE770000}"/>
    <cellStyle name="Output 2 7 3 9 6" xfId="13017" xr:uid="{00000000-0005-0000-0000-0000AF770000}"/>
    <cellStyle name="Output 2 7 3 9 7" xfId="13019" xr:uid="{00000000-0005-0000-0000-0000B0770000}"/>
    <cellStyle name="Output 2 7 4" xfId="22065" xr:uid="{00000000-0005-0000-0000-0000B1770000}"/>
    <cellStyle name="Output 2 7 4 2" xfId="32699" xr:uid="{00000000-0005-0000-0000-0000B2770000}"/>
    <cellStyle name="Output 2 7 4 2 2" xfId="30826" xr:uid="{00000000-0005-0000-0000-0000B3770000}"/>
    <cellStyle name="Output 2 7 4 2 3" xfId="32654" xr:uid="{00000000-0005-0000-0000-0000B4770000}"/>
    <cellStyle name="Output 2 7 4 2 4" xfId="32658" xr:uid="{00000000-0005-0000-0000-0000B5770000}"/>
    <cellStyle name="Output 2 7 4 3" xfId="7548" xr:uid="{00000000-0005-0000-0000-0000B6770000}"/>
    <cellStyle name="Output 2 7 4 3 2" xfId="7551" xr:uid="{00000000-0005-0000-0000-0000B7770000}"/>
    <cellStyle name="Output 2 7 4 3 3" xfId="7554" xr:uid="{00000000-0005-0000-0000-0000B8770000}"/>
    <cellStyle name="Output 2 7 4 3 4" xfId="7557" xr:uid="{00000000-0005-0000-0000-0000B9770000}"/>
    <cellStyle name="Output 2 7 4 4" xfId="7560" xr:uid="{00000000-0005-0000-0000-0000BA770000}"/>
    <cellStyle name="Output 2 7 4 4 2" xfId="7563" xr:uid="{00000000-0005-0000-0000-0000BB770000}"/>
    <cellStyle name="Output 2 7 4 4 3" xfId="7567" xr:uid="{00000000-0005-0000-0000-0000BC770000}"/>
    <cellStyle name="Output 2 7 4 5" xfId="7573" xr:uid="{00000000-0005-0000-0000-0000BD770000}"/>
    <cellStyle name="Output 2 7 4 5 2" xfId="7575" xr:uid="{00000000-0005-0000-0000-0000BE770000}"/>
    <cellStyle name="Output 2 7 4 5 3" xfId="7578" xr:uid="{00000000-0005-0000-0000-0000BF770000}"/>
    <cellStyle name="Output 2 7 4 6" xfId="7564" xr:uid="{00000000-0005-0000-0000-0000C0770000}"/>
    <cellStyle name="Output 2 7 4 7" xfId="7568" xr:uid="{00000000-0005-0000-0000-0000C1770000}"/>
    <cellStyle name="Output 2 7 5" xfId="22067" xr:uid="{00000000-0005-0000-0000-0000C2770000}"/>
    <cellStyle name="Output 2 7 5 2" xfId="7406" xr:uid="{00000000-0005-0000-0000-0000C3770000}"/>
    <cellStyle name="Output 2 7 5 2 2" xfId="7409" xr:uid="{00000000-0005-0000-0000-0000C4770000}"/>
    <cellStyle name="Output 2 7 5 2 3" xfId="7416" xr:uid="{00000000-0005-0000-0000-0000C5770000}"/>
    <cellStyle name="Output 2 7 5 2 4" xfId="7427" xr:uid="{00000000-0005-0000-0000-0000C6770000}"/>
    <cellStyle name="Output 2 7 5 3" xfId="7468" xr:uid="{00000000-0005-0000-0000-0000C7770000}"/>
    <cellStyle name="Output 2 7 5 3 2" xfId="7470" xr:uid="{00000000-0005-0000-0000-0000C8770000}"/>
    <cellStyle name="Output 2 7 5 3 3" xfId="7483" xr:uid="{00000000-0005-0000-0000-0000C9770000}"/>
    <cellStyle name="Output 2 7 5 3 4" xfId="7500" xr:uid="{00000000-0005-0000-0000-0000CA770000}"/>
    <cellStyle name="Output 2 7 5 4" xfId="7586" xr:uid="{00000000-0005-0000-0000-0000CB770000}"/>
    <cellStyle name="Output 2 7 5 4 2" xfId="32700" xr:uid="{00000000-0005-0000-0000-0000CC770000}"/>
    <cellStyle name="Output 2 7 5 4 3" xfId="32702" xr:uid="{00000000-0005-0000-0000-0000CD770000}"/>
    <cellStyle name="Output 2 7 5 5" xfId="7588" xr:uid="{00000000-0005-0000-0000-0000CE770000}"/>
    <cellStyle name="Output 2 7 5 5 2" xfId="32705" xr:uid="{00000000-0005-0000-0000-0000CF770000}"/>
    <cellStyle name="Output 2 7 5 5 3" xfId="32707" xr:uid="{00000000-0005-0000-0000-0000D0770000}"/>
    <cellStyle name="Output 2 7 5 6" xfId="7576" xr:uid="{00000000-0005-0000-0000-0000D1770000}"/>
    <cellStyle name="Output 2 7 5 7" xfId="7579" xr:uid="{00000000-0005-0000-0000-0000D2770000}"/>
    <cellStyle name="Output 2 7 6" xfId="32710" xr:uid="{00000000-0005-0000-0000-0000D3770000}"/>
    <cellStyle name="Output 2 7 6 2" xfId="7838" xr:uid="{00000000-0005-0000-0000-0000D4770000}"/>
    <cellStyle name="Output 2 7 6 2 2" xfId="7841" xr:uid="{00000000-0005-0000-0000-0000D5770000}"/>
    <cellStyle name="Output 2 7 6 2 3" xfId="7850" xr:uid="{00000000-0005-0000-0000-0000D6770000}"/>
    <cellStyle name="Output 2 7 6 2 4" xfId="7863" xr:uid="{00000000-0005-0000-0000-0000D7770000}"/>
    <cellStyle name="Output 2 7 6 3" xfId="7593" xr:uid="{00000000-0005-0000-0000-0000D8770000}"/>
    <cellStyle name="Output 2 7 6 3 2" xfId="7897" xr:uid="{00000000-0005-0000-0000-0000D9770000}"/>
    <cellStyle name="Output 2 7 6 3 3" xfId="7906" xr:uid="{00000000-0005-0000-0000-0000DA770000}"/>
    <cellStyle name="Output 2 7 6 3 4" xfId="7919" xr:uid="{00000000-0005-0000-0000-0000DB770000}"/>
    <cellStyle name="Output 2 7 6 4" xfId="7595" xr:uid="{00000000-0005-0000-0000-0000DC770000}"/>
    <cellStyle name="Output 2 7 6 4 2" xfId="32711" xr:uid="{00000000-0005-0000-0000-0000DD770000}"/>
    <cellStyle name="Output 2 7 6 4 3" xfId="32714" xr:uid="{00000000-0005-0000-0000-0000DE770000}"/>
    <cellStyle name="Output 2 7 6 5" xfId="7597" xr:uid="{00000000-0005-0000-0000-0000DF770000}"/>
    <cellStyle name="Output 2 7 6 5 2" xfId="4961" xr:uid="{00000000-0005-0000-0000-0000E0770000}"/>
    <cellStyle name="Output 2 7 6 5 3" xfId="5014" xr:uid="{00000000-0005-0000-0000-0000E1770000}"/>
    <cellStyle name="Output 2 7 6 6" xfId="7581" xr:uid="{00000000-0005-0000-0000-0000E2770000}"/>
    <cellStyle name="Output 2 7 6 7" xfId="7583" xr:uid="{00000000-0005-0000-0000-0000E3770000}"/>
    <cellStyle name="Output 2 7 7" xfId="32717" xr:uid="{00000000-0005-0000-0000-0000E4770000}"/>
    <cellStyle name="Output 2 7 7 2" xfId="7986" xr:uid="{00000000-0005-0000-0000-0000E5770000}"/>
    <cellStyle name="Output 2 7 7 2 2" xfId="14445" xr:uid="{00000000-0005-0000-0000-0000E6770000}"/>
    <cellStyle name="Output 2 7 7 2 3" xfId="14448" xr:uid="{00000000-0005-0000-0000-0000E7770000}"/>
    <cellStyle name="Output 2 7 7 2 4" xfId="30040" xr:uid="{00000000-0005-0000-0000-0000E8770000}"/>
    <cellStyle name="Output 2 7 7 3" xfId="7603" xr:uid="{00000000-0005-0000-0000-0000E9770000}"/>
    <cellStyle name="Output 2 7 7 3 2" xfId="32718" xr:uid="{00000000-0005-0000-0000-0000EA770000}"/>
    <cellStyle name="Output 2 7 7 3 3" xfId="32719" xr:uid="{00000000-0005-0000-0000-0000EB770000}"/>
    <cellStyle name="Output 2 7 7 3 4" xfId="32720" xr:uid="{00000000-0005-0000-0000-0000EC770000}"/>
    <cellStyle name="Output 2 7 7 4" xfId="7606" xr:uid="{00000000-0005-0000-0000-0000ED770000}"/>
    <cellStyle name="Output 2 7 7 4 2" xfId="10192" xr:uid="{00000000-0005-0000-0000-0000EE770000}"/>
    <cellStyle name="Output 2 7 7 4 3" xfId="10194" xr:uid="{00000000-0005-0000-0000-0000EF770000}"/>
    <cellStyle name="Output 2 7 7 5" xfId="32721" xr:uid="{00000000-0005-0000-0000-0000F0770000}"/>
    <cellStyle name="Output 2 7 7 5 2" xfId="22308" xr:uid="{00000000-0005-0000-0000-0000F1770000}"/>
    <cellStyle name="Output 2 7 7 5 3" xfId="22310" xr:uid="{00000000-0005-0000-0000-0000F2770000}"/>
    <cellStyle name="Output 2 7 7 6" xfId="32722" xr:uid="{00000000-0005-0000-0000-0000F3770000}"/>
    <cellStyle name="Output 2 7 7 7" xfId="32723" xr:uid="{00000000-0005-0000-0000-0000F4770000}"/>
    <cellStyle name="Output 2 7 8" xfId="29628" xr:uid="{00000000-0005-0000-0000-0000F5770000}"/>
    <cellStyle name="Output 2 7 8 2" xfId="8037" xr:uid="{00000000-0005-0000-0000-0000F6770000}"/>
    <cellStyle name="Output 2 7 8 2 2" xfId="23952" xr:uid="{00000000-0005-0000-0000-0000F7770000}"/>
    <cellStyle name="Output 2 7 8 2 3" xfId="23956" xr:uid="{00000000-0005-0000-0000-0000F8770000}"/>
    <cellStyle name="Output 2 7 8 2 4" xfId="19860" xr:uid="{00000000-0005-0000-0000-0000F9770000}"/>
    <cellStyle name="Output 2 7 8 3" xfId="7610" xr:uid="{00000000-0005-0000-0000-0000FA770000}"/>
    <cellStyle name="Output 2 7 8 3 2" xfId="23961" xr:uid="{00000000-0005-0000-0000-0000FB770000}"/>
    <cellStyle name="Output 2 7 8 3 3" xfId="23965" xr:uid="{00000000-0005-0000-0000-0000FC770000}"/>
    <cellStyle name="Output 2 7 8 3 4" xfId="19865" xr:uid="{00000000-0005-0000-0000-0000FD770000}"/>
    <cellStyle name="Output 2 7 8 4" xfId="7613" xr:uid="{00000000-0005-0000-0000-0000FE770000}"/>
    <cellStyle name="Output 2 7 8 4 2" xfId="23972" xr:uid="{00000000-0005-0000-0000-0000FF770000}"/>
    <cellStyle name="Output 2 7 8 4 3" xfId="23976" xr:uid="{00000000-0005-0000-0000-000000780000}"/>
    <cellStyle name="Output 2 7 8 5" xfId="23983" xr:uid="{00000000-0005-0000-0000-000001780000}"/>
    <cellStyle name="Output 2 7 8 5 2" xfId="22521" xr:uid="{00000000-0005-0000-0000-000002780000}"/>
    <cellStyle name="Output 2 7 8 5 3" xfId="22524" xr:uid="{00000000-0005-0000-0000-000003780000}"/>
    <cellStyle name="Output 2 7 8 6" xfId="23991" xr:uid="{00000000-0005-0000-0000-000004780000}"/>
    <cellStyle name="Output 2 7 8 7" xfId="29125" xr:uid="{00000000-0005-0000-0000-000005780000}"/>
    <cellStyle name="Output 2 7 9" xfId="29630" xr:uid="{00000000-0005-0000-0000-000006780000}"/>
    <cellStyle name="Output 2 7 9 2" xfId="8082" xr:uid="{00000000-0005-0000-0000-000007780000}"/>
    <cellStyle name="Output 2 7 9 2 2" xfId="24096" xr:uid="{00000000-0005-0000-0000-000008780000}"/>
    <cellStyle name="Output 2 7 9 2 3" xfId="24100" xr:uid="{00000000-0005-0000-0000-000009780000}"/>
    <cellStyle name="Output 2 7 9 2 4" xfId="24105" xr:uid="{00000000-0005-0000-0000-00000A780000}"/>
    <cellStyle name="Output 2 7 9 3" xfId="24113" xr:uid="{00000000-0005-0000-0000-00000B780000}"/>
    <cellStyle name="Output 2 7 9 3 2" xfId="24115" xr:uid="{00000000-0005-0000-0000-00000C780000}"/>
    <cellStyle name="Output 2 7 9 3 3" xfId="24119" xr:uid="{00000000-0005-0000-0000-00000D780000}"/>
    <cellStyle name="Output 2 7 9 3 4" xfId="24123" xr:uid="{00000000-0005-0000-0000-00000E780000}"/>
    <cellStyle name="Output 2 7 9 4" xfId="24132" xr:uid="{00000000-0005-0000-0000-00000F780000}"/>
    <cellStyle name="Output 2 7 9 4 2" xfId="24134" xr:uid="{00000000-0005-0000-0000-000010780000}"/>
    <cellStyle name="Output 2 7 9 4 3" xfId="24138" xr:uid="{00000000-0005-0000-0000-000011780000}"/>
    <cellStyle name="Output 2 7 9 5" xfId="24150" xr:uid="{00000000-0005-0000-0000-000012780000}"/>
    <cellStyle name="Output 2 7 9 5 2" xfId="24152" xr:uid="{00000000-0005-0000-0000-000013780000}"/>
    <cellStyle name="Output 2 7 9 5 3" xfId="24156" xr:uid="{00000000-0005-0000-0000-000014780000}"/>
    <cellStyle name="Output 2 7 9 6" xfId="24168" xr:uid="{00000000-0005-0000-0000-000015780000}"/>
    <cellStyle name="Output 2 7 9 7" xfId="29130" xr:uid="{00000000-0005-0000-0000-000016780000}"/>
    <cellStyle name="Output 2 8" xfId="2797" xr:uid="{00000000-0005-0000-0000-000017780000}"/>
    <cellStyle name="Output 2 8 10" xfId="19626" xr:uid="{00000000-0005-0000-0000-000018780000}"/>
    <cellStyle name="Output 2 8 10 2" xfId="3313" xr:uid="{00000000-0005-0000-0000-000019780000}"/>
    <cellStyle name="Output 2 8 10 2 2" xfId="20159" xr:uid="{00000000-0005-0000-0000-00001A780000}"/>
    <cellStyle name="Output 2 8 10 2 3" xfId="20162" xr:uid="{00000000-0005-0000-0000-00001B780000}"/>
    <cellStyle name="Output 2 8 10 2 4" xfId="27447" xr:uid="{00000000-0005-0000-0000-00001C780000}"/>
    <cellStyle name="Output 2 8 10 3" xfId="32724" xr:uid="{00000000-0005-0000-0000-00001D780000}"/>
    <cellStyle name="Output 2 8 10 3 2" xfId="20183" xr:uid="{00000000-0005-0000-0000-00001E780000}"/>
    <cellStyle name="Output 2 8 10 3 3" xfId="20186" xr:uid="{00000000-0005-0000-0000-00001F780000}"/>
    <cellStyle name="Output 2 8 10 3 4" xfId="27452" xr:uid="{00000000-0005-0000-0000-000020780000}"/>
    <cellStyle name="Output 2 8 10 4" xfId="32725" xr:uid="{00000000-0005-0000-0000-000021780000}"/>
    <cellStyle name="Output 2 8 10 4 2" xfId="20204" xr:uid="{00000000-0005-0000-0000-000022780000}"/>
    <cellStyle name="Output 2 8 10 4 3" xfId="20207" xr:uid="{00000000-0005-0000-0000-000023780000}"/>
    <cellStyle name="Output 2 8 10 5" xfId="32726" xr:uid="{00000000-0005-0000-0000-000024780000}"/>
    <cellStyle name="Output 2 8 10 5 2" xfId="20236" xr:uid="{00000000-0005-0000-0000-000025780000}"/>
    <cellStyle name="Output 2 8 10 5 3" xfId="20239" xr:uid="{00000000-0005-0000-0000-000026780000}"/>
    <cellStyle name="Output 2 8 10 6" xfId="32727" xr:uid="{00000000-0005-0000-0000-000027780000}"/>
    <cellStyle name="Output 2 8 10 7" xfId="32728" xr:uid="{00000000-0005-0000-0000-000028780000}"/>
    <cellStyle name="Output 2 8 11" xfId="32729" xr:uid="{00000000-0005-0000-0000-000029780000}"/>
    <cellStyle name="Output 2 8 11 2" xfId="3326" xr:uid="{00000000-0005-0000-0000-00002A780000}"/>
    <cellStyle name="Output 2 8 11 2 2" xfId="32730" xr:uid="{00000000-0005-0000-0000-00002B780000}"/>
    <cellStyle name="Output 2 8 11 2 3" xfId="32731" xr:uid="{00000000-0005-0000-0000-00002C780000}"/>
    <cellStyle name="Output 2 8 11 2 4" xfId="32732" xr:uid="{00000000-0005-0000-0000-00002D780000}"/>
    <cellStyle name="Output 2 8 11 3" xfId="32733" xr:uid="{00000000-0005-0000-0000-00002E780000}"/>
    <cellStyle name="Output 2 8 11 3 2" xfId="32734" xr:uid="{00000000-0005-0000-0000-00002F780000}"/>
    <cellStyle name="Output 2 8 11 3 3" xfId="32735" xr:uid="{00000000-0005-0000-0000-000030780000}"/>
    <cellStyle name="Output 2 8 11 3 4" xfId="32736" xr:uid="{00000000-0005-0000-0000-000031780000}"/>
    <cellStyle name="Output 2 8 11 4" xfId="12912" xr:uid="{00000000-0005-0000-0000-000032780000}"/>
    <cellStyle name="Output 2 8 11 4 2" xfId="32737" xr:uid="{00000000-0005-0000-0000-000033780000}"/>
    <cellStyle name="Output 2 8 11 4 3" xfId="32738" xr:uid="{00000000-0005-0000-0000-000034780000}"/>
    <cellStyle name="Output 2 8 11 5" xfId="12914" xr:uid="{00000000-0005-0000-0000-000035780000}"/>
    <cellStyle name="Output 2 8 11 5 2" xfId="32739" xr:uid="{00000000-0005-0000-0000-000036780000}"/>
    <cellStyle name="Output 2 8 11 5 3" xfId="32740" xr:uid="{00000000-0005-0000-0000-000037780000}"/>
    <cellStyle name="Output 2 8 11 6" xfId="12916" xr:uid="{00000000-0005-0000-0000-000038780000}"/>
    <cellStyle name="Output 2 8 11 7" xfId="32741" xr:uid="{00000000-0005-0000-0000-000039780000}"/>
    <cellStyle name="Output 2 8 12" xfId="32742" xr:uid="{00000000-0005-0000-0000-00003A780000}"/>
    <cellStyle name="Output 2 8 12 2" xfId="32743" xr:uid="{00000000-0005-0000-0000-00003B780000}"/>
    <cellStyle name="Output 2 8 12 2 2" xfId="32744" xr:uid="{00000000-0005-0000-0000-00003C780000}"/>
    <cellStyle name="Output 2 8 12 2 3" xfId="32745" xr:uid="{00000000-0005-0000-0000-00003D780000}"/>
    <cellStyle name="Output 2 8 12 2 4" xfId="32746" xr:uid="{00000000-0005-0000-0000-00003E780000}"/>
    <cellStyle name="Output 2 8 12 3" xfId="32747" xr:uid="{00000000-0005-0000-0000-00003F780000}"/>
    <cellStyle name="Output 2 8 12 3 2" xfId="32748" xr:uid="{00000000-0005-0000-0000-000040780000}"/>
    <cellStyle name="Output 2 8 12 3 3" xfId="32749" xr:uid="{00000000-0005-0000-0000-000041780000}"/>
    <cellStyle name="Output 2 8 12 3 4" xfId="32750" xr:uid="{00000000-0005-0000-0000-000042780000}"/>
    <cellStyle name="Output 2 8 12 4" xfId="12919" xr:uid="{00000000-0005-0000-0000-000043780000}"/>
    <cellStyle name="Output 2 8 12 4 2" xfId="32751" xr:uid="{00000000-0005-0000-0000-000044780000}"/>
    <cellStyle name="Output 2 8 12 4 3" xfId="32752" xr:uid="{00000000-0005-0000-0000-000045780000}"/>
    <cellStyle name="Output 2 8 12 5" xfId="12921" xr:uid="{00000000-0005-0000-0000-000046780000}"/>
    <cellStyle name="Output 2 8 12 5 2" xfId="32753" xr:uid="{00000000-0005-0000-0000-000047780000}"/>
    <cellStyle name="Output 2 8 12 5 3" xfId="32754" xr:uid="{00000000-0005-0000-0000-000048780000}"/>
    <cellStyle name="Output 2 8 12 6" xfId="12923" xr:uid="{00000000-0005-0000-0000-000049780000}"/>
    <cellStyle name="Output 2 8 12 7" xfId="32755" xr:uid="{00000000-0005-0000-0000-00004A780000}"/>
    <cellStyle name="Output 2 8 13" xfId="30990" xr:uid="{00000000-0005-0000-0000-00004B780000}"/>
    <cellStyle name="Output 2 8 13 2" xfId="30992" xr:uid="{00000000-0005-0000-0000-00004C780000}"/>
    <cellStyle name="Output 2 8 13 3" xfId="30994" xr:uid="{00000000-0005-0000-0000-00004D780000}"/>
    <cellStyle name="Output 2 8 13 4" xfId="12927" xr:uid="{00000000-0005-0000-0000-00004E780000}"/>
    <cellStyle name="Output 2 8 14" xfId="30996" xr:uid="{00000000-0005-0000-0000-00004F780000}"/>
    <cellStyle name="Output 2 8 14 2" xfId="30998" xr:uid="{00000000-0005-0000-0000-000050780000}"/>
    <cellStyle name="Output 2 8 14 3" xfId="31000" xr:uid="{00000000-0005-0000-0000-000051780000}"/>
    <cellStyle name="Output 2 8 14 4" xfId="12933" xr:uid="{00000000-0005-0000-0000-000052780000}"/>
    <cellStyle name="Output 2 8 15" xfId="31002" xr:uid="{00000000-0005-0000-0000-000053780000}"/>
    <cellStyle name="Output 2 8 15 2" xfId="31007" xr:uid="{00000000-0005-0000-0000-000054780000}"/>
    <cellStyle name="Output 2 8 15 3" xfId="31011" xr:uid="{00000000-0005-0000-0000-000055780000}"/>
    <cellStyle name="Output 2 8 16" xfId="31014" xr:uid="{00000000-0005-0000-0000-000056780000}"/>
    <cellStyle name="Output 2 8 16 2" xfId="31017" xr:uid="{00000000-0005-0000-0000-000057780000}"/>
    <cellStyle name="Output 2 8 16 3" xfId="31020" xr:uid="{00000000-0005-0000-0000-000058780000}"/>
    <cellStyle name="Output 2 8 17" xfId="31023" xr:uid="{00000000-0005-0000-0000-000059780000}"/>
    <cellStyle name="Output 2 8 17 2" xfId="32757" xr:uid="{00000000-0005-0000-0000-00005A780000}"/>
    <cellStyle name="Output 2 8 17 2 2" xfId="4688" xr:uid="{00000000-0005-0000-0000-00005B780000}"/>
    <cellStyle name="Output 2 8 18" xfId="31026" xr:uid="{00000000-0005-0000-0000-00005C780000}"/>
    <cellStyle name="Output 2 8 19" xfId="32759" xr:uid="{00000000-0005-0000-0000-00005D780000}"/>
    <cellStyle name="Output 2 8 2" xfId="17734" xr:uid="{00000000-0005-0000-0000-00005E780000}"/>
    <cellStyle name="Output 2 8 2 10" xfId="12161" xr:uid="{00000000-0005-0000-0000-00005F780000}"/>
    <cellStyle name="Output 2 8 2 10 2" xfId="32760" xr:uid="{00000000-0005-0000-0000-000060780000}"/>
    <cellStyle name="Output 2 8 2 10 2 2" xfId="32761" xr:uid="{00000000-0005-0000-0000-000061780000}"/>
    <cellStyle name="Output 2 8 2 10 2 3" xfId="32762" xr:uid="{00000000-0005-0000-0000-000062780000}"/>
    <cellStyle name="Output 2 8 2 10 2 4" xfId="32763" xr:uid="{00000000-0005-0000-0000-000063780000}"/>
    <cellStyle name="Output 2 8 2 10 3" xfId="32764" xr:uid="{00000000-0005-0000-0000-000064780000}"/>
    <cellStyle name="Output 2 8 2 10 3 2" xfId="32765" xr:uid="{00000000-0005-0000-0000-000065780000}"/>
    <cellStyle name="Output 2 8 2 10 3 3" xfId="32766" xr:uid="{00000000-0005-0000-0000-000066780000}"/>
    <cellStyle name="Output 2 8 2 10 3 4" xfId="32767" xr:uid="{00000000-0005-0000-0000-000067780000}"/>
    <cellStyle name="Output 2 8 2 10 4" xfId="32768" xr:uid="{00000000-0005-0000-0000-000068780000}"/>
    <cellStyle name="Output 2 8 2 10 4 2" xfId="32340" xr:uid="{00000000-0005-0000-0000-000069780000}"/>
    <cellStyle name="Output 2 8 2 10 4 3" xfId="32769" xr:uid="{00000000-0005-0000-0000-00006A780000}"/>
    <cellStyle name="Output 2 8 2 10 5" xfId="32770" xr:uid="{00000000-0005-0000-0000-00006B780000}"/>
    <cellStyle name="Output 2 8 2 10 5 2" xfId="21826" xr:uid="{00000000-0005-0000-0000-00006C780000}"/>
    <cellStyle name="Output 2 8 2 10 5 3" xfId="27203" xr:uid="{00000000-0005-0000-0000-00006D780000}"/>
    <cellStyle name="Output 2 8 2 10 6" xfId="32771" xr:uid="{00000000-0005-0000-0000-00006E780000}"/>
    <cellStyle name="Output 2 8 2 10 7" xfId="358" xr:uid="{00000000-0005-0000-0000-00006F780000}"/>
    <cellStyle name="Output 2 8 2 11" xfId="1870" xr:uid="{00000000-0005-0000-0000-000070780000}"/>
    <cellStyle name="Output 2 8 2 11 2" xfId="24848" xr:uid="{00000000-0005-0000-0000-000071780000}"/>
    <cellStyle name="Output 2 8 2 11 3" xfId="24850" xr:uid="{00000000-0005-0000-0000-000072780000}"/>
    <cellStyle name="Output 2 8 2 11 4" xfId="32772" xr:uid="{00000000-0005-0000-0000-000073780000}"/>
    <cellStyle name="Output 2 8 2 12" xfId="32773" xr:uid="{00000000-0005-0000-0000-000074780000}"/>
    <cellStyle name="Output 2 8 2 12 2" xfId="9292" xr:uid="{00000000-0005-0000-0000-000075780000}"/>
    <cellStyle name="Output 2 8 2 12 3" xfId="9296" xr:uid="{00000000-0005-0000-0000-000076780000}"/>
    <cellStyle name="Output 2 8 2 12 4" xfId="9299" xr:uid="{00000000-0005-0000-0000-000077780000}"/>
    <cellStyle name="Output 2 8 2 13" xfId="32775" xr:uid="{00000000-0005-0000-0000-000078780000}"/>
    <cellStyle name="Output 2 8 2 13 2" xfId="19592" xr:uid="{00000000-0005-0000-0000-000079780000}"/>
    <cellStyle name="Output 2 8 2 13 3" xfId="19611" xr:uid="{00000000-0005-0000-0000-00007A780000}"/>
    <cellStyle name="Output 2 8 2 14" xfId="11098" xr:uid="{00000000-0005-0000-0000-00007B780000}"/>
    <cellStyle name="Output 2 8 2 14 2" xfId="11102" xr:uid="{00000000-0005-0000-0000-00007C780000}"/>
    <cellStyle name="Output 2 8 2 14 3" xfId="6582" xr:uid="{00000000-0005-0000-0000-00007D780000}"/>
    <cellStyle name="Output 2 8 2 15" xfId="11104" xr:uid="{00000000-0005-0000-0000-00007E780000}"/>
    <cellStyle name="Output 2 8 2 16" xfId="11109" xr:uid="{00000000-0005-0000-0000-00007F780000}"/>
    <cellStyle name="Output 2 8 2 17" xfId="11114" xr:uid="{00000000-0005-0000-0000-000080780000}"/>
    <cellStyle name="Output 2 8 2 2" xfId="17736" xr:uid="{00000000-0005-0000-0000-000081780000}"/>
    <cellStyle name="Output 2 8 2 2 2" xfId="31003" xr:uid="{00000000-0005-0000-0000-000082780000}"/>
    <cellStyle name="Output 2 8 2 2 2 2" xfId="31008" xr:uid="{00000000-0005-0000-0000-000083780000}"/>
    <cellStyle name="Output 2 8 2 2 2 3" xfId="31012" xr:uid="{00000000-0005-0000-0000-000084780000}"/>
    <cellStyle name="Output 2 8 2 2 2 4" xfId="32776" xr:uid="{00000000-0005-0000-0000-000085780000}"/>
    <cellStyle name="Output 2 8 2 2 3" xfId="31015" xr:uid="{00000000-0005-0000-0000-000086780000}"/>
    <cellStyle name="Output 2 8 2 2 3 2" xfId="31018" xr:uid="{00000000-0005-0000-0000-000087780000}"/>
    <cellStyle name="Output 2 8 2 2 3 3" xfId="31021" xr:uid="{00000000-0005-0000-0000-000088780000}"/>
    <cellStyle name="Output 2 8 2 2 3 4" xfId="32778" xr:uid="{00000000-0005-0000-0000-000089780000}"/>
    <cellStyle name="Output 2 8 2 2 4" xfId="31024" xr:uid="{00000000-0005-0000-0000-00008A780000}"/>
    <cellStyle name="Output 2 8 2 2 4 2" xfId="32756" xr:uid="{00000000-0005-0000-0000-00008B780000}"/>
    <cellStyle name="Output 2 8 2 2 4 3" xfId="32779" xr:uid="{00000000-0005-0000-0000-00008C780000}"/>
    <cellStyle name="Output 2 8 2 2 5" xfId="31027" xr:uid="{00000000-0005-0000-0000-00008D780000}"/>
    <cellStyle name="Output 2 8 2 2 5 2" xfId="32780" xr:uid="{00000000-0005-0000-0000-00008E780000}"/>
    <cellStyle name="Output 2 8 2 2 5 3" xfId="32781" xr:uid="{00000000-0005-0000-0000-00008F780000}"/>
    <cellStyle name="Output 2 8 2 2 6" xfId="32758" xr:uid="{00000000-0005-0000-0000-000090780000}"/>
    <cellStyle name="Output 2 8 2 2 7" xfId="32782" xr:uid="{00000000-0005-0000-0000-000091780000}"/>
    <cellStyle name="Output 2 8 2 3" xfId="17738" xr:uid="{00000000-0005-0000-0000-000092780000}"/>
    <cellStyle name="Output 2 8 2 3 2" xfId="24010" xr:uid="{00000000-0005-0000-0000-000093780000}"/>
    <cellStyle name="Output 2 8 2 3 2 2" xfId="26736" xr:uid="{00000000-0005-0000-0000-000094780000}"/>
    <cellStyle name="Output 2 8 2 3 2 3" xfId="26746" xr:uid="{00000000-0005-0000-0000-000095780000}"/>
    <cellStyle name="Output 2 8 2 3 2 4" xfId="26752" xr:uid="{00000000-0005-0000-0000-000096780000}"/>
    <cellStyle name="Output 2 8 2 3 3" xfId="24013" xr:uid="{00000000-0005-0000-0000-000097780000}"/>
    <cellStyle name="Output 2 8 2 3 3 2" xfId="28940" xr:uid="{00000000-0005-0000-0000-000098780000}"/>
    <cellStyle name="Output 2 8 2 3 3 3" xfId="28946" xr:uid="{00000000-0005-0000-0000-000099780000}"/>
    <cellStyle name="Output 2 8 2 3 3 4" xfId="28950" xr:uid="{00000000-0005-0000-0000-00009A780000}"/>
    <cellStyle name="Output 2 8 2 3 4" xfId="31031" xr:uid="{00000000-0005-0000-0000-00009B780000}"/>
    <cellStyle name="Output 2 8 2 3 4 2" xfId="28959" xr:uid="{00000000-0005-0000-0000-00009C780000}"/>
    <cellStyle name="Output 2 8 2 3 4 3" xfId="28964" xr:uid="{00000000-0005-0000-0000-00009D780000}"/>
    <cellStyle name="Output 2 8 2 3 5" xfId="31033" xr:uid="{00000000-0005-0000-0000-00009E780000}"/>
    <cellStyle name="Output 2 8 2 3 5 2" xfId="32783" xr:uid="{00000000-0005-0000-0000-00009F780000}"/>
    <cellStyle name="Output 2 8 2 3 5 3" xfId="23465" xr:uid="{00000000-0005-0000-0000-0000A0780000}"/>
    <cellStyle name="Output 2 8 2 3 6" xfId="181" xr:uid="{00000000-0005-0000-0000-0000A1780000}"/>
    <cellStyle name="Output 2 8 2 3 7" xfId="32784" xr:uid="{00000000-0005-0000-0000-0000A2780000}"/>
    <cellStyle name="Output 2 8 2 4" xfId="17742" xr:uid="{00000000-0005-0000-0000-0000A3780000}"/>
    <cellStyle name="Output 2 8 2 4 2" xfId="24021" xr:uid="{00000000-0005-0000-0000-0000A4780000}"/>
    <cellStyle name="Output 2 8 2 4 2 2" xfId="29062" xr:uid="{00000000-0005-0000-0000-0000A5780000}"/>
    <cellStyle name="Output 2 8 2 4 2 3" xfId="29068" xr:uid="{00000000-0005-0000-0000-0000A6780000}"/>
    <cellStyle name="Output 2 8 2 4 2 4" xfId="29072" xr:uid="{00000000-0005-0000-0000-0000A7780000}"/>
    <cellStyle name="Output 2 8 2 4 3" xfId="24024" xr:uid="{00000000-0005-0000-0000-0000A8780000}"/>
    <cellStyle name="Output 2 8 2 4 3 2" xfId="27896" xr:uid="{00000000-0005-0000-0000-0000A9780000}"/>
    <cellStyle name="Output 2 8 2 4 3 3" xfId="27907" xr:uid="{00000000-0005-0000-0000-0000AA780000}"/>
    <cellStyle name="Output 2 8 2 4 3 4" xfId="27917" xr:uid="{00000000-0005-0000-0000-0000AB780000}"/>
    <cellStyle name="Output 2 8 2 4 4" xfId="31035" xr:uid="{00000000-0005-0000-0000-0000AC780000}"/>
    <cellStyle name="Output 2 8 2 4 4 2" xfId="29083" xr:uid="{00000000-0005-0000-0000-0000AD780000}"/>
    <cellStyle name="Output 2 8 2 4 4 3" xfId="29088" xr:uid="{00000000-0005-0000-0000-0000AE780000}"/>
    <cellStyle name="Output 2 8 2 4 5" xfId="31037" xr:uid="{00000000-0005-0000-0000-0000AF780000}"/>
    <cellStyle name="Output 2 8 2 4 5 2" xfId="32785" xr:uid="{00000000-0005-0000-0000-0000B0780000}"/>
    <cellStyle name="Output 2 8 2 4 5 3" xfId="32786" xr:uid="{00000000-0005-0000-0000-0000B1780000}"/>
    <cellStyle name="Output 2 8 2 4 6" xfId="32787" xr:uid="{00000000-0005-0000-0000-0000B2780000}"/>
    <cellStyle name="Output 2 8 2 4 7" xfId="32788" xr:uid="{00000000-0005-0000-0000-0000B3780000}"/>
    <cellStyle name="Output 2 8 2 5" xfId="30841" xr:uid="{00000000-0005-0000-0000-0000B4780000}"/>
    <cellStyle name="Output 2 8 2 5 2" xfId="24030" xr:uid="{00000000-0005-0000-0000-0000B5780000}"/>
    <cellStyle name="Output 2 8 2 5 2 2" xfId="31043" xr:uid="{00000000-0005-0000-0000-0000B6780000}"/>
    <cellStyle name="Output 2 8 2 5 2 3" xfId="31045" xr:uid="{00000000-0005-0000-0000-0000B7780000}"/>
    <cellStyle name="Output 2 8 2 5 2 4" xfId="32789" xr:uid="{00000000-0005-0000-0000-0000B8780000}"/>
    <cellStyle name="Output 2 8 2 5 3" xfId="31047" xr:uid="{00000000-0005-0000-0000-0000B9780000}"/>
    <cellStyle name="Output 2 8 2 5 3 2" xfId="3254" xr:uid="{00000000-0005-0000-0000-0000BA780000}"/>
    <cellStyle name="Output 2 8 2 5 3 3" xfId="3342" xr:uid="{00000000-0005-0000-0000-0000BB780000}"/>
    <cellStyle name="Output 2 8 2 5 3 4" xfId="3394" xr:uid="{00000000-0005-0000-0000-0000BC780000}"/>
    <cellStyle name="Output 2 8 2 5 4" xfId="31049" xr:uid="{00000000-0005-0000-0000-0000BD780000}"/>
    <cellStyle name="Output 2 8 2 5 4 2" xfId="3690" xr:uid="{00000000-0005-0000-0000-0000BE780000}"/>
    <cellStyle name="Output 2 8 2 5 4 3" xfId="3742" xr:uid="{00000000-0005-0000-0000-0000BF780000}"/>
    <cellStyle name="Output 2 8 2 5 5" xfId="31051" xr:uid="{00000000-0005-0000-0000-0000C0780000}"/>
    <cellStyle name="Output 2 8 2 5 5 2" xfId="2118" xr:uid="{00000000-0005-0000-0000-0000C1780000}"/>
    <cellStyle name="Output 2 8 2 5 5 3" xfId="32790" xr:uid="{00000000-0005-0000-0000-0000C2780000}"/>
    <cellStyle name="Output 2 8 2 5 6" xfId="32791" xr:uid="{00000000-0005-0000-0000-0000C3780000}"/>
    <cellStyle name="Output 2 8 2 5 7" xfId="32792" xr:uid="{00000000-0005-0000-0000-0000C4780000}"/>
    <cellStyle name="Output 2 8 2 6" xfId="7410" xr:uid="{00000000-0005-0000-0000-0000C5780000}"/>
    <cellStyle name="Output 2 8 2 6 2" xfId="7414" xr:uid="{00000000-0005-0000-0000-0000C6780000}"/>
    <cellStyle name="Output 2 8 2 6 2 2" xfId="31059" xr:uid="{00000000-0005-0000-0000-0000C7780000}"/>
    <cellStyle name="Output 2 8 2 6 2 3" xfId="31061" xr:uid="{00000000-0005-0000-0000-0000C8780000}"/>
    <cellStyle name="Output 2 8 2 6 2 4" xfId="32793" xr:uid="{00000000-0005-0000-0000-0000C9780000}"/>
    <cellStyle name="Output 2 8 2 6 3" xfId="3812" xr:uid="{00000000-0005-0000-0000-0000CA780000}"/>
    <cellStyle name="Output 2 8 2 6 3 2" xfId="4413" xr:uid="{00000000-0005-0000-0000-0000CB780000}"/>
    <cellStyle name="Output 2 8 2 6 3 3" xfId="4199" xr:uid="{00000000-0005-0000-0000-0000CC780000}"/>
    <cellStyle name="Output 2 8 2 6 3 4" xfId="4476" xr:uid="{00000000-0005-0000-0000-0000CD780000}"/>
    <cellStyle name="Output 2 8 2 6 4" xfId="3816" xr:uid="{00000000-0005-0000-0000-0000CE780000}"/>
    <cellStyle name="Output 2 8 2 6 4 2" xfId="4697" xr:uid="{00000000-0005-0000-0000-0000CF780000}"/>
    <cellStyle name="Output 2 8 2 6 4 3" xfId="505" xr:uid="{00000000-0005-0000-0000-0000D0780000}"/>
    <cellStyle name="Output 2 8 2 6 5" xfId="3820" xr:uid="{00000000-0005-0000-0000-0000D1780000}"/>
    <cellStyle name="Output 2 8 2 6 5 2" xfId="4794" xr:uid="{00000000-0005-0000-0000-0000D2780000}"/>
    <cellStyle name="Output 2 8 2 6 5 3" xfId="32794" xr:uid="{00000000-0005-0000-0000-0000D3780000}"/>
    <cellStyle name="Output 2 8 2 6 6" xfId="32795" xr:uid="{00000000-0005-0000-0000-0000D4780000}"/>
    <cellStyle name="Output 2 8 2 6 7" xfId="32796" xr:uid="{00000000-0005-0000-0000-0000D5780000}"/>
    <cellStyle name="Output 2 8 2 7" xfId="7417" xr:uid="{00000000-0005-0000-0000-0000D6780000}"/>
    <cellStyle name="Output 2 8 2 7 2" xfId="7422" xr:uid="{00000000-0005-0000-0000-0000D7780000}"/>
    <cellStyle name="Output 2 8 2 7 2 2" xfId="14761" xr:uid="{00000000-0005-0000-0000-0000D8780000}"/>
    <cellStyle name="Output 2 8 2 7 2 3" xfId="14776" xr:uid="{00000000-0005-0000-0000-0000D9780000}"/>
    <cellStyle name="Output 2 8 2 7 2 4" xfId="14798" xr:uid="{00000000-0005-0000-0000-0000DA780000}"/>
    <cellStyle name="Output 2 8 2 7 3" xfId="3827" xr:uid="{00000000-0005-0000-0000-0000DB780000}"/>
    <cellStyle name="Output 2 8 2 7 3 2" xfId="5235" xr:uid="{00000000-0005-0000-0000-0000DC780000}"/>
    <cellStyle name="Output 2 8 2 7 3 3" xfId="5277" xr:uid="{00000000-0005-0000-0000-0000DD780000}"/>
    <cellStyle name="Output 2 8 2 7 3 4" xfId="5308" xr:uid="{00000000-0005-0000-0000-0000DE780000}"/>
    <cellStyle name="Output 2 8 2 7 4" xfId="3834" xr:uid="{00000000-0005-0000-0000-0000DF780000}"/>
    <cellStyle name="Output 2 8 2 7 4 2" xfId="5491" xr:uid="{00000000-0005-0000-0000-0000E0780000}"/>
    <cellStyle name="Output 2 8 2 7 4 3" xfId="5541" xr:uid="{00000000-0005-0000-0000-0000E1780000}"/>
    <cellStyle name="Output 2 8 2 7 5" xfId="3840" xr:uid="{00000000-0005-0000-0000-0000E2780000}"/>
    <cellStyle name="Output 2 8 2 7 5 2" xfId="5611" xr:uid="{00000000-0005-0000-0000-0000E3780000}"/>
    <cellStyle name="Output 2 8 2 7 5 3" xfId="15017" xr:uid="{00000000-0005-0000-0000-0000E4780000}"/>
    <cellStyle name="Output 2 8 2 7 6" xfId="15037" xr:uid="{00000000-0005-0000-0000-0000E5780000}"/>
    <cellStyle name="Output 2 8 2 7 7" xfId="15063" xr:uid="{00000000-0005-0000-0000-0000E6780000}"/>
    <cellStyle name="Output 2 8 2 8" xfId="7428" xr:uid="{00000000-0005-0000-0000-0000E7780000}"/>
    <cellStyle name="Output 2 8 2 8 2" xfId="7435" xr:uid="{00000000-0005-0000-0000-0000E8780000}"/>
    <cellStyle name="Output 2 8 2 8 2 2" xfId="15404" xr:uid="{00000000-0005-0000-0000-0000E9780000}"/>
    <cellStyle name="Output 2 8 2 8 2 3" xfId="15425" xr:uid="{00000000-0005-0000-0000-0000EA780000}"/>
    <cellStyle name="Output 2 8 2 8 2 4" xfId="15451" xr:uid="{00000000-0005-0000-0000-0000EB780000}"/>
    <cellStyle name="Output 2 8 2 8 3" xfId="3850" xr:uid="{00000000-0005-0000-0000-0000EC780000}"/>
    <cellStyle name="Output 2 8 2 8 3 2" xfId="5933" xr:uid="{00000000-0005-0000-0000-0000ED780000}"/>
    <cellStyle name="Output 2 8 2 8 3 3" xfId="5959" xr:uid="{00000000-0005-0000-0000-0000EE780000}"/>
    <cellStyle name="Output 2 8 2 8 3 4" xfId="5978" xr:uid="{00000000-0005-0000-0000-0000EF780000}"/>
    <cellStyle name="Output 2 8 2 8 4" xfId="3860" xr:uid="{00000000-0005-0000-0000-0000F0780000}"/>
    <cellStyle name="Output 2 8 2 8 4 2" xfId="1156" xr:uid="{00000000-0005-0000-0000-0000F1780000}"/>
    <cellStyle name="Output 2 8 2 8 4 3" xfId="1162" xr:uid="{00000000-0005-0000-0000-0000F2780000}"/>
    <cellStyle name="Output 2 8 2 8 5" xfId="15598" xr:uid="{00000000-0005-0000-0000-0000F3780000}"/>
    <cellStyle name="Output 2 8 2 8 5 2" xfId="6215" xr:uid="{00000000-0005-0000-0000-0000F4780000}"/>
    <cellStyle name="Output 2 8 2 8 5 3" xfId="15607" xr:uid="{00000000-0005-0000-0000-0000F5780000}"/>
    <cellStyle name="Output 2 8 2 8 6" xfId="15633" xr:uid="{00000000-0005-0000-0000-0000F6780000}"/>
    <cellStyle name="Output 2 8 2 8 7" xfId="15662" xr:uid="{00000000-0005-0000-0000-0000F7780000}"/>
    <cellStyle name="Output 2 8 2 9" xfId="7439" xr:uid="{00000000-0005-0000-0000-0000F8780000}"/>
    <cellStyle name="Output 2 8 2 9 2" xfId="7446" xr:uid="{00000000-0005-0000-0000-0000F9780000}"/>
    <cellStyle name="Output 2 8 2 9 2 2" xfId="16030" xr:uid="{00000000-0005-0000-0000-0000FA780000}"/>
    <cellStyle name="Output 2 8 2 9 2 3" xfId="16059" xr:uid="{00000000-0005-0000-0000-0000FB780000}"/>
    <cellStyle name="Output 2 8 2 9 2 4" xfId="16088" xr:uid="{00000000-0005-0000-0000-0000FC780000}"/>
    <cellStyle name="Output 2 8 2 9 3" xfId="3872" xr:uid="{00000000-0005-0000-0000-0000FD780000}"/>
    <cellStyle name="Output 2 8 2 9 3 2" xfId="6438" xr:uid="{00000000-0005-0000-0000-0000FE780000}"/>
    <cellStyle name="Output 2 8 2 9 3 3" xfId="6471" xr:uid="{00000000-0005-0000-0000-0000FF780000}"/>
    <cellStyle name="Output 2 8 2 9 3 4" xfId="4284" xr:uid="{00000000-0005-0000-0000-000000790000}"/>
    <cellStyle name="Output 2 8 2 9 4" xfId="3882" xr:uid="{00000000-0005-0000-0000-000001790000}"/>
    <cellStyle name="Output 2 8 2 9 4 2" xfId="6666" xr:uid="{00000000-0005-0000-0000-000002790000}"/>
    <cellStyle name="Output 2 8 2 9 4 3" xfId="6542" xr:uid="{00000000-0005-0000-0000-000003790000}"/>
    <cellStyle name="Output 2 8 2 9 5" xfId="16213" xr:uid="{00000000-0005-0000-0000-000004790000}"/>
    <cellStyle name="Output 2 8 2 9 5 2" xfId="6742" xr:uid="{00000000-0005-0000-0000-000005790000}"/>
    <cellStyle name="Output 2 8 2 9 5 3" xfId="16226" xr:uid="{00000000-0005-0000-0000-000006790000}"/>
    <cellStyle name="Output 2 8 2 9 6" xfId="13220" xr:uid="{00000000-0005-0000-0000-000007790000}"/>
    <cellStyle name="Output 2 8 2 9 7" xfId="13225" xr:uid="{00000000-0005-0000-0000-000008790000}"/>
    <cellStyle name="Output 2 8 20" xfId="31004" xr:uid="{00000000-0005-0000-0000-000009790000}"/>
    <cellStyle name="Output 2 8 3" xfId="17746" xr:uid="{00000000-0005-0000-0000-00000A790000}"/>
    <cellStyle name="Output 2 8 3 10" xfId="18554" xr:uid="{00000000-0005-0000-0000-00000B790000}"/>
    <cellStyle name="Output 2 8 3 10 2" xfId="18556" xr:uid="{00000000-0005-0000-0000-00000C790000}"/>
    <cellStyle name="Output 2 8 3 10 2 2" xfId="8982" xr:uid="{00000000-0005-0000-0000-00000D790000}"/>
    <cellStyle name="Output 2 8 3 10 2 3" xfId="24632" xr:uid="{00000000-0005-0000-0000-00000E790000}"/>
    <cellStyle name="Output 2 8 3 10 2 4" xfId="24634" xr:uid="{00000000-0005-0000-0000-00000F790000}"/>
    <cellStyle name="Output 2 8 3 10 3" xfId="32797" xr:uid="{00000000-0005-0000-0000-000010790000}"/>
    <cellStyle name="Output 2 8 3 10 3 2" xfId="9031" xr:uid="{00000000-0005-0000-0000-000011790000}"/>
    <cellStyle name="Output 2 8 3 10 3 3" xfId="24651" xr:uid="{00000000-0005-0000-0000-000012790000}"/>
    <cellStyle name="Output 2 8 3 10 3 4" xfId="24653" xr:uid="{00000000-0005-0000-0000-000013790000}"/>
    <cellStyle name="Output 2 8 3 10 4" xfId="32798" xr:uid="{00000000-0005-0000-0000-000014790000}"/>
    <cellStyle name="Output 2 8 3 10 4 2" xfId="9098" xr:uid="{00000000-0005-0000-0000-000015790000}"/>
    <cellStyle name="Output 2 8 3 10 4 3" xfId="24662" xr:uid="{00000000-0005-0000-0000-000016790000}"/>
    <cellStyle name="Output 2 8 3 10 5" xfId="16858" xr:uid="{00000000-0005-0000-0000-000017790000}"/>
    <cellStyle name="Output 2 8 3 10 5 2" xfId="12030" xr:uid="{00000000-0005-0000-0000-000018790000}"/>
    <cellStyle name="Output 2 8 3 10 5 3" xfId="12034" xr:uid="{00000000-0005-0000-0000-000019790000}"/>
    <cellStyle name="Output 2 8 3 10 6" xfId="16860" xr:uid="{00000000-0005-0000-0000-00001A790000}"/>
    <cellStyle name="Output 2 8 3 10 7" xfId="16864" xr:uid="{00000000-0005-0000-0000-00001B790000}"/>
    <cellStyle name="Output 2 8 3 11" xfId="18558" xr:uid="{00000000-0005-0000-0000-00001C790000}"/>
    <cellStyle name="Output 2 8 3 11 2" xfId="32799" xr:uid="{00000000-0005-0000-0000-00001D790000}"/>
    <cellStyle name="Output 2 8 3 11 3" xfId="32800" xr:uid="{00000000-0005-0000-0000-00001E790000}"/>
    <cellStyle name="Output 2 8 3 11 4" xfId="32801" xr:uid="{00000000-0005-0000-0000-00001F790000}"/>
    <cellStyle name="Output 2 8 3 12" xfId="32802" xr:uid="{00000000-0005-0000-0000-000020790000}"/>
    <cellStyle name="Output 2 8 3 12 2" xfId="10242" xr:uid="{00000000-0005-0000-0000-000021790000}"/>
    <cellStyle name="Output 2 8 3 12 3" xfId="10245" xr:uid="{00000000-0005-0000-0000-000022790000}"/>
    <cellStyle name="Output 2 8 3 12 4" xfId="22450" xr:uid="{00000000-0005-0000-0000-000023790000}"/>
    <cellStyle name="Output 2 8 3 13" xfId="32803" xr:uid="{00000000-0005-0000-0000-000024790000}"/>
    <cellStyle name="Output 2 8 3 13 2" xfId="22619" xr:uid="{00000000-0005-0000-0000-000025790000}"/>
    <cellStyle name="Output 2 8 3 13 3" xfId="22638" xr:uid="{00000000-0005-0000-0000-000026790000}"/>
    <cellStyle name="Output 2 8 3 14" xfId="11210" xr:uid="{00000000-0005-0000-0000-000027790000}"/>
    <cellStyle name="Output 2 8 3 14 2" xfId="11213" xr:uid="{00000000-0005-0000-0000-000028790000}"/>
    <cellStyle name="Output 2 8 3 14 3" xfId="6710" xr:uid="{00000000-0005-0000-0000-000029790000}"/>
    <cellStyle name="Output 2 8 3 15" xfId="11217" xr:uid="{00000000-0005-0000-0000-00002A790000}"/>
    <cellStyle name="Output 2 8 3 16" xfId="11224" xr:uid="{00000000-0005-0000-0000-00002B790000}"/>
    <cellStyle name="Output 2 8 3 2" xfId="17748" xr:uid="{00000000-0005-0000-0000-00002C790000}"/>
    <cellStyle name="Output 2 8 3 2 2" xfId="31135" xr:uid="{00000000-0005-0000-0000-00002D790000}"/>
    <cellStyle name="Output 2 8 3 2 2 2" xfId="31137" xr:uid="{00000000-0005-0000-0000-00002E790000}"/>
    <cellStyle name="Output 2 8 3 2 2 3" xfId="31139" xr:uid="{00000000-0005-0000-0000-00002F790000}"/>
    <cellStyle name="Output 2 8 3 2 2 4" xfId="32804" xr:uid="{00000000-0005-0000-0000-000030790000}"/>
    <cellStyle name="Output 2 8 3 2 3" xfId="31141" xr:uid="{00000000-0005-0000-0000-000031790000}"/>
    <cellStyle name="Output 2 8 3 2 3 2" xfId="31143" xr:uid="{00000000-0005-0000-0000-000032790000}"/>
    <cellStyle name="Output 2 8 3 2 3 3" xfId="31145" xr:uid="{00000000-0005-0000-0000-000033790000}"/>
    <cellStyle name="Output 2 8 3 2 3 4" xfId="32805" xr:uid="{00000000-0005-0000-0000-000034790000}"/>
    <cellStyle name="Output 2 8 3 2 4" xfId="22276" xr:uid="{00000000-0005-0000-0000-000035790000}"/>
    <cellStyle name="Output 2 8 3 2 4 2" xfId="22278" xr:uid="{00000000-0005-0000-0000-000036790000}"/>
    <cellStyle name="Output 2 8 3 2 4 3" xfId="32806" xr:uid="{00000000-0005-0000-0000-000037790000}"/>
    <cellStyle name="Output 2 8 3 2 5" xfId="31147" xr:uid="{00000000-0005-0000-0000-000038790000}"/>
    <cellStyle name="Output 2 8 3 2 5 2" xfId="32808" xr:uid="{00000000-0005-0000-0000-000039790000}"/>
    <cellStyle name="Output 2 8 3 2 5 3" xfId="2813" xr:uid="{00000000-0005-0000-0000-00003A790000}"/>
    <cellStyle name="Output 2 8 3 2 6" xfId="32809" xr:uid="{00000000-0005-0000-0000-00003B790000}"/>
    <cellStyle name="Output 2 8 3 2 7" xfId="32810" xr:uid="{00000000-0005-0000-0000-00003C790000}"/>
    <cellStyle name="Output 2 8 3 3" xfId="17750" xr:uid="{00000000-0005-0000-0000-00003D790000}"/>
    <cellStyle name="Output 2 8 3 3 2" xfId="31151" xr:uid="{00000000-0005-0000-0000-00003E790000}"/>
    <cellStyle name="Output 2 8 3 3 2 2" xfId="27816" xr:uid="{00000000-0005-0000-0000-00003F790000}"/>
    <cellStyle name="Output 2 8 3 3 2 3" xfId="27842" xr:uid="{00000000-0005-0000-0000-000040790000}"/>
    <cellStyle name="Output 2 8 3 3 2 4" xfId="28976" xr:uid="{00000000-0005-0000-0000-000041790000}"/>
    <cellStyle name="Output 2 8 3 3 3" xfId="31153" xr:uid="{00000000-0005-0000-0000-000042790000}"/>
    <cellStyle name="Output 2 8 3 3 3 2" xfId="28286" xr:uid="{00000000-0005-0000-0000-000043790000}"/>
    <cellStyle name="Output 2 8 3 3 3 3" xfId="28308" xr:uid="{00000000-0005-0000-0000-000044790000}"/>
    <cellStyle name="Output 2 8 3 3 3 4" xfId="29338" xr:uid="{00000000-0005-0000-0000-000045790000}"/>
    <cellStyle name="Output 2 8 3 3 4" xfId="31155" xr:uid="{00000000-0005-0000-0000-000046790000}"/>
    <cellStyle name="Output 2 8 3 3 4 2" xfId="28769" xr:uid="{00000000-0005-0000-0000-000047790000}"/>
    <cellStyle name="Output 2 8 3 3 4 3" xfId="28787" xr:uid="{00000000-0005-0000-0000-000048790000}"/>
    <cellStyle name="Output 2 8 3 3 5" xfId="31157" xr:uid="{00000000-0005-0000-0000-000049790000}"/>
    <cellStyle name="Output 2 8 3 3 5 2" xfId="29201" xr:uid="{00000000-0005-0000-0000-00004A790000}"/>
    <cellStyle name="Output 2 8 3 3 5 3" xfId="29219" xr:uid="{00000000-0005-0000-0000-00004B790000}"/>
    <cellStyle name="Output 2 8 3 3 6" xfId="32811" xr:uid="{00000000-0005-0000-0000-00004C790000}"/>
    <cellStyle name="Output 2 8 3 3 7" xfId="32812" xr:uid="{00000000-0005-0000-0000-00004D790000}"/>
    <cellStyle name="Output 2 8 3 4" xfId="30846" xr:uid="{00000000-0005-0000-0000-00004E790000}"/>
    <cellStyle name="Output 2 8 3 4 2" xfId="31161" xr:uid="{00000000-0005-0000-0000-00004F790000}"/>
    <cellStyle name="Output 2 8 3 4 2 2" xfId="18031" xr:uid="{00000000-0005-0000-0000-000050790000}"/>
    <cellStyle name="Output 2 8 3 4 2 3" xfId="18068" xr:uid="{00000000-0005-0000-0000-000051790000}"/>
    <cellStyle name="Output 2 8 3 4 2 4" xfId="18112" xr:uid="{00000000-0005-0000-0000-000052790000}"/>
    <cellStyle name="Output 2 8 3 4 3" xfId="31163" xr:uid="{00000000-0005-0000-0000-000053790000}"/>
    <cellStyle name="Output 2 8 3 4 3 2" xfId="18239" xr:uid="{00000000-0005-0000-0000-000054790000}"/>
    <cellStyle name="Output 2 8 3 4 3 3" xfId="18251" xr:uid="{00000000-0005-0000-0000-000055790000}"/>
    <cellStyle name="Output 2 8 3 4 3 4" xfId="18256" xr:uid="{00000000-0005-0000-0000-000056790000}"/>
    <cellStyle name="Output 2 8 3 4 4" xfId="31165" xr:uid="{00000000-0005-0000-0000-000057790000}"/>
    <cellStyle name="Output 2 8 3 4 4 2" xfId="18288" xr:uid="{00000000-0005-0000-0000-000058790000}"/>
    <cellStyle name="Output 2 8 3 4 4 3" xfId="18298" xr:uid="{00000000-0005-0000-0000-000059790000}"/>
    <cellStyle name="Output 2 8 3 4 5" xfId="31167" xr:uid="{00000000-0005-0000-0000-00005A790000}"/>
    <cellStyle name="Output 2 8 3 4 5 2" xfId="18343" xr:uid="{00000000-0005-0000-0000-00005B790000}"/>
    <cellStyle name="Output 2 8 3 4 5 3" xfId="18353" xr:uid="{00000000-0005-0000-0000-00005C790000}"/>
    <cellStyle name="Output 2 8 3 4 6" xfId="32813" xr:uid="{00000000-0005-0000-0000-00005D790000}"/>
    <cellStyle name="Output 2 8 3 4 7" xfId="32814" xr:uid="{00000000-0005-0000-0000-00005E790000}"/>
    <cellStyle name="Output 2 8 3 5" xfId="30849" xr:uid="{00000000-0005-0000-0000-00005F790000}"/>
    <cellStyle name="Output 2 8 3 5 2" xfId="31174" xr:uid="{00000000-0005-0000-0000-000060790000}"/>
    <cellStyle name="Output 2 8 3 5 2 2" xfId="31176" xr:uid="{00000000-0005-0000-0000-000061790000}"/>
    <cellStyle name="Output 2 8 3 5 2 3" xfId="31178" xr:uid="{00000000-0005-0000-0000-000062790000}"/>
    <cellStyle name="Output 2 8 3 5 2 4" xfId="32815" xr:uid="{00000000-0005-0000-0000-000063790000}"/>
    <cellStyle name="Output 2 8 3 5 3" xfId="31180" xr:uid="{00000000-0005-0000-0000-000064790000}"/>
    <cellStyle name="Output 2 8 3 5 3 2" xfId="31182" xr:uid="{00000000-0005-0000-0000-000065790000}"/>
    <cellStyle name="Output 2 8 3 5 3 3" xfId="31184" xr:uid="{00000000-0005-0000-0000-000066790000}"/>
    <cellStyle name="Output 2 8 3 5 3 4" xfId="2467" xr:uid="{00000000-0005-0000-0000-000067790000}"/>
    <cellStyle name="Output 2 8 3 5 4" xfId="31186" xr:uid="{00000000-0005-0000-0000-000068790000}"/>
    <cellStyle name="Output 2 8 3 5 4 2" xfId="32816" xr:uid="{00000000-0005-0000-0000-000069790000}"/>
    <cellStyle name="Output 2 8 3 5 4 3" xfId="32817" xr:uid="{00000000-0005-0000-0000-00006A790000}"/>
    <cellStyle name="Output 2 8 3 5 5" xfId="31188" xr:uid="{00000000-0005-0000-0000-00006B790000}"/>
    <cellStyle name="Output 2 8 3 5 5 2" xfId="32818" xr:uid="{00000000-0005-0000-0000-00006C790000}"/>
    <cellStyle name="Output 2 8 3 5 5 3" xfId="32819" xr:uid="{00000000-0005-0000-0000-00006D790000}"/>
    <cellStyle name="Output 2 8 3 5 6" xfId="32820" xr:uid="{00000000-0005-0000-0000-00006E790000}"/>
    <cellStyle name="Output 2 8 3 5 7" xfId="32821" xr:uid="{00000000-0005-0000-0000-00006F790000}"/>
    <cellStyle name="Output 2 8 3 6" xfId="7471" xr:uid="{00000000-0005-0000-0000-000070790000}"/>
    <cellStyle name="Output 2 8 3 6 2" xfId="7474" xr:uid="{00000000-0005-0000-0000-000071790000}"/>
    <cellStyle name="Output 2 8 3 6 2 2" xfId="31197" xr:uid="{00000000-0005-0000-0000-000072790000}"/>
    <cellStyle name="Output 2 8 3 6 2 3" xfId="31199" xr:uid="{00000000-0005-0000-0000-000073790000}"/>
    <cellStyle name="Output 2 8 3 6 2 4" xfId="32822" xr:uid="{00000000-0005-0000-0000-000074790000}"/>
    <cellStyle name="Output 2 8 3 6 3" xfId="7477" xr:uid="{00000000-0005-0000-0000-000075790000}"/>
    <cellStyle name="Output 2 8 3 6 3 2" xfId="31201" xr:uid="{00000000-0005-0000-0000-000076790000}"/>
    <cellStyle name="Output 2 8 3 6 3 3" xfId="14065" xr:uid="{00000000-0005-0000-0000-000077790000}"/>
    <cellStyle name="Output 2 8 3 6 3 4" xfId="14069" xr:uid="{00000000-0005-0000-0000-000078790000}"/>
    <cellStyle name="Output 2 8 3 6 4" xfId="7481" xr:uid="{00000000-0005-0000-0000-000079790000}"/>
    <cellStyle name="Output 2 8 3 6 4 2" xfId="32823" xr:uid="{00000000-0005-0000-0000-00007A790000}"/>
    <cellStyle name="Output 2 8 3 6 4 3" xfId="32824" xr:uid="{00000000-0005-0000-0000-00007B790000}"/>
    <cellStyle name="Output 2 8 3 6 5" xfId="31203" xr:uid="{00000000-0005-0000-0000-00007C790000}"/>
    <cellStyle name="Output 2 8 3 6 5 2" xfId="32825" xr:uid="{00000000-0005-0000-0000-00007D790000}"/>
    <cellStyle name="Output 2 8 3 6 5 3" xfId="32826" xr:uid="{00000000-0005-0000-0000-00007E790000}"/>
    <cellStyle name="Output 2 8 3 6 6" xfId="32827" xr:uid="{00000000-0005-0000-0000-00007F790000}"/>
    <cellStyle name="Output 2 8 3 6 7" xfId="32828" xr:uid="{00000000-0005-0000-0000-000080790000}"/>
    <cellStyle name="Output 2 8 3 7" xfId="7484" xr:uid="{00000000-0005-0000-0000-000081790000}"/>
    <cellStyle name="Output 2 8 3 7 2" xfId="7488" xr:uid="{00000000-0005-0000-0000-000082790000}"/>
    <cellStyle name="Output 2 8 3 7 2 2" xfId="31212" xr:uid="{00000000-0005-0000-0000-000083790000}"/>
    <cellStyle name="Output 2 8 3 7 2 3" xfId="31214" xr:uid="{00000000-0005-0000-0000-000084790000}"/>
    <cellStyle name="Output 2 8 3 7 2 4" xfId="32829" xr:uid="{00000000-0005-0000-0000-000085790000}"/>
    <cellStyle name="Output 2 8 3 7 3" xfId="7492" xr:uid="{00000000-0005-0000-0000-000086790000}"/>
    <cellStyle name="Output 2 8 3 7 3 2" xfId="31216" xr:uid="{00000000-0005-0000-0000-000087790000}"/>
    <cellStyle name="Output 2 8 3 7 3 3" xfId="31218" xr:uid="{00000000-0005-0000-0000-000088790000}"/>
    <cellStyle name="Output 2 8 3 7 3 4" xfId="32830" xr:uid="{00000000-0005-0000-0000-000089790000}"/>
    <cellStyle name="Output 2 8 3 7 4" xfId="7497" xr:uid="{00000000-0005-0000-0000-00008A790000}"/>
    <cellStyle name="Output 2 8 3 7 4 2" xfId="32831" xr:uid="{00000000-0005-0000-0000-00008B790000}"/>
    <cellStyle name="Output 2 8 3 7 4 3" xfId="32832" xr:uid="{00000000-0005-0000-0000-00008C790000}"/>
    <cellStyle name="Output 2 8 3 7 5" xfId="31220" xr:uid="{00000000-0005-0000-0000-00008D790000}"/>
    <cellStyle name="Output 2 8 3 7 5 2" xfId="32834" xr:uid="{00000000-0005-0000-0000-00008E790000}"/>
    <cellStyle name="Output 2 8 3 7 5 3" xfId="32836" xr:uid="{00000000-0005-0000-0000-00008F790000}"/>
    <cellStyle name="Output 2 8 3 7 6" xfId="32837" xr:uid="{00000000-0005-0000-0000-000090790000}"/>
    <cellStyle name="Output 2 8 3 7 7" xfId="32838" xr:uid="{00000000-0005-0000-0000-000091790000}"/>
    <cellStyle name="Output 2 8 3 8" xfId="7501" xr:uid="{00000000-0005-0000-0000-000092790000}"/>
    <cellStyle name="Output 2 8 3 8 2" xfId="7506" xr:uid="{00000000-0005-0000-0000-000093790000}"/>
    <cellStyle name="Output 2 8 3 8 2 2" xfId="29360" xr:uid="{00000000-0005-0000-0000-000094790000}"/>
    <cellStyle name="Output 2 8 3 8 2 3" xfId="29365" xr:uid="{00000000-0005-0000-0000-000095790000}"/>
    <cellStyle name="Output 2 8 3 8 2 4" xfId="29367" xr:uid="{00000000-0005-0000-0000-000096790000}"/>
    <cellStyle name="Output 2 8 3 8 3" xfId="7511" xr:uid="{00000000-0005-0000-0000-000097790000}"/>
    <cellStyle name="Output 2 8 3 8 3 2" xfId="31229" xr:uid="{00000000-0005-0000-0000-000098790000}"/>
    <cellStyle name="Output 2 8 3 8 3 3" xfId="31231" xr:uid="{00000000-0005-0000-0000-000099790000}"/>
    <cellStyle name="Output 2 8 3 8 3 4" xfId="32839" xr:uid="{00000000-0005-0000-0000-00009A790000}"/>
    <cellStyle name="Output 2 8 3 8 4" xfId="29398" xr:uid="{00000000-0005-0000-0000-00009B790000}"/>
    <cellStyle name="Output 2 8 3 8 4 2" xfId="32840" xr:uid="{00000000-0005-0000-0000-00009C790000}"/>
    <cellStyle name="Output 2 8 3 8 4 3" xfId="32841" xr:uid="{00000000-0005-0000-0000-00009D790000}"/>
    <cellStyle name="Output 2 8 3 8 5" xfId="29402" xr:uid="{00000000-0005-0000-0000-00009E790000}"/>
    <cellStyle name="Output 2 8 3 8 5 2" xfId="32842" xr:uid="{00000000-0005-0000-0000-00009F790000}"/>
    <cellStyle name="Output 2 8 3 8 5 3" xfId="32843" xr:uid="{00000000-0005-0000-0000-0000A0790000}"/>
    <cellStyle name="Output 2 8 3 8 6" xfId="32844" xr:uid="{00000000-0005-0000-0000-0000A1790000}"/>
    <cellStyle name="Output 2 8 3 8 7" xfId="32845" xr:uid="{00000000-0005-0000-0000-0000A2790000}"/>
    <cellStyle name="Output 2 8 3 9" xfId="7515" xr:uid="{00000000-0005-0000-0000-0000A3790000}"/>
    <cellStyle name="Output 2 8 3 9 2" xfId="7519" xr:uid="{00000000-0005-0000-0000-0000A4790000}"/>
    <cellStyle name="Output 2 8 3 9 2 2" xfId="32846" xr:uid="{00000000-0005-0000-0000-0000A5790000}"/>
    <cellStyle name="Output 2 8 3 9 2 3" xfId="32847" xr:uid="{00000000-0005-0000-0000-0000A6790000}"/>
    <cellStyle name="Output 2 8 3 9 2 4" xfId="32848" xr:uid="{00000000-0005-0000-0000-0000A7790000}"/>
    <cellStyle name="Output 2 8 3 9 3" xfId="7523" xr:uid="{00000000-0005-0000-0000-0000A8790000}"/>
    <cellStyle name="Output 2 8 3 9 3 2" xfId="32849" xr:uid="{00000000-0005-0000-0000-0000A9790000}"/>
    <cellStyle name="Output 2 8 3 9 3 3" xfId="32850" xr:uid="{00000000-0005-0000-0000-0000AA790000}"/>
    <cellStyle name="Output 2 8 3 9 3 4" xfId="14347" xr:uid="{00000000-0005-0000-0000-0000AB790000}"/>
    <cellStyle name="Output 2 8 3 9 4" xfId="29406" xr:uid="{00000000-0005-0000-0000-0000AC790000}"/>
    <cellStyle name="Output 2 8 3 9 4 2" xfId="32851" xr:uid="{00000000-0005-0000-0000-0000AD790000}"/>
    <cellStyle name="Output 2 8 3 9 4 3" xfId="32852" xr:uid="{00000000-0005-0000-0000-0000AE790000}"/>
    <cellStyle name="Output 2 8 3 9 5" xfId="29408" xr:uid="{00000000-0005-0000-0000-0000AF790000}"/>
    <cellStyle name="Output 2 8 3 9 5 2" xfId="32853" xr:uid="{00000000-0005-0000-0000-0000B0790000}"/>
    <cellStyle name="Output 2 8 3 9 5 3" xfId="32221" xr:uid="{00000000-0005-0000-0000-0000B1790000}"/>
    <cellStyle name="Output 2 8 3 9 6" xfId="13274" xr:uid="{00000000-0005-0000-0000-0000B2790000}"/>
    <cellStyle name="Output 2 8 3 9 7" xfId="13276" xr:uid="{00000000-0005-0000-0000-0000B3790000}"/>
    <cellStyle name="Output 2 8 4" xfId="17753" xr:uid="{00000000-0005-0000-0000-0000B4790000}"/>
    <cellStyle name="Output 2 8 4 2" xfId="17755" xr:uid="{00000000-0005-0000-0000-0000B5790000}"/>
    <cellStyle name="Output 2 8 4 2 2" xfId="31240" xr:uid="{00000000-0005-0000-0000-0000B6790000}"/>
    <cellStyle name="Output 2 8 4 2 3" xfId="32854" xr:uid="{00000000-0005-0000-0000-0000B7790000}"/>
    <cellStyle name="Output 2 8 4 2 4" xfId="32855" xr:uid="{00000000-0005-0000-0000-0000B8790000}"/>
    <cellStyle name="Output 2 8 4 3" xfId="17757" xr:uid="{00000000-0005-0000-0000-0000B9790000}"/>
    <cellStyle name="Output 2 8 4 3 2" xfId="32856" xr:uid="{00000000-0005-0000-0000-0000BA790000}"/>
    <cellStyle name="Output 2 8 4 3 3" xfId="32857" xr:uid="{00000000-0005-0000-0000-0000BB790000}"/>
    <cellStyle name="Output 2 8 4 3 4" xfId="32858" xr:uid="{00000000-0005-0000-0000-0000BC790000}"/>
    <cellStyle name="Output 2 8 4 4" xfId="30852" xr:uid="{00000000-0005-0000-0000-0000BD790000}"/>
    <cellStyle name="Output 2 8 4 4 2" xfId="32859" xr:uid="{00000000-0005-0000-0000-0000BE790000}"/>
    <cellStyle name="Output 2 8 4 4 3" xfId="32860" xr:uid="{00000000-0005-0000-0000-0000BF790000}"/>
    <cellStyle name="Output 2 8 4 5" xfId="30854" xr:uid="{00000000-0005-0000-0000-0000C0790000}"/>
    <cellStyle name="Output 2 8 4 5 2" xfId="32861" xr:uid="{00000000-0005-0000-0000-0000C1790000}"/>
    <cellStyle name="Output 2 8 4 5 3" xfId="32862" xr:uid="{00000000-0005-0000-0000-0000C2790000}"/>
    <cellStyle name="Output 2 8 4 6" xfId="32701" xr:uid="{00000000-0005-0000-0000-0000C3790000}"/>
    <cellStyle name="Output 2 8 4 7" xfId="32703" xr:uid="{00000000-0005-0000-0000-0000C4790000}"/>
    <cellStyle name="Output 2 8 5" xfId="17760" xr:uid="{00000000-0005-0000-0000-0000C5790000}"/>
    <cellStyle name="Output 2 8 5 2" xfId="8559" xr:uid="{00000000-0005-0000-0000-0000C6790000}"/>
    <cellStyle name="Output 2 8 5 2 2" xfId="8562" xr:uid="{00000000-0005-0000-0000-0000C7790000}"/>
    <cellStyle name="Output 2 8 5 2 3" xfId="8565" xr:uid="{00000000-0005-0000-0000-0000C8790000}"/>
    <cellStyle name="Output 2 8 5 2 4" xfId="8568" xr:uid="{00000000-0005-0000-0000-0000C9790000}"/>
    <cellStyle name="Output 2 8 5 3" xfId="8579" xr:uid="{00000000-0005-0000-0000-0000CA790000}"/>
    <cellStyle name="Output 2 8 5 3 2" xfId="2229" xr:uid="{00000000-0005-0000-0000-0000CB790000}"/>
    <cellStyle name="Output 2 8 5 3 3" xfId="2232" xr:uid="{00000000-0005-0000-0000-0000CC790000}"/>
    <cellStyle name="Output 2 8 5 3 4" xfId="2244" xr:uid="{00000000-0005-0000-0000-0000CD790000}"/>
    <cellStyle name="Output 2 8 5 4" xfId="32863" xr:uid="{00000000-0005-0000-0000-0000CE790000}"/>
    <cellStyle name="Output 2 8 5 4 2" xfId="32864" xr:uid="{00000000-0005-0000-0000-0000CF790000}"/>
    <cellStyle name="Output 2 8 5 4 3" xfId="32865" xr:uid="{00000000-0005-0000-0000-0000D0790000}"/>
    <cellStyle name="Output 2 8 5 5" xfId="32866" xr:uid="{00000000-0005-0000-0000-0000D1790000}"/>
    <cellStyle name="Output 2 8 5 5 2" xfId="32867" xr:uid="{00000000-0005-0000-0000-0000D2790000}"/>
    <cellStyle name="Output 2 8 5 5 3" xfId="32868" xr:uid="{00000000-0005-0000-0000-0000D3790000}"/>
    <cellStyle name="Output 2 8 5 6" xfId="32706" xr:uid="{00000000-0005-0000-0000-0000D4790000}"/>
    <cellStyle name="Output 2 8 5 7" xfId="32708" xr:uid="{00000000-0005-0000-0000-0000D5790000}"/>
    <cellStyle name="Output 2 8 6" xfId="17762" xr:uid="{00000000-0005-0000-0000-0000D6790000}"/>
    <cellStyle name="Output 2 8 6 2" xfId="8803" xr:uid="{00000000-0005-0000-0000-0000D7790000}"/>
    <cellStyle name="Output 2 8 6 2 2" xfId="8806" xr:uid="{00000000-0005-0000-0000-0000D8790000}"/>
    <cellStyle name="Output 2 8 6 2 3" xfId="8811" xr:uid="{00000000-0005-0000-0000-0000D9790000}"/>
    <cellStyle name="Output 2 8 6 2 4" xfId="8816" xr:uid="{00000000-0005-0000-0000-0000DA790000}"/>
    <cellStyle name="Output 2 8 6 3" xfId="8821" xr:uid="{00000000-0005-0000-0000-0000DB790000}"/>
    <cellStyle name="Output 2 8 6 3 2" xfId="2347" xr:uid="{00000000-0005-0000-0000-0000DC790000}"/>
    <cellStyle name="Output 2 8 6 3 3" xfId="2350" xr:uid="{00000000-0005-0000-0000-0000DD790000}"/>
    <cellStyle name="Output 2 8 6 3 4" xfId="2354" xr:uid="{00000000-0005-0000-0000-0000DE790000}"/>
    <cellStyle name="Output 2 8 6 4" xfId="32869" xr:uid="{00000000-0005-0000-0000-0000DF790000}"/>
    <cellStyle name="Output 2 8 6 4 2" xfId="32870" xr:uid="{00000000-0005-0000-0000-0000E0790000}"/>
    <cellStyle name="Output 2 8 6 4 3" xfId="32871" xr:uid="{00000000-0005-0000-0000-0000E1790000}"/>
    <cellStyle name="Output 2 8 6 5" xfId="32872" xr:uid="{00000000-0005-0000-0000-0000E2790000}"/>
    <cellStyle name="Output 2 8 6 5 2" xfId="32873" xr:uid="{00000000-0005-0000-0000-0000E3790000}"/>
    <cellStyle name="Output 2 8 6 5 3" xfId="32874" xr:uid="{00000000-0005-0000-0000-0000E4790000}"/>
    <cellStyle name="Output 2 8 6 6" xfId="32875" xr:uid="{00000000-0005-0000-0000-0000E5790000}"/>
    <cellStyle name="Output 2 8 6 7" xfId="32877" xr:uid="{00000000-0005-0000-0000-0000E6790000}"/>
    <cellStyle name="Output 2 8 7" xfId="32878" xr:uid="{00000000-0005-0000-0000-0000E7790000}"/>
    <cellStyle name="Output 2 8 7 2" xfId="8887" xr:uid="{00000000-0005-0000-0000-0000E8790000}"/>
    <cellStyle name="Output 2 8 7 2 2" xfId="31265" xr:uid="{00000000-0005-0000-0000-0000E9790000}"/>
    <cellStyle name="Output 2 8 7 2 3" xfId="32879" xr:uid="{00000000-0005-0000-0000-0000EA790000}"/>
    <cellStyle name="Output 2 8 7 2 4" xfId="32880" xr:uid="{00000000-0005-0000-0000-0000EB790000}"/>
    <cellStyle name="Output 2 8 7 3" xfId="32881" xr:uid="{00000000-0005-0000-0000-0000EC790000}"/>
    <cellStyle name="Output 2 8 7 3 2" xfId="2441" xr:uid="{00000000-0005-0000-0000-0000ED790000}"/>
    <cellStyle name="Output 2 8 7 3 3" xfId="2443" xr:uid="{00000000-0005-0000-0000-0000EE790000}"/>
    <cellStyle name="Output 2 8 7 3 4" xfId="297" xr:uid="{00000000-0005-0000-0000-0000EF790000}"/>
    <cellStyle name="Output 2 8 7 4" xfId="32882" xr:uid="{00000000-0005-0000-0000-0000F0790000}"/>
    <cellStyle name="Output 2 8 7 4 2" xfId="30432" xr:uid="{00000000-0005-0000-0000-0000F1790000}"/>
    <cellStyle name="Output 2 8 7 4 3" xfId="32883" xr:uid="{00000000-0005-0000-0000-0000F2790000}"/>
    <cellStyle name="Output 2 8 7 5" xfId="32884" xr:uid="{00000000-0005-0000-0000-0000F3790000}"/>
    <cellStyle name="Output 2 8 7 5 2" xfId="22907" xr:uid="{00000000-0005-0000-0000-0000F4790000}"/>
    <cellStyle name="Output 2 8 7 5 3" xfId="22909" xr:uid="{00000000-0005-0000-0000-0000F5790000}"/>
    <cellStyle name="Output 2 8 7 6" xfId="32885" xr:uid="{00000000-0005-0000-0000-0000F6790000}"/>
    <cellStyle name="Output 2 8 7 7" xfId="30958" xr:uid="{00000000-0005-0000-0000-0000F7790000}"/>
    <cellStyle name="Output 2 8 8" xfId="32886" xr:uid="{00000000-0005-0000-0000-0000F8790000}"/>
    <cellStyle name="Output 2 8 8 2" xfId="8924" xr:uid="{00000000-0005-0000-0000-0000F9790000}"/>
    <cellStyle name="Output 2 8 8 2 2" xfId="24442" xr:uid="{00000000-0005-0000-0000-0000FA790000}"/>
    <cellStyle name="Output 2 8 8 2 3" xfId="24445" xr:uid="{00000000-0005-0000-0000-0000FB790000}"/>
    <cellStyle name="Output 2 8 8 2 4" xfId="22846" xr:uid="{00000000-0005-0000-0000-0000FC790000}"/>
    <cellStyle name="Output 2 8 8 3" xfId="24450" xr:uid="{00000000-0005-0000-0000-0000FD790000}"/>
    <cellStyle name="Output 2 8 8 3 2" xfId="2520" xr:uid="{00000000-0005-0000-0000-0000FE790000}"/>
    <cellStyle name="Output 2 8 8 3 3" xfId="2523" xr:uid="{00000000-0005-0000-0000-0000FF790000}"/>
    <cellStyle name="Output 2 8 8 3 4" xfId="2544" xr:uid="{00000000-0005-0000-0000-0000007A0000}"/>
    <cellStyle name="Output 2 8 8 4" xfId="24458" xr:uid="{00000000-0005-0000-0000-0000017A0000}"/>
    <cellStyle name="Output 2 8 8 4 2" xfId="24460" xr:uid="{00000000-0005-0000-0000-0000027A0000}"/>
    <cellStyle name="Output 2 8 8 4 3" xfId="24463" xr:uid="{00000000-0005-0000-0000-0000037A0000}"/>
    <cellStyle name="Output 2 8 8 5" xfId="24474" xr:uid="{00000000-0005-0000-0000-0000047A0000}"/>
    <cellStyle name="Output 2 8 8 5 2" xfId="23162" xr:uid="{00000000-0005-0000-0000-0000057A0000}"/>
    <cellStyle name="Output 2 8 8 5 3" xfId="23165" xr:uid="{00000000-0005-0000-0000-0000067A0000}"/>
    <cellStyle name="Output 2 8 8 6" xfId="24485" xr:uid="{00000000-0005-0000-0000-0000077A0000}"/>
    <cellStyle name="Output 2 8 8 7" xfId="29146" xr:uid="{00000000-0005-0000-0000-0000087A0000}"/>
    <cellStyle name="Output 2 8 9" xfId="32887" xr:uid="{00000000-0005-0000-0000-0000097A0000}"/>
    <cellStyle name="Output 2 8 9 2" xfId="318" xr:uid="{00000000-0005-0000-0000-00000A7A0000}"/>
    <cellStyle name="Output 2 8 9 2 2" xfId="24562" xr:uid="{00000000-0005-0000-0000-00000B7A0000}"/>
    <cellStyle name="Output 2 8 9 2 3" xfId="24564" xr:uid="{00000000-0005-0000-0000-00000C7A0000}"/>
    <cellStyle name="Output 2 8 9 2 4" xfId="24568" xr:uid="{00000000-0005-0000-0000-00000D7A0000}"/>
    <cellStyle name="Output 2 8 9 3" xfId="323" xr:uid="{00000000-0005-0000-0000-00000E7A0000}"/>
    <cellStyle name="Output 2 8 9 3 2" xfId="24576" xr:uid="{00000000-0005-0000-0000-00000F7A0000}"/>
    <cellStyle name="Output 2 8 9 3 3" xfId="24578" xr:uid="{00000000-0005-0000-0000-0000107A0000}"/>
    <cellStyle name="Output 2 8 9 3 4" xfId="24580" xr:uid="{00000000-0005-0000-0000-0000117A0000}"/>
    <cellStyle name="Output 2 8 9 4" xfId="328" xr:uid="{00000000-0005-0000-0000-0000127A0000}"/>
    <cellStyle name="Output 2 8 9 4 2" xfId="24584" xr:uid="{00000000-0005-0000-0000-0000137A0000}"/>
    <cellStyle name="Output 2 8 9 4 3" xfId="24586" xr:uid="{00000000-0005-0000-0000-0000147A0000}"/>
    <cellStyle name="Output 2 8 9 5" xfId="24597" xr:uid="{00000000-0005-0000-0000-0000157A0000}"/>
    <cellStyle name="Output 2 8 9 5 2" xfId="24599" xr:uid="{00000000-0005-0000-0000-0000167A0000}"/>
    <cellStyle name="Output 2 8 9 5 3" xfId="24601" xr:uid="{00000000-0005-0000-0000-0000177A0000}"/>
    <cellStyle name="Output 2 8 9 6" xfId="24611" xr:uid="{00000000-0005-0000-0000-0000187A0000}"/>
    <cellStyle name="Output 2 8 9 7" xfId="29157" xr:uid="{00000000-0005-0000-0000-0000197A0000}"/>
    <cellStyle name="Output 2 9" xfId="32888" xr:uid="{00000000-0005-0000-0000-00001A7A0000}"/>
    <cellStyle name="Output 2 9 10" xfId="32889" xr:uid="{00000000-0005-0000-0000-00001B7A0000}"/>
    <cellStyle name="Output 2 9 10 2" xfId="29149" xr:uid="{00000000-0005-0000-0000-00001C7A0000}"/>
    <cellStyle name="Output 2 9 10 2 2" xfId="23225" xr:uid="{00000000-0005-0000-0000-00001D7A0000}"/>
    <cellStyle name="Output 2 9 10 2 3" xfId="23228" xr:uid="{00000000-0005-0000-0000-00001E7A0000}"/>
    <cellStyle name="Output 2 9 10 2 4" xfId="29531" xr:uid="{00000000-0005-0000-0000-00001F7A0000}"/>
    <cellStyle name="Output 2 9 10 3" xfId="29152" xr:uid="{00000000-0005-0000-0000-0000207A0000}"/>
    <cellStyle name="Output 2 9 10 3 2" xfId="23257" xr:uid="{00000000-0005-0000-0000-0000217A0000}"/>
    <cellStyle name="Output 2 9 10 3 3" xfId="23260" xr:uid="{00000000-0005-0000-0000-0000227A0000}"/>
    <cellStyle name="Output 2 9 10 3 4" xfId="29535" xr:uid="{00000000-0005-0000-0000-0000237A0000}"/>
    <cellStyle name="Output 2 9 10 4" xfId="32890" xr:uid="{00000000-0005-0000-0000-0000247A0000}"/>
    <cellStyle name="Output 2 9 10 4 2" xfId="23283" xr:uid="{00000000-0005-0000-0000-0000257A0000}"/>
    <cellStyle name="Output 2 9 10 4 3" xfId="23286" xr:uid="{00000000-0005-0000-0000-0000267A0000}"/>
    <cellStyle name="Output 2 9 10 5" xfId="32891" xr:uid="{00000000-0005-0000-0000-0000277A0000}"/>
    <cellStyle name="Output 2 9 10 5 2" xfId="23343" xr:uid="{00000000-0005-0000-0000-0000287A0000}"/>
    <cellStyle name="Output 2 9 10 5 3" xfId="23347" xr:uid="{00000000-0005-0000-0000-0000297A0000}"/>
    <cellStyle name="Output 2 9 10 6" xfId="32892" xr:uid="{00000000-0005-0000-0000-00002A7A0000}"/>
    <cellStyle name="Output 2 9 10 7" xfId="27187" xr:uid="{00000000-0005-0000-0000-00002B7A0000}"/>
    <cellStyle name="Output 2 9 11" xfId="32893" xr:uid="{00000000-0005-0000-0000-00002C7A0000}"/>
    <cellStyle name="Output 2 9 11 2" xfId="29160" xr:uid="{00000000-0005-0000-0000-00002D7A0000}"/>
    <cellStyle name="Output 2 9 11 2 2" xfId="32894" xr:uid="{00000000-0005-0000-0000-00002E7A0000}"/>
    <cellStyle name="Output 2 9 11 2 3" xfId="32895" xr:uid="{00000000-0005-0000-0000-00002F7A0000}"/>
    <cellStyle name="Output 2 9 11 2 4" xfId="32896" xr:uid="{00000000-0005-0000-0000-0000307A0000}"/>
    <cellStyle name="Output 2 9 11 3" xfId="29163" xr:uid="{00000000-0005-0000-0000-0000317A0000}"/>
    <cellStyle name="Output 2 9 11 3 2" xfId="32897" xr:uid="{00000000-0005-0000-0000-0000327A0000}"/>
    <cellStyle name="Output 2 9 11 3 3" xfId="32898" xr:uid="{00000000-0005-0000-0000-0000337A0000}"/>
    <cellStyle name="Output 2 9 11 3 4" xfId="32899" xr:uid="{00000000-0005-0000-0000-0000347A0000}"/>
    <cellStyle name="Output 2 9 11 4" xfId="32900" xr:uid="{00000000-0005-0000-0000-0000357A0000}"/>
    <cellStyle name="Output 2 9 11 4 2" xfId="32901" xr:uid="{00000000-0005-0000-0000-0000367A0000}"/>
    <cellStyle name="Output 2 9 11 4 3" xfId="32902" xr:uid="{00000000-0005-0000-0000-0000377A0000}"/>
    <cellStyle name="Output 2 9 11 5" xfId="21945" xr:uid="{00000000-0005-0000-0000-0000387A0000}"/>
    <cellStyle name="Output 2 9 11 5 2" xfId="26837" xr:uid="{00000000-0005-0000-0000-0000397A0000}"/>
    <cellStyle name="Output 2 9 11 5 3" xfId="31063" xr:uid="{00000000-0005-0000-0000-00003A7A0000}"/>
    <cellStyle name="Output 2 9 11 6" xfId="21947" xr:uid="{00000000-0005-0000-0000-00003B7A0000}"/>
    <cellStyle name="Output 2 9 11 7" xfId="21950" xr:uid="{00000000-0005-0000-0000-00003C7A0000}"/>
    <cellStyle name="Output 2 9 12" xfId="23516" xr:uid="{00000000-0005-0000-0000-00003D7A0000}"/>
    <cellStyle name="Output 2 9 12 2" xfId="29170" xr:uid="{00000000-0005-0000-0000-00003E7A0000}"/>
    <cellStyle name="Output 2 9 12 2 2" xfId="32903" xr:uid="{00000000-0005-0000-0000-00003F7A0000}"/>
    <cellStyle name="Output 2 9 12 2 3" xfId="32904" xr:uid="{00000000-0005-0000-0000-0000407A0000}"/>
    <cellStyle name="Output 2 9 12 2 4" xfId="32905" xr:uid="{00000000-0005-0000-0000-0000417A0000}"/>
    <cellStyle name="Output 2 9 12 3" xfId="32906" xr:uid="{00000000-0005-0000-0000-0000427A0000}"/>
    <cellStyle name="Output 2 9 12 3 2" xfId="32907" xr:uid="{00000000-0005-0000-0000-0000437A0000}"/>
    <cellStyle name="Output 2 9 12 3 3" xfId="32908" xr:uid="{00000000-0005-0000-0000-0000447A0000}"/>
    <cellStyle name="Output 2 9 12 3 4" xfId="32909" xr:uid="{00000000-0005-0000-0000-0000457A0000}"/>
    <cellStyle name="Output 2 9 12 4" xfId="32910" xr:uid="{00000000-0005-0000-0000-0000467A0000}"/>
    <cellStyle name="Output 2 9 12 4 2" xfId="32911" xr:uid="{00000000-0005-0000-0000-0000477A0000}"/>
    <cellStyle name="Output 2 9 12 4 3" xfId="32912" xr:uid="{00000000-0005-0000-0000-0000487A0000}"/>
    <cellStyle name="Output 2 9 12 5" xfId="21952" xr:uid="{00000000-0005-0000-0000-0000497A0000}"/>
    <cellStyle name="Output 2 9 12 5 2" xfId="26863" xr:uid="{00000000-0005-0000-0000-00004A7A0000}"/>
    <cellStyle name="Output 2 9 12 5 3" xfId="32913" xr:uid="{00000000-0005-0000-0000-00004B7A0000}"/>
    <cellStyle name="Output 2 9 12 6" xfId="21954" xr:uid="{00000000-0005-0000-0000-00004C7A0000}"/>
    <cellStyle name="Output 2 9 12 7" xfId="9857" xr:uid="{00000000-0005-0000-0000-00004D7A0000}"/>
    <cellStyle name="Output 2 9 13" xfId="31065" xr:uid="{00000000-0005-0000-0000-00004E7A0000}"/>
    <cellStyle name="Output 2 9 13 2" xfId="29178" xr:uid="{00000000-0005-0000-0000-00004F7A0000}"/>
    <cellStyle name="Output 2 9 13 3" xfId="31067" xr:uid="{00000000-0005-0000-0000-0000507A0000}"/>
    <cellStyle name="Output 2 9 13 4" xfId="31069" xr:uid="{00000000-0005-0000-0000-0000517A0000}"/>
    <cellStyle name="Output 2 9 14" xfId="14435" xr:uid="{00000000-0005-0000-0000-0000527A0000}"/>
    <cellStyle name="Output 2 9 14 2" xfId="14466" xr:uid="{00000000-0005-0000-0000-0000537A0000}"/>
    <cellStyle name="Output 2 9 14 3" xfId="14492" xr:uid="{00000000-0005-0000-0000-0000547A0000}"/>
    <cellStyle name="Output 2 9 14 4" xfId="14512" xr:uid="{00000000-0005-0000-0000-0000557A0000}"/>
    <cellStyle name="Output 2 9 15" xfId="7423" xr:uid="{00000000-0005-0000-0000-0000567A0000}"/>
    <cellStyle name="Output 2 9 15 2" xfId="14762" xr:uid="{00000000-0005-0000-0000-0000577A0000}"/>
    <cellStyle name="Output 2 9 15 3" xfId="14777" xr:uid="{00000000-0005-0000-0000-0000587A0000}"/>
    <cellStyle name="Output 2 9 16" xfId="3826" xr:uid="{00000000-0005-0000-0000-0000597A0000}"/>
    <cellStyle name="Output 2 9 16 2" xfId="5236" xr:uid="{00000000-0005-0000-0000-00005A7A0000}"/>
    <cellStyle name="Output 2 9 16 3" xfId="5278" xr:uid="{00000000-0005-0000-0000-00005B7A0000}"/>
    <cellStyle name="Output 2 9 17" xfId="3833" xr:uid="{00000000-0005-0000-0000-00005C7A0000}"/>
    <cellStyle name="Output 2 9 17 2" xfId="5492" xr:uid="{00000000-0005-0000-0000-00005D7A0000}"/>
    <cellStyle name="Output 2 9 17 2 2" xfId="5495" xr:uid="{00000000-0005-0000-0000-00005E7A0000}"/>
    <cellStyle name="Output 2 9 18" xfId="3839" xr:uid="{00000000-0005-0000-0000-00005F7A0000}"/>
    <cellStyle name="Output 2 9 19" xfId="15038" xr:uid="{00000000-0005-0000-0000-0000607A0000}"/>
    <cellStyle name="Output 2 9 2" xfId="17770" xr:uid="{00000000-0005-0000-0000-0000617A0000}"/>
    <cellStyle name="Output 2 9 2 10" xfId="32914" xr:uid="{00000000-0005-0000-0000-0000627A0000}"/>
    <cellStyle name="Output 2 9 2 10 2" xfId="32915" xr:uid="{00000000-0005-0000-0000-0000637A0000}"/>
    <cellStyle name="Output 2 9 2 10 2 2" xfId="5498" xr:uid="{00000000-0005-0000-0000-0000647A0000}"/>
    <cellStyle name="Output 2 9 2 10 2 3" xfId="5501" xr:uid="{00000000-0005-0000-0000-0000657A0000}"/>
    <cellStyle name="Output 2 9 2 10 2 4" xfId="10119" xr:uid="{00000000-0005-0000-0000-0000667A0000}"/>
    <cellStyle name="Output 2 9 2 10 3" xfId="32916" xr:uid="{00000000-0005-0000-0000-0000677A0000}"/>
    <cellStyle name="Output 2 9 2 10 3 2" xfId="5508" xr:uid="{00000000-0005-0000-0000-0000687A0000}"/>
    <cellStyle name="Output 2 9 2 10 3 3" xfId="5510" xr:uid="{00000000-0005-0000-0000-0000697A0000}"/>
    <cellStyle name="Output 2 9 2 10 3 4" xfId="32917" xr:uid="{00000000-0005-0000-0000-00006A7A0000}"/>
    <cellStyle name="Output 2 9 2 10 4" xfId="32807" xr:uid="{00000000-0005-0000-0000-00006B7A0000}"/>
    <cellStyle name="Output 2 9 2 10 4 2" xfId="5521" xr:uid="{00000000-0005-0000-0000-00006C7A0000}"/>
    <cellStyle name="Output 2 9 2 10 4 3" xfId="32918" xr:uid="{00000000-0005-0000-0000-00006D7A0000}"/>
    <cellStyle name="Output 2 9 2 10 5" xfId="2811" xr:uid="{00000000-0005-0000-0000-00006E7A0000}"/>
    <cellStyle name="Output 2 9 2 10 5 2" xfId="5533" xr:uid="{00000000-0005-0000-0000-00006F7A0000}"/>
    <cellStyle name="Output 2 9 2 10 5 3" xfId="16409" xr:uid="{00000000-0005-0000-0000-0000707A0000}"/>
    <cellStyle name="Output 2 9 2 10 6" xfId="32919" xr:uid="{00000000-0005-0000-0000-0000717A0000}"/>
    <cellStyle name="Output 2 9 2 10 7" xfId="974" xr:uid="{00000000-0005-0000-0000-0000727A0000}"/>
    <cellStyle name="Output 2 9 2 11" xfId="32920" xr:uid="{00000000-0005-0000-0000-0000737A0000}"/>
    <cellStyle name="Output 2 9 2 11 2" xfId="154" xr:uid="{00000000-0005-0000-0000-0000747A0000}"/>
    <cellStyle name="Output 2 9 2 11 3" xfId="134" xr:uid="{00000000-0005-0000-0000-0000757A0000}"/>
    <cellStyle name="Output 2 9 2 11 4" xfId="146" xr:uid="{00000000-0005-0000-0000-0000767A0000}"/>
    <cellStyle name="Output 2 9 2 12" xfId="32921" xr:uid="{00000000-0005-0000-0000-0000777A0000}"/>
    <cellStyle name="Output 2 9 2 12 2" xfId="32922" xr:uid="{00000000-0005-0000-0000-0000787A0000}"/>
    <cellStyle name="Output 2 9 2 12 3" xfId="32923" xr:uid="{00000000-0005-0000-0000-0000797A0000}"/>
    <cellStyle name="Output 2 9 2 12 4" xfId="32924" xr:uid="{00000000-0005-0000-0000-00007A7A0000}"/>
    <cellStyle name="Output 2 9 2 13" xfId="32925" xr:uid="{00000000-0005-0000-0000-00007B7A0000}"/>
    <cellStyle name="Output 2 9 2 13 2" xfId="32926" xr:uid="{00000000-0005-0000-0000-00007C7A0000}"/>
    <cellStyle name="Output 2 9 2 13 3" xfId="32927" xr:uid="{00000000-0005-0000-0000-00007D7A0000}"/>
    <cellStyle name="Output 2 9 2 14" xfId="11595" xr:uid="{00000000-0005-0000-0000-00007E7A0000}"/>
    <cellStyle name="Output 2 9 2 14 2" xfId="32928" xr:uid="{00000000-0005-0000-0000-00007F7A0000}"/>
    <cellStyle name="Output 2 9 2 14 3" xfId="32929" xr:uid="{00000000-0005-0000-0000-0000807A0000}"/>
    <cellStyle name="Output 2 9 2 15" xfId="11597" xr:uid="{00000000-0005-0000-0000-0000817A0000}"/>
    <cellStyle name="Output 2 9 2 16" xfId="11599" xr:uid="{00000000-0005-0000-0000-0000827A0000}"/>
    <cellStyle name="Output 2 9 2 17" xfId="32930" xr:uid="{00000000-0005-0000-0000-0000837A0000}"/>
    <cellStyle name="Output 2 9 2 2" xfId="17772" xr:uid="{00000000-0005-0000-0000-0000847A0000}"/>
    <cellStyle name="Output 2 9 2 2 2" xfId="31323" xr:uid="{00000000-0005-0000-0000-0000857A0000}"/>
    <cellStyle name="Output 2 9 2 2 2 2" xfId="32931" xr:uid="{00000000-0005-0000-0000-0000867A0000}"/>
    <cellStyle name="Output 2 9 2 2 2 3" xfId="14515" xr:uid="{00000000-0005-0000-0000-0000877A0000}"/>
    <cellStyle name="Output 2 9 2 2 2 4" xfId="14517" xr:uid="{00000000-0005-0000-0000-0000887A0000}"/>
    <cellStyle name="Output 2 9 2 2 3" xfId="32932" xr:uid="{00000000-0005-0000-0000-0000897A0000}"/>
    <cellStyle name="Output 2 9 2 2 3 2" xfId="32933" xr:uid="{00000000-0005-0000-0000-00008A7A0000}"/>
    <cellStyle name="Output 2 9 2 2 3 3" xfId="14522" xr:uid="{00000000-0005-0000-0000-00008B7A0000}"/>
    <cellStyle name="Output 2 9 2 2 3 4" xfId="14524" xr:uid="{00000000-0005-0000-0000-00008C7A0000}"/>
    <cellStyle name="Output 2 9 2 2 4" xfId="32934" xr:uid="{00000000-0005-0000-0000-00008D7A0000}"/>
    <cellStyle name="Output 2 9 2 2 4 2" xfId="32935" xr:uid="{00000000-0005-0000-0000-00008E7A0000}"/>
    <cellStyle name="Output 2 9 2 2 4 3" xfId="14529" xr:uid="{00000000-0005-0000-0000-00008F7A0000}"/>
    <cellStyle name="Output 2 9 2 2 5" xfId="32936" xr:uid="{00000000-0005-0000-0000-0000907A0000}"/>
    <cellStyle name="Output 2 9 2 2 5 2" xfId="32937" xr:uid="{00000000-0005-0000-0000-0000917A0000}"/>
    <cellStyle name="Output 2 9 2 2 5 3" xfId="14537" xr:uid="{00000000-0005-0000-0000-0000927A0000}"/>
    <cellStyle name="Output 2 9 2 2 6" xfId="32938" xr:uid="{00000000-0005-0000-0000-0000937A0000}"/>
    <cellStyle name="Output 2 9 2 2 7" xfId="32939" xr:uid="{00000000-0005-0000-0000-0000947A0000}"/>
    <cellStyle name="Output 2 9 2 3" xfId="9168" xr:uid="{00000000-0005-0000-0000-0000957A0000}"/>
    <cellStyle name="Output 2 9 2 3 2" xfId="32940" xr:uid="{00000000-0005-0000-0000-0000967A0000}"/>
    <cellStyle name="Output 2 9 2 3 2 2" xfId="32941" xr:uid="{00000000-0005-0000-0000-0000977A0000}"/>
    <cellStyle name="Output 2 9 2 3 2 3" xfId="14554" xr:uid="{00000000-0005-0000-0000-0000987A0000}"/>
    <cellStyle name="Output 2 9 2 3 2 4" xfId="14556" xr:uid="{00000000-0005-0000-0000-0000997A0000}"/>
    <cellStyle name="Output 2 9 2 3 3" xfId="32942" xr:uid="{00000000-0005-0000-0000-00009A7A0000}"/>
    <cellStyle name="Output 2 9 2 3 3 2" xfId="32943" xr:uid="{00000000-0005-0000-0000-00009B7A0000}"/>
    <cellStyle name="Output 2 9 2 3 3 3" xfId="14561" xr:uid="{00000000-0005-0000-0000-00009C7A0000}"/>
    <cellStyle name="Output 2 9 2 3 3 4" xfId="14563" xr:uid="{00000000-0005-0000-0000-00009D7A0000}"/>
    <cellStyle name="Output 2 9 2 3 4" xfId="32944" xr:uid="{00000000-0005-0000-0000-00009E7A0000}"/>
    <cellStyle name="Output 2 9 2 3 4 2" xfId="32945" xr:uid="{00000000-0005-0000-0000-00009F7A0000}"/>
    <cellStyle name="Output 2 9 2 3 4 3" xfId="14569" xr:uid="{00000000-0005-0000-0000-0000A07A0000}"/>
    <cellStyle name="Output 2 9 2 3 5" xfId="32946" xr:uid="{00000000-0005-0000-0000-0000A17A0000}"/>
    <cellStyle name="Output 2 9 2 3 5 2" xfId="18485" xr:uid="{00000000-0005-0000-0000-0000A27A0000}"/>
    <cellStyle name="Output 2 9 2 3 5 3" xfId="14578" xr:uid="{00000000-0005-0000-0000-0000A37A0000}"/>
    <cellStyle name="Output 2 9 2 3 6" xfId="1102" xr:uid="{00000000-0005-0000-0000-0000A47A0000}"/>
    <cellStyle name="Output 2 9 2 3 7" xfId="32947" xr:uid="{00000000-0005-0000-0000-0000A57A0000}"/>
    <cellStyle name="Output 2 9 2 4" xfId="9172" xr:uid="{00000000-0005-0000-0000-0000A67A0000}"/>
    <cellStyle name="Output 2 9 2 4 2" xfId="32948" xr:uid="{00000000-0005-0000-0000-0000A77A0000}"/>
    <cellStyle name="Output 2 9 2 4 2 2" xfId="32949" xr:uid="{00000000-0005-0000-0000-0000A87A0000}"/>
    <cellStyle name="Output 2 9 2 4 2 3" xfId="14596" xr:uid="{00000000-0005-0000-0000-0000A97A0000}"/>
    <cellStyle name="Output 2 9 2 4 2 4" xfId="14598" xr:uid="{00000000-0005-0000-0000-0000AA7A0000}"/>
    <cellStyle name="Output 2 9 2 4 3" xfId="32950" xr:uid="{00000000-0005-0000-0000-0000AB7A0000}"/>
    <cellStyle name="Output 2 9 2 4 3 2" xfId="32951" xr:uid="{00000000-0005-0000-0000-0000AC7A0000}"/>
    <cellStyle name="Output 2 9 2 4 3 3" xfId="14603" xr:uid="{00000000-0005-0000-0000-0000AD7A0000}"/>
    <cellStyle name="Output 2 9 2 4 3 4" xfId="14605" xr:uid="{00000000-0005-0000-0000-0000AE7A0000}"/>
    <cellStyle name="Output 2 9 2 4 4" xfId="32952" xr:uid="{00000000-0005-0000-0000-0000AF7A0000}"/>
    <cellStyle name="Output 2 9 2 4 4 2" xfId="32953" xr:uid="{00000000-0005-0000-0000-0000B07A0000}"/>
    <cellStyle name="Output 2 9 2 4 4 3" xfId="14610" xr:uid="{00000000-0005-0000-0000-0000B17A0000}"/>
    <cellStyle name="Output 2 9 2 4 5" xfId="32954" xr:uid="{00000000-0005-0000-0000-0000B27A0000}"/>
    <cellStyle name="Output 2 9 2 4 5 2" xfId="32955" xr:uid="{00000000-0005-0000-0000-0000B37A0000}"/>
    <cellStyle name="Output 2 9 2 4 5 3" xfId="14615" xr:uid="{00000000-0005-0000-0000-0000B47A0000}"/>
    <cellStyle name="Output 2 9 2 4 6" xfId="32956" xr:uid="{00000000-0005-0000-0000-0000B57A0000}"/>
    <cellStyle name="Output 2 9 2 4 7" xfId="32957" xr:uid="{00000000-0005-0000-0000-0000B67A0000}"/>
    <cellStyle name="Output 2 9 2 5" xfId="9177" xr:uid="{00000000-0005-0000-0000-0000B77A0000}"/>
    <cellStyle name="Output 2 9 2 5 2" xfId="32958" xr:uid="{00000000-0005-0000-0000-0000B87A0000}"/>
    <cellStyle name="Output 2 9 2 5 2 2" xfId="32959" xr:uid="{00000000-0005-0000-0000-0000B97A0000}"/>
    <cellStyle name="Output 2 9 2 5 2 3" xfId="14624" xr:uid="{00000000-0005-0000-0000-0000BA7A0000}"/>
    <cellStyle name="Output 2 9 2 5 2 4" xfId="14626" xr:uid="{00000000-0005-0000-0000-0000BB7A0000}"/>
    <cellStyle name="Output 2 9 2 5 3" xfId="32960" xr:uid="{00000000-0005-0000-0000-0000BC7A0000}"/>
    <cellStyle name="Output 2 9 2 5 3 2" xfId="32961" xr:uid="{00000000-0005-0000-0000-0000BD7A0000}"/>
    <cellStyle name="Output 2 9 2 5 3 3" xfId="14631" xr:uid="{00000000-0005-0000-0000-0000BE7A0000}"/>
    <cellStyle name="Output 2 9 2 5 3 4" xfId="14633" xr:uid="{00000000-0005-0000-0000-0000BF7A0000}"/>
    <cellStyle name="Output 2 9 2 5 4" xfId="32962" xr:uid="{00000000-0005-0000-0000-0000C07A0000}"/>
    <cellStyle name="Output 2 9 2 5 4 2" xfId="32963" xr:uid="{00000000-0005-0000-0000-0000C17A0000}"/>
    <cellStyle name="Output 2 9 2 5 4 3" xfId="14638" xr:uid="{00000000-0005-0000-0000-0000C27A0000}"/>
    <cellStyle name="Output 2 9 2 5 5" xfId="32964" xr:uid="{00000000-0005-0000-0000-0000C37A0000}"/>
    <cellStyle name="Output 2 9 2 5 5 2" xfId="32965" xr:uid="{00000000-0005-0000-0000-0000C47A0000}"/>
    <cellStyle name="Output 2 9 2 5 5 3" xfId="14643" xr:uid="{00000000-0005-0000-0000-0000C57A0000}"/>
    <cellStyle name="Output 2 9 2 5 6" xfId="32966" xr:uid="{00000000-0005-0000-0000-0000C67A0000}"/>
    <cellStyle name="Output 2 9 2 5 7" xfId="32967" xr:uid="{00000000-0005-0000-0000-0000C77A0000}"/>
    <cellStyle name="Output 2 9 2 6" xfId="7842" xr:uid="{00000000-0005-0000-0000-0000C87A0000}"/>
    <cellStyle name="Output 2 9 2 6 2" xfId="7844" xr:uid="{00000000-0005-0000-0000-0000C97A0000}"/>
    <cellStyle name="Output 2 9 2 6 2 2" xfId="32968" xr:uid="{00000000-0005-0000-0000-0000CA7A0000}"/>
    <cellStyle name="Output 2 9 2 6 2 3" xfId="14651" xr:uid="{00000000-0005-0000-0000-0000CB7A0000}"/>
    <cellStyle name="Output 2 9 2 6 2 4" xfId="14653" xr:uid="{00000000-0005-0000-0000-0000CC7A0000}"/>
    <cellStyle name="Output 2 9 2 6 3" xfId="7846" xr:uid="{00000000-0005-0000-0000-0000CD7A0000}"/>
    <cellStyle name="Output 2 9 2 6 3 2" xfId="32969" xr:uid="{00000000-0005-0000-0000-0000CE7A0000}"/>
    <cellStyle name="Output 2 9 2 6 3 3" xfId="14658" xr:uid="{00000000-0005-0000-0000-0000CF7A0000}"/>
    <cellStyle name="Output 2 9 2 6 3 4" xfId="14660" xr:uid="{00000000-0005-0000-0000-0000D07A0000}"/>
    <cellStyle name="Output 2 9 2 6 4" xfId="7848" xr:uid="{00000000-0005-0000-0000-0000D17A0000}"/>
    <cellStyle name="Output 2 9 2 6 4 2" xfId="32970" xr:uid="{00000000-0005-0000-0000-0000D27A0000}"/>
    <cellStyle name="Output 2 9 2 6 4 3" xfId="14665" xr:uid="{00000000-0005-0000-0000-0000D37A0000}"/>
    <cellStyle name="Output 2 9 2 6 5" xfId="32971" xr:uid="{00000000-0005-0000-0000-0000D47A0000}"/>
    <cellStyle name="Output 2 9 2 6 5 2" xfId="443" xr:uid="{00000000-0005-0000-0000-0000D57A0000}"/>
    <cellStyle name="Output 2 9 2 6 5 3" xfId="455" xr:uid="{00000000-0005-0000-0000-0000D67A0000}"/>
    <cellStyle name="Output 2 9 2 6 6" xfId="32972" xr:uid="{00000000-0005-0000-0000-0000D77A0000}"/>
    <cellStyle name="Output 2 9 2 6 7" xfId="32973" xr:uid="{00000000-0005-0000-0000-0000D87A0000}"/>
    <cellStyle name="Output 2 9 2 7" xfId="7851" xr:uid="{00000000-0005-0000-0000-0000D97A0000}"/>
    <cellStyle name="Output 2 9 2 7 2" xfId="7854" xr:uid="{00000000-0005-0000-0000-0000DA7A0000}"/>
    <cellStyle name="Output 2 9 2 7 2 2" xfId="32974" xr:uid="{00000000-0005-0000-0000-0000DB7A0000}"/>
    <cellStyle name="Output 2 9 2 7 2 3" xfId="14677" xr:uid="{00000000-0005-0000-0000-0000DC7A0000}"/>
    <cellStyle name="Output 2 9 2 7 2 4" xfId="14679" xr:uid="{00000000-0005-0000-0000-0000DD7A0000}"/>
    <cellStyle name="Output 2 9 2 7 3" xfId="7857" xr:uid="{00000000-0005-0000-0000-0000DE7A0000}"/>
    <cellStyle name="Output 2 9 2 7 3 2" xfId="32975" xr:uid="{00000000-0005-0000-0000-0000DF7A0000}"/>
    <cellStyle name="Output 2 9 2 7 3 3" xfId="14684" xr:uid="{00000000-0005-0000-0000-0000E07A0000}"/>
    <cellStyle name="Output 2 9 2 7 3 4" xfId="14686" xr:uid="{00000000-0005-0000-0000-0000E17A0000}"/>
    <cellStyle name="Output 2 9 2 7 4" xfId="7860" xr:uid="{00000000-0005-0000-0000-0000E27A0000}"/>
    <cellStyle name="Output 2 9 2 7 4 2" xfId="32976" xr:uid="{00000000-0005-0000-0000-0000E37A0000}"/>
    <cellStyle name="Output 2 9 2 7 4 3" xfId="14691" xr:uid="{00000000-0005-0000-0000-0000E47A0000}"/>
    <cellStyle name="Output 2 9 2 7 5" xfId="32977" xr:uid="{00000000-0005-0000-0000-0000E57A0000}"/>
    <cellStyle name="Output 2 9 2 7 5 2" xfId="30955" xr:uid="{00000000-0005-0000-0000-0000E67A0000}"/>
    <cellStyle name="Output 2 9 2 7 5 3" xfId="14699" xr:uid="{00000000-0005-0000-0000-0000E77A0000}"/>
    <cellStyle name="Output 2 9 2 7 6" xfId="32978" xr:uid="{00000000-0005-0000-0000-0000E87A0000}"/>
    <cellStyle name="Output 2 9 2 7 7" xfId="32979" xr:uid="{00000000-0005-0000-0000-0000E97A0000}"/>
    <cellStyle name="Output 2 9 2 8" xfId="7864" xr:uid="{00000000-0005-0000-0000-0000EA7A0000}"/>
    <cellStyle name="Output 2 9 2 8 2" xfId="7868" xr:uid="{00000000-0005-0000-0000-0000EB7A0000}"/>
    <cellStyle name="Output 2 9 2 8 2 2" xfId="14429" xr:uid="{00000000-0005-0000-0000-0000EC7A0000}"/>
    <cellStyle name="Output 2 9 2 8 2 3" xfId="14432" xr:uid="{00000000-0005-0000-0000-0000ED7A0000}"/>
    <cellStyle name="Output 2 9 2 8 2 4" xfId="27640" xr:uid="{00000000-0005-0000-0000-0000EE7A0000}"/>
    <cellStyle name="Output 2 9 2 8 3" xfId="7871" xr:uid="{00000000-0005-0000-0000-0000EF7A0000}"/>
    <cellStyle name="Output 2 9 2 8 3 2" xfId="9329" xr:uid="{00000000-0005-0000-0000-0000F07A0000}"/>
    <cellStyle name="Output 2 9 2 8 3 3" xfId="9332" xr:uid="{00000000-0005-0000-0000-0000F17A0000}"/>
    <cellStyle name="Output 2 9 2 8 3 4" xfId="32980" xr:uid="{00000000-0005-0000-0000-0000F27A0000}"/>
    <cellStyle name="Output 2 9 2 8 4" xfId="32982" xr:uid="{00000000-0005-0000-0000-0000F37A0000}"/>
    <cellStyle name="Output 2 9 2 8 4 2" xfId="9356" xr:uid="{00000000-0005-0000-0000-0000F47A0000}"/>
    <cellStyle name="Output 2 9 2 8 4 3" xfId="9359" xr:uid="{00000000-0005-0000-0000-0000F57A0000}"/>
    <cellStyle name="Output 2 9 2 8 5" xfId="32983" xr:uid="{00000000-0005-0000-0000-0000F67A0000}"/>
    <cellStyle name="Output 2 9 2 8 5 2" xfId="9379" xr:uid="{00000000-0005-0000-0000-0000F77A0000}"/>
    <cellStyle name="Output 2 9 2 8 5 3" xfId="9383" xr:uid="{00000000-0005-0000-0000-0000F87A0000}"/>
    <cellStyle name="Output 2 9 2 8 6" xfId="32984" xr:uid="{00000000-0005-0000-0000-0000F97A0000}"/>
    <cellStyle name="Output 2 9 2 8 7" xfId="32985" xr:uid="{00000000-0005-0000-0000-0000FA7A0000}"/>
    <cellStyle name="Output 2 9 2 9" xfId="7875" xr:uid="{00000000-0005-0000-0000-0000FB7A0000}"/>
    <cellStyle name="Output 2 9 2 9 2" xfId="7881" xr:uid="{00000000-0005-0000-0000-0000FC7A0000}"/>
    <cellStyle name="Output 2 9 2 9 2 2" xfId="18797" xr:uid="{00000000-0005-0000-0000-0000FD7A0000}"/>
    <cellStyle name="Output 2 9 2 9 2 3" xfId="18799" xr:uid="{00000000-0005-0000-0000-0000FE7A0000}"/>
    <cellStyle name="Output 2 9 2 9 2 4" xfId="26272" xr:uid="{00000000-0005-0000-0000-0000FF7A0000}"/>
    <cellStyle name="Output 2 9 2 9 3" xfId="7885" xr:uid="{00000000-0005-0000-0000-0000007B0000}"/>
    <cellStyle name="Output 2 9 2 9 3 2" xfId="9642" xr:uid="{00000000-0005-0000-0000-0000017B0000}"/>
    <cellStyle name="Output 2 9 2 9 3 3" xfId="9644" xr:uid="{00000000-0005-0000-0000-0000027B0000}"/>
    <cellStyle name="Output 2 9 2 9 3 4" xfId="32986" xr:uid="{00000000-0005-0000-0000-0000037B0000}"/>
    <cellStyle name="Output 2 9 2 9 4" xfId="18801" xr:uid="{00000000-0005-0000-0000-0000047B0000}"/>
    <cellStyle name="Output 2 9 2 9 4 2" xfId="9669" xr:uid="{00000000-0005-0000-0000-0000057B0000}"/>
    <cellStyle name="Output 2 9 2 9 4 3" xfId="9671" xr:uid="{00000000-0005-0000-0000-0000067B0000}"/>
    <cellStyle name="Output 2 9 2 9 5" xfId="32987" xr:uid="{00000000-0005-0000-0000-0000077B0000}"/>
    <cellStyle name="Output 2 9 2 9 5 2" xfId="9692" xr:uid="{00000000-0005-0000-0000-0000087B0000}"/>
    <cellStyle name="Output 2 9 2 9 5 3" xfId="9694" xr:uid="{00000000-0005-0000-0000-0000097B0000}"/>
    <cellStyle name="Output 2 9 2 9 6" xfId="32988" xr:uid="{00000000-0005-0000-0000-00000A7B0000}"/>
    <cellStyle name="Output 2 9 2 9 7" xfId="32989" xr:uid="{00000000-0005-0000-0000-00000B7B0000}"/>
    <cellStyle name="Output 2 9 20" xfId="7424" xr:uid="{00000000-0005-0000-0000-00000C7B0000}"/>
    <cellStyle name="Output 2 9 3" xfId="17775" xr:uid="{00000000-0005-0000-0000-00000D7B0000}"/>
    <cellStyle name="Output 2 9 3 10" xfId="18699" xr:uid="{00000000-0005-0000-0000-00000E7B0000}"/>
    <cellStyle name="Output 2 9 3 10 2" xfId="29977" xr:uid="{00000000-0005-0000-0000-00000F7B0000}"/>
    <cellStyle name="Output 2 9 3 10 2 2" xfId="20448" xr:uid="{00000000-0005-0000-0000-0000107B0000}"/>
    <cellStyle name="Output 2 9 3 10 2 3" xfId="10987" xr:uid="{00000000-0005-0000-0000-0000117B0000}"/>
    <cellStyle name="Output 2 9 3 10 2 4" xfId="10990" xr:uid="{00000000-0005-0000-0000-0000127B0000}"/>
    <cellStyle name="Output 2 9 3 10 3" xfId="32990" xr:uid="{00000000-0005-0000-0000-0000137B0000}"/>
    <cellStyle name="Output 2 9 3 10 3 2" xfId="20456" xr:uid="{00000000-0005-0000-0000-0000147B0000}"/>
    <cellStyle name="Output 2 9 3 10 3 3" xfId="20459" xr:uid="{00000000-0005-0000-0000-0000157B0000}"/>
    <cellStyle name="Output 2 9 3 10 3 4" xfId="20462" xr:uid="{00000000-0005-0000-0000-0000167B0000}"/>
    <cellStyle name="Output 2 9 3 10 4" xfId="32833" xr:uid="{00000000-0005-0000-0000-0000177B0000}"/>
    <cellStyle name="Output 2 9 3 10 4 2" xfId="20474" xr:uid="{00000000-0005-0000-0000-0000187B0000}"/>
    <cellStyle name="Output 2 9 3 10 4 3" xfId="20478" xr:uid="{00000000-0005-0000-0000-0000197B0000}"/>
    <cellStyle name="Output 2 9 3 10 5" xfId="32835" xr:uid="{00000000-0005-0000-0000-00001A7B0000}"/>
    <cellStyle name="Output 2 9 3 10 5 2" xfId="20496" xr:uid="{00000000-0005-0000-0000-00001B7B0000}"/>
    <cellStyle name="Output 2 9 3 10 5 3" xfId="20500" xr:uid="{00000000-0005-0000-0000-00001C7B0000}"/>
    <cellStyle name="Output 2 9 3 10 6" xfId="32991" xr:uid="{00000000-0005-0000-0000-00001D7B0000}"/>
    <cellStyle name="Output 2 9 3 10 7" xfId="31497" xr:uid="{00000000-0005-0000-0000-00001E7B0000}"/>
    <cellStyle name="Output 2 9 3 11" xfId="18701" xr:uid="{00000000-0005-0000-0000-00001F7B0000}"/>
    <cellStyle name="Output 2 9 3 11 2" xfId="29991" xr:uid="{00000000-0005-0000-0000-0000207B0000}"/>
    <cellStyle name="Output 2 9 3 11 3" xfId="32992" xr:uid="{00000000-0005-0000-0000-0000217B0000}"/>
    <cellStyle name="Output 2 9 3 11 4" xfId="32993" xr:uid="{00000000-0005-0000-0000-0000227B0000}"/>
    <cellStyle name="Output 2 9 3 12" xfId="32329" xr:uid="{00000000-0005-0000-0000-0000237B0000}"/>
    <cellStyle name="Output 2 9 3 12 2" xfId="30016" xr:uid="{00000000-0005-0000-0000-0000247B0000}"/>
    <cellStyle name="Output 2 9 3 12 3" xfId="32994" xr:uid="{00000000-0005-0000-0000-0000257B0000}"/>
    <cellStyle name="Output 2 9 3 12 4" xfId="32995" xr:uid="{00000000-0005-0000-0000-0000267B0000}"/>
    <cellStyle name="Output 2 9 3 13" xfId="32331" xr:uid="{00000000-0005-0000-0000-0000277B0000}"/>
    <cellStyle name="Output 2 9 3 13 2" xfId="32996" xr:uid="{00000000-0005-0000-0000-0000287B0000}"/>
    <cellStyle name="Output 2 9 3 13 3" xfId="32997" xr:uid="{00000000-0005-0000-0000-0000297B0000}"/>
    <cellStyle name="Output 2 9 3 14" xfId="22625" xr:uid="{00000000-0005-0000-0000-00002A7B0000}"/>
    <cellStyle name="Output 2 9 3 14 2" xfId="32998" xr:uid="{00000000-0005-0000-0000-00002B7B0000}"/>
    <cellStyle name="Output 2 9 3 14 3" xfId="32999" xr:uid="{00000000-0005-0000-0000-00002C7B0000}"/>
    <cellStyle name="Output 2 9 3 15" xfId="8670" xr:uid="{00000000-0005-0000-0000-00002D7B0000}"/>
    <cellStyle name="Output 2 9 3 16" xfId="8692" xr:uid="{00000000-0005-0000-0000-00002E7B0000}"/>
    <cellStyle name="Output 2 9 3 2" xfId="17777" xr:uid="{00000000-0005-0000-0000-00002F7B0000}"/>
    <cellStyle name="Output 2 9 3 2 2" xfId="31334" xr:uid="{00000000-0005-0000-0000-0000307B0000}"/>
    <cellStyle name="Output 2 9 3 2 2 2" xfId="33000" xr:uid="{00000000-0005-0000-0000-0000317B0000}"/>
    <cellStyle name="Output 2 9 3 2 2 3" xfId="14801" xr:uid="{00000000-0005-0000-0000-0000327B0000}"/>
    <cellStyle name="Output 2 9 3 2 2 4" xfId="14803" xr:uid="{00000000-0005-0000-0000-0000337B0000}"/>
    <cellStyle name="Output 2 9 3 2 3" xfId="33001" xr:uid="{00000000-0005-0000-0000-0000347B0000}"/>
    <cellStyle name="Output 2 9 3 2 3 2" xfId="33002" xr:uid="{00000000-0005-0000-0000-0000357B0000}"/>
    <cellStyle name="Output 2 9 3 2 3 3" xfId="14808" xr:uid="{00000000-0005-0000-0000-0000367B0000}"/>
    <cellStyle name="Output 2 9 3 2 3 4" xfId="14810" xr:uid="{00000000-0005-0000-0000-0000377B0000}"/>
    <cellStyle name="Output 2 9 3 2 4" xfId="33003" xr:uid="{00000000-0005-0000-0000-0000387B0000}"/>
    <cellStyle name="Output 2 9 3 2 4 2" xfId="33004" xr:uid="{00000000-0005-0000-0000-0000397B0000}"/>
    <cellStyle name="Output 2 9 3 2 4 3" xfId="14815" xr:uid="{00000000-0005-0000-0000-00003A7B0000}"/>
    <cellStyle name="Output 2 9 3 2 5" xfId="33005" xr:uid="{00000000-0005-0000-0000-00003B7B0000}"/>
    <cellStyle name="Output 2 9 3 2 5 2" xfId="33006" xr:uid="{00000000-0005-0000-0000-00003C7B0000}"/>
    <cellStyle name="Output 2 9 3 2 5 3" xfId="14821" xr:uid="{00000000-0005-0000-0000-00003D7B0000}"/>
    <cellStyle name="Output 2 9 3 2 6" xfId="33007" xr:uid="{00000000-0005-0000-0000-00003E7B0000}"/>
    <cellStyle name="Output 2 9 3 2 7" xfId="30631" xr:uid="{00000000-0005-0000-0000-00003F7B0000}"/>
    <cellStyle name="Output 2 9 3 3" xfId="9184" xr:uid="{00000000-0005-0000-0000-0000407B0000}"/>
    <cellStyle name="Output 2 9 3 3 2" xfId="29597" xr:uid="{00000000-0005-0000-0000-0000417B0000}"/>
    <cellStyle name="Output 2 9 3 3 2 2" xfId="17024" xr:uid="{00000000-0005-0000-0000-0000427B0000}"/>
    <cellStyle name="Output 2 9 3 3 2 3" xfId="14836" xr:uid="{00000000-0005-0000-0000-0000437B0000}"/>
    <cellStyle name="Output 2 9 3 3 2 4" xfId="14839" xr:uid="{00000000-0005-0000-0000-0000447B0000}"/>
    <cellStyle name="Output 2 9 3 3 3" xfId="29599" xr:uid="{00000000-0005-0000-0000-0000457B0000}"/>
    <cellStyle name="Output 2 9 3 3 3 2" xfId="17041" xr:uid="{00000000-0005-0000-0000-0000467B0000}"/>
    <cellStyle name="Output 2 9 3 3 3 3" xfId="14846" xr:uid="{00000000-0005-0000-0000-0000477B0000}"/>
    <cellStyle name="Output 2 9 3 3 3 4" xfId="14849" xr:uid="{00000000-0005-0000-0000-0000487B0000}"/>
    <cellStyle name="Output 2 9 3 3 4" xfId="29602" xr:uid="{00000000-0005-0000-0000-0000497B0000}"/>
    <cellStyle name="Output 2 9 3 3 4 2" xfId="17064" xr:uid="{00000000-0005-0000-0000-00004A7B0000}"/>
    <cellStyle name="Output 2 9 3 3 4 3" xfId="14856" xr:uid="{00000000-0005-0000-0000-00004B7B0000}"/>
    <cellStyle name="Output 2 9 3 3 5" xfId="29604" xr:uid="{00000000-0005-0000-0000-00004C7B0000}"/>
    <cellStyle name="Output 2 9 3 3 5 2" xfId="21652" xr:uid="{00000000-0005-0000-0000-00004D7B0000}"/>
    <cellStyle name="Output 2 9 3 3 5 3" xfId="14862" xr:uid="{00000000-0005-0000-0000-00004E7B0000}"/>
    <cellStyle name="Output 2 9 3 3 6" xfId="29606" xr:uid="{00000000-0005-0000-0000-00004F7B0000}"/>
    <cellStyle name="Output 2 9 3 3 7" xfId="29609" xr:uid="{00000000-0005-0000-0000-0000507B0000}"/>
    <cellStyle name="Output 2 9 3 4" xfId="9187" xr:uid="{00000000-0005-0000-0000-0000517B0000}"/>
    <cellStyle name="Output 2 9 3 4 2" xfId="33008" xr:uid="{00000000-0005-0000-0000-0000527B0000}"/>
    <cellStyle name="Output 2 9 3 4 2 2" xfId="33009" xr:uid="{00000000-0005-0000-0000-0000537B0000}"/>
    <cellStyle name="Output 2 9 3 4 2 3" xfId="14873" xr:uid="{00000000-0005-0000-0000-0000547B0000}"/>
    <cellStyle name="Output 2 9 3 4 2 4" xfId="14875" xr:uid="{00000000-0005-0000-0000-0000557B0000}"/>
    <cellStyle name="Output 2 9 3 4 3" xfId="33010" xr:uid="{00000000-0005-0000-0000-0000567B0000}"/>
    <cellStyle name="Output 2 9 3 4 3 2" xfId="33011" xr:uid="{00000000-0005-0000-0000-0000577B0000}"/>
    <cellStyle name="Output 2 9 3 4 3 3" xfId="14880" xr:uid="{00000000-0005-0000-0000-0000587B0000}"/>
    <cellStyle name="Output 2 9 3 4 3 4" xfId="14882" xr:uid="{00000000-0005-0000-0000-0000597B0000}"/>
    <cellStyle name="Output 2 9 3 4 4" xfId="33012" xr:uid="{00000000-0005-0000-0000-00005A7B0000}"/>
    <cellStyle name="Output 2 9 3 4 4 2" xfId="33013" xr:uid="{00000000-0005-0000-0000-00005B7B0000}"/>
    <cellStyle name="Output 2 9 3 4 4 3" xfId="14887" xr:uid="{00000000-0005-0000-0000-00005C7B0000}"/>
    <cellStyle name="Output 2 9 3 4 5" xfId="33014" xr:uid="{00000000-0005-0000-0000-00005D7B0000}"/>
    <cellStyle name="Output 2 9 3 4 5 2" xfId="33015" xr:uid="{00000000-0005-0000-0000-00005E7B0000}"/>
    <cellStyle name="Output 2 9 3 4 5 3" xfId="14891" xr:uid="{00000000-0005-0000-0000-00005F7B0000}"/>
    <cellStyle name="Output 2 9 3 4 6" xfId="33016" xr:uid="{00000000-0005-0000-0000-0000607B0000}"/>
    <cellStyle name="Output 2 9 3 4 7" xfId="33017" xr:uid="{00000000-0005-0000-0000-0000617B0000}"/>
    <cellStyle name="Output 2 9 3 5" xfId="9192" xr:uid="{00000000-0005-0000-0000-0000627B0000}"/>
    <cellStyle name="Output 2 9 3 5 2" xfId="8634" xr:uid="{00000000-0005-0000-0000-0000637B0000}"/>
    <cellStyle name="Output 2 9 3 5 2 2" xfId="8636" xr:uid="{00000000-0005-0000-0000-0000647B0000}"/>
    <cellStyle name="Output 2 9 3 5 2 3" xfId="8639" xr:uid="{00000000-0005-0000-0000-0000657B0000}"/>
    <cellStyle name="Output 2 9 3 5 2 4" xfId="8642" xr:uid="{00000000-0005-0000-0000-0000667B0000}"/>
    <cellStyle name="Output 2 9 3 5 3" xfId="8644" xr:uid="{00000000-0005-0000-0000-0000677B0000}"/>
    <cellStyle name="Output 2 9 3 5 3 2" xfId="8647" xr:uid="{00000000-0005-0000-0000-0000687B0000}"/>
    <cellStyle name="Output 2 9 3 5 3 3" xfId="8651" xr:uid="{00000000-0005-0000-0000-0000697B0000}"/>
    <cellStyle name="Output 2 9 3 5 3 4" xfId="14903" xr:uid="{00000000-0005-0000-0000-00006A7B0000}"/>
    <cellStyle name="Output 2 9 3 5 4" xfId="8653" xr:uid="{00000000-0005-0000-0000-00006B7B0000}"/>
    <cellStyle name="Output 2 9 3 5 4 2" xfId="8655" xr:uid="{00000000-0005-0000-0000-00006C7B0000}"/>
    <cellStyle name="Output 2 9 3 5 4 3" xfId="8658" xr:uid="{00000000-0005-0000-0000-00006D7B0000}"/>
    <cellStyle name="Output 2 9 3 5 5" xfId="8660" xr:uid="{00000000-0005-0000-0000-00006E7B0000}"/>
    <cellStyle name="Output 2 9 3 5 5 2" xfId="33018" xr:uid="{00000000-0005-0000-0000-00006F7B0000}"/>
    <cellStyle name="Output 2 9 3 5 5 3" xfId="14911" xr:uid="{00000000-0005-0000-0000-0000707B0000}"/>
    <cellStyle name="Output 2 9 3 5 6" xfId="8662" xr:uid="{00000000-0005-0000-0000-0000717B0000}"/>
    <cellStyle name="Output 2 9 3 5 7" xfId="8664" xr:uid="{00000000-0005-0000-0000-0000727B0000}"/>
    <cellStyle name="Output 2 9 3 6" xfId="7898" xr:uid="{00000000-0005-0000-0000-0000737B0000}"/>
    <cellStyle name="Output 2 9 3 6 2" xfId="7900" xr:uid="{00000000-0005-0000-0000-0000747B0000}"/>
    <cellStyle name="Output 2 9 3 6 2 2" xfId="33019" xr:uid="{00000000-0005-0000-0000-0000757B0000}"/>
    <cellStyle name="Output 2 9 3 6 2 3" xfId="14920" xr:uid="{00000000-0005-0000-0000-0000767B0000}"/>
    <cellStyle name="Output 2 9 3 6 2 4" xfId="14922" xr:uid="{00000000-0005-0000-0000-0000777B0000}"/>
    <cellStyle name="Output 2 9 3 6 3" xfId="7902" xr:uid="{00000000-0005-0000-0000-0000787B0000}"/>
    <cellStyle name="Output 2 9 3 6 3 2" xfId="3065" xr:uid="{00000000-0005-0000-0000-0000797B0000}"/>
    <cellStyle name="Output 2 9 3 6 3 3" xfId="3069" xr:uid="{00000000-0005-0000-0000-00007A7B0000}"/>
    <cellStyle name="Output 2 9 3 6 3 4" xfId="3073" xr:uid="{00000000-0005-0000-0000-00007B7B0000}"/>
    <cellStyle name="Output 2 9 3 6 4" xfId="7904" xr:uid="{00000000-0005-0000-0000-00007C7B0000}"/>
    <cellStyle name="Output 2 9 3 6 4 2" xfId="33020" xr:uid="{00000000-0005-0000-0000-00007D7B0000}"/>
    <cellStyle name="Output 2 9 3 6 4 3" xfId="14932" xr:uid="{00000000-0005-0000-0000-00007E7B0000}"/>
    <cellStyle name="Output 2 9 3 6 5" xfId="33021" xr:uid="{00000000-0005-0000-0000-00007F7B0000}"/>
    <cellStyle name="Output 2 9 3 6 5 2" xfId="896" xr:uid="{00000000-0005-0000-0000-0000807B0000}"/>
    <cellStyle name="Output 2 9 3 6 5 3" xfId="1183" xr:uid="{00000000-0005-0000-0000-0000817B0000}"/>
    <cellStyle name="Output 2 9 3 6 6" xfId="31381" xr:uid="{00000000-0005-0000-0000-0000827B0000}"/>
    <cellStyle name="Output 2 9 3 6 7" xfId="31383" xr:uid="{00000000-0005-0000-0000-0000837B0000}"/>
    <cellStyle name="Output 2 9 3 7" xfId="7907" xr:uid="{00000000-0005-0000-0000-0000847B0000}"/>
    <cellStyle name="Output 2 9 3 7 2" xfId="7910" xr:uid="{00000000-0005-0000-0000-0000857B0000}"/>
    <cellStyle name="Output 2 9 3 7 2 2" xfId="33022" xr:uid="{00000000-0005-0000-0000-0000867B0000}"/>
    <cellStyle name="Output 2 9 3 7 2 3" xfId="14947" xr:uid="{00000000-0005-0000-0000-0000877B0000}"/>
    <cellStyle name="Output 2 9 3 7 2 4" xfId="14951" xr:uid="{00000000-0005-0000-0000-0000887B0000}"/>
    <cellStyle name="Output 2 9 3 7 3" xfId="7913" xr:uid="{00000000-0005-0000-0000-0000897B0000}"/>
    <cellStyle name="Output 2 9 3 7 3 2" xfId="33023" xr:uid="{00000000-0005-0000-0000-00008A7B0000}"/>
    <cellStyle name="Output 2 9 3 7 3 3" xfId="14963" xr:uid="{00000000-0005-0000-0000-00008B7B0000}"/>
    <cellStyle name="Output 2 9 3 7 3 4" xfId="14967" xr:uid="{00000000-0005-0000-0000-00008C7B0000}"/>
    <cellStyle name="Output 2 9 3 7 4" xfId="7916" xr:uid="{00000000-0005-0000-0000-00008D7B0000}"/>
    <cellStyle name="Output 2 9 3 7 4 2" xfId="33024" xr:uid="{00000000-0005-0000-0000-00008E7B0000}"/>
    <cellStyle name="Output 2 9 3 7 4 3" xfId="14978" xr:uid="{00000000-0005-0000-0000-00008F7B0000}"/>
    <cellStyle name="Output 2 9 3 7 5" xfId="33025" xr:uid="{00000000-0005-0000-0000-0000907B0000}"/>
    <cellStyle name="Output 2 9 3 7 5 2" xfId="33026" xr:uid="{00000000-0005-0000-0000-0000917B0000}"/>
    <cellStyle name="Output 2 9 3 7 5 3" xfId="14990" xr:uid="{00000000-0005-0000-0000-0000927B0000}"/>
    <cellStyle name="Output 2 9 3 7 6" xfId="31387" xr:uid="{00000000-0005-0000-0000-0000937B0000}"/>
    <cellStyle name="Output 2 9 3 7 7" xfId="31389" xr:uid="{00000000-0005-0000-0000-0000947B0000}"/>
    <cellStyle name="Output 2 9 3 8" xfId="7920" xr:uid="{00000000-0005-0000-0000-0000957B0000}"/>
    <cellStyle name="Output 2 9 3 8 2" xfId="7924" xr:uid="{00000000-0005-0000-0000-0000967B0000}"/>
    <cellStyle name="Output 2 9 3 8 2 2" xfId="11057" xr:uid="{00000000-0005-0000-0000-0000977B0000}"/>
    <cellStyle name="Output 2 9 3 8 2 3" xfId="11063" xr:uid="{00000000-0005-0000-0000-0000987B0000}"/>
    <cellStyle name="Output 2 9 3 8 2 4" xfId="19847" xr:uid="{00000000-0005-0000-0000-0000997B0000}"/>
    <cellStyle name="Output 2 9 3 8 3" xfId="7928" xr:uid="{00000000-0005-0000-0000-00009A7B0000}"/>
    <cellStyle name="Output 2 9 3 8 3 2" xfId="10267" xr:uid="{00000000-0005-0000-0000-00009B7B0000}"/>
    <cellStyle name="Output 2 9 3 8 3 3" xfId="10270" xr:uid="{00000000-0005-0000-0000-00009C7B0000}"/>
    <cellStyle name="Output 2 9 3 8 3 4" xfId="30044" xr:uid="{00000000-0005-0000-0000-00009D7B0000}"/>
    <cellStyle name="Output 2 9 3 8 4" xfId="30047" xr:uid="{00000000-0005-0000-0000-00009E7B0000}"/>
    <cellStyle name="Output 2 9 3 8 4 2" xfId="10293" xr:uid="{00000000-0005-0000-0000-00009F7B0000}"/>
    <cellStyle name="Output 2 9 3 8 4 3" xfId="10296" xr:uid="{00000000-0005-0000-0000-0000A07B0000}"/>
    <cellStyle name="Output 2 9 3 8 5" xfId="30050" xr:uid="{00000000-0005-0000-0000-0000A17B0000}"/>
    <cellStyle name="Output 2 9 3 8 5 2" xfId="10312" xr:uid="{00000000-0005-0000-0000-0000A27B0000}"/>
    <cellStyle name="Output 2 9 3 8 5 3" xfId="10316" xr:uid="{00000000-0005-0000-0000-0000A37B0000}"/>
    <cellStyle name="Output 2 9 3 8 6" xfId="30053" xr:uid="{00000000-0005-0000-0000-0000A47B0000}"/>
    <cellStyle name="Output 2 9 3 8 7" xfId="30056" xr:uid="{00000000-0005-0000-0000-0000A57B0000}"/>
    <cellStyle name="Output 2 9 3 9" xfId="6511" xr:uid="{00000000-0005-0000-0000-0000A67B0000}"/>
    <cellStyle name="Output 2 9 3 9 2" xfId="6515" xr:uid="{00000000-0005-0000-0000-0000A77B0000}"/>
    <cellStyle name="Output 2 9 3 9 2 2" xfId="22823" xr:uid="{00000000-0005-0000-0000-0000A87B0000}"/>
    <cellStyle name="Output 2 9 3 9 2 3" xfId="22832" xr:uid="{00000000-0005-0000-0000-0000A97B0000}"/>
    <cellStyle name="Output 2 9 3 9 2 4" xfId="22838" xr:uid="{00000000-0005-0000-0000-0000AA7B0000}"/>
    <cellStyle name="Output 2 9 3 9 3" xfId="6519" xr:uid="{00000000-0005-0000-0000-0000AB7B0000}"/>
    <cellStyle name="Output 2 9 3 9 3 2" xfId="10513" xr:uid="{00000000-0005-0000-0000-0000AC7B0000}"/>
    <cellStyle name="Output 2 9 3 9 3 3" xfId="10515" xr:uid="{00000000-0005-0000-0000-0000AD7B0000}"/>
    <cellStyle name="Output 2 9 3 9 3 4" xfId="33027" xr:uid="{00000000-0005-0000-0000-0000AE7B0000}"/>
    <cellStyle name="Output 2 9 3 9 4" xfId="6523" xr:uid="{00000000-0005-0000-0000-0000AF7B0000}"/>
    <cellStyle name="Output 2 9 3 9 4 2" xfId="10533" xr:uid="{00000000-0005-0000-0000-0000B07B0000}"/>
    <cellStyle name="Output 2 9 3 9 4 3" xfId="10535" xr:uid="{00000000-0005-0000-0000-0000B17B0000}"/>
    <cellStyle name="Output 2 9 3 9 5" xfId="33028" xr:uid="{00000000-0005-0000-0000-0000B27B0000}"/>
    <cellStyle name="Output 2 9 3 9 5 2" xfId="10553" xr:uid="{00000000-0005-0000-0000-0000B37B0000}"/>
    <cellStyle name="Output 2 9 3 9 5 3" xfId="10555" xr:uid="{00000000-0005-0000-0000-0000B47B0000}"/>
    <cellStyle name="Output 2 9 3 9 6" xfId="31394" xr:uid="{00000000-0005-0000-0000-0000B57B0000}"/>
    <cellStyle name="Output 2 9 3 9 7" xfId="26326" xr:uid="{00000000-0005-0000-0000-0000B67B0000}"/>
    <cellStyle name="Output 2 9 4" xfId="17779" xr:uid="{00000000-0005-0000-0000-0000B77B0000}"/>
    <cellStyle name="Output 2 9 4 2" xfId="17781" xr:uid="{00000000-0005-0000-0000-0000B87B0000}"/>
    <cellStyle name="Output 2 9 4 2 2" xfId="31343" xr:uid="{00000000-0005-0000-0000-0000B97B0000}"/>
    <cellStyle name="Output 2 9 4 2 3" xfId="33029" xr:uid="{00000000-0005-0000-0000-0000BA7B0000}"/>
    <cellStyle name="Output 2 9 4 2 4" xfId="33030" xr:uid="{00000000-0005-0000-0000-0000BB7B0000}"/>
    <cellStyle name="Output 2 9 4 3" xfId="9199" xr:uid="{00000000-0005-0000-0000-0000BC7B0000}"/>
    <cellStyle name="Output 2 9 4 3 2" xfId="31302" xr:uid="{00000000-0005-0000-0000-0000BD7B0000}"/>
    <cellStyle name="Output 2 9 4 3 3" xfId="31305" xr:uid="{00000000-0005-0000-0000-0000BE7B0000}"/>
    <cellStyle name="Output 2 9 4 3 4" xfId="31308" xr:uid="{00000000-0005-0000-0000-0000BF7B0000}"/>
    <cellStyle name="Output 2 9 4 4" xfId="30864" xr:uid="{00000000-0005-0000-0000-0000C07B0000}"/>
    <cellStyle name="Output 2 9 4 4 2" xfId="33031" xr:uid="{00000000-0005-0000-0000-0000C17B0000}"/>
    <cellStyle name="Output 2 9 4 4 3" xfId="33032" xr:uid="{00000000-0005-0000-0000-0000C27B0000}"/>
    <cellStyle name="Output 2 9 4 5" xfId="30866" xr:uid="{00000000-0005-0000-0000-0000C37B0000}"/>
    <cellStyle name="Output 2 9 4 5 2" xfId="26101" xr:uid="{00000000-0005-0000-0000-0000C47B0000}"/>
    <cellStyle name="Output 2 9 4 5 3" xfId="26105" xr:uid="{00000000-0005-0000-0000-0000C57B0000}"/>
    <cellStyle name="Output 2 9 4 6" xfId="32713" xr:uid="{00000000-0005-0000-0000-0000C67B0000}"/>
    <cellStyle name="Output 2 9 4 7" xfId="32715" xr:uid="{00000000-0005-0000-0000-0000C77B0000}"/>
    <cellStyle name="Output 2 9 5" xfId="17783" xr:uid="{00000000-0005-0000-0000-0000C87B0000}"/>
    <cellStyle name="Output 2 9 5 2" xfId="9467" xr:uid="{00000000-0005-0000-0000-0000C97B0000}"/>
    <cellStyle name="Output 2 9 5 2 2" xfId="9473" xr:uid="{00000000-0005-0000-0000-0000CA7B0000}"/>
    <cellStyle name="Output 2 9 5 2 3" xfId="9478" xr:uid="{00000000-0005-0000-0000-0000CB7B0000}"/>
    <cellStyle name="Output 2 9 5 2 4" xfId="9482" xr:uid="{00000000-0005-0000-0000-0000CC7B0000}"/>
    <cellStyle name="Output 2 9 5 3" xfId="9206" xr:uid="{00000000-0005-0000-0000-0000CD7B0000}"/>
    <cellStyle name="Output 2 9 5 3 2" xfId="9495" xr:uid="{00000000-0005-0000-0000-0000CE7B0000}"/>
    <cellStyle name="Output 2 9 5 3 3" xfId="9504" xr:uid="{00000000-0005-0000-0000-0000CF7B0000}"/>
    <cellStyle name="Output 2 9 5 3 4" xfId="9512" xr:uid="{00000000-0005-0000-0000-0000D07B0000}"/>
    <cellStyle name="Output 2 9 5 4" xfId="2532" xr:uid="{00000000-0005-0000-0000-0000D17B0000}"/>
    <cellStyle name="Output 2 9 5 4 2" xfId="2538" xr:uid="{00000000-0005-0000-0000-0000D27B0000}"/>
    <cellStyle name="Output 2 9 5 4 3" xfId="4879" xr:uid="{00000000-0005-0000-0000-0000D37B0000}"/>
    <cellStyle name="Output 2 9 5 5" xfId="4903" xr:uid="{00000000-0005-0000-0000-0000D47B0000}"/>
    <cellStyle name="Output 2 9 5 5 2" xfId="4442" xr:uid="{00000000-0005-0000-0000-0000D57B0000}"/>
    <cellStyle name="Output 2 9 5 5 3" xfId="4931" xr:uid="{00000000-0005-0000-0000-0000D67B0000}"/>
    <cellStyle name="Output 2 9 5 6" xfId="4962" xr:uid="{00000000-0005-0000-0000-0000D77B0000}"/>
    <cellStyle name="Output 2 9 5 7" xfId="5015" xr:uid="{00000000-0005-0000-0000-0000D87B0000}"/>
    <cellStyle name="Output 2 9 6" xfId="17786" xr:uid="{00000000-0005-0000-0000-0000D97B0000}"/>
    <cellStyle name="Output 2 9 6 2" xfId="9775" xr:uid="{00000000-0005-0000-0000-0000DA7B0000}"/>
    <cellStyle name="Output 2 9 6 2 2" xfId="9778" xr:uid="{00000000-0005-0000-0000-0000DB7B0000}"/>
    <cellStyle name="Output 2 9 6 2 3" xfId="9783" xr:uid="{00000000-0005-0000-0000-0000DC7B0000}"/>
    <cellStyle name="Output 2 9 6 2 4" xfId="9788" xr:uid="{00000000-0005-0000-0000-0000DD7B0000}"/>
    <cellStyle name="Output 2 9 6 3" xfId="9209" xr:uid="{00000000-0005-0000-0000-0000DE7B0000}"/>
    <cellStyle name="Output 2 9 6 3 2" xfId="9799" xr:uid="{00000000-0005-0000-0000-0000DF7B0000}"/>
    <cellStyle name="Output 2 9 6 3 3" xfId="9806" xr:uid="{00000000-0005-0000-0000-0000E07B0000}"/>
    <cellStyle name="Output 2 9 6 3 4" xfId="9812" xr:uid="{00000000-0005-0000-0000-0000E17B0000}"/>
    <cellStyle name="Output 2 9 6 4" xfId="33033" xr:uid="{00000000-0005-0000-0000-0000E27B0000}"/>
    <cellStyle name="Output 2 9 6 4 2" xfId="11722" xr:uid="{00000000-0005-0000-0000-0000E37B0000}"/>
    <cellStyle name="Output 2 9 6 4 3" xfId="11724" xr:uid="{00000000-0005-0000-0000-0000E47B0000}"/>
    <cellStyle name="Output 2 9 6 5" xfId="33034" xr:uid="{00000000-0005-0000-0000-0000E57B0000}"/>
    <cellStyle name="Output 2 9 6 5 2" xfId="11728" xr:uid="{00000000-0005-0000-0000-0000E67B0000}"/>
    <cellStyle name="Output 2 9 6 5 3" xfId="33035" xr:uid="{00000000-0005-0000-0000-0000E77B0000}"/>
    <cellStyle name="Output 2 9 6 6" xfId="33036" xr:uid="{00000000-0005-0000-0000-0000E87B0000}"/>
    <cellStyle name="Output 2 9 6 7" xfId="33037" xr:uid="{00000000-0005-0000-0000-0000E97B0000}"/>
    <cellStyle name="Output 2 9 7" xfId="24909" xr:uid="{00000000-0005-0000-0000-0000EA7B0000}"/>
    <cellStyle name="Output 2 9 7 2" xfId="9848" xr:uid="{00000000-0005-0000-0000-0000EB7B0000}"/>
    <cellStyle name="Output 2 9 7 2 2" xfId="19041" xr:uid="{00000000-0005-0000-0000-0000EC7B0000}"/>
    <cellStyle name="Output 2 9 7 2 3" xfId="19050" xr:uid="{00000000-0005-0000-0000-0000ED7B0000}"/>
    <cellStyle name="Output 2 9 7 2 4" xfId="19056" xr:uid="{00000000-0005-0000-0000-0000EE7B0000}"/>
    <cellStyle name="Output 2 9 7 3" xfId="33038" xr:uid="{00000000-0005-0000-0000-0000EF7B0000}"/>
    <cellStyle name="Output 2 9 7 3 2" xfId="11742" xr:uid="{00000000-0005-0000-0000-0000F07B0000}"/>
    <cellStyle name="Output 2 9 7 3 3" xfId="11746" xr:uid="{00000000-0005-0000-0000-0000F17B0000}"/>
    <cellStyle name="Output 2 9 7 3 4" xfId="19080" xr:uid="{00000000-0005-0000-0000-0000F27B0000}"/>
    <cellStyle name="Output 2 9 7 4" xfId="33039" xr:uid="{00000000-0005-0000-0000-0000F37B0000}"/>
    <cellStyle name="Output 2 9 7 4 2" xfId="11754" xr:uid="{00000000-0005-0000-0000-0000F47B0000}"/>
    <cellStyle name="Output 2 9 7 4 3" xfId="11757" xr:uid="{00000000-0005-0000-0000-0000F57B0000}"/>
    <cellStyle name="Output 2 9 7 5" xfId="33040" xr:uid="{00000000-0005-0000-0000-0000F67B0000}"/>
    <cellStyle name="Output 2 9 7 5 2" xfId="11764" xr:uid="{00000000-0005-0000-0000-0000F77B0000}"/>
    <cellStyle name="Output 2 9 7 5 3" xfId="19096" xr:uid="{00000000-0005-0000-0000-0000F87B0000}"/>
    <cellStyle name="Output 2 9 7 6" xfId="33041" xr:uid="{00000000-0005-0000-0000-0000F97B0000}"/>
    <cellStyle name="Output 2 9 7 7" xfId="33042" xr:uid="{00000000-0005-0000-0000-0000FA7B0000}"/>
    <cellStyle name="Output 2 9 8" xfId="24911" xr:uid="{00000000-0005-0000-0000-0000FB7B0000}"/>
    <cellStyle name="Output 2 9 8 2" xfId="9891" xr:uid="{00000000-0005-0000-0000-0000FC7B0000}"/>
    <cellStyle name="Output 2 9 8 2 2" xfId="15035" xr:uid="{00000000-0005-0000-0000-0000FD7B0000}"/>
    <cellStyle name="Output 2 9 8 2 3" xfId="19685" xr:uid="{00000000-0005-0000-0000-0000FE7B0000}"/>
    <cellStyle name="Output 2 9 8 2 4" xfId="19691" xr:uid="{00000000-0005-0000-0000-0000FF7B0000}"/>
    <cellStyle name="Output 2 9 8 3" xfId="24854" xr:uid="{00000000-0005-0000-0000-0000007C0000}"/>
    <cellStyle name="Output 2 9 8 3 2" xfId="15061" xr:uid="{00000000-0005-0000-0000-0000017C0000}"/>
    <cellStyle name="Output 2 9 8 3 3" xfId="19711" xr:uid="{00000000-0005-0000-0000-0000027C0000}"/>
    <cellStyle name="Output 2 9 8 3 4" xfId="19717" xr:uid="{00000000-0005-0000-0000-0000037C0000}"/>
    <cellStyle name="Output 2 9 8 4" xfId="24858" xr:uid="{00000000-0005-0000-0000-0000047C0000}"/>
    <cellStyle name="Output 2 9 8 4 2" xfId="15092" xr:uid="{00000000-0005-0000-0000-0000057C0000}"/>
    <cellStyle name="Output 2 9 8 4 3" xfId="19736" xr:uid="{00000000-0005-0000-0000-0000067C0000}"/>
    <cellStyle name="Output 2 9 8 5" xfId="24862" xr:uid="{00000000-0005-0000-0000-0000077C0000}"/>
    <cellStyle name="Output 2 9 8 5 2" xfId="9575" xr:uid="{00000000-0005-0000-0000-0000087C0000}"/>
    <cellStyle name="Output 2 9 8 5 3" xfId="9589" xr:uid="{00000000-0005-0000-0000-0000097C0000}"/>
    <cellStyle name="Output 2 9 8 6" xfId="24866" xr:uid="{00000000-0005-0000-0000-00000A7C0000}"/>
    <cellStyle name="Output 2 9 8 7" xfId="27103" xr:uid="{00000000-0005-0000-0000-00000B7C0000}"/>
    <cellStyle name="Output 2 9 9" xfId="33043" xr:uid="{00000000-0005-0000-0000-00000C7C0000}"/>
    <cellStyle name="Output 2 9 9 2" xfId="9932" xr:uid="{00000000-0005-0000-0000-00000D7C0000}"/>
    <cellStyle name="Output 2 9 9 2 2" xfId="15630" xr:uid="{00000000-0005-0000-0000-00000E7C0000}"/>
    <cellStyle name="Output 2 9 9 2 3" xfId="20269" xr:uid="{00000000-0005-0000-0000-00000F7C0000}"/>
    <cellStyle name="Output 2 9 9 2 4" xfId="20275" xr:uid="{00000000-0005-0000-0000-0000107C0000}"/>
    <cellStyle name="Output 2 9 9 3" xfId="24878" xr:uid="{00000000-0005-0000-0000-0000117C0000}"/>
    <cellStyle name="Output 2 9 9 3 2" xfId="15659" xr:uid="{00000000-0005-0000-0000-0000127C0000}"/>
    <cellStyle name="Output 2 9 9 3 3" xfId="20288" xr:uid="{00000000-0005-0000-0000-0000137C0000}"/>
    <cellStyle name="Output 2 9 9 3 4" xfId="20292" xr:uid="{00000000-0005-0000-0000-0000147C0000}"/>
    <cellStyle name="Output 2 9 9 4" xfId="24881" xr:uid="{00000000-0005-0000-0000-0000157C0000}"/>
    <cellStyle name="Output 2 9 9 4 2" xfId="15690" xr:uid="{00000000-0005-0000-0000-0000167C0000}"/>
    <cellStyle name="Output 2 9 9 4 3" xfId="20306" xr:uid="{00000000-0005-0000-0000-0000177C0000}"/>
    <cellStyle name="Output 2 9 9 5" xfId="24886" xr:uid="{00000000-0005-0000-0000-0000187C0000}"/>
    <cellStyle name="Output 2 9 9 5 2" xfId="15712" xr:uid="{00000000-0005-0000-0000-0000197C0000}"/>
    <cellStyle name="Output 2 9 9 5 3" xfId="20322" xr:uid="{00000000-0005-0000-0000-00001A7C0000}"/>
    <cellStyle name="Output 2 9 9 6" xfId="24890" xr:uid="{00000000-0005-0000-0000-00001B7C0000}"/>
    <cellStyle name="Output 2 9 9 7" xfId="29188" xr:uid="{00000000-0005-0000-0000-00001C7C0000}"/>
    <cellStyle name="Output 3" xfId="12992" xr:uid="{00000000-0005-0000-0000-00001D7C0000}"/>
    <cellStyle name="Output 3 2" xfId="29017" xr:uid="{00000000-0005-0000-0000-00001E7C0000}"/>
    <cellStyle name="Output 3 2 2" xfId="33044" xr:uid="{00000000-0005-0000-0000-00001F7C0000}"/>
    <cellStyle name="Output 3 3" xfId="29019" xr:uid="{00000000-0005-0000-0000-0000207C0000}"/>
    <cellStyle name="Output 3 4" xfId="33045" xr:uid="{00000000-0005-0000-0000-0000217C0000}"/>
    <cellStyle name="Output 4" xfId="12995" xr:uid="{00000000-0005-0000-0000-0000227C0000}"/>
    <cellStyle name="Output 4 2" xfId="33046" xr:uid="{00000000-0005-0000-0000-0000237C0000}"/>
    <cellStyle name="Output 4 2 2" xfId="33047" xr:uid="{00000000-0005-0000-0000-0000247C0000}"/>
    <cellStyle name="Output 4 3" xfId="33048" xr:uid="{00000000-0005-0000-0000-0000257C0000}"/>
    <cellStyle name="Output 5" xfId="12998" xr:uid="{00000000-0005-0000-0000-0000267C0000}"/>
    <cellStyle name="Output 5 2" xfId="33049" xr:uid="{00000000-0005-0000-0000-0000277C0000}"/>
    <cellStyle name="Output 5 2 2" xfId="33050" xr:uid="{00000000-0005-0000-0000-0000287C0000}"/>
    <cellStyle name="Output 5 3" xfId="33051" xr:uid="{00000000-0005-0000-0000-0000297C0000}"/>
    <cellStyle name="Output 5 4" xfId="33052" xr:uid="{00000000-0005-0000-0000-00002A7C0000}"/>
    <cellStyle name="Output 6" xfId="9307" xr:uid="{00000000-0005-0000-0000-00002B7C0000}"/>
    <cellStyle name="Output 6 2" xfId="9311" xr:uid="{00000000-0005-0000-0000-00002C7C0000}"/>
    <cellStyle name="Output 6 2 2" xfId="1276" xr:uid="{00000000-0005-0000-0000-00002D7C0000}"/>
    <cellStyle name="Output 6 3" xfId="5171" xr:uid="{00000000-0005-0000-0000-00002E7C0000}"/>
    <cellStyle name="Output 6 4" xfId="5178" xr:uid="{00000000-0005-0000-0000-00002F7C0000}"/>
    <cellStyle name="Output 7" xfId="9315" xr:uid="{00000000-0005-0000-0000-0000307C0000}"/>
    <cellStyle name="Percent" xfId="39115" builtinId="5"/>
    <cellStyle name="Percent [2]" xfId="8901" xr:uid="{00000000-0005-0000-0000-0000317C0000}"/>
    <cellStyle name="Percent [2] 2" xfId="33053" xr:uid="{00000000-0005-0000-0000-0000327C0000}"/>
    <cellStyle name="Percent [2] 2 2" xfId="33054" xr:uid="{00000000-0005-0000-0000-0000337C0000}"/>
    <cellStyle name="Percent 2" xfId="33055" xr:uid="{00000000-0005-0000-0000-0000347C0000}"/>
    <cellStyle name="Percent 2 2" xfId="33056" xr:uid="{00000000-0005-0000-0000-0000357C0000}"/>
    <cellStyle name="Percent 3" xfId="18630" xr:uid="{00000000-0005-0000-0000-0000367C0000}"/>
    <cellStyle name="Sheet Title" xfId="991" xr:uid="{00000000-0005-0000-0000-0000377C0000}"/>
    <cellStyle name="Standard_Vanderlande Matrix neu" xfId="27682" xr:uid="{00000000-0005-0000-0000-0000387C0000}"/>
    <cellStyle name="Style 1" xfId="12584" xr:uid="{00000000-0005-0000-0000-0000397C0000}"/>
    <cellStyle name="Title 2" xfId="33057" xr:uid="{00000000-0005-0000-0000-00003A7C0000}"/>
    <cellStyle name="Title 2 2" xfId="21096" xr:uid="{00000000-0005-0000-0000-00003B7C0000}"/>
    <cellStyle name="Title 2 2 2" xfId="579" xr:uid="{00000000-0005-0000-0000-00003C7C0000}"/>
    <cellStyle name="Title 2 2 2 2" xfId="33058" xr:uid="{00000000-0005-0000-0000-00003D7C0000}"/>
    <cellStyle name="Title 2 2 2 2 2" xfId="33059" xr:uid="{00000000-0005-0000-0000-00003E7C0000}"/>
    <cellStyle name="Title 2 2 2 2 2 2" xfId="12930" xr:uid="{00000000-0005-0000-0000-00003F7C0000}"/>
    <cellStyle name="Title 2 2 2 2 2 2 2" xfId="12934" xr:uid="{00000000-0005-0000-0000-0000407C0000}"/>
    <cellStyle name="Title 2 2 2 2 3" xfId="33060" xr:uid="{00000000-0005-0000-0000-0000417C0000}"/>
    <cellStyle name="Title 2 2 2 3" xfId="29574" xr:uid="{00000000-0005-0000-0000-0000427C0000}"/>
    <cellStyle name="Title 2 2 3" xfId="32298" xr:uid="{00000000-0005-0000-0000-0000437C0000}"/>
    <cellStyle name="Title 2 2 4" xfId="21038" xr:uid="{00000000-0005-0000-0000-0000447C0000}"/>
    <cellStyle name="Title 2 2 5" xfId="21040" xr:uid="{00000000-0005-0000-0000-0000457C0000}"/>
    <cellStyle name="Title 2 2 6" xfId="21042" xr:uid="{00000000-0005-0000-0000-0000467C0000}"/>
    <cellStyle name="Title 2 2 7" xfId="33061" xr:uid="{00000000-0005-0000-0000-0000477C0000}"/>
    <cellStyle name="Title 2 2 8" xfId="33062" xr:uid="{00000000-0005-0000-0000-0000487C0000}"/>
    <cellStyle name="Title 2 3" xfId="33063" xr:uid="{00000000-0005-0000-0000-0000497C0000}"/>
    <cellStyle name="Title 2 4" xfId="33064" xr:uid="{00000000-0005-0000-0000-00004A7C0000}"/>
    <cellStyle name="Title 2 4 2" xfId="20443" xr:uid="{00000000-0005-0000-0000-00004B7C0000}"/>
    <cellStyle name="Title 2 4 2 2" xfId="5488" xr:uid="{00000000-0005-0000-0000-00004C7C0000}"/>
    <cellStyle name="Title 2 4 2 2 2" xfId="33065" xr:uid="{00000000-0005-0000-0000-00004D7C0000}"/>
    <cellStyle name="Title 2 4 3" xfId="33066" xr:uid="{00000000-0005-0000-0000-00004E7C0000}"/>
    <cellStyle name="Title 2 5" xfId="9662" xr:uid="{00000000-0005-0000-0000-00004F7C0000}"/>
    <cellStyle name="Title 2 6" xfId="9664" xr:uid="{00000000-0005-0000-0000-0000507C0000}"/>
    <cellStyle name="Title 2 7" xfId="27820" xr:uid="{00000000-0005-0000-0000-0000517C0000}"/>
    <cellStyle name="Title 2 8" xfId="27826" xr:uid="{00000000-0005-0000-0000-0000527C0000}"/>
    <cellStyle name="Title 3" xfId="33067" xr:uid="{00000000-0005-0000-0000-0000537C0000}"/>
    <cellStyle name="Title 4" xfId="33068" xr:uid="{00000000-0005-0000-0000-0000547C0000}"/>
    <cellStyle name="Title 4 2" xfId="33069" xr:uid="{00000000-0005-0000-0000-0000557C0000}"/>
    <cellStyle name="Title 5" xfId="9230" xr:uid="{00000000-0005-0000-0000-0000567C0000}"/>
    <cellStyle name="Title 6" xfId="9232" xr:uid="{00000000-0005-0000-0000-0000577C0000}"/>
    <cellStyle name="Total 2" xfId="27654" xr:uid="{00000000-0005-0000-0000-0000587C0000}"/>
    <cellStyle name="Total 2 10" xfId="28291" xr:uid="{00000000-0005-0000-0000-0000597C0000}"/>
    <cellStyle name="Total 2 10 10" xfId="5110" xr:uid="{00000000-0005-0000-0000-00005A7C0000}"/>
    <cellStyle name="Total 2 10 10 2" xfId="933" xr:uid="{00000000-0005-0000-0000-00005B7C0000}"/>
    <cellStyle name="Total 2 10 10 2 2" xfId="33070" xr:uid="{00000000-0005-0000-0000-00005C7C0000}"/>
    <cellStyle name="Total 2 10 10 2 3" xfId="16250" xr:uid="{00000000-0005-0000-0000-00005D7C0000}"/>
    <cellStyle name="Total 2 10 10 2 4" xfId="16252" xr:uid="{00000000-0005-0000-0000-00005E7C0000}"/>
    <cellStyle name="Total 2 10 10 3" xfId="940" xr:uid="{00000000-0005-0000-0000-00005F7C0000}"/>
    <cellStyle name="Total 2 10 10 3 2" xfId="33071" xr:uid="{00000000-0005-0000-0000-0000607C0000}"/>
    <cellStyle name="Total 2 10 10 3 3" xfId="14316" xr:uid="{00000000-0005-0000-0000-0000617C0000}"/>
    <cellStyle name="Total 2 10 10 3 4" xfId="16256" xr:uid="{00000000-0005-0000-0000-0000627C0000}"/>
    <cellStyle name="Total 2 10 10 4" xfId="13104" xr:uid="{00000000-0005-0000-0000-0000637C0000}"/>
    <cellStyle name="Total 2 10 10 4 2" xfId="33072" xr:uid="{00000000-0005-0000-0000-0000647C0000}"/>
    <cellStyle name="Total 2 10 10 4 3" xfId="16258" xr:uid="{00000000-0005-0000-0000-0000657C0000}"/>
    <cellStyle name="Total 2 10 10 5" xfId="13106" xr:uid="{00000000-0005-0000-0000-0000667C0000}"/>
    <cellStyle name="Total 2 10 10 5 2" xfId="33073" xr:uid="{00000000-0005-0000-0000-0000677C0000}"/>
    <cellStyle name="Total 2 10 10 5 3" xfId="20844" xr:uid="{00000000-0005-0000-0000-0000687C0000}"/>
    <cellStyle name="Total 2 10 10 6" xfId="16995" xr:uid="{00000000-0005-0000-0000-0000697C0000}"/>
    <cellStyle name="Total 2 10 10 7" xfId="17004" xr:uid="{00000000-0005-0000-0000-00006A7C0000}"/>
    <cellStyle name="Total 2 10 11" xfId="5114" xr:uid="{00000000-0005-0000-0000-00006B7C0000}"/>
    <cellStyle name="Total 2 10 11 2" xfId="33074" xr:uid="{00000000-0005-0000-0000-00006C7C0000}"/>
    <cellStyle name="Total 2 10 11 2 2" xfId="33075" xr:uid="{00000000-0005-0000-0000-00006D7C0000}"/>
    <cellStyle name="Total 2 10 11 2 3" xfId="16267" xr:uid="{00000000-0005-0000-0000-00006E7C0000}"/>
    <cellStyle name="Total 2 10 11 2 4" xfId="16269" xr:uid="{00000000-0005-0000-0000-00006F7C0000}"/>
    <cellStyle name="Total 2 10 11 3" xfId="13109" xr:uid="{00000000-0005-0000-0000-0000707C0000}"/>
    <cellStyle name="Total 2 10 11 3 2" xfId="33076" xr:uid="{00000000-0005-0000-0000-0000717C0000}"/>
    <cellStyle name="Total 2 10 11 3 3" xfId="16273" xr:uid="{00000000-0005-0000-0000-0000727C0000}"/>
    <cellStyle name="Total 2 10 11 3 4" xfId="16275" xr:uid="{00000000-0005-0000-0000-0000737C0000}"/>
    <cellStyle name="Total 2 10 11 4" xfId="13111" xr:uid="{00000000-0005-0000-0000-0000747C0000}"/>
    <cellStyle name="Total 2 10 11 4 2" xfId="33077" xr:uid="{00000000-0005-0000-0000-0000757C0000}"/>
    <cellStyle name="Total 2 10 11 4 3" xfId="16278" xr:uid="{00000000-0005-0000-0000-0000767C0000}"/>
    <cellStyle name="Total 2 10 11 5" xfId="13113" xr:uid="{00000000-0005-0000-0000-0000777C0000}"/>
    <cellStyle name="Total 2 10 11 5 2" xfId="33078" xr:uid="{00000000-0005-0000-0000-0000787C0000}"/>
    <cellStyle name="Total 2 10 11 5 3" xfId="20856" xr:uid="{00000000-0005-0000-0000-0000797C0000}"/>
    <cellStyle name="Total 2 10 11 6" xfId="17026" xr:uid="{00000000-0005-0000-0000-00007A7C0000}"/>
    <cellStyle name="Total 2 10 11 7" xfId="17030" xr:uid="{00000000-0005-0000-0000-00007B7C0000}"/>
    <cellStyle name="Total 2 10 12" xfId="5118" xr:uid="{00000000-0005-0000-0000-00007C7C0000}"/>
    <cellStyle name="Total 2 10 12 2" xfId="31591" xr:uid="{00000000-0005-0000-0000-00007D7C0000}"/>
    <cellStyle name="Total 2 10 12 2 2" xfId="31593" xr:uid="{00000000-0005-0000-0000-00007E7C0000}"/>
    <cellStyle name="Total 2 10 12 2 3" xfId="16289" xr:uid="{00000000-0005-0000-0000-00007F7C0000}"/>
    <cellStyle name="Total 2 10 12 2 4" xfId="16292" xr:uid="{00000000-0005-0000-0000-0000807C0000}"/>
    <cellStyle name="Total 2 10 12 3" xfId="13117" xr:uid="{00000000-0005-0000-0000-0000817C0000}"/>
    <cellStyle name="Total 2 10 12 3 2" xfId="31599" xr:uid="{00000000-0005-0000-0000-0000827C0000}"/>
    <cellStyle name="Total 2 10 12 3 3" xfId="16297" xr:uid="{00000000-0005-0000-0000-0000837C0000}"/>
    <cellStyle name="Total 2 10 12 3 4" xfId="16300" xr:uid="{00000000-0005-0000-0000-0000847C0000}"/>
    <cellStyle name="Total 2 10 12 4" xfId="13120" xr:uid="{00000000-0005-0000-0000-0000857C0000}"/>
    <cellStyle name="Total 2 10 12 4 2" xfId="31601" xr:uid="{00000000-0005-0000-0000-0000867C0000}"/>
    <cellStyle name="Total 2 10 12 4 3" xfId="16304" xr:uid="{00000000-0005-0000-0000-0000877C0000}"/>
    <cellStyle name="Total 2 10 12 5" xfId="31603" xr:uid="{00000000-0005-0000-0000-0000887C0000}"/>
    <cellStyle name="Total 2 10 12 5 2" xfId="31605" xr:uid="{00000000-0005-0000-0000-0000897C0000}"/>
    <cellStyle name="Total 2 10 12 5 3" xfId="20862" xr:uid="{00000000-0005-0000-0000-00008A7C0000}"/>
    <cellStyle name="Total 2 10 12 6" xfId="17044" xr:uid="{00000000-0005-0000-0000-00008B7C0000}"/>
    <cellStyle name="Total 2 10 12 7" xfId="17050" xr:uid="{00000000-0005-0000-0000-00008C7C0000}"/>
    <cellStyle name="Total 2 10 13" xfId="2209" xr:uid="{00000000-0005-0000-0000-00008D7C0000}"/>
    <cellStyle name="Total 2 10 13 2" xfId="33079" xr:uid="{00000000-0005-0000-0000-00008E7C0000}"/>
    <cellStyle name="Total 2 10 13 3" xfId="13123" xr:uid="{00000000-0005-0000-0000-00008F7C0000}"/>
    <cellStyle name="Total 2 10 13 4" xfId="13125" xr:uid="{00000000-0005-0000-0000-0000907C0000}"/>
    <cellStyle name="Total 2 10 14" xfId="33080" xr:uid="{00000000-0005-0000-0000-0000917C0000}"/>
    <cellStyle name="Total 2 10 14 2" xfId="33081" xr:uid="{00000000-0005-0000-0000-0000927C0000}"/>
    <cellStyle name="Total 2 10 14 3" xfId="33082" xr:uid="{00000000-0005-0000-0000-0000937C0000}"/>
    <cellStyle name="Total 2 10 14 4" xfId="33083" xr:uid="{00000000-0005-0000-0000-0000947C0000}"/>
    <cellStyle name="Total 2 10 15" xfId="33085" xr:uid="{00000000-0005-0000-0000-0000957C0000}"/>
    <cellStyle name="Total 2 10 15 2" xfId="33086" xr:uid="{00000000-0005-0000-0000-0000967C0000}"/>
    <cellStyle name="Total 2 10 15 3" xfId="33087" xr:uid="{00000000-0005-0000-0000-0000977C0000}"/>
    <cellStyle name="Total 2 10 16" xfId="33088" xr:uid="{00000000-0005-0000-0000-0000987C0000}"/>
    <cellStyle name="Total 2 10 16 2" xfId="33089" xr:uid="{00000000-0005-0000-0000-0000997C0000}"/>
    <cellStyle name="Total 2 10 16 3" xfId="33090" xr:uid="{00000000-0005-0000-0000-00009A7C0000}"/>
    <cellStyle name="Total 2 10 17" xfId="33091" xr:uid="{00000000-0005-0000-0000-00009B7C0000}"/>
    <cellStyle name="Total 2 10 18" xfId="33092" xr:uid="{00000000-0005-0000-0000-00009C7C0000}"/>
    <cellStyle name="Total 2 10 19" xfId="33093" xr:uid="{00000000-0005-0000-0000-00009D7C0000}"/>
    <cellStyle name="Total 2 10 2" xfId="33094" xr:uid="{00000000-0005-0000-0000-00009E7C0000}"/>
    <cellStyle name="Total 2 10 2 10" xfId="33095" xr:uid="{00000000-0005-0000-0000-00009F7C0000}"/>
    <cellStyle name="Total 2 10 2 10 2" xfId="33096" xr:uid="{00000000-0005-0000-0000-0000A07C0000}"/>
    <cellStyle name="Total 2 10 2 10 2 2" xfId="31688" xr:uid="{00000000-0005-0000-0000-0000A17C0000}"/>
    <cellStyle name="Total 2 10 2 10 2 3" xfId="31690" xr:uid="{00000000-0005-0000-0000-0000A27C0000}"/>
    <cellStyle name="Total 2 10 2 10 2 4" xfId="33097" xr:uid="{00000000-0005-0000-0000-0000A37C0000}"/>
    <cellStyle name="Total 2 10 2 10 3" xfId="33098" xr:uid="{00000000-0005-0000-0000-0000A47C0000}"/>
    <cellStyle name="Total 2 10 2 10 3 2" xfId="31693" xr:uid="{00000000-0005-0000-0000-0000A57C0000}"/>
    <cellStyle name="Total 2 10 2 10 3 3" xfId="31695" xr:uid="{00000000-0005-0000-0000-0000A67C0000}"/>
    <cellStyle name="Total 2 10 2 10 3 4" xfId="33099" xr:uid="{00000000-0005-0000-0000-0000A77C0000}"/>
    <cellStyle name="Total 2 10 2 10 4" xfId="33100" xr:uid="{00000000-0005-0000-0000-0000A87C0000}"/>
    <cellStyle name="Total 2 10 2 10 4 2" xfId="11878" xr:uid="{00000000-0005-0000-0000-0000A97C0000}"/>
    <cellStyle name="Total 2 10 2 10 4 3" xfId="11883" xr:uid="{00000000-0005-0000-0000-0000AA7C0000}"/>
    <cellStyle name="Total 2 10 2 10 5" xfId="33101" xr:uid="{00000000-0005-0000-0000-0000AB7C0000}"/>
    <cellStyle name="Total 2 10 2 10 5 2" xfId="11904" xr:uid="{00000000-0005-0000-0000-0000AC7C0000}"/>
    <cellStyle name="Total 2 10 2 10 5 3" xfId="11909" xr:uid="{00000000-0005-0000-0000-0000AD7C0000}"/>
    <cellStyle name="Total 2 10 2 10 6" xfId="19021" xr:uid="{00000000-0005-0000-0000-0000AE7C0000}"/>
    <cellStyle name="Total 2 10 2 10 7" xfId="30290" xr:uid="{00000000-0005-0000-0000-0000AF7C0000}"/>
    <cellStyle name="Total 2 10 2 11" xfId="33102" xr:uid="{00000000-0005-0000-0000-0000B07C0000}"/>
    <cellStyle name="Total 2 10 2 11 2" xfId="33103" xr:uid="{00000000-0005-0000-0000-0000B17C0000}"/>
    <cellStyle name="Total 2 10 2 11 3" xfId="27308" xr:uid="{00000000-0005-0000-0000-0000B27C0000}"/>
    <cellStyle name="Total 2 10 2 11 4" xfId="27310" xr:uid="{00000000-0005-0000-0000-0000B37C0000}"/>
    <cellStyle name="Total 2 10 2 12" xfId="33104" xr:uid="{00000000-0005-0000-0000-0000B47C0000}"/>
    <cellStyle name="Total 2 10 2 12 2" xfId="33105" xr:uid="{00000000-0005-0000-0000-0000B57C0000}"/>
    <cellStyle name="Total 2 10 2 12 3" xfId="27314" xr:uid="{00000000-0005-0000-0000-0000B67C0000}"/>
    <cellStyle name="Total 2 10 2 12 4" xfId="27316" xr:uid="{00000000-0005-0000-0000-0000B77C0000}"/>
    <cellStyle name="Total 2 10 2 13" xfId="33106" xr:uid="{00000000-0005-0000-0000-0000B87C0000}"/>
    <cellStyle name="Total 2 10 2 13 2" xfId="33107" xr:uid="{00000000-0005-0000-0000-0000B97C0000}"/>
    <cellStyle name="Total 2 10 2 13 3" xfId="17927" xr:uid="{00000000-0005-0000-0000-0000BA7C0000}"/>
    <cellStyle name="Total 2 10 2 14" xfId="17086" xr:uid="{00000000-0005-0000-0000-0000BB7C0000}"/>
    <cellStyle name="Total 2 10 2 14 2" xfId="17088" xr:uid="{00000000-0005-0000-0000-0000BC7C0000}"/>
    <cellStyle name="Total 2 10 2 14 3" xfId="10780" xr:uid="{00000000-0005-0000-0000-0000BD7C0000}"/>
    <cellStyle name="Total 2 10 2 15" xfId="17095" xr:uid="{00000000-0005-0000-0000-0000BE7C0000}"/>
    <cellStyle name="Total 2 10 2 16" xfId="16348" xr:uid="{00000000-0005-0000-0000-0000BF7C0000}"/>
    <cellStyle name="Total 2 10 2 17" xfId="4953" xr:uid="{00000000-0005-0000-0000-0000C07C0000}"/>
    <cellStyle name="Total 2 10 2 2" xfId="33108" xr:uid="{00000000-0005-0000-0000-0000C17C0000}"/>
    <cellStyle name="Total 2 10 2 2 2" xfId="33109" xr:uid="{00000000-0005-0000-0000-0000C27C0000}"/>
    <cellStyle name="Total 2 10 2 2 2 2" xfId="33111" xr:uid="{00000000-0005-0000-0000-0000C37C0000}"/>
    <cellStyle name="Total 2 10 2 2 2 3" xfId="33112" xr:uid="{00000000-0005-0000-0000-0000C47C0000}"/>
    <cellStyle name="Total 2 10 2 2 2 4" xfId="33113" xr:uid="{00000000-0005-0000-0000-0000C57C0000}"/>
    <cellStyle name="Total 2 10 2 2 3" xfId="30330" xr:uid="{00000000-0005-0000-0000-0000C67C0000}"/>
    <cellStyle name="Total 2 10 2 2 3 2" xfId="30332" xr:uid="{00000000-0005-0000-0000-0000C77C0000}"/>
    <cellStyle name="Total 2 10 2 2 3 3" xfId="30334" xr:uid="{00000000-0005-0000-0000-0000C87C0000}"/>
    <cellStyle name="Total 2 10 2 2 3 4" xfId="30336" xr:uid="{00000000-0005-0000-0000-0000C97C0000}"/>
    <cellStyle name="Total 2 10 2 2 4" xfId="23037" xr:uid="{00000000-0005-0000-0000-0000CA7C0000}"/>
    <cellStyle name="Total 2 10 2 2 4 2" xfId="23040" xr:uid="{00000000-0005-0000-0000-0000CB7C0000}"/>
    <cellStyle name="Total 2 10 2 2 4 3" xfId="23043" xr:uid="{00000000-0005-0000-0000-0000CC7C0000}"/>
    <cellStyle name="Total 2 10 2 2 5" xfId="23050" xr:uid="{00000000-0005-0000-0000-0000CD7C0000}"/>
    <cellStyle name="Total 2 10 2 2 5 2" xfId="23053" xr:uid="{00000000-0005-0000-0000-0000CE7C0000}"/>
    <cellStyle name="Total 2 10 2 2 5 3" xfId="23056" xr:uid="{00000000-0005-0000-0000-0000CF7C0000}"/>
    <cellStyle name="Total 2 10 2 2 6" xfId="23065" xr:uid="{00000000-0005-0000-0000-0000D07C0000}"/>
    <cellStyle name="Total 2 10 2 2 7" xfId="23074" xr:uid="{00000000-0005-0000-0000-0000D17C0000}"/>
    <cellStyle name="Total 2 10 2 3" xfId="33114" xr:uid="{00000000-0005-0000-0000-0000D27C0000}"/>
    <cellStyle name="Total 2 10 2 3 2" xfId="573" xr:uid="{00000000-0005-0000-0000-0000D37C0000}"/>
    <cellStyle name="Total 2 10 2 3 2 2" xfId="577" xr:uid="{00000000-0005-0000-0000-0000D47C0000}"/>
    <cellStyle name="Total 2 10 2 3 2 3" xfId="591" xr:uid="{00000000-0005-0000-0000-0000D57C0000}"/>
    <cellStyle name="Total 2 10 2 3 2 4" xfId="33115" xr:uid="{00000000-0005-0000-0000-0000D67C0000}"/>
    <cellStyle name="Total 2 10 2 3 3" xfId="595" xr:uid="{00000000-0005-0000-0000-0000D77C0000}"/>
    <cellStyle name="Total 2 10 2 3 3 2" xfId="30434" xr:uid="{00000000-0005-0000-0000-0000D87C0000}"/>
    <cellStyle name="Total 2 10 2 3 3 3" xfId="30438" xr:uid="{00000000-0005-0000-0000-0000D97C0000}"/>
    <cellStyle name="Total 2 10 2 3 3 4" xfId="30442" xr:uid="{00000000-0005-0000-0000-0000DA7C0000}"/>
    <cellStyle name="Total 2 10 2 3 4" xfId="602" xr:uid="{00000000-0005-0000-0000-0000DB7C0000}"/>
    <cellStyle name="Total 2 10 2 3 4 2" xfId="23090" xr:uid="{00000000-0005-0000-0000-0000DC7C0000}"/>
    <cellStyle name="Total 2 10 2 3 4 3" xfId="23093" xr:uid="{00000000-0005-0000-0000-0000DD7C0000}"/>
    <cellStyle name="Total 2 10 2 3 5" xfId="610" xr:uid="{00000000-0005-0000-0000-0000DE7C0000}"/>
    <cellStyle name="Total 2 10 2 3 5 2" xfId="23099" xr:uid="{00000000-0005-0000-0000-0000DF7C0000}"/>
    <cellStyle name="Total 2 10 2 3 5 3" xfId="23102" xr:uid="{00000000-0005-0000-0000-0000E07C0000}"/>
    <cellStyle name="Total 2 10 2 3 6" xfId="487" xr:uid="{00000000-0005-0000-0000-0000E17C0000}"/>
    <cellStyle name="Total 2 10 2 3 7" xfId="23114" xr:uid="{00000000-0005-0000-0000-0000E27C0000}"/>
    <cellStyle name="Total 2 10 2 4" xfId="21133" xr:uid="{00000000-0005-0000-0000-0000E37C0000}"/>
    <cellStyle name="Total 2 10 2 4 2" xfId="17171" xr:uid="{00000000-0005-0000-0000-0000E47C0000}"/>
    <cellStyle name="Total 2 10 2 4 2 2" xfId="27626" xr:uid="{00000000-0005-0000-0000-0000E57C0000}"/>
    <cellStyle name="Total 2 10 2 4 2 3" xfId="27628" xr:uid="{00000000-0005-0000-0000-0000E67C0000}"/>
    <cellStyle name="Total 2 10 2 4 2 4" xfId="33116" xr:uid="{00000000-0005-0000-0000-0000E77C0000}"/>
    <cellStyle name="Total 2 10 2 4 3" xfId="12429" xr:uid="{00000000-0005-0000-0000-0000E87C0000}"/>
    <cellStyle name="Total 2 10 2 4 3 2" xfId="27638" xr:uid="{00000000-0005-0000-0000-0000E97C0000}"/>
    <cellStyle name="Total 2 10 2 4 3 3" xfId="192" xr:uid="{00000000-0005-0000-0000-0000EA7C0000}"/>
    <cellStyle name="Total 2 10 2 4 3 4" xfId="334" xr:uid="{00000000-0005-0000-0000-0000EB7C0000}"/>
    <cellStyle name="Total 2 10 2 4 4" xfId="12434" xr:uid="{00000000-0005-0000-0000-0000EC7C0000}"/>
    <cellStyle name="Total 2 10 2 4 4 2" xfId="26171" xr:uid="{00000000-0005-0000-0000-0000ED7C0000}"/>
    <cellStyle name="Total 2 10 2 4 4 3" xfId="397" xr:uid="{00000000-0005-0000-0000-0000EE7C0000}"/>
    <cellStyle name="Total 2 10 2 4 5" xfId="12439" xr:uid="{00000000-0005-0000-0000-0000EF7C0000}"/>
    <cellStyle name="Total 2 10 2 4 5 2" xfId="30526" xr:uid="{00000000-0005-0000-0000-0000F07C0000}"/>
    <cellStyle name="Total 2 10 2 4 5 3" xfId="413" xr:uid="{00000000-0005-0000-0000-0000F17C0000}"/>
    <cellStyle name="Total 2 10 2 4 6" xfId="26803" xr:uid="{00000000-0005-0000-0000-0000F27C0000}"/>
    <cellStyle name="Total 2 10 2 4 7" xfId="26807" xr:uid="{00000000-0005-0000-0000-0000F37C0000}"/>
    <cellStyle name="Total 2 10 2 5" xfId="21135" xr:uid="{00000000-0005-0000-0000-0000F47C0000}"/>
    <cellStyle name="Total 2 10 2 5 2" xfId="633" xr:uid="{00000000-0005-0000-0000-0000F57C0000}"/>
    <cellStyle name="Total 2 10 2 5 2 2" xfId="27739" xr:uid="{00000000-0005-0000-0000-0000F67C0000}"/>
    <cellStyle name="Total 2 10 2 5 2 3" xfId="27741" xr:uid="{00000000-0005-0000-0000-0000F77C0000}"/>
    <cellStyle name="Total 2 10 2 5 2 4" xfId="33117" xr:uid="{00000000-0005-0000-0000-0000F87C0000}"/>
    <cellStyle name="Total 2 10 2 5 3" xfId="12446" xr:uid="{00000000-0005-0000-0000-0000F97C0000}"/>
    <cellStyle name="Total 2 10 2 5 3 2" xfId="17124" xr:uid="{00000000-0005-0000-0000-0000FA7C0000}"/>
    <cellStyle name="Total 2 10 2 5 3 3" xfId="468" xr:uid="{00000000-0005-0000-0000-0000FB7C0000}"/>
    <cellStyle name="Total 2 10 2 5 3 4" xfId="566" xr:uid="{00000000-0005-0000-0000-0000FC7C0000}"/>
    <cellStyle name="Total 2 10 2 5 4" xfId="12451" xr:uid="{00000000-0005-0000-0000-0000FD7C0000}"/>
    <cellStyle name="Total 2 10 2 5 4 2" xfId="17150" xr:uid="{00000000-0005-0000-0000-0000FE7C0000}"/>
    <cellStyle name="Total 2 10 2 5 4 3" xfId="17157" xr:uid="{00000000-0005-0000-0000-0000FF7C0000}"/>
    <cellStyle name="Total 2 10 2 5 5" xfId="12455" xr:uid="{00000000-0005-0000-0000-0000007D0000}"/>
    <cellStyle name="Total 2 10 2 5 5 2" xfId="17191" xr:uid="{00000000-0005-0000-0000-0000017D0000}"/>
    <cellStyle name="Total 2 10 2 5 5 3" xfId="622" xr:uid="{00000000-0005-0000-0000-0000027D0000}"/>
    <cellStyle name="Total 2 10 2 5 6" xfId="26810" xr:uid="{00000000-0005-0000-0000-0000037D0000}"/>
    <cellStyle name="Total 2 10 2 5 7" xfId="26813" xr:uid="{00000000-0005-0000-0000-0000047D0000}"/>
    <cellStyle name="Total 2 10 2 6" xfId="21137" xr:uid="{00000000-0005-0000-0000-0000057D0000}"/>
    <cellStyle name="Total 2 10 2 6 2" xfId="17230" xr:uid="{00000000-0005-0000-0000-0000067D0000}"/>
    <cellStyle name="Total 2 10 2 6 2 2" xfId="33118" xr:uid="{00000000-0005-0000-0000-0000077D0000}"/>
    <cellStyle name="Total 2 10 2 6 2 3" xfId="33119" xr:uid="{00000000-0005-0000-0000-0000087D0000}"/>
    <cellStyle name="Total 2 10 2 6 2 4" xfId="33120" xr:uid="{00000000-0005-0000-0000-0000097D0000}"/>
    <cellStyle name="Total 2 10 2 6 3" xfId="12463" xr:uid="{00000000-0005-0000-0000-00000A7D0000}"/>
    <cellStyle name="Total 2 10 2 6 3 2" xfId="17390" xr:uid="{00000000-0005-0000-0000-00000B7D0000}"/>
    <cellStyle name="Total 2 10 2 6 3 3" xfId="645" xr:uid="{00000000-0005-0000-0000-00000C7D0000}"/>
    <cellStyle name="Total 2 10 2 6 3 4" xfId="698" xr:uid="{00000000-0005-0000-0000-00000D7D0000}"/>
    <cellStyle name="Total 2 10 2 6 4" xfId="12467" xr:uid="{00000000-0005-0000-0000-00000E7D0000}"/>
    <cellStyle name="Total 2 10 2 6 4 2" xfId="17400" xr:uid="{00000000-0005-0000-0000-00000F7D0000}"/>
    <cellStyle name="Total 2 10 2 6 4 3" xfId="17407" xr:uid="{00000000-0005-0000-0000-0000107D0000}"/>
    <cellStyle name="Total 2 10 2 6 5" xfId="30531" xr:uid="{00000000-0005-0000-0000-0000117D0000}"/>
    <cellStyle name="Total 2 10 2 6 5 2" xfId="17423" xr:uid="{00000000-0005-0000-0000-0000127D0000}"/>
    <cellStyle name="Total 2 10 2 6 5 3" xfId="730" xr:uid="{00000000-0005-0000-0000-0000137D0000}"/>
    <cellStyle name="Total 2 10 2 6 6" xfId="30533" xr:uid="{00000000-0005-0000-0000-0000147D0000}"/>
    <cellStyle name="Total 2 10 2 6 7" xfId="30535" xr:uid="{00000000-0005-0000-0000-0000157D0000}"/>
    <cellStyle name="Total 2 10 2 7" xfId="33121" xr:uid="{00000000-0005-0000-0000-0000167D0000}"/>
    <cellStyle name="Total 2 10 2 7 2" xfId="17254" xr:uid="{00000000-0005-0000-0000-0000177D0000}"/>
    <cellStyle name="Total 2 10 2 7 2 2" xfId="33122" xr:uid="{00000000-0005-0000-0000-0000187D0000}"/>
    <cellStyle name="Total 2 10 2 7 2 3" xfId="33123" xr:uid="{00000000-0005-0000-0000-0000197D0000}"/>
    <cellStyle name="Total 2 10 2 7 2 4" xfId="33124" xr:uid="{00000000-0005-0000-0000-00001A7D0000}"/>
    <cellStyle name="Total 2 10 2 7 3" xfId="12474" xr:uid="{00000000-0005-0000-0000-00001B7D0000}"/>
    <cellStyle name="Total 2 10 2 7 3 2" xfId="17511" xr:uid="{00000000-0005-0000-0000-00001C7D0000}"/>
    <cellStyle name="Total 2 10 2 7 3 3" xfId="745" xr:uid="{00000000-0005-0000-0000-00001D7D0000}"/>
    <cellStyle name="Total 2 10 2 7 3 4" xfId="803" xr:uid="{00000000-0005-0000-0000-00001E7D0000}"/>
    <cellStyle name="Total 2 10 2 7 4" xfId="12477" xr:uid="{00000000-0005-0000-0000-00001F7D0000}"/>
    <cellStyle name="Total 2 10 2 7 4 2" xfId="17518" xr:uid="{00000000-0005-0000-0000-0000207D0000}"/>
    <cellStyle name="Total 2 10 2 7 4 3" xfId="30538" xr:uid="{00000000-0005-0000-0000-0000217D0000}"/>
    <cellStyle name="Total 2 10 2 7 5" xfId="30542" xr:uid="{00000000-0005-0000-0000-0000227D0000}"/>
    <cellStyle name="Total 2 10 2 7 5 2" xfId="30544" xr:uid="{00000000-0005-0000-0000-0000237D0000}"/>
    <cellStyle name="Total 2 10 2 7 5 3" xfId="818" xr:uid="{00000000-0005-0000-0000-0000247D0000}"/>
    <cellStyle name="Total 2 10 2 7 6" xfId="30546" xr:uid="{00000000-0005-0000-0000-0000257D0000}"/>
    <cellStyle name="Total 2 10 2 7 7" xfId="30550" xr:uid="{00000000-0005-0000-0000-0000267D0000}"/>
    <cellStyle name="Total 2 10 2 8" xfId="9699" xr:uid="{00000000-0005-0000-0000-0000277D0000}"/>
    <cellStyle name="Total 2 10 2 8 2" xfId="17275" xr:uid="{00000000-0005-0000-0000-0000287D0000}"/>
    <cellStyle name="Total 2 10 2 8 2 2" xfId="33125" xr:uid="{00000000-0005-0000-0000-0000297D0000}"/>
    <cellStyle name="Total 2 10 2 8 2 3" xfId="33126" xr:uid="{00000000-0005-0000-0000-00002A7D0000}"/>
    <cellStyle name="Total 2 10 2 8 2 4" xfId="33127" xr:uid="{00000000-0005-0000-0000-00002B7D0000}"/>
    <cellStyle name="Total 2 10 2 8 3" xfId="30554" xr:uid="{00000000-0005-0000-0000-00002C7D0000}"/>
    <cellStyle name="Total 2 10 2 8 3 2" xfId="17539" xr:uid="{00000000-0005-0000-0000-00002D7D0000}"/>
    <cellStyle name="Total 2 10 2 8 3 3" xfId="839" xr:uid="{00000000-0005-0000-0000-00002E7D0000}"/>
    <cellStyle name="Total 2 10 2 8 3 4" xfId="479" xr:uid="{00000000-0005-0000-0000-00002F7D0000}"/>
    <cellStyle name="Total 2 10 2 8 4" xfId="30556" xr:uid="{00000000-0005-0000-0000-0000307D0000}"/>
    <cellStyle name="Total 2 10 2 8 4 2" xfId="17546" xr:uid="{00000000-0005-0000-0000-0000317D0000}"/>
    <cellStyle name="Total 2 10 2 8 4 3" xfId="142" xr:uid="{00000000-0005-0000-0000-0000327D0000}"/>
    <cellStyle name="Total 2 10 2 8 5" xfId="26097" xr:uid="{00000000-0005-0000-0000-0000337D0000}"/>
    <cellStyle name="Total 2 10 2 8 5 2" xfId="18462" xr:uid="{00000000-0005-0000-0000-0000347D0000}"/>
    <cellStyle name="Total 2 10 2 8 5 3" xfId="998" xr:uid="{00000000-0005-0000-0000-0000357D0000}"/>
    <cellStyle name="Total 2 10 2 8 6" xfId="30558" xr:uid="{00000000-0005-0000-0000-0000367D0000}"/>
    <cellStyle name="Total 2 10 2 8 7" xfId="30560" xr:uid="{00000000-0005-0000-0000-0000377D0000}"/>
    <cellStyle name="Total 2 10 2 9" xfId="9701" xr:uid="{00000000-0005-0000-0000-0000387D0000}"/>
    <cellStyle name="Total 2 10 2 9 2" xfId="17301" xr:uid="{00000000-0005-0000-0000-0000397D0000}"/>
    <cellStyle name="Total 2 10 2 9 2 2" xfId="33128" xr:uid="{00000000-0005-0000-0000-00003A7D0000}"/>
    <cellStyle name="Total 2 10 2 9 2 3" xfId="33129" xr:uid="{00000000-0005-0000-0000-00003B7D0000}"/>
    <cellStyle name="Total 2 10 2 9 2 4" xfId="33130" xr:uid="{00000000-0005-0000-0000-00003C7D0000}"/>
    <cellStyle name="Total 2 10 2 9 3" xfId="30564" xr:uid="{00000000-0005-0000-0000-00003D7D0000}"/>
    <cellStyle name="Total 2 10 2 9 3 2" xfId="17578" xr:uid="{00000000-0005-0000-0000-00003E7D0000}"/>
    <cellStyle name="Total 2 10 2 9 3 3" xfId="1107" xr:uid="{00000000-0005-0000-0000-00003F7D0000}"/>
    <cellStyle name="Total 2 10 2 9 3 4" xfId="1191" xr:uid="{00000000-0005-0000-0000-0000407D0000}"/>
    <cellStyle name="Total 2 10 2 9 4" xfId="30566" xr:uid="{00000000-0005-0000-0000-0000417D0000}"/>
    <cellStyle name="Total 2 10 2 9 4 2" xfId="17590" xr:uid="{00000000-0005-0000-0000-0000427D0000}"/>
    <cellStyle name="Total 2 10 2 9 4 3" xfId="668" xr:uid="{00000000-0005-0000-0000-0000437D0000}"/>
    <cellStyle name="Total 2 10 2 9 5" xfId="30568" xr:uid="{00000000-0005-0000-0000-0000447D0000}"/>
    <cellStyle name="Total 2 10 2 9 5 2" xfId="30570" xr:uid="{00000000-0005-0000-0000-0000457D0000}"/>
    <cellStyle name="Total 2 10 2 9 5 3" xfId="23" xr:uid="{00000000-0005-0000-0000-0000467D0000}"/>
    <cellStyle name="Total 2 10 2 9 6" xfId="30572" xr:uid="{00000000-0005-0000-0000-0000477D0000}"/>
    <cellStyle name="Total 2 10 2 9 7" xfId="30574" xr:uid="{00000000-0005-0000-0000-0000487D0000}"/>
    <cellStyle name="Total 2 10 20" xfId="33084" xr:uid="{00000000-0005-0000-0000-0000497D0000}"/>
    <cellStyle name="Total 2 10 3" xfId="33131" xr:uid="{00000000-0005-0000-0000-00004A7D0000}"/>
    <cellStyle name="Total 2 10 3 10" xfId="29556" xr:uid="{00000000-0005-0000-0000-00004B7D0000}"/>
    <cellStyle name="Total 2 10 3 10 2" xfId="29558" xr:uid="{00000000-0005-0000-0000-00004C7D0000}"/>
    <cellStyle name="Total 2 10 3 10 2 2" xfId="33132" xr:uid="{00000000-0005-0000-0000-00004D7D0000}"/>
    <cellStyle name="Total 2 10 3 10 2 3" xfId="33133" xr:uid="{00000000-0005-0000-0000-00004E7D0000}"/>
    <cellStyle name="Total 2 10 3 10 2 4" xfId="33134" xr:uid="{00000000-0005-0000-0000-00004F7D0000}"/>
    <cellStyle name="Total 2 10 3 10 3" xfId="20509" xr:uid="{00000000-0005-0000-0000-0000507D0000}"/>
    <cellStyle name="Total 2 10 3 10 3 2" xfId="20511" xr:uid="{00000000-0005-0000-0000-0000517D0000}"/>
    <cellStyle name="Total 2 10 3 10 3 3" xfId="20513" xr:uid="{00000000-0005-0000-0000-0000527D0000}"/>
    <cellStyle name="Total 2 10 3 10 3 4" xfId="20515" xr:uid="{00000000-0005-0000-0000-0000537D0000}"/>
    <cellStyle name="Total 2 10 3 10 4" xfId="20518" xr:uid="{00000000-0005-0000-0000-0000547D0000}"/>
    <cellStyle name="Total 2 10 3 10 4 2" xfId="20520" xr:uid="{00000000-0005-0000-0000-0000557D0000}"/>
    <cellStyle name="Total 2 10 3 10 4 3" xfId="20522" xr:uid="{00000000-0005-0000-0000-0000567D0000}"/>
    <cellStyle name="Total 2 10 3 10 5" xfId="20525" xr:uid="{00000000-0005-0000-0000-0000577D0000}"/>
    <cellStyle name="Total 2 10 3 10 5 2" xfId="2886" xr:uid="{00000000-0005-0000-0000-0000587D0000}"/>
    <cellStyle name="Total 2 10 3 10 5 3" xfId="20527" xr:uid="{00000000-0005-0000-0000-0000597D0000}"/>
    <cellStyle name="Total 2 10 3 10 6" xfId="20529" xr:uid="{00000000-0005-0000-0000-00005A7D0000}"/>
    <cellStyle name="Total 2 10 3 10 7" xfId="14125" xr:uid="{00000000-0005-0000-0000-00005B7D0000}"/>
    <cellStyle name="Total 2 10 3 11" xfId="29560" xr:uid="{00000000-0005-0000-0000-00005C7D0000}"/>
    <cellStyle name="Total 2 10 3 11 2" xfId="29562" xr:uid="{00000000-0005-0000-0000-00005D7D0000}"/>
    <cellStyle name="Total 2 10 3 11 3" xfId="20537" xr:uid="{00000000-0005-0000-0000-00005E7D0000}"/>
    <cellStyle name="Total 2 10 3 11 4" xfId="20543" xr:uid="{00000000-0005-0000-0000-00005F7D0000}"/>
    <cellStyle name="Total 2 10 3 12" xfId="13860" xr:uid="{00000000-0005-0000-0000-0000607D0000}"/>
    <cellStyle name="Total 2 10 3 12 2" xfId="29564" xr:uid="{00000000-0005-0000-0000-0000617D0000}"/>
    <cellStyle name="Total 2 10 3 12 3" xfId="20562" xr:uid="{00000000-0005-0000-0000-0000627D0000}"/>
    <cellStyle name="Total 2 10 3 12 4" xfId="20569" xr:uid="{00000000-0005-0000-0000-0000637D0000}"/>
    <cellStyle name="Total 2 10 3 13" xfId="13863" xr:uid="{00000000-0005-0000-0000-0000647D0000}"/>
    <cellStyle name="Total 2 10 3 13 2" xfId="29567" xr:uid="{00000000-0005-0000-0000-0000657D0000}"/>
    <cellStyle name="Total 2 10 3 13 3" xfId="16489" xr:uid="{00000000-0005-0000-0000-0000667D0000}"/>
    <cellStyle name="Total 2 10 3 14" xfId="13867" xr:uid="{00000000-0005-0000-0000-0000677D0000}"/>
    <cellStyle name="Total 2 10 3 14 2" xfId="17333" xr:uid="{00000000-0005-0000-0000-0000687D0000}"/>
    <cellStyle name="Total 2 10 3 14 3" xfId="16498" xr:uid="{00000000-0005-0000-0000-0000697D0000}"/>
    <cellStyle name="Total 2 10 3 15" xfId="17356" xr:uid="{00000000-0005-0000-0000-00006A7D0000}"/>
    <cellStyle name="Total 2 10 3 16" xfId="17361" xr:uid="{00000000-0005-0000-0000-00006B7D0000}"/>
    <cellStyle name="Total 2 10 3 2" xfId="33135" xr:uid="{00000000-0005-0000-0000-00006C7D0000}"/>
    <cellStyle name="Total 2 10 3 2 2" xfId="33136" xr:uid="{00000000-0005-0000-0000-00006D7D0000}"/>
    <cellStyle name="Total 2 10 3 2 2 2" xfId="33138" xr:uid="{00000000-0005-0000-0000-00006E7D0000}"/>
    <cellStyle name="Total 2 10 3 2 2 3" xfId="33139" xr:uid="{00000000-0005-0000-0000-00006F7D0000}"/>
    <cellStyle name="Total 2 10 3 2 2 4" xfId="33140" xr:uid="{00000000-0005-0000-0000-0000707D0000}"/>
    <cellStyle name="Total 2 10 3 2 3" xfId="30635" xr:uid="{00000000-0005-0000-0000-0000717D0000}"/>
    <cellStyle name="Total 2 10 3 2 3 2" xfId="30637" xr:uid="{00000000-0005-0000-0000-0000727D0000}"/>
    <cellStyle name="Total 2 10 3 2 3 3" xfId="30641" xr:uid="{00000000-0005-0000-0000-0000737D0000}"/>
    <cellStyle name="Total 2 10 3 2 3 4" xfId="30645" xr:uid="{00000000-0005-0000-0000-0000747D0000}"/>
    <cellStyle name="Total 2 10 3 2 4" xfId="23291" xr:uid="{00000000-0005-0000-0000-0000757D0000}"/>
    <cellStyle name="Total 2 10 3 2 4 2" xfId="23296" xr:uid="{00000000-0005-0000-0000-0000767D0000}"/>
    <cellStyle name="Total 2 10 3 2 4 3" xfId="23300" xr:uid="{00000000-0005-0000-0000-0000777D0000}"/>
    <cellStyle name="Total 2 10 3 2 5" xfId="23307" xr:uid="{00000000-0005-0000-0000-0000787D0000}"/>
    <cellStyle name="Total 2 10 3 2 5 2" xfId="23312" xr:uid="{00000000-0005-0000-0000-0000797D0000}"/>
    <cellStyle name="Total 2 10 3 2 5 3" xfId="23316" xr:uid="{00000000-0005-0000-0000-00007A7D0000}"/>
    <cellStyle name="Total 2 10 3 2 6" xfId="465" xr:uid="{00000000-0005-0000-0000-00007B7D0000}"/>
    <cellStyle name="Total 2 10 3 2 7" xfId="23332" xr:uid="{00000000-0005-0000-0000-00007C7D0000}"/>
    <cellStyle name="Total 2 10 3 3" xfId="33141" xr:uid="{00000000-0005-0000-0000-00007D7D0000}"/>
    <cellStyle name="Total 2 10 3 3 2" xfId="706" xr:uid="{00000000-0005-0000-0000-00007E7D0000}"/>
    <cellStyle name="Total 2 10 3 3 2 2" xfId="5" xr:uid="{00000000-0005-0000-0000-00007F7D0000}"/>
    <cellStyle name="Total 2 10 3 3 2 3" xfId="56" xr:uid="{00000000-0005-0000-0000-0000807D0000}"/>
    <cellStyle name="Total 2 10 3 3 2 4" xfId="33142" xr:uid="{00000000-0005-0000-0000-0000817D0000}"/>
    <cellStyle name="Total 2 10 3 3 3" xfId="719" xr:uid="{00000000-0005-0000-0000-0000827D0000}"/>
    <cellStyle name="Total 2 10 3 3 3 2" xfId="30731" xr:uid="{00000000-0005-0000-0000-0000837D0000}"/>
    <cellStyle name="Total 2 10 3 3 3 3" xfId="30735" xr:uid="{00000000-0005-0000-0000-0000847D0000}"/>
    <cellStyle name="Total 2 10 3 3 3 4" xfId="30739" xr:uid="{00000000-0005-0000-0000-0000857D0000}"/>
    <cellStyle name="Total 2 10 3 3 4" xfId="76" xr:uid="{00000000-0005-0000-0000-0000867D0000}"/>
    <cellStyle name="Total 2 10 3 3 4 2" xfId="23353" xr:uid="{00000000-0005-0000-0000-0000877D0000}"/>
    <cellStyle name="Total 2 10 3 3 4 3" xfId="23357" xr:uid="{00000000-0005-0000-0000-0000887D0000}"/>
    <cellStyle name="Total 2 10 3 3 5" xfId="30" xr:uid="{00000000-0005-0000-0000-0000897D0000}"/>
    <cellStyle name="Total 2 10 3 3 5 2" xfId="23365" xr:uid="{00000000-0005-0000-0000-00008A7D0000}"/>
    <cellStyle name="Total 2 10 3 3 5 3" xfId="23369" xr:uid="{00000000-0005-0000-0000-00008B7D0000}"/>
    <cellStyle name="Total 2 10 3 3 6" xfId="83" xr:uid="{00000000-0005-0000-0000-00008C7D0000}"/>
    <cellStyle name="Total 2 10 3 3 7" xfId="23384" xr:uid="{00000000-0005-0000-0000-00008D7D0000}"/>
    <cellStyle name="Total 2 10 3 4" xfId="21140" xr:uid="{00000000-0005-0000-0000-00008E7D0000}"/>
    <cellStyle name="Total 2 10 3 4 2" xfId="17417" xr:uid="{00000000-0005-0000-0000-00008F7D0000}"/>
    <cellStyle name="Total 2 10 3 4 2 2" xfId="28041" xr:uid="{00000000-0005-0000-0000-0000907D0000}"/>
    <cellStyle name="Total 2 10 3 4 2 3" xfId="28043" xr:uid="{00000000-0005-0000-0000-0000917D0000}"/>
    <cellStyle name="Total 2 10 3 4 2 4" xfId="33143" xr:uid="{00000000-0005-0000-0000-0000927D0000}"/>
    <cellStyle name="Total 2 10 3 4 3" xfId="30821" xr:uid="{00000000-0005-0000-0000-0000937D0000}"/>
    <cellStyle name="Total 2 10 3 4 3 2" xfId="28060" xr:uid="{00000000-0005-0000-0000-0000947D0000}"/>
    <cellStyle name="Total 2 10 3 4 3 3" xfId="28063" xr:uid="{00000000-0005-0000-0000-0000957D0000}"/>
    <cellStyle name="Total 2 10 3 4 3 4" xfId="30823" xr:uid="{00000000-0005-0000-0000-0000967D0000}"/>
    <cellStyle name="Total 2 10 3 4 4" xfId="26183" xr:uid="{00000000-0005-0000-0000-0000977D0000}"/>
    <cellStyle name="Total 2 10 3 4 4 2" xfId="26187" xr:uid="{00000000-0005-0000-0000-0000987D0000}"/>
    <cellStyle name="Total 2 10 3 4 4 3" xfId="26207" xr:uid="{00000000-0005-0000-0000-0000997D0000}"/>
    <cellStyle name="Total 2 10 3 4 5" xfId="30828" xr:uid="{00000000-0005-0000-0000-00009A7D0000}"/>
    <cellStyle name="Total 2 10 3 4 5 2" xfId="30831" xr:uid="{00000000-0005-0000-0000-00009B7D0000}"/>
    <cellStyle name="Total 2 10 3 4 5 3" xfId="30834" xr:uid="{00000000-0005-0000-0000-00009C7D0000}"/>
    <cellStyle name="Total 2 10 3 4 6" xfId="26819" xr:uid="{00000000-0005-0000-0000-00009D7D0000}"/>
    <cellStyle name="Total 2 10 3 4 7" xfId="26822" xr:uid="{00000000-0005-0000-0000-00009E7D0000}"/>
    <cellStyle name="Total 2 10 3 5" xfId="21142" xr:uid="{00000000-0005-0000-0000-00009F7D0000}"/>
    <cellStyle name="Total 2 10 3 5 2" xfId="17436" xr:uid="{00000000-0005-0000-0000-0000A07D0000}"/>
    <cellStyle name="Total 2 10 3 5 2 2" xfId="28199" xr:uid="{00000000-0005-0000-0000-0000A17D0000}"/>
    <cellStyle name="Total 2 10 3 5 2 3" xfId="28201" xr:uid="{00000000-0005-0000-0000-0000A27D0000}"/>
    <cellStyle name="Total 2 10 3 5 2 4" xfId="7335" xr:uid="{00000000-0005-0000-0000-0000A37D0000}"/>
    <cellStyle name="Total 2 10 3 5 3" xfId="30839" xr:uid="{00000000-0005-0000-0000-0000A47D0000}"/>
    <cellStyle name="Total 2 10 3 5 3 2" xfId="17731" xr:uid="{00000000-0005-0000-0000-0000A57D0000}"/>
    <cellStyle name="Total 2 10 3 5 3 3" xfId="28216" xr:uid="{00000000-0005-0000-0000-0000A67D0000}"/>
    <cellStyle name="Total 2 10 3 5 3 4" xfId="7371" xr:uid="{00000000-0005-0000-0000-0000A77D0000}"/>
    <cellStyle name="Total 2 10 3 5 4" xfId="26210" xr:uid="{00000000-0005-0000-0000-0000A87D0000}"/>
    <cellStyle name="Total 2 10 3 5 4 2" xfId="17743" xr:uid="{00000000-0005-0000-0000-0000A97D0000}"/>
    <cellStyle name="Total 2 10 3 5 4 3" xfId="30842" xr:uid="{00000000-0005-0000-0000-0000AA7D0000}"/>
    <cellStyle name="Total 2 10 3 5 5" xfId="30844" xr:uid="{00000000-0005-0000-0000-0000AB7D0000}"/>
    <cellStyle name="Total 2 10 3 5 5 2" xfId="30847" xr:uid="{00000000-0005-0000-0000-0000AC7D0000}"/>
    <cellStyle name="Total 2 10 3 5 5 3" xfId="30850" xr:uid="{00000000-0005-0000-0000-0000AD7D0000}"/>
    <cellStyle name="Total 2 10 3 5 6" xfId="26825" xr:uid="{00000000-0005-0000-0000-0000AE7D0000}"/>
    <cellStyle name="Total 2 10 3 5 7" xfId="26828" xr:uid="{00000000-0005-0000-0000-0000AF7D0000}"/>
    <cellStyle name="Total 2 10 3 6" xfId="21144" xr:uid="{00000000-0005-0000-0000-0000B07D0000}"/>
    <cellStyle name="Total 2 10 3 6 2" xfId="17450" xr:uid="{00000000-0005-0000-0000-0000B17D0000}"/>
    <cellStyle name="Total 2 10 3 6 2 2" xfId="4000" xr:uid="{00000000-0005-0000-0000-0000B27D0000}"/>
    <cellStyle name="Total 2 10 3 6 2 3" xfId="2984" xr:uid="{00000000-0005-0000-0000-0000B37D0000}"/>
    <cellStyle name="Total 2 10 3 6 2 4" xfId="2988" xr:uid="{00000000-0005-0000-0000-0000B47D0000}"/>
    <cellStyle name="Total 2 10 3 6 3" xfId="30768" xr:uid="{00000000-0005-0000-0000-0000B57D0000}"/>
    <cellStyle name="Total 2 10 3 6 3 2" xfId="9158" xr:uid="{00000000-0005-0000-0000-0000B67D0000}"/>
    <cellStyle name="Total 2 10 3 6 3 3" xfId="9162" xr:uid="{00000000-0005-0000-0000-0000B77D0000}"/>
    <cellStyle name="Total 2 10 3 6 3 4" xfId="7801" xr:uid="{00000000-0005-0000-0000-0000B87D0000}"/>
    <cellStyle name="Total 2 10 3 6 4" xfId="30858" xr:uid="{00000000-0005-0000-0000-0000B97D0000}"/>
    <cellStyle name="Total 2 10 3 6 4 2" xfId="9174" xr:uid="{00000000-0005-0000-0000-0000BA7D0000}"/>
    <cellStyle name="Total 2 10 3 6 4 3" xfId="9178" xr:uid="{00000000-0005-0000-0000-0000BB7D0000}"/>
    <cellStyle name="Total 2 10 3 6 5" xfId="30860" xr:uid="{00000000-0005-0000-0000-0000BC7D0000}"/>
    <cellStyle name="Total 2 10 3 6 5 2" xfId="9189" xr:uid="{00000000-0005-0000-0000-0000BD7D0000}"/>
    <cellStyle name="Total 2 10 3 6 5 3" xfId="9193" xr:uid="{00000000-0005-0000-0000-0000BE7D0000}"/>
    <cellStyle name="Total 2 10 3 6 6" xfId="30862" xr:uid="{00000000-0005-0000-0000-0000BF7D0000}"/>
    <cellStyle name="Total 2 10 3 6 7" xfId="30868" xr:uid="{00000000-0005-0000-0000-0000C07D0000}"/>
    <cellStyle name="Total 2 10 3 7" xfId="33144" xr:uid="{00000000-0005-0000-0000-0000C17D0000}"/>
    <cellStyle name="Total 2 10 3 7 2" xfId="17463" xr:uid="{00000000-0005-0000-0000-0000C27D0000}"/>
    <cellStyle name="Total 2 10 3 7 2 2" xfId="6955" xr:uid="{00000000-0005-0000-0000-0000C37D0000}"/>
    <cellStyle name="Total 2 10 3 7 2 3" xfId="2881" xr:uid="{00000000-0005-0000-0000-0000C47D0000}"/>
    <cellStyle name="Total 2 10 3 7 2 4" xfId="913" xr:uid="{00000000-0005-0000-0000-0000C57D0000}"/>
    <cellStyle name="Total 2 10 3 7 3" xfId="30773" xr:uid="{00000000-0005-0000-0000-0000C67D0000}"/>
    <cellStyle name="Total 2 10 3 7 3 2" xfId="17797" xr:uid="{00000000-0005-0000-0000-0000C77D0000}"/>
    <cellStyle name="Total 2 10 3 7 3 3" xfId="30872" xr:uid="{00000000-0005-0000-0000-0000C87D0000}"/>
    <cellStyle name="Total 2 10 3 7 3 4" xfId="14440" xr:uid="{00000000-0005-0000-0000-0000C97D0000}"/>
    <cellStyle name="Total 2 10 3 7 4" xfId="30874" xr:uid="{00000000-0005-0000-0000-0000CA7D0000}"/>
    <cellStyle name="Total 2 10 3 7 4 2" xfId="17804" xr:uid="{00000000-0005-0000-0000-0000CB7D0000}"/>
    <cellStyle name="Total 2 10 3 7 4 3" xfId="30876" xr:uid="{00000000-0005-0000-0000-0000CC7D0000}"/>
    <cellStyle name="Total 2 10 3 7 5" xfId="30878" xr:uid="{00000000-0005-0000-0000-0000CD7D0000}"/>
    <cellStyle name="Total 2 10 3 7 5 2" xfId="30880" xr:uid="{00000000-0005-0000-0000-0000CE7D0000}"/>
    <cellStyle name="Total 2 10 3 7 5 3" xfId="30882" xr:uid="{00000000-0005-0000-0000-0000CF7D0000}"/>
    <cellStyle name="Total 2 10 3 7 6" xfId="30884" xr:uid="{00000000-0005-0000-0000-0000D07D0000}"/>
    <cellStyle name="Total 2 10 3 7 7" xfId="30886" xr:uid="{00000000-0005-0000-0000-0000D17D0000}"/>
    <cellStyle name="Total 2 10 3 8" xfId="9706" xr:uid="{00000000-0005-0000-0000-0000D27D0000}"/>
    <cellStyle name="Total 2 10 3 8 2" xfId="17475" xr:uid="{00000000-0005-0000-0000-0000D37D0000}"/>
    <cellStyle name="Total 2 10 3 8 2 2" xfId="33145" xr:uid="{00000000-0005-0000-0000-0000D47D0000}"/>
    <cellStyle name="Total 2 10 3 8 2 3" xfId="33146" xr:uid="{00000000-0005-0000-0000-0000D57D0000}"/>
    <cellStyle name="Total 2 10 3 8 2 4" xfId="8028" xr:uid="{00000000-0005-0000-0000-0000D67D0000}"/>
    <cellStyle name="Total 2 10 3 8 3" xfId="30891" xr:uid="{00000000-0005-0000-0000-0000D77D0000}"/>
    <cellStyle name="Total 2 10 3 8 3 2" xfId="17820" xr:uid="{00000000-0005-0000-0000-0000D87D0000}"/>
    <cellStyle name="Total 2 10 3 8 3 3" xfId="30893" xr:uid="{00000000-0005-0000-0000-0000D97D0000}"/>
    <cellStyle name="Total 2 10 3 8 3 4" xfId="23941" xr:uid="{00000000-0005-0000-0000-0000DA7D0000}"/>
    <cellStyle name="Total 2 10 3 8 4" xfId="27462" xr:uid="{00000000-0005-0000-0000-0000DB7D0000}"/>
    <cellStyle name="Total 2 10 3 8 4 2" xfId="17829" xr:uid="{00000000-0005-0000-0000-0000DC7D0000}"/>
    <cellStyle name="Total 2 10 3 8 4 3" xfId="30895" xr:uid="{00000000-0005-0000-0000-0000DD7D0000}"/>
    <cellStyle name="Total 2 10 3 8 5" xfId="27465" xr:uid="{00000000-0005-0000-0000-0000DE7D0000}"/>
    <cellStyle name="Total 2 10 3 8 5 2" xfId="30897" xr:uid="{00000000-0005-0000-0000-0000DF7D0000}"/>
    <cellStyle name="Total 2 10 3 8 5 3" xfId="30899" xr:uid="{00000000-0005-0000-0000-0000E07D0000}"/>
    <cellStyle name="Total 2 10 3 8 6" xfId="27468" xr:uid="{00000000-0005-0000-0000-0000E17D0000}"/>
    <cellStyle name="Total 2 10 3 8 7" xfId="30903" xr:uid="{00000000-0005-0000-0000-0000E27D0000}"/>
    <cellStyle name="Total 2 10 3 9" xfId="9708" xr:uid="{00000000-0005-0000-0000-0000E37D0000}"/>
    <cellStyle name="Total 2 10 3 9 2" xfId="17487" xr:uid="{00000000-0005-0000-0000-0000E47D0000}"/>
    <cellStyle name="Total 2 10 3 9 2 2" xfId="33147" xr:uid="{00000000-0005-0000-0000-0000E57D0000}"/>
    <cellStyle name="Total 2 10 3 9 2 3" xfId="33148" xr:uid="{00000000-0005-0000-0000-0000E67D0000}"/>
    <cellStyle name="Total 2 10 3 9 2 4" xfId="8072" xr:uid="{00000000-0005-0000-0000-0000E77D0000}"/>
    <cellStyle name="Total 2 10 3 9 3" xfId="30908" xr:uid="{00000000-0005-0000-0000-0000E87D0000}"/>
    <cellStyle name="Total 2 10 3 9 3 2" xfId="17858" xr:uid="{00000000-0005-0000-0000-0000E97D0000}"/>
    <cellStyle name="Total 2 10 3 9 3 3" xfId="30910" xr:uid="{00000000-0005-0000-0000-0000EA7D0000}"/>
    <cellStyle name="Total 2 10 3 9 3 4" xfId="24078" xr:uid="{00000000-0005-0000-0000-0000EB7D0000}"/>
    <cellStyle name="Total 2 10 3 9 4" xfId="27473" xr:uid="{00000000-0005-0000-0000-0000EC7D0000}"/>
    <cellStyle name="Total 2 10 3 9 4 2" xfId="17866" xr:uid="{00000000-0005-0000-0000-0000ED7D0000}"/>
    <cellStyle name="Total 2 10 3 9 4 3" xfId="30912" xr:uid="{00000000-0005-0000-0000-0000EE7D0000}"/>
    <cellStyle name="Total 2 10 3 9 5" xfId="27476" xr:uid="{00000000-0005-0000-0000-0000EF7D0000}"/>
    <cellStyle name="Total 2 10 3 9 5 2" xfId="30914" xr:uid="{00000000-0005-0000-0000-0000F07D0000}"/>
    <cellStyle name="Total 2 10 3 9 5 3" xfId="30916" xr:uid="{00000000-0005-0000-0000-0000F17D0000}"/>
    <cellStyle name="Total 2 10 3 9 6" xfId="27479" xr:uid="{00000000-0005-0000-0000-0000F27D0000}"/>
    <cellStyle name="Total 2 10 3 9 7" xfId="30920" xr:uid="{00000000-0005-0000-0000-0000F37D0000}"/>
    <cellStyle name="Total 2 10 4" xfId="33149" xr:uid="{00000000-0005-0000-0000-0000F47D0000}"/>
    <cellStyle name="Total 2 10 4 2" xfId="33150" xr:uid="{00000000-0005-0000-0000-0000F57D0000}"/>
    <cellStyle name="Total 2 10 4 2 2" xfId="33151" xr:uid="{00000000-0005-0000-0000-0000F67D0000}"/>
    <cellStyle name="Total 2 10 4 2 3" xfId="30973" xr:uid="{00000000-0005-0000-0000-0000F77D0000}"/>
    <cellStyle name="Total 2 10 4 2 4" xfId="30988" xr:uid="{00000000-0005-0000-0000-0000F87D0000}"/>
    <cellStyle name="Total 2 10 4 3" xfId="33153" xr:uid="{00000000-0005-0000-0000-0000F97D0000}"/>
    <cellStyle name="Total 2 10 4 3 2" xfId="750" xr:uid="{00000000-0005-0000-0000-0000FA7D0000}"/>
    <cellStyle name="Total 2 10 4 3 3" xfId="774" xr:uid="{00000000-0005-0000-0000-0000FB7D0000}"/>
    <cellStyle name="Total 2 10 4 3 4" xfId="779" xr:uid="{00000000-0005-0000-0000-0000FC7D0000}"/>
    <cellStyle name="Total 2 10 4 4" xfId="21147" xr:uid="{00000000-0005-0000-0000-0000FD7D0000}"/>
    <cellStyle name="Total 2 10 4 4 2" xfId="32533" xr:uid="{00000000-0005-0000-0000-0000FE7D0000}"/>
    <cellStyle name="Total 2 10 4 4 3" xfId="31235" xr:uid="{00000000-0005-0000-0000-0000FF7D0000}"/>
    <cellStyle name="Total 2 10 4 5" xfId="21149" xr:uid="{00000000-0005-0000-0000-0000007E0000}"/>
    <cellStyle name="Total 2 10 4 5 2" xfId="32537" xr:uid="{00000000-0005-0000-0000-0000017E0000}"/>
    <cellStyle name="Total 2 10 4 5 3" xfId="31250" xr:uid="{00000000-0005-0000-0000-0000027E0000}"/>
    <cellStyle name="Total 2 10 4 6" xfId="29804" xr:uid="{00000000-0005-0000-0000-0000037E0000}"/>
    <cellStyle name="Total 2 10 4 7" xfId="29806" xr:uid="{00000000-0005-0000-0000-0000047E0000}"/>
    <cellStyle name="Total 2 10 5" xfId="33154" xr:uid="{00000000-0005-0000-0000-0000057E0000}"/>
    <cellStyle name="Total 2 10 5 2" xfId="33155" xr:uid="{00000000-0005-0000-0000-0000067E0000}"/>
    <cellStyle name="Total 2 10 5 2 2" xfId="33156" xr:uid="{00000000-0005-0000-0000-0000077E0000}"/>
    <cellStyle name="Total 2 10 5 2 3" xfId="31313" xr:uid="{00000000-0005-0000-0000-0000087E0000}"/>
    <cellStyle name="Total 2 10 5 2 4" xfId="31319" xr:uid="{00000000-0005-0000-0000-0000097E0000}"/>
    <cellStyle name="Total 2 10 5 3" xfId="33158" xr:uid="{00000000-0005-0000-0000-00000A7E0000}"/>
    <cellStyle name="Total 2 10 5 3 2" xfId="511" xr:uid="{00000000-0005-0000-0000-00000B7E0000}"/>
    <cellStyle name="Total 2 10 5 3 3" xfId="929" xr:uid="{00000000-0005-0000-0000-00000C7E0000}"/>
    <cellStyle name="Total 2 10 5 3 4" xfId="936" xr:uid="{00000000-0005-0000-0000-00000D7E0000}"/>
    <cellStyle name="Total 2 10 5 4" xfId="21152" xr:uid="{00000000-0005-0000-0000-00000E7E0000}"/>
    <cellStyle name="Total 2 10 5 4 2" xfId="157" xr:uid="{00000000-0005-0000-0000-00000F7E0000}"/>
    <cellStyle name="Total 2 10 5 4 3" xfId="31338" xr:uid="{00000000-0005-0000-0000-0000107E0000}"/>
    <cellStyle name="Total 2 10 5 5" xfId="21154" xr:uid="{00000000-0005-0000-0000-0000117E0000}"/>
    <cellStyle name="Total 2 10 5 5 2" xfId="1011" xr:uid="{00000000-0005-0000-0000-0000127E0000}"/>
    <cellStyle name="Total 2 10 5 5 3" xfId="31351" xr:uid="{00000000-0005-0000-0000-0000137E0000}"/>
    <cellStyle name="Total 2 10 5 6" xfId="23615" xr:uid="{00000000-0005-0000-0000-0000147E0000}"/>
    <cellStyle name="Total 2 10 5 7" xfId="29809" xr:uid="{00000000-0005-0000-0000-0000157E0000}"/>
    <cellStyle name="Total 2 10 6" xfId="33159" xr:uid="{00000000-0005-0000-0000-0000167E0000}"/>
    <cellStyle name="Total 2 10 6 2" xfId="33160" xr:uid="{00000000-0005-0000-0000-0000177E0000}"/>
    <cellStyle name="Total 2 10 6 2 2" xfId="33161" xr:uid="{00000000-0005-0000-0000-0000187E0000}"/>
    <cellStyle name="Total 2 10 6 2 3" xfId="31415" xr:uid="{00000000-0005-0000-0000-0000197E0000}"/>
    <cellStyle name="Total 2 10 6 2 4" xfId="31421" xr:uid="{00000000-0005-0000-0000-00001A7E0000}"/>
    <cellStyle name="Total 2 10 6 3" xfId="33163" xr:uid="{00000000-0005-0000-0000-00001B7E0000}"/>
    <cellStyle name="Total 2 10 6 3 2" xfId="1200" xr:uid="{00000000-0005-0000-0000-00001C7E0000}"/>
    <cellStyle name="Total 2 10 6 3 3" xfId="1206" xr:uid="{00000000-0005-0000-0000-00001D7E0000}"/>
    <cellStyle name="Total 2 10 6 3 4" xfId="1211" xr:uid="{00000000-0005-0000-0000-00001E7E0000}"/>
    <cellStyle name="Total 2 10 6 4" xfId="33164" xr:uid="{00000000-0005-0000-0000-00001F7E0000}"/>
    <cellStyle name="Total 2 10 6 4 2" xfId="683" xr:uid="{00000000-0005-0000-0000-0000207E0000}"/>
    <cellStyle name="Total 2 10 6 4 3" xfId="31442" xr:uid="{00000000-0005-0000-0000-0000217E0000}"/>
    <cellStyle name="Total 2 10 6 5" xfId="33165" xr:uid="{00000000-0005-0000-0000-0000227E0000}"/>
    <cellStyle name="Total 2 10 6 5 2" xfId="762" xr:uid="{00000000-0005-0000-0000-0000237E0000}"/>
    <cellStyle name="Total 2 10 6 5 3" xfId="31453" xr:uid="{00000000-0005-0000-0000-0000247E0000}"/>
    <cellStyle name="Total 2 10 6 6" xfId="29812" xr:uid="{00000000-0005-0000-0000-0000257E0000}"/>
    <cellStyle name="Total 2 10 6 7" xfId="29814" xr:uid="{00000000-0005-0000-0000-0000267E0000}"/>
    <cellStyle name="Total 2 10 7" xfId="33166" xr:uid="{00000000-0005-0000-0000-0000277E0000}"/>
    <cellStyle name="Total 2 10 7 2" xfId="28899" xr:uid="{00000000-0005-0000-0000-0000287E0000}"/>
    <cellStyle name="Total 2 10 7 2 2" xfId="33167" xr:uid="{00000000-0005-0000-0000-0000297E0000}"/>
    <cellStyle name="Total 2 10 7 2 3" xfId="31525" xr:uid="{00000000-0005-0000-0000-00002A7E0000}"/>
    <cellStyle name="Total 2 10 7 2 4" xfId="31528" xr:uid="{00000000-0005-0000-0000-00002B7E0000}"/>
    <cellStyle name="Total 2 10 7 3" xfId="28901" xr:uid="{00000000-0005-0000-0000-00002C7E0000}"/>
    <cellStyle name="Total 2 10 7 3 2" xfId="33169" xr:uid="{00000000-0005-0000-0000-00002D7E0000}"/>
    <cellStyle name="Total 2 10 7 3 3" xfId="31533" xr:uid="{00000000-0005-0000-0000-00002E7E0000}"/>
    <cellStyle name="Total 2 10 7 3 4" xfId="31536" xr:uid="{00000000-0005-0000-0000-00002F7E0000}"/>
    <cellStyle name="Total 2 10 7 4" xfId="33171" xr:uid="{00000000-0005-0000-0000-0000307E0000}"/>
    <cellStyle name="Total 2 10 7 4 2" xfId="33172" xr:uid="{00000000-0005-0000-0000-0000317E0000}"/>
    <cellStyle name="Total 2 10 7 4 3" xfId="31541" xr:uid="{00000000-0005-0000-0000-0000327E0000}"/>
    <cellStyle name="Total 2 10 7 5" xfId="33173" xr:uid="{00000000-0005-0000-0000-0000337E0000}"/>
    <cellStyle name="Total 2 10 7 5 2" xfId="33174" xr:uid="{00000000-0005-0000-0000-0000347E0000}"/>
    <cellStyle name="Total 2 10 7 5 3" xfId="31546" xr:uid="{00000000-0005-0000-0000-0000357E0000}"/>
    <cellStyle name="Total 2 10 7 6" xfId="29817" xr:uid="{00000000-0005-0000-0000-0000367E0000}"/>
    <cellStyle name="Total 2 10 7 7" xfId="29819" xr:uid="{00000000-0005-0000-0000-0000377E0000}"/>
    <cellStyle name="Total 2 10 8" xfId="33175" xr:uid="{00000000-0005-0000-0000-0000387E0000}"/>
    <cellStyle name="Total 2 10 8 2" xfId="28906" xr:uid="{00000000-0005-0000-0000-0000397E0000}"/>
    <cellStyle name="Total 2 10 8 2 2" xfId="33176" xr:uid="{00000000-0005-0000-0000-00003A7E0000}"/>
    <cellStyle name="Total 2 10 8 2 3" xfId="25782" xr:uid="{00000000-0005-0000-0000-00003B7E0000}"/>
    <cellStyle name="Total 2 10 8 2 4" xfId="25786" xr:uid="{00000000-0005-0000-0000-00003C7E0000}"/>
    <cellStyle name="Total 2 10 8 3" xfId="28908" xr:uid="{00000000-0005-0000-0000-00003D7E0000}"/>
    <cellStyle name="Total 2 10 8 3 2" xfId="33178" xr:uid="{00000000-0005-0000-0000-00003E7E0000}"/>
    <cellStyle name="Total 2 10 8 3 3" xfId="25793" xr:uid="{00000000-0005-0000-0000-00003F7E0000}"/>
    <cellStyle name="Total 2 10 8 3 4" xfId="25797" xr:uid="{00000000-0005-0000-0000-0000407E0000}"/>
    <cellStyle name="Total 2 10 8 4" xfId="33180" xr:uid="{00000000-0005-0000-0000-0000417E0000}"/>
    <cellStyle name="Total 2 10 8 4 2" xfId="33181" xr:uid="{00000000-0005-0000-0000-0000427E0000}"/>
    <cellStyle name="Total 2 10 8 4 3" xfId="25804" xr:uid="{00000000-0005-0000-0000-0000437E0000}"/>
    <cellStyle name="Total 2 10 8 5" xfId="33182" xr:uid="{00000000-0005-0000-0000-0000447E0000}"/>
    <cellStyle name="Total 2 10 8 5 2" xfId="33183" xr:uid="{00000000-0005-0000-0000-0000457E0000}"/>
    <cellStyle name="Total 2 10 8 5 3" xfId="25808" xr:uid="{00000000-0005-0000-0000-0000467E0000}"/>
    <cellStyle name="Total 2 10 8 6" xfId="33184" xr:uid="{00000000-0005-0000-0000-0000477E0000}"/>
    <cellStyle name="Total 2 10 8 7" xfId="33185" xr:uid="{00000000-0005-0000-0000-0000487E0000}"/>
    <cellStyle name="Total 2 10 9" xfId="6202" xr:uid="{00000000-0005-0000-0000-0000497E0000}"/>
    <cellStyle name="Total 2 10 9 2" xfId="28913" xr:uid="{00000000-0005-0000-0000-00004A7E0000}"/>
    <cellStyle name="Total 2 10 9 2 2" xfId="33186" xr:uid="{00000000-0005-0000-0000-00004B7E0000}"/>
    <cellStyle name="Total 2 10 9 2 3" xfId="31557" xr:uid="{00000000-0005-0000-0000-00004C7E0000}"/>
    <cellStyle name="Total 2 10 9 2 4" xfId="31560" xr:uid="{00000000-0005-0000-0000-00004D7E0000}"/>
    <cellStyle name="Total 2 10 9 3" xfId="33188" xr:uid="{00000000-0005-0000-0000-00004E7E0000}"/>
    <cellStyle name="Total 2 10 9 3 2" xfId="33189" xr:uid="{00000000-0005-0000-0000-00004F7E0000}"/>
    <cellStyle name="Total 2 10 9 3 3" xfId="31565" xr:uid="{00000000-0005-0000-0000-0000507E0000}"/>
    <cellStyle name="Total 2 10 9 3 4" xfId="31568" xr:uid="{00000000-0005-0000-0000-0000517E0000}"/>
    <cellStyle name="Total 2 10 9 4" xfId="33191" xr:uid="{00000000-0005-0000-0000-0000527E0000}"/>
    <cellStyle name="Total 2 10 9 4 2" xfId="33192" xr:uid="{00000000-0005-0000-0000-0000537E0000}"/>
    <cellStyle name="Total 2 10 9 4 3" xfId="31573" xr:uid="{00000000-0005-0000-0000-0000547E0000}"/>
    <cellStyle name="Total 2 10 9 5" xfId="33193" xr:uid="{00000000-0005-0000-0000-0000557E0000}"/>
    <cellStyle name="Total 2 10 9 5 2" xfId="33194" xr:uid="{00000000-0005-0000-0000-0000567E0000}"/>
    <cellStyle name="Total 2 10 9 5 3" xfId="31580" xr:uid="{00000000-0005-0000-0000-0000577E0000}"/>
    <cellStyle name="Total 2 10 9 6" xfId="33195" xr:uid="{00000000-0005-0000-0000-0000587E0000}"/>
    <cellStyle name="Total 2 10 9 7" xfId="33196" xr:uid="{00000000-0005-0000-0000-0000597E0000}"/>
    <cellStyle name="Total 2 11" xfId="28293" xr:uid="{00000000-0005-0000-0000-00005A7E0000}"/>
    <cellStyle name="Total 2 11 10" xfId="33197" xr:uid="{00000000-0005-0000-0000-00005B7E0000}"/>
    <cellStyle name="Total 2 11 10 2" xfId="16214" xr:uid="{00000000-0005-0000-0000-00005C7E0000}"/>
    <cellStyle name="Total 2 11 10 2 2" xfId="6743" xr:uid="{00000000-0005-0000-0000-00005D7E0000}"/>
    <cellStyle name="Total 2 11 10 2 3" xfId="16227" xr:uid="{00000000-0005-0000-0000-00005E7E0000}"/>
    <cellStyle name="Total 2 11 10 2 4" xfId="16234" xr:uid="{00000000-0005-0000-0000-00005F7E0000}"/>
    <cellStyle name="Total 2 11 10 3" xfId="13221" xr:uid="{00000000-0005-0000-0000-0000607E0000}"/>
    <cellStyle name="Total 2 11 10 3 2" xfId="6308" xr:uid="{00000000-0005-0000-0000-0000617E0000}"/>
    <cellStyle name="Total 2 11 10 3 3" xfId="16248" xr:uid="{00000000-0005-0000-0000-0000627E0000}"/>
    <cellStyle name="Total 2 11 10 3 4" xfId="14313" xr:uid="{00000000-0005-0000-0000-0000637E0000}"/>
    <cellStyle name="Total 2 11 10 4" xfId="13226" xr:uid="{00000000-0005-0000-0000-0000647E0000}"/>
    <cellStyle name="Total 2 11 10 4 2" xfId="6768" xr:uid="{00000000-0005-0000-0000-0000657E0000}"/>
    <cellStyle name="Total 2 11 10 4 3" xfId="16265" xr:uid="{00000000-0005-0000-0000-0000667E0000}"/>
    <cellStyle name="Total 2 11 10 5" xfId="13230" xr:uid="{00000000-0005-0000-0000-0000677E0000}"/>
    <cellStyle name="Total 2 11 10 5 2" xfId="6777" xr:uid="{00000000-0005-0000-0000-0000687E0000}"/>
    <cellStyle name="Total 2 11 10 5 3" xfId="16286" xr:uid="{00000000-0005-0000-0000-0000697E0000}"/>
    <cellStyle name="Total 2 11 10 6" xfId="17709" xr:uid="{00000000-0005-0000-0000-00006A7E0000}"/>
    <cellStyle name="Total 2 11 10 7" xfId="17714" xr:uid="{00000000-0005-0000-0000-00006B7E0000}"/>
    <cellStyle name="Total 2 11 11" xfId="33198" xr:uid="{00000000-0005-0000-0000-00006C7E0000}"/>
    <cellStyle name="Total 2 11 11 2" xfId="16884" xr:uid="{00000000-0005-0000-0000-00006D7E0000}"/>
    <cellStyle name="Total 2 11 11 2 2" xfId="6859" xr:uid="{00000000-0005-0000-0000-00006E7E0000}"/>
    <cellStyle name="Total 2 11 11 2 3" xfId="16888" xr:uid="{00000000-0005-0000-0000-00006F7E0000}"/>
    <cellStyle name="Total 2 11 11 2 4" xfId="16898" xr:uid="{00000000-0005-0000-0000-0000707E0000}"/>
    <cellStyle name="Total 2 11 11 3" xfId="13235" xr:uid="{00000000-0005-0000-0000-0000717E0000}"/>
    <cellStyle name="Total 2 11 11 3 2" xfId="285" xr:uid="{00000000-0005-0000-0000-0000727E0000}"/>
    <cellStyle name="Total 2 11 11 3 3" xfId="16923" xr:uid="{00000000-0005-0000-0000-0000737E0000}"/>
    <cellStyle name="Total 2 11 11 3 4" xfId="16931" xr:uid="{00000000-0005-0000-0000-0000747E0000}"/>
    <cellStyle name="Total 2 11 11 4" xfId="13239" xr:uid="{00000000-0005-0000-0000-0000757E0000}"/>
    <cellStyle name="Total 2 11 11 4 2" xfId="6908" xr:uid="{00000000-0005-0000-0000-0000767E0000}"/>
    <cellStyle name="Total 2 11 11 4 3" xfId="16950" xr:uid="{00000000-0005-0000-0000-0000777E0000}"/>
    <cellStyle name="Total 2 11 11 5" xfId="13243" xr:uid="{00000000-0005-0000-0000-0000787E0000}"/>
    <cellStyle name="Total 2 11 11 5 2" xfId="6924" xr:uid="{00000000-0005-0000-0000-0000797E0000}"/>
    <cellStyle name="Total 2 11 11 5 3" xfId="16973" xr:uid="{00000000-0005-0000-0000-00007A7E0000}"/>
    <cellStyle name="Total 2 11 11 6" xfId="10254" xr:uid="{00000000-0005-0000-0000-00007B7E0000}"/>
    <cellStyle name="Total 2 11 11 7" xfId="10258" xr:uid="{00000000-0005-0000-0000-00007C7E0000}"/>
    <cellStyle name="Total 2 11 12" xfId="26694" xr:uid="{00000000-0005-0000-0000-00007D7E0000}"/>
    <cellStyle name="Total 2 11 12 2" xfId="17570" xr:uid="{00000000-0005-0000-0000-00007E7E0000}"/>
    <cellStyle name="Total 2 11 12 2 2" xfId="7060" xr:uid="{00000000-0005-0000-0000-00007F7E0000}"/>
    <cellStyle name="Total 2 11 12 2 3" xfId="17582" xr:uid="{00000000-0005-0000-0000-0000807E0000}"/>
    <cellStyle name="Total 2 11 12 2 4" xfId="17593" xr:uid="{00000000-0005-0000-0000-0000817E0000}"/>
    <cellStyle name="Total 2 11 12 3" xfId="13250" xr:uid="{00000000-0005-0000-0000-0000827E0000}"/>
    <cellStyle name="Total 2 11 12 3 2" xfId="7094" xr:uid="{00000000-0005-0000-0000-0000837E0000}"/>
    <cellStyle name="Total 2 11 12 3 3" xfId="17623" xr:uid="{00000000-0005-0000-0000-0000847E0000}"/>
    <cellStyle name="Total 2 11 12 3 4" xfId="17630" xr:uid="{00000000-0005-0000-0000-0000857E0000}"/>
    <cellStyle name="Total 2 11 12 4" xfId="13255" xr:uid="{00000000-0005-0000-0000-0000867E0000}"/>
    <cellStyle name="Total 2 11 12 4 2" xfId="7112" xr:uid="{00000000-0005-0000-0000-0000877E0000}"/>
    <cellStyle name="Total 2 11 12 4 3" xfId="17648" xr:uid="{00000000-0005-0000-0000-0000887E0000}"/>
    <cellStyle name="Total 2 11 12 5" xfId="17672" xr:uid="{00000000-0005-0000-0000-0000897E0000}"/>
    <cellStyle name="Total 2 11 12 5 2" xfId="7130" xr:uid="{00000000-0005-0000-0000-00008A7E0000}"/>
    <cellStyle name="Total 2 11 12 5 3" xfId="17678" xr:uid="{00000000-0005-0000-0000-00008B7E0000}"/>
    <cellStyle name="Total 2 11 12 6" xfId="10278" xr:uid="{00000000-0005-0000-0000-00008C7E0000}"/>
    <cellStyle name="Total 2 11 12 7" xfId="10282" xr:uid="{00000000-0005-0000-0000-00008D7E0000}"/>
    <cellStyle name="Total 2 11 13" xfId="26696" xr:uid="{00000000-0005-0000-0000-00008E7E0000}"/>
    <cellStyle name="Total 2 11 13 2" xfId="17851" xr:uid="{00000000-0005-0000-0000-00008F7E0000}"/>
    <cellStyle name="Total 2 11 13 3" xfId="13262" xr:uid="{00000000-0005-0000-0000-0000907E0000}"/>
    <cellStyle name="Total 2 11 13 4" xfId="13267" xr:uid="{00000000-0005-0000-0000-0000917E0000}"/>
    <cellStyle name="Total 2 11 14" xfId="26698" xr:uid="{00000000-0005-0000-0000-0000927E0000}"/>
    <cellStyle name="Total 2 11 14 2" xfId="18069" xr:uid="{00000000-0005-0000-0000-0000937E0000}"/>
    <cellStyle name="Total 2 11 14 3" xfId="18113" xr:uid="{00000000-0005-0000-0000-0000947E0000}"/>
    <cellStyle name="Total 2 11 14 4" xfId="18142" xr:uid="{00000000-0005-0000-0000-0000957E0000}"/>
    <cellStyle name="Total 2 11 15" xfId="33200" xr:uid="{00000000-0005-0000-0000-0000967E0000}"/>
    <cellStyle name="Total 2 11 15 2" xfId="18252" xr:uid="{00000000-0005-0000-0000-0000977E0000}"/>
    <cellStyle name="Total 2 11 15 3" xfId="18257" xr:uid="{00000000-0005-0000-0000-0000987E0000}"/>
    <cellStyle name="Total 2 11 16" xfId="18267" xr:uid="{00000000-0005-0000-0000-0000997E0000}"/>
    <cellStyle name="Total 2 11 16 2" xfId="18299" xr:uid="{00000000-0005-0000-0000-00009A7E0000}"/>
    <cellStyle name="Total 2 11 16 3" xfId="18303" xr:uid="{00000000-0005-0000-0000-00009B7E0000}"/>
    <cellStyle name="Total 2 11 17" xfId="18270" xr:uid="{00000000-0005-0000-0000-00009C7E0000}"/>
    <cellStyle name="Total 2 11 18" xfId="18273" xr:uid="{00000000-0005-0000-0000-00009D7E0000}"/>
    <cellStyle name="Total 2 11 19" xfId="33201" xr:uid="{00000000-0005-0000-0000-00009E7E0000}"/>
    <cellStyle name="Total 2 11 2" xfId="33202" xr:uid="{00000000-0005-0000-0000-00009F7E0000}"/>
    <cellStyle name="Total 2 11 2 10" xfId="8285" xr:uid="{00000000-0005-0000-0000-0000A07E0000}"/>
    <cellStyle name="Total 2 11 2 10 2" xfId="33203" xr:uid="{00000000-0005-0000-0000-0000A17E0000}"/>
    <cellStyle name="Total 2 11 2 10 2 2" xfId="18662" xr:uid="{00000000-0005-0000-0000-0000A27E0000}"/>
    <cellStyle name="Total 2 11 2 10 2 3" xfId="31950" xr:uid="{00000000-0005-0000-0000-0000A37E0000}"/>
    <cellStyle name="Total 2 11 2 10 2 4" xfId="33204" xr:uid="{00000000-0005-0000-0000-0000A47E0000}"/>
    <cellStyle name="Total 2 11 2 10 3" xfId="33205" xr:uid="{00000000-0005-0000-0000-0000A57E0000}"/>
    <cellStyle name="Total 2 11 2 10 3 2" xfId="18670" xr:uid="{00000000-0005-0000-0000-0000A67E0000}"/>
    <cellStyle name="Total 2 11 2 10 3 3" xfId="31952" xr:uid="{00000000-0005-0000-0000-0000A77E0000}"/>
    <cellStyle name="Total 2 11 2 10 3 4" xfId="33206" xr:uid="{00000000-0005-0000-0000-0000A87E0000}"/>
    <cellStyle name="Total 2 11 2 10 4" xfId="18804" xr:uid="{00000000-0005-0000-0000-0000A97E0000}"/>
    <cellStyle name="Total 2 11 2 10 4 2" xfId="31954" xr:uid="{00000000-0005-0000-0000-0000AA7E0000}"/>
    <cellStyle name="Total 2 11 2 10 4 3" xfId="33207" xr:uid="{00000000-0005-0000-0000-0000AB7E0000}"/>
    <cellStyle name="Total 2 11 2 10 5" xfId="18807" xr:uid="{00000000-0005-0000-0000-0000AC7E0000}"/>
    <cellStyle name="Total 2 11 2 10 5 2" xfId="31957" xr:uid="{00000000-0005-0000-0000-0000AD7E0000}"/>
    <cellStyle name="Total 2 11 2 10 5 3" xfId="33208" xr:uid="{00000000-0005-0000-0000-0000AE7E0000}"/>
    <cellStyle name="Total 2 11 2 10 6" xfId="18810" xr:uid="{00000000-0005-0000-0000-0000AF7E0000}"/>
    <cellStyle name="Total 2 11 2 10 7" xfId="7891" xr:uid="{00000000-0005-0000-0000-0000B07E0000}"/>
    <cellStyle name="Total 2 11 2 11" xfId="8287" xr:uid="{00000000-0005-0000-0000-0000B17E0000}"/>
    <cellStyle name="Total 2 11 2 11 2" xfId="28025" xr:uid="{00000000-0005-0000-0000-0000B27E0000}"/>
    <cellStyle name="Total 2 11 2 11 3" xfId="33209" xr:uid="{00000000-0005-0000-0000-0000B37E0000}"/>
    <cellStyle name="Total 2 11 2 11 4" xfId="18813" xr:uid="{00000000-0005-0000-0000-0000B47E0000}"/>
    <cellStyle name="Total 2 11 2 12" xfId="33210" xr:uid="{00000000-0005-0000-0000-0000B57E0000}"/>
    <cellStyle name="Total 2 11 2 12 2" xfId="28033" xr:uid="{00000000-0005-0000-0000-0000B67E0000}"/>
    <cellStyle name="Total 2 11 2 12 3" xfId="33211" xr:uid="{00000000-0005-0000-0000-0000B77E0000}"/>
    <cellStyle name="Total 2 11 2 12 4" xfId="18819" xr:uid="{00000000-0005-0000-0000-0000B87E0000}"/>
    <cellStyle name="Total 2 11 2 13" xfId="12497" xr:uid="{00000000-0005-0000-0000-0000B97E0000}"/>
    <cellStyle name="Total 2 11 2 13 2" xfId="31940" xr:uid="{00000000-0005-0000-0000-0000BA7E0000}"/>
    <cellStyle name="Total 2 11 2 13 3" xfId="31945" xr:uid="{00000000-0005-0000-0000-0000BB7E0000}"/>
    <cellStyle name="Total 2 11 2 14" xfId="12499" xr:uid="{00000000-0005-0000-0000-0000BC7E0000}"/>
    <cellStyle name="Total 2 11 2 14 2" xfId="32021" xr:uid="{00000000-0005-0000-0000-0000BD7E0000}"/>
    <cellStyle name="Total 2 11 2 14 3" xfId="32034" xr:uid="{00000000-0005-0000-0000-0000BE7E0000}"/>
    <cellStyle name="Total 2 11 2 15" xfId="33212" xr:uid="{00000000-0005-0000-0000-0000BF7E0000}"/>
    <cellStyle name="Total 2 11 2 16" xfId="33213" xr:uid="{00000000-0005-0000-0000-0000C07E0000}"/>
    <cellStyle name="Total 2 11 2 17" xfId="33214" xr:uid="{00000000-0005-0000-0000-0000C17E0000}"/>
    <cellStyle name="Total 2 11 2 2" xfId="33215" xr:uid="{00000000-0005-0000-0000-0000C27E0000}"/>
    <cellStyle name="Total 2 11 2 2 2" xfId="7338" xr:uid="{00000000-0005-0000-0000-0000C37E0000}"/>
    <cellStyle name="Total 2 11 2 2 2 2" xfId="7340" xr:uid="{00000000-0005-0000-0000-0000C47E0000}"/>
    <cellStyle name="Total 2 11 2 2 2 3" xfId="3700" xr:uid="{00000000-0005-0000-0000-0000C57E0000}"/>
    <cellStyle name="Total 2 11 2 2 2 4" xfId="3703" xr:uid="{00000000-0005-0000-0000-0000C67E0000}"/>
    <cellStyle name="Total 2 11 2 2 3" xfId="7343" xr:uid="{00000000-0005-0000-0000-0000C77E0000}"/>
    <cellStyle name="Total 2 11 2 2 3 2" xfId="7346" xr:uid="{00000000-0005-0000-0000-0000C87E0000}"/>
    <cellStyle name="Total 2 11 2 2 3 3" xfId="3713" xr:uid="{00000000-0005-0000-0000-0000C97E0000}"/>
    <cellStyle name="Total 2 11 2 2 3 4" xfId="3719" xr:uid="{00000000-0005-0000-0000-0000CA7E0000}"/>
    <cellStyle name="Total 2 11 2 2 4" xfId="7349" xr:uid="{00000000-0005-0000-0000-0000CB7E0000}"/>
    <cellStyle name="Total 2 11 2 2 4 2" xfId="7352" xr:uid="{00000000-0005-0000-0000-0000CC7E0000}"/>
    <cellStyle name="Total 2 11 2 2 4 3" xfId="3727" xr:uid="{00000000-0005-0000-0000-0000CD7E0000}"/>
    <cellStyle name="Total 2 11 2 2 5" xfId="7355" xr:uid="{00000000-0005-0000-0000-0000CE7E0000}"/>
    <cellStyle name="Total 2 11 2 2 5 2" xfId="7359" xr:uid="{00000000-0005-0000-0000-0000CF7E0000}"/>
    <cellStyle name="Total 2 11 2 2 5 3" xfId="32425" xr:uid="{00000000-0005-0000-0000-0000D07E0000}"/>
    <cellStyle name="Total 2 11 2 2 6" xfId="7364" xr:uid="{00000000-0005-0000-0000-0000D17E0000}"/>
    <cellStyle name="Total 2 11 2 2 7" xfId="7367" xr:uid="{00000000-0005-0000-0000-0000D27E0000}"/>
    <cellStyle name="Total 2 11 2 3" xfId="33216" xr:uid="{00000000-0005-0000-0000-0000D37E0000}"/>
    <cellStyle name="Total 2 11 2 3 2" xfId="7374" xr:uid="{00000000-0005-0000-0000-0000D47E0000}"/>
    <cellStyle name="Total 2 11 2 3 2 2" xfId="7377" xr:uid="{00000000-0005-0000-0000-0000D57E0000}"/>
    <cellStyle name="Total 2 11 2 3 2 3" xfId="3759" xr:uid="{00000000-0005-0000-0000-0000D67E0000}"/>
    <cellStyle name="Total 2 11 2 3 2 4" xfId="3763" xr:uid="{00000000-0005-0000-0000-0000D77E0000}"/>
    <cellStyle name="Total 2 11 2 3 3" xfId="7380" xr:uid="{00000000-0005-0000-0000-0000D87E0000}"/>
    <cellStyle name="Total 2 11 2 3 3 2" xfId="7383" xr:uid="{00000000-0005-0000-0000-0000D97E0000}"/>
    <cellStyle name="Total 2 11 2 3 3 3" xfId="3774" xr:uid="{00000000-0005-0000-0000-0000DA7E0000}"/>
    <cellStyle name="Total 2 11 2 3 3 4" xfId="3783" xr:uid="{00000000-0005-0000-0000-0000DB7E0000}"/>
    <cellStyle name="Total 2 11 2 3 4" xfId="7386" xr:uid="{00000000-0005-0000-0000-0000DC7E0000}"/>
    <cellStyle name="Total 2 11 2 3 4 2" xfId="7389" xr:uid="{00000000-0005-0000-0000-0000DD7E0000}"/>
    <cellStyle name="Total 2 11 2 3 4 3" xfId="3794" xr:uid="{00000000-0005-0000-0000-0000DE7E0000}"/>
    <cellStyle name="Total 2 11 2 3 5" xfId="7391" xr:uid="{00000000-0005-0000-0000-0000DF7E0000}"/>
    <cellStyle name="Total 2 11 2 3 5 2" xfId="7396" xr:uid="{00000000-0005-0000-0000-0000E07E0000}"/>
    <cellStyle name="Total 2 11 2 3 5 3" xfId="26401" xr:uid="{00000000-0005-0000-0000-0000E17E0000}"/>
    <cellStyle name="Total 2 11 2 3 6" xfId="7401" xr:uid="{00000000-0005-0000-0000-0000E27E0000}"/>
    <cellStyle name="Total 2 11 2 3 7" xfId="7404" xr:uid="{00000000-0005-0000-0000-0000E37E0000}"/>
    <cellStyle name="Total 2 11 2 4" xfId="21163" xr:uid="{00000000-0005-0000-0000-0000E47E0000}"/>
    <cellStyle name="Total 2 11 2 4 2" xfId="7418" xr:uid="{00000000-0005-0000-0000-0000E57E0000}"/>
    <cellStyle name="Total 2 11 2 4 2 2" xfId="7425" xr:uid="{00000000-0005-0000-0000-0000E67E0000}"/>
    <cellStyle name="Total 2 11 2 4 2 3" xfId="3825" xr:uid="{00000000-0005-0000-0000-0000E77E0000}"/>
    <cellStyle name="Total 2 11 2 4 2 4" xfId="3832" xr:uid="{00000000-0005-0000-0000-0000E87E0000}"/>
    <cellStyle name="Total 2 11 2 4 3" xfId="7430" xr:uid="{00000000-0005-0000-0000-0000E97E0000}"/>
    <cellStyle name="Total 2 11 2 4 3 2" xfId="7436" xr:uid="{00000000-0005-0000-0000-0000EA7E0000}"/>
    <cellStyle name="Total 2 11 2 4 3 3" xfId="3849" xr:uid="{00000000-0005-0000-0000-0000EB7E0000}"/>
    <cellStyle name="Total 2 11 2 4 3 4" xfId="3859" xr:uid="{00000000-0005-0000-0000-0000EC7E0000}"/>
    <cellStyle name="Total 2 11 2 4 4" xfId="7441" xr:uid="{00000000-0005-0000-0000-0000ED7E0000}"/>
    <cellStyle name="Total 2 11 2 4 4 2" xfId="7447" xr:uid="{00000000-0005-0000-0000-0000EE7E0000}"/>
    <cellStyle name="Total 2 11 2 4 4 3" xfId="3871" xr:uid="{00000000-0005-0000-0000-0000EF7E0000}"/>
    <cellStyle name="Total 2 11 2 4 5" xfId="7450" xr:uid="{00000000-0005-0000-0000-0000F07E0000}"/>
    <cellStyle name="Total 2 11 2 4 5 2" xfId="7454" xr:uid="{00000000-0005-0000-0000-0000F17E0000}"/>
    <cellStyle name="Total 2 11 2 4 5 3" xfId="16830" xr:uid="{00000000-0005-0000-0000-0000F27E0000}"/>
    <cellStyle name="Total 2 11 2 4 6" xfId="7461" xr:uid="{00000000-0005-0000-0000-0000F37E0000}"/>
    <cellStyle name="Total 2 11 2 4 7" xfId="7465" xr:uid="{00000000-0005-0000-0000-0000F47E0000}"/>
    <cellStyle name="Total 2 11 2 5" xfId="21165" xr:uid="{00000000-0005-0000-0000-0000F57E0000}"/>
    <cellStyle name="Total 2 11 2 5 2" xfId="7485" xr:uid="{00000000-0005-0000-0000-0000F67E0000}"/>
    <cellStyle name="Total 2 11 2 5 2 2" xfId="7489" xr:uid="{00000000-0005-0000-0000-0000F77E0000}"/>
    <cellStyle name="Total 2 11 2 5 2 3" xfId="7493" xr:uid="{00000000-0005-0000-0000-0000F87E0000}"/>
    <cellStyle name="Total 2 11 2 5 2 4" xfId="7498" xr:uid="{00000000-0005-0000-0000-0000F97E0000}"/>
    <cellStyle name="Total 2 11 2 5 3" xfId="7502" xr:uid="{00000000-0005-0000-0000-0000FA7E0000}"/>
    <cellStyle name="Total 2 11 2 5 3 2" xfId="7507" xr:uid="{00000000-0005-0000-0000-0000FB7E0000}"/>
    <cellStyle name="Total 2 11 2 5 3 3" xfId="7512" xr:uid="{00000000-0005-0000-0000-0000FC7E0000}"/>
    <cellStyle name="Total 2 11 2 5 3 4" xfId="29399" xr:uid="{00000000-0005-0000-0000-0000FD7E0000}"/>
    <cellStyle name="Total 2 11 2 5 4" xfId="7516" xr:uid="{00000000-0005-0000-0000-0000FE7E0000}"/>
    <cellStyle name="Total 2 11 2 5 4 2" xfId="7520" xr:uid="{00000000-0005-0000-0000-0000FF7E0000}"/>
    <cellStyle name="Total 2 11 2 5 4 3" xfId="7524" xr:uid="{00000000-0005-0000-0000-0000007F0000}"/>
    <cellStyle name="Total 2 11 2 5 5" xfId="7526" xr:uid="{00000000-0005-0000-0000-0000017F0000}"/>
    <cellStyle name="Total 2 11 2 5 5 2" xfId="7529" xr:uid="{00000000-0005-0000-0000-0000027F0000}"/>
    <cellStyle name="Total 2 11 2 5 5 3" xfId="29412" xr:uid="{00000000-0005-0000-0000-0000037F0000}"/>
    <cellStyle name="Total 2 11 2 5 6" xfId="7533" xr:uid="{00000000-0005-0000-0000-0000047F0000}"/>
    <cellStyle name="Total 2 11 2 5 7" xfId="7535" xr:uid="{00000000-0005-0000-0000-0000057F0000}"/>
    <cellStyle name="Total 2 11 2 6" xfId="21167" xr:uid="{00000000-0005-0000-0000-0000067F0000}"/>
    <cellStyle name="Total 2 11 2 6 2" xfId="32704" xr:uid="{00000000-0005-0000-0000-0000077F0000}"/>
    <cellStyle name="Total 2 11 2 6 2 2" xfId="33217" xr:uid="{00000000-0005-0000-0000-0000087F0000}"/>
    <cellStyle name="Total 2 11 2 6 2 3" xfId="17" xr:uid="{00000000-0005-0000-0000-0000097F0000}"/>
    <cellStyle name="Total 2 11 2 6 2 4" xfId="33218" xr:uid="{00000000-0005-0000-0000-00000A7F0000}"/>
    <cellStyle name="Total 2 11 2 6 3" xfId="33219" xr:uid="{00000000-0005-0000-0000-00000B7F0000}"/>
    <cellStyle name="Total 2 11 2 6 3 2" xfId="33220" xr:uid="{00000000-0005-0000-0000-00000C7F0000}"/>
    <cellStyle name="Total 2 11 2 6 3 3" xfId="29424" xr:uid="{00000000-0005-0000-0000-00000D7F0000}"/>
    <cellStyle name="Total 2 11 2 6 3 4" xfId="29426" xr:uid="{00000000-0005-0000-0000-00000E7F0000}"/>
    <cellStyle name="Total 2 11 2 6 4" xfId="33221" xr:uid="{00000000-0005-0000-0000-00000F7F0000}"/>
    <cellStyle name="Total 2 11 2 6 4 2" xfId="33222" xr:uid="{00000000-0005-0000-0000-0000107F0000}"/>
    <cellStyle name="Total 2 11 2 6 4 3" xfId="29431" xr:uid="{00000000-0005-0000-0000-0000117F0000}"/>
    <cellStyle name="Total 2 11 2 6 5" xfId="33223" xr:uid="{00000000-0005-0000-0000-0000127F0000}"/>
    <cellStyle name="Total 2 11 2 6 5 2" xfId="31659" xr:uid="{00000000-0005-0000-0000-0000137F0000}"/>
    <cellStyle name="Total 2 11 2 6 5 3" xfId="29437" xr:uid="{00000000-0005-0000-0000-0000147F0000}"/>
    <cellStyle name="Total 2 11 2 6 6" xfId="33224" xr:uid="{00000000-0005-0000-0000-0000157F0000}"/>
    <cellStyle name="Total 2 11 2 6 7" xfId="33225" xr:uid="{00000000-0005-0000-0000-0000167F0000}"/>
    <cellStyle name="Total 2 11 2 7" xfId="33226" xr:uid="{00000000-0005-0000-0000-0000177F0000}"/>
    <cellStyle name="Total 2 11 2 7 2" xfId="32709" xr:uid="{00000000-0005-0000-0000-0000187F0000}"/>
    <cellStyle name="Total 2 11 2 7 2 2" xfId="33227" xr:uid="{00000000-0005-0000-0000-0000197F0000}"/>
    <cellStyle name="Total 2 11 2 7 2 3" xfId="33228" xr:uid="{00000000-0005-0000-0000-00001A7F0000}"/>
    <cellStyle name="Total 2 11 2 7 2 4" xfId="33229" xr:uid="{00000000-0005-0000-0000-00001B7F0000}"/>
    <cellStyle name="Total 2 11 2 7 3" xfId="33230" xr:uid="{00000000-0005-0000-0000-00001C7F0000}"/>
    <cellStyle name="Total 2 11 2 7 3 2" xfId="33231" xr:uid="{00000000-0005-0000-0000-00001D7F0000}"/>
    <cellStyle name="Total 2 11 2 7 3 3" xfId="29451" xr:uid="{00000000-0005-0000-0000-00001E7F0000}"/>
    <cellStyle name="Total 2 11 2 7 3 4" xfId="29454" xr:uid="{00000000-0005-0000-0000-00001F7F0000}"/>
    <cellStyle name="Total 2 11 2 7 4" xfId="33232" xr:uid="{00000000-0005-0000-0000-0000207F0000}"/>
    <cellStyle name="Total 2 11 2 7 4 2" xfId="33233" xr:uid="{00000000-0005-0000-0000-0000217F0000}"/>
    <cellStyle name="Total 2 11 2 7 4 3" xfId="29459" xr:uid="{00000000-0005-0000-0000-0000227F0000}"/>
    <cellStyle name="Total 2 11 2 7 5" xfId="33234" xr:uid="{00000000-0005-0000-0000-0000237F0000}"/>
    <cellStyle name="Total 2 11 2 7 5 2" xfId="31673" xr:uid="{00000000-0005-0000-0000-0000247F0000}"/>
    <cellStyle name="Total 2 11 2 7 5 3" xfId="29468" xr:uid="{00000000-0005-0000-0000-0000257F0000}"/>
    <cellStyle name="Total 2 11 2 7 6" xfId="33235" xr:uid="{00000000-0005-0000-0000-0000267F0000}"/>
    <cellStyle name="Total 2 11 2 7 7" xfId="33236" xr:uid="{00000000-0005-0000-0000-0000277F0000}"/>
    <cellStyle name="Total 2 11 2 8" xfId="9726" xr:uid="{00000000-0005-0000-0000-0000287F0000}"/>
    <cellStyle name="Total 2 11 2 8 2" xfId="32876" xr:uid="{00000000-0005-0000-0000-0000297F0000}"/>
    <cellStyle name="Total 2 11 2 8 2 2" xfId="33237" xr:uid="{00000000-0005-0000-0000-00002A7F0000}"/>
    <cellStyle name="Total 2 11 2 8 2 3" xfId="33238" xr:uid="{00000000-0005-0000-0000-00002B7F0000}"/>
    <cellStyle name="Total 2 11 2 8 2 4" xfId="33239" xr:uid="{00000000-0005-0000-0000-00002C7F0000}"/>
    <cellStyle name="Total 2 11 2 8 3" xfId="33240" xr:uid="{00000000-0005-0000-0000-00002D7F0000}"/>
    <cellStyle name="Total 2 11 2 8 3 2" xfId="33241" xr:uid="{00000000-0005-0000-0000-00002E7F0000}"/>
    <cellStyle name="Total 2 11 2 8 3 3" xfId="29296" xr:uid="{00000000-0005-0000-0000-00002F7F0000}"/>
    <cellStyle name="Total 2 11 2 8 3 4" xfId="29305" xr:uid="{00000000-0005-0000-0000-0000307F0000}"/>
    <cellStyle name="Total 2 11 2 8 4" xfId="33242" xr:uid="{00000000-0005-0000-0000-0000317F0000}"/>
    <cellStyle name="Total 2 11 2 8 4 2" xfId="27016" xr:uid="{00000000-0005-0000-0000-0000327F0000}"/>
    <cellStyle name="Total 2 11 2 8 4 3" xfId="29491" xr:uid="{00000000-0005-0000-0000-0000337F0000}"/>
    <cellStyle name="Total 2 11 2 8 5" xfId="33243" xr:uid="{00000000-0005-0000-0000-0000347F0000}"/>
    <cellStyle name="Total 2 11 2 8 5 2" xfId="31680" xr:uid="{00000000-0005-0000-0000-0000357F0000}"/>
    <cellStyle name="Total 2 11 2 8 5 3" xfId="29496" xr:uid="{00000000-0005-0000-0000-0000367F0000}"/>
    <cellStyle name="Total 2 11 2 8 6" xfId="33244" xr:uid="{00000000-0005-0000-0000-0000377F0000}"/>
    <cellStyle name="Total 2 11 2 8 7" xfId="33245" xr:uid="{00000000-0005-0000-0000-0000387F0000}"/>
    <cellStyle name="Total 2 11 2 9" xfId="9729" xr:uid="{00000000-0005-0000-0000-0000397F0000}"/>
    <cellStyle name="Total 2 11 2 9 2" xfId="30959" xr:uid="{00000000-0005-0000-0000-00003A7F0000}"/>
    <cellStyle name="Total 2 11 2 9 2 2" xfId="22944" xr:uid="{00000000-0005-0000-0000-00003B7F0000}"/>
    <cellStyle name="Total 2 11 2 9 2 3" xfId="22947" xr:uid="{00000000-0005-0000-0000-00003C7F0000}"/>
    <cellStyle name="Total 2 11 2 9 2 4" xfId="30961" xr:uid="{00000000-0005-0000-0000-00003D7F0000}"/>
    <cellStyle name="Total 2 11 2 9 3" xfId="30963" xr:uid="{00000000-0005-0000-0000-00003E7F0000}"/>
    <cellStyle name="Total 2 11 2 9 3 2" xfId="22982" xr:uid="{00000000-0005-0000-0000-00003F7F0000}"/>
    <cellStyle name="Total 2 11 2 9 3 3" xfId="22987" xr:uid="{00000000-0005-0000-0000-0000407F0000}"/>
    <cellStyle name="Total 2 11 2 9 3 4" xfId="29514" xr:uid="{00000000-0005-0000-0000-0000417F0000}"/>
    <cellStyle name="Total 2 11 2 9 4" xfId="30965" xr:uid="{00000000-0005-0000-0000-0000427F0000}"/>
    <cellStyle name="Total 2 11 2 9 4 2" xfId="23002" xr:uid="{00000000-0005-0000-0000-0000437F0000}"/>
    <cellStyle name="Total 2 11 2 9 4 3" xfId="23006" xr:uid="{00000000-0005-0000-0000-0000447F0000}"/>
    <cellStyle name="Total 2 11 2 9 5" xfId="30967" xr:uid="{00000000-0005-0000-0000-0000457F0000}"/>
    <cellStyle name="Total 2 11 2 9 5 2" xfId="23027" xr:uid="{00000000-0005-0000-0000-0000467F0000}"/>
    <cellStyle name="Total 2 11 2 9 5 3" xfId="23031" xr:uid="{00000000-0005-0000-0000-0000477F0000}"/>
    <cellStyle name="Total 2 11 2 9 6" xfId="30969" xr:uid="{00000000-0005-0000-0000-0000487F0000}"/>
    <cellStyle name="Total 2 11 2 9 7" xfId="30971" xr:uid="{00000000-0005-0000-0000-0000497F0000}"/>
    <cellStyle name="Total 2 11 20" xfId="33199" xr:uid="{00000000-0005-0000-0000-00004A7F0000}"/>
    <cellStyle name="Total 2 11 3" xfId="33246" xr:uid="{00000000-0005-0000-0000-00004B7F0000}"/>
    <cellStyle name="Total 2 11 3 10" xfId="30019" xr:uid="{00000000-0005-0000-0000-00004C7F0000}"/>
    <cellStyle name="Total 2 11 3 10 2" xfId="7311" xr:uid="{00000000-0005-0000-0000-00004D7F0000}"/>
    <cellStyle name="Total 2 11 3 10 2 2" xfId="7313" xr:uid="{00000000-0005-0000-0000-00004E7F0000}"/>
    <cellStyle name="Total 2 11 3 10 2 3" xfId="3671" xr:uid="{00000000-0005-0000-0000-00004F7F0000}"/>
    <cellStyle name="Total 2 11 3 10 2 4" xfId="3677" xr:uid="{00000000-0005-0000-0000-0000507F0000}"/>
    <cellStyle name="Total 2 11 3 10 3" xfId="7316" xr:uid="{00000000-0005-0000-0000-0000517F0000}"/>
    <cellStyle name="Total 2 11 3 10 3 2" xfId="7318" xr:uid="{00000000-0005-0000-0000-0000527F0000}"/>
    <cellStyle name="Total 2 11 3 10 3 3" xfId="3682" xr:uid="{00000000-0005-0000-0000-0000537F0000}"/>
    <cellStyle name="Total 2 11 3 10 3 4" xfId="1675" xr:uid="{00000000-0005-0000-0000-0000547F0000}"/>
    <cellStyle name="Total 2 11 3 10 4" xfId="7321" xr:uid="{00000000-0005-0000-0000-0000557F0000}"/>
    <cellStyle name="Total 2 11 3 10 4 2" xfId="7323" xr:uid="{00000000-0005-0000-0000-0000567F0000}"/>
    <cellStyle name="Total 2 11 3 10 4 3" xfId="33247" xr:uid="{00000000-0005-0000-0000-0000577F0000}"/>
    <cellStyle name="Total 2 11 3 10 5" xfId="7328" xr:uid="{00000000-0005-0000-0000-0000587F0000}"/>
    <cellStyle name="Total 2 11 3 10 5 2" xfId="33248" xr:uid="{00000000-0005-0000-0000-0000597F0000}"/>
    <cellStyle name="Total 2 11 3 10 5 3" xfId="33249" xr:uid="{00000000-0005-0000-0000-00005A7F0000}"/>
    <cellStyle name="Total 2 11 3 10 6" xfId="7331" xr:uid="{00000000-0005-0000-0000-00005B7F0000}"/>
    <cellStyle name="Total 2 11 3 10 7" xfId="31783" xr:uid="{00000000-0005-0000-0000-00005C7F0000}"/>
    <cellStyle name="Total 2 11 3 11" xfId="30021" xr:uid="{00000000-0005-0000-0000-00005D7F0000}"/>
    <cellStyle name="Total 2 11 3 11 2" xfId="7344" xr:uid="{00000000-0005-0000-0000-00005E7F0000}"/>
    <cellStyle name="Total 2 11 3 11 3" xfId="7350" xr:uid="{00000000-0005-0000-0000-00005F7F0000}"/>
    <cellStyle name="Total 2 11 3 11 4" xfId="7356" xr:uid="{00000000-0005-0000-0000-0000607F0000}"/>
    <cellStyle name="Total 2 11 3 12" xfId="30023" xr:uid="{00000000-0005-0000-0000-0000617F0000}"/>
    <cellStyle name="Total 2 11 3 12 2" xfId="7381" xr:uid="{00000000-0005-0000-0000-0000627F0000}"/>
    <cellStyle name="Total 2 11 3 12 3" xfId="7387" xr:uid="{00000000-0005-0000-0000-0000637F0000}"/>
    <cellStyle name="Total 2 11 3 12 4" xfId="7392" xr:uid="{00000000-0005-0000-0000-0000647F0000}"/>
    <cellStyle name="Total 2 11 3 13" xfId="30025" xr:uid="{00000000-0005-0000-0000-0000657F0000}"/>
    <cellStyle name="Total 2 11 3 13 2" xfId="7431" xr:uid="{00000000-0005-0000-0000-0000667F0000}"/>
    <cellStyle name="Total 2 11 3 13 3" xfId="7442" xr:uid="{00000000-0005-0000-0000-0000677F0000}"/>
    <cellStyle name="Total 2 11 3 14" xfId="30027" xr:uid="{00000000-0005-0000-0000-0000687F0000}"/>
    <cellStyle name="Total 2 11 3 14 2" xfId="7503" xr:uid="{00000000-0005-0000-0000-0000697F0000}"/>
    <cellStyle name="Total 2 11 3 14 3" xfId="7517" xr:uid="{00000000-0005-0000-0000-00006A7F0000}"/>
    <cellStyle name="Total 2 11 3 15" xfId="27713" xr:uid="{00000000-0005-0000-0000-00006B7F0000}"/>
    <cellStyle name="Total 2 11 3 16" xfId="1814" xr:uid="{00000000-0005-0000-0000-00006C7F0000}"/>
    <cellStyle name="Total 2 11 3 2" xfId="33250" xr:uid="{00000000-0005-0000-0000-00006D7F0000}"/>
    <cellStyle name="Total 2 11 3 2 2" xfId="2994" xr:uid="{00000000-0005-0000-0000-00006E7F0000}"/>
    <cellStyle name="Total 2 11 3 2 2 2" xfId="4144" xr:uid="{00000000-0005-0000-0000-00006F7F0000}"/>
    <cellStyle name="Total 2 11 3 2 2 3" xfId="4149" xr:uid="{00000000-0005-0000-0000-0000707F0000}"/>
    <cellStyle name="Total 2 11 3 2 2 4" xfId="4153" xr:uid="{00000000-0005-0000-0000-0000717F0000}"/>
    <cellStyle name="Total 2 11 3 2 3" xfId="4163" xr:uid="{00000000-0005-0000-0000-0000727F0000}"/>
    <cellStyle name="Total 2 11 3 2 3 2" xfId="4167" xr:uid="{00000000-0005-0000-0000-0000737F0000}"/>
    <cellStyle name="Total 2 11 3 2 3 3" xfId="1435" xr:uid="{00000000-0005-0000-0000-0000747F0000}"/>
    <cellStyle name="Total 2 11 3 2 3 4" xfId="1339" xr:uid="{00000000-0005-0000-0000-0000757F0000}"/>
    <cellStyle name="Total 2 11 3 2 4" xfId="4177" xr:uid="{00000000-0005-0000-0000-0000767F0000}"/>
    <cellStyle name="Total 2 11 3 2 4 2" xfId="4180" xr:uid="{00000000-0005-0000-0000-0000777F0000}"/>
    <cellStyle name="Total 2 11 3 2 4 3" xfId="4183" xr:uid="{00000000-0005-0000-0000-0000787F0000}"/>
    <cellStyle name="Total 2 11 3 2 5" xfId="4187" xr:uid="{00000000-0005-0000-0000-0000797F0000}"/>
    <cellStyle name="Total 2 11 3 2 5 2" xfId="4191" xr:uid="{00000000-0005-0000-0000-00007A7F0000}"/>
    <cellStyle name="Total 2 11 3 2 5 3" xfId="4193" xr:uid="{00000000-0005-0000-0000-00007B7F0000}"/>
    <cellStyle name="Total 2 11 3 2 6" xfId="4196" xr:uid="{00000000-0005-0000-0000-00007C7F0000}"/>
    <cellStyle name="Total 2 11 3 2 7" xfId="501" xr:uid="{00000000-0005-0000-0000-00007D7F0000}"/>
    <cellStyle name="Total 2 11 3 3" xfId="33251" xr:uid="{00000000-0005-0000-0000-00007E7F0000}"/>
    <cellStyle name="Total 2 11 3 3 2" xfId="7806" xr:uid="{00000000-0005-0000-0000-00007F7F0000}"/>
    <cellStyle name="Total 2 11 3 3 2 2" xfId="7808" xr:uid="{00000000-0005-0000-0000-0000807F0000}"/>
    <cellStyle name="Total 2 11 3 3 2 3" xfId="7810" xr:uid="{00000000-0005-0000-0000-0000817F0000}"/>
    <cellStyle name="Total 2 11 3 3 2 4" xfId="7812" xr:uid="{00000000-0005-0000-0000-0000827F0000}"/>
    <cellStyle name="Total 2 11 3 3 3" xfId="7816" xr:uid="{00000000-0005-0000-0000-0000837F0000}"/>
    <cellStyle name="Total 2 11 3 3 3 2" xfId="7818" xr:uid="{00000000-0005-0000-0000-0000847F0000}"/>
    <cellStyle name="Total 2 11 3 3 3 3" xfId="7820" xr:uid="{00000000-0005-0000-0000-0000857F0000}"/>
    <cellStyle name="Total 2 11 3 3 3 4" xfId="33252" xr:uid="{00000000-0005-0000-0000-0000867F0000}"/>
    <cellStyle name="Total 2 11 3 3 4" xfId="7824" xr:uid="{00000000-0005-0000-0000-0000877F0000}"/>
    <cellStyle name="Total 2 11 3 3 4 2" xfId="7826" xr:uid="{00000000-0005-0000-0000-0000887F0000}"/>
    <cellStyle name="Total 2 11 3 3 4 3" xfId="7828" xr:uid="{00000000-0005-0000-0000-0000897F0000}"/>
    <cellStyle name="Total 2 11 3 3 5" xfId="7830" xr:uid="{00000000-0005-0000-0000-00008A7F0000}"/>
    <cellStyle name="Total 2 11 3 3 5 2" xfId="7833" xr:uid="{00000000-0005-0000-0000-00008B7F0000}"/>
    <cellStyle name="Total 2 11 3 3 5 3" xfId="33253" xr:uid="{00000000-0005-0000-0000-00008C7F0000}"/>
    <cellStyle name="Total 2 11 3 3 6" xfId="7836" xr:uid="{00000000-0005-0000-0000-00008D7F0000}"/>
    <cellStyle name="Total 2 11 3 3 7" xfId="33254" xr:uid="{00000000-0005-0000-0000-00008E7F0000}"/>
    <cellStyle name="Total 2 11 3 4" xfId="21170" xr:uid="{00000000-0005-0000-0000-00008F7F0000}"/>
    <cellStyle name="Total 2 11 3 4 2" xfId="7852" xr:uid="{00000000-0005-0000-0000-0000907F0000}"/>
    <cellStyle name="Total 2 11 3 4 2 2" xfId="7855" xr:uid="{00000000-0005-0000-0000-0000917F0000}"/>
    <cellStyle name="Total 2 11 3 4 2 3" xfId="7858" xr:uid="{00000000-0005-0000-0000-0000927F0000}"/>
    <cellStyle name="Total 2 11 3 4 2 4" xfId="7861" xr:uid="{00000000-0005-0000-0000-0000937F0000}"/>
    <cellStyle name="Total 2 11 3 4 3" xfId="7866" xr:uid="{00000000-0005-0000-0000-0000947F0000}"/>
    <cellStyle name="Total 2 11 3 4 3 2" xfId="7869" xr:uid="{00000000-0005-0000-0000-0000957F0000}"/>
    <cellStyle name="Total 2 11 3 4 3 3" xfId="7872" xr:uid="{00000000-0005-0000-0000-0000967F0000}"/>
    <cellStyle name="Total 2 11 3 4 3 4" xfId="32981" xr:uid="{00000000-0005-0000-0000-0000977F0000}"/>
    <cellStyle name="Total 2 11 3 4 4" xfId="7877" xr:uid="{00000000-0005-0000-0000-0000987F0000}"/>
    <cellStyle name="Total 2 11 3 4 4 2" xfId="7882" xr:uid="{00000000-0005-0000-0000-0000997F0000}"/>
    <cellStyle name="Total 2 11 3 4 4 3" xfId="7886" xr:uid="{00000000-0005-0000-0000-00009A7F0000}"/>
    <cellStyle name="Total 2 11 3 4 5" xfId="7888" xr:uid="{00000000-0005-0000-0000-00009B7F0000}"/>
    <cellStyle name="Total 2 11 3 4 5 2" xfId="7892" xr:uid="{00000000-0005-0000-0000-00009C7F0000}"/>
    <cellStyle name="Total 2 11 3 4 5 3" xfId="33255" xr:uid="{00000000-0005-0000-0000-00009D7F0000}"/>
    <cellStyle name="Total 2 11 3 4 6" xfId="7895" xr:uid="{00000000-0005-0000-0000-00009E7F0000}"/>
    <cellStyle name="Total 2 11 3 4 7" xfId="33256" xr:uid="{00000000-0005-0000-0000-00009F7F0000}"/>
    <cellStyle name="Total 2 11 3 5" xfId="21173" xr:uid="{00000000-0005-0000-0000-0000A07F0000}"/>
    <cellStyle name="Total 2 11 3 5 2" xfId="7908" xr:uid="{00000000-0005-0000-0000-0000A17F0000}"/>
    <cellStyle name="Total 2 11 3 5 2 2" xfId="7911" xr:uid="{00000000-0005-0000-0000-0000A27F0000}"/>
    <cellStyle name="Total 2 11 3 5 2 3" xfId="7914" xr:uid="{00000000-0005-0000-0000-0000A37F0000}"/>
    <cellStyle name="Total 2 11 3 5 2 4" xfId="7917" xr:uid="{00000000-0005-0000-0000-0000A47F0000}"/>
    <cellStyle name="Total 2 11 3 5 3" xfId="7921" xr:uid="{00000000-0005-0000-0000-0000A57F0000}"/>
    <cellStyle name="Total 2 11 3 5 3 2" xfId="7925" xr:uid="{00000000-0005-0000-0000-0000A67F0000}"/>
    <cellStyle name="Total 2 11 3 5 3 3" xfId="7929" xr:uid="{00000000-0005-0000-0000-0000A77F0000}"/>
    <cellStyle name="Total 2 11 3 5 3 4" xfId="30048" xr:uid="{00000000-0005-0000-0000-0000A87F0000}"/>
    <cellStyle name="Total 2 11 3 5 4" xfId="6513" xr:uid="{00000000-0005-0000-0000-0000A97F0000}"/>
    <cellStyle name="Total 2 11 3 5 4 2" xfId="6517" xr:uid="{00000000-0005-0000-0000-0000AA7F0000}"/>
    <cellStyle name="Total 2 11 3 5 4 3" xfId="6521" xr:uid="{00000000-0005-0000-0000-0000AB7F0000}"/>
    <cellStyle name="Total 2 11 3 5 5" xfId="6526" xr:uid="{00000000-0005-0000-0000-0000AC7F0000}"/>
    <cellStyle name="Total 2 11 3 5 5 2" xfId="6530" xr:uid="{00000000-0005-0000-0000-0000AD7F0000}"/>
    <cellStyle name="Total 2 11 3 5 5 3" xfId="6532" xr:uid="{00000000-0005-0000-0000-0000AE7F0000}"/>
    <cellStyle name="Total 2 11 3 5 6" xfId="6536" xr:uid="{00000000-0005-0000-0000-0000AF7F0000}"/>
    <cellStyle name="Total 2 11 3 5 7" xfId="6538" xr:uid="{00000000-0005-0000-0000-0000B07F0000}"/>
    <cellStyle name="Total 2 11 3 6" xfId="21175" xr:uid="{00000000-0005-0000-0000-0000B17F0000}"/>
    <cellStyle name="Total 2 11 3 6 2" xfId="32716" xr:uid="{00000000-0005-0000-0000-0000B27F0000}"/>
    <cellStyle name="Total 2 11 3 6 2 2" xfId="33257" xr:uid="{00000000-0005-0000-0000-0000B37F0000}"/>
    <cellStyle name="Total 2 11 3 6 2 3" xfId="33258" xr:uid="{00000000-0005-0000-0000-0000B47F0000}"/>
    <cellStyle name="Total 2 11 3 6 2 4" xfId="33259" xr:uid="{00000000-0005-0000-0000-0000B57F0000}"/>
    <cellStyle name="Total 2 11 3 6 3" xfId="33260" xr:uid="{00000000-0005-0000-0000-0000B67F0000}"/>
    <cellStyle name="Total 2 11 3 6 3 2" xfId="31405" xr:uid="{00000000-0005-0000-0000-0000B77F0000}"/>
    <cellStyle name="Total 2 11 3 6 3 3" xfId="31408" xr:uid="{00000000-0005-0000-0000-0000B87F0000}"/>
    <cellStyle name="Total 2 11 3 6 3 4" xfId="31410" xr:uid="{00000000-0005-0000-0000-0000B97F0000}"/>
    <cellStyle name="Total 2 11 3 6 4" xfId="6548" xr:uid="{00000000-0005-0000-0000-0000BA7F0000}"/>
    <cellStyle name="Total 2 11 3 6 4 2" xfId="33261" xr:uid="{00000000-0005-0000-0000-0000BB7F0000}"/>
    <cellStyle name="Total 2 11 3 6 4 3" xfId="33262" xr:uid="{00000000-0005-0000-0000-0000BC7F0000}"/>
    <cellStyle name="Total 2 11 3 6 5" xfId="6550" xr:uid="{00000000-0005-0000-0000-0000BD7F0000}"/>
    <cellStyle name="Total 2 11 3 6 5 2" xfId="26556" xr:uid="{00000000-0005-0000-0000-0000BE7F0000}"/>
    <cellStyle name="Total 2 11 3 6 5 3" xfId="26560" xr:uid="{00000000-0005-0000-0000-0000BF7F0000}"/>
    <cellStyle name="Total 2 11 3 6 6" xfId="6552" xr:uid="{00000000-0005-0000-0000-0000C07F0000}"/>
    <cellStyle name="Total 2 11 3 6 7" xfId="33263" xr:uid="{00000000-0005-0000-0000-0000C17F0000}"/>
    <cellStyle name="Total 2 11 3 7" xfId="33264" xr:uid="{00000000-0005-0000-0000-0000C27F0000}"/>
    <cellStyle name="Total 2 11 3 7 2" xfId="5016" xr:uid="{00000000-0005-0000-0000-0000C37F0000}"/>
    <cellStyle name="Total 2 11 3 7 2 2" xfId="5022" xr:uid="{00000000-0005-0000-0000-0000C47F0000}"/>
    <cellStyle name="Total 2 11 3 7 2 3" xfId="5026" xr:uid="{00000000-0005-0000-0000-0000C57F0000}"/>
    <cellStyle name="Total 2 11 3 7 2 4" xfId="5029" xr:uid="{00000000-0005-0000-0000-0000C67F0000}"/>
    <cellStyle name="Total 2 11 3 7 3" xfId="4333" xr:uid="{00000000-0005-0000-0000-0000C77F0000}"/>
    <cellStyle name="Total 2 11 3 7 3 2" xfId="5033" xr:uid="{00000000-0005-0000-0000-0000C87F0000}"/>
    <cellStyle name="Total 2 11 3 7 3 3" xfId="5036" xr:uid="{00000000-0005-0000-0000-0000C97F0000}"/>
    <cellStyle name="Total 2 11 3 7 3 4" xfId="5038" xr:uid="{00000000-0005-0000-0000-0000CA7F0000}"/>
    <cellStyle name="Total 2 11 3 7 4" xfId="4338" xr:uid="{00000000-0005-0000-0000-0000CB7F0000}"/>
    <cellStyle name="Total 2 11 3 7 4 2" xfId="5041" xr:uid="{00000000-0005-0000-0000-0000CC7F0000}"/>
    <cellStyle name="Total 2 11 3 7 4 3" xfId="5044" xr:uid="{00000000-0005-0000-0000-0000CD7F0000}"/>
    <cellStyle name="Total 2 11 3 7 5" xfId="4343" xr:uid="{00000000-0005-0000-0000-0000CE7F0000}"/>
    <cellStyle name="Total 2 11 3 7 5 2" xfId="5048" xr:uid="{00000000-0005-0000-0000-0000CF7F0000}"/>
    <cellStyle name="Total 2 11 3 7 5 3" xfId="5051" xr:uid="{00000000-0005-0000-0000-0000D07F0000}"/>
    <cellStyle name="Total 2 11 3 7 6" xfId="5054" xr:uid="{00000000-0005-0000-0000-0000D17F0000}"/>
    <cellStyle name="Total 2 11 3 7 7" xfId="33265" xr:uid="{00000000-0005-0000-0000-0000D27F0000}"/>
    <cellStyle name="Total 2 11 3 8" xfId="33266" xr:uid="{00000000-0005-0000-0000-0000D37F0000}"/>
    <cellStyle name="Total 2 11 3 8 2" xfId="33267" xr:uid="{00000000-0005-0000-0000-0000D47F0000}"/>
    <cellStyle name="Total 2 11 3 8 2 2" xfId="33268" xr:uid="{00000000-0005-0000-0000-0000D57F0000}"/>
    <cellStyle name="Total 2 11 3 8 2 3" xfId="33269" xr:uid="{00000000-0005-0000-0000-0000D67F0000}"/>
    <cellStyle name="Total 2 11 3 8 2 4" xfId="33270" xr:uid="{00000000-0005-0000-0000-0000D77F0000}"/>
    <cellStyle name="Total 2 11 3 8 3" xfId="33271" xr:uid="{00000000-0005-0000-0000-0000D87F0000}"/>
    <cellStyle name="Total 2 11 3 8 3 2" xfId="33272" xr:uid="{00000000-0005-0000-0000-0000D97F0000}"/>
    <cellStyle name="Total 2 11 3 8 3 3" xfId="33273" xr:uid="{00000000-0005-0000-0000-0000DA7F0000}"/>
    <cellStyle name="Total 2 11 3 8 3 4" xfId="33274" xr:uid="{00000000-0005-0000-0000-0000DB7F0000}"/>
    <cellStyle name="Total 2 11 3 8 4" xfId="2801" xr:uid="{00000000-0005-0000-0000-0000DC7F0000}"/>
    <cellStyle name="Total 2 11 3 8 4 2" xfId="33275" xr:uid="{00000000-0005-0000-0000-0000DD7F0000}"/>
    <cellStyle name="Total 2 11 3 8 4 3" xfId="33276" xr:uid="{00000000-0005-0000-0000-0000DE7F0000}"/>
    <cellStyle name="Total 2 11 3 8 5" xfId="4346" xr:uid="{00000000-0005-0000-0000-0000DF7F0000}"/>
    <cellStyle name="Total 2 11 3 8 5 2" xfId="33277" xr:uid="{00000000-0005-0000-0000-0000E07F0000}"/>
    <cellStyle name="Total 2 11 3 8 5 3" xfId="33278" xr:uid="{00000000-0005-0000-0000-0000E17F0000}"/>
    <cellStyle name="Total 2 11 3 8 6" xfId="33279" xr:uid="{00000000-0005-0000-0000-0000E27F0000}"/>
    <cellStyle name="Total 2 11 3 8 7" xfId="33280" xr:uid="{00000000-0005-0000-0000-0000E37F0000}"/>
    <cellStyle name="Total 2 11 3 9" xfId="33281" xr:uid="{00000000-0005-0000-0000-0000E47F0000}"/>
    <cellStyle name="Total 2 11 3 9 2" xfId="33282" xr:uid="{00000000-0005-0000-0000-0000E57F0000}"/>
    <cellStyle name="Total 2 11 3 9 2 2" xfId="830" xr:uid="{00000000-0005-0000-0000-0000E67F0000}"/>
    <cellStyle name="Total 2 11 3 9 2 3" xfId="33283" xr:uid="{00000000-0005-0000-0000-0000E77F0000}"/>
    <cellStyle name="Total 2 11 3 9 2 4" xfId="33284" xr:uid="{00000000-0005-0000-0000-0000E87F0000}"/>
    <cellStyle name="Total 2 11 3 9 3" xfId="33285" xr:uid="{00000000-0005-0000-0000-0000E97F0000}"/>
    <cellStyle name="Total 2 11 3 9 3 2" xfId="33286" xr:uid="{00000000-0005-0000-0000-0000EA7F0000}"/>
    <cellStyle name="Total 2 11 3 9 3 3" xfId="33287" xr:uid="{00000000-0005-0000-0000-0000EB7F0000}"/>
    <cellStyle name="Total 2 11 3 9 3 4" xfId="33288" xr:uid="{00000000-0005-0000-0000-0000EC7F0000}"/>
    <cellStyle name="Total 2 11 3 9 4" xfId="4351" xr:uid="{00000000-0005-0000-0000-0000ED7F0000}"/>
    <cellStyle name="Total 2 11 3 9 4 2" xfId="33289" xr:uid="{00000000-0005-0000-0000-0000EE7F0000}"/>
    <cellStyle name="Total 2 11 3 9 4 3" xfId="33290" xr:uid="{00000000-0005-0000-0000-0000EF7F0000}"/>
    <cellStyle name="Total 2 11 3 9 5" xfId="6556" xr:uid="{00000000-0005-0000-0000-0000F07F0000}"/>
    <cellStyle name="Total 2 11 3 9 5 2" xfId="33291" xr:uid="{00000000-0005-0000-0000-0000F17F0000}"/>
    <cellStyle name="Total 2 11 3 9 5 3" xfId="33292" xr:uid="{00000000-0005-0000-0000-0000F27F0000}"/>
    <cellStyle name="Total 2 11 3 9 6" xfId="33293" xr:uid="{00000000-0005-0000-0000-0000F37F0000}"/>
    <cellStyle name="Total 2 11 3 9 7" xfId="33294" xr:uid="{00000000-0005-0000-0000-0000F47F0000}"/>
    <cellStyle name="Total 2 11 4" xfId="33295" xr:uid="{00000000-0005-0000-0000-0000F57F0000}"/>
    <cellStyle name="Total 2 11 4 2" xfId="33296" xr:uid="{00000000-0005-0000-0000-0000F67F0000}"/>
    <cellStyle name="Total 2 11 4 2 2" xfId="6980" xr:uid="{00000000-0005-0000-0000-0000F77F0000}"/>
    <cellStyle name="Total 2 11 4 2 3" xfId="6280" xr:uid="{00000000-0005-0000-0000-0000F87F0000}"/>
    <cellStyle name="Total 2 11 4 2 4" xfId="6287" xr:uid="{00000000-0005-0000-0000-0000F97F0000}"/>
    <cellStyle name="Total 2 11 4 3" xfId="33297" xr:uid="{00000000-0005-0000-0000-0000FA7F0000}"/>
    <cellStyle name="Total 2 11 4 3 2" xfId="14441" xr:uid="{00000000-0005-0000-0000-0000FB7F0000}"/>
    <cellStyle name="Total 2 11 4 3 3" xfId="30033" xr:uid="{00000000-0005-0000-0000-0000FC7F0000}"/>
    <cellStyle name="Total 2 11 4 3 4" xfId="30035" xr:uid="{00000000-0005-0000-0000-0000FD7F0000}"/>
    <cellStyle name="Total 2 11 4 4" xfId="33298" xr:uid="{00000000-0005-0000-0000-0000FE7F0000}"/>
    <cellStyle name="Total 2 11 4 4 2" xfId="14446" xr:uid="{00000000-0005-0000-0000-0000FF7F0000}"/>
    <cellStyle name="Total 2 11 4 4 3" xfId="30038" xr:uid="{00000000-0005-0000-0000-000000800000}"/>
    <cellStyle name="Total 2 11 4 5" xfId="33299" xr:uid="{00000000-0005-0000-0000-000001800000}"/>
    <cellStyle name="Total 2 11 4 5 2" xfId="33300" xr:uid="{00000000-0005-0000-0000-000002800000}"/>
    <cellStyle name="Total 2 11 4 5 3" xfId="33301" xr:uid="{00000000-0005-0000-0000-000003800000}"/>
    <cellStyle name="Total 2 11 4 6" xfId="33302" xr:uid="{00000000-0005-0000-0000-000004800000}"/>
    <cellStyle name="Total 2 11 4 7" xfId="33303" xr:uid="{00000000-0005-0000-0000-000005800000}"/>
    <cellStyle name="Total 2 11 5" xfId="33304" xr:uid="{00000000-0005-0000-0000-000006800000}"/>
    <cellStyle name="Total 2 11 5 2" xfId="33305" xr:uid="{00000000-0005-0000-0000-000007800000}"/>
    <cellStyle name="Total 2 11 5 2 2" xfId="33307" xr:uid="{00000000-0005-0000-0000-000008800000}"/>
    <cellStyle name="Total 2 11 5 2 3" xfId="33309" xr:uid="{00000000-0005-0000-0000-000009800000}"/>
    <cellStyle name="Total 2 11 5 2 4" xfId="33311" xr:uid="{00000000-0005-0000-0000-00000A800000}"/>
    <cellStyle name="Total 2 11 5 3" xfId="33313" xr:uid="{00000000-0005-0000-0000-00000B800000}"/>
    <cellStyle name="Total 2 11 5 3 2" xfId="33315" xr:uid="{00000000-0005-0000-0000-00000C800000}"/>
    <cellStyle name="Total 2 11 5 3 3" xfId="33317" xr:uid="{00000000-0005-0000-0000-00000D800000}"/>
    <cellStyle name="Total 2 11 5 3 4" xfId="33319" xr:uid="{00000000-0005-0000-0000-00000E800000}"/>
    <cellStyle name="Total 2 11 5 4" xfId="33321" xr:uid="{00000000-0005-0000-0000-00000F800000}"/>
    <cellStyle name="Total 2 11 5 4 2" xfId="33323" xr:uid="{00000000-0005-0000-0000-000010800000}"/>
    <cellStyle name="Total 2 11 5 4 3" xfId="33325" xr:uid="{00000000-0005-0000-0000-000011800000}"/>
    <cellStyle name="Total 2 11 5 5" xfId="33327" xr:uid="{00000000-0005-0000-0000-000012800000}"/>
    <cellStyle name="Total 2 11 5 5 2" xfId="33329" xr:uid="{00000000-0005-0000-0000-000013800000}"/>
    <cellStyle name="Total 2 11 5 5 3" xfId="33331" xr:uid="{00000000-0005-0000-0000-000014800000}"/>
    <cellStyle name="Total 2 11 5 6" xfId="33333" xr:uid="{00000000-0005-0000-0000-000015800000}"/>
    <cellStyle name="Total 2 11 5 7" xfId="33335" xr:uid="{00000000-0005-0000-0000-000016800000}"/>
    <cellStyle name="Total 2 11 6" xfId="33337" xr:uid="{00000000-0005-0000-0000-000017800000}"/>
    <cellStyle name="Total 2 11 6 2" xfId="33338" xr:uid="{00000000-0005-0000-0000-000018800000}"/>
    <cellStyle name="Total 2 11 6 2 2" xfId="33339" xr:uid="{00000000-0005-0000-0000-000019800000}"/>
    <cellStyle name="Total 2 11 6 2 3" xfId="33340" xr:uid="{00000000-0005-0000-0000-00001A800000}"/>
    <cellStyle name="Total 2 11 6 2 4" xfId="33341" xr:uid="{00000000-0005-0000-0000-00001B800000}"/>
    <cellStyle name="Total 2 11 6 3" xfId="33342" xr:uid="{00000000-0005-0000-0000-00001C800000}"/>
    <cellStyle name="Total 2 11 6 3 2" xfId="33343" xr:uid="{00000000-0005-0000-0000-00001D800000}"/>
    <cellStyle name="Total 2 11 6 3 3" xfId="33344" xr:uid="{00000000-0005-0000-0000-00001E800000}"/>
    <cellStyle name="Total 2 11 6 3 4" xfId="33345" xr:uid="{00000000-0005-0000-0000-00001F800000}"/>
    <cellStyle name="Total 2 11 6 4" xfId="33346" xr:uid="{00000000-0005-0000-0000-000020800000}"/>
    <cellStyle name="Total 2 11 6 4 2" xfId="33347" xr:uid="{00000000-0005-0000-0000-000021800000}"/>
    <cellStyle name="Total 2 11 6 4 3" xfId="33348" xr:uid="{00000000-0005-0000-0000-000022800000}"/>
    <cellStyle name="Total 2 11 6 5" xfId="33349" xr:uid="{00000000-0005-0000-0000-000023800000}"/>
    <cellStyle name="Total 2 11 6 5 2" xfId="33350" xr:uid="{00000000-0005-0000-0000-000024800000}"/>
    <cellStyle name="Total 2 11 6 5 3" xfId="33351" xr:uid="{00000000-0005-0000-0000-000025800000}"/>
    <cellStyle name="Total 2 11 6 6" xfId="33352" xr:uid="{00000000-0005-0000-0000-000026800000}"/>
    <cellStyle name="Total 2 11 6 7" xfId="33353" xr:uid="{00000000-0005-0000-0000-000027800000}"/>
    <cellStyle name="Total 2 11 7" xfId="33354" xr:uid="{00000000-0005-0000-0000-000028800000}"/>
    <cellStyle name="Total 2 11 7 2" xfId="33355" xr:uid="{00000000-0005-0000-0000-000029800000}"/>
    <cellStyle name="Total 2 11 7 2 2" xfId="33356" xr:uid="{00000000-0005-0000-0000-00002A800000}"/>
    <cellStyle name="Total 2 11 7 2 3" xfId="33357" xr:uid="{00000000-0005-0000-0000-00002B800000}"/>
    <cellStyle name="Total 2 11 7 2 4" xfId="33358" xr:uid="{00000000-0005-0000-0000-00002C800000}"/>
    <cellStyle name="Total 2 11 7 3" xfId="33359" xr:uid="{00000000-0005-0000-0000-00002D800000}"/>
    <cellStyle name="Total 2 11 7 3 2" xfId="33360" xr:uid="{00000000-0005-0000-0000-00002E800000}"/>
    <cellStyle name="Total 2 11 7 3 3" xfId="33361" xr:uid="{00000000-0005-0000-0000-00002F800000}"/>
    <cellStyle name="Total 2 11 7 3 4" xfId="33362" xr:uid="{00000000-0005-0000-0000-000030800000}"/>
    <cellStyle name="Total 2 11 7 4" xfId="33363" xr:uid="{00000000-0005-0000-0000-000031800000}"/>
    <cellStyle name="Total 2 11 7 4 2" xfId="33364" xr:uid="{00000000-0005-0000-0000-000032800000}"/>
    <cellStyle name="Total 2 11 7 4 3" xfId="33365" xr:uid="{00000000-0005-0000-0000-000033800000}"/>
    <cellStyle name="Total 2 11 7 5" xfId="33366" xr:uid="{00000000-0005-0000-0000-000034800000}"/>
    <cellStyle name="Total 2 11 7 5 2" xfId="33367" xr:uid="{00000000-0005-0000-0000-000035800000}"/>
    <cellStyle name="Total 2 11 7 5 3" xfId="33368" xr:uid="{00000000-0005-0000-0000-000036800000}"/>
    <cellStyle name="Total 2 11 7 6" xfId="33369" xr:uid="{00000000-0005-0000-0000-000037800000}"/>
    <cellStyle name="Total 2 11 7 7" xfId="33370" xr:uid="{00000000-0005-0000-0000-000038800000}"/>
    <cellStyle name="Total 2 11 8" xfId="33371" xr:uid="{00000000-0005-0000-0000-000039800000}"/>
    <cellStyle name="Total 2 11 8 2" xfId="33372" xr:uid="{00000000-0005-0000-0000-00003A800000}"/>
    <cellStyle name="Total 2 11 8 2 2" xfId="33373" xr:uid="{00000000-0005-0000-0000-00003B800000}"/>
    <cellStyle name="Total 2 11 8 2 3" xfId="33374" xr:uid="{00000000-0005-0000-0000-00003C800000}"/>
    <cellStyle name="Total 2 11 8 2 4" xfId="33375" xr:uid="{00000000-0005-0000-0000-00003D800000}"/>
    <cellStyle name="Total 2 11 8 3" xfId="33376" xr:uid="{00000000-0005-0000-0000-00003E800000}"/>
    <cellStyle name="Total 2 11 8 3 2" xfId="33377" xr:uid="{00000000-0005-0000-0000-00003F800000}"/>
    <cellStyle name="Total 2 11 8 3 3" xfId="33378" xr:uid="{00000000-0005-0000-0000-000040800000}"/>
    <cellStyle name="Total 2 11 8 3 4" xfId="33379" xr:uid="{00000000-0005-0000-0000-000041800000}"/>
    <cellStyle name="Total 2 11 8 4" xfId="33380" xr:uid="{00000000-0005-0000-0000-000042800000}"/>
    <cellStyle name="Total 2 11 8 4 2" xfId="33381" xr:uid="{00000000-0005-0000-0000-000043800000}"/>
    <cellStyle name="Total 2 11 8 4 3" xfId="33382" xr:uid="{00000000-0005-0000-0000-000044800000}"/>
    <cellStyle name="Total 2 11 8 5" xfId="33383" xr:uid="{00000000-0005-0000-0000-000045800000}"/>
    <cellStyle name="Total 2 11 8 5 2" xfId="33384" xr:uid="{00000000-0005-0000-0000-000046800000}"/>
    <cellStyle name="Total 2 11 8 5 3" xfId="33385" xr:uid="{00000000-0005-0000-0000-000047800000}"/>
    <cellStyle name="Total 2 11 8 6" xfId="33386" xr:uid="{00000000-0005-0000-0000-000048800000}"/>
    <cellStyle name="Total 2 11 8 7" xfId="33387" xr:uid="{00000000-0005-0000-0000-000049800000}"/>
    <cellStyle name="Total 2 11 9" xfId="5892" xr:uid="{00000000-0005-0000-0000-00004A800000}"/>
    <cellStyle name="Total 2 11 9 2" xfId="33388" xr:uid="{00000000-0005-0000-0000-00004B800000}"/>
    <cellStyle name="Total 2 11 9 2 2" xfId="24216" xr:uid="{00000000-0005-0000-0000-00004C800000}"/>
    <cellStyle name="Total 2 11 9 2 3" xfId="33389" xr:uid="{00000000-0005-0000-0000-00004D800000}"/>
    <cellStyle name="Total 2 11 9 2 4" xfId="33390" xr:uid="{00000000-0005-0000-0000-00004E800000}"/>
    <cellStyle name="Total 2 11 9 3" xfId="33391" xr:uid="{00000000-0005-0000-0000-00004F800000}"/>
    <cellStyle name="Total 2 11 9 3 2" xfId="33392" xr:uid="{00000000-0005-0000-0000-000050800000}"/>
    <cellStyle name="Total 2 11 9 3 3" xfId="33393" xr:uid="{00000000-0005-0000-0000-000051800000}"/>
    <cellStyle name="Total 2 11 9 3 4" xfId="33394" xr:uid="{00000000-0005-0000-0000-000052800000}"/>
    <cellStyle name="Total 2 11 9 4" xfId="33395" xr:uid="{00000000-0005-0000-0000-000053800000}"/>
    <cellStyle name="Total 2 11 9 4 2" xfId="33396" xr:uid="{00000000-0005-0000-0000-000054800000}"/>
    <cellStyle name="Total 2 11 9 4 3" xfId="33397" xr:uid="{00000000-0005-0000-0000-000055800000}"/>
    <cellStyle name="Total 2 11 9 5" xfId="33398" xr:uid="{00000000-0005-0000-0000-000056800000}"/>
    <cellStyle name="Total 2 11 9 5 2" xfId="33399" xr:uid="{00000000-0005-0000-0000-000057800000}"/>
    <cellStyle name="Total 2 11 9 5 3" xfId="33400" xr:uid="{00000000-0005-0000-0000-000058800000}"/>
    <cellStyle name="Total 2 11 9 6" xfId="33401" xr:uid="{00000000-0005-0000-0000-000059800000}"/>
    <cellStyle name="Total 2 11 9 7" xfId="33402" xr:uid="{00000000-0005-0000-0000-00005A800000}"/>
    <cellStyle name="Total 2 12" xfId="33403" xr:uid="{00000000-0005-0000-0000-00005B800000}"/>
    <cellStyle name="Total 2 12 10" xfId="33404" xr:uid="{00000000-0005-0000-0000-00005C800000}"/>
    <cellStyle name="Total 2 12 10 2" xfId="33405" xr:uid="{00000000-0005-0000-0000-00005D800000}"/>
    <cellStyle name="Total 2 12 10 2 2" xfId="33406" xr:uid="{00000000-0005-0000-0000-00005E800000}"/>
    <cellStyle name="Total 2 12 10 2 3" xfId="33407" xr:uid="{00000000-0005-0000-0000-00005F800000}"/>
    <cellStyle name="Total 2 12 10 2 4" xfId="33408" xr:uid="{00000000-0005-0000-0000-000060800000}"/>
    <cellStyle name="Total 2 12 10 3" xfId="33409" xr:uid="{00000000-0005-0000-0000-000061800000}"/>
    <cellStyle name="Total 2 12 10 3 2" xfId="33410" xr:uid="{00000000-0005-0000-0000-000062800000}"/>
    <cellStyle name="Total 2 12 10 3 3" xfId="33411" xr:uid="{00000000-0005-0000-0000-000063800000}"/>
    <cellStyle name="Total 2 12 10 3 4" xfId="33412" xr:uid="{00000000-0005-0000-0000-000064800000}"/>
    <cellStyle name="Total 2 12 10 4" xfId="33413" xr:uid="{00000000-0005-0000-0000-000065800000}"/>
    <cellStyle name="Total 2 12 10 4 2" xfId="33414" xr:uid="{00000000-0005-0000-0000-000066800000}"/>
    <cellStyle name="Total 2 12 10 4 3" xfId="33415" xr:uid="{00000000-0005-0000-0000-000067800000}"/>
    <cellStyle name="Total 2 12 10 5" xfId="33416" xr:uid="{00000000-0005-0000-0000-000068800000}"/>
    <cellStyle name="Total 2 12 10 5 2" xfId="33417" xr:uid="{00000000-0005-0000-0000-000069800000}"/>
    <cellStyle name="Total 2 12 10 5 3" xfId="33418" xr:uid="{00000000-0005-0000-0000-00006A800000}"/>
    <cellStyle name="Total 2 12 10 6" xfId="33419" xr:uid="{00000000-0005-0000-0000-00006B800000}"/>
    <cellStyle name="Total 2 12 10 7" xfId="33420" xr:uid="{00000000-0005-0000-0000-00006C800000}"/>
    <cellStyle name="Total 2 12 11" xfId="33421" xr:uid="{00000000-0005-0000-0000-00006D800000}"/>
    <cellStyle name="Total 2 12 11 2" xfId="33422" xr:uid="{00000000-0005-0000-0000-00006E800000}"/>
    <cellStyle name="Total 2 12 11 2 2" xfId="33423" xr:uid="{00000000-0005-0000-0000-00006F800000}"/>
    <cellStyle name="Total 2 12 11 2 3" xfId="33424" xr:uid="{00000000-0005-0000-0000-000070800000}"/>
    <cellStyle name="Total 2 12 11 2 4" xfId="33425" xr:uid="{00000000-0005-0000-0000-000071800000}"/>
    <cellStyle name="Total 2 12 11 3" xfId="33426" xr:uid="{00000000-0005-0000-0000-000072800000}"/>
    <cellStyle name="Total 2 12 11 3 2" xfId="33427" xr:uid="{00000000-0005-0000-0000-000073800000}"/>
    <cellStyle name="Total 2 12 11 3 3" xfId="33428" xr:uid="{00000000-0005-0000-0000-000074800000}"/>
    <cellStyle name="Total 2 12 11 3 4" xfId="33429" xr:uid="{00000000-0005-0000-0000-000075800000}"/>
    <cellStyle name="Total 2 12 11 4" xfId="33430" xr:uid="{00000000-0005-0000-0000-000076800000}"/>
    <cellStyle name="Total 2 12 11 4 2" xfId="33431" xr:uid="{00000000-0005-0000-0000-000077800000}"/>
    <cellStyle name="Total 2 12 11 4 3" xfId="33432" xr:uid="{00000000-0005-0000-0000-000078800000}"/>
    <cellStyle name="Total 2 12 11 5" xfId="33433" xr:uid="{00000000-0005-0000-0000-000079800000}"/>
    <cellStyle name="Total 2 12 11 5 2" xfId="33434" xr:uid="{00000000-0005-0000-0000-00007A800000}"/>
    <cellStyle name="Total 2 12 11 5 3" xfId="33435" xr:uid="{00000000-0005-0000-0000-00007B800000}"/>
    <cellStyle name="Total 2 12 11 6" xfId="33436" xr:uid="{00000000-0005-0000-0000-00007C800000}"/>
    <cellStyle name="Total 2 12 11 7" xfId="33437" xr:uid="{00000000-0005-0000-0000-00007D800000}"/>
    <cellStyle name="Total 2 12 12" xfId="33438" xr:uid="{00000000-0005-0000-0000-00007E800000}"/>
    <cellStyle name="Total 2 12 12 2" xfId="32142" xr:uid="{00000000-0005-0000-0000-00007F800000}"/>
    <cellStyle name="Total 2 12 12 2 2" xfId="2580" xr:uid="{00000000-0005-0000-0000-000080800000}"/>
    <cellStyle name="Total 2 12 12 2 3" xfId="32146" xr:uid="{00000000-0005-0000-0000-000081800000}"/>
    <cellStyle name="Total 2 12 12 2 4" xfId="32148" xr:uid="{00000000-0005-0000-0000-000082800000}"/>
    <cellStyle name="Total 2 12 12 3" xfId="32156" xr:uid="{00000000-0005-0000-0000-000083800000}"/>
    <cellStyle name="Total 2 12 12 3 2" xfId="32158" xr:uid="{00000000-0005-0000-0000-000084800000}"/>
    <cellStyle name="Total 2 12 12 3 3" xfId="32160" xr:uid="{00000000-0005-0000-0000-000085800000}"/>
    <cellStyle name="Total 2 12 12 3 4" xfId="32162" xr:uid="{00000000-0005-0000-0000-000086800000}"/>
    <cellStyle name="Total 2 12 12 4" xfId="32164" xr:uid="{00000000-0005-0000-0000-000087800000}"/>
    <cellStyle name="Total 2 12 12 4 2" xfId="32166" xr:uid="{00000000-0005-0000-0000-000088800000}"/>
    <cellStyle name="Total 2 12 12 4 3" xfId="32168" xr:uid="{00000000-0005-0000-0000-000089800000}"/>
    <cellStyle name="Total 2 12 12 5" xfId="17097" xr:uid="{00000000-0005-0000-0000-00008A800000}"/>
    <cellStyle name="Total 2 12 12 5 2" xfId="32171" xr:uid="{00000000-0005-0000-0000-00008B800000}"/>
    <cellStyle name="Total 2 12 12 5 3" xfId="32173" xr:uid="{00000000-0005-0000-0000-00008C800000}"/>
    <cellStyle name="Total 2 12 12 6" xfId="10794" xr:uid="{00000000-0005-0000-0000-00008D800000}"/>
    <cellStyle name="Total 2 12 12 7" xfId="10799" xr:uid="{00000000-0005-0000-0000-00008E800000}"/>
    <cellStyle name="Total 2 12 13" xfId="33439" xr:uid="{00000000-0005-0000-0000-00008F800000}"/>
    <cellStyle name="Total 2 12 13 2" xfId="33440" xr:uid="{00000000-0005-0000-0000-000090800000}"/>
    <cellStyle name="Total 2 12 13 3" xfId="33441" xr:uid="{00000000-0005-0000-0000-000091800000}"/>
    <cellStyle name="Total 2 12 13 4" xfId="33442" xr:uid="{00000000-0005-0000-0000-000092800000}"/>
    <cellStyle name="Total 2 12 14" xfId="33443" xr:uid="{00000000-0005-0000-0000-000093800000}"/>
    <cellStyle name="Total 2 12 14 2" xfId="33444" xr:uid="{00000000-0005-0000-0000-000094800000}"/>
    <cellStyle name="Total 2 12 14 3" xfId="33445" xr:uid="{00000000-0005-0000-0000-000095800000}"/>
    <cellStyle name="Total 2 12 14 4" xfId="33446" xr:uid="{00000000-0005-0000-0000-000096800000}"/>
    <cellStyle name="Total 2 12 15" xfId="33447" xr:uid="{00000000-0005-0000-0000-000097800000}"/>
    <cellStyle name="Total 2 12 15 2" xfId="33449" xr:uid="{00000000-0005-0000-0000-000098800000}"/>
    <cellStyle name="Total 2 12 15 3" xfId="33450" xr:uid="{00000000-0005-0000-0000-000099800000}"/>
    <cellStyle name="Total 2 12 16" xfId="29388" xr:uid="{00000000-0005-0000-0000-00009A800000}"/>
    <cellStyle name="Total 2 12 16 2" xfId="33451" xr:uid="{00000000-0005-0000-0000-00009B800000}"/>
    <cellStyle name="Total 2 12 16 3" xfId="33452" xr:uid="{00000000-0005-0000-0000-00009C800000}"/>
    <cellStyle name="Total 2 12 17" xfId="29390" xr:uid="{00000000-0005-0000-0000-00009D800000}"/>
    <cellStyle name="Total 2 12 18" xfId="33453" xr:uid="{00000000-0005-0000-0000-00009E800000}"/>
    <cellStyle name="Total 2 12 19" xfId="33454" xr:uid="{00000000-0005-0000-0000-00009F800000}"/>
    <cellStyle name="Total 2 12 2" xfId="33455" xr:uid="{00000000-0005-0000-0000-0000A0800000}"/>
    <cellStyle name="Total 2 12 2 10" xfId="33456" xr:uid="{00000000-0005-0000-0000-0000A1800000}"/>
    <cellStyle name="Total 2 12 2 10 2" xfId="33457" xr:uid="{00000000-0005-0000-0000-0000A2800000}"/>
    <cellStyle name="Total 2 12 2 10 2 2" xfId="33458" xr:uid="{00000000-0005-0000-0000-0000A3800000}"/>
    <cellStyle name="Total 2 12 2 10 2 3" xfId="33459" xr:uid="{00000000-0005-0000-0000-0000A4800000}"/>
    <cellStyle name="Total 2 12 2 10 2 4" xfId="33460" xr:uid="{00000000-0005-0000-0000-0000A5800000}"/>
    <cellStyle name="Total 2 12 2 10 3" xfId="33461" xr:uid="{00000000-0005-0000-0000-0000A6800000}"/>
    <cellStyle name="Total 2 12 2 10 3 2" xfId="33462" xr:uid="{00000000-0005-0000-0000-0000A7800000}"/>
    <cellStyle name="Total 2 12 2 10 3 3" xfId="33463" xr:uid="{00000000-0005-0000-0000-0000A8800000}"/>
    <cellStyle name="Total 2 12 2 10 3 4" xfId="33464" xr:uid="{00000000-0005-0000-0000-0000A9800000}"/>
    <cellStyle name="Total 2 12 2 10 4" xfId="33465" xr:uid="{00000000-0005-0000-0000-0000AA800000}"/>
    <cellStyle name="Total 2 12 2 10 4 2" xfId="33466" xr:uid="{00000000-0005-0000-0000-0000AB800000}"/>
    <cellStyle name="Total 2 12 2 10 4 3" xfId="33467" xr:uid="{00000000-0005-0000-0000-0000AC800000}"/>
    <cellStyle name="Total 2 12 2 10 5" xfId="33468" xr:uid="{00000000-0005-0000-0000-0000AD800000}"/>
    <cellStyle name="Total 2 12 2 10 5 2" xfId="33469" xr:uid="{00000000-0005-0000-0000-0000AE800000}"/>
    <cellStyle name="Total 2 12 2 10 5 3" xfId="33470" xr:uid="{00000000-0005-0000-0000-0000AF800000}"/>
    <cellStyle name="Total 2 12 2 10 6" xfId="33471" xr:uid="{00000000-0005-0000-0000-0000B0800000}"/>
    <cellStyle name="Total 2 12 2 10 7" xfId="33472" xr:uid="{00000000-0005-0000-0000-0000B1800000}"/>
    <cellStyle name="Total 2 12 2 11" xfId="33473" xr:uid="{00000000-0005-0000-0000-0000B2800000}"/>
    <cellStyle name="Total 2 12 2 11 2" xfId="33474" xr:uid="{00000000-0005-0000-0000-0000B3800000}"/>
    <cellStyle name="Total 2 12 2 11 3" xfId="33475" xr:uid="{00000000-0005-0000-0000-0000B4800000}"/>
    <cellStyle name="Total 2 12 2 11 4" xfId="33476" xr:uid="{00000000-0005-0000-0000-0000B5800000}"/>
    <cellStyle name="Total 2 12 2 12" xfId="33477" xr:uid="{00000000-0005-0000-0000-0000B6800000}"/>
    <cellStyle name="Total 2 12 2 12 2" xfId="33478" xr:uid="{00000000-0005-0000-0000-0000B7800000}"/>
    <cellStyle name="Total 2 12 2 12 3" xfId="33479" xr:uid="{00000000-0005-0000-0000-0000B8800000}"/>
    <cellStyle name="Total 2 12 2 12 4" xfId="33480" xr:uid="{00000000-0005-0000-0000-0000B9800000}"/>
    <cellStyle name="Total 2 12 2 13" xfId="33481" xr:uid="{00000000-0005-0000-0000-0000BA800000}"/>
    <cellStyle name="Total 2 12 2 13 2" xfId="33482" xr:uid="{00000000-0005-0000-0000-0000BB800000}"/>
    <cellStyle name="Total 2 12 2 13 3" xfId="33483" xr:uid="{00000000-0005-0000-0000-0000BC800000}"/>
    <cellStyle name="Total 2 12 2 14" xfId="33484" xr:uid="{00000000-0005-0000-0000-0000BD800000}"/>
    <cellStyle name="Total 2 12 2 14 2" xfId="33485" xr:uid="{00000000-0005-0000-0000-0000BE800000}"/>
    <cellStyle name="Total 2 12 2 14 3" xfId="33486" xr:uid="{00000000-0005-0000-0000-0000BF800000}"/>
    <cellStyle name="Total 2 12 2 15" xfId="33487" xr:uid="{00000000-0005-0000-0000-0000C0800000}"/>
    <cellStyle name="Total 2 12 2 16" xfId="33488" xr:uid="{00000000-0005-0000-0000-0000C1800000}"/>
    <cellStyle name="Total 2 12 2 2" xfId="33489" xr:uid="{00000000-0005-0000-0000-0000C2800000}"/>
    <cellStyle name="Total 2 12 2 2 2" xfId="33490" xr:uid="{00000000-0005-0000-0000-0000C3800000}"/>
    <cellStyle name="Total 2 12 2 2 2 2" xfId="33491" xr:uid="{00000000-0005-0000-0000-0000C4800000}"/>
    <cellStyle name="Total 2 12 2 2 2 3" xfId="33492" xr:uid="{00000000-0005-0000-0000-0000C5800000}"/>
    <cellStyle name="Total 2 12 2 2 2 4" xfId="33493" xr:uid="{00000000-0005-0000-0000-0000C6800000}"/>
    <cellStyle name="Total 2 12 2 2 3" xfId="33494" xr:uid="{00000000-0005-0000-0000-0000C7800000}"/>
    <cellStyle name="Total 2 12 2 2 3 2" xfId="33495" xr:uid="{00000000-0005-0000-0000-0000C8800000}"/>
    <cellStyle name="Total 2 12 2 2 3 3" xfId="33496" xr:uid="{00000000-0005-0000-0000-0000C9800000}"/>
    <cellStyle name="Total 2 12 2 2 3 4" xfId="33497" xr:uid="{00000000-0005-0000-0000-0000CA800000}"/>
    <cellStyle name="Total 2 12 2 2 4" xfId="33498" xr:uid="{00000000-0005-0000-0000-0000CB800000}"/>
    <cellStyle name="Total 2 12 2 2 4 2" xfId="33499" xr:uid="{00000000-0005-0000-0000-0000CC800000}"/>
    <cellStyle name="Total 2 12 2 2 4 3" xfId="33500" xr:uid="{00000000-0005-0000-0000-0000CD800000}"/>
    <cellStyle name="Total 2 12 2 2 5" xfId="33501" xr:uid="{00000000-0005-0000-0000-0000CE800000}"/>
    <cellStyle name="Total 2 12 2 2 5 2" xfId="33502" xr:uid="{00000000-0005-0000-0000-0000CF800000}"/>
    <cellStyle name="Total 2 12 2 2 5 3" xfId="33503" xr:uid="{00000000-0005-0000-0000-0000D0800000}"/>
    <cellStyle name="Total 2 12 2 2 6" xfId="33504" xr:uid="{00000000-0005-0000-0000-0000D1800000}"/>
    <cellStyle name="Total 2 12 2 2 7" xfId="33505" xr:uid="{00000000-0005-0000-0000-0000D2800000}"/>
    <cellStyle name="Total 2 12 2 3" xfId="33506" xr:uid="{00000000-0005-0000-0000-0000D3800000}"/>
    <cellStyle name="Total 2 12 2 3 2" xfId="33507" xr:uid="{00000000-0005-0000-0000-0000D4800000}"/>
    <cellStyle name="Total 2 12 2 3 2 2" xfId="33508" xr:uid="{00000000-0005-0000-0000-0000D5800000}"/>
    <cellStyle name="Total 2 12 2 3 2 3" xfId="33509" xr:uid="{00000000-0005-0000-0000-0000D6800000}"/>
    <cellStyle name="Total 2 12 2 3 2 4" xfId="33510" xr:uid="{00000000-0005-0000-0000-0000D7800000}"/>
    <cellStyle name="Total 2 12 2 3 3" xfId="33511" xr:uid="{00000000-0005-0000-0000-0000D8800000}"/>
    <cellStyle name="Total 2 12 2 3 3 2" xfId="33512" xr:uid="{00000000-0005-0000-0000-0000D9800000}"/>
    <cellStyle name="Total 2 12 2 3 3 3" xfId="33513" xr:uid="{00000000-0005-0000-0000-0000DA800000}"/>
    <cellStyle name="Total 2 12 2 3 3 4" xfId="33514" xr:uid="{00000000-0005-0000-0000-0000DB800000}"/>
    <cellStyle name="Total 2 12 2 3 4" xfId="33515" xr:uid="{00000000-0005-0000-0000-0000DC800000}"/>
    <cellStyle name="Total 2 12 2 3 4 2" xfId="33516" xr:uid="{00000000-0005-0000-0000-0000DD800000}"/>
    <cellStyle name="Total 2 12 2 3 4 3" xfId="33517" xr:uid="{00000000-0005-0000-0000-0000DE800000}"/>
    <cellStyle name="Total 2 12 2 3 5" xfId="33518" xr:uid="{00000000-0005-0000-0000-0000DF800000}"/>
    <cellStyle name="Total 2 12 2 3 5 2" xfId="33519" xr:uid="{00000000-0005-0000-0000-0000E0800000}"/>
    <cellStyle name="Total 2 12 2 3 5 3" xfId="33520" xr:uid="{00000000-0005-0000-0000-0000E1800000}"/>
    <cellStyle name="Total 2 12 2 3 6" xfId="33521" xr:uid="{00000000-0005-0000-0000-0000E2800000}"/>
    <cellStyle name="Total 2 12 2 3 7" xfId="33522" xr:uid="{00000000-0005-0000-0000-0000E3800000}"/>
    <cellStyle name="Total 2 12 2 4" xfId="33523" xr:uid="{00000000-0005-0000-0000-0000E4800000}"/>
    <cellStyle name="Total 2 12 2 4 2" xfId="33524" xr:uid="{00000000-0005-0000-0000-0000E5800000}"/>
    <cellStyle name="Total 2 12 2 4 2 2" xfId="33525" xr:uid="{00000000-0005-0000-0000-0000E6800000}"/>
    <cellStyle name="Total 2 12 2 4 2 3" xfId="33526" xr:uid="{00000000-0005-0000-0000-0000E7800000}"/>
    <cellStyle name="Total 2 12 2 4 2 4" xfId="33527" xr:uid="{00000000-0005-0000-0000-0000E8800000}"/>
    <cellStyle name="Total 2 12 2 4 3" xfId="33528" xr:uid="{00000000-0005-0000-0000-0000E9800000}"/>
    <cellStyle name="Total 2 12 2 4 3 2" xfId="33529" xr:uid="{00000000-0005-0000-0000-0000EA800000}"/>
    <cellStyle name="Total 2 12 2 4 3 3" xfId="33530" xr:uid="{00000000-0005-0000-0000-0000EB800000}"/>
    <cellStyle name="Total 2 12 2 4 3 4" xfId="33531" xr:uid="{00000000-0005-0000-0000-0000EC800000}"/>
    <cellStyle name="Total 2 12 2 4 4" xfId="33532" xr:uid="{00000000-0005-0000-0000-0000ED800000}"/>
    <cellStyle name="Total 2 12 2 4 4 2" xfId="33533" xr:uid="{00000000-0005-0000-0000-0000EE800000}"/>
    <cellStyle name="Total 2 12 2 4 4 3" xfId="33534" xr:uid="{00000000-0005-0000-0000-0000EF800000}"/>
    <cellStyle name="Total 2 12 2 4 5" xfId="33535" xr:uid="{00000000-0005-0000-0000-0000F0800000}"/>
    <cellStyle name="Total 2 12 2 4 5 2" xfId="33536" xr:uid="{00000000-0005-0000-0000-0000F1800000}"/>
    <cellStyle name="Total 2 12 2 4 5 3" xfId="33537" xr:uid="{00000000-0005-0000-0000-0000F2800000}"/>
    <cellStyle name="Total 2 12 2 4 6" xfId="33538" xr:uid="{00000000-0005-0000-0000-0000F3800000}"/>
    <cellStyle name="Total 2 12 2 4 7" xfId="33539" xr:uid="{00000000-0005-0000-0000-0000F4800000}"/>
    <cellStyle name="Total 2 12 2 5" xfId="33540" xr:uid="{00000000-0005-0000-0000-0000F5800000}"/>
    <cellStyle name="Total 2 12 2 5 2" xfId="2235" xr:uid="{00000000-0005-0000-0000-0000F6800000}"/>
    <cellStyle name="Total 2 12 2 5 2 2" xfId="2238" xr:uid="{00000000-0005-0000-0000-0000F7800000}"/>
    <cellStyle name="Total 2 12 2 5 2 3" xfId="2243" xr:uid="{00000000-0005-0000-0000-0000F8800000}"/>
    <cellStyle name="Total 2 12 2 5 2 4" xfId="33541" xr:uid="{00000000-0005-0000-0000-0000F9800000}"/>
    <cellStyle name="Total 2 12 2 5 3" xfId="2247" xr:uid="{00000000-0005-0000-0000-0000FA800000}"/>
    <cellStyle name="Total 2 12 2 5 3 2" xfId="33542" xr:uid="{00000000-0005-0000-0000-0000FB800000}"/>
    <cellStyle name="Total 2 12 2 5 3 3" xfId="33543" xr:uid="{00000000-0005-0000-0000-0000FC800000}"/>
    <cellStyle name="Total 2 12 2 5 3 4" xfId="33544" xr:uid="{00000000-0005-0000-0000-0000FD800000}"/>
    <cellStyle name="Total 2 12 2 5 4" xfId="2250" xr:uid="{00000000-0005-0000-0000-0000FE800000}"/>
    <cellStyle name="Total 2 12 2 5 4 2" xfId="33545" xr:uid="{00000000-0005-0000-0000-0000FF800000}"/>
    <cellStyle name="Total 2 12 2 5 4 3" xfId="33546" xr:uid="{00000000-0005-0000-0000-000000810000}"/>
    <cellStyle name="Total 2 12 2 5 5" xfId="2253" xr:uid="{00000000-0005-0000-0000-000001810000}"/>
    <cellStyle name="Total 2 12 2 5 5 2" xfId="33547" xr:uid="{00000000-0005-0000-0000-000002810000}"/>
    <cellStyle name="Total 2 12 2 5 5 3" xfId="33548" xr:uid="{00000000-0005-0000-0000-000003810000}"/>
    <cellStyle name="Total 2 12 2 5 6" xfId="2256" xr:uid="{00000000-0005-0000-0000-000004810000}"/>
    <cellStyle name="Total 2 12 2 5 7" xfId="33549" xr:uid="{00000000-0005-0000-0000-000005810000}"/>
    <cellStyle name="Total 2 12 2 6" xfId="33550" xr:uid="{00000000-0005-0000-0000-000006810000}"/>
    <cellStyle name="Total 2 12 2 6 2" xfId="33551" xr:uid="{00000000-0005-0000-0000-000007810000}"/>
    <cellStyle name="Total 2 12 2 6 2 2" xfId="33552" xr:uid="{00000000-0005-0000-0000-000008810000}"/>
    <cellStyle name="Total 2 12 2 6 2 3" xfId="33553" xr:uid="{00000000-0005-0000-0000-000009810000}"/>
    <cellStyle name="Total 2 12 2 6 2 4" xfId="33554" xr:uid="{00000000-0005-0000-0000-00000A810000}"/>
    <cellStyle name="Total 2 12 2 6 3" xfId="33555" xr:uid="{00000000-0005-0000-0000-00000B810000}"/>
    <cellStyle name="Total 2 12 2 6 3 2" xfId="33556" xr:uid="{00000000-0005-0000-0000-00000C810000}"/>
    <cellStyle name="Total 2 12 2 6 3 3" xfId="33557" xr:uid="{00000000-0005-0000-0000-00000D810000}"/>
    <cellStyle name="Total 2 12 2 6 3 4" xfId="33558" xr:uid="{00000000-0005-0000-0000-00000E810000}"/>
    <cellStyle name="Total 2 12 2 6 4" xfId="33559" xr:uid="{00000000-0005-0000-0000-00000F810000}"/>
    <cellStyle name="Total 2 12 2 6 4 2" xfId="33560" xr:uid="{00000000-0005-0000-0000-000010810000}"/>
    <cellStyle name="Total 2 12 2 6 4 3" xfId="33561" xr:uid="{00000000-0005-0000-0000-000011810000}"/>
    <cellStyle name="Total 2 12 2 6 5" xfId="33562" xr:uid="{00000000-0005-0000-0000-000012810000}"/>
    <cellStyle name="Total 2 12 2 6 5 2" xfId="33563" xr:uid="{00000000-0005-0000-0000-000013810000}"/>
    <cellStyle name="Total 2 12 2 6 5 3" xfId="33564" xr:uid="{00000000-0005-0000-0000-000014810000}"/>
    <cellStyle name="Total 2 12 2 6 6" xfId="33565" xr:uid="{00000000-0005-0000-0000-000015810000}"/>
    <cellStyle name="Total 2 12 2 6 7" xfId="33566" xr:uid="{00000000-0005-0000-0000-000016810000}"/>
    <cellStyle name="Total 2 12 2 7" xfId="33567" xr:uid="{00000000-0005-0000-0000-000017810000}"/>
    <cellStyle name="Total 2 12 2 7 2" xfId="33568" xr:uid="{00000000-0005-0000-0000-000018810000}"/>
    <cellStyle name="Total 2 12 2 7 2 2" xfId="33569" xr:uid="{00000000-0005-0000-0000-000019810000}"/>
    <cellStyle name="Total 2 12 2 7 2 3" xfId="33570" xr:uid="{00000000-0005-0000-0000-00001A810000}"/>
    <cellStyle name="Total 2 12 2 7 2 4" xfId="33571" xr:uid="{00000000-0005-0000-0000-00001B810000}"/>
    <cellStyle name="Total 2 12 2 7 3" xfId="33572" xr:uid="{00000000-0005-0000-0000-00001C810000}"/>
    <cellStyle name="Total 2 12 2 7 3 2" xfId="33573" xr:uid="{00000000-0005-0000-0000-00001D810000}"/>
    <cellStyle name="Total 2 12 2 7 3 3" xfId="33574" xr:uid="{00000000-0005-0000-0000-00001E810000}"/>
    <cellStyle name="Total 2 12 2 7 3 4" xfId="33575" xr:uid="{00000000-0005-0000-0000-00001F810000}"/>
    <cellStyle name="Total 2 12 2 7 4" xfId="33576" xr:uid="{00000000-0005-0000-0000-000020810000}"/>
    <cellStyle name="Total 2 12 2 7 4 2" xfId="33577" xr:uid="{00000000-0005-0000-0000-000021810000}"/>
    <cellStyle name="Total 2 12 2 7 4 3" xfId="33578" xr:uid="{00000000-0005-0000-0000-000022810000}"/>
    <cellStyle name="Total 2 12 2 7 5" xfId="33579" xr:uid="{00000000-0005-0000-0000-000023810000}"/>
    <cellStyle name="Total 2 12 2 7 5 2" xfId="33580" xr:uid="{00000000-0005-0000-0000-000024810000}"/>
    <cellStyle name="Total 2 12 2 7 5 3" xfId="33581" xr:uid="{00000000-0005-0000-0000-000025810000}"/>
    <cellStyle name="Total 2 12 2 7 6" xfId="33582" xr:uid="{00000000-0005-0000-0000-000026810000}"/>
    <cellStyle name="Total 2 12 2 7 7" xfId="33583" xr:uid="{00000000-0005-0000-0000-000027810000}"/>
    <cellStyle name="Total 2 12 2 8" xfId="33584" xr:uid="{00000000-0005-0000-0000-000028810000}"/>
    <cellStyle name="Total 2 12 2 8 2" xfId="33585" xr:uid="{00000000-0005-0000-0000-000029810000}"/>
    <cellStyle name="Total 2 12 2 8 2 2" xfId="33586" xr:uid="{00000000-0005-0000-0000-00002A810000}"/>
    <cellStyle name="Total 2 12 2 8 2 3" xfId="33587" xr:uid="{00000000-0005-0000-0000-00002B810000}"/>
    <cellStyle name="Total 2 12 2 8 2 4" xfId="33588" xr:uid="{00000000-0005-0000-0000-00002C810000}"/>
    <cellStyle name="Total 2 12 2 8 3" xfId="33589" xr:uid="{00000000-0005-0000-0000-00002D810000}"/>
    <cellStyle name="Total 2 12 2 8 3 2" xfId="33590" xr:uid="{00000000-0005-0000-0000-00002E810000}"/>
    <cellStyle name="Total 2 12 2 8 3 3" xfId="33591" xr:uid="{00000000-0005-0000-0000-00002F810000}"/>
    <cellStyle name="Total 2 12 2 8 3 4" xfId="33592" xr:uid="{00000000-0005-0000-0000-000030810000}"/>
    <cellStyle name="Total 2 12 2 8 4" xfId="33593" xr:uid="{00000000-0005-0000-0000-000031810000}"/>
    <cellStyle name="Total 2 12 2 8 4 2" xfId="33594" xr:uid="{00000000-0005-0000-0000-000032810000}"/>
    <cellStyle name="Total 2 12 2 8 4 3" xfId="33595" xr:uid="{00000000-0005-0000-0000-000033810000}"/>
    <cellStyle name="Total 2 12 2 8 5" xfId="33596" xr:uid="{00000000-0005-0000-0000-000034810000}"/>
    <cellStyle name="Total 2 12 2 8 5 2" xfId="33597" xr:uid="{00000000-0005-0000-0000-000035810000}"/>
    <cellStyle name="Total 2 12 2 8 5 3" xfId="33598" xr:uid="{00000000-0005-0000-0000-000036810000}"/>
    <cellStyle name="Total 2 12 2 8 6" xfId="33599" xr:uid="{00000000-0005-0000-0000-000037810000}"/>
    <cellStyle name="Total 2 12 2 8 7" xfId="33600" xr:uid="{00000000-0005-0000-0000-000038810000}"/>
    <cellStyle name="Total 2 12 2 9" xfId="33601" xr:uid="{00000000-0005-0000-0000-000039810000}"/>
    <cellStyle name="Total 2 12 2 9 2" xfId="33602" xr:uid="{00000000-0005-0000-0000-00003A810000}"/>
    <cellStyle name="Total 2 12 2 9 2 2" xfId="33603" xr:uid="{00000000-0005-0000-0000-00003B810000}"/>
    <cellStyle name="Total 2 12 2 9 2 3" xfId="33604" xr:uid="{00000000-0005-0000-0000-00003C810000}"/>
    <cellStyle name="Total 2 12 2 9 2 4" xfId="33605" xr:uid="{00000000-0005-0000-0000-00003D810000}"/>
    <cellStyle name="Total 2 12 2 9 3" xfId="33606" xr:uid="{00000000-0005-0000-0000-00003E810000}"/>
    <cellStyle name="Total 2 12 2 9 3 2" xfId="33607" xr:uid="{00000000-0005-0000-0000-00003F810000}"/>
    <cellStyle name="Total 2 12 2 9 3 3" xfId="33608" xr:uid="{00000000-0005-0000-0000-000040810000}"/>
    <cellStyle name="Total 2 12 2 9 3 4" xfId="33609" xr:uid="{00000000-0005-0000-0000-000041810000}"/>
    <cellStyle name="Total 2 12 2 9 4" xfId="33610" xr:uid="{00000000-0005-0000-0000-000042810000}"/>
    <cellStyle name="Total 2 12 2 9 4 2" xfId="33611" xr:uid="{00000000-0005-0000-0000-000043810000}"/>
    <cellStyle name="Total 2 12 2 9 4 3" xfId="33612" xr:uid="{00000000-0005-0000-0000-000044810000}"/>
    <cellStyle name="Total 2 12 2 9 5" xfId="33613" xr:uid="{00000000-0005-0000-0000-000045810000}"/>
    <cellStyle name="Total 2 12 2 9 5 2" xfId="33614" xr:uid="{00000000-0005-0000-0000-000046810000}"/>
    <cellStyle name="Total 2 12 2 9 5 3" xfId="33615" xr:uid="{00000000-0005-0000-0000-000047810000}"/>
    <cellStyle name="Total 2 12 2 9 6" xfId="33616" xr:uid="{00000000-0005-0000-0000-000048810000}"/>
    <cellStyle name="Total 2 12 2 9 7" xfId="33617" xr:uid="{00000000-0005-0000-0000-000049810000}"/>
    <cellStyle name="Total 2 12 20" xfId="33448" xr:uid="{00000000-0005-0000-0000-00004A810000}"/>
    <cellStyle name="Total 2 12 3" xfId="33618" xr:uid="{00000000-0005-0000-0000-00004B810000}"/>
    <cellStyle name="Total 2 12 3 10" xfId="33619" xr:uid="{00000000-0005-0000-0000-00004C810000}"/>
    <cellStyle name="Total 2 12 3 10 2" xfId="33620" xr:uid="{00000000-0005-0000-0000-00004D810000}"/>
    <cellStyle name="Total 2 12 3 10 2 2" xfId="33621" xr:uid="{00000000-0005-0000-0000-00004E810000}"/>
    <cellStyle name="Total 2 12 3 10 2 3" xfId="33622" xr:uid="{00000000-0005-0000-0000-00004F810000}"/>
    <cellStyle name="Total 2 12 3 10 2 4" xfId="33623" xr:uid="{00000000-0005-0000-0000-000050810000}"/>
    <cellStyle name="Total 2 12 3 10 3" xfId="33624" xr:uid="{00000000-0005-0000-0000-000051810000}"/>
    <cellStyle name="Total 2 12 3 10 3 2" xfId="33625" xr:uid="{00000000-0005-0000-0000-000052810000}"/>
    <cellStyle name="Total 2 12 3 10 3 3" xfId="33626" xr:uid="{00000000-0005-0000-0000-000053810000}"/>
    <cellStyle name="Total 2 12 3 10 3 4" xfId="33627" xr:uid="{00000000-0005-0000-0000-000054810000}"/>
    <cellStyle name="Total 2 12 3 10 4" xfId="33628" xr:uid="{00000000-0005-0000-0000-000055810000}"/>
    <cellStyle name="Total 2 12 3 10 4 2" xfId="33629" xr:uid="{00000000-0005-0000-0000-000056810000}"/>
    <cellStyle name="Total 2 12 3 10 4 3" xfId="33630" xr:uid="{00000000-0005-0000-0000-000057810000}"/>
    <cellStyle name="Total 2 12 3 10 5" xfId="33631" xr:uid="{00000000-0005-0000-0000-000058810000}"/>
    <cellStyle name="Total 2 12 3 10 5 2" xfId="33632" xr:uid="{00000000-0005-0000-0000-000059810000}"/>
    <cellStyle name="Total 2 12 3 10 5 3" xfId="33633" xr:uid="{00000000-0005-0000-0000-00005A810000}"/>
    <cellStyle name="Total 2 12 3 10 6" xfId="33634" xr:uid="{00000000-0005-0000-0000-00005B810000}"/>
    <cellStyle name="Total 2 12 3 10 7" xfId="33635" xr:uid="{00000000-0005-0000-0000-00005C810000}"/>
    <cellStyle name="Total 2 12 3 11" xfId="33636" xr:uid="{00000000-0005-0000-0000-00005D810000}"/>
    <cellStyle name="Total 2 12 3 11 2" xfId="33637" xr:uid="{00000000-0005-0000-0000-00005E810000}"/>
    <cellStyle name="Total 2 12 3 11 3" xfId="33638" xr:uid="{00000000-0005-0000-0000-00005F810000}"/>
    <cellStyle name="Total 2 12 3 11 4" xfId="33639" xr:uid="{00000000-0005-0000-0000-000060810000}"/>
    <cellStyle name="Total 2 12 3 12" xfId="33640" xr:uid="{00000000-0005-0000-0000-000061810000}"/>
    <cellStyle name="Total 2 12 3 12 2" xfId="33641" xr:uid="{00000000-0005-0000-0000-000062810000}"/>
    <cellStyle name="Total 2 12 3 12 3" xfId="33642" xr:uid="{00000000-0005-0000-0000-000063810000}"/>
    <cellStyle name="Total 2 12 3 12 4" xfId="33643" xr:uid="{00000000-0005-0000-0000-000064810000}"/>
    <cellStyle name="Total 2 12 3 13" xfId="33644" xr:uid="{00000000-0005-0000-0000-000065810000}"/>
    <cellStyle name="Total 2 12 3 13 2" xfId="33645" xr:uid="{00000000-0005-0000-0000-000066810000}"/>
    <cellStyle name="Total 2 12 3 13 3" xfId="33646" xr:uid="{00000000-0005-0000-0000-000067810000}"/>
    <cellStyle name="Total 2 12 3 14" xfId="33647" xr:uid="{00000000-0005-0000-0000-000068810000}"/>
    <cellStyle name="Total 2 12 3 14 2" xfId="33648" xr:uid="{00000000-0005-0000-0000-000069810000}"/>
    <cellStyle name="Total 2 12 3 14 3" xfId="33649" xr:uid="{00000000-0005-0000-0000-00006A810000}"/>
    <cellStyle name="Total 2 12 3 15" xfId="33650" xr:uid="{00000000-0005-0000-0000-00006B810000}"/>
    <cellStyle name="Total 2 12 3 16" xfId="33651" xr:uid="{00000000-0005-0000-0000-00006C810000}"/>
    <cellStyle name="Total 2 12 3 2" xfId="33652" xr:uid="{00000000-0005-0000-0000-00006D810000}"/>
    <cellStyle name="Total 2 12 3 2 2" xfId="33653" xr:uid="{00000000-0005-0000-0000-00006E810000}"/>
    <cellStyle name="Total 2 12 3 2 2 2" xfId="33654" xr:uid="{00000000-0005-0000-0000-00006F810000}"/>
    <cellStyle name="Total 2 12 3 2 2 3" xfId="33655" xr:uid="{00000000-0005-0000-0000-000070810000}"/>
    <cellStyle name="Total 2 12 3 2 2 4" xfId="33656" xr:uid="{00000000-0005-0000-0000-000071810000}"/>
    <cellStyle name="Total 2 12 3 2 3" xfId="33657" xr:uid="{00000000-0005-0000-0000-000072810000}"/>
    <cellStyle name="Total 2 12 3 2 3 2" xfId="33658" xr:uid="{00000000-0005-0000-0000-000073810000}"/>
    <cellStyle name="Total 2 12 3 2 3 3" xfId="33659" xr:uid="{00000000-0005-0000-0000-000074810000}"/>
    <cellStyle name="Total 2 12 3 2 3 4" xfId="33660" xr:uid="{00000000-0005-0000-0000-000075810000}"/>
    <cellStyle name="Total 2 12 3 2 4" xfId="33661" xr:uid="{00000000-0005-0000-0000-000076810000}"/>
    <cellStyle name="Total 2 12 3 2 4 2" xfId="33662" xr:uid="{00000000-0005-0000-0000-000077810000}"/>
    <cellStyle name="Total 2 12 3 2 4 3" xfId="33663" xr:uid="{00000000-0005-0000-0000-000078810000}"/>
    <cellStyle name="Total 2 12 3 2 5" xfId="33664" xr:uid="{00000000-0005-0000-0000-000079810000}"/>
    <cellStyle name="Total 2 12 3 2 5 2" xfId="33665" xr:uid="{00000000-0005-0000-0000-00007A810000}"/>
    <cellStyle name="Total 2 12 3 2 5 3" xfId="33666" xr:uid="{00000000-0005-0000-0000-00007B810000}"/>
    <cellStyle name="Total 2 12 3 2 6" xfId="33667" xr:uid="{00000000-0005-0000-0000-00007C810000}"/>
    <cellStyle name="Total 2 12 3 2 7" xfId="33668" xr:uid="{00000000-0005-0000-0000-00007D810000}"/>
    <cellStyle name="Total 2 12 3 3" xfId="33669" xr:uid="{00000000-0005-0000-0000-00007E810000}"/>
    <cellStyle name="Total 2 12 3 3 2" xfId="33670" xr:uid="{00000000-0005-0000-0000-00007F810000}"/>
    <cellStyle name="Total 2 12 3 3 2 2" xfId="33671" xr:uid="{00000000-0005-0000-0000-000080810000}"/>
    <cellStyle name="Total 2 12 3 3 2 3" xfId="33672" xr:uid="{00000000-0005-0000-0000-000081810000}"/>
    <cellStyle name="Total 2 12 3 3 2 4" xfId="33673" xr:uid="{00000000-0005-0000-0000-000082810000}"/>
    <cellStyle name="Total 2 12 3 3 3" xfId="33674" xr:uid="{00000000-0005-0000-0000-000083810000}"/>
    <cellStyle name="Total 2 12 3 3 3 2" xfId="33675" xr:uid="{00000000-0005-0000-0000-000084810000}"/>
    <cellStyle name="Total 2 12 3 3 3 3" xfId="33676" xr:uid="{00000000-0005-0000-0000-000085810000}"/>
    <cellStyle name="Total 2 12 3 3 3 4" xfId="33677" xr:uid="{00000000-0005-0000-0000-000086810000}"/>
    <cellStyle name="Total 2 12 3 3 4" xfId="33678" xr:uid="{00000000-0005-0000-0000-000087810000}"/>
    <cellStyle name="Total 2 12 3 3 4 2" xfId="33679" xr:uid="{00000000-0005-0000-0000-000088810000}"/>
    <cellStyle name="Total 2 12 3 3 4 3" xfId="33680" xr:uid="{00000000-0005-0000-0000-000089810000}"/>
    <cellStyle name="Total 2 12 3 3 5" xfId="33681" xr:uid="{00000000-0005-0000-0000-00008A810000}"/>
    <cellStyle name="Total 2 12 3 3 5 2" xfId="33682" xr:uid="{00000000-0005-0000-0000-00008B810000}"/>
    <cellStyle name="Total 2 12 3 3 5 3" xfId="33683" xr:uid="{00000000-0005-0000-0000-00008C810000}"/>
    <cellStyle name="Total 2 12 3 3 6" xfId="33684" xr:uid="{00000000-0005-0000-0000-00008D810000}"/>
    <cellStyle name="Total 2 12 3 3 7" xfId="33685" xr:uid="{00000000-0005-0000-0000-00008E810000}"/>
    <cellStyle name="Total 2 12 3 4" xfId="33686" xr:uid="{00000000-0005-0000-0000-00008F810000}"/>
    <cellStyle name="Total 2 12 3 4 2" xfId="33687" xr:uid="{00000000-0005-0000-0000-000090810000}"/>
    <cellStyle name="Total 2 12 3 4 2 2" xfId="33688" xr:uid="{00000000-0005-0000-0000-000091810000}"/>
    <cellStyle name="Total 2 12 3 4 2 3" xfId="33689" xr:uid="{00000000-0005-0000-0000-000092810000}"/>
    <cellStyle name="Total 2 12 3 4 2 4" xfId="33690" xr:uid="{00000000-0005-0000-0000-000093810000}"/>
    <cellStyle name="Total 2 12 3 4 3" xfId="33691" xr:uid="{00000000-0005-0000-0000-000094810000}"/>
    <cellStyle name="Total 2 12 3 4 3 2" xfId="33692" xr:uid="{00000000-0005-0000-0000-000095810000}"/>
    <cellStyle name="Total 2 12 3 4 3 3" xfId="33693" xr:uid="{00000000-0005-0000-0000-000096810000}"/>
    <cellStyle name="Total 2 12 3 4 3 4" xfId="33694" xr:uid="{00000000-0005-0000-0000-000097810000}"/>
    <cellStyle name="Total 2 12 3 4 4" xfId="33695" xr:uid="{00000000-0005-0000-0000-000098810000}"/>
    <cellStyle name="Total 2 12 3 4 4 2" xfId="33696" xr:uid="{00000000-0005-0000-0000-000099810000}"/>
    <cellStyle name="Total 2 12 3 4 4 3" xfId="33697" xr:uid="{00000000-0005-0000-0000-00009A810000}"/>
    <cellStyle name="Total 2 12 3 4 5" xfId="33698" xr:uid="{00000000-0005-0000-0000-00009B810000}"/>
    <cellStyle name="Total 2 12 3 4 5 2" xfId="33699" xr:uid="{00000000-0005-0000-0000-00009C810000}"/>
    <cellStyle name="Total 2 12 3 4 5 3" xfId="33700" xr:uid="{00000000-0005-0000-0000-00009D810000}"/>
    <cellStyle name="Total 2 12 3 4 6" xfId="6338" xr:uid="{00000000-0005-0000-0000-00009E810000}"/>
    <cellStyle name="Total 2 12 3 4 7" xfId="2689" xr:uid="{00000000-0005-0000-0000-00009F810000}"/>
    <cellStyle name="Total 2 12 3 5" xfId="33701" xr:uid="{00000000-0005-0000-0000-0000A0810000}"/>
    <cellStyle name="Total 2 12 3 5 2" xfId="2353" xr:uid="{00000000-0005-0000-0000-0000A1810000}"/>
    <cellStyle name="Total 2 12 3 5 2 2" xfId="33702" xr:uid="{00000000-0005-0000-0000-0000A2810000}"/>
    <cellStyle name="Total 2 12 3 5 2 3" xfId="33703" xr:uid="{00000000-0005-0000-0000-0000A3810000}"/>
    <cellStyle name="Total 2 12 3 5 2 4" xfId="33704" xr:uid="{00000000-0005-0000-0000-0000A4810000}"/>
    <cellStyle name="Total 2 12 3 5 3" xfId="2357" xr:uid="{00000000-0005-0000-0000-0000A5810000}"/>
    <cellStyle name="Total 2 12 3 5 3 2" xfId="33705" xr:uid="{00000000-0005-0000-0000-0000A6810000}"/>
    <cellStyle name="Total 2 12 3 5 3 3" xfId="33706" xr:uid="{00000000-0005-0000-0000-0000A7810000}"/>
    <cellStyle name="Total 2 12 3 5 3 4" xfId="33707" xr:uid="{00000000-0005-0000-0000-0000A8810000}"/>
    <cellStyle name="Total 2 12 3 5 4" xfId="2360" xr:uid="{00000000-0005-0000-0000-0000A9810000}"/>
    <cellStyle name="Total 2 12 3 5 4 2" xfId="2193" xr:uid="{00000000-0005-0000-0000-0000AA810000}"/>
    <cellStyle name="Total 2 12 3 5 4 3" xfId="2368" xr:uid="{00000000-0005-0000-0000-0000AB810000}"/>
    <cellStyle name="Total 2 12 3 5 5" xfId="2371" xr:uid="{00000000-0005-0000-0000-0000AC810000}"/>
    <cellStyle name="Total 2 12 3 5 5 2" xfId="33708" xr:uid="{00000000-0005-0000-0000-0000AD810000}"/>
    <cellStyle name="Total 2 12 3 5 5 3" xfId="33709" xr:uid="{00000000-0005-0000-0000-0000AE810000}"/>
    <cellStyle name="Total 2 12 3 5 6" xfId="2375" xr:uid="{00000000-0005-0000-0000-0000AF810000}"/>
    <cellStyle name="Total 2 12 3 5 7" xfId="3226" xr:uid="{00000000-0005-0000-0000-0000B0810000}"/>
    <cellStyle name="Total 2 12 3 6" xfId="33710" xr:uid="{00000000-0005-0000-0000-0000B1810000}"/>
    <cellStyle name="Total 2 12 3 6 2" xfId="33711" xr:uid="{00000000-0005-0000-0000-0000B2810000}"/>
    <cellStyle name="Total 2 12 3 6 2 2" xfId="33712" xr:uid="{00000000-0005-0000-0000-0000B3810000}"/>
    <cellStyle name="Total 2 12 3 6 2 3" xfId="33713" xr:uid="{00000000-0005-0000-0000-0000B4810000}"/>
    <cellStyle name="Total 2 12 3 6 2 4" xfId="33714" xr:uid="{00000000-0005-0000-0000-0000B5810000}"/>
    <cellStyle name="Total 2 12 3 6 3" xfId="33715" xr:uid="{00000000-0005-0000-0000-0000B6810000}"/>
    <cellStyle name="Total 2 12 3 6 3 2" xfId="33716" xr:uid="{00000000-0005-0000-0000-0000B7810000}"/>
    <cellStyle name="Total 2 12 3 6 3 3" xfId="33717" xr:uid="{00000000-0005-0000-0000-0000B8810000}"/>
    <cellStyle name="Total 2 12 3 6 3 4" xfId="33718" xr:uid="{00000000-0005-0000-0000-0000B9810000}"/>
    <cellStyle name="Total 2 12 3 6 4" xfId="33719" xr:uid="{00000000-0005-0000-0000-0000BA810000}"/>
    <cellStyle name="Total 2 12 3 6 4 2" xfId="33720" xr:uid="{00000000-0005-0000-0000-0000BB810000}"/>
    <cellStyle name="Total 2 12 3 6 4 3" xfId="33721" xr:uid="{00000000-0005-0000-0000-0000BC810000}"/>
    <cellStyle name="Total 2 12 3 6 5" xfId="33722" xr:uid="{00000000-0005-0000-0000-0000BD810000}"/>
    <cellStyle name="Total 2 12 3 6 5 2" xfId="33723" xr:uid="{00000000-0005-0000-0000-0000BE810000}"/>
    <cellStyle name="Total 2 12 3 6 5 3" xfId="33724" xr:uid="{00000000-0005-0000-0000-0000BF810000}"/>
    <cellStyle name="Total 2 12 3 6 6" xfId="6342" xr:uid="{00000000-0005-0000-0000-0000C0810000}"/>
    <cellStyle name="Total 2 12 3 6 7" xfId="6344" xr:uid="{00000000-0005-0000-0000-0000C1810000}"/>
    <cellStyle name="Total 2 12 3 7" xfId="33725" xr:uid="{00000000-0005-0000-0000-0000C2810000}"/>
    <cellStyle name="Total 2 12 3 7 2" xfId="33726" xr:uid="{00000000-0005-0000-0000-0000C3810000}"/>
    <cellStyle name="Total 2 12 3 7 2 2" xfId="33727" xr:uid="{00000000-0005-0000-0000-0000C4810000}"/>
    <cellStyle name="Total 2 12 3 7 2 3" xfId="33728" xr:uid="{00000000-0005-0000-0000-0000C5810000}"/>
    <cellStyle name="Total 2 12 3 7 2 4" xfId="33729" xr:uid="{00000000-0005-0000-0000-0000C6810000}"/>
    <cellStyle name="Total 2 12 3 7 3" xfId="33730" xr:uid="{00000000-0005-0000-0000-0000C7810000}"/>
    <cellStyle name="Total 2 12 3 7 3 2" xfId="33731" xr:uid="{00000000-0005-0000-0000-0000C8810000}"/>
    <cellStyle name="Total 2 12 3 7 3 3" xfId="33732" xr:uid="{00000000-0005-0000-0000-0000C9810000}"/>
    <cellStyle name="Total 2 12 3 7 3 4" xfId="33733" xr:uid="{00000000-0005-0000-0000-0000CA810000}"/>
    <cellStyle name="Total 2 12 3 7 4" xfId="33734" xr:uid="{00000000-0005-0000-0000-0000CB810000}"/>
    <cellStyle name="Total 2 12 3 7 4 2" xfId="33735" xr:uid="{00000000-0005-0000-0000-0000CC810000}"/>
    <cellStyle name="Total 2 12 3 7 4 3" xfId="33736" xr:uid="{00000000-0005-0000-0000-0000CD810000}"/>
    <cellStyle name="Total 2 12 3 7 5" xfId="33737" xr:uid="{00000000-0005-0000-0000-0000CE810000}"/>
    <cellStyle name="Total 2 12 3 7 5 2" xfId="33738" xr:uid="{00000000-0005-0000-0000-0000CF810000}"/>
    <cellStyle name="Total 2 12 3 7 5 3" xfId="33739" xr:uid="{00000000-0005-0000-0000-0000D0810000}"/>
    <cellStyle name="Total 2 12 3 7 6" xfId="6347" xr:uid="{00000000-0005-0000-0000-0000D1810000}"/>
    <cellStyle name="Total 2 12 3 7 7" xfId="6349" xr:uid="{00000000-0005-0000-0000-0000D2810000}"/>
    <cellStyle name="Total 2 12 3 8" xfId="33740" xr:uid="{00000000-0005-0000-0000-0000D3810000}"/>
    <cellStyle name="Total 2 12 3 8 2" xfId="33741" xr:uid="{00000000-0005-0000-0000-0000D4810000}"/>
    <cellStyle name="Total 2 12 3 8 2 2" xfId="33742" xr:uid="{00000000-0005-0000-0000-0000D5810000}"/>
    <cellStyle name="Total 2 12 3 8 2 3" xfId="33743" xr:uid="{00000000-0005-0000-0000-0000D6810000}"/>
    <cellStyle name="Total 2 12 3 8 2 4" xfId="33744" xr:uid="{00000000-0005-0000-0000-0000D7810000}"/>
    <cellStyle name="Total 2 12 3 8 3" xfId="33745" xr:uid="{00000000-0005-0000-0000-0000D8810000}"/>
    <cellStyle name="Total 2 12 3 8 3 2" xfId="33746" xr:uid="{00000000-0005-0000-0000-0000D9810000}"/>
    <cellStyle name="Total 2 12 3 8 3 3" xfId="33747" xr:uid="{00000000-0005-0000-0000-0000DA810000}"/>
    <cellStyle name="Total 2 12 3 8 3 4" xfId="33748" xr:uid="{00000000-0005-0000-0000-0000DB810000}"/>
    <cellStyle name="Total 2 12 3 8 4" xfId="33749" xr:uid="{00000000-0005-0000-0000-0000DC810000}"/>
    <cellStyle name="Total 2 12 3 8 4 2" xfId="33750" xr:uid="{00000000-0005-0000-0000-0000DD810000}"/>
    <cellStyle name="Total 2 12 3 8 4 3" xfId="33751" xr:uid="{00000000-0005-0000-0000-0000DE810000}"/>
    <cellStyle name="Total 2 12 3 8 5" xfId="33752" xr:uid="{00000000-0005-0000-0000-0000DF810000}"/>
    <cellStyle name="Total 2 12 3 8 5 2" xfId="33753" xr:uid="{00000000-0005-0000-0000-0000E0810000}"/>
    <cellStyle name="Total 2 12 3 8 5 3" xfId="33754" xr:uid="{00000000-0005-0000-0000-0000E1810000}"/>
    <cellStyle name="Total 2 12 3 8 6" xfId="33755" xr:uid="{00000000-0005-0000-0000-0000E2810000}"/>
    <cellStyle name="Total 2 12 3 8 7" xfId="33756" xr:uid="{00000000-0005-0000-0000-0000E3810000}"/>
    <cellStyle name="Total 2 12 3 9" xfId="33757" xr:uid="{00000000-0005-0000-0000-0000E4810000}"/>
    <cellStyle name="Total 2 12 3 9 2" xfId="33758" xr:uid="{00000000-0005-0000-0000-0000E5810000}"/>
    <cellStyle name="Total 2 12 3 9 2 2" xfId="33759" xr:uid="{00000000-0005-0000-0000-0000E6810000}"/>
    <cellStyle name="Total 2 12 3 9 2 3" xfId="33760" xr:uid="{00000000-0005-0000-0000-0000E7810000}"/>
    <cellStyle name="Total 2 12 3 9 2 4" xfId="33761" xr:uid="{00000000-0005-0000-0000-0000E8810000}"/>
    <cellStyle name="Total 2 12 3 9 3" xfId="33762" xr:uid="{00000000-0005-0000-0000-0000E9810000}"/>
    <cellStyle name="Total 2 12 3 9 3 2" xfId="33763" xr:uid="{00000000-0005-0000-0000-0000EA810000}"/>
    <cellStyle name="Total 2 12 3 9 3 3" xfId="33764" xr:uid="{00000000-0005-0000-0000-0000EB810000}"/>
    <cellStyle name="Total 2 12 3 9 3 4" xfId="33765" xr:uid="{00000000-0005-0000-0000-0000EC810000}"/>
    <cellStyle name="Total 2 12 3 9 4" xfId="33766" xr:uid="{00000000-0005-0000-0000-0000ED810000}"/>
    <cellStyle name="Total 2 12 3 9 4 2" xfId="33767" xr:uid="{00000000-0005-0000-0000-0000EE810000}"/>
    <cellStyle name="Total 2 12 3 9 4 3" xfId="33768" xr:uid="{00000000-0005-0000-0000-0000EF810000}"/>
    <cellStyle name="Total 2 12 3 9 5" xfId="33769" xr:uid="{00000000-0005-0000-0000-0000F0810000}"/>
    <cellStyle name="Total 2 12 3 9 5 2" xfId="33770" xr:uid="{00000000-0005-0000-0000-0000F1810000}"/>
    <cellStyle name="Total 2 12 3 9 5 3" xfId="33771" xr:uid="{00000000-0005-0000-0000-0000F2810000}"/>
    <cellStyle name="Total 2 12 3 9 6" xfId="33772" xr:uid="{00000000-0005-0000-0000-0000F3810000}"/>
    <cellStyle name="Total 2 12 3 9 7" xfId="33773" xr:uid="{00000000-0005-0000-0000-0000F4810000}"/>
    <cellStyle name="Total 2 12 4" xfId="33774" xr:uid="{00000000-0005-0000-0000-0000F5810000}"/>
    <cellStyle name="Total 2 12 4 2" xfId="33775" xr:uid="{00000000-0005-0000-0000-0000F6810000}"/>
    <cellStyle name="Total 2 12 4 2 2" xfId="33776" xr:uid="{00000000-0005-0000-0000-0000F7810000}"/>
    <cellStyle name="Total 2 12 4 2 3" xfId="33777" xr:uid="{00000000-0005-0000-0000-0000F8810000}"/>
    <cellStyle name="Total 2 12 4 2 4" xfId="33778" xr:uid="{00000000-0005-0000-0000-0000F9810000}"/>
    <cellStyle name="Total 2 12 4 3" xfId="33779" xr:uid="{00000000-0005-0000-0000-0000FA810000}"/>
    <cellStyle name="Total 2 12 4 3 2" xfId="33780" xr:uid="{00000000-0005-0000-0000-0000FB810000}"/>
    <cellStyle name="Total 2 12 4 3 3" xfId="33781" xr:uid="{00000000-0005-0000-0000-0000FC810000}"/>
    <cellStyle name="Total 2 12 4 3 4" xfId="33782" xr:uid="{00000000-0005-0000-0000-0000FD810000}"/>
    <cellStyle name="Total 2 12 4 4" xfId="33783" xr:uid="{00000000-0005-0000-0000-0000FE810000}"/>
    <cellStyle name="Total 2 12 4 4 2" xfId="33784" xr:uid="{00000000-0005-0000-0000-0000FF810000}"/>
    <cellStyle name="Total 2 12 4 4 3" xfId="33785" xr:uid="{00000000-0005-0000-0000-000000820000}"/>
    <cellStyle name="Total 2 12 4 5" xfId="33786" xr:uid="{00000000-0005-0000-0000-000001820000}"/>
    <cellStyle name="Total 2 12 4 5 2" xfId="2445" xr:uid="{00000000-0005-0000-0000-000002820000}"/>
    <cellStyle name="Total 2 12 4 5 3" xfId="295" xr:uid="{00000000-0005-0000-0000-000003820000}"/>
    <cellStyle name="Total 2 12 4 6" xfId="33787" xr:uid="{00000000-0005-0000-0000-000004820000}"/>
    <cellStyle name="Total 2 12 4 7" xfId="33788" xr:uid="{00000000-0005-0000-0000-000005820000}"/>
    <cellStyle name="Total 2 12 5" xfId="33789" xr:uid="{00000000-0005-0000-0000-000006820000}"/>
    <cellStyle name="Total 2 12 5 2" xfId="33790" xr:uid="{00000000-0005-0000-0000-000007820000}"/>
    <cellStyle name="Total 2 12 5 2 2" xfId="33791" xr:uid="{00000000-0005-0000-0000-000008820000}"/>
    <cellStyle name="Total 2 12 5 2 3" xfId="33792" xr:uid="{00000000-0005-0000-0000-000009820000}"/>
    <cellStyle name="Total 2 12 5 2 4" xfId="33793" xr:uid="{00000000-0005-0000-0000-00000A820000}"/>
    <cellStyle name="Total 2 12 5 3" xfId="33794" xr:uid="{00000000-0005-0000-0000-00000B820000}"/>
    <cellStyle name="Total 2 12 5 3 2" xfId="33795" xr:uid="{00000000-0005-0000-0000-00000C820000}"/>
    <cellStyle name="Total 2 12 5 3 3" xfId="33796" xr:uid="{00000000-0005-0000-0000-00000D820000}"/>
    <cellStyle name="Total 2 12 5 3 4" xfId="33797" xr:uid="{00000000-0005-0000-0000-00000E820000}"/>
    <cellStyle name="Total 2 12 5 4" xfId="33798" xr:uid="{00000000-0005-0000-0000-00000F820000}"/>
    <cellStyle name="Total 2 12 5 4 2" xfId="33799" xr:uid="{00000000-0005-0000-0000-000010820000}"/>
    <cellStyle name="Total 2 12 5 4 3" xfId="33800" xr:uid="{00000000-0005-0000-0000-000011820000}"/>
    <cellStyle name="Total 2 12 5 5" xfId="33801" xr:uid="{00000000-0005-0000-0000-000012820000}"/>
    <cellStyle name="Total 2 12 5 5 2" xfId="2526" xr:uid="{00000000-0005-0000-0000-000013820000}"/>
    <cellStyle name="Total 2 12 5 5 3" xfId="2547" xr:uid="{00000000-0005-0000-0000-000014820000}"/>
    <cellStyle name="Total 2 12 5 6" xfId="33802" xr:uid="{00000000-0005-0000-0000-000015820000}"/>
    <cellStyle name="Total 2 12 5 7" xfId="33803" xr:uid="{00000000-0005-0000-0000-000016820000}"/>
    <cellStyle name="Total 2 12 6" xfId="33804" xr:uid="{00000000-0005-0000-0000-000017820000}"/>
    <cellStyle name="Total 2 12 6 2" xfId="33805" xr:uid="{00000000-0005-0000-0000-000018820000}"/>
    <cellStyle name="Total 2 12 6 2 2" xfId="33806" xr:uid="{00000000-0005-0000-0000-000019820000}"/>
    <cellStyle name="Total 2 12 6 2 3" xfId="33807" xr:uid="{00000000-0005-0000-0000-00001A820000}"/>
    <cellStyle name="Total 2 12 6 2 4" xfId="33808" xr:uid="{00000000-0005-0000-0000-00001B820000}"/>
    <cellStyle name="Total 2 12 6 3" xfId="33809" xr:uid="{00000000-0005-0000-0000-00001C820000}"/>
    <cellStyle name="Total 2 12 6 3 2" xfId="33810" xr:uid="{00000000-0005-0000-0000-00001D820000}"/>
    <cellStyle name="Total 2 12 6 3 3" xfId="33811" xr:uid="{00000000-0005-0000-0000-00001E820000}"/>
    <cellStyle name="Total 2 12 6 3 4" xfId="33812" xr:uid="{00000000-0005-0000-0000-00001F820000}"/>
    <cellStyle name="Total 2 12 6 4" xfId="33813" xr:uid="{00000000-0005-0000-0000-000020820000}"/>
    <cellStyle name="Total 2 12 6 4 2" xfId="33814" xr:uid="{00000000-0005-0000-0000-000021820000}"/>
    <cellStyle name="Total 2 12 6 4 3" xfId="33815" xr:uid="{00000000-0005-0000-0000-000022820000}"/>
    <cellStyle name="Total 2 12 6 5" xfId="33816" xr:uid="{00000000-0005-0000-0000-000023820000}"/>
    <cellStyle name="Total 2 12 6 5 2" xfId="33817" xr:uid="{00000000-0005-0000-0000-000024820000}"/>
    <cellStyle name="Total 2 12 6 5 3" xfId="33818" xr:uid="{00000000-0005-0000-0000-000025820000}"/>
    <cellStyle name="Total 2 12 6 6" xfId="33819" xr:uid="{00000000-0005-0000-0000-000026820000}"/>
    <cellStyle name="Total 2 12 6 7" xfId="33820" xr:uid="{00000000-0005-0000-0000-000027820000}"/>
    <cellStyle name="Total 2 12 7" xfId="33821" xr:uid="{00000000-0005-0000-0000-000028820000}"/>
    <cellStyle name="Total 2 12 7 2" xfId="33822" xr:uid="{00000000-0005-0000-0000-000029820000}"/>
    <cellStyle name="Total 2 12 7 2 2" xfId="33823" xr:uid="{00000000-0005-0000-0000-00002A820000}"/>
    <cellStyle name="Total 2 12 7 2 3" xfId="33824" xr:uid="{00000000-0005-0000-0000-00002B820000}"/>
    <cellStyle name="Total 2 12 7 2 4" xfId="33825" xr:uid="{00000000-0005-0000-0000-00002C820000}"/>
    <cellStyle name="Total 2 12 7 3" xfId="33826" xr:uid="{00000000-0005-0000-0000-00002D820000}"/>
    <cellStyle name="Total 2 12 7 3 2" xfId="33827" xr:uid="{00000000-0005-0000-0000-00002E820000}"/>
    <cellStyle name="Total 2 12 7 3 3" xfId="33828" xr:uid="{00000000-0005-0000-0000-00002F820000}"/>
    <cellStyle name="Total 2 12 7 3 4" xfId="33829" xr:uid="{00000000-0005-0000-0000-000030820000}"/>
    <cellStyle name="Total 2 12 7 4" xfId="33830" xr:uid="{00000000-0005-0000-0000-000031820000}"/>
    <cellStyle name="Total 2 12 7 4 2" xfId="33831" xr:uid="{00000000-0005-0000-0000-000032820000}"/>
    <cellStyle name="Total 2 12 7 4 3" xfId="33832" xr:uid="{00000000-0005-0000-0000-000033820000}"/>
    <cellStyle name="Total 2 12 7 5" xfId="33833" xr:uid="{00000000-0005-0000-0000-000034820000}"/>
    <cellStyle name="Total 2 12 7 5 2" xfId="227" xr:uid="{00000000-0005-0000-0000-000035820000}"/>
    <cellStyle name="Total 2 12 7 5 3" xfId="2694" xr:uid="{00000000-0005-0000-0000-000036820000}"/>
    <cellStyle name="Total 2 12 7 6" xfId="33834" xr:uid="{00000000-0005-0000-0000-000037820000}"/>
    <cellStyle name="Total 2 12 7 7" xfId="33835" xr:uid="{00000000-0005-0000-0000-000038820000}"/>
    <cellStyle name="Total 2 12 8" xfId="33836" xr:uid="{00000000-0005-0000-0000-000039820000}"/>
    <cellStyle name="Total 2 12 8 2" xfId="33837" xr:uid="{00000000-0005-0000-0000-00003A820000}"/>
    <cellStyle name="Total 2 12 8 2 2" xfId="33838" xr:uid="{00000000-0005-0000-0000-00003B820000}"/>
    <cellStyle name="Total 2 12 8 2 3" xfId="33839" xr:uid="{00000000-0005-0000-0000-00003C820000}"/>
    <cellStyle name="Total 2 12 8 2 4" xfId="33840" xr:uid="{00000000-0005-0000-0000-00003D820000}"/>
    <cellStyle name="Total 2 12 8 3" xfId="33841" xr:uid="{00000000-0005-0000-0000-00003E820000}"/>
    <cellStyle name="Total 2 12 8 3 2" xfId="33842" xr:uid="{00000000-0005-0000-0000-00003F820000}"/>
    <cellStyle name="Total 2 12 8 3 3" xfId="33843" xr:uid="{00000000-0005-0000-0000-000040820000}"/>
    <cellStyle name="Total 2 12 8 3 4" xfId="33844" xr:uid="{00000000-0005-0000-0000-000041820000}"/>
    <cellStyle name="Total 2 12 8 4" xfId="33845" xr:uid="{00000000-0005-0000-0000-000042820000}"/>
    <cellStyle name="Total 2 12 8 4 2" xfId="33846" xr:uid="{00000000-0005-0000-0000-000043820000}"/>
    <cellStyle name="Total 2 12 8 4 3" xfId="33847" xr:uid="{00000000-0005-0000-0000-000044820000}"/>
    <cellStyle name="Total 2 12 8 5" xfId="33848" xr:uid="{00000000-0005-0000-0000-000045820000}"/>
    <cellStyle name="Total 2 12 8 5 2" xfId="33849" xr:uid="{00000000-0005-0000-0000-000046820000}"/>
    <cellStyle name="Total 2 12 8 5 3" xfId="33850" xr:uid="{00000000-0005-0000-0000-000047820000}"/>
    <cellStyle name="Total 2 12 8 6" xfId="33851" xr:uid="{00000000-0005-0000-0000-000048820000}"/>
    <cellStyle name="Total 2 12 8 7" xfId="33852" xr:uid="{00000000-0005-0000-0000-000049820000}"/>
    <cellStyle name="Total 2 12 9" xfId="5901" xr:uid="{00000000-0005-0000-0000-00004A820000}"/>
    <cellStyle name="Total 2 12 9 2" xfId="33853" xr:uid="{00000000-0005-0000-0000-00004B820000}"/>
    <cellStyle name="Total 2 12 9 2 2" xfId="24658" xr:uid="{00000000-0005-0000-0000-00004C820000}"/>
    <cellStyle name="Total 2 12 9 2 3" xfId="33854" xr:uid="{00000000-0005-0000-0000-00004D820000}"/>
    <cellStyle name="Total 2 12 9 2 4" xfId="33855" xr:uid="{00000000-0005-0000-0000-00004E820000}"/>
    <cellStyle name="Total 2 12 9 3" xfId="33856" xr:uid="{00000000-0005-0000-0000-00004F820000}"/>
    <cellStyle name="Total 2 12 9 3 2" xfId="33857" xr:uid="{00000000-0005-0000-0000-000050820000}"/>
    <cellStyle name="Total 2 12 9 3 3" xfId="33858" xr:uid="{00000000-0005-0000-0000-000051820000}"/>
    <cellStyle name="Total 2 12 9 3 4" xfId="33859" xr:uid="{00000000-0005-0000-0000-000052820000}"/>
    <cellStyle name="Total 2 12 9 4" xfId="33860" xr:uid="{00000000-0005-0000-0000-000053820000}"/>
    <cellStyle name="Total 2 12 9 4 2" xfId="33861" xr:uid="{00000000-0005-0000-0000-000054820000}"/>
    <cellStyle name="Total 2 12 9 4 3" xfId="33862" xr:uid="{00000000-0005-0000-0000-000055820000}"/>
    <cellStyle name="Total 2 12 9 5" xfId="33863" xr:uid="{00000000-0005-0000-0000-000056820000}"/>
    <cellStyle name="Total 2 12 9 5 2" xfId="33864" xr:uid="{00000000-0005-0000-0000-000057820000}"/>
    <cellStyle name="Total 2 12 9 5 3" xfId="33865" xr:uid="{00000000-0005-0000-0000-000058820000}"/>
    <cellStyle name="Total 2 12 9 6" xfId="33866" xr:uid="{00000000-0005-0000-0000-000059820000}"/>
    <cellStyle name="Total 2 12 9 7" xfId="33867" xr:uid="{00000000-0005-0000-0000-00005A820000}"/>
    <cellStyle name="Total 2 13" xfId="33868" xr:uid="{00000000-0005-0000-0000-00005B820000}"/>
    <cellStyle name="Total 2 13 10" xfId="33869" xr:uid="{00000000-0005-0000-0000-00005C820000}"/>
    <cellStyle name="Total 2 13 10 2" xfId="33870" xr:uid="{00000000-0005-0000-0000-00005D820000}"/>
    <cellStyle name="Total 2 13 10 2 2" xfId="33871" xr:uid="{00000000-0005-0000-0000-00005E820000}"/>
    <cellStyle name="Total 2 13 10 2 3" xfId="33872" xr:uid="{00000000-0005-0000-0000-00005F820000}"/>
    <cellStyle name="Total 2 13 10 2 4" xfId="33873" xr:uid="{00000000-0005-0000-0000-000060820000}"/>
    <cellStyle name="Total 2 13 10 3" xfId="33874" xr:uid="{00000000-0005-0000-0000-000061820000}"/>
    <cellStyle name="Total 2 13 10 3 2" xfId="33875" xr:uid="{00000000-0005-0000-0000-000062820000}"/>
    <cellStyle name="Total 2 13 10 3 3" xfId="33876" xr:uid="{00000000-0005-0000-0000-000063820000}"/>
    <cellStyle name="Total 2 13 10 3 4" xfId="33877" xr:uid="{00000000-0005-0000-0000-000064820000}"/>
    <cellStyle name="Total 2 13 10 4" xfId="33878" xr:uid="{00000000-0005-0000-0000-000065820000}"/>
    <cellStyle name="Total 2 13 10 4 2" xfId="4645" xr:uid="{00000000-0005-0000-0000-000066820000}"/>
    <cellStyle name="Total 2 13 10 4 3" xfId="4653" xr:uid="{00000000-0005-0000-0000-000067820000}"/>
    <cellStyle name="Total 2 13 10 5" xfId="33879" xr:uid="{00000000-0005-0000-0000-000068820000}"/>
    <cellStyle name="Total 2 13 10 5 2" xfId="33880" xr:uid="{00000000-0005-0000-0000-000069820000}"/>
    <cellStyle name="Total 2 13 10 5 3" xfId="33881" xr:uid="{00000000-0005-0000-0000-00006A820000}"/>
    <cellStyle name="Total 2 13 10 6" xfId="33882" xr:uid="{00000000-0005-0000-0000-00006B820000}"/>
    <cellStyle name="Total 2 13 10 7" xfId="33883" xr:uid="{00000000-0005-0000-0000-00006C820000}"/>
    <cellStyle name="Total 2 13 11" xfId="33884" xr:uid="{00000000-0005-0000-0000-00006D820000}"/>
    <cellStyle name="Total 2 13 11 2" xfId="14532" xr:uid="{00000000-0005-0000-0000-00006E820000}"/>
    <cellStyle name="Total 2 13 11 2 2" xfId="14535" xr:uid="{00000000-0005-0000-0000-00006F820000}"/>
    <cellStyle name="Total 2 13 11 2 3" xfId="14539" xr:uid="{00000000-0005-0000-0000-000070820000}"/>
    <cellStyle name="Total 2 13 11 2 4" xfId="23853" xr:uid="{00000000-0005-0000-0000-000071820000}"/>
    <cellStyle name="Total 2 13 11 3" xfId="14542" xr:uid="{00000000-0005-0000-0000-000072820000}"/>
    <cellStyle name="Total 2 13 11 3 2" xfId="23862" xr:uid="{00000000-0005-0000-0000-000073820000}"/>
    <cellStyle name="Total 2 13 11 3 3" xfId="23870" xr:uid="{00000000-0005-0000-0000-000074820000}"/>
    <cellStyle name="Total 2 13 11 3 4" xfId="23877" xr:uid="{00000000-0005-0000-0000-000075820000}"/>
    <cellStyle name="Total 2 13 11 4" xfId="14546" xr:uid="{00000000-0005-0000-0000-000076820000}"/>
    <cellStyle name="Total 2 13 11 4 2" xfId="23886" xr:uid="{00000000-0005-0000-0000-000077820000}"/>
    <cellStyle name="Total 2 13 11 4 3" xfId="23891" xr:uid="{00000000-0005-0000-0000-000078820000}"/>
    <cellStyle name="Total 2 13 11 5" xfId="17330" xr:uid="{00000000-0005-0000-0000-000079820000}"/>
    <cellStyle name="Total 2 13 11 5 2" xfId="17335" xr:uid="{00000000-0005-0000-0000-00007A820000}"/>
    <cellStyle name="Total 2 13 11 5 3" xfId="17338" xr:uid="{00000000-0005-0000-0000-00007B820000}"/>
    <cellStyle name="Total 2 13 11 6" xfId="16496" xr:uid="{00000000-0005-0000-0000-00007C820000}"/>
    <cellStyle name="Total 2 13 11 7" xfId="16501" xr:uid="{00000000-0005-0000-0000-00007D820000}"/>
    <cellStyle name="Total 2 13 12" xfId="33885" xr:uid="{00000000-0005-0000-0000-00007E820000}"/>
    <cellStyle name="Total 2 13 12 2" xfId="14572" xr:uid="{00000000-0005-0000-0000-00007F820000}"/>
    <cellStyle name="Total 2 13 12 2 2" xfId="14575" xr:uid="{00000000-0005-0000-0000-000080820000}"/>
    <cellStyle name="Total 2 13 12 2 3" xfId="14580" xr:uid="{00000000-0005-0000-0000-000081820000}"/>
    <cellStyle name="Total 2 13 12 2 4" xfId="18499" xr:uid="{00000000-0005-0000-0000-000082820000}"/>
    <cellStyle name="Total 2 13 12 3" xfId="14585" xr:uid="{00000000-0005-0000-0000-000083820000}"/>
    <cellStyle name="Total 2 13 12 3 2" xfId="32342" xr:uid="{00000000-0005-0000-0000-000084820000}"/>
    <cellStyle name="Total 2 13 12 3 3" xfId="32344" xr:uid="{00000000-0005-0000-0000-000085820000}"/>
    <cellStyle name="Total 2 13 12 3 4" xfId="32346" xr:uid="{00000000-0005-0000-0000-000086820000}"/>
    <cellStyle name="Total 2 13 12 4" xfId="14589" xr:uid="{00000000-0005-0000-0000-000087820000}"/>
    <cellStyle name="Total 2 13 12 4 2" xfId="32348" xr:uid="{00000000-0005-0000-0000-000088820000}"/>
    <cellStyle name="Total 2 13 12 4 3" xfId="32350" xr:uid="{00000000-0005-0000-0000-000089820000}"/>
    <cellStyle name="Total 2 13 12 5" xfId="17358" xr:uid="{00000000-0005-0000-0000-00008A820000}"/>
    <cellStyle name="Total 2 13 12 5 2" xfId="32353" xr:uid="{00000000-0005-0000-0000-00008B820000}"/>
    <cellStyle name="Total 2 13 12 5 3" xfId="32355" xr:uid="{00000000-0005-0000-0000-00008C820000}"/>
    <cellStyle name="Total 2 13 12 6" xfId="16513" xr:uid="{00000000-0005-0000-0000-00008D820000}"/>
    <cellStyle name="Total 2 13 12 7" xfId="16517" xr:uid="{00000000-0005-0000-0000-00008E820000}"/>
    <cellStyle name="Total 2 13 13" xfId="33886" xr:uid="{00000000-0005-0000-0000-00008F820000}"/>
    <cellStyle name="Total 2 13 13 2" xfId="33887" xr:uid="{00000000-0005-0000-0000-000090820000}"/>
    <cellStyle name="Total 2 13 13 3" xfId="33888" xr:uid="{00000000-0005-0000-0000-000091820000}"/>
    <cellStyle name="Total 2 13 13 4" xfId="33889" xr:uid="{00000000-0005-0000-0000-000092820000}"/>
    <cellStyle name="Total 2 13 14" xfId="30086" xr:uid="{00000000-0005-0000-0000-000093820000}"/>
    <cellStyle name="Total 2 13 14 2" xfId="33890" xr:uid="{00000000-0005-0000-0000-000094820000}"/>
    <cellStyle name="Total 2 13 14 3" xfId="33891" xr:uid="{00000000-0005-0000-0000-000095820000}"/>
    <cellStyle name="Total 2 13 14 4" xfId="33892" xr:uid="{00000000-0005-0000-0000-000096820000}"/>
    <cellStyle name="Total 2 13 15" xfId="30088" xr:uid="{00000000-0005-0000-0000-000097820000}"/>
    <cellStyle name="Total 2 13 15 2" xfId="33893" xr:uid="{00000000-0005-0000-0000-000098820000}"/>
    <cellStyle name="Total 2 13 15 3" xfId="33894" xr:uid="{00000000-0005-0000-0000-000099820000}"/>
    <cellStyle name="Total 2 13 16" xfId="10368" xr:uid="{00000000-0005-0000-0000-00009A820000}"/>
    <cellStyle name="Total 2 13 16 2" xfId="14694" xr:uid="{00000000-0005-0000-0000-00009B820000}"/>
    <cellStyle name="Total 2 13 16 3" xfId="14704" xr:uid="{00000000-0005-0000-0000-00009C820000}"/>
    <cellStyle name="Total 2 13 17" xfId="33895" xr:uid="{00000000-0005-0000-0000-00009D820000}"/>
    <cellStyle name="Total 2 13 18" xfId="33896" xr:uid="{00000000-0005-0000-0000-00009E820000}"/>
    <cellStyle name="Total 2 13 19" xfId="33897" xr:uid="{00000000-0005-0000-0000-00009F820000}"/>
    <cellStyle name="Total 2 13 2" xfId="33898" xr:uid="{00000000-0005-0000-0000-0000A0820000}"/>
    <cellStyle name="Total 2 13 2 10" xfId="33899" xr:uid="{00000000-0005-0000-0000-0000A1820000}"/>
    <cellStyle name="Total 2 13 2 10 2" xfId="33900" xr:uid="{00000000-0005-0000-0000-0000A2820000}"/>
    <cellStyle name="Total 2 13 2 10 2 2" xfId="33901" xr:uid="{00000000-0005-0000-0000-0000A3820000}"/>
    <cellStyle name="Total 2 13 2 10 2 3" xfId="33902" xr:uid="{00000000-0005-0000-0000-0000A4820000}"/>
    <cellStyle name="Total 2 13 2 10 2 4" xfId="33903" xr:uid="{00000000-0005-0000-0000-0000A5820000}"/>
    <cellStyle name="Total 2 13 2 10 3" xfId="33904" xr:uid="{00000000-0005-0000-0000-0000A6820000}"/>
    <cellStyle name="Total 2 13 2 10 3 2" xfId="33905" xr:uid="{00000000-0005-0000-0000-0000A7820000}"/>
    <cellStyle name="Total 2 13 2 10 3 3" xfId="33906" xr:uid="{00000000-0005-0000-0000-0000A8820000}"/>
    <cellStyle name="Total 2 13 2 10 3 4" xfId="33907" xr:uid="{00000000-0005-0000-0000-0000A9820000}"/>
    <cellStyle name="Total 2 13 2 10 4" xfId="33908" xr:uid="{00000000-0005-0000-0000-0000AA820000}"/>
    <cellStyle name="Total 2 13 2 10 4 2" xfId="33909" xr:uid="{00000000-0005-0000-0000-0000AB820000}"/>
    <cellStyle name="Total 2 13 2 10 4 3" xfId="33910" xr:uid="{00000000-0005-0000-0000-0000AC820000}"/>
    <cellStyle name="Total 2 13 2 10 5" xfId="33911" xr:uid="{00000000-0005-0000-0000-0000AD820000}"/>
    <cellStyle name="Total 2 13 2 10 5 2" xfId="33912" xr:uid="{00000000-0005-0000-0000-0000AE820000}"/>
    <cellStyle name="Total 2 13 2 10 5 3" xfId="33913" xr:uid="{00000000-0005-0000-0000-0000AF820000}"/>
    <cellStyle name="Total 2 13 2 10 6" xfId="33914" xr:uid="{00000000-0005-0000-0000-0000B0820000}"/>
    <cellStyle name="Total 2 13 2 10 7" xfId="33915" xr:uid="{00000000-0005-0000-0000-0000B1820000}"/>
    <cellStyle name="Total 2 13 2 11" xfId="33916" xr:uid="{00000000-0005-0000-0000-0000B2820000}"/>
    <cellStyle name="Total 2 13 2 11 2" xfId="33917" xr:uid="{00000000-0005-0000-0000-0000B3820000}"/>
    <cellStyle name="Total 2 13 2 11 3" xfId="33918" xr:uid="{00000000-0005-0000-0000-0000B4820000}"/>
    <cellStyle name="Total 2 13 2 11 4" xfId="33919" xr:uid="{00000000-0005-0000-0000-0000B5820000}"/>
    <cellStyle name="Total 2 13 2 12" xfId="33920" xr:uid="{00000000-0005-0000-0000-0000B6820000}"/>
    <cellStyle name="Total 2 13 2 12 2" xfId="33921" xr:uid="{00000000-0005-0000-0000-0000B7820000}"/>
    <cellStyle name="Total 2 13 2 12 3" xfId="33922" xr:uid="{00000000-0005-0000-0000-0000B8820000}"/>
    <cellStyle name="Total 2 13 2 12 4" xfId="33923" xr:uid="{00000000-0005-0000-0000-0000B9820000}"/>
    <cellStyle name="Total 2 13 2 13" xfId="33924" xr:uid="{00000000-0005-0000-0000-0000BA820000}"/>
    <cellStyle name="Total 2 13 2 13 2" xfId="33925" xr:uid="{00000000-0005-0000-0000-0000BB820000}"/>
    <cellStyle name="Total 2 13 2 13 3" xfId="33926" xr:uid="{00000000-0005-0000-0000-0000BC820000}"/>
    <cellStyle name="Total 2 13 2 14" xfId="33927" xr:uid="{00000000-0005-0000-0000-0000BD820000}"/>
    <cellStyle name="Total 2 13 2 14 2" xfId="33928" xr:uid="{00000000-0005-0000-0000-0000BE820000}"/>
    <cellStyle name="Total 2 13 2 14 3" xfId="33929" xr:uid="{00000000-0005-0000-0000-0000BF820000}"/>
    <cellStyle name="Total 2 13 2 15" xfId="33930" xr:uid="{00000000-0005-0000-0000-0000C0820000}"/>
    <cellStyle name="Total 2 13 2 16" xfId="33931" xr:uid="{00000000-0005-0000-0000-0000C1820000}"/>
    <cellStyle name="Total 2 13 2 2" xfId="33932" xr:uid="{00000000-0005-0000-0000-0000C2820000}"/>
    <cellStyle name="Total 2 13 2 2 2" xfId="33933" xr:uid="{00000000-0005-0000-0000-0000C3820000}"/>
    <cellStyle name="Total 2 13 2 2 2 2" xfId="33934" xr:uid="{00000000-0005-0000-0000-0000C4820000}"/>
    <cellStyle name="Total 2 13 2 2 2 3" xfId="33935" xr:uid="{00000000-0005-0000-0000-0000C5820000}"/>
    <cellStyle name="Total 2 13 2 2 2 4" xfId="33936" xr:uid="{00000000-0005-0000-0000-0000C6820000}"/>
    <cellStyle name="Total 2 13 2 2 3" xfId="33937" xr:uid="{00000000-0005-0000-0000-0000C7820000}"/>
    <cellStyle name="Total 2 13 2 2 3 2" xfId="33938" xr:uid="{00000000-0005-0000-0000-0000C8820000}"/>
    <cellStyle name="Total 2 13 2 2 3 3" xfId="33939" xr:uid="{00000000-0005-0000-0000-0000C9820000}"/>
    <cellStyle name="Total 2 13 2 2 3 4" xfId="33940" xr:uid="{00000000-0005-0000-0000-0000CA820000}"/>
    <cellStyle name="Total 2 13 2 2 4" xfId="33941" xr:uid="{00000000-0005-0000-0000-0000CB820000}"/>
    <cellStyle name="Total 2 13 2 2 4 2" xfId="33942" xr:uid="{00000000-0005-0000-0000-0000CC820000}"/>
    <cellStyle name="Total 2 13 2 2 4 3" xfId="33943" xr:uid="{00000000-0005-0000-0000-0000CD820000}"/>
    <cellStyle name="Total 2 13 2 2 5" xfId="33944" xr:uid="{00000000-0005-0000-0000-0000CE820000}"/>
    <cellStyle name="Total 2 13 2 2 5 2" xfId="33945" xr:uid="{00000000-0005-0000-0000-0000CF820000}"/>
    <cellStyle name="Total 2 13 2 2 5 3" xfId="33946" xr:uid="{00000000-0005-0000-0000-0000D0820000}"/>
    <cellStyle name="Total 2 13 2 2 6" xfId="33947" xr:uid="{00000000-0005-0000-0000-0000D1820000}"/>
    <cellStyle name="Total 2 13 2 2 7" xfId="33948" xr:uid="{00000000-0005-0000-0000-0000D2820000}"/>
    <cellStyle name="Total 2 13 2 3" xfId="33949" xr:uid="{00000000-0005-0000-0000-0000D3820000}"/>
    <cellStyle name="Total 2 13 2 3 2" xfId="33950" xr:uid="{00000000-0005-0000-0000-0000D4820000}"/>
    <cellStyle name="Total 2 13 2 3 2 2" xfId="33951" xr:uid="{00000000-0005-0000-0000-0000D5820000}"/>
    <cellStyle name="Total 2 13 2 3 2 3" xfId="33952" xr:uid="{00000000-0005-0000-0000-0000D6820000}"/>
    <cellStyle name="Total 2 13 2 3 2 4" xfId="33953" xr:uid="{00000000-0005-0000-0000-0000D7820000}"/>
    <cellStyle name="Total 2 13 2 3 3" xfId="33954" xr:uid="{00000000-0005-0000-0000-0000D8820000}"/>
    <cellStyle name="Total 2 13 2 3 3 2" xfId="33955" xr:uid="{00000000-0005-0000-0000-0000D9820000}"/>
    <cellStyle name="Total 2 13 2 3 3 3" xfId="33956" xr:uid="{00000000-0005-0000-0000-0000DA820000}"/>
    <cellStyle name="Total 2 13 2 3 3 4" xfId="33957" xr:uid="{00000000-0005-0000-0000-0000DB820000}"/>
    <cellStyle name="Total 2 13 2 3 4" xfId="33958" xr:uid="{00000000-0005-0000-0000-0000DC820000}"/>
    <cellStyle name="Total 2 13 2 3 4 2" xfId="33959" xr:uid="{00000000-0005-0000-0000-0000DD820000}"/>
    <cellStyle name="Total 2 13 2 3 4 3" xfId="33960" xr:uid="{00000000-0005-0000-0000-0000DE820000}"/>
    <cellStyle name="Total 2 13 2 3 5" xfId="33961" xr:uid="{00000000-0005-0000-0000-0000DF820000}"/>
    <cellStyle name="Total 2 13 2 3 5 2" xfId="33962" xr:uid="{00000000-0005-0000-0000-0000E0820000}"/>
    <cellStyle name="Total 2 13 2 3 5 3" xfId="33963" xr:uid="{00000000-0005-0000-0000-0000E1820000}"/>
    <cellStyle name="Total 2 13 2 3 6" xfId="33964" xr:uid="{00000000-0005-0000-0000-0000E2820000}"/>
    <cellStyle name="Total 2 13 2 3 7" xfId="33965" xr:uid="{00000000-0005-0000-0000-0000E3820000}"/>
    <cellStyle name="Total 2 13 2 4" xfId="33966" xr:uid="{00000000-0005-0000-0000-0000E4820000}"/>
    <cellStyle name="Total 2 13 2 4 2" xfId="33967" xr:uid="{00000000-0005-0000-0000-0000E5820000}"/>
    <cellStyle name="Total 2 13 2 4 2 2" xfId="33968" xr:uid="{00000000-0005-0000-0000-0000E6820000}"/>
    <cellStyle name="Total 2 13 2 4 2 3" xfId="33969" xr:uid="{00000000-0005-0000-0000-0000E7820000}"/>
    <cellStyle name="Total 2 13 2 4 2 4" xfId="33970" xr:uid="{00000000-0005-0000-0000-0000E8820000}"/>
    <cellStyle name="Total 2 13 2 4 3" xfId="33971" xr:uid="{00000000-0005-0000-0000-0000E9820000}"/>
    <cellStyle name="Total 2 13 2 4 3 2" xfId="33972" xr:uid="{00000000-0005-0000-0000-0000EA820000}"/>
    <cellStyle name="Total 2 13 2 4 3 3" xfId="33973" xr:uid="{00000000-0005-0000-0000-0000EB820000}"/>
    <cellStyle name="Total 2 13 2 4 3 4" xfId="33974" xr:uid="{00000000-0005-0000-0000-0000EC820000}"/>
    <cellStyle name="Total 2 13 2 4 4" xfId="33975" xr:uid="{00000000-0005-0000-0000-0000ED820000}"/>
    <cellStyle name="Total 2 13 2 4 4 2" xfId="33976" xr:uid="{00000000-0005-0000-0000-0000EE820000}"/>
    <cellStyle name="Total 2 13 2 4 4 3" xfId="33977" xr:uid="{00000000-0005-0000-0000-0000EF820000}"/>
    <cellStyle name="Total 2 13 2 4 5" xfId="33978" xr:uid="{00000000-0005-0000-0000-0000F0820000}"/>
    <cellStyle name="Total 2 13 2 4 5 2" xfId="33979" xr:uid="{00000000-0005-0000-0000-0000F1820000}"/>
    <cellStyle name="Total 2 13 2 4 5 3" xfId="33980" xr:uid="{00000000-0005-0000-0000-0000F2820000}"/>
    <cellStyle name="Total 2 13 2 4 6" xfId="33981" xr:uid="{00000000-0005-0000-0000-0000F3820000}"/>
    <cellStyle name="Total 2 13 2 4 7" xfId="33982" xr:uid="{00000000-0005-0000-0000-0000F4820000}"/>
    <cellStyle name="Total 2 13 2 5" xfId="33983" xr:uid="{00000000-0005-0000-0000-0000F5820000}"/>
    <cellStyle name="Total 2 13 2 5 2" xfId="33984" xr:uid="{00000000-0005-0000-0000-0000F6820000}"/>
    <cellStyle name="Total 2 13 2 5 2 2" xfId="33985" xr:uid="{00000000-0005-0000-0000-0000F7820000}"/>
    <cellStyle name="Total 2 13 2 5 2 3" xfId="33986" xr:uid="{00000000-0005-0000-0000-0000F8820000}"/>
    <cellStyle name="Total 2 13 2 5 2 4" xfId="33987" xr:uid="{00000000-0005-0000-0000-0000F9820000}"/>
    <cellStyle name="Total 2 13 2 5 3" xfId="33988" xr:uid="{00000000-0005-0000-0000-0000FA820000}"/>
    <cellStyle name="Total 2 13 2 5 3 2" xfId="33989" xr:uid="{00000000-0005-0000-0000-0000FB820000}"/>
    <cellStyle name="Total 2 13 2 5 3 3" xfId="33990" xr:uid="{00000000-0005-0000-0000-0000FC820000}"/>
    <cellStyle name="Total 2 13 2 5 3 4" xfId="33991" xr:uid="{00000000-0005-0000-0000-0000FD820000}"/>
    <cellStyle name="Total 2 13 2 5 4" xfId="33992" xr:uid="{00000000-0005-0000-0000-0000FE820000}"/>
    <cellStyle name="Total 2 13 2 5 4 2" xfId="33993" xr:uid="{00000000-0005-0000-0000-0000FF820000}"/>
    <cellStyle name="Total 2 13 2 5 4 3" xfId="33994" xr:uid="{00000000-0005-0000-0000-000000830000}"/>
    <cellStyle name="Total 2 13 2 5 5" xfId="33995" xr:uid="{00000000-0005-0000-0000-000001830000}"/>
    <cellStyle name="Total 2 13 2 5 5 2" xfId="33996" xr:uid="{00000000-0005-0000-0000-000002830000}"/>
    <cellStyle name="Total 2 13 2 5 5 3" xfId="33997" xr:uid="{00000000-0005-0000-0000-000003830000}"/>
    <cellStyle name="Total 2 13 2 5 6" xfId="33998" xr:uid="{00000000-0005-0000-0000-000004830000}"/>
    <cellStyle name="Total 2 13 2 5 7" xfId="33999" xr:uid="{00000000-0005-0000-0000-000005830000}"/>
    <cellStyle name="Total 2 13 2 6" xfId="34000" xr:uid="{00000000-0005-0000-0000-000006830000}"/>
    <cellStyle name="Total 2 13 2 6 2" xfId="34001" xr:uid="{00000000-0005-0000-0000-000007830000}"/>
    <cellStyle name="Total 2 13 2 6 2 2" xfId="34002" xr:uid="{00000000-0005-0000-0000-000008830000}"/>
    <cellStyle name="Total 2 13 2 6 2 3" xfId="34003" xr:uid="{00000000-0005-0000-0000-000009830000}"/>
    <cellStyle name="Total 2 13 2 6 2 4" xfId="34004" xr:uid="{00000000-0005-0000-0000-00000A830000}"/>
    <cellStyle name="Total 2 13 2 6 3" xfId="34005" xr:uid="{00000000-0005-0000-0000-00000B830000}"/>
    <cellStyle name="Total 2 13 2 6 3 2" xfId="34006" xr:uid="{00000000-0005-0000-0000-00000C830000}"/>
    <cellStyle name="Total 2 13 2 6 3 3" xfId="34007" xr:uid="{00000000-0005-0000-0000-00000D830000}"/>
    <cellStyle name="Total 2 13 2 6 3 4" xfId="34008" xr:uid="{00000000-0005-0000-0000-00000E830000}"/>
    <cellStyle name="Total 2 13 2 6 4" xfId="34009" xr:uid="{00000000-0005-0000-0000-00000F830000}"/>
    <cellStyle name="Total 2 13 2 6 4 2" xfId="34010" xr:uid="{00000000-0005-0000-0000-000010830000}"/>
    <cellStyle name="Total 2 13 2 6 4 3" xfId="34011" xr:uid="{00000000-0005-0000-0000-000011830000}"/>
    <cellStyle name="Total 2 13 2 6 5" xfId="34012" xr:uid="{00000000-0005-0000-0000-000012830000}"/>
    <cellStyle name="Total 2 13 2 6 5 2" xfId="34013" xr:uid="{00000000-0005-0000-0000-000013830000}"/>
    <cellStyle name="Total 2 13 2 6 5 3" xfId="34014" xr:uid="{00000000-0005-0000-0000-000014830000}"/>
    <cellStyle name="Total 2 13 2 6 6" xfId="34015" xr:uid="{00000000-0005-0000-0000-000015830000}"/>
    <cellStyle name="Total 2 13 2 6 7" xfId="34016" xr:uid="{00000000-0005-0000-0000-000016830000}"/>
    <cellStyle name="Total 2 13 2 7" xfId="34017" xr:uid="{00000000-0005-0000-0000-000017830000}"/>
    <cellStyle name="Total 2 13 2 7 2" xfId="34018" xr:uid="{00000000-0005-0000-0000-000018830000}"/>
    <cellStyle name="Total 2 13 2 7 2 2" xfId="34019" xr:uid="{00000000-0005-0000-0000-000019830000}"/>
    <cellStyle name="Total 2 13 2 7 2 3" xfId="34020" xr:uid="{00000000-0005-0000-0000-00001A830000}"/>
    <cellStyle name="Total 2 13 2 7 2 4" xfId="34021" xr:uid="{00000000-0005-0000-0000-00001B830000}"/>
    <cellStyle name="Total 2 13 2 7 3" xfId="34022" xr:uid="{00000000-0005-0000-0000-00001C830000}"/>
    <cellStyle name="Total 2 13 2 7 3 2" xfId="34023" xr:uid="{00000000-0005-0000-0000-00001D830000}"/>
    <cellStyle name="Total 2 13 2 7 3 3" xfId="34024" xr:uid="{00000000-0005-0000-0000-00001E830000}"/>
    <cellStyle name="Total 2 13 2 7 3 4" xfId="34025" xr:uid="{00000000-0005-0000-0000-00001F830000}"/>
    <cellStyle name="Total 2 13 2 7 4" xfId="34026" xr:uid="{00000000-0005-0000-0000-000020830000}"/>
    <cellStyle name="Total 2 13 2 7 4 2" xfId="34027" xr:uid="{00000000-0005-0000-0000-000021830000}"/>
    <cellStyle name="Total 2 13 2 7 4 3" xfId="34028" xr:uid="{00000000-0005-0000-0000-000022830000}"/>
    <cellStyle name="Total 2 13 2 7 5" xfId="34029" xr:uid="{00000000-0005-0000-0000-000023830000}"/>
    <cellStyle name="Total 2 13 2 7 5 2" xfId="34030" xr:uid="{00000000-0005-0000-0000-000024830000}"/>
    <cellStyle name="Total 2 13 2 7 5 3" xfId="31814" xr:uid="{00000000-0005-0000-0000-000025830000}"/>
    <cellStyle name="Total 2 13 2 7 6" xfId="34031" xr:uid="{00000000-0005-0000-0000-000026830000}"/>
    <cellStyle name="Total 2 13 2 7 7" xfId="34032" xr:uid="{00000000-0005-0000-0000-000027830000}"/>
    <cellStyle name="Total 2 13 2 8" xfId="34033" xr:uid="{00000000-0005-0000-0000-000028830000}"/>
    <cellStyle name="Total 2 13 2 8 2" xfId="34034" xr:uid="{00000000-0005-0000-0000-000029830000}"/>
    <cellStyle name="Total 2 13 2 8 2 2" xfId="34035" xr:uid="{00000000-0005-0000-0000-00002A830000}"/>
    <cellStyle name="Total 2 13 2 8 2 3" xfId="34036" xr:uid="{00000000-0005-0000-0000-00002B830000}"/>
    <cellStyle name="Total 2 13 2 8 2 4" xfId="34037" xr:uid="{00000000-0005-0000-0000-00002C830000}"/>
    <cellStyle name="Total 2 13 2 8 3" xfId="34038" xr:uid="{00000000-0005-0000-0000-00002D830000}"/>
    <cellStyle name="Total 2 13 2 8 3 2" xfId="34039" xr:uid="{00000000-0005-0000-0000-00002E830000}"/>
    <cellStyle name="Total 2 13 2 8 3 3" xfId="34040" xr:uid="{00000000-0005-0000-0000-00002F830000}"/>
    <cellStyle name="Total 2 13 2 8 3 4" xfId="34041" xr:uid="{00000000-0005-0000-0000-000030830000}"/>
    <cellStyle name="Total 2 13 2 8 4" xfId="34042" xr:uid="{00000000-0005-0000-0000-000031830000}"/>
    <cellStyle name="Total 2 13 2 8 4 2" xfId="34043" xr:uid="{00000000-0005-0000-0000-000032830000}"/>
    <cellStyle name="Total 2 13 2 8 4 3" xfId="34044" xr:uid="{00000000-0005-0000-0000-000033830000}"/>
    <cellStyle name="Total 2 13 2 8 5" xfId="34045" xr:uid="{00000000-0005-0000-0000-000034830000}"/>
    <cellStyle name="Total 2 13 2 8 5 2" xfId="34046" xr:uid="{00000000-0005-0000-0000-000035830000}"/>
    <cellStyle name="Total 2 13 2 8 5 3" xfId="34047" xr:uid="{00000000-0005-0000-0000-000036830000}"/>
    <cellStyle name="Total 2 13 2 8 6" xfId="34048" xr:uid="{00000000-0005-0000-0000-000037830000}"/>
    <cellStyle name="Total 2 13 2 8 7" xfId="34049" xr:uid="{00000000-0005-0000-0000-000038830000}"/>
    <cellStyle name="Total 2 13 2 9" xfId="34050" xr:uid="{00000000-0005-0000-0000-000039830000}"/>
    <cellStyle name="Total 2 13 2 9 2" xfId="34051" xr:uid="{00000000-0005-0000-0000-00003A830000}"/>
    <cellStyle name="Total 2 13 2 9 2 2" xfId="34052" xr:uid="{00000000-0005-0000-0000-00003B830000}"/>
    <cellStyle name="Total 2 13 2 9 2 3" xfId="34053" xr:uid="{00000000-0005-0000-0000-00003C830000}"/>
    <cellStyle name="Total 2 13 2 9 2 4" xfId="34054" xr:uid="{00000000-0005-0000-0000-00003D830000}"/>
    <cellStyle name="Total 2 13 2 9 3" xfId="34055" xr:uid="{00000000-0005-0000-0000-00003E830000}"/>
    <cellStyle name="Total 2 13 2 9 3 2" xfId="34056" xr:uid="{00000000-0005-0000-0000-00003F830000}"/>
    <cellStyle name="Total 2 13 2 9 3 3" xfId="34057" xr:uid="{00000000-0005-0000-0000-000040830000}"/>
    <cellStyle name="Total 2 13 2 9 3 4" xfId="34058" xr:uid="{00000000-0005-0000-0000-000041830000}"/>
    <cellStyle name="Total 2 13 2 9 4" xfId="34059" xr:uid="{00000000-0005-0000-0000-000042830000}"/>
    <cellStyle name="Total 2 13 2 9 4 2" xfId="34060" xr:uid="{00000000-0005-0000-0000-000043830000}"/>
    <cellStyle name="Total 2 13 2 9 4 3" xfId="34061" xr:uid="{00000000-0005-0000-0000-000044830000}"/>
    <cellStyle name="Total 2 13 2 9 5" xfId="34062" xr:uid="{00000000-0005-0000-0000-000045830000}"/>
    <cellStyle name="Total 2 13 2 9 5 2" xfId="34063" xr:uid="{00000000-0005-0000-0000-000046830000}"/>
    <cellStyle name="Total 2 13 2 9 5 3" xfId="34064" xr:uid="{00000000-0005-0000-0000-000047830000}"/>
    <cellStyle name="Total 2 13 2 9 6" xfId="34065" xr:uid="{00000000-0005-0000-0000-000048830000}"/>
    <cellStyle name="Total 2 13 2 9 7" xfId="34066" xr:uid="{00000000-0005-0000-0000-000049830000}"/>
    <cellStyle name="Total 2 13 3" xfId="34067" xr:uid="{00000000-0005-0000-0000-00004A830000}"/>
    <cellStyle name="Total 2 13 3 10" xfId="34068" xr:uid="{00000000-0005-0000-0000-00004B830000}"/>
    <cellStyle name="Total 2 13 3 10 2" xfId="34069" xr:uid="{00000000-0005-0000-0000-00004C830000}"/>
    <cellStyle name="Total 2 13 3 10 2 2" xfId="34070" xr:uid="{00000000-0005-0000-0000-00004D830000}"/>
    <cellStyle name="Total 2 13 3 10 2 3" xfId="34071" xr:uid="{00000000-0005-0000-0000-00004E830000}"/>
    <cellStyle name="Total 2 13 3 10 2 4" xfId="34072" xr:uid="{00000000-0005-0000-0000-00004F830000}"/>
    <cellStyle name="Total 2 13 3 10 3" xfId="34073" xr:uid="{00000000-0005-0000-0000-000050830000}"/>
    <cellStyle name="Total 2 13 3 10 3 2" xfId="34074" xr:uid="{00000000-0005-0000-0000-000051830000}"/>
    <cellStyle name="Total 2 13 3 10 3 3" xfId="34075" xr:uid="{00000000-0005-0000-0000-000052830000}"/>
    <cellStyle name="Total 2 13 3 10 3 4" xfId="34076" xr:uid="{00000000-0005-0000-0000-000053830000}"/>
    <cellStyle name="Total 2 13 3 10 4" xfId="34077" xr:uid="{00000000-0005-0000-0000-000054830000}"/>
    <cellStyle name="Total 2 13 3 10 4 2" xfId="34078" xr:uid="{00000000-0005-0000-0000-000055830000}"/>
    <cellStyle name="Total 2 13 3 10 4 3" xfId="34079" xr:uid="{00000000-0005-0000-0000-000056830000}"/>
    <cellStyle name="Total 2 13 3 10 5" xfId="34080" xr:uid="{00000000-0005-0000-0000-000057830000}"/>
    <cellStyle name="Total 2 13 3 10 5 2" xfId="34081" xr:uid="{00000000-0005-0000-0000-000058830000}"/>
    <cellStyle name="Total 2 13 3 10 5 3" xfId="34082" xr:uid="{00000000-0005-0000-0000-000059830000}"/>
    <cellStyle name="Total 2 13 3 10 6" xfId="34083" xr:uid="{00000000-0005-0000-0000-00005A830000}"/>
    <cellStyle name="Total 2 13 3 10 7" xfId="34084" xr:uid="{00000000-0005-0000-0000-00005B830000}"/>
    <cellStyle name="Total 2 13 3 11" xfId="34085" xr:uid="{00000000-0005-0000-0000-00005C830000}"/>
    <cellStyle name="Total 2 13 3 11 2" xfId="34086" xr:uid="{00000000-0005-0000-0000-00005D830000}"/>
    <cellStyle name="Total 2 13 3 11 3" xfId="34087" xr:uid="{00000000-0005-0000-0000-00005E830000}"/>
    <cellStyle name="Total 2 13 3 11 4" xfId="34088" xr:uid="{00000000-0005-0000-0000-00005F830000}"/>
    <cellStyle name="Total 2 13 3 12" xfId="34089" xr:uid="{00000000-0005-0000-0000-000060830000}"/>
    <cellStyle name="Total 2 13 3 12 2" xfId="34090" xr:uid="{00000000-0005-0000-0000-000061830000}"/>
    <cellStyle name="Total 2 13 3 12 3" xfId="34091" xr:uid="{00000000-0005-0000-0000-000062830000}"/>
    <cellStyle name="Total 2 13 3 12 4" xfId="34092" xr:uid="{00000000-0005-0000-0000-000063830000}"/>
    <cellStyle name="Total 2 13 3 13" xfId="34093" xr:uid="{00000000-0005-0000-0000-000064830000}"/>
    <cellStyle name="Total 2 13 3 13 2" xfId="34094" xr:uid="{00000000-0005-0000-0000-000065830000}"/>
    <cellStyle name="Total 2 13 3 13 3" xfId="34095" xr:uid="{00000000-0005-0000-0000-000066830000}"/>
    <cellStyle name="Total 2 13 3 14" xfId="34096" xr:uid="{00000000-0005-0000-0000-000067830000}"/>
    <cellStyle name="Total 2 13 3 14 2" xfId="34097" xr:uid="{00000000-0005-0000-0000-000068830000}"/>
    <cellStyle name="Total 2 13 3 14 3" xfId="34098" xr:uid="{00000000-0005-0000-0000-000069830000}"/>
    <cellStyle name="Total 2 13 3 15" xfId="34099" xr:uid="{00000000-0005-0000-0000-00006A830000}"/>
    <cellStyle name="Total 2 13 3 16" xfId="34100" xr:uid="{00000000-0005-0000-0000-00006B830000}"/>
    <cellStyle name="Total 2 13 3 2" xfId="34101" xr:uid="{00000000-0005-0000-0000-00006C830000}"/>
    <cellStyle name="Total 2 13 3 2 2" xfId="34102" xr:uid="{00000000-0005-0000-0000-00006D830000}"/>
    <cellStyle name="Total 2 13 3 2 2 2" xfId="34103" xr:uid="{00000000-0005-0000-0000-00006E830000}"/>
    <cellStyle name="Total 2 13 3 2 2 3" xfId="34104" xr:uid="{00000000-0005-0000-0000-00006F830000}"/>
    <cellStyle name="Total 2 13 3 2 2 4" xfId="34105" xr:uid="{00000000-0005-0000-0000-000070830000}"/>
    <cellStyle name="Total 2 13 3 2 3" xfId="34106" xr:uid="{00000000-0005-0000-0000-000071830000}"/>
    <cellStyle name="Total 2 13 3 2 3 2" xfId="34107" xr:uid="{00000000-0005-0000-0000-000072830000}"/>
    <cellStyle name="Total 2 13 3 2 3 3" xfId="34108" xr:uid="{00000000-0005-0000-0000-000073830000}"/>
    <cellStyle name="Total 2 13 3 2 3 4" xfId="34109" xr:uid="{00000000-0005-0000-0000-000074830000}"/>
    <cellStyle name="Total 2 13 3 2 4" xfId="34110" xr:uid="{00000000-0005-0000-0000-000075830000}"/>
    <cellStyle name="Total 2 13 3 2 4 2" xfId="34111" xr:uid="{00000000-0005-0000-0000-000076830000}"/>
    <cellStyle name="Total 2 13 3 2 4 3" xfId="34112" xr:uid="{00000000-0005-0000-0000-000077830000}"/>
    <cellStyle name="Total 2 13 3 2 5" xfId="34113" xr:uid="{00000000-0005-0000-0000-000078830000}"/>
    <cellStyle name="Total 2 13 3 2 5 2" xfId="34114" xr:uid="{00000000-0005-0000-0000-000079830000}"/>
    <cellStyle name="Total 2 13 3 2 5 3" xfId="34115" xr:uid="{00000000-0005-0000-0000-00007A830000}"/>
    <cellStyle name="Total 2 13 3 2 6" xfId="34116" xr:uid="{00000000-0005-0000-0000-00007B830000}"/>
    <cellStyle name="Total 2 13 3 2 7" xfId="34117" xr:uid="{00000000-0005-0000-0000-00007C830000}"/>
    <cellStyle name="Total 2 13 3 3" xfId="34118" xr:uid="{00000000-0005-0000-0000-00007D830000}"/>
    <cellStyle name="Total 2 13 3 3 2" xfId="34119" xr:uid="{00000000-0005-0000-0000-00007E830000}"/>
    <cellStyle name="Total 2 13 3 3 2 2" xfId="34120" xr:uid="{00000000-0005-0000-0000-00007F830000}"/>
    <cellStyle name="Total 2 13 3 3 2 3" xfId="34121" xr:uid="{00000000-0005-0000-0000-000080830000}"/>
    <cellStyle name="Total 2 13 3 3 2 4" xfId="34122" xr:uid="{00000000-0005-0000-0000-000081830000}"/>
    <cellStyle name="Total 2 13 3 3 3" xfId="34123" xr:uid="{00000000-0005-0000-0000-000082830000}"/>
    <cellStyle name="Total 2 13 3 3 3 2" xfId="34124" xr:uid="{00000000-0005-0000-0000-000083830000}"/>
    <cellStyle name="Total 2 13 3 3 3 3" xfId="34125" xr:uid="{00000000-0005-0000-0000-000084830000}"/>
    <cellStyle name="Total 2 13 3 3 3 4" xfId="34126" xr:uid="{00000000-0005-0000-0000-000085830000}"/>
    <cellStyle name="Total 2 13 3 3 4" xfId="34127" xr:uid="{00000000-0005-0000-0000-000086830000}"/>
    <cellStyle name="Total 2 13 3 3 4 2" xfId="34128" xr:uid="{00000000-0005-0000-0000-000087830000}"/>
    <cellStyle name="Total 2 13 3 3 4 3" xfId="34129" xr:uid="{00000000-0005-0000-0000-000088830000}"/>
    <cellStyle name="Total 2 13 3 3 5" xfId="34130" xr:uid="{00000000-0005-0000-0000-000089830000}"/>
    <cellStyle name="Total 2 13 3 3 5 2" xfId="34131" xr:uid="{00000000-0005-0000-0000-00008A830000}"/>
    <cellStyle name="Total 2 13 3 3 5 3" xfId="34132" xr:uid="{00000000-0005-0000-0000-00008B830000}"/>
    <cellStyle name="Total 2 13 3 3 6" xfId="34133" xr:uid="{00000000-0005-0000-0000-00008C830000}"/>
    <cellStyle name="Total 2 13 3 3 7" xfId="34134" xr:uid="{00000000-0005-0000-0000-00008D830000}"/>
    <cellStyle name="Total 2 13 3 4" xfId="34135" xr:uid="{00000000-0005-0000-0000-00008E830000}"/>
    <cellStyle name="Total 2 13 3 4 2" xfId="34136" xr:uid="{00000000-0005-0000-0000-00008F830000}"/>
    <cellStyle name="Total 2 13 3 4 2 2" xfId="34137" xr:uid="{00000000-0005-0000-0000-000090830000}"/>
    <cellStyle name="Total 2 13 3 4 2 3" xfId="34138" xr:uid="{00000000-0005-0000-0000-000091830000}"/>
    <cellStyle name="Total 2 13 3 4 2 4" xfId="34139" xr:uid="{00000000-0005-0000-0000-000092830000}"/>
    <cellStyle name="Total 2 13 3 4 3" xfId="34140" xr:uid="{00000000-0005-0000-0000-000093830000}"/>
    <cellStyle name="Total 2 13 3 4 3 2" xfId="34141" xr:uid="{00000000-0005-0000-0000-000094830000}"/>
    <cellStyle name="Total 2 13 3 4 3 3" xfId="34142" xr:uid="{00000000-0005-0000-0000-000095830000}"/>
    <cellStyle name="Total 2 13 3 4 3 4" xfId="34143" xr:uid="{00000000-0005-0000-0000-000096830000}"/>
    <cellStyle name="Total 2 13 3 4 4" xfId="34144" xr:uid="{00000000-0005-0000-0000-000097830000}"/>
    <cellStyle name="Total 2 13 3 4 4 2" xfId="34145" xr:uid="{00000000-0005-0000-0000-000098830000}"/>
    <cellStyle name="Total 2 13 3 4 4 3" xfId="34146" xr:uid="{00000000-0005-0000-0000-000099830000}"/>
    <cellStyle name="Total 2 13 3 4 5" xfId="34147" xr:uid="{00000000-0005-0000-0000-00009A830000}"/>
    <cellStyle name="Total 2 13 3 4 5 2" xfId="34148" xr:uid="{00000000-0005-0000-0000-00009B830000}"/>
    <cellStyle name="Total 2 13 3 4 5 3" xfId="34149" xr:uid="{00000000-0005-0000-0000-00009C830000}"/>
    <cellStyle name="Total 2 13 3 4 6" xfId="2634" xr:uid="{00000000-0005-0000-0000-00009D830000}"/>
    <cellStyle name="Total 2 13 3 4 7" xfId="2640" xr:uid="{00000000-0005-0000-0000-00009E830000}"/>
    <cellStyle name="Total 2 13 3 5" xfId="34150" xr:uid="{00000000-0005-0000-0000-00009F830000}"/>
    <cellStyle name="Total 2 13 3 5 2" xfId="34151" xr:uid="{00000000-0005-0000-0000-0000A0830000}"/>
    <cellStyle name="Total 2 13 3 5 2 2" xfId="34152" xr:uid="{00000000-0005-0000-0000-0000A1830000}"/>
    <cellStyle name="Total 2 13 3 5 2 3" xfId="34153" xr:uid="{00000000-0005-0000-0000-0000A2830000}"/>
    <cellStyle name="Total 2 13 3 5 2 4" xfId="34154" xr:uid="{00000000-0005-0000-0000-0000A3830000}"/>
    <cellStyle name="Total 2 13 3 5 3" xfId="34155" xr:uid="{00000000-0005-0000-0000-0000A4830000}"/>
    <cellStyle name="Total 2 13 3 5 3 2" xfId="34156" xr:uid="{00000000-0005-0000-0000-0000A5830000}"/>
    <cellStyle name="Total 2 13 3 5 3 3" xfId="34157" xr:uid="{00000000-0005-0000-0000-0000A6830000}"/>
    <cellStyle name="Total 2 13 3 5 3 4" xfId="34158" xr:uid="{00000000-0005-0000-0000-0000A7830000}"/>
    <cellStyle name="Total 2 13 3 5 4" xfId="34159" xr:uid="{00000000-0005-0000-0000-0000A8830000}"/>
    <cellStyle name="Total 2 13 3 5 4 2" xfId="34160" xr:uid="{00000000-0005-0000-0000-0000A9830000}"/>
    <cellStyle name="Total 2 13 3 5 4 3" xfId="34161" xr:uid="{00000000-0005-0000-0000-0000AA830000}"/>
    <cellStyle name="Total 2 13 3 5 5" xfId="34162" xr:uid="{00000000-0005-0000-0000-0000AB830000}"/>
    <cellStyle name="Total 2 13 3 5 5 2" xfId="34163" xr:uid="{00000000-0005-0000-0000-0000AC830000}"/>
    <cellStyle name="Total 2 13 3 5 5 3" xfId="34164" xr:uid="{00000000-0005-0000-0000-0000AD830000}"/>
    <cellStyle name="Total 2 13 3 5 6" xfId="1112" xr:uid="{00000000-0005-0000-0000-0000AE830000}"/>
    <cellStyle name="Total 2 13 3 5 7" xfId="1199" xr:uid="{00000000-0005-0000-0000-0000AF830000}"/>
    <cellStyle name="Total 2 13 3 6" xfId="34165" xr:uid="{00000000-0005-0000-0000-0000B0830000}"/>
    <cellStyle name="Total 2 13 3 6 2" xfId="34166" xr:uid="{00000000-0005-0000-0000-0000B1830000}"/>
    <cellStyle name="Total 2 13 3 6 2 2" xfId="34167" xr:uid="{00000000-0005-0000-0000-0000B2830000}"/>
    <cellStyle name="Total 2 13 3 6 2 3" xfId="34168" xr:uid="{00000000-0005-0000-0000-0000B3830000}"/>
    <cellStyle name="Total 2 13 3 6 2 4" xfId="34169" xr:uid="{00000000-0005-0000-0000-0000B4830000}"/>
    <cellStyle name="Total 2 13 3 6 3" xfId="34170" xr:uid="{00000000-0005-0000-0000-0000B5830000}"/>
    <cellStyle name="Total 2 13 3 6 3 2" xfId="34171" xr:uid="{00000000-0005-0000-0000-0000B6830000}"/>
    <cellStyle name="Total 2 13 3 6 3 3" xfId="34172" xr:uid="{00000000-0005-0000-0000-0000B7830000}"/>
    <cellStyle name="Total 2 13 3 6 3 4" xfId="34173" xr:uid="{00000000-0005-0000-0000-0000B8830000}"/>
    <cellStyle name="Total 2 13 3 6 4" xfId="34174" xr:uid="{00000000-0005-0000-0000-0000B9830000}"/>
    <cellStyle name="Total 2 13 3 6 4 2" xfId="34175" xr:uid="{00000000-0005-0000-0000-0000BA830000}"/>
    <cellStyle name="Total 2 13 3 6 4 3" xfId="34176" xr:uid="{00000000-0005-0000-0000-0000BB830000}"/>
    <cellStyle name="Total 2 13 3 6 5" xfId="34177" xr:uid="{00000000-0005-0000-0000-0000BC830000}"/>
    <cellStyle name="Total 2 13 3 6 5 2" xfId="34178" xr:uid="{00000000-0005-0000-0000-0000BD830000}"/>
    <cellStyle name="Total 2 13 3 6 5 3" xfId="34179" xr:uid="{00000000-0005-0000-0000-0000BE830000}"/>
    <cellStyle name="Total 2 13 3 6 6" xfId="672" xr:uid="{00000000-0005-0000-0000-0000BF830000}"/>
    <cellStyle name="Total 2 13 3 6 7" xfId="680" xr:uid="{00000000-0005-0000-0000-0000C0830000}"/>
    <cellStyle name="Total 2 13 3 7" xfId="34180" xr:uid="{00000000-0005-0000-0000-0000C1830000}"/>
    <cellStyle name="Total 2 13 3 7 2" xfId="34181" xr:uid="{00000000-0005-0000-0000-0000C2830000}"/>
    <cellStyle name="Total 2 13 3 7 2 2" xfId="34182" xr:uid="{00000000-0005-0000-0000-0000C3830000}"/>
    <cellStyle name="Total 2 13 3 7 2 3" xfId="34183" xr:uid="{00000000-0005-0000-0000-0000C4830000}"/>
    <cellStyle name="Total 2 13 3 7 2 4" xfId="34184" xr:uid="{00000000-0005-0000-0000-0000C5830000}"/>
    <cellStyle name="Total 2 13 3 7 3" xfId="34185" xr:uid="{00000000-0005-0000-0000-0000C6830000}"/>
    <cellStyle name="Total 2 13 3 7 3 2" xfId="34186" xr:uid="{00000000-0005-0000-0000-0000C7830000}"/>
    <cellStyle name="Total 2 13 3 7 3 3" xfId="34187" xr:uid="{00000000-0005-0000-0000-0000C8830000}"/>
    <cellStyle name="Total 2 13 3 7 3 4" xfId="34188" xr:uid="{00000000-0005-0000-0000-0000C9830000}"/>
    <cellStyle name="Total 2 13 3 7 4" xfId="34189" xr:uid="{00000000-0005-0000-0000-0000CA830000}"/>
    <cellStyle name="Total 2 13 3 7 4 2" xfId="34190" xr:uid="{00000000-0005-0000-0000-0000CB830000}"/>
    <cellStyle name="Total 2 13 3 7 4 3" xfId="34191" xr:uid="{00000000-0005-0000-0000-0000CC830000}"/>
    <cellStyle name="Total 2 13 3 7 5" xfId="34192" xr:uid="{00000000-0005-0000-0000-0000CD830000}"/>
    <cellStyle name="Total 2 13 3 7 5 2" xfId="34193" xr:uid="{00000000-0005-0000-0000-0000CE830000}"/>
    <cellStyle name="Total 2 13 3 7 5 3" xfId="31829" xr:uid="{00000000-0005-0000-0000-0000CF830000}"/>
    <cellStyle name="Total 2 13 3 7 6" xfId="19" xr:uid="{00000000-0005-0000-0000-0000D0830000}"/>
    <cellStyle name="Total 2 13 3 7 7" xfId="1236" xr:uid="{00000000-0005-0000-0000-0000D1830000}"/>
    <cellStyle name="Total 2 13 3 8" xfId="34194" xr:uid="{00000000-0005-0000-0000-0000D2830000}"/>
    <cellStyle name="Total 2 13 3 8 2" xfId="34195" xr:uid="{00000000-0005-0000-0000-0000D3830000}"/>
    <cellStyle name="Total 2 13 3 8 2 2" xfId="34196" xr:uid="{00000000-0005-0000-0000-0000D4830000}"/>
    <cellStyle name="Total 2 13 3 8 2 3" xfId="34197" xr:uid="{00000000-0005-0000-0000-0000D5830000}"/>
    <cellStyle name="Total 2 13 3 8 2 4" xfId="34198" xr:uid="{00000000-0005-0000-0000-0000D6830000}"/>
    <cellStyle name="Total 2 13 3 8 3" xfId="34199" xr:uid="{00000000-0005-0000-0000-0000D7830000}"/>
    <cellStyle name="Total 2 13 3 8 3 2" xfId="34200" xr:uid="{00000000-0005-0000-0000-0000D8830000}"/>
    <cellStyle name="Total 2 13 3 8 3 3" xfId="34201" xr:uid="{00000000-0005-0000-0000-0000D9830000}"/>
    <cellStyle name="Total 2 13 3 8 3 4" xfId="34202" xr:uid="{00000000-0005-0000-0000-0000DA830000}"/>
    <cellStyle name="Total 2 13 3 8 4" xfId="34203" xr:uid="{00000000-0005-0000-0000-0000DB830000}"/>
    <cellStyle name="Total 2 13 3 8 4 2" xfId="34204" xr:uid="{00000000-0005-0000-0000-0000DC830000}"/>
    <cellStyle name="Total 2 13 3 8 4 3" xfId="34205" xr:uid="{00000000-0005-0000-0000-0000DD830000}"/>
    <cellStyle name="Total 2 13 3 8 5" xfId="34206" xr:uid="{00000000-0005-0000-0000-0000DE830000}"/>
    <cellStyle name="Total 2 13 3 8 5 2" xfId="34207" xr:uid="{00000000-0005-0000-0000-0000DF830000}"/>
    <cellStyle name="Total 2 13 3 8 5 3" xfId="34208" xr:uid="{00000000-0005-0000-0000-0000E0830000}"/>
    <cellStyle name="Total 2 13 3 8 6" xfId="34209" xr:uid="{00000000-0005-0000-0000-0000E1830000}"/>
    <cellStyle name="Total 2 13 3 8 7" xfId="34210" xr:uid="{00000000-0005-0000-0000-0000E2830000}"/>
    <cellStyle name="Total 2 13 3 9" xfId="34211" xr:uid="{00000000-0005-0000-0000-0000E3830000}"/>
    <cellStyle name="Total 2 13 3 9 2" xfId="34212" xr:uid="{00000000-0005-0000-0000-0000E4830000}"/>
    <cellStyle name="Total 2 13 3 9 2 2" xfId="34213" xr:uid="{00000000-0005-0000-0000-0000E5830000}"/>
    <cellStyle name="Total 2 13 3 9 2 3" xfId="34214" xr:uid="{00000000-0005-0000-0000-0000E6830000}"/>
    <cellStyle name="Total 2 13 3 9 2 4" xfId="34215" xr:uid="{00000000-0005-0000-0000-0000E7830000}"/>
    <cellStyle name="Total 2 13 3 9 3" xfId="34216" xr:uid="{00000000-0005-0000-0000-0000E8830000}"/>
    <cellStyle name="Total 2 13 3 9 3 2" xfId="34217" xr:uid="{00000000-0005-0000-0000-0000E9830000}"/>
    <cellStyle name="Total 2 13 3 9 3 3" xfId="34218" xr:uid="{00000000-0005-0000-0000-0000EA830000}"/>
    <cellStyle name="Total 2 13 3 9 3 4" xfId="34219" xr:uid="{00000000-0005-0000-0000-0000EB830000}"/>
    <cellStyle name="Total 2 13 3 9 4" xfId="34220" xr:uid="{00000000-0005-0000-0000-0000EC830000}"/>
    <cellStyle name="Total 2 13 3 9 4 2" xfId="34221" xr:uid="{00000000-0005-0000-0000-0000ED830000}"/>
    <cellStyle name="Total 2 13 3 9 4 3" xfId="34222" xr:uid="{00000000-0005-0000-0000-0000EE830000}"/>
    <cellStyle name="Total 2 13 3 9 5" xfId="34223" xr:uid="{00000000-0005-0000-0000-0000EF830000}"/>
    <cellStyle name="Total 2 13 3 9 5 2" xfId="34224" xr:uid="{00000000-0005-0000-0000-0000F0830000}"/>
    <cellStyle name="Total 2 13 3 9 5 3" xfId="34225" xr:uid="{00000000-0005-0000-0000-0000F1830000}"/>
    <cellStyle name="Total 2 13 3 9 6" xfId="34226" xr:uid="{00000000-0005-0000-0000-0000F2830000}"/>
    <cellStyle name="Total 2 13 3 9 7" xfId="34227" xr:uid="{00000000-0005-0000-0000-0000F3830000}"/>
    <cellStyle name="Total 2 13 4" xfId="34228" xr:uid="{00000000-0005-0000-0000-0000F4830000}"/>
    <cellStyle name="Total 2 13 4 2" xfId="34229" xr:uid="{00000000-0005-0000-0000-0000F5830000}"/>
    <cellStyle name="Total 2 13 4 2 2" xfId="14351" xr:uid="{00000000-0005-0000-0000-0000F6830000}"/>
    <cellStyle name="Total 2 13 4 2 3" xfId="18618" xr:uid="{00000000-0005-0000-0000-0000F7830000}"/>
    <cellStyle name="Total 2 13 4 2 4" xfId="18646" xr:uid="{00000000-0005-0000-0000-0000F8830000}"/>
    <cellStyle name="Total 2 13 4 3" xfId="34230" xr:uid="{00000000-0005-0000-0000-0000F9830000}"/>
    <cellStyle name="Total 2 13 4 3 2" xfId="18894" xr:uid="{00000000-0005-0000-0000-0000FA830000}"/>
    <cellStyle name="Total 2 13 4 3 3" xfId="18914" xr:uid="{00000000-0005-0000-0000-0000FB830000}"/>
    <cellStyle name="Total 2 13 4 3 4" xfId="18942" xr:uid="{00000000-0005-0000-0000-0000FC830000}"/>
    <cellStyle name="Total 2 13 4 4" xfId="34231" xr:uid="{00000000-0005-0000-0000-0000FD830000}"/>
    <cellStyle name="Total 2 13 4 4 2" xfId="19048" xr:uid="{00000000-0005-0000-0000-0000FE830000}"/>
    <cellStyle name="Total 2 13 4 4 3" xfId="19054" xr:uid="{00000000-0005-0000-0000-0000FF830000}"/>
    <cellStyle name="Total 2 13 4 5" xfId="34232" xr:uid="{00000000-0005-0000-0000-000000840000}"/>
    <cellStyle name="Total 2 13 4 5 2" xfId="11743" xr:uid="{00000000-0005-0000-0000-000001840000}"/>
    <cellStyle name="Total 2 13 4 5 3" xfId="19078" xr:uid="{00000000-0005-0000-0000-000002840000}"/>
    <cellStyle name="Total 2 13 4 6" xfId="34233" xr:uid="{00000000-0005-0000-0000-000003840000}"/>
    <cellStyle name="Total 2 13 4 7" xfId="34234" xr:uid="{00000000-0005-0000-0000-000004840000}"/>
    <cellStyle name="Total 2 13 5" xfId="34235" xr:uid="{00000000-0005-0000-0000-000005840000}"/>
    <cellStyle name="Total 2 13 5 2" xfId="1935" xr:uid="{00000000-0005-0000-0000-000006840000}"/>
    <cellStyle name="Total 2 13 5 2 2" xfId="9263" xr:uid="{00000000-0005-0000-0000-000007840000}"/>
    <cellStyle name="Total 2 13 5 2 3" xfId="9275" xr:uid="{00000000-0005-0000-0000-000008840000}"/>
    <cellStyle name="Total 2 13 5 2 4" xfId="9286" xr:uid="{00000000-0005-0000-0000-000009840000}"/>
    <cellStyle name="Total 2 13 5 3" xfId="1937" xr:uid="{00000000-0005-0000-0000-00000A840000}"/>
    <cellStyle name="Total 2 13 5 3 2" xfId="19528" xr:uid="{00000000-0005-0000-0000-00000B840000}"/>
    <cellStyle name="Total 2 13 5 3 3" xfId="19545" xr:uid="{00000000-0005-0000-0000-00000C840000}"/>
    <cellStyle name="Total 2 13 5 3 4" xfId="19568" xr:uid="{00000000-0005-0000-0000-00000D840000}"/>
    <cellStyle name="Total 2 13 5 4" xfId="34236" xr:uid="{00000000-0005-0000-0000-00000E840000}"/>
    <cellStyle name="Total 2 13 5 4 2" xfId="19682" xr:uid="{00000000-0005-0000-0000-00000F840000}"/>
    <cellStyle name="Total 2 13 5 4 3" xfId="19688" xr:uid="{00000000-0005-0000-0000-000010840000}"/>
    <cellStyle name="Total 2 13 5 5" xfId="34237" xr:uid="{00000000-0005-0000-0000-000011840000}"/>
    <cellStyle name="Total 2 13 5 5 2" xfId="19708" xr:uid="{00000000-0005-0000-0000-000012840000}"/>
    <cellStyle name="Total 2 13 5 5 3" xfId="19714" xr:uid="{00000000-0005-0000-0000-000013840000}"/>
    <cellStyle name="Total 2 13 5 6" xfId="34238" xr:uid="{00000000-0005-0000-0000-000014840000}"/>
    <cellStyle name="Total 2 13 5 7" xfId="34239" xr:uid="{00000000-0005-0000-0000-000015840000}"/>
    <cellStyle name="Total 2 13 6" xfId="34240" xr:uid="{00000000-0005-0000-0000-000016840000}"/>
    <cellStyle name="Total 2 13 6 2" xfId="34241" xr:uid="{00000000-0005-0000-0000-000017840000}"/>
    <cellStyle name="Total 2 13 6 2 2" xfId="19925" xr:uid="{00000000-0005-0000-0000-000018840000}"/>
    <cellStyle name="Total 2 13 6 2 3" xfId="19945" xr:uid="{00000000-0005-0000-0000-000019840000}"/>
    <cellStyle name="Total 2 13 6 2 4" xfId="19967" xr:uid="{00000000-0005-0000-0000-00001A840000}"/>
    <cellStyle name="Total 2 13 6 3" xfId="34242" xr:uid="{00000000-0005-0000-0000-00001B840000}"/>
    <cellStyle name="Total 2 13 6 3 2" xfId="20119" xr:uid="{00000000-0005-0000-0000-00001C840000}"/>
    <cellStyle name="Total 2 13 6 3 3" xfId="20139" xr:uid="{00000000-0005-0000-0000-00001D840000}"/>
    <cellStyle name="Total 2 13 6 3 4" xfId="20163" xr:uid="{00000000-0005-0000-0000-00001E840000}"/>
    <cellStyle name="Total 2 13 6 4" xfId="34243" xr:uid="{00000000-0005-0000-0000-00001F840000}"/>
    <cellStyle name="Total 2 13 6 4 2" xfId="20266" xr:uid="{00000000-0005-0000-0000-000020840000}"/>
    <cellStyle name="Total 2 13 6 4 3" xfId="20272" xr:uid="{00000000-0005-0000-0000-000021840000}"/>
    <cellStyle name="Total 2 13 6 5" xfId="34244" xr:uid="{00000000-0005-0000-0000-000022840000}"/>
    <cellStyle name="Total 2 13 6 5 2" xfId="20285" xr:uid="{00000000-0005-0000-0000-000023840000}"/>
    <cellStyle name="Total 2 13 6 5 3" xfId="20289" xr:uid="{00000000-0005-0000-0000-000024840000}"/>
    <cellStyle name="Total 2 13 6 6" xfId="34245" xr:uid="{00000000-0005-0000-0000-000025840000}"/>
    <cellStyle name="Total 2 13 6 7" xfId="34246" xr:uid="{00000000-0005-0000-0000-000026840000}"/>
    <cellStyle name="Total 2 13 7" xfId="34247" xr:uid="{00000000-0005-0000-0000-000027840000}"/>
    <cellStyle name="Total 2 13 7 2" xfId="34248" xr:uid="{00000000-0005-0000-0000-000028840000}"/>
    <cellStyle name="Total 2 13 7 2 2" xfId="15150" xr:uid="{00000000-0005-0000-0000-000029840000}"/>
    <cellStyle name="Total 2 13 7 2 3" xfId="20464" xr:uid="{00000000-0005-0000-0000-00002A840000}"/>
    <cellStyle name="Total 2 13 7 2 4" xfId="20485" xr:uid="{00000000-0005-0000-0000-00002B840000}"/>
    <cellStyle name="Total 2 13 7 3" xfId="34249" xr:uid="{00000000-0005-0000-0000-00002C840000}"/>
    <cellStyle name="Total 2 13 7 3 2" xfId="14289" xr:uid="{00000000-0005-0000-0000-00002D840000}"/>
    <cellStyle name="Total 2 13 7 3 3" xfId="14295" xr:uid="{00000000-0005-0000-0000-00002E840000}"/>
    <cellStyle name="Total 2 13 7 3 4" xfId="14300" xr:uid="{00000000-0005-0000-0000-00002F840000}"/>
    <cellStyle name="Total 2 13 7 4" xfId="34250" xr:uid="{00000000-0005-0000-0000-000030840000}"/>
    <cellStyle name="Total 2 13 7 4 2" xfId="20831" xr:uid="{00000000-0005-0000-0000-000031840000}"/>
    <cellStyle name="Total 2 13 7 4 3" xfId="20837" xr:uid="{00000000-0005-0000-0000-000032840000}"/>
    <cellStyle name="Total 2 13 7 5" xfId="34251" xr:uid="{00000000-0005-0000-0000-000033840000}"/>
    <cellStyle name="Total 2 13 7 5 2" xfId="20848" xr:uid="{00000000-0005-0000-0000-000034840000}"/>
    <cellStyle name="Total 2 13 7 5 3" xfId="20851" xr:uid="{00000000-0005-0000-0000-000035840000}"/>
    <cellStyle name="Total 2 13 7 6" xfId="34252" xr:uid="{00000000-0005-0000-0000-000036840000}"/>
    <cellStyle name="Total 2 13 7 7" xfId="34253" xr:uid="{00000000-0005-0000-0000-000037840000}"/>
    <cellStyle name="Total 2 13 8" xfId="34254" xr:uid="{00000000-0005-0000-0000-000038840000}"/>
    <cellStyle name="Total 2 13 8 2" xfId="34255" xr:uid="{00000000-0005-0000-0000-000039840000}"/>
    <cellStyle name="Total 2 13 8 2 2" xfId="21058" xr:uid="{00000000-0005-0000-0000-00003A840000}"/>
    <cellStyle name="Total 2 13 8 2 3" xfId="21082" xr:uid="{00000000-0005-0000-0000-00003B840000}"/>
    <cellStyle name="Total 2 13 8 2 4" xfId="21107" xr:uid="{00000000-0005-0000-0000-00003C840000}"/>
    <cellStyle name="Total 2 13 8 3" xfId="34256" xr:uid="{00000000-0005-0000-0000-00003D840000}"/>
    <cellStyle name="Total 2 13 8 3 2" xfId="21300" xr:uid="{00000000-0005-0000-0000-00003E840000}"/>
    <cellStyle name="Total 2 13 8 3 3" xfId="21331" xr:uid="{00000000-0005-0000-0000-00003F840000}"/>
    <cellStyle name="Total 2 13 8 3 4" xfId="21357" xr:uid="{00000000-0005-0000-0000-000040840000}"/>
    <cellStyle name="Total 2 13 8 4" xfId="34257" xr:uid="{00000000-0005-0000-0000-000041840000}"/>
    <cellStyle name="Total 2 13 8 4 2" xfId="21448" xr:uid="{00000000-0005-0000-0000-000042840000}"/>
    <cellStyle name="Total 2 13 8 4 3" xfId="21458" xr:uid="{00000000-0005-0000-0000-000043840000}"/>
    <cellStyle name="Total 2 13 8 5" xfId="34258" xr:uid="{00000000-0005-0000-0000-000044840000}"/>
    <cellStyle name="Total 2 13 8 5 2" xfId="21476" xr:uid="{00000000-0005-0000-0000-000045840000}"/>
    <cellStyle name="Total 2 13 8 5 3" xfId="21479" xr:uid="{00000000-0005-0000-0000-000046840000}"/>
    <cellStyle name="Total 2 13 8 6" xfId="34259" xr:uid="{00000000-0005-0000-0000-000047840000}"/>
    <cellStyle name="Total 2 13 8 7" xfId="34260" xr:uid="{00000000-0005-0000-0000-000048840000}"/>
    <cellStyle name="Total 2 13 9" xfId="5913" xr:uid="{00000000-0005-0000-0000-000049840000}"/>
    <cellStyle name="Total 2 13 9 2" xfId="34261" xr:uid="{00000000-0005-0000-0000-00004A840000}"/>
    <cellStyle name="Total 2 13 9 2 2" xfId="21711" xr:uid="{00000000-0005-0000-0000-00004B840000}"/>
    <cellStyle name="Total 2 13 9 2 3" xfId="21733" xr:uid="{00000000-0005-0000-0000-00004C840000}"/>
    <cellStyle name="Total 2 13 9 2 4" xfId="21754" xr:uid="{00000000-0005-0000-0000-00004D840000}"/>
    <cellStyle name="Total 2 13 9 3" xfId="34262" xr:uid="{00000000-0005-0000-0000-00004E840000}"/>
    <cellStyle name="Total 2 13 9 3 2" xfId="21966" xr:uid="{00000000-0005-0000-0000-00004F840000}"/>
    <cellStyle name="Total 2 13 9 3 3" xfId="21989" xr:uid="{00000000-0005-0000-0000-000050840000}"/>
    <cellStyle name="Total 2 13 9 3 4" xfId="22010" xr:uid="{00000000-0005-0000-0000-000051840000}"/>
    <cellStyle name="Total 2 13 9 4" xfId="34263" xr:uid="{00000000-0005-0000-0000-000052840000}"/>
    <cellStyle name="Total 2 13 9 4 2" xfId="22100" xr:uid="{00000000-0005-0000-0000-000053840000}"/>
    <cellStyle name="Total 2 13 9 4 3" xfId="22108" xr:uid="{00000000-0005-0000-0000-000054840000}"/>
    <cellStyle name="Total 2 13 9 5" xfId="34264" xr:uid="{00000000-0005-0000-0000-000055840000}"/>
    <cellStyle name="Total 2 13 9 5 2" xfId="22120" xr:uid="{00000000-0005-0000-0000-000056840000}"/>
    <cellStyle name="Total 2 13 9 5 3" xfId="22125" xr:uid="{00000000-0005-0000-0000-000057840000}"/>
    <cellStyle name="Total 2 13 9 6" xfId="34265" xr:uid="{00000000-0005-0000-0000-000058840000}"/>
    <cellStyle name="Total 2 13 9 7" xfId="34266" xr:uid="{00000000-0005-0000-0000-000059840000}"/>
    <cellStyle name="Total 2 14" xfId="34267" xr:uid="{00000000-0005-0000-0000-00005A840000}"/>
    <cellStyle name="Total 2 14 10" xfId="34268" xr:uid="{00000000-0005-0000-0000-00005B840000}"/>
    <cellStyle name="Total 2 14 10 2" xfId="34269" xr:uid="{00000000-0005-0000-0000-00005C840000}"/>
    <cellStyle name="Total 2 14 10 2 2" xfId="34270" xr:uid="{00000000-0005-0000-0000-00005D840000}"/>
    <cellStyle name="Total 2 14 10 2 3" xfId="34271" xr:uid="{00000000-0005-0000-0000-00005E840000}"/>
    <cellStyle name="Total 2 14 10 2 4" xfId="34272" xr:uid="{00000000-0005-0000-0000-00005F840000}"/>
    <cellStyle name="Total 2 14 10 3" xfId="34273" xr:uid="{00000000-0005-0000-0000-000060840000}"/>
    <cellStyle name="Total 2 14 10 3 2" xfId="34274" xr:uid="{00000000-0005-0000-0000-000061840000}"/>
    <cellStyle name="Total 2 14 10 3 3" xfId="34275" xr:uid="{00000000-0005-0000-0000-000062840000}"/>
    <cellStyle name="Total 2 14 10 3 4" xfId="34276" xr:uid="{00000000-0005-0000-0000-000063840000}"/>
    <cellStyle name="Total 2 14 10 4" xfId="34277" xr:uid="{00000000-0005-0000-0000-000064840000}"/>
    <cellStyle name="Total 2 14 10 4 2" xfId="34278" xr:uid="{00000000-0005-0000-0000-000065840000}"/>
    <cellStyle name="Total 2 14 10 4 3" xfId="34279" xr:uid="{00000000-0005-0000-0000-000066840000}"/>
    <cellStyle name="Total 2 14 10 5" xfId="34280" xr:uid="{00000000-0005-0000-0000-000067840000}"/>
    <cellStyle name="Total 2 14 10 5 2" xfId="34281" xr:uid="{00000000-0005-0000-0000-000068840000}"/>
    <cellStyle name="Total 2 14 10 5 3" xfId="34282" xr:uid="{00000000-0005-0000-0000-000069840000}"/>
    <cellStyle name="Total 2 14 10 6" xfId="34283" xr:uid="{00000000-0005-0000-0000-00006A840000}"/>
    <cellStyle name="Total 2 14 10 7" xfId="34284" xr:uid="{00000000-0005-0000-0000-00006B840000}"/>
    <cellStyle name="Total 2 14 11" xfId="34285" xr:uid="{00000000-0005-0000-0000-00006C840000}"/>
    <cellStyle name="Total 2 14 11 2" xfId="34286" xr:uid="{00000000-0005-0000-0000-00006D840000}"/>
    <cellStyle name="Total 2 14 11 2 2" xfId="34287" xr:uid="{00000000-0005-0000-0000-00006E840000}"/>
    <cellStyle name="Total 2 14 11 2 3" xfId="34288" xr:uid="{00000000-0005-0000-0000-00006F840000}"/>
    <cellStyle name="Total 2 14 11 2 4" xfId="34289" xr:uid="{00000000-0005-0000-0000-000070840000}"/>
    <cellStyle name="Total 2 14 11 3" xfId="34290" xr:uid="{00000000-0005-0000-0000-000071840000}"/>
    <cellStyle name="Total 2 14 11 3 2" xfId="34291" xr:uid="{00000000-0005-0000-0000-000072840000}"/>
    <cellStyle name="Total 2 14 11 3 3" xfId="34292" xr:uid="{00000000-0005-0000-0000-000073840000}"/>
    <cellStyle name="Total 2 14 11 3 4" xfId="34293" xr:uid="{00000000-0005-0000-0000-000074840000}"/>
    <cellStyle name="Total 2 14 11 4" xfId="34294" xr:uid="{00000000-0005-0000-0000-000075840000}"/>
    <cellStyle name="Total 2 14 11 4 2" xfId="34295" xr:uid="{00000000-0005-0000-0000-000076840000}"/>
    <cellStyle name="Total 2 14 11 4 3" xfId="34296" xr:uid="{00000000-0005-0000-0000-000077840000}"/>
    <cellStyle name="Total 2 14 11 5" xfId="34297" xr:uid="{00000000-0005-0000-0000-000078840000}"/>
    <cellStyle name="Total 2 14 11 5 2" xfId="34298" xr:uid="{00000000-0005-0000-0000-000079840000}"/>
    <cellStyle name="Total 2 14 11 5 3" xfId="34299" xr:uid="{00000000-0005-0000-0000-00007A840000}"/>
    <cellStyle name="Total 2 14 11 6" xfId="34300" xr:uid="{00000000-0005-0000-0000-00007B840000}"/>
    <cellStyle name="Total 2 14 11 7" xfId="34301" xr:uid="{00000000-0005-0000-0000-00007C840000}"/>
    <cellStyle name="Total 2 14 12" xfId="34302" xr:uid="{00000000-0005-0000-0000-00007D840000}"/>
    <cellStyle name="Total 2 14 12 2" xfId="32432" xr:uid="{00000000-0005-0000-0000-00007E840000}"/>
    <cellStyle name="Total 2 14 12 2 2" xfId="32434" xr:uid="{00000000-0005-0000-0000-00007F840000}"/>
    <cellStyle name="Total 2 14 12 2 3" xfId="32437" xr:uid="{00000000-0005-0000-0000-000080840000}"/>
    <cellStyle name="Total 2 14 12 2 4" xfId="32440" xr:uid="{00000000-0005-0000-0000-000081840000}"/>
    <cellStyle name="Total 2 14 12 3" xfId="32449" xr:uid="{00000000-0005-0000-0000-000082840000}"/>
    <cellStyle name="Total 2 14 12 3 2" xfId="32451" xr:uid="{00000000-0005-0000-0000-000083840000}"/>
    <cellStyle name="Total 2 14 12 3 3" xfId="32453" xr:uid="{00000000-0005-0000-0000-000084840000}"/>
    <cellStyle name="Total 2 14 12 3 4" xfId="32455" xr:uid="{00000000-0005-0000-0000-000085840000}"/>
    <cellStyle name="Total 2 14 12 4" xfId="32457" xr:uid="{00000000-0005-0000-0000-000086840000}"/>
    <cellStyle name="Total 2 14 12 4 2" xfId="32459" xr:uid="{00000000-0005-0000-0000-000087840000}"/>
    <cellStyle name="Total 2 14 12 4 3" xfId="32461" xr:uid="{00000000-0005-0000-0000-000088840000}"/>
    <cellStyle name="Total 2 14 12 5" xfId="32464" xr:uid="{00000000-0005-0000-0000-000089840000}"/>
    <cellStyle name="Total 2 14 12 5 2" xfId="32466" xr:uid="{00000000-0005-0000-0000-00008A840000}"/>
    <cellStyle name="Total 2 14 12 5 3" xfId="32468" xr:uid="{00000000-0005-0000-0000-00008B840000}"/>
    <cellStyle name="Total 2 14 12 6" xfId="32470" xr:uid="{00000000-0005-0000-0000-00008C840000}"/>
    <cellStyle name="Total 2 14 12 7" xfId="32473" xr:uid="{00000000-0005-0000-0000-00008D840000}"/>
    <cellStyle name="Total 2 14 13" xfId="34303" xr:uid="{00000000-0005-0000-0000-00008E840000}"/>
    <cellStyle name="Total 2 14 13 2" xfId="34304" xr:uid="{00000000-0005-0000-0000-00008F840000}"/>
    <cellStyle name="Total 2 14 13 3" xfId="34305" xr:uid="{00000000-0005-0000-0000-000090840000}"/>
    <cellStyle name="Total 2 14 13 4" xfId="34306" xr:uid="{00000000-0005-0000-0000-000091840000}"/>
    <cellStyle name="Total 2 14 14" xfId="34307" xr:uid="{00000000-0005-0000-0000-000092840000}"/>
    <cellStyle name="Total 2 14 14 2" xfId="34308" xr:uid="{00000000-0005-0000-0000-000093840000}"/>
    <cellStyle name="Total 2 14 14 3" xfId="34309" xr:uid="{00000000-0005-0000-0000-000094840000}"/>
    <cellStyle name="Total 2 14 14 4" xfId="34310" xr:uid="{00000000-0005-0000-0000-000095840000}"/>
    <cellStyle name="Total 2 14 15" xfId="34311" xr:uid="{00000000-0005-0000-0000-000096840000}"/>
    <cellStyle name="Total 2 14 15 2" xfId="34312" xr:uid="{00000000-0005-0000-0000-000097840000}"/>
    <cellStyle name="Total 2 14 15 3" xfId="34313" xr:uid="{00000000-0005-0000-0000-000098840000}"/>
    <cellStyle name="Total 2 14 16" xfId="34314" xr:uid="{00000000-0005-0000-0000-000099840000}"/>
    <cellStyle name="Total 2 14 16 2" xfId="34315" xr:uid="{00000000-0005-0000-0000-00009A840000}"/>
    <cellStyle name="Total 2 14 16 3" xfId="34316" xr:uid="{00000000-0005-0000-0000-00009B840000}"/>
    <cellStyle name="Total 2 14 17" xfId="34317" xr:uid="{00000000-0005-0000-0000-00009C840000}"/>
    <cellStyle name="Total 2 14 18" xfId="34318" xr:uid="{00000000-0005-0000-0000-00009D840000}"/>
    <cellStyle name="Total 2 14 19" xfId="16109" xr:uid="{00000000-0005-0000-0000-00009E840000}"/>
    <cellStyle name="Total 2 14 2" xfId="34319" xr:uid="{00000000-0005-0000-0000-00009F840000}"/>
    <cellStyle name="Total 2 14 2 10" xfId="34320" xr:uid="{00000000-0005-0000-0000-0000A0840000}"/>
    <cellStyle name="Total 2 14 2 10 2" xfId="34321" xr:uid="{00000000-0005-0000-0000-0000A1840000}"/>
    <cellStyle name="Total 2 14 2 10 2 2" xfId="34322" xr:uid="{00000000-0005-0000-0000-0000A2840000}"/>
    <cellStyle name="Total 2 14 2 10 2 3" xfId="23701" xr:uid="{00000000-0005-0000-0000-0000A3840000}"/>
    <cellStyle name="Total 2 14 2 10 2 4" xfId="23706" xr:uid="{00000000-0005-0000-0000-0000A4840000}"/>
    <cellStyle name="Total 2 14 2 10 3" xfId="34323" xr:uid="{00000000-0005-0000-0000-0000A5840000}"/>
    <cellStyle name="Total 2 14 2 10 3 2" xfId="34324" xr:uid="{00000000-0005-0000-0000-0000A6840000}"/>
    <cellStyle name="Total 2 14 2 10 3 3" xfId="23710" xr:uid="{00000000-0005-0000-0000-0000A7840000}"/>
    <cellStyle name="Total 2 14 2 10 3 4" xfId="34325" xr:uid="{00000000-0005-0000-0000-0000A8840000}"/>
    <cellStyle name="Total 2 14 2 10 4" xfId="34326" xr:uid="{00000000-0005-0000-0000-0000A9840000}"/>
    <cellStyle name="Total 2 14 2 10 4 2" xfId="23929" xr:uid="{00000000-0005-0000-0000-0000AA840000}"/>
    <cellStyle name="Total 2 14 2 10 4 3" xfId="23933" xr:uid="{00000000-0005-0000-0000-0000AB840000}"/>
    <cellStyle name="Total 2 14 2 10 5" xfId="34327" xr:uid="{00000000-0005-0000-0000-0000AC840000}"/>
    <cellStyle name="Total 2 14 2 10 5 2" xfId="31702" xr:uid="{00000000-0005-0000-0000-0000AD840000}"/>
    <cellStyle name="Total 2 14 2 10 5 3" xfId="31705" xr:uid="{00000000-0005-0000-0000-0000AE840000}"/>
    <cellStyle name="Total 2 14 2 10 6" xfId="34328" xr:uid="{00000000-0005-0000-0000-0000AF840000}"/>
    <cellStyle name="Total 2 14 2 10 7" xfId="34329" xr:uid="{00000000-0005-0000-0000-0000B0840000}"/>
    <cellStyle name="Total 2 14 2 11" xfId="33306" xr:uid="{00000000-0005-0000-0000-0000B1840000}"/>
    <cellStyle name="Total 2 14 2 11 2" xfId="33308" xr:uid="{00000000-0005-0000-0000-0000B2840000}"/>
    <cellStyle name="Total 2 14 2 11 3" xfId="33310" xr:uid="{00000000-0005-0000-0000-0000B3840000}"/>
    <cellStyle name="Total 2 14 2 11 4" xfId="33312" xr:uid="{00000000-0005-0000-0000-0000B4840000}"/>
    <cellStyle name="Total 2 14 2 12" xfId="33314" xr:uid="{00000000-0005-0000-0000-0000B5840000}"/>
    <cellStyle name="Total 2 14 2 12 2" xfId="33316" xr:uid="{00000000-0005-0000-0000-0000B6840000}"/>
    <cellStyle name="Total 2 14 2 12 3" xfId="33318" xr:uid="{00000000-0005-0000-0000-0000B7840000}"/>
    <cellStyle name="Total 2 14 2 12 4" xfId="33320" xr:uid="{00000000-0005-0000-0000-0000B8840000}"/>
    <cellStyle name="Total 2 14 2 13" xfId="33322" xr:uid="{00000000-0005-0000-0000-0000B9840000}"/>
    <cellStyle name="Total 2 14 2 13 2" xfId="33324" xr:uid="{00000000-0005-0000-0000-0000BA840000}"/>
    <cellStyle name="Total 2 14 2 13 3" xfId="33326" xr:uid="{00000000-0005-0000-0000-0000BB840000}"/>
    <cellStyle name="Total 2 14 2 14" xfId="33328" xr:uid="{00000000-0005-0000-0000-0000BC840000}"/>
    <cellStyle name="Total 2 14 2 14 2" xfId="33330" xr:uid="{00000000-0005-0000-0000-0000BD840000}"/>
    <cellStyle name="Total 2 14 2 14 3" xfId="33332" xr:uid="{00000000-0005-0000-0000-0000BE840000}"/>
    <cellStyle name="Total 2 14 2 15" xfId="33334" xr:uid="{00000000-0005-0000-0000-0000BF840000}"/>
    <cellStyle name="Total 2 14 2 16" xfId="33336" xr:uid="{00000000-0005-0000-0000-0000C0840000}"/>
    <cellStyle name="Total 2 14 2 2" xfId="34330" xr:uid="{00000000-0005-0000-0000-0000C1840000}"/>
    <cellStyle name="Total 2 14 2 2 2" xfId="34331" xr:uid="{00000000-0005-0000-0000-0000C2840000}"/>
    <cellStyle name="Total 2 14 2 2 2 2" xfId="34332" xr:uid="{00000000-0005-0000-0000-0000C3840000}"/>
    <cellStyle name="Total 2 14 2 2 2 3" xfId="34333" xr:uid="{00000000-0005-0000-0000-0000C4840000}"/>
    <cellStyle name="Total 2 14 2 2 2 4" xfId="34334" xr:uid="{00000000-0005-0000-0000-0000C5840000}"/>
    <cellStyle name="Total 2 14 2 2 3" xfId="34335" xr:uid="{00000000-0005-0000-0000-0000C6840000}"/>
    <cellStyle name="Total 2 14 2 2 3 2" xfId="34336" xr:uid="{00000000-0005-0000-0000-0000C7840000}"/>
    <cellStyle name="Total 2 14 2 2 3 3" xfId="34337" xr:uid="{00000000-0005-0000-0000-0000C8840000}"/>
    <cellStyle name="Total 2 14 2 2 3 4" xfId="34338" xr:uid="{00000000-0005-0000-0000-0000C9840000}"/>
    <cellStyle name="Total 2 14 2 2 4" xfId="34339" xr:uid="{00000000-0005-0000-0000-0000CA840000}"/>
    <cellStyle name="Total 2 14 2 2 4 2" xfId="34340" xr:uid="{00000000-0005-0000-0000-0000CB840000}"/>
    <cellStyle name="Total 2 14 2 2 4 3" xfId="34341" xr:uid="{00000000-0005-0000-0000-0000CC840000}"/>
    <cellStyle name="Total 2 14 2 2 5" xfId="34342" xr:uid="{00000000-0005-0000-0000-0000CD840000}"/>
    <cellStyle name="Total 2 14 2 2 5 2" xfId="34343" xr:uid="{00000000-0005-0000-0000-0000CE840000}"/>
    <cellStyle name="Total 2 14 2 2 5 3" xfId="34344" xr:uid="{00000000-0005-0000-0000-0000CF840000}"/>
    <cellStyle name="Total 2 14 2 2 6" xfId="34345" xr:uid="{00000000-0005-0000-0000-0000D0840000}"/>
    <cellStyle name="Total 2 14 2 2 7" xfId="34346" xr:uid="{00000000-0005-0000-0000-0000D1840000}"/>
    <cellStyle name="Total 2 14 2 3" xfId="34347" xr:uid="{00000000-0005-0000-0000-0000D2840000}"/>
    <cellStyle name="Total 2 14 2 3 2" xfId="34348" xr:uid="{00000000-0005-0000-0000-0000D3840000}"/>
    <cellStyle name="Total 2 14 2 3 2 2" xfId="34349" xr:uid="{00000000-0005-0000-0000-0000D4840000}"/>
    <cellStyle name="Total 2 14 2 3 2 3" xfId="34350" xr:uid="{00000000-0005-0000-0000-0000D5840000}"/>
    <cellStyle name="Total 2 14 2 3 2 4" xfId="34351" xr:uid="{00000000-0005-0000-0000-0000D6840000}"/>
    <cellStyle name="Total 2 14 2 3 3" xfId="34352" xr:uid="{00000000-0005-0000-0000-0000D7840000}"/>
    <cellStyle name="Total 2 14 2 3 3 2" xfId="34353" xr:uid="{00000000-0005-0000-0000-0000D8840000}"/>
    <cellStyle name="Total 2 14 2 3 3 3" xfId="34354" xr:uid="{00000000-0005-0000-0000-0000D9840000}"/>
    <cellStyle name="Total 2 14 2 3 3 4" xfId="34355" xr:uid="{00000000-0005-0000-0000-0000DA840000}"/>
    <cellStyle name="Total 2 14 2 3 4" xfId="34356" xr:uid="{00000000-0005-0000-0000-0000DB840000}"/>
    <cellStyle name="Total 2 14 2 3 4 2" xfId="34357" xr:uid="{00000000-0005-0000-0000-0000DC840000}"/>
    <cellStyle name="Total 2 14 2 3 4 3" xfId="34358" xr:uid="{00000000-0005-0000-0000-0000DD840000}"/>
    <cellStyle name="Total 2 14 2 3 5" xfId="34359" xr:uid="{00000000-0005-0000-0000-0000DE840000}"/>
    <cellStyle name="Total 2 14 2 3 5 2" xfId="34360" xr:uid="{00000000-0005-0000-0000-0000DF840000}"/>
    <cellStyle name="Total 2 14 2 3 5 3" xfId="34361" xr:uid="{00000000-0005-0000-0000-0000E0840000}"/>
    <cellStyle name="Total 2 14 2 3 6" xfId="34362" xr:uid="{00000000-0005-0000-0000-0000E1840000}"/>
    <cellStyle name="Total 2 14 2 3 7" xfId="34363" xr:uid="{00000000-0005-0000-0000-0000E2840000}"/>
    <cellStyle name="Total 2 14 2 4" xfId="34364" xr:uid="{00000000-0005-0000-0000-0000E3840000}"/>
    <cellStyle name="Total 2 14 2 4 2" xfId="10387" xr:uid="{00000000-0005-0000-0000-0000E4840000}"/>
    <cellStyle name="Total 2 14 2 4 2 2" xfId="34365" xr:uid="{00000000-0005-0000-0000-0000E5840000}"/>
    <cellStyle name="Total 2 14 2 4 2 3" xfId="34366" xr:uid="{00000000-0005-0000-0000-0000E6840000}"/>
    <cellStyle name="Total 2 14 2 4 2 4" xfId="34367" xr:uid="{00000000-0005-0000-0000-0000E7840000}"/>
    <cellStyle name="Total 2 14 2 4 3" xfId="10394" xr:uid="{00000000-0005-0000-0000-0000E8840000}"/>
    <cellStyle name="Total 2 14 2 4 3 2" xfId="34368" xr:uid="{00000000-0005-0000-0000-0000E9840000}"/>
    <cellStyle name="Total 2 14 2 4 3 3" xfId="34369" xr:uid="{00000000-0005-0000-0000-0000EA840000}"/>
    <cellStyle name="Total 2 14 2 4 3 4" xfId="34370" xr:uid="{00000000-0005-0000-0000-0000EB840000}"/>
    <cellStyle name="Total 2 14 2 4 4" xfId="34371" xr:uid="{00000000-0005-0000-0000-0000EC840000}"/>
    <cellStyle name="Total 2 14 2 4 4 2" xfId="34372" xr:uid="{00000000-0005-0000-0000-0000ED840000}"/>
    <cellStyle name="Total 2 14 2 4 4 3" xfId="34373" xr:uid="{00000000-0005-0000-0000-0000EE840000}"/>
    <cellStyle name="Total 2 14 2 4 5" xfId="34374" xr:uid="{00000000-0005-0000-0000-0000EF840000}"/>
    <cellStyle name="Total 2 14 2 4 5 2" xfId="34375" xr:uid="{00000000-0005-0000-0000-0000F0840000}"/>
    <cellStyle name="Total 2 14 2 4 5 3" xfId="34376" xr:uid="{00000000-0005-0000-0000-0000F1840000}"/>
    <cellStyle name="Total 2 14 2 4 6" xfId="34377" xr:uid="{00000000-0005-0000-0000-0000F2840000}"/>
    <cellStyle name="Total 2 14 2 4 7" xfId="34378" xr:uid="{00000000-0005-0000-0000-0000F3840000}"/>
    <cellStyle name="Total 2 14 2 5" xfId="34379" xr:uid="{00000000-0005-0000-0000-0000F4840000}"/>
    <cellStyle name="Total 2 14 2 5 2" xfId="34380" xr:uid="{00000000-0005-0000-0000-0000F5840000}"/>
    <cellStyle name="Total 2 14 2 5 2 2" xfId="34381" xr:uid="{00000000-0005-0000-0000-0000F6840000}"/>
    <cellStyle name="Total 2 14 2 5 2 3" xfId="34382" xr:uid="{00000000-0005-0000-0000-0000F7840000}"/>
    <cellStyle name="Total 2 14 2 5 2 4" xfId="34383" xr:uid="{00000000-0005-0000-0000-0000F8840000}"/>
    <cellStyle name="Total 2 14 2 5 3" xfId="34384" xr:uid="{00000000-0005-0000-0000-0000F9840000}"/>
    <cellStyle name="Total 2 14 2 5 3 2" xfId="34385" xr:uid="{00000000-0005-0000-0000-0000FA840000}"/>
    <cellStyle name="Total 2 14 2 5 3 3" xfId="34386" xr:uid="{00000000-0005-0000-0000-0000FB840000}"/>
    <cellStyle name="Total 2 14 2 5 3 4" xfId="34387" xr:uid="{00000000-0005-0000-0000-0000FC840000}"/>
    <cellStyle name="Total 2 14 2 5 4" xfId="34388" xr:uid="{00000000-0005-0000-0000-0000FD840000}"/>
    <cellStyle name="Total 2 14 2 5 4 2" xfId="34389" xr:uid="{00000000-0005-0000-0000-0000FE840000}"/>
    <cellStyle name="Total 2 14 2 5 4 3" xfId="34390" xr:uid="{00000000-0005-0000-0000-0000FF840000}"/>
    <cellStyle name="Total 2 14 2 5 5" xfId="34391" xr:uid="{00000000-0005-0000-0000-000000850000}"/>
    <cellStyle name="Total 2 14 2 5 5 2" xfId="34392" xr:uid="{00000000-0005-0000-0000-000001850000}"/>
    <cellStyle name="Total 2 14 2 5 5 3" xfId="34393" xr:uid="{00000000-0005-0000-0000-000002850000}"/>
    <cellStyle name="Total 2 14 2 5 6" xfId="34394" xr:uid="{00000000-0005-0000-0000-000003850000}"/>
    <cellStyle name="Total 2 14 2 5 7" xfId="34395" xr:uid="{00000000-0005-0000-0000-000004850000}"/>
    <cellStyle name="Total 2 14 2 6" xfId="34396" xr:uid="{00000000-0005-0000-0000-000005850000}"/>
    <cellStyle name="Total 2 14 2 6 2" xfId="34397" xr:uid="{00000000-0005-0000-0000-000006850000}"/>
    <cellStyle name="Total 2 14 2 6 2 2" xfId="34398" xr:uid="{00000000-0005-0000-0000-000007850000}"/>
    <cellStyle name="Total 2 14 2 6 2 3" xfId="34399" xr:uid="{00000000-0005-0000-0000-000008850000}"/>
    <cellStyle name="Total 2 14 2 6 2 4" xfId="34400" xr:uid="{00000000-0005-0000-0000-000009850000}"/>
    <cellStyle name="Total 2 14 2 6 3" xfId="34401" xr:uid="{00000000-0005-0000-0000-00000A850000}"/>
    <cellStyle name="Total 2 14 2 6 3 2" xfId="34402" xr:uid="{00000000-0005-0000-0000-00000B850000}"/>
    <cellStyle name="Total 2 14 2 6 3 3" xfId="34403" xr:uid="{00000000-0005-0000-0000-00000C850000}"/>
    <cellStyle name="Total 2 14 2 6 3 4" xfId="34404" xr:uid="{00000000-0005-0000-0000-00000D850000}"/>
    <cellStyle name="Total 2 14 2 6 4" xfId="34405" xr:uid="{00000000-0005-0000-0000-00000E850000}"/>
    <cellStyle name="Total 2 14 2 6 4 2" xfId="34406" xr:uid="{00000000-0005-0000-0000-00000F850000}"/>
    <cellStyle name="Total 2 14 2 6 4 3" xfId="34407" xr:uid="{00000000-0005-0000-0000-000010850000}"/>
    <cellStyle name="Total 2 14 2 6 5" xfId="34408" xr:uid="{00000000-0005-0000-0000-000011850000}"/>
    <cellStyle name="Total 2 14 2 6 5 2" xfId="34409" xr:uid="{00000000-0005-0000-0000-000012850000}"/>
    <cellStyle name="Total 2 14 2 6 5 3" xfId="34410" xr:uid="{00000000-0005-0000-0000-000013850000}"/>
    <cellStyle name="Total 2 14 2 6 6" xfId="34411" xr:uid="{00000000-0005-0000-0000-000014850000}"/>
    <cellStyle name="Total 2 14 2 6 7" xfId="34412" xr:uid="{00000000-0005-0000-0000-000015850000}"/>
    <cellStyle name="Total 2 14 2 7" xfId="34413" xr:uid="{00000000-0005-0000-0000-000016850000}"/>
    <cellStyle name="Total 2 14 2 7 2" xfId="34414" xr:uid="{00000000-0005-0000-0000-000017850000}"/>
    <cellStyle name="Total 2 14 2 7 2 2" xfId="34415" xr:uid="{00000000-0005-0000-0000-000018850000}"/>
    <cellStyle name="Total 2 14 2 7 2 3" xfId="34416" xr:uid="{00000000-0005-0000-0000-000019850000}"/>
    <cellStyle name="Total 2 14 2 7 2 4" xfId="34417" xr:uid="{00000000-0005-0000-0000-00001A850000}"/>
    <cellStyle name="Total 2 14 2 7 3" xfId="34418" xr:uid="{00000000-0005-0000-0000-00001B850000}"/>
    <cellStyle name="Total 2 14 2 7 3 2" xfId="34419" xr:uid="{00000000-0005-0000-0000-00001C850000}"/>
    <cellStyle name="Total 2 14 2 7 3 3" xfId="34420" xr:uid="{00000000-0005-0000-0000-00001D850000}"/>
    <cellStyle name="Total 2 14 2 7 3 4" xfId="34421" xr:uid="{00000000-0005-0000-0000-00001E850000}"/>
    <cellStyle name="Total 2 14 2 7 4" xfId="34422" xr:uid="{00000000-0005-0000-0000-00001F850000}"/>
    <cellStyle name="Total 2 14 2 7 4 2" xfId="34423" xr:uid="{00000000-0005-0000-0000-000020850000}"/>
    <cellStyle name="Total 2 14 2 7 4 3" xfId="34424" xr:uid="{00000000-0005-0000-0000-000021850000}"/>
    <cellStyle name="Total 2 14 2 7 5" xfId="34425" xr:uid="{00000000-0005-0000-0000-000022850000}"/>
    <cellStyle name="Total 2 14 2 7 5 2" xfId="34426" xr:uid="{00000000-0005-0000-0000-000023850000}"/>
    <cellStyle name="Total 2 14 2 7 5 3" xfId="34427" xr:uid="{00000000-0005-0000-0000-000024850000}"/>
    <cellStyle name="Total 2 14 2 7 6" xfId="34428" xr:uid="{00000000-0005-0000-0000-000025850000}"/>
    <cellStyle name="Total 2 14 2 7 7" xfId="34429" xr:uid="{00000000-0005-0000-0000-000026850000}"/>
    <cellStyle name="Total 2 14 2 8" xfId="34430" xr:uid="{00000000-0005-0000-0000-000027850000}"/>
    <cellStyle name="Total 2 14 2 8 2" xfId="34431" xr:uid="{00000000-0005-0000-0000-000028850000}"/>
    <cellStyle name="Total 2 14 2 8 2 2" xfId="34432" xr:uid="{00000000-0005-0000-0000-000029850000}"/>
    <cellStyle name="Total 2 14 2 8 2 3" xfId="34433" xr:uid="{00000000-0005-0000-0000-00002A850000}"/>
    <cellStyle name="Total 2 14 2 8 2 4" xfId="34434" xr:uid="{00000000-0005-0000-0000-00002B850000}"/>
    <cellStyle name="Total 2 14 2 8 3" xfId="34435" xr:uid="{00000000-0005-0000-0000-00002C850000}"/>
    <cellStyle name="Total 2 14 2 8 3 2" xfId="34436" xr:uid="{00000000-0005-0000-0000-00002D850000}"/>
    <cellStyle name="Total 2 14 2 8 3 3" xfId="34437" xr:uid="{00000000-0005-0000-0000-00002E850000}"/>
    <cellStyle name="Total 2 14 2 8 3 4" xfId="34438" xr:uid="{00000000-0005-0000-0000-00002F850000}"/>
    <cellStyle name="Total 2 14 2 8 4" xfId="34439" xr:uid="{00000000-0005-0000-0000-000030850000}"/>
    <cellStyle name="Total 2 14 2 8 4 2" xfId="34440" xr:uid="{00000000-0005-0000-0000-000031850000}"/>
    <cellStyle name="Total 2 14 2 8 4 3" xfId="34441" xr:uid="{00000000-0005-0000-0000-000032850000}"/>
    <cellStyle name="Total 2 14 2 8 5" xfId="34442" xr:uid="{00000000-0005-0000-0000-000033850000}"/>
    <cellStyle name="Total 2 14 2 8 5 2" xfId="34443" xr:uid="{00000000-0005-0000-0000-000034850000}"/>
    <cellStyle name="Total 2 14 2 8 5 3" xfId="34444" xr:uid="{00000000-0005-0000-0000-000035850000}"/>
    <cellStyle name="Total 2 14 2 8 6" xfId="34445" xr:uid="{00000000-0005-0000-0000-000036850000}"/>
    <cellStyle name="Total 2 14 2 8 7" xfId="34446" xr:uid="{00000000-0005-0000-0000-000037850000}"/>
    <cellStyle name="Total 2 14 2 9" xfId="34447" xr:uid="{00000000-0005-0000-0000-000038850000}"/>
    <cellStyle name="Total 2 14 2 9 2" xfId="34448" xr:uid="{00000000-0005-0000-0000-000039850000}"/>
    <cellStyle name="Total 2 14 2 9 2 2" xfId="34449" xr:uid="{00000000-0005-0000-0000-00003A850000}"/>
    <cellStyle name="Total 2 14 2 9 2 3" xfId="34450" xr:uid="{00000000-0005-0000-0000-00003B850000}"/>
    <cellStyle name="Total 2 14 2 9 2 4" xfId="34451" xr:uid="{00000000-0005-0000-0000-00003C850000}"/>
    <cellStyle name="Total 2 14 2 9 3" xfId="34452" xr:uid="{00000000-0005-0000-0000-00003D850000}"/>
    <cellStyle name="Total 2 14 2 9 3 2" xfId="34453" xr:uid="{00000000-0005-0000-0000-00003E850000}"/>
    <cellStyle name="Total 2 14 2 9 3 3" xfId="34454" xr:uid="{00000000-0005-0000-0000-00003F850000}"/>
    <cellStyle name="Total 2 14 2 9 3 4" xfId="34455" xr:uid="{00000000-0005-0000-0000-000040850000}"/>
    <cellStyle name="Total 2 14 2 9 4" xfId="34456" xr:uid="{00000000-0005-0000-0000-000041850000}"/>
    <cellStyle name="Total 2 14 2 9 4 2" xfId="34457" xr:uid="{00000000-0005-0000-0000-000042850000}"/>
    <cellStyle name="Total 2 14 2 9 4 3" xfId="34458" xr:uid="{00000000-0005-0000-0000-000043850000}"/>
    <cellStyle name="Total 2 14 2 9 5" xfId="34459" xr:uid="{00000000-0005-0000-0000-000044850000}"/>
    <cellStyle name="Total 2 14 2 9 5 2" xfId="34460" xr:uid="{00000000-0005-0000-0000-000045850000}"/>
    <cellStyle name="Total 2 14 2 9 5 3" xfId="34461" xr:uid="{00000000-0005-0000-0000-000046850000}"/>
    <cellStyle name="Total 2 14 2 9 6" xfId="34462" xr:uid="{00000000-0005-0000-0000-000047850000}"/>
    <cellStyle name="Total 2 14 2 9 7" xfId="34463" xr:uid="{00000000-0005-0000-0000-000048850000}"/>
    <cellStyle name="Total 2 14 3" xfId="34464" xr:uid="{00000000-0005-0000-0000-000049850000}"/>
    <cellStyle name="Total 2 14 3 10" xfId="34465" xr:uid="{00000000-0005-0000-0000-00004A850000}"/>
    <cellStyle name="Total 2 14 3 10 2" xfId="24229" xr:uid="{00000000-0005-0000-0000-00004B850000}"/>
    <cellStyle name="Total 2 14 3 10 2 2" xfId="34466" xr:uid="{00000000-0005-0000-0000-00004C850000}"/>
    <cellStyle name="Total 2 14 3 10 2 3" xfId="34467" xr:uid="{00000000-0005-0000-0000-00004D850000}"/>
    <cellStyle name="Total 2 14 3 10 2 4" xfId="34468" xr:uid="{00000000-0005-0000-0000-00004E850000}"/>
    <cellStyle name="Total 2 14 3 10 3" xfId="34469" xr:uid="{00000000-0005-0000-0000-00004F850000}"/>
    <cellStyle name="Total 2 14 3 10 3 2" xfId="34470" xr:uid="{00000000-0005-0000-0000-000050850000}"/>
    <cellStyle name="Total 2 14 3 10 3 3" xfId="34471" xr:uid="{00000000-0005-0000-0000-000051850000}"/>
    <cellStyle name="Total 2 14 3 10 3 4" xfId="34472" xr:uid="{00000000-0005-0000-0000-000052850000}"/>
    <cellStyle name="Total 2 14 3 10 4" xfId="34473" xr:uid="{00000000-0005-0000-0000-000053850000}"/>
    <cellStyle name="Total 2 14 3 10 4 2" xfId="18664" xr:uid="{00000000-0005-0000-0000-000054850000}"/>
    <cellStyle name="Total 2 14 3 10 4 3" xfId="18672" xr:uid="{00000000-0005-0000-0000-000055850000}"/>
    <cellStyle name="Total 2 14 3 10 5" xfId="34474" xr:uid="{00000000-0005-0000-0000-000056850000}"/>
    <cellStyle name="Total 2 14 3 10 5 2" xfId="18696" xr:uid="{00000000-0005-0000-0000-000057850000}"/>
    <cellStyle name="Total 2 14 3 10 5 3" xfId="18703" xr:uid="{00000000-0005-0000-0000-000058850000}"/>
    <cellStyle name="Total 2 14 3 10 6" xfId="34475" xr:uid="{00000000-0005-0000-0000-000059850000}"/>
    <cellStyle name="Total 2 14 3 10 7" xfId="34476" xr:uid="{00000000-0005-0000-0000-00005A850000}"/>
    <cellStyle name="Total 2 14 3 11" xfId="34477" xr:uid="{00000000-0005-0000-0000-00005B850000}"/>
    <cellStyle name="Total 2 14 3 11 2" xfId="24240" xr:uid="{00000000-0005-0000-0000-00005C850000}"/>
    <cellStyle name="Total 2 14 3 11 3" xfId="34478" xr:uid="{00000000-0005-0000-0000-00005D850000}"/>
    <cellStyle name="Total 2 14 3 11 4" xfId="34479" xr:uid="{00000000-0005-0000-0000-00005E850000}"/>
    <cellStyle name="Total 2 14 3 12" xfId="34480" xr:uid="{00000000-0005-0000-0000-00005F850000}"/>
    <cellStyle name="Total 2 14 3 12 2" xfId="34481" xr:uid="{00000000-0005-0000-0000-000060850000}"/>
    <cellStyle name="Total 2 14 3 12 3" xfId="34482" xr:uid="{00000000-0005-0000-0000-000061850000}"/>
    <cellStyle name="Total 2 14 3 12 4" xfId="34483" xr:uid="{00000000-0005-0000-0000-000062850000}"/>
    <cellStyle name="Total 2 14 3 13" xfId="34484" xr:uid="{00000000-0005-0000-0000-000063850000}"/>
    <cellStyle name="Total 2 14 3 13 2" xfId="34485" xr:uid="{00000000-0005-0000-0000-000064850000}"/>
    <cellStyle name="Total 2 14 3 13 3" xfId="34486" xr:uid="{00000000-0005-0000-0000-000065850000}"/>
    <cellStyle name="Total 2 14 3 14" xfId="34487" xr:uid="{00000000-0005-0000-0000-000066850000}"/>
    <cellStyle name="Total 2 14 3 14 2" xfId="34488" xr:uid="{00000000-0005-0000-0000-000067850000}"/>
    <cellStyle name="Total 2 14 3 14 3" xfId="34489" xr:uid="{00000000-0005-0000-0000-000068850000}"/>
    <cellStyle name="Total 2 14 3 15" xfId="34490" xr:uid="{00000000-0005-0000-0000-000069850000}"/>
    <cellStyle name="Total 2 14 3 16" xfId="34491" xr:uid="{00000000-0005-0000-0000-00006A850000}"/>
    <cellStyle name="Total 2 14 3 2" xfId="34492" xr:uid="{00000000-0005-0000-0000-00006B850000}"/>
    <cellStyle name="Total 2 14 3 2 2" xfId="34493" xr:uid="{00000000-0005-0000-0000-00006C850000}"/>
    <cellStyle name="Total 2 14 3 2 2 2" xfId="10590" xr:uid="{00000000-0005-0000-0000-00006D850000}"/>
    <cellStyle name="Total 2 14 3 2 2 3" xfId="34494" xr:uid="{00000000-0005-0000-0000-00006E850000}"/>
    <cellStyle name="Total 2 14 3 2 2 4" xfId="34495" xr:uid="{00000000-0005-0000-0000-00006F850000}"/>
    <cellStyle name="Total 2 14 3 2 3" xfId="34496" xr:uid="{00000000-0005-0000-0000-000070850000}"/>
    <cellStyle name="Total 2 14 3 2 3 2" xfId="34497" xr:uid="{00000000-0005-0000-0000-000071850000}"/>
    <cellStyle name="Total 2 14 3 2 3 3" xfId="34498" xr:uid="{00000000-0005-0000-0000-000072850000}"/>
    <cellStyle name="Total 2 14 3 2 3 4" xfId="34499" xr:uid="{00000000-0005-0000-0000-000073850000}"/>
    <cellStyle name="Total 2 14 3 2 4" xfId="34500" xr:uid="{00000000-0005-0000-0000-000074850000}"/>
    <cellStyle name="Total 2 14 3 2 4 2" xfId="34501" xr:uid="{00000000-0005-0000-0000-000075850000}"/>
    <cellStyle name="Total 2 14 3 2 4 3" xfId="34502" xr:uid="{00000000-0005-0000-0000-000076850000}"/>
    <cellStyle name="Total 2 14 3 2 5" xfId="34503" xr:uid="{00000000-0005-0000-0000-000077850000}"/>
    <cellStyle name="Total 2 14 3 2 5 2" xfId="34504" xr:uid="{00000000-0005-0000-0000-000078850000}"/>
    <cellStyle name="Total 2 14 3 2 5 3" xfId="34506" xr:uid="{00000000-0005-0000-0000-000079850000}"/>
    <cellStyle name="Total 2 14 3 2 6" xfId="34507" xr:uid="{00000000-0005-0000-0000-00007A850000}"/>
    <cellStyle name="Total 2 14 3 2 7" xfId="34508" xr:uid="{00000000-0005-0000-0000-00007B850000}"/>
    <cellStyle name="Total 2 14 3 3" xfId="34509" xr:uid="{00000000-0005-0000-0000-00007C850000}"/>
    <cellStyle name="Total 2 14 3 3 2" xfId="34510" xr:uid="{00000000-0005-0000-0000-00007D850000}"/>
    <cellStyle name="Total 2 14 3 3 2 2" xfId="10616" xr:uid="{00000000-0005-0000-0000-00007E850000}"/>
    <cellStyle name="Total 2 14 3 3 2 3" xfId="34511" xr:uid="{00000000-0005-0000-0000-00007F850000}"/>
    <cellStyle name="Total 2 14 3 3 2 4" xfId="34512" xr:uid="{00000000-0005-0000-0000-000080850000}"/>
    <cellStyle name="Total 2 14 3 3 3" xfId="34513" xr:uid="{00000000-0005-0000-0000-000081850000}"/>
    <cellStyle name="Total 2 14 3 3 3 2" xfId="34514" xr:uid="{00000000-0005-0000-0000-000082850000}"/>
    <cellStyle name="Total 2 14 3 3 3 3" xfId="34515" xr:uid="{00000000-0005-0000-0000-000083850000}"/>
    <cellStyle name="Total 2 14 3 3 3 4" xfId="34516" xr:uid="{00000000-0005-0000-0000-000084850000}"/>
    <cellStyle name="Total 2 14 3 3 4" xfId="34517" xr:uid="{00000000-0005-0000-0000-000085850000}"/>
    <cellStyle name="Total 2 14 3 3 4 2" xfId="34518" xr:uid="{00000000-0005-0000-0000-000086850000}"/>
    <cellStyle name="Total 2 14 3 3 4 3" xfId="34519" xr:uid="{00000000-0005-0000-0000-000087850000}"/>
    <cellStyle name="Total 2 14 3 3 5" xfId="34520" xr:uid="{00000000-0005-0000-0000-000088850000}"/>
    <cellStyle name="Total 2 14 3 3 5 2" xfId="34521" xr:uid="{00000000-0005-0000-0000-000089850000}"/>
    <cellStyle name="Total 2 14 3 3 5 3" xfId="34522" xr:uid="{00000000-0005-0000-0000-00008A850000}"/>
    <cellStyle name="Total 2 14 3 3 6" xfId="34523" xr:uid="{00000000-0005-0000-0000-00008B850000}"/>
    <cellStyle name="Total 2 14 3 3 7" xfId="34524" xr:uid="{00000000-0005-0000-0000-00008C850000}"/>
    <cellStyle name="Total 2 14 3 4" xfId="34525" xr:uid="{00000000-0005-0000-0000-00008D850000}"/>
    <cellStyle name="Total 2 14 3 4 2" xfId="34526" xr:uid="{00000000-0005-0000-0000-00008E850000}"/>
    <cellStyle name="Total 2 14 3 4 2 2" xfId="10648" xr:uid="{00000000-0005-0000-0000-00008F850000}"/>
    <cellStyle name="Total 2 14 3 4 2 3" xfId="34527" xr:uid="{00000000-0005-0000-0000-000090850000}"/>
    <cellStyle name="Total 2 14 3 4 2 4" xfId="34528" xr:uid="{00000000-0005-0000-0000-000091850000}"/>
    <cellStyle name="Total 2 14 3 4 3" xfId="34529" xr:uid="{00000000-0005-0000-0000-000092850000}"/>
    <cellStyle name="Total 2 14 3 4 3 2" xfId="34530" xr:uid="{00000000-0005-0000-0000-000093850000}"/>
    <cellStyle name="Total 2 14 3 4 3 3" xfId="34531" xr:uid="{00000000-0005-0000-0000-000094850000}"/>
    <cellStyle name="Total 2 14 3 4 3 4" xfId="34532" xr:uid="{00000000-0005-0000-0000-000095850000}"/>
    <cellStyle name="Total 2 14 3 4 4" xfId="34533" xr:uid="{00000000-0005-0000-0000-000096850000}"/>
    <cellStyle name="Total 2 14 3 4 4 2" xfId="34534" xr:uid="{00000000-0005-0000-0000-000097850000}"/>
    <cellStyle name="Total 2 14 3 4 4 3" xfId="34535" xr:uid="{00000000-0005-0000-0000-000098850000}"/>
    <cellStyle name="Total 2 14 3 4 5" xfId="34536" xr:uid="{00000000-0005-0000-0000-000099850000}"/>
    <cellStyle name="Total 2 14 3 4 5 2" xfId="34537" xr:uid="{00000000-0005-0000-0000-00009A850000}"/>
    <cellStyle name="Total 2 14 3 4 5 3" xfId="34538" xr:uid="{00000000-0005-0000-0000-00009B850000}"/>
    <cellStyle name="Total 2 14 3 4 6" xfId="34539" xr:uid="{00000000-0005-0000-0000-00009C850000}"/>
    <cellStyle name="Total 2 14 3 4 7" xfId="34540" xr:uid="{00000000-0005-0000-0000-00009D850000}"/>
    <cellStyle name="Total 2 14 3 5" xfId="34541" xr:uid="{00000000-0005-0000-0000-00009E850000}"/>
    <cellStyle name="Total 2 14 3 5 2" xfId="34542" xr:uid="{00000000-0005-0000-0000-00009F850000}"/>
    <cellStyle name="Total 2 14 3 5 2 2" xfId="10674" xr:uid="{00000000-0005-0000-0000-0000A0850000}"/>
    <cellStyle name="Total 2 14 3 5 2 3" xfId="34543" xr:uid="{00000000-0005-0000-0000-0000A1850000}"/>
    <cellStyle name="Total 2 14 3 5 2 4" xfId="34544" xr:uid="{00000000-0005-0000-0000-0000A2850000}"/>
    <cellStyle name="Total 2 14 3 5 3" xfId="34545" xr:uid="{00000000-0005-0000-0000-0000A3850000}"/>
    <cellStyle name="Total 2 14 3 5 3 2" xfId="34546" xr:uid="{00000000-0005-0000-0000-0000A4850000}"/>
    <cellStyle name="Total 2 14 3 5 3 3" xfId="34547" xr:uid="{00000000-0005-0000-0000-0000A5850000}"/>
    <cellStyle name="Total 2 14 3 5 3 4" xfId="34548" xr:uid="{00000000-0005-0000-0000-0000A6850000}"/>
    <cellStyle name="Total 2 14 3 5 4" xfId="34549" xr:uid="{00000000-0005-0000-0000-0000A7850000}"/>
    <cellStyle name="Total 2 14 3 5 4 2" xfId="34550" xr:uid="{00000000-0005-0000-0000-0000A8850000}"/>
    <cellStyle name="Total 2 14 3 5 4 3" xfId="34551" xr:uid="{00000000-0005-0000-0000-0000A9850000}"/>
    <cellStyle name="Total 2 14 3 5 5" xfId="34552" xr:uid="{00000000-0005-0000-0000-0000AA850000}"/>
    <cellStyle name="Total 2 14 3 5 5 2" xfId="34553" xr:uid="{00000000-0005-0000-0000-0000AB850000}"/>
    <cellStyle name="Total 2 14 3 5 5 3" xfId="34554" xr:uid="{00000000-0005-0000-0000-0000AC850000}"/>
    <cellStyle name="Total 2 14 3 5 6" xfId="34555" xr:uid="{00000000-0005-0000-0000-0000AD850000}"/>
    <cellStyle name="Total 2 14 3 5 7" xfId="34556" xr:uid="{00000000-0005-0000-0000-0000AE850000}"/>
    <cellStyle name="Total 2 14 3 6" xfId="34557" xr:uid="{00000000-0005-0000-0000-0000AF850000}"/>
    <cellStyle name="Total 2 14 3 6 2" xfId="34558" xr:uid="{00000000-0005-0000-0000-0000B0850000}"/>
    <cellStyle name="Total 2 14 3 6 2 2" xfId="29078" xr:uid="{00000000-0005-0000-0000-0000B1850000}"/>
    <cellStyle name="Total 2 14 3 6 2 3" xfId="34559" xr:uid="{00000000-0005-0000-0000-0000B2850000}"/>
    <cellStyle name="Total 2 14 3 6 2 4" xfId="34560" xr:uid="{00000000-0005-0000-0000-0000B3850000}"/>
    <cellStyle name="Total 2 14 3 6 3" xfId="34561" xr:uid="{00000000-0005-0000-0000-0000B4850000}"/>
    <cellStyle name="Total 2 14 3 6 3 2" xfId="34562" xr:uid="{00000000-0005-0000-0000-0000B5850000}"/>
    <cellStyle name="Total 2 14 3 6 3 3" xfId="34563" xr:uid="{00000000-0005-0000-0000-0000B6850000}"/>
    <cellStyle name="Total 2 14 3 6 3 4" xfId="34564" xr:uid="{00000000-0005-0000-0000-0000B7850000}"/>
    <cellStyle name="Total 2 14 3 6 4" xfId="34565" xr:uid="{00000000-0005-0000-0000-0000B8850000}"/>
    <cellStyle name="Total 2 14 3 6 4 2" xfId="34566" xr:uid="{00000000-0005-0000-0000-0000B9850000}"/>
    <cellStyle name="Total 2 14 3 6 4 3" xfId="34567" xr:uid="{00000000-0005-0000-0000-0000BA850000}"/>
    <cellStyle name="Total 2 14 3 6 5" xfId="34568" xr:uid="{00000000-0005-0000-0000-0000BB850000}"/>
    <cellStyle name="Total 2 14 3 6 5 2" xfId="34569" xr:uid="{00000000-0005-0000-0000-0000BC850000}"/>
    <cellStyle name="Total 2 14 3 6 5 3" xfId="34570" xr:uid="{00000000-0005-0000-0000-0000BD850000}"/>
    <cellStyle name="Total 2 14 3 6 6" xfId="34571" xr:uid="{00000000-0005-0000-0000-0000BE850000}"/>
    <cellStyle name="Total 2 14 3 6 7" xfId="34572" xr:uid="{00000000-0005-0000-0000-0000BF850000}"/>
    <cellStyle name="Total 2 14 3 7" xfId="34573" xr:uid="{00000000-0005-0000-0000-0000C0850000}"/>
    <cellStyle name="Total 2 14 3 7 2" xfId="34574" xr:uid="{00000000-0005-0000-0000-0000C1850000}"/>
    <cellStyle name="Total 2 14 3 7 2 2" xfId="29383" xr:uid="{00000000-0005-0000-0000-0000C2850000}"/>
    <cellStyle name="Total 2 14 3 7 2 3" xfId="34575" xr:uid="{00000000-0005-0000-0000-0000C3850000}"/>
    <cellStyle name="Total 2 14 3 7 2 4" xfId="34576" xr:uid="{00000000-0005-0000-0000-0000C4850000}"/>
    <cellStyle name="Total 2 14 3 7 3" xfId="34577" xr:uid="{00000000-0005-0000-0000-0000C5850000}"/>
    <cellStyle name="Total 2 14 3 7 3 2" xfId="34578" xr:uid="{00000000-0005-0000-0000-0000C6850000}"/>
    <cellStyle name="Total 2 14 3 7 3 3" xfId="34579" xr:uid="{00000000-0005-0000-0000-0000C7850000}"/>
    <cellStyle name="Total 2 14 3 7 3 4" xfId="34580" xr:uid="{00000000-0005-0000-0000-0000C8850000}"/>
    <cellStyle name="Total 2 14 3 7 4" xfId="34581" xr:uid="{00000000-0005-0000-0000-0000C9850000}"/>
    <cellStyle name="Total 2 14 3 7 4 2" xfId="34582" xr:uid="{00000000-0005-0000-0000-0000CA850000}"/>
    <cellStyle name="Total 2 14 3 7 4 3" xfId="34583" xr:uid="{00000000-0005-0000-0000-0000CB850000}"/>
    <cellStyle name="Total 2 14 3 7 5" xfId="34584" xr:uid="{00000000-0005-0000-0000-0000CC850000}"/>
    <cellStyle name="Total 2 14 3 7 5 2" xfId="34585" xr:uid="{00000000-0005-0000-0000-0000CD850000}"/>
    <cellStyle name="Total 2 14 3 7 5 3" xfId="34587" xr:uid="{00000000-0005-0000-0000-0000CE850000}"/>
    <cellStyle name="Total 2 14 3 7 6" xfId="34588" xr:uid="{00000000-0005-0000-0000-0000CF850000}"/>
    <cellStyle name="Total 2 14 3 7 7" xfId="34589" xr:uid="{00000000-0005-0000-0000-0000D0850000}"/>
    <cellStyle name="Total 2 14 3 8" xfId="34590" xr:uid="{00000000-0005-0000-0000-0000D1850000}"/>
    <cellStyle name="Total 2 14 3 8 2" xfId="34591" xr:uid="{00000000-0005-0000-0000-0000D2850000}"/>
    <cellStyle name="Total 2 14 3 8 2 2" xfId="34592" xr:uid="{00000000-0005-0000-0000-0000D3850000}"/>
    <cellStyle name="Total 2 14 3 8 2 3" xfId="34593" xr:uid="{00000000-0005-0000-0000-0000D4850000}"/>
    <cellStyle name="Total 2 14 3 8 2 4" xfId="34594" xr:uid="{00000000-0005-0000-0000-0000D5850000}"/>
    <cellStyle name="Total 2 14 3 8 3" xfId="34595" xr:uid="{00000000-0005-0000-0000-0000D6850000}"/>
    <cellStyle name="Total 2 14 3 8 3 2" xfId="34596" xr:uid="{00000000-0005-0000-0000-0000D7850000}"/>
    <cellStyle name="Total 2 14 3 8 3 3" xfId="34597" xr:uid="{00000000-0005-0000-0000-0000D8850000}"/>
    <cellStyle name="Total 2 14 3 8 3 4" xfId="34598" xr:uid="{00000000-0005-0000-0000-0000D9850000}"/>
    <cellStyle name="Total 2 14 3 8 4" xfId="34599" xr:uid="{00000000-0005-0000-0000-0000DA850000}"/>
    <cellStyle name="Total 2 14 3 8 4 2" xfId="34600" xr:uid="{00000000-0005-0000-0000-0000DB850000}"/>
    <cellStyle name="Total 2 14 3 8 4 3" xfId="34601" xr:uid="{00000000-0005-0000-0000-0000DC850000}"/>
    <cellStyle name="Total 2 14 3 8 5" xfId="34602" xr:uid="{00000000-0005-0000-0000-0000DD850000}"/>
    <cellStyle name="Total 2 14 3 8 5 2" xfId="34603" xr:uid="{00000000-0005-0000-0000-0000DE850000}"/>
    <cellStyle name="Total 2 14 3 8 5 3" xfId="34604" xr:uid="{00000000-0005-0000-0000-0000DF850000}"/>
    <cellStyle name="Total 2 14 3 8 6" xfId="34605" xr:uid="{00000000-0005-0000-0000-0000E0850000}"/>
    <cellStyle name="Total 2 14 3 8 7" xfId="34606" xr:uid="{00000000-0005-0000-0000-0000E1850000}"/>
    <cellStyle name="Total 2 14 3 9" xfId="34607" xr:uid="{00000000-0005-0000-0000-0000E2850000}"/>
    <cellStyle name="Total 2 14 3 9 2" xfId="34608" xr:uid="{00000000-0005-0000-0000-0000E3850000}"/>
    <cellStyle name="Total 2 14 3 9 2 2" xfId="34609" xr:uid="{00000000-0005-0000-0000-0000E4850000}"/>
    <cellStyle name="Total 2 14 3 9 2 3" xfId="34610" xr:uid="{00000000-0005-0000-0000-0000E5850000}"/>
    <cellStyle name="Total 2 14 3 9 2 4" xfId="34611" xr:uid="{00000000-0005-0000-0000-0000E6850000}"/>
    <cellStyle name="Total 2 14 3 9 3" xfId="34612" xr:uid="{00000000-0005-0000-0000-0000E7850000}"/>
    <cellStyle name="Total 2 14 3 9 3 2" xfId="34613" xr:uid="{00000000-0005-0000-0000-0000E8850000}"/>
    <cellStyle name="Total 2 14 3 9 3 3" xfId="34614" xr:uid="{00000000-0005-0000-0000-0000E9850000}"/>
    <cellStyle name="Total 2 14 3 9 3 4" xfId="34615" xr:uid="{00000000-0005-0000-0000-0000EA850000}"/>
    <cellStyle name="Total 2 14 3 9 4" xfId="34616" xr:uid="{00000000-0005-0000-0000-0000EB850000}"/>
    <cellStyle name="Total 2 14 3 9 4 2" xfId="34617" xr:uid="{00000000-0005-0000-0000-0000EC850000}"/>
    <cellStyle name="Total 2 14 3 9 4 3" xfId="34618" xr:uid="{00000000-0005-0000-0000-0000ED850000}"/>
    <cellStyle name="Total 2 14 3 9 5" xfId="34619" xr:uid="{00000000-0005-0000-0000-0000EE850000}"/>
    <cellStyle name="Total 2 14 3 9 5 2" xfId="34620" xr:uid="{00000000-0005-0000-0000-0000EF850000}"/>
    <cellStyle name="Total 2 14 3 9 5 3" xfId="34621" xr:uid="{00000000-0005-0000-0000-0000F0850000}"/>
    <cellStyle name="Total 2 14 3 9 6" xfId="34622" xr:uid="{00000000-0005-0000-0000-0000F1850000}"/>
    <cellStyle name="Total 2 14 3 9 7" xfId="34623" xr:uid="{00000000-0005-0000-0000-0000F2850000}"/>
    <cellStyle name="Total 2 14 4" xfId="34624" xr:uid="{00000000-0005-0000-0000-0000F3850000}"/>
    <cellStyle name="Total 2 14 4 2" xfId="34625" xr:uid="{00000000-0005-0000-0000-0000F4850000}"/>
    <cellStyle name="Total 2 14 4 2 2" xfId="34626" xr:uid="{00000000-0005-0000-0000-0000F5850000}"/>
    <cellStyle name="Total 2 14 4 2 3" xfId="34627" xr:uid="{00000000-0005-0000-0000-0000F6850000}"/>
    <cellStyle name="Total 2 14 4 2 4" xfId="34628" xr:uid="{00000000-0005-0000-0000-0000F7850000}"/>
    <cellStyle name="Total 2 14 4 3" xfId="34629" xr:uid="{00000000-0005-0000-0000-0000F8850000}"/>
    <cellStyle name="Total 2 14 4 3 2" xfId="34630" xr:uid="{00000000-0005-0000-0000-0000F9850000}"/>
    <cellStyle name="Total 2 14 4 3 3" xfId="34631" xr:uid="{00000000-0005-0000-0000-0000FA850000}"/>
    <cellStyle name="Total 2 14 4 3 4" xfId="34632" xr:uid="{00000000-0005-0000-0000-0000FB850000}"/>
    <cellStyle name="Total 2 14 4 4" xfId="34633" xr:uid="{00000000-0005-0000-0000-0000FC850000}"/>
    <cellStyle name="Total 2 14 4 4 2" xfId="34634" xr:uid="{00000000-0005-0000-0000-0000FD850000}"/>
    <cellStyle name="Total 2 14 4 4 3" xfId="34635" xr:uid="{00000000-0005-0000-0000-0000FE850000}"/>
    <cellStyle name="Total 2 14 4 5" xfId="34636" xr:uid="{00000000-0005-0000-0000-0000FF850000}"/>
    <cellStyle name="Total 2 14 4 5 2" xfId="34637" xr:uid="{00000000-0005-0000-0000-000000860000}"/>
    <cellStyle name="Total 2 14 4 5 3" xfId="34638" xr:uid="{00000000-0005-0000-0000-000001860000}"/>
    <cellStyle name="Total 2 14 4 6" xfId="34639" xr:uid="{00000000-0005-0000-0000-000002860000}"/>
    <cellStyle name="Total 2 14 4 7" xfId="34640" xr:uid="{00000000-0005-0000-0000-000003860000}"/>
    <cellStyle name="Total 2 14 5" xfId="34641" xr:uid="{00000000-0005-0000-0000-000004860000}"/>
    <cellStyle name="Total 2 14 5 2" xfId="34642" xr:uid="{00000000-0005-0000-0000-000005860000}"/>
    <cellStyle name="Total 2 14 5 2 2" xfId="34643" xr:uid="{00000000-0005-0000-0000-000006860000}"/>
    <cellStyle name="Total 2 14 5 2 3" xfId="34644" xr:uid="{00000000-0005-0000-0000-000007860000}"/>
    <cellStyle name="Total 2 14 5 2 4" xfId="34645" xr:uid="{00000000-0005-0000-0000-000008860000}"/>
    <cellStyle name="Total 2 14 5 3" xfId="34646" xr:uid="{00000000-0005-0000-0000-000009860000}"/>
    <cellStyle name="Total 2 14 5 3 2" xfId="34647" xr:uid="{00000000-0005-0000-0000-00000A860000}"/>
    <cellStyle name="Total 2 14 5 3 3" xfId="34648" xr:uid="{00000000-0005-0000-0000-00000B860000}"/>
    <cellStyle name="Total 2 14 5 3 4" xfId="34649" xr:uid="{00000000-0005-0000-0000-00000C860000}"/>
    <cellStyle name="Total 2 14 5 4" xfId="34650" xr:uid="{00000000-0005-0000-0000-00000D860000}"/>
    <cellStyle name="Total 2 14 5 4 2" xfId="34651" xr:uid="{00000000-0005-0000-0000-00000E860000}"/>
    <cellStyle name="Total 2 14 5 4 3" xfId="34652" xr:uid="{00000000-0005-0000-0000-00000F860000}"/>
    <cellStyle name="Total 2 14 5 5" xfId="34653" xr:uid="{00000000-0005-0000-0000-000010860000}"/>
    <cellStyle name="Total 2 14 5 5 2" xfId="34654" xr:uid="{00000000-0005-0000-0000-000011860000}"/>
    <cellStyle name="Total 2 14 5 5 3" xfId="34655" xr:uid="{00000000-0005-0000-0000-000012860000}"/>
    <cellStyle name="Total 2 14 5 6" xfId="34656" xr:uid="{00000000-0005-0000-0000-000013860000}"/>
    <cellStyle name="Total 2 14 5 7" xfId="34657" xr:uid="{00000000-0005-0000-0000-000014860000}"/>
    <cellStyle name="Total 2 14 6" xfId="34658" xr:uid="{00000000-0005-0000-0000-000015860000}"/>
    <cellStyle name="Total 2 14 6 2" xfId="34659" xr:uid="{00000000-0005-0000-0000-000016860000}"/>
    <cellStyle name="Total 2 14 6 2 2" xfId="34660" xr:uid="{00000000-0005-0000-0000-000017860000}"/>
    <cellStyle name="Total 2 14 6 2 3" xfId="34661" xr:uid="{00000000-0005-0000-0000-000018860000}"/>
    <cellStyle name="Total 2 14 6 2 4" xfId="34662" xr:uid="{00000000-0005-0000-0000-000019860000}"/>
    <cellStyle name="Total 2 14 6 3" xfId="34663" xr:uid="{00000000-0005-0000-0000-00001A860000}"/>
    <cellStyle name="Total 2 14 6 3 2" xfId="34664" xr:uid="{00000000-0005-0000-0000-00001B860000}"/>
    <cellStyle name="Total 2 14 6 3 3" xfId="34665" xr:uid="{00000000-0005-0000-0000-00001C860000}"/>
    <cellStyle name="Total 2 14 6 3 4" xfId="34666" xr:uid="{00000000-0005-0000-0000-00001D860000}"/>
    <cellStyle name="Total 2 14 6 4" xfId="34667" xr:uid="{00000000-0005-0000-0000-00001E860000}"/>
    <cellStyle name="Total 2 14 6 4 2" xfId="34668" xr:uid="{00000000-0005-0000-0000-00001F860000}"/>
    <cellStyle name="Total 2 14 6 4 3" xfId="34669" xr:uid="{00000000-0005-0000-0000-000020860000}"/>
    <cellStyle name="Total 2 14 6 5" xfId="34670" xr:uid="{00000000-0005-0000-0000-000021860000}"/>
    <cellStyle name="Total 2 14 6 5 2" xfId="34671" xr:uid="{00000000-0005-0000-0000-000022860000}"/>
    <cellStyle name="Total 2 14 6 5 3" xfId="34672" xr:uid="{00000000-0005-0000-0000-000023860000}"/>
    <cellStyle name="Total 2 14 6 6" xfId="34673" xr:uid="{00000000-0005-0000-0000-000024860000}"/>
    <cellStyle name="Total 2 14 6 7" xfId="34674" xr:uid="{00000000-0005-0000-0000-000025860000}"/>
    <cellStyle name="Total 2 14 7" xfId="34675" xr:uid="{00000000-0005-0000-0000-000026860000}"/>
    <cellStyle name="Total 2 14 7 2" xfId="34676" xr:uid="{00000000-0005-0000-0000-000027860000}"/>
    <cellStyle name="Total 2 14 7 2 2" xfId="34677" xr:uid="{00000000-0005-0000-0000-000028860000}"/>
    <cellStyle name="Total 2 14 7 2 3" xfId="34678" xr:uid="{00000000-0005-0000-0000-000029860000}"/>
    <cellStyle name="Total 2 14 7 2 4" xfId="34679" xr:uid="{00000000-0005-0000-0000-00002A860000}"/>
    <cellStyle name="Total 2 14 7 3" xfId="34680" xr:uid="{00000000-0005-0000-0000-00002B860000}"/>
    <cellStyle name="Total 2 14 7 3 2" xfId="34681" xr:uid="{00000000-0005-0000-0000-00002C860000}"/>
    <cellStyle name="Total 2 14 7 3 3" xfId="34682" xr:uid="{00000000-0005-0000-0000-00002D860000}"/>
    <cellStyle name="Total 2 14 7 3 4" xfId="34683" xr:uid="{00000000-0005-0000-0000-00002E860000}"/>
    <cellStyle name="Total 2 14 7 4" xfId="34684" xr:uid="{00000000-0005-0000-0000-00002F860000}"/>
    <cellStyle name="Total 2 14 7 4 2" xfId="22396" xr:uid="{00000000-0005-0000-0000-000030860000}"/>
    <cellStyle name="Total 2 14 7 4 3" xfId="22399" xr:uid="{00000000-0005-0000-0000-000031860000}"/>
    <cellStyle name="Total 2 14 7 5" xfId="34685" xr:uid="{00000000-0005-0000-0000-000032860000}"/>
    <cellStyle name="Total 2 14 7 5 2" xfId="34686" xr:uid="{00000000-0005-0000-0000-000033860000}"/>
    <cellStyle name="Total 2 14 7 5 3" xfId="34687" xr:uid="{00000000-0005-0000-0000-000034860000}"/>
    <cellStyle name="Total 2 14 7 6" xfId="34688" xr:uid="{00000000-0005-0000-0000-000035860000}"/>
    <cellStyle name="Total 2 14 7 7" xfId="34689" xr:uid="{00000000-0005-0000-0000-000036860000}"/>
    <cellStyle name="Total 2 14 8" xfId="34690" xr:uid="{00000000-0005-0000-0000-000037860000}"/>
    <cellStyle name="Total 2 14 8 2" xfId="34691" xr:uid="{00000000-0005-0000-0000-000038860000}"/>
    <cellStyle name="Total 2 14 8 2 2" xfId="34692" xr:uid="{00000000-0005-0000-0000-000039860000}"/>
    <cellStyle name="Total 2 14 8 2 3" xfId="34693" xr:uid="{00000000-0005-0000-0000-00003A860000}"/>
    <cellStyle name="Total 2 14 8 2 4" xfId="34694" xr:uid="{00000000-0005-0000-0000-00003B860000}"/>
    <cellStyle name="Total 2 14 8 3" xfId="34695" xr:uid="{00000000-0005-0000-0000-00003C860000}"/>
    <cellStyle name="Total 2 14 8 3 2" xfId="34696" xr:uid="{00000000-0005-0000-0000-00003D860000}"/>
    <cellStyle name="Total 2 14 8 3 3" xfId="34697" xr:uid="{00000000-0005-0000-0000-00003E860000}"/>
    <cellStyle name="Total 2 14 8 3 4" xfId="34698" xr:uid="{00000000-0005-0000-0000-00003F860000}"/>
    <cellStyle name="Total 2 14 8 4" xfId="34699" xr:uid="{00000000-0005-0000-0000-000040860000}"/>
    <cellStyle name="Total 2 14 8 4 2" xfId="34700" xr:uid="{00000000-0005-0000-0000-000041860000}"/>
    <cellStyle name="Total 2 14 8 4 3" xfId="34701" xr:uid="{00000000-0005-0000-0000-000042860000}"/>
    <cellStyle name="Total 2 14 8 5" xfId="34702" xr:uid="{00000000-0005-0000-0000-000043860000}"/>
    <cellStyle name="Total 2 14 8 5 2" xfId="34703" xr:uid="{00000000-0005-0000-0000-000044860000}"/>
    <cellStyle name="Total 2 14 8 5 3" xfId="34704" xr:uid="{00000000-0005-0000-0000-000045860000}"/>
    <cellStyle name="Total 2 14 8 6" xfId="34705" xr:uid="{00000000-0005-0000-0000-000046860000}"/>
    <cellStyle name="Total 2 14 8 7" xfId="34706" xr:uid="{00000000-0005-0000-0000-000047860000}"/>
    <cellStyle name="Total 2 14 9" xfId="5922" xr:uid="{00000000-0005-0000-0000-000048860000}"/>
    <cellStyle name="Total 2 14 9 2" xfId="34707" xr:uid="{00000000-0005-0000-0000-000049860000}"/>
    <cellStyle name="Total 2 14 9 2 2" xfId="34708" xr:uid="{00000000-0005-0000-0000-00004A860000}"/>
    <cellStyle name="Total 2 14 9 2 3" xfId="34709" xr:uid="{00000000-0005-0000-0000-00004B860000}"/>
    <cellStyle name="Total 2 14 9 2 4" xfId="34710" xr:uid="{00000000-0005-0000-0000-00004C860000}"/>
    <cellStyle name="Total 2 14 9 3" xfId="34711" xr:uid="{00000000-0005-0000-0000-00004D860000}"/>
    <cellStyle name="Total 2 14 9 3 2" xfId="34712" xr:uid="{00000000-0005-0000-0000-00004E860000}"/>
    <cellStyle name="Total 2 14 9 3 3" xfId="34713" xr:uid="{00000000-0005-0000-0000-00004F860000}"/>
    <cellStyle name="Total 2 14 9 3 4" xfId="34714" xr:uid="{00000000-0005-0000-0000-000050860000}"/>
    <cellStyle name="Total 2 14 9 4" xfId="34715" xr:uid="{00000000-0005-0000-0000-000051860000}"/>
    <cellStyle name="Total 2 14 9 4 2" xfId="34716" xr:uid="{00000000-0005-0000-0000-000052860000}"/>
    <cellStyle name="Total 2 14 9 4 3" xfId="34717" xr:uid="{00000000-0005-0000-0000-000053860000}"/>
    <cellStyle name="Total 2 14 9 5" xfId="34718" xr:uid="{00000000-0005-0000-0000-000054860000}"/>
    <cellStyle name="Total 2 14 9 5 2" xfId="34719" xr:uid="{00000000-0005-0000-0000-000055860000}"/>
    <cellStyle name="Total 2 14 9 5 3" xfId="34720" xr:uid="{00000000-0005-0000-0000-000056860000}"/>
    <cellStyle name="Total 2 14 9 6" xfId="34721" xr:uid="{00000000-0005-0000-0000-000057860000}"/>
    <cellStyle name="Total 2 14 9 7" xfId="34722" xr:uid="{00000000-0005-0000-0000-000058860000}"/>
    <cellStyle name="Total 2 15" xfId="34723" xr:uid="{00000000-0005-0000-0000-000059860000}"/>
    <cellStyle name="Total 2 15 10" xfId="34725" xr:uid="{00000000-0005-0000-0000-00005A860000}"/>
    <cellStyle name="Total 2 15 10 2" xfId="34726" xr:uid="{00000000-0005-0000-0000-00005B860000}"/>
    <cellStyle name="Total 2 15 10 2 2" xfId="34727" xr:uid="{00000000-0005-0000-0000-00005C860000}"/>
    <cellStyle name="Total 2 15 10 2 3" xfId="34728" xr:uid="{00000000-0005-0000-0000-00005D860000}"/>
    <cellStyle name="Total 2 15 10 2 4" xfId="34729" xr:uid="{00000000-0005-0000-0000-00005E860000}"/>
    <cellStyle name="Total 2 15 10 3" xfId="34730" xr:uid="{00000000-0005-0000-0000-00005F860000}"/>
    <cellStyle name="Total 2 15 10 3 2" xfId="34731" xr:uid="{00000000-0005-0000-0000-000060860000}"/>
    <cellStyle name="Total 2 15 10 3 3" xfId="34732" xr:uid="{00000000-0005-0000-0000-000061860000}"/>
    <cellStyle name="Total 2 15 10 3 4" xfId="34733" xr:uid="{00000000-0005-0000-0000-000062860000}"/>
    <cellStyle name="Total 2 15 10 4" xfId="34734" xr:uid="{00000000-0005-0000-0000-000063860000}"/>
    <cellStyle name="Total 2 15 10 4 2" xfId="34735" xr:uid="{00000000-0005-0000-0000-000064860000}"/>
    <cellStyle name="Total 2 15 10 4 3" xfId="22062" xr:uid="{00000000-0005-0000-0000-000065860000}"/>
    <cellStyle name="Total 2 15 10 5" xfId="34736" xr:uid="{00000000-0005-0000-0000-000066860000}"/>
    <cellStyle name="Total 2 15 10 5 2" xfId="34737" xr:uid="{00000000-0005-0000-0000-000067860000}"/>
    <cellStyle name="Total 2 15 10 5 3" xfId="34738" xr:uid="{00000000-0005-0000-0000-000068860000}"/>
    <cellStyle name="Total 2 15 10 6" xfId="34739" xr:uid="{00000000-0005-0000-0000-000069860000}"/>
    <cellStyle name="Total 2 15 10 7" xfId="34740" xr:uid="{00000000-0005-0000-0000-00006A860000}"/>
    <cellStyle name="Total 2 15 11" xfId="34741" xr:uid="{00000000-0005-0000-0000-00006B860000}"/>
    <cellStyle name="Total 2 15 11 2" xfId="34742" xr:uid="{00000000-0005-0000-0000-00006C860000}"/>
    <cellStyle name="Total 2 15 11 3" xfId="34743" xr:uid="{00000000-0005-0000-0000-00006D860000}"/>
    <cellStyle name="Total 2 15 11 4" xfId="34744" xr:uid="{00000000-0005-0000-0000-00006E860000}"/>
    <cellStyle name="Total 2 15 12" xfId="34745" xr:uid="{00000000-0005-0000-0000-00006F860000}"/>
    <cellStyle name="Total 2 15 12 2" xfId="11837" xr:uid="{00000000-0005-0000-0000-000070860000}"/>
    <cellStyle name="Total 2 15 12 3" xfId="11840" xr:uid="{00000000-0005-0000-0000-000071860000}"/>
    <cellStyle name="Total 2 15 12 4" xfId="32626" xr:uid="{00000000-0005-0000-0000-000072860000}"/>
    <cellStyle name="Total 2 15 13" xfId="34746" xr:uid="{00000000-0005-0000-0000-000073860000}"/>
    <cellStyle name="Total 2 15 13 2" xfId="34747" xr:uid="{00000000-0005-0000-0000-000074860000}"/>
    <cellStyle name="Total 2 15 13 3" xfId="34748" xr:uid="{00000000-0005-0000-0000-000075860000}"/>
    <cellStyle name="Total 2 15 14" xfId="34749" xr:uid="{00000000-0005-0000-0000-000076860000}"/>
    <cellStyle name="Total 2 15 14 2" xfId="34750" xr:uid="{00000000-0005-0000-0000-000077860000}"/>
    <cellStyle name="Total 2 15 14 3" xfId="34751" xr:uid="{00000000-0005-0000-0000-000078860000}"/>
    <cellStyle name="Total 2 15 15" xfId="34752" xr:uid="{00000000-0005-0000-0000-000079860000}"/>
    <cellStyle name="Total 2 15 16" xfId="34753" xr:uid="{00000000-0005-0000-0000-00007A860000}"/>
    <cellStyle name="Total 2 15 17" xfId="34754" xr:uid="{00000000-0005-0000-0000-00007B860000}"/>
    <cellStyle name="Total 2 15 2" xfId="34755" xr:uid="{00000000-0005-0000-0000-00007C860000}"/>
    <cellStyle name="Total 2 15 2 2" xfId="34757" xr:uid="{00000000-0005-0000-0000-00007D860000}"/>
    <cellStyle name="Total 2 15 2 2 2" xfId="34759" xr:uid="{00000000-0005-0000-0000-00007E860000}"/>
    <cellStyle name="Total 2 15 2 2 3" xfId="34760" xr:uid="{00000000-0005-0000-0000-00007F860000}"/>
    <cellStyle name="Total 2 15 2 2 4" xfId="34761" xr:uid="{00000000-0005-0000-0000-000080860000}"/>
    <cellStyle name="Total 2 15 2 3" xfId="34762" xr:uid="{00000000-0005-0000-0000-000081860000}"/>
    <cellStyle name="Total 2 15 2 3 2" xfId="34764" xr:uid="{00000000-0005-0000-0000-000082860000}"/>
    <cellStyle name="Total 2 15 2 3 3" xfId="34765" xr:uid="{00000000-0005-0000-0000-000083860000}"/>
    <cellStyle name="Total 2 15 2 3 4" xfId="34766" xr:uid="{00000000-0005-0000-0000-000084860000}"/>
    <cellStyle name="Total 2 15 2 4" xfId="34767" xr:uid="{00000000-0005-0000-0000-000085860000}"/>
    <cellStyle name="Total 2 15 2 4 2" xfId="11216" xr:uid="{00000000-0005-0000-0000-000086860000}"/>
    <cellStyle name="Total 2 15 2 4 3" xfId="11223" xr:uid="{00000000-0005-0000-0000-000087860000}"/>
    <cellStyle name="Total 2 15 2 5" xfId="34769" xr:uid="{00000000-0005-0000-0000-000088860000}"/>
    <cellStyle name="Total 2 15 2 5 2" xfId="34770" xr:uid="{00000000-0005-0000-0000-000089860000}"/>
    <cellStyle name="Total 2 15 2 5 3" xfId="34771" xr:uid="{00000000-0005-0000-0000-00008A860000}"/>
    <cellStyle name="Total 2 15 2 6" xfId="34772" xr:uid="{00000000-0005-0000-0000-00008B860000}"/>
    <cellStyle name="Total 2 15 2 7" xfId="34773" xr:uid="{00000000-0005-0000-0000-00008C860000}"/>
    <cellStyle name="Total 2 15 3" xfId="34774" xr:uid="{00000000-0005-0000-0000-00008D860000}"/>
    <cellStyle name="Total 2 15 3 2" xfId="34776" xr:uid="{00000000-0005-0000-0000-00008E860000}"/>
    <cellStyle name="Total 2 15 3 2 2" xfId="34778" xr:uid="{00000000-0005-0000-0000-00008F860000}"/>
    <cellStyle name="Total 2 15 3 2 3" xfId="34779" xr:uid="{00000000-0005-0000-0000-000090860000}"/>
    <cellStyle name="Total 2 15 3 2 4" xfId="34780" xr:uid="{00000000-0005-0000-0000-000091860000}"/>
    <cellStyle name="Total 2 15 3 3" xfId="34781" xr:uid="{00000000-0005-0000-0000-000092860000}"/>
    <cellStyle name="Total 2 15 3 3 2" xfId="34783" xr:uid="{00000000-0005-0000-0000-000093860000}"/>
    <cellStyle name="Total 2 15 3 3 3" xfId="34784" xr:uid="{00000000-0005-0000-0000-000094860000}"/>
    <cellStyle name="Total 2 15 3 3 4" xfId="34785" xr:uid="{00000000-0005-0000-0000-000095860000}"/>
    <cellStyle name="Total 2 15 3 4" xfId="34786" xr:uid="{00000000-0005-0000-0000-000096860000}"/>
    <cellStyle name="Total 2 15 3 4 2" xfId="34788" xr:uid="{00000000-0005-0000-0000-000097860000}"/>
    <cellStyle name="Total 2 15 3 4 3" xfId="34789" xr:uid="{00000000-0005-0000-0000-000098860000}"/>
    <cellStyle name="Total 2 15 3 5" xfId="34790" xr:uid="{00000000-0005-0000-0000-000099860000}"/>
    <cellStyle name="Total 2 15 3 5 2" xfId="34791" xr:uid="{00000000-0005-0000-0000-00009A860000}"/>
    <cellStyle name="Total 2 15 3 5 3" xfId="34792" xr:uid="{00000000-0005-0000-0000-00009B860000}"/>
    <cellStyle name="Total 2 15 3 6" xfId="34793" xr:uid="{00000000-0005-0000-0000-00009C860000}"/>
    <cellStyle name="Total 2 15 3 7" xfId="34794" xr:uid="{00000000-0005-0000-0000-00009D860000}"/>
    <cellStyle name="Total 2 15 4" xfId="34795" xr:uid="{00000000-0005-0000-0000-00009E860000}"/>
    <cellStyle name="Total 2 15 4 2" xfId="34797" xr:uid="{00000000-0005-0000-0000-00009F860000}"/>
    <cellStyle name="Total 2 15 4 2 2" xfId="34799" xr:uid="{00000000-0005-0000-0000-0000A0860000}"/>
    <cellStyle name="Total 2 15 4 2 3" xfId="34800" xr:uid="{00000000-0005-0000-0000-0000A1860000}"/>
    <cellStyle name="Total 2 15 4 2 4" xfId="34801" xr:uid="{00000000-0005-0000-0000-0000A2860000}"/>
    <cellStyle name="Total 2 15 4 3" xfId="34802" xr:uid="{00000000-0005-0000-0000-0000A3860000}"/>
    <cellStyle name="Total 2 15 4 3 2" xfId="34804" xr:uid="{00000000-0005-0000-0000-0000A4860000}"/>
    <cellStyle name="Total 2 15 4 3 3" xfId="34805" xr:uid="{00000000-0005-0000-0000-0000A5860000}"/>
    <cellStyle name="Total 2 15 4 3 4" xfId="34806" xr:uid="{00000000-0005-0000-0000-0000A6860000}"/>
    <cellStyle name="Total 2 15 4 4" xfId="34807" xr:uid="{00000000-0005-0000-0000-0000A7860000}"/>
    <cellStyle name="Total 2 15 4 4 2" xfId="34808" xr:uid="{00000000-0005-0000-0000-0000A8860000}"/>
    <cellStyle name="Total 2 15 4 4 3" xfId="34809" xr:uid="{00000000-0005-0000-0000-0000A9860000}"/>
    <cellStyle name="Total 2 15 4 5" xfId="34810" xr:uid="{00000000-0005-0000-0000-0000AA860000}"/>
    <cellStyle name="Total 2 15 4 5 2" xfId="34811" xr:uid="{00000000-0005-0000-0000-0000AB860000}"/>
    <cellStyle name="Total 2 15 4 5 3" xfId="34812" xr:uid="{00000000-0005-0000-0000-0000AC860000}"/>
    <cellStyle name="Total 2 15 4 6" xfId="34813" xr:uid="{00000000-0005-0000-0000-0000AD860000}"/>
    <cellStyle name="Total 2 15 4 7" xfId="34814" xr:uid="{00000000-0005-0000-0000-0000AE860000}"/>
    <cellStyle name="Total 2 15 5" xfId="34815" xr:uid="{00000000-0005-0000-0000-0000AF860000}"/>
    <cellStyle name="Total 2 15 5 2" xfId="34817" xr:uid="{00000000-0005-0000-0000-0000B0860000}"/>
    <cellStyle name="Total 2 15 5 2 2" xfId="34819" xr:uid="{00000000-0005-0000-0000-0000B1860000}"/>
    <cellStyle name="Total 2 15 5 2 3" xfId="34820" xr:uid="{00000000-0005-0000-0000-0000B2860000}"/>
    <cellStyle name="Total 2 15 5 2 4" xfId="34821" xr:uid="{00000000-0005-0000-0000-0000B3860000}"/>
    <cellStyle name="Total 2 15 5 3" xfId="34822" xr:uid="{00000000-0005-0000-0000-0000B4860000}"/>
    <cellStyle name="Total 2 15 5 3 2" xfId="34824" xr:uid="{00000000-0005-0000-0000-0000B5860000}"/>
    <cellStyle name="Total 2 15 5 3 3" xfId="34825" xr:uid="{00000000-0005-0000-0000-0000B6860000}"/>
    <cellStyle name="Total 2 15 5 3 4" xfId="34826" xr:uid="{00000000-0005-0000-0000-0000B7860000}"/>
    <cellStyle name="Total 2 15 5 4" xfId="34827" xr:uid="{00000000-0005-0000-0000-0000B8860000}"/>
    <cellStyle name="Total 2 15 5 4 2" xfId="34828" xr:uid="{00000000-0005-0000-0000-0000B9860000}"/>
    <cellStyle name="Total 2 15 5 4 3" xfId="34829" xr:uid="{00000000-0005-0000-0000-0000BA860000}"/>
    <cellStyle name="Total 2 15 5 5" xfId="34830" xr:uid="{00000000-0005-0000-0000-0000BB860000}"/>
    <cellStyle name="Total 2 15 5 5 2" xfId="34831" xr:uid="{00000000-0005-0000-0000-0000BC860000}"/>
    <cellStyle name="Total 2 15 5 5 3" xfId="34832" xr:uid="{00000000-0005-0000-0000-0000BD860000}"/>
    <cellStyle name="Total 2 15 5 6" xfId="34833" xr:uid="{00000000-0005-0000-0000-0000BE860000}"/>
    <cellStyle name="Total 2 15 5 7" xfId="34834" xr:uid="{00000000-0005-0000-0000-0000BF860000}"/>
    <cellStyle name="Total 2 15 6" xfId="34835" xr:uid="{00000000-0005-0000-0000-0000C0860000}"/>
    <cellStyle name="Total 2 15 6 2" xfId="34837" xr:uid="{00000000-0005-0000-0000-0000C1860000}"/>
    <cellStyle name="Total 2 15 6 2 2" xfId="34838" xr:uid="{00000000-0005-0000-0000-0000C2860000}"/>
    <cellStyle name="Total 2 15 6 2 3" xfId="34839" xr:uid="{00000000-0005-0000-0000-0000C3860000}"/>
    <cellStyle name="Total 2 15 6 2 4" xfId="34840" xr:uid="{00000000-0005-0000-0000-0000C4860000}"/>
    <cellStyle name="Total 2 15 6 3" xfId="34841" xr:uid="{00000000-0005-0000-0000-0000C5860000}"/>
    <cellStyle name="Total 2 15 6 3 2" xfId="34842" xr:uid="{00000000-0005-0000-0000-0000C6860000}"/>
    <cellStyle name="Total 2 15 6 3 3" xfId="34843" xr:uid="{00000000-0005-0000-0000-0000C7860000}"/>
    <cellStyle name="Total 2 15 6 3 4" xfId="34844" xr:uid="{00000000-0005-0000-0000-0000C8860000}"/>
    <cellStyle name="Total 2 15 6 4" xfId="34845" xr:uid="{00000000-0005-0000-0000-0000C9860000}"/>
    <cellStyle name="Total 2 15 6 4 2" xfId="34846" xr:uid="{00000000-0005-0000-0000-0000CA860000}"/>
    <cellStyle name="Total 2 15 6 4 3" xfId="34847" xr:uid="{00000000-0005-0000-0000-0000CB860000}"/>
    <cellStyle name="Total 2 15 6 5" xfId="34848" xr:uid="{00000000-0005-0000-0000-0000CC860000}"/>
    <cellStyle name="Total 2 15 6 5 2" xfId="34849" xr:uid="{00000000-0005-0000-0000-0000CD860000}"/>
    <cellStyle name="Total 2 15 6 5 3" xfId="34850" xr:uid="{00000000-0005-0000-0000-0000CE860000}"/>
    <cellStyle name="Total 2 15 6 6" xfId="34851" xr:uid="{00000000-0005-0000-0000-0000CF860000}"/>
    <cellStyle name="Total 2 15 6 7" xfId="34852" xr:uid="{00000000-0005-0000-0000-0000D0860000}"/>
    <cellStyle name="Total 2 15 7" xfId="34853" xr:uid="{00000000-0005-0000-0000-0000D1860000}"/>
    <cellStyle name="Total 2 15 7 2" xfId="34855" xr:uid="{00000000-0005-0000-0000-0000D2860000}"/>
    <cellStyle name="Total 2 15 7 2 2" xfId="34856" xr:uid="{00000000-0005-0000-0000-0000D3860000}"/>
    <cellStyle name="Total 2 15 7 2 3" xfId="34857" xr:uid="{00000000-0005-0000-0000-0000D4860000}"/>
    <cellStyle name="Total 2 15 7 2 4" xfId="34858" xr:uid="{00000000-0005-0000-0000-0000D5860000}"/>
    <cellStyle name="Total 2 15 7 3" xfId="34859" xr:uid="{00000000-0005-0000-0000-0000D6860000}"/>
    <cellStyle name="Total 2 15 7 3 2" xfId="34860" xr:uid="{00000000-0005-0000-0000-0000D7860000}"/>
    <cellStyle name="Total 2 15 7 3 3" xfId="34861" xr:uid="{00000000-0005-0000-0000-0000D8860000}"/>
    <cellStyle name="Total 2 15 7 3 4" xfId="34862" xr:uid="{00000000-0005-0000-0000-0000D9860000}"/>
    <cellStyle name="Total 2 15 7 4" xfId="34863" xr:uid="{00000000-0005-0000-0000-0000DA860000}"/>
    <cellStyle name="Total 2 15 7 4 2" xfId="8669" xr:uid="{00000000-0005-0000-0000-0000DB860000}"/>
    <cellStyle name="Total 2 15 7 4 3" xfId="8691" xr:uid="{00000000-0005-0000-0000-0000DC860000}"/>
    <cellStyle name="Total 2 15 7 5" xfId="34864" xr:uid="{00000000-0005-0000-0000-0000DD860000}"/>
    <cellStyle name="Total 2 15 7 5 2" xfId="34865" xr:uid="{00000000-0005-0000-0000-0000DE860000}"/>
    <cellStyle name="Total 2 15 7 5 3" xfId="34866" xr:uid="{00000000-0005-0000-0000-0000DF860000}"/>
    <cellStyle name="Total 2 15 7 6" xfId="34867" xr:uid="{00000000-0005-0000-0000-0000E0860000}"/>
    <cellStyle name="Total 2 15 7 7" xfId="34868" xr:uid="{00000000-0005-0000-0000-0000E1860000}"/>
    <cellStyle name="Total 2 15 8" xfId="34869" xr:uid="{00000000-0005-0000-0000-0000E2860000}"/>
    <cellStyle name="Total 2 15 8 2" xfId="34871" xr:uid="{00000000-0005-0000-0000-0000E3860000}"/>
    <cellStyle name="Total 2 15 8 2 2" xfId="34872" xr:uid="{00000000-0005-0000-0000-0000E4860000}"/>
    <cellStyle name="Total 2 15 8 2 3" xfId="34873" xr:uid="{00000000-0005-0000-0000-0000E5860000}"/>
    <cellStyle name="Total 2 15 8 2 4" xfId="34874" xr:uid="{00000000-0005-0000-0000-0000E6860000}"/>
    <cellStyle name="Total 2 15 8 3" xfId="34875" xr:uid="{00000000-0005-0000-0000-0000E7860000}"/>
    <cellStyle name="Total 2 15 8 3 2" xfId="34876" xr:uid="{00000000-0005-0000-0000-0000E8860000}"/>
    <cellStyle name="Total 2 15 8 3 3" xfId="34877" xr:uid="{00000000-0005-0000-0000-0000E9860000}"/>
    <cellStyle name="Total 2 15 8 3 4" xfId="34878" xr:uid="{00000000-0005-0000-0000-0000EA860000}"/>
    <cellStyle name="Total 2 15 8 4" xfId="34879" xr:uid="{00000000-0005-0000-0000-0000EB860000}"/>
    <cellStyle name="Total 2 15 8 4 2" xfId="34880" xr:uid="{00000000-0005-0000-0000-0000EC860000}"/>
    <cellStyle name="Total 2 15 8 4 3" xfId="34881" xr:uid="{00000000-0005-0000-0000-0000ED860000}"/>
    <cellStyle name="Total 2 15 8 5" xfId="34882" xr:uid="{00000000-0005-0000-0000-0000EE860000}"/>
    <cellStyle name="Total 2 15 8 5 2" xfId="34883" xr:uid="{00000000-0005-0000-0000-0000EF860000}"/>
    <cellStyle name="Total 2 15 8 5 3" xfId="34884" xr:uid="{00000000-0005-0000-0000-0000F0860000}"/>
    <cellStyle name="Total 2 15 8 6" xfId="34885" xr:uid="{00000000-0005-0000-0000-0000F1860000}"/>
    <cellStyle name="Total 2 15 8 7" xfId="34886" xr:uid="{00000000-0005-0000-0000-0000F2860000}"/>
    <cellStyle name="Total 2 15 9" xfId="34887" xr:uid="{00000000-0005-0000-0000-0000F3860000}"/>
    <cellStyle name="Total 2 15 9 2" xfId="34888" xr:uid="{00000000-0005-0000-0000-0000F4860000}"/>
    <cellStyle name="Total 2 15 9 2 2" xfId="34889" xr:uid="{00000000-0005-0000-0000-0000F5860000}"/>
    <cellStyle name="Total 2 15 9 2 3" xfId="34890" xr:uid="{00000000-0005-0000-0000-0000F6860000}"/>
    <cellStyle name="Total 2 15 9 2 4" xfId="34891" xr:uid="{00000000-0005-0000-0000-0000F7860000}"/>
    <cellStyle name="Total 2 15 9 3" xfId="34892" xr:uid="{00000000-0005-0000-0000-0000F8860000}"/>
    <cellStyle name="Total 2 15 9 3 2" xfId="34893" xr:uid="{00000000-0005-0000-0000-0000F9860000}"/>
    <cellStyle name="Total 2 15 9 3 3" xfId="34894" xr:uid="{00000000-0005-0000-0000-0000FA860000}"/>
    <cellStyle name="Total 2 15 9 3 4" xfId="34895" xr:uid="{00000000-0005-0000-0000-0000FB860000}"/>
    <cellStyle name="Total 2 15 9 4" xfId="34896" xr:uid="{00000000-0005-0000-0000-0000FC860000}"/>
    <cellStyle name="Total 2 15 9 4 2" xfId="34897" xr:uid="{00000000-0005-0000-0000-0000FD860000}"/>
    <cellStyle name="Total 2 15 9 4 3" xfId="34898" xr:uid="{00000000-0005-0000-0000-0000FE860000}"/>
    <cellStyle name="Total 2 15 9 5" xfId="34899" xr:uid="{00000000-0005-0000-0000-0000FF860000}"/>
    <cellStyle name="Total 2 15 9 5 2" xfId="34900" xr:uid="{00000000-0005-0000-0000-000000870000}"/>
    <cellStyle name="Total 2 15 9 5 3" xfId="34901" xr:uid="{00000000-0005-0000-0000-000001870000}"/>
    <cellStyle name="Total 2 15 9 6" xfId="34902" xr:uid="{00000000-0005-0000-0000-000002870000}"/>
    <cellStyle name="Total 2 15 9 7" xfId="34903" xr:uid="{00000000-0005-0000-0000-000003870000}"/>
    <cellStyle name="Total 2 16" xfId="7125" xr:uid="{00000000-0005-0000-0000-000004870000}"/>
    <cellStyle name="Total 2 16 10" xfId="34904" xr:uid="{00000000-0005-0000-0000-000005870000}"/>
    <cellStyle name="Total 2 16 10 2" xfId="34905" xr:uid="{00000000-0005-0000-0000-000006870000}"/>
    <cellStyle name="Total 2 16 10 2 2" xfId="34906" xr:uid="{00000000-0005-0000-0000-000007870000}"/>
    <cellStyle name="Total 2 16 10 2 3" xfId="34907" xr:uid="{00000000-0005-0000-0000-000008870000}"/>
    <cellStyle name="Total 2 16 10 2 4" xfId="34908" xr:uid="{00000000-0005-0000-0000-000009870000}"/>
    <cellStyle name="Total 2 16 10 3" xfId="34909" xr:uid="{00000000-0005-0000-0000-00000A870000}"/>
    <cellStyle name="Total 2 16 10 3 2" xfId="34910" xr:uid="{00000000-0005-0000-0000-00000B870000}"/>
    <cellStyle name="Total 2 16 10 3 3" xfId="34911" xr:uid="{00000000-0005-0000-0000-00000C870000}"/>
    <cellStyle name="Total 2 16 10 3 4" xfId="34912" xr:uid="{00000000-0005-0000-0000-00000D870000}"/>
    <cellStyle name="Total 2 16 10 4" xfId="34913" xr:uid="{00000000-0005-0000-0000-00000E870000}"/>
    <cellStyle name="Total 2 16 10 4 2" xfId="34914" xr:uid="{00000000-0005-0000-0000-00000F870000}"/>
    <cellStyle name="Total 2 16 10 4 3" xfId="34915" xr:uid="{00000000-0005-0000-0000-000010870000}"/>
    <cellStyle name="Total 2 16 10 5" xfId="34916" xr:uid="{00000000-0005-0000-0000-000011870000}"/>
    <cellStyle name="Total 2 16 10 5 2" xfId="34917" xr:uid="{00000000-0005-0000-0000-000012870000}"/>
    <cellStyle name="Total 2 16 10 5 3" xfId="34918" xr:uid="{00000000-0005-0000-0000-000013870000}"/>
    <cellStyle name="Total 2 16 10 6" xfId="34919" xr:uid="{00000000-0005-0000-0000-000014870000}"/>
    <cellStyle name="Total 2 16 10 7" xfId="34920" xr:uid="{00000000-0005-0000-0000-000015870000}"/>
    <cellStyle name="Total 2 16 11" xfId="34921" xr:uid="{00000000-0005-0000-0000-000016870000}"/>
    <cellStyle name="Total 2 16 11 2" xfId="34922" xr:uid="{00000000-0005-0000-0000-000017870000}"/>
    <cellStyle name="Total 2 16 11 3" xfId="34923" xr:uid="{00000000-0005-0000-0000-000018870000}"/>
    <cellStyle name="Total 2 16 11 4" xfId="34924" xr:uid="{00000000-0005-0000-0000-000019870000}"/>
    <cellStyle name="Total 2 16 12" xfId="34925" xr:uid="{00000000-0005-0000-0000-00001A870000}"/>
    <cellStyle name="Total 2 16 12 2" xfId="12160" xr:uid="{00000000-0005-0000-0000-00001B870000}"/>
    <cellStyle name="Total 2 16 12 3" xfId="1872" xr:uid="{00000000-0005-0000-0000-00001C870000}"/>
    <cellStyle name="Total 2 16 12 4" xfId="32774" xr:uid="{00000000-0005-0000-0000-00001D870000}"/>
    <cellStyle name="Total 2 16 13" xfId="34926" xr:uid="{00000000-0005-0000-0000-00001E870000}"/>
    <cellStyle name="Total 2 16 13 2" xfId="34927" xr:uid="{00000000-0005-0000-0000-00001F870000}"/>
    <cellStyle name="Total 2 16 13 3" xfId="34928" xr:uid="{00000000-0005-0000-0000-000020870000}"/>
    <cellStyle name="Total 2 16 14" xfId="34929" xr:uid="{00000000-0005-0000-0000-000021870000}"/>
    <cellStyle name="Total 2 16 14 2" xfId="34930" xr:uid="{00000000-0005-0000-0000-000022870000}"/>
    <cellStyle name="Total 2 16 14 3" xfId="34931" xr:uid="{00000000-0005-0000-0000-000023870000}"/>
    <cellStyle name="Total 2 16 15" xfId="34932" xr:uid="{00000000-0005-0000-0000-000024870000}"/>
    <cellStyle name="Total 2 16 16" xfId="34933" xr:uid="{00000000-0005-0000-0000-000025870000}"/>
    <cellStyle name="Total 2 16 17" xfId="34934" xr:uid="{00000000-0005-0000-0000-000026870000}"/>
    <cellStyle name="Total 2 16 2" xfId="34935" xr:uid="{00000000-0005-0000-0000-000027870000}"/>
    <cellStyle name="Total 2 16 2 2" xfId="34937" xr:uid="{00000000-0005-0000-0000-000028870000}"/>
    <cellStyle name="Total 2 16 2 2 2" xfId="34939" xr:uid="{00000000-0005-0000-0000-000029870000}"/>
    <cellStyle name="Total 2 16 2 2 3" xfId="11992" xr:uid="{00000000-0005-0000-0000-00002A870000}"/>
    <cellStyle name="Total 2 16 2 2 4" xfId="12006" xr:uid="{00000000-0005-0000-0000-00002B870000}"/>
    <cellStyle name="Total 2 16 2 3" xfId="34940" xr:uid="{00000000-0005-0000-0000-00002C870000}"/>
    <cellStyle name="Total 2 16 2 3 2" xfId="34942" xr:uid="{00000000-0005-0000-0000-00002D870000}"/>
    <cellStyle name="Total 2 16 2 3 3" xfId="12046" xr:uid="{00000000-0005-0000-0000-00002E870000}"/>
    <cellStyle name="Total 2 16 2 3 4" xfId="12059" xr:uid="{00000000-0005-0000-0000-00002F870000}"/>
    <cellStyle name="Total 2 16 2 4" xfId="34943" xr:uid="{00000000-0005-0000-0000-000030870000}"/>
    <cellStyle name="Total 2 16 2 4 2" xfId="34945" xr:uid="{00000000-0005-0000-0000-000031870000}"/>
    <cellStyle name="Total 2 16 2 4 3" xfId="12090" xr:uid="{00000000-0005-0000-0000-000032870000}"/>
    <cellStyle name="Total 2 16 2 5" xfId="34946" xr:uid="{00000000-0005-0000-0000-000033870000}"/>
    <cellStyle name="Total 2 16 2 5 2" xfId="34947" xr:uid="{00000000-0005-0000-0000-000034870000}"/>
    <cellStyle name="Total 2 16 2 5 3" xfId="34948" xr:uid="{00000000-0005-0000-0000-000035870000}"/>
    <cellStyle name="Total 2 16 2 6" xfId="34949" xr:uid="{00000000-0005-0000-0000-000036870000}"/>
    <cellStyle name="Total 2 16 2 7" xfId="34950" xr:uid="{00000000-0005-0000-0000-000037870000}"/>
    <cellStyle name="Total 2 16 3" xfId="34951" xr:uid="{00000000-0005-0000-0000-000038870000}"/>
    <cellStyle name="Total 2 16 3 2" xfId="34953" xr:uid="{00000000-0005-0000-0000-000039870000}"/>
    <cellStyle name="Total 2 16 3 2 2" xfId="34955" xr:uid="{00000000-0005-0000-0000-00003A870000}"/>
    <cellStyle name="Total 2 16 3 2 3" xfId="11284" xr:uid="{00000000-0005-0000-0000-00003B870000}"/>
    <cellStyle name="Total 2 16 3 2 4" xfId="11289" xr:uid="{00000000-0005-0000-0000-00003C870000}"/>
    <cellStyle name="Total 2 16 3 3" xfId="34956" xr:uid="{00000000-0005-0000-0000-00003D870000}"/>
    <cellStyle name="Total 2 16 3 3 2" xfId="12333" xr:uid="{00000000-0005-0000-0000-00003E870000}"/>
    <cellStyle name="Total 2 16 3 3 3" xfId="11297" xr:uid="{00000000-0005-0000-0000-00003F870000}"/>
    <cellStyle name="Total 2 16 3 3 4" xfId="11303" xr:uid="{00000000-0005-0000-0000-000040870000}"/>
    <cellStyle name="Total 2 16 3 4" xfId="34958" xr:uid="{00000000-0005-0000-0000-000041870000}"/>
    <cellStyle name="Total 2 16 3 4 2" xfId="12385" xr:uid="{00000000-0005-0000-0000-000042870000}"/>
    <cellStyle name="Total 2 16 3 4 3" xfId="12399" xr:uid="{00000000-0005-0000-0000-000043870000}"/>
    <cellStyle name="Total 2 16 3 5" xfId="34960" xr:uid="{00000000-0005-0000-0000-000044870000}"/>
    <cellStyle name="Total 2 16 3 5 2" xfId="12441" xr:uid="{00000000-0005-0000-0000-000045870000}"/>
    <cellStyle name="Total 2 16 3 5 3" xfId="12458" xr:uid="{00000000-0005-0000-0000-000046870000}"/>
    <cellStyle name="Total 2 16 3 6" xfId="34961" xr:uid="{00000000-0005-0000-0000-000047870000}"/>
    <cellStyle name="Total 2 16 3 7" xfId="34962" xr:uid="{00000000-0005-0000-0000-000048870000}"/>
    <cellStyle name="Total 2 16 4" xfId="34963" xr:uid="{00000000-0005-0000-0000-000049870000}"/>
    <cellStyle name="Total 2 16 4 2" xfId="34965" xr:uid="{00000000-0005-0000-0000-00004A870000}"/>
    <cellStyle name="Total 2 16 4 2 2" xfId="14715" xr:uid="{00000000-0005-0000-0000-00004B870000}"/>
    <cellStyle name="Total 2 16 4 2 3" xfId="14718" xr:uid="{00000000-0005-0000-0000-00004C870000}"/>
    <cellStyle name="Total 2 16 4 2 4" xfId="27696" xr:uid="{00000000-0005-0000-0000-00004D870000}"/>
    <cellStyle name="Total 2 16 4 3" xfId="34967" xr:uid="{00000000-0005-0000-0000-00004E870000}"/>
    <cellStyle name="Total 2 16 4 3 2" xfId="14724" xr:uid="{00000000-0005-0000-0000-00004F870000}"/>
    <cellStyle name="Total 2 16 4 3 3" xfId="19248" xr:uid="{00000000-0005-0000-0000-000050870000}"/>
    <cellStyle name="Total 2 16 4 3 4" xfId="19459" xr:uid="{00000000-0005-0000-0000-000051870000}"/>
    <cellStyle name="Total 2 16 4 4" xfId="34969" xr:uid="{00000000-0005-0000-0000-000052870000}"/>
    <cellStyle name="Total 2 16 4 4 2" xfId="14731" xr:uid="{00000000-0005-0000-0000-000053870000}"/>
    <cellStyle name="Total 2 16 4 4 3" xfId="27705" xr:uid="{00000000-0005-0000-0000-000054870000}"/>
    <cellStyle name="Total 2 16 4 5" xfId="34970" xr:uid="{00000000-0005-0000-0000-000055870000}"/>
    <cellStyle name="Total 2 16 4 5 2" xfId="34971" xr:uid="{00000000-0005-0000-0000-000056870000}"/>
    <cellStyle name="Total 2 16 4 5 3" xfId="34972" xr:uid="{00000000-0005-0000-0000-000057870000}"/>
    <cellStyle name="Total 2 16 4 6" xfId="34973" xr:uid="{00000000-0005-0000-0000-000058870000}"/>
    <cellStyle name="Total 2 16 4 7" xfId="34974" xr:uid="{00000000-0005-0000-0000-000059870000}"/>
    <cellStyle name="Total 2 16 5" xfId="34975" xr:uid="{00000000-0005-0000-0000-00005A870000}"/>
    <cellStyle name="Total 2 16 5 2" xfId="34977" xr:uid="{00000000-0005-0000-0000-00005B870000}"/>
    <cellStyle name="Total 2 16 5 2 2" xfId="34979" xr:uid="{00000000-0005-0000-0000-00005C870000}"/>
    <cellStyle name="Total 2 16 5 2 3" xfId="34980" xr:uid="{00000000-0005-0000-0000-00005D870000}"/>
    <cellStyle name="Total 2 16 5 2 4" xfId="34981" xr:uid="{00000000-0005-0000-0000-00005E870000}"/>
    <cellStyle name="Total 2 16 5 3" xfId="34982" xr:uid="{00000000-0005-0000-0000-00005F870000}"/>
    <cellStyle name="Total 2 16 5 3 2" xfId="34984" xr:uid="{00000000-0005-0000-0000-000060870000}"/>
    <cellStyle name="Total 2 16 5 3 3" xfId="34985" xr:uid="{00000000-0005-0000-0000-000061870000}"/>
    <cellStyle name="Total 2 16 5 3 4" xfId="34986" xr:uid="{00000000-0005-0000-0000-000062870000}"/>
    <cellStyle name="Total 2 16 5 4" xfId="34987" xr:uid="{00000000-0005-0000-0000-000063870000}"/>
    <cellStyle name="Total 2 16 5 4 2" xfId="34988" xr:uid="{00000000-0005-0000-0000-000064870000}"/>
    <cellStyle name="Total 2 16 5 4 3" xfId="34989" xr:uid="{00000000-0005-0000-0000-000065870000}"/>
    <cellStyle name="Total 2 16 5 5" xfId="34990" xr:uid="{00000000-0005-0000-0000-000066870000}"/>
    <cellStyle name="Total 2 16 5 5 2" xfId="34991" xr:uid="{00000000-0005-0000-0000-000067870000}"/>
    <cellStyle name="Total 2 16 5 5 3" xfId="34992" xr:uid="{00000000-0005-0000-0000-000068870000}"/>
    <cellStyle name="Total 2 16 5 6" xfId="34993" xr:uid="{00000000-0005-0000-0000-000069870000}"/>
    <cellStyle name="Total 2 16 5 7" xfId="34994" xr:uid="{00000000-0005-0000-0000-00006A870000}"/>
    <cellStyle name="Total 2 16 6" xfId="34995" xr:uid="{00000000-0005-0000-0000-00006B870000}"/>
    <cellStyle name="Total 2 16 6 2" xfId="34997" xr:uid="{00000000-0005-0000-0000-00006C870000}"/>
    <cellStyle name="Total 2 16 6 2 2" xfId="34998" xr:uid="{00000000-0005-0000-0000-00006D870000}"/>
    <cellStyle name="Total 2 16 6 2 3" xfId="34999" xr:uid="{00000000-0005-0000-0000-00006E870000}"/>
    <cellStyle name="Total 2 16 6 2 4" xfId="35000" xr:uid="{00000000-0005-0000-0000-00006F870000}"/>
    <cellStyle name="Total 2 16 6 3" xfId="35001" xr:uid="{00000000-0005-0000-0000-000070870000}"/>
    <cellStyle name="Total 2 16 6 3 2" xfId="35002" xr:uid="{00000000-0005-0000-0000-000071870000}"/>
    <cellStyle name="Total 2 16 6 3 3" xfId="35003" xr:uid="{00000000-0005-0000-0000-000072870000}"/>
    <cellStyle name="Total 2 16 6 3 4" xfId="35004" xr:uid="{00000000-0005-0000-0000-000073870000}"/>
    <cellStyle name="Total 2 16 6 4" xfId="35005" xr:uid="{00000000-0005-0000-0000-000074870000}"/>
    <cellStyle name="Total 2 16 6 4 2" xfId="35006" xr:uid="{00000000-0005-0000-0000-000075870000}"/>
    <cellStyle name="Total 2 16 6 4 3" xfId="35007" xr:uid="{00000000-0005-0000-0000-000076870000}"/>
    <cellStyle name="Total 2 16 6 5" xfId="35008" xr:uid="{00000000-0005-0000-0000-000077870000}"/>
    <cellStyle name="Total 2 16 6 5 2" xfId="35009" xr:uid="{00000000-0005-0000-0000-000078870000}"/>
    <cellStyle name="Total 2 16 6 5 3" xfId="35010" xr:uid="{00000000-0005-0000-0000-000079870000}"/>
    <cellStyle name="Total 2 16 6 6" xfId="35011" xr:uid="{00000000-0005-0000-0000-00007A870000}"/>
    <cellStyle name="Total 2 16 6 7" xfId="35012" xr:uid="{00000000-0005-0000-0000-00007B870000}"/>
    <cellStyle name="Total 2 16 7" xfId="35013" xr:uid="{00000000-0005-0000-0000-00007C870000}"/>
    <cellStyle name="Total 2 16 7 2" xfId="35015" xr:uid="{00000000-0005-0000-0000-00007D870000}"/>
    <cellStyle name="Total 2 16 7 2 2" xfId="35016" xr:uid="{00000000-0005-0000-0000-00007E870000}"/>
    <cellStyle name="Total 2 16 7 2 3" xfId="35017" xr:uid="{00000000-0005-0000-0000-00007F870000}"/>
    <cellStyle name="Total 2 16 7 2 4" xfId="35018" xr:uid="{00000000-0005-0000-0000-000080870000}"/>
    <cellStyle name="Total 2 16 7 3" xfId="35019" xr:uid="{00000000-0005-0000-0000-000081870000}"/>
    <cellStyle name="Total 2 16 7 3 2" xfId="35020" xr:uid="{00000000-0005-0000-0000-000082870000}"/>
    <cellStyle name="Total 2 16 7 3 3" xfId="35021" xr:uid="{00000000-0005-0000-0000-000083870000}"/>
    <cellStyle name="Total 2 16 7 3 4" xfId="35022" xr:uid="{00000000-0005-0000-0000-000084870000}"/>
    <cellStyle name="Total 2 16 7 4" xfId="35023" xr:uid="{00000000-0005-0000-0000-000085870000}"/>
    <cellStyle name="Total 2 16 7 4 2" xfId="35024" xr:uid="{00000000-0005-0000-0000-000086870000}"/>
    <cellStyle name="Total 2 16 7 4 3" xfId="35025" xr:uid="{00000000-0005-0000-0000-000087870000}"/>
    <cellStyle name="Total 2 16 7 5" xfId="35026" xr:uid="{00000000-0005-0000-0000-000088870000}"/>
    <cellStyle name="Total 2 16 7 5 2" xfId="35027" xr:uid="{00000000-0005-0000-0000-000089870000}"/>
    <cellStyle name="Total 2 16 7 5 3" xfId="35028" xr:uid="{00000000-0005-0000-0000-00008A870000}"/>
    <cellStyle name="Total 2 16 7 6" xfId="35029" xr:uid="{00000000-0005-0000-0000-00008B870000}"/>
    <cellStyle name="Total 2 16 7 7" xfId="35030" xr:uid="{00000000-0005-0000-0000-00008C870000}"/>
    <cellStyle name="Total 2 16 8" xfId="35031" xr:uid="{00000000-0005-0000-0000-00008D870000}"/>
    <cellStyle name="Total 2 16 8 2" xfId="35033" xr:uid="{00000000-0005-0000-0000-00008E870000}"/>
    <cellStyle name="Total 2 16 8 2 2" xfId="35034" xr:uid="{00000000-0005-0000-0000-00008F870000}"/>
    <cellStyle name="Total 2 16 8 2 3" xfId="35035" xr:uid="{00000000-0005-0000-0000-000090870000}"/>
    <cellStyle name="Total 2 16 8 2 4" xfId="35036" xr:uid="{00000000-0005-0000-0000-000091870000}"/>
    <cellStyle name="Total 2 16 8 3" xfId="35037" xr:uid="{00000000-0005-0000-0000-000092870000}"/>
    <cellStyle name="Total 2 16 8 3 2" xfId="35038" xr:uid="{00000000-0005-0000-0000-000093870000}"/>
    <cellStyle name="Total 2 16 8 3 3" xfId="35039" xr:uid="{00000000-0005-0000-0000-000094870000}"/>
    <cellStyle name="Total 2 16 8 3 4" xfId="35040" xr:uid="{00000000-0005-0000-0000-000095870000}"/>
    <cellStyle name="Total 2 16 8 4" xfId="35041" xr:uid="{00000000-0005-0000-0000-000096870000}"/>
    <cellStyle name="Total 2 16 8 4 2" xfId="35042" xr:uid="{00000000-0005-0000-0000-000097870000}"/>
    <cellStyle name="Total 2 16 8 4 3" xfId="35043" xr:uid="{00000000-0005-0000-0000-000098870000}"/>
    <cellStyle name="Total 2 16 8 5" xfId="35044" xr:uid="{00000000-0005-0000-0000-000099870000}"/>
    <cellStyle name="Total 2 16 8 5 2" xfId="35045" xr:uid="{00000000-0005-0000-0000-00009A870000}"/>
    <cellStyle name="Total 2 16 8 5 3" xfId="35046" xr:uid="{00000000-0005-0000-0000-00009B870000}"/>
    <cellStyle name="Total 2 16 8 6" xfId="35047" xr:uid="{00000000-0005-0000-0000-00009C870000}"/>
    <cellStyle name="Total 2 16 8 7" xfId="35048" xr:uid="{00000000-0005-0000-0000-00009D870000}"/>
    <cellStyle name="Total 2 16 9" xfId="35049" xr:uid="{00000000-0005-0000-0000-00009E870000}"/>
    <cellStyle name="Total 2 16 9 2" xfId="35050" xr:uid="{00000000-0005-0000-0000-00009F870000}"/>
    <cellStyle name="Total 2 16 9 2 2" xfId="35051" xr:uid="{00000000-0005-0000-0000-0000A0870000}"/>
    <cellStyle name="Total 2 16 9 2 3" xfId="35052" xr:uid="{00000000-0005-0000-0000-0000A1870000}"/>
    <cellStyle name="Total 2 16 9 2 4" xfId="35053" xr:uid="{00000000-0005-0000-0000-0000A2870000}"/>
    <cellStyle name="Total 2 16 9 3" xfId="35054" xr:uid="{00000000-0005-0000-0000-0000A3870000}"/>
    <cellStyle name="Total 2 16 9 3 2" xfId="35055" xr:uid="{00000000-0005-0000-0000-0000A4870000}"/>
    <cellStyle name="Total 2 16 9 3 3" xfId="35056" xr:uid="{00000000-0005-0000-0000-0000A5870000}"/>
    <cellStyle name="Total 2 16 9 3 4" xfId="35057" xr:uid="{00000000-0005-0000-0000-0000A6870000}"/>
    <cellStyle name="Total 2 16 9 4" xfId="35058" xr:uid="{00000000-0005-0000-0000-0000A7870000}"/>
    <cellStyle name="Total 2 16 9 4 2" xfId="35059" xr:uid="{00000000-0005-0000-0000-0000A8870000}"/>
    <cellStyle name="Total 2 16 9 4 3" xfId="35060" xr:uid="{00000000-0005-0000-0000-0000A9870000}"/>
    <cellStyle name="Total 2 16 9 5" xfId="35061" xr:uid="{00000000-0005-0000-0000-0000AA870000}"/>
    <cellStyle name="Total 2 16 9 5 2" xfId="35062" xr:uid="{00000000-0005-0000-0000-0000AB870000}"/>
    <cellStyle name="Total 2 16 9 5 3" xfId="35063" xr:uid="{00000000-0005-0000-0000-0000AC870000}"/>
    <cellStyle name="Total 2 16 9 6" xfId="35064" xr:uid="{00000000-0005-0000-0000-0000AD870000}"/>
    <cellStyle name="Total 2 16 9 7" xfId="35065" xr:uid="{00000000-0005-0000-0000-0000AE870000}"/>
    <cellStyle name="Total 2 17" xfId="35066" xr:uid="{00000000-0005-0000-0000-0000AF870000}"/>
    <cellStyle name="Total 2 17 2" xfId="35068" xr:uid="{00000000-0005-0000-0000-0000B0870000}"/>
    <cellStyle name="Total 2 17 2 2" xfId="35070" xr:uid="{00000000-0005-0000-0000-0000B1870000}"/>
    <cellStyle name="Total 2 17 2 3" xfId="35072" xr:uid="{00000000-0005-0000-0000-0000B2870000}"/>
    <cellStyle name="Total 2 17 2 4" xfId="35074" xr:uid="{00000000-0005-0000-0000-0000B3870000}"/>
    <cellStyle name="Total 2 17 3" xfId="35076" xr:uid="{00000000-0005-0000-0000-0000B4870000}"/>
    <cellStyle name="Total 2 17 3 2" xfId="35078" xr:uid="{00000000-0005-0000-0000-0000B5870000}"/>
    <cellStyle name="Total 2 17 3 3" xfId="35080" xr:uid="{00000000-0005-0000-0000-0000B6870000}"/>
    <cellStyle name="Total 2 17 3 4" xfId="35082" xr:uid="{00000000-0005-0000-0000-0000B7870000}"/>
    <cellStyle name="Total 2 17 4" xfId="35084" xr:uid="{00000000-0005-0000-0000-0000B8870000}"/>
    <cellStyle name="Total 2 17 4 2" xfId="35086" xr:uid="{00000000-0005-0000-0000-0000B9870000}"/>
    <cellStyle name="Total 2 17 4 3" xfId="35088" xr:uid="{00000000-0005-0000-0000-0000BA870000}"/>
    <cellStyle name="Total 2 17 5" xfId="35090" xr:uid="{00000000-0005-0000-0000-0000BB870000}"/>
    <cellStyle name="Total 2 17 5 2" xfId="35092" xr:uid="{00000000-0005-0000-0000-0000BC870000}"/>
    <cellStyle name="Total 2 17 5 3" xfId="35094" xr:uid="{00000000-0005-0000-0000-0000BD870000}"/>
    <cellStyle name="Total 2 17 6" xfId="35096" xr:uid="{00000000-0005-0000-0000-0000BE870000}"/>
    <cellStyle name="Total 2 17 7" xfId="35098" xr:uid="{00000000-0005-0000-0000-0000BF870000}"/>
    <cellStyle name="Total 2 17 8" xfId="35100" xr:uid="{00000000-0005-0000-0000-0000C0870000}"/>
    <cellStyle name="Total 2 18" xfId="35102" xr:uid="{00000000-0005-0000-0000-0000C1870000}"/>
    <cellStyle name="Total 2 18 2" xfId="35104" xr:uid="{00000000-0005-0000-0000-0000C2870000}"/>
    <cellStyle name="Total 2 18 2 2" xfId="35106" xr:uid="{00000000-0005-0000-0000-0000C3870000}"/>
    <cellStyle name="Total 2 18 2 3" xfId="35108" xr:uid="{00000000-0005-0000-0000-0000C4870000}"/>
    <cellStyle name="Total 2 18 2 4" xfId="35110" xr:uid="{00000000-0005-0000-0000-0000C5870000}"/>
    <cellStyle name="Total 2 18 3" xfId="35112" xr:uid="{00000000-0005-0000-0000-0000C6870000}"/>
    <cellStyle name="Total 2 18 3 2" xfId="35114" xr:uid="{00000000-0005-0000-0000-0000C7870000}"/>
    <cellStyle name="Total 2 18 3 3" xfId="35116" xr:uid="{00000000-0005-0000-0000-0000C8870000}"/>
    <cellStyle name="Total 2 18 3 4" xfId="35118" xr:uid="{00000000-0005-0000-0000-0000C9870000}"/>
    <cellStyle name="Total 2 18 4" xfId="35120" xr:uid="{00000000-0005-0000-0000-0000CA870000}"/>
    <cellStyle name="Total 2 18 4 2" xfId="2336" xr:uid="{00000000-0005-0000-0000-0000CB870000}"/>
    <cellStyle name="Total 2 18 4 3" xfId="2339" xr:uid="{00000000-0005-0000-0000-0000CC870000}"/>
    <cellStyle name="Total 2 18 5" xfId="35122" xr:uid="{00000000-0005-0000-0000-0000CD870000}"/>
    <cellStyle name="Total 2 18 5 2" xfId="35124" xr:uid="{00000000-0005-0000-0000-0000CE870000}"/>
    <cellStyle name="Total 2 18 5 3" xfId="35126" xr:uid="{00000000-0005-0000-0000-0000CF870000}"/>
    <cellStyle name="Total 2 18 6" xfId="35128" xr:uid="{00000000-0005-0000-0000-0000D0870000}"/>
    <cellStyle name="Total 2 18 7" xfId="35130" xr:uid="{00000000-0005-0000-0000-0000D1870000}"/>
    <cellStyle name="Total 2 18 8" xfId="35132" xr:uid="{00000000-0005-0000-0000-0000D2870000}"/>
    <cellStyle name="Total 2 19" xfId="35134" xr:uid="{00000000-0005-0000-0000-0000D3870000}"/>
    <cellStyle name="Total 2 19 2" xfId="35136" xr:uid="{00000000-0005-0000-0000-0000D4870000}"/>
    <cellStyle name="Total 2 19 2 2" xfId="35138" xr:uid="{00000000-0005-0000-0000-0000D5870000}"/>
    <cellStyle name="Total 2 19 2 3" xfId="35140" xr:uid="{00000000-0005-0000-0000-0000D6870000}"/>
    <cellStyle name="Total 2 19 2 4" xfId="35142" xr:uid="{00000000-0005-0000-0000-0000D7870000}"/>
    <cellStyle name="Total 2 19 3" xfId="35144" xr:uid="{00000000-0005-0000-0000-0000D8870000}"/>
    <cellStyle name="Total 2 19 3 2" xfId="35146" xr:uid="{00000000-0005-0000-0000-0000D9870000}"/>
    <cellStyle name="Total 2 19 3 3" xfId="35148" xr:uid="{00000000-0005-0000-0000-0000DA870000}"/>
    <cellStyle name="Total 2 19 3 4" xfId="35150" xr:uid="{00000000-0005-0000-0000-0000DB870000}"/>
    <cellStyle name="Total 2 19 4" xfId="35152" xr:uid="{00000000-0005-0000-0000-0000DC870000}"/>
    <cellStyle name="Total 2 19 4 2" xfId="35154" xr:uid="{00000000-0005-0000-0000-0000DD870000}"/>
    <cellStyle name="Total 2 19 4 3" xfId="35156" xr:uid="{00000000-0005-0000-0000-0000DE870000}"/>
    <cellStyle name="Total 2 19 5" xfId="35158" xr:uid="{00000000-0005-0000-0000-0000DF870000}"/>
    <cellStyle name="Total 2 19 5 2" xfId="35160" xr:uid="{00000000-0005-0000-0000-0000E0870000}"/>
    <cellStyle name="Total 2 19 5 3" xfId="35162" xr:uid="{00000000-0005-0000-0000-0000E1870000}"/>
    <cellStyle name="Total 2 19 6" xfId="35164" xr:uid="{00000000-0005-0000-0000-0000E2870000}"/>
    <cellStyle name="Total 2 19 7" xfId="35166" xr:uid="{00000000-0005-0000-0000-0000E3870000}"/>
    <cellStyle name="Total 2 19 8" xfId="35168" xr:uid="{00000000-0005-0000-0000-0000E4870000}"/>
    <cellStyle name="Total 2 2" xfId="35170" xr:uid="{00000000-0005-0000-0000-0000E5870000}"/>
    <cellStyle name="Total 2 2 10" xfId="35171" xr:uid="{00000000-0005-0000-0000-0000E6870000}"/>
    <cellStyle name="Total 2 2 10 2" xfId="35172" xr:uid="{00000000-0005-0000-0000-0000E7870000}"/>
    <cellStyle name="Total 2 2 10 2 2" xfId="35173" xr:uid="{00000000-0005-0000-0000-0000E8870000}"/>
    <cellStyle name="Total 2 2 10 2 3" xfId="35174" xr:uid="{00000000-0005-0000-0000-0000E9870000}"/>
    <cellStyle name="Total 2 2 10 2 4" xfId="35175" xr:uid="{00000000-0005-0000-0000-0000EA870000}"/>
    <cellStyle name="Total 2 2 10 3" xfId="35176" xr:uid="{00000000-0005-0000-0000-0000EB870000}"/>
    <cellStyle name="Total 2 2 10 3 2" xfId="35177" xr:uid="{00000000-0005-0000-0000-0000EC870000}"/>
    <cellStyle name="Total 2 2 10 3 3" xfId="35178" xr:uid="{00000000-0005-0000-0000-0000ED870000}"/>
    <cellStyle name="Total 2 2 10 3 4" xfId="35179" xr:uid="{00000000-0005-0000-0000-0000EE870000}"/>
    <cellStyle name="Total 2 2 10 4" xfId="35180" xr:uid="{00000000-0005-0000-0000-0000EF870000}"/>
    <cellStyle name="Total 2 2 10 4 2" xfId="35181" xr:uid="{00000000-0005-0000-0000-0000F0870000}"/>
    <cellStyle name="Total 2 2 10 4 3" xfId="35182" xr:uid="{00000000-0005-0000-0000-0000F1870000}"/>
    <cellStyle name="Total 2 2 10 5" xfId="35183" xr:uid="{00000000-0005-0000-0000-0000F2870000}"/>
    <cellStyle name="Total 2 2 10 5 2" xfId="35184" xr:uid="{00000000-0005-0000-0000-0000F3870000}"/>
    <cellStyle name="Total 2 2 10 5 3" xfId="35185" xr:uid="{00000000-0005-0000-0000-0000F4870000}"/>
    <cellStyle name="Total 2 2 10 6" xfId="35186" xr:uid="{00000000-0005-0000-0000-0000F5870000}"/>
    <cellStyle name="Total 2 2 10 7" xfId="35187" xr:uid="{00000000-0005-0000-0000-0000F6870000}"/>
    <cellStyle name="Total 2 2 10 8" xfId="35188" xr:uid="{00000000-0005-0000-0000-0000F7870000}"/>
    <cellStyle name="Total 2 2 11" xfId="35189" xr:uid="{00000000-0005-0000-0000-0000F8870000}"/>
    <cellStyle name="Total 2 2 11 2" xfId="35190" xr:uid="{00000000-0005-0000-0000-0000F9870000}"/>
    <cellStyle name="Total 2 2 11 2 2" xfId="35191" xr:uid="{00000000-0005-0000-0000-0000FA870000}"/>
    <cellStyle name="Total 2 2 11 2 3" xfId="35192" xr:uid="{00000000-0005-0000-0000-0000FB870000}"/>
    <cellStyle name="Total 2 2 11 2 4" xfId="35193" xr:uid="{00000000-0005-0000-0000-0000FC870000}"/>
    <cellStyle name="Total 2 2 11 3" xfId="35194" xr:uid="{00000000-0005-0000-0000-0000FD870000}"/>
    <cellStyle name="Total 2 2 11 3 2" xfId="35195" xr:uid="{00000000-0005-0000-0000-0000FE870000}"/>
    <cellStyle name="Total 2 2 11 3 3" xfId="35196" xr:uid="{00000000-0005-0000-0000-0000FF870000}"/>
    <cellStyle name="Total 2 2 11 3 4" xfId="35197" xr:uid="{00000000-0005-0000-0000-000000880000}"/>
    <cellStyle name="Total 2 2 11 4" xfId="35198" xr:uid="{00000000-0005-0000-0000-000001880000}"/>
    <cellStyle name="Total 2 2 11 4 2" xfId="35199" xr:uid="{00000000-0005-0000-0000-000002880000}"/>
    <cellStyle name="Total 2 2 11 4 3" xfId="35200" xr:uid="{00000000-0005-0000-0000-000003880000}"/>
    <cellStyle name="Total 2 2 11 5" xfId="35201" xr:uid="{00000000-0005-0000-0000-000004880000}"/>
    <cellStyle name="Total 2 2 11 5 2" xfId="35202" xr:uid="{00000000-0005-0000-0000-000005880000}"/>
    <cellStyle name="Total 2 2 11 5 3" xfId="35203" xr:uid="{00000000-0005-0000-0000-000006880000}"/>
    <cellStyle name="Total 2 2 11 6" xfId="35204" xr:uid="{00000000-0005-0000-0000-000007880000}"/>
    <cellStyle name="Total 2 2 11 7" xfId="35205" xr:uid="{00000000-0005-0000-0000-000008880000}"/>
    <cellStyle name="Total 2 2 11 8" xfId="35206" xr:uid="{00000000-0005-0000-0000-000009880000}"/>
    <cellStyle name="Total 2 2 12" xfId="35207" xr:uid="{00000000-0005-0000-0000-00000A880000}"/>
    <cellStyle name="Total 2 2 12 2" xfId="35208" xr:uid="{00000000-0005-0000-0000-00000B880000}"/>
    <cellStyle name="Total 2 2 12 2 2" xfId="35209" xr:uid="{00000000-0005-0000-0000-00000C880000}"/>
    <cellStyle name="Total 2 2 12 2 3" xfId="35210" xr:uid="{00000000-0005-0000-0000-00000D880000}"/>
    <cellStyle name="Total 2 2 12 2 4" xfId="35211" xr:uid="{00000000-0005-0000-0000-00000E880000}"/>
    <cellStyle name="Total 2 2 12 3" xfId="35212" xr:uid="{00000000-0005-0000-0000-00000F880000}"/>
    <cellStyle name="Total 2 2 12 3 2" xfId="35213" xr:uid="{00000000-0005-0000-0000-000010880000}"/>
    <cellStyle name="Total 2 2 12 3 3" xfId="35214" xr:uid="{00000000-0005-0000-0000-000011880000}"/>
    <cellStyle name="Total 2 2 12 3 4" xfId="35216" xr:uid="{00000000-0005-0000-0000-000012880000}"/>
    <cellStyle name="Total 2 2 12 4" xfId="35218" xr:uid="{00000000-0005-0000-0000-000013880000}"/>
    <cellStyle name="Total 2 2 12 4 2" xfId="35219" xr:uid="{00000000-0005-0000-0000-000014880000}"/>
    <cellStyle name="Total 2 2 12 4 3" xfId="35220" xr:uid="{00000000-0005-0000-0000-000015880000}"/>
    <cellStyle name="Total 2 2 12 5" xfId="35222" xr:uid="{00000000-0005-0000-0000-000016880000}"/>
    <cellStyle name="Total 2 2 12 5 2" xfId="35223" xr:uid="{00000000-0005-0000-0000-000017880000}"/>
    <cellStyle name="Total 2 2 12 5 3" xfId="35224" xr:uid="{00000000-0005-0000-0000-000018880000}"/>
    <cellStyle name="Total 2 2 12 6" xfId="35226" xr:uid="{00000000-0005-0000-0000-000019880000}"/>
    <cellStyle name="Total 2 2 12 7" xfId="35227" xr:uid="{00000000-0005-0000-0000-00001A880000}"/>
    <cellStyle name="Total 2 2 12 8" xfId="2046" xr:uid="{00000000-0005-0000-0000-00001B880000}"/>
    <cellStyle name="Total 2 2 13" xfId="35228" xr:uid="{00000000-0005-0000-0000-00001C880000}"/>
    <cellStyle name="Total 2 2 13 2" xfId="35229" xr:uid="{00000000-0005-0000-0000-00001D880000}"/>
    <cellStyle name="Total 2 2 13 3" xfId="35230" xr:uid="{00000000-0005-0000-0000-00001E880000}"/>
    <cellStyle name="Total 2 2 13 4" xfId="35231" xr:uid="{00000000-0005-0000-0000-00001F880000}"/>
    <cellStyle name="Total 2 2 13 5" xfId="35232" xr:uid="{00000000-0005-0000-0000-000020880000}"/>
    <cellStyle name="Total 2 2 14" xfId="35233" xr:uid="{00000000-0005-0000-0000-000021880000}"/>
    <cellStyle name="Total 2 2 14 2" xfId="35234" xr:uid="{00000000-0005-0000-0000-000022880000}"/>
    <cellStyle name="Total 2 2 14 3" xfId="35235" xr:uid="{00000000-0005-0000-0000-000023880000}"/>
    <cellStyle name="Total 2 2 14 4" xfId="35236" xr:uid="{00000000-0005-0000-0000-000024880000}"/>
    <cellStyle name="Total 2 2 14 5" xfId="35237" xr:uid="{00000000-0005-0000-0000-000025880000}"/>
    <cellStyle name="Total 2 2 15" xfId="35238" xr:uid="{00000000-0005-0000-0000-000026880000}"/>
    <cellStyle name="Total 2 2 15 2" xfId="35240" xr:uid="{00000000-0005-0000-0000-000027880000}"/>
    <cellStyle name="Total 2 2 15 3" xfId="35241" xr:uid="{00000000-0005-0000-0000-000028880000}"/>
    <cellStyle name="Total 2 2 15 4" xfId="35242" xr:uid="{00000000-0005-0000-0000-000029880000}"/>
    <cellStyle name="Total 2 2 16" xfId="35243" xr:uid="{00000000-0005-0000-0000-00002A880000}"/>
    <cellStyle name="Total 2 2 16 2" xfId="35245" xr:uid="{00000000-0005-0000-0000-00002B880000}"/>
    <cellStyle name="Total 2 2 16 3" xfId="35246" xr:uid="{00000000-0005-0000-0000-00002C880000}"/>
    <cellStyle name="Total 2 2 16 4" xfId="35247" xr:uid="{00000000-0005-0000-0000-00002D880000}"/>
    <cellStyle name="Total 2 2 17" xfId="35248" xr:uid="{00000000-0005-0000-0000-00002E880000}"/>
    <cellStyle name="Total 2 2 17 2" xfId="35250" xr:uid="{00000000-0005-0000-0000-00002F880000}"/>
    <cellStyle name="Total 2 2 18" xfId="35251" xr:uid="{00000000-0005-0000-0000-000030880000}"/>
    <cellStyle name="Total 2 2 18 2" xfId="35253" xr:uid="{00000000-0005-0000-0000-000031880000}"/>
    <cellStyle name="Total 2 2 19" xfId="35254" xr:uid="{00000000-0005-0000-0000-000032880000}"/>
    <cellStyle name="Total 2 2 19 2" xfId="35256" xr:uid="{00000000-0005-0000-0000-000033880000}"/>
    <cellStyle name="Total 2 2 2" xfId="35257" xr:uid="{00000000-0005-0000-0000-000034880000}"/>
    <cellStyle name="Total 2 2 2 10" xfId="32137" xr:uid="{00000000-0005-0000-0000-000035880000}"/>
    <cellStyle name="Total 2 2 2 10 2" xfId="35258" xr:uid="{00000000-0005-0000-0000-000036880000}"/>
    <cellStyle name="Total 2 2 2 10 2 2" xfId="35259" xr:uid="{00000000-0005-0000-0000-000037880000}"/>
    <cellStyle name="Total 2 2 2 10 2 3" xfId="35260" xr:uid="{00000000-0005-0000-0000-000038880000}"/>
    <cellStyle name="Total 2 2 2 10 2 4" xfId="35261" xr:uid="{00000000-0005-0000-0000-000039880000}"/>
    <cellStyle name="Total 2 2 2 10 3" xfId="35262" xr:uid="{00000000-0005-0000-0000-00003A880000}"/>
    <cellStyle name="Total 2 2 2 10 3 2" xfId="35263" xr:uid="{00000000-0005-0000-0000-00003B880000}"/>
    <cellStyle name="Total 2 2 2 10 3 3" xfId="35264" xr:uid="{00000000-0005-0000-0000-00003C880000}"/>
    <cellStyle name="Total 2 2 2 10 3 4" xfId="35265" xr:uid="{00000000-0005-0000-0000-00003D880000}"/>
    <cellStyle name="Total 2 2 2 10 4" xfId="35266" xr:uid="{00000000-0005-0000-0000-00003E880000}"/>
    <cellStyle name="Total 2 2 2 10 4 2" xfId="35267" xr:uid="{00000000-0005-0000-0000-00003F880000}"/>
    <cellStyle name="Total 2 2 2 10 4 3" xfId="35268" xr:uid="{00000000-0005-0000-0000-000040880000}"/>
    <cellStyle name="Total 2 2 2 10 5" xfId="35269" xr:uid="{00000000-0005-0000-0000-000041880000}"/>
    <cellStyle name="Total 2 2 2 10 5 2" xfId="35270" xr:uid="{00000000-0005-0000-0000-000042880000}"/>
    <cellStyle name="Total 2 2 2 10 5 3" xfId="35271" xr:uid="{00000000-0005-0000-0000-000043880000}"/>
    <cellStyle name="Total 2 2 2 10 6" xfId="35272" xr:uid="{00000000-0005-0000-0000-000044880000}"/>
    <cellStyle name="Total 2 2 2 10 7" xfId="35273" xr:uid="{00000000-0005-0000-0000-000045880000}"/>
    <cellStyle name="Total 2 2 2 11" xfId="32139" xr:uid="{00000000-0005-0000-0000-000046880000}"/>
    <cellStyle name="Total 2 2 2 11 2" xfId="35274" xr:uid="{00000000-0005-0000-0000-000047880000}"/>
    <cellStyle name="Total 2 2 2 11 3" xfId="35275" xr:uid="{00000000-0005-0000-0000-000048880000}"/>
    <cellStyle name="Total 2 2 2 11 4" xfId="35276" xr:uid="{00000000-0005-0000-0000-000049880000}"/>
    <cellStyle name="Total 2 2 2 12" xfId="35277" xr:uid="{00000000-0005-0000-0000-00004A880000}"/>
    <cellStyle name="Total 2 2 2 12 2" xfId="35278" xr:uid="{00000000-0005-0000-0000-00004B880000}"/>
    <cellStyle name="Total 2 2 2 12 3" xfId="35279" xr:uid="{00000000-0005-0000-0000-00004C880000}"/>
    <cellStyle name="Total 2 2 2 12 4" xfId="35280" xr:uid="{00000000-0005-0000-0000-00004D880000}"/>
    <cellStyle name="Total 2 2 2 13" xfId="35281" xr:uid="{00000000-0005-0000-0000-00004E880000}"/>
    <cellStyle name="Total 2 2 2 13 2" xfId="35282" xr:uid="{00000000-0005-0000-0000-00004F880000}"/>
    <cellStyle name="Total 2 2 2 13 3" xfId="35283" xr:uid="{00000000-0005-0000-0000-000050880000}"/>
    <cellStyle name="Total 2 2 2 14" xfId="35284" xr:uid="{00000000-0005-0000-0000-000051880000}"/>
    <cellStyle name="Total 2 2 2 14 2" xfId="35285" xr:uid="{00000000-0005-0000-0000-000052880000}"/>
    <cellStyle name="Total 2 2 2 14 3" xfId="35286" xr:uid="{00000000-0005-0000-0000-000053880000}"/>
    <cellStyle name="Total 2 2 2 15" xfId="35287" xr:uid="{00000000-0005-0000-0000-000054880000}"/>
    <cellStyle name="Total 2 2 2 16" xfId="35288" xr:uid="{00000000-0005-0000-0000-000055880000}"/>
    <cellStyle name="Total 2 2 2 17" xfId="35289" xr:uid="{00000000-0005-0000-0000-000056880000}"/>
    <cellStyle name="Total 2 2 2 18" xfId="35290" xr:uid="{00000000-0005-0000-0000-000057880000}"/>
    <cellStyle name="Total 2 2 2 2" xfId="35291" xr:uid="{00000000-0005-0000-0000-000058880000}"/>
    <cellStyle name="Total 2 2 2 2 2" xfId="35292" xr:uid="{00000000-0005-0000-0000-000059880000}"/>
    <cellStyle name="Total 2 2 2 2 2 2" xfId="35293" xr:uid="{00000000-0005-0000-0000-00005A880000}"/>
    <cellStyle name="Total 2 2 2 2 2 3" xfId="35294" xr:uid="{00000000-0005-0000-0000-00005B880000}"/>
    <cellStyle name="Total 2 2 2 2 2 4" xfId="35295" xr:uid="{00000000-0005-0000-0000-00005C880000}"/>
    <cellStyle name="Total 2 2 2 2 3" xfId="35296" xr:uid="{00000000-0005-0000-0000-00005D880000}"/>
    <cellStyle name="Total 2 2 2 2 3 2" xfId="35297" xr:uid="{00000000-0005-0000-0000-00005E880000}"/>
    <cellStyle name="Total 2 2 2 2 3 3" xfId="35298" xr:uid="{00000000-0005-0000-0000-00005F880000}"/>
    <cellStyle name="Total 2 2 2 2 3 4" xfId="35299" xr:uid="{00000000-0005-0000-0000-000060880000}"/>
    <cellStyle name="Total 2 2 2 2 4" xfId="793" xr:uid="{00000000-0005-0000-0000-000061880000}"/>
    <cellStyle name="Total 2 2 2 2 4 2" xfId="35300" xr:uid="{00000000-0005-0000-0000-000062880000}"/>
    <cellStyle name="Total 2 2 2 2 4 3" xfId="35301" xr:uid="{00000000-0005-0000-0000-000063880000}"/>
    <cellStyle name="Total 2 2 2 2 5" xfId="26840" xr:uid="{00000000-0005-0000-0000-000064880000}"/>
    <cellStyle name="Total 2 2 2 2 5 2" xfId="35302" xr:uid="{00000000-0005-0000-0000-000065880000}"/>
    <cellStyle name="Total 2 2 2 2 5 3" xfId="35303" xr:uid="{00000000-0005-0000-0000-000066880000}"/>
    <cellStyle name="Total 2 2 2 2 6" xfId="26843" xr:uid="{00000000-0005-0000-0000-000067880000}"/>
    <cellStyle name="Total 2 2 2 2 7" xfId="35304" xr:uid="{00000000-0005-0000-0000-000068880000}"/>
    <cellStyle name="Total 2 2 2 2 8" xfId="35305" xr:uid="{00000000-0005-0000-0000-000069880000}"/>
    <cellStyle name="Total 2 2 2 3" xfId="21442" xr:uid="{00000000-0005-0000-0000-00006A880000}"/>
    <cellStyle name="Total 2 2 2 3 2" xfId="35306" xr:uid="{00000000-0005-0000-0000-00006B880000}"/>
    <cellStyle name="Total 2 2 2 3 2 2" xfId="35307" xr:uid="{00000000-0005-0000-0000-00006C880000}"/>
    <cellStyle name="Total 2 2 2 3 2 3" xfId="35308" xr:uid="{00000000-0005-0000-0000-00006D880000}"/>
    <cellStyle name="Total 2 2 2 3 2 4" xfId="35309" xr:uid="{00000000-0005-0000-0000-00006E880000}"/>
    <cellStyle name="Total 2 2 2 3 3" xfId="35310" xr:uid="{00000000-0005-0000-0000-00006F880000}"/>
    <cellStyle name="Total 2 2 2 3 3 2" xfId="35311" xr:uid="{00000000-0005-0000-0000-000070880000}"/>
    <cellStyle name="Total 2 2 2 3 3 3" xfId="35312" xr:uid="{00000000-0005-0000-0000-000071880000}"/>
    <cellStyle name="Total 2 2 2 3 3 4" xfId="35313" xr:uid="{00000000-0005-0000-0000-000072880000}"/>
    <cellStyle name="Total 2 2 2 3 4" xfId="26846" xr:uid="{00000000-0005-0000-0000-000073880000}"/>
    <cellStyle name="Total 2 2 2 3 4 2" xfId="35314" xr:uid="{00000000-0005-0000-0000-000074880000}"/>
    <cellStyle name="Total 2 2 2 3 4 3" xfId="35315" xr:uid="{00000000-0005-0000-0000-000075880000}"/>
    <cellStyle name="Total 2 2 2 3 5" xfId="26849" xr:uid="{00000000-0005-0000-0000-000076880000}"/>
    <cellStyle name="Total 2 2 2 3 5 2" xfId="35316" xr:uid="{00000000-0005-0000-0000-000077880000}"/>
    <cellStyle name="Total 2 2 2 3 5 3" xfId="35317" xr:uid="{00000000-0005-0000-0000-000078880000}"/>
    <cellStyle name="Total 2 2 2 3 6" xfId="35318" xr:uid="{00000000-0005-0000-0000-000079880000}"/>
    <cellStyle name="Total 2 2 2 3 7" xfId="35319" xr:uid="{00000000-0005-0000-0000-00007A880000}"/>
    <cellStyle name="Total 2 2 2 4" xfId="7662" xr:uid="{00000000-0005-0000-0000-00007B880000}"/>
    <cellStyle name="Total 2 2 2 4 2" xfId="35320" xr:uid="{00000000-0005-0000-0000-00007C880000}"/>
    <cellStyle name="Total 2 2 2 4 2 2" xfId="35321" xr:uid="{00000000-0005-0000-0000-00007D880000}"/>
    <cellStyle name="Total 2 2 2 4 2 3" xfId="35322" xr:uid="{00000000-0005-0000-0000-00007E880000}"/>
    <cellStyle name="Total 2 2 2 4 2 4" xfId="35323" xr:uid="{00000000-0005-0000-0000-00007F880000}"/>
    <cellStyle name="Total 2 2 2 4 3" xfId="35324" xr:uid="{00000000-0005-0000-0000-000080880000}"/>
    <cellStyle name="Total 2 2 2 4 3 2" xfId="35325" xr:uid="{00000000-0005-0000-0000-000081880000}"/>
    <cellStyle name="Total 2 2 2 4 3 3" xfId="35326" xr:uid="{00000000-0005-0000-0000-000082880000}"/>
    <cellStyle name="Total 2 2 2 4 3 4" xfId="35327" xr:uid="{00000000-0005-0000-0000-000083880000}"/>
    <cellStyle name="Total 2 2 2 4 4" xfId="2259" xr:uid="{00000000-0005-0000-0000-000084880000}"/>
    <cellStyle name="Total 2 2 2 4 4 2" xfId="35328" xr:uid="{00000000-0005-0000-0000-000085880000}"/>
    <cellStyle name="Total 2 2 2 4 4 3" xfId="35329" xr:uid="{00000000-0005-0000-0000-000086880000}"/>
    <cellStyle name="Total 2 2 2 4 5" xfId="2263" xr:uid="{00000000-0005-0000-0000-000087880000}"/>
    <cellStyle name="Total 2 2 2 4 5 2" xfId="35330" xr:uid="{00000000-0005-0000-0000-000088880000}"/>
    <cellStyle name="Total 2 2 2 4 5 3" xfId="35331" xr:uid="{00000000-0005-0000-0000-000089880000}"/>
    <cellStyle name="Total 2 2 2 4 6" xfId="35332" xr:uid="{00000000-0005-0000-0000-00008A880000}"/>
    <cellStyle name="Total 2 2 2 4 7" xfId="35333" xr:uid="{00000000-0005-0000-0000-00008B880000}"/>
    <cellStyle name="Total 2 2 2 5" xfId="21446" xr:uid="{00000000-0005-0000-0000-00008C880000}"/>
    <cellStyle name="Total 2 2 2 5 2" xfId="35334" xr:uid="{00000000-0005-0000-0000-00008D880000}"/>
    <cellStyle name="Total 2 2 2 5 2 2" xfId="35335" xr:uid="{00000000-0005-0000-0000-00008E880000}"/>
    <cellStyle name="Total 2 2 2 5 2 3" xfId="35336" xr:uid="{00000000-0005-0000-0000-00008F880000}"/>
    <cellStyle name="Total 2 2 2 5 2 4" xfId="35337" xr:uid="{00000000-0005-0000-0000-000090880000}"/>
    <cellStyle name="Total 2 2 2 5 3" xfId="35338" xr:uid="{00000000-0005-0000-0000-000091880000}"/>
    <cellStyle name="Total 2 2 2 5 3 2" xfId="35339" xr:uid="{00000000-0005-0000-0000-000092880000}"/>
    <cellStyle name="Total 2 2 2 5 3 3" xfId="35340" xr:uid="{00000000-0005-0000-0000-000093880000}"/>
    <cellStyle name="Total 2 2 2 5 3 4" xfId="35341" xr:uid="{00000000-0005-0000-0000-000094880000}"/>
    <cellStyle name="Total 2 2 2 5 4" xfId="35342" xr:uid="{00000000-0005-0000-0000-000095880000}"/>
    <cellStyle name="Total 2 2 2 5 4 2" xfId="35343" xr:uid="{00000000-0005-0000-0000-000096880000}"/>
    <cellStyle name="Total 2 2 2 5 4 3" xfId="35344" xr:uid="{00000000-0005-0000-0000-000097880000}"/>
    <cellStyle name="Total 2 2 2 5 5" xfId="35345" xr:uid="{00000000-0005-0000-0000-000098880000}"/>
    <cellStyle name="Total 2 2 2 5 5 2" xfId="35346" xr:uid="{00000000-0005-0000-0000-000099880000}"/>
    <cellStyle name="Total 2 2 2 5 5 3" xfId="35347" xr:uid="{00000000-0005-0000-0000-00009A880000}"/>
    <cellStyle name="Total 2 2 2 5 6" xfId="35348" xr:uid="{00000000-0005-0000-0000-00009B880000}"/>
    <cellStyle name="Total 2 2 2 5 7" xfId="35349" xr:uid="{00000000-0005-0000-0000-00009C880000}"/>
    <cellStyle name="Total 2 2 2 6" xfId="35350" xr:uid="{00000000-0005-0000-0000-00009D880000}"/>
    <cellStyle name="Total 2 2 2 6 2" xfId="35351" xr:uid="{00000000-0005-0000-0000-00009E880000}"/>
    <cellStyle name="Total 2 2 2 6 2 2" xfId="35352" xr:uid="{00000000-0005-0000-0000-00009F880000}"/>
    <cellStyle name="Total 2 2 2 6 2 3" xfId="35353" xr:uid="{00000000-0005-0000-0000-0000A0880000}"/>
    <cellStyle name="Total 2 2 2 6 2 4" xfId="35354" xr:uid="{00000000-0005-0000-0000-0000A1880000}"/>
    <cellStyle name="Total 2 2 2 6 3" xfId="35355" xr:uid="{00000000-0005-0000-0000-0000A2880000}"/>
    <cellStyle name="Total 2 2 2 6 3 2" xfId="35356" xr:uid="{00000000-0005-0000-0000-0000A3880000}"/>
    <cellStyle name="Total 2 2 2 6 3 3" xfId="35357" xr:uid="{00000000-0005-0000-0000-0000A4880000}"/>
    <cellStyle name="Total 2 2 2 6 3 4" xfId="35358" xr:uid="{00000000-0005-0000-0000-0000A5880000}"/>
    <cellStyle name="Total 2 2 2 6 4" xfId="35359" xr:uid="{00000000-0005-0000-0000-0000A6880000}"/>
    <cellStyle name="Total 2 2 2 6 4 2" xfId="35360" xr:uid="{00000000-0005-0000-0000-0000A7880000}"/>
    <cellStyle name="Total 2 2 2 6 4 3" xfId="35361" xr:uid="{00000000-0005-0000-0000-0000A8880000}"/>
    <cellStyle name="Total 2 2 2 6 5" xfId="35362" xr:uid="{00000000-0005-0000-0000-0000A9880000}"/>
    <cellStyle name="Total 2 2 2 6 5 2" xfId="35363" xr:uid="{00000000-0005-0000-0000-0000AA880000}"/>
    <cellStyle name="Total 2 2 2 6 5 3" xfId="35364" xr:uid="{00000000-0005-0000-0000-0000AB880000}"/>
    <cellStyle name="Total 2 2 2 6 6" xfId="35365" xr:uid="{00000000-0005-0000-0000-0000AC880000}"/>
    <cellStyle name="Total 2 2 2 6 7" xfId="35366" xr:uid="{00000000-0005-0000-0000-0000AD880000}"/>
    <cellStyle name="Total 2 2 2 7" xfId="35367" xr:uid="{00000000-0005-0000-0000-0000AE880000}"/>
    <cellStyle name="Total 2 2 2 7 2" xfId="35368" xr:uid="{00000000-0005-0000-0000-0000AF880000}"/>
    <cellStyle name="Total 2 2 2 7 2 2" xfId="35369" xr:uid="{00000000-0005-0000-0000-0000B0880000}"/>
    <cellStyle name="Total 2 2 2 7 2 3" xfId="35370" xr:uid="{00000000-0005-0000-0000-0000B1880000}"/>
    <cellStyle name="Total 2 2 2 7 2 4" xfId="35371" xr:uid="{00000000-0005-0000-0000-0000B2880000}"/>
    <cellStyle name="Total 2 2 2 7 3" xfId="35372" xr:uid="{00000000-0005-0000-0000-0000B3880000}"/>
    <cellStyle name="Total 2 2 2 7 3 2" xfId="35373" xr:uid="{00000000-0005-0000-0000-0000B4880000}"/>
    <cellStyle name="Total 2 2 2 7 3 3" xfId="35374" xr:uid="{00000000-0005-0000-0000-0000B5880000}"/>
    <cellStyle name="Total 2 2 2 7 3 4" xfId="35375" xr:uid="{00000000-0005-0000-0000-0000B6880000}"/>
    <cellStyle name="Total 2 2 2 7 4" xfId="35376" xr:uid="{00000000-0005-0000-0000-0000B7880000}"/>
    <cellStyle name="Total 2 2 2 7 4 2" xfId="35377" xr:uid="{00000000-0005-0000-0000-0000B8880000}"/>
    <cellStyle name="Total 2 2 2 7 4 3" xfId="35378" xr:uid="{00000000-0005-0000-0000-0000B9880000}"/>
    <cellStyle name="Total 2 2 2 7 5" xfId="35379" xr:uid="{00000000-0005-0000-0000-0000BA880000}"/>
    <cellStyle name="Total 2 2 2 7 5 2" xfId="35380" xr:uid="{00000000-0005-0000-0000-0000BB880000}"/>
    <cellStyle name="Total 2 2 2 7 5 3" xfId="35381" xr:uid="{00000000-0005-0000-0000-0000BC880000}"/>
    <cellStyle name="Total 2 2 2 7 6" xfId="35382" xr:uid="{00000000-0005-0000-0000-0000BD880000}"/>
    <cellStyle name="Total 2 2 2 7 7" xfId="35383" xr:uid="{00000000-0005-0000-0000-0000BE880000}"/>
    <cellStyle name="Total 2 2 2 8" xfId="35384" xr:uid="{00000000-0005-0000-0000-0000BF880000}"/>
    <cellStyle name="Total 2 2 2 8 2" xfId="35385" xr:uid="{00000000-0005-0000-0000-0000C0880000}"/>
    <cellStyle name="Total 2 2 2 8 2 2" xfId="35386" xr:uid="{00000000-0005-0000-0000-0000C1880000}"/>
    <cellStyle name="Total 2 2 2 8 2 3" xfId="35387" xr:uid="{00000000-0005-0000-0000-0000C2880000}"/>
    <cellStyle name="Total 2 2 2 8 2 4" xfId="35388" xr:uid="{00000000-0005-0000-0000-0000C3880000}"/>
    <cellStyle name="Total 2 2 2 8 3" xfId="35389" xr:uid="{00000000-0005-0000-0000-0000C4880000}"/>
    <cellStyle name="Total 2 2 2 8 3 2" xfId="35390" xr:uid="{00000000-0005-0000-0000-0000C5880000}"/>
    <cellStyle name="Total 2 2 2 8 3 3" xfId="35391" xr:uid="{00000000-0005-0000-0000-0000C6880000}"/>
    <cellStyle name="Total 2 2 2 8 3 4" xfId="35392" xr:uid="{00000000-0005-0000-0000-0000C7880000}"/>
    <cellStyle name="Total 2 2 2 8 4" xfId="35393" xr:uid="{00000000-0005-0000-0000-0000C8880000}"/>
    <cellStyle name="Total 2 2 2 8 4 2" xfId="35394" xr:uid="{00000000-0005-0000-0000-0000C9880000}"/>
    <cellStyle name="Total 2 2 2 8 4 3" xfId="35395" xr:uid="{00000000-0005-0000-0000-0000CA880000}"/>
    <cellStyle name="Total 2 2 2 8 5" xfId="35396" xr:uid="{00000000-0005-0000-0000-0000CB880000}"/>
    <cellStyle name="Total 2 2 2 8 5 2" xfId="35397" xr:uid="{00000000-0005-0000-0000-0000CC880000}"/>
    <cellStyle name="Total 2 2 2 8 5 3" xfId="35398" xr:uid="{00000000-0005-0000-0000-0000CD880000}"/>
    <cellStyle name="Total 2 2 2 8 6" xfId="35399" xr:uid="{00000000-0005-0000-0000-0000CE880000}"/>
    <cellStyle name="Total 2 2 2 8 7" xfId="35400" xr:uid="{00000000-0005-0000-0000-0000CF880000}"/>
    <cellStyle name="Total 2 2 2 9" xfId="35401" xr:uid="{00000000-0005-0000-0000-0000D0880000}"/>
    <cellStyle name="Total 2 2 2 9 2" xfId="35402" xr:uid="{00000000-0005-0000-0000-0000D1880000}"/>
    <cellStyle name="Total 2 2 2 9 2 2" xfId="35403" xr:uid="{00000000-0005-0000-0000-0000D2880000}"/>
    <cellStyle name="Total 2 2 2 9 2 3" xfId="35404" xr:uid="{00000000-0005-0000-0000-0000D3880000}"/>
    <cellStyle name="Total 2 2 2 9 2 4" xfId="35405" xr:uid="{00000000-0005-0000-0000-0000D4880000}"/>
    <cellStyle name="Total 2 2 2 9 3" xfId="35406" xr:uid="{00000000-0005-0000-0000-0000D5880000}"/>
    <cellStyle name="Total 2 2 2 9 3 2" xfId="35407" xr:uid="{00000000-0005-0000-0000-0000D6880000}"/>
    <cellStyle name="Total 2 2 2 9 3 3" xfId="35408" xr:uid="{00000000-0005-0000-0000-0000D7880000}"/>
    <cellStyle name="Total 2 2 2 9 3 4" xfId="35409" xr:uid="{00000000-0005-0000-0000-0000D8880000}"/>
    <cellStyle name="Total 2 2 2 9 4" xfId="35410" xr:uid="{00000000-0005-0000-0000-0000D9880000}"/>
    <cellStyle name="Total 2 2 2 9 4 2" xfId="35411" xr:uid="{00000000-0005-0000-0000-0000DA880000}"/>
    <cellStyle name="Total 2 2 2 9 4 3" xfId="35412" xr:uid="{00000000-0005-0000-0000-0000DB880000}"/>
    <cellStyle name="Total 2 2 2 9 5" xfId="35413" xr:uid="{00000000-0005-0000-0000-0000DC880000}"/>
    <cellStyle name="Total 2 2 2 9 5 2" xfId="35414" xr:uid="{00000000-0005-0000-0000-0000DD880000}"/>
    <cellStyle name="Total 2 2 2 9 5 3" xfId="35415" xr:uid="{00000000-0005-0000-0000-0000DE880000}"/>
    <cellStyle name="Total 2 2 2 9 6" xfId="35416" xr:uid="{00000000-0005-0000-0000-0000DF880000}"/>
    <cellStyle name="Total 2 2 2 9 7" xfId="35417" xr:uid="{00000000-0005-0000-0000-0000E0880000}"/>
    <cellStyle name="Total 2 2 20" xfId="35239" xr:uid="{00000000-0005-0000-0000-0000E1880000}"/>
    <cellStyle name="Total 2 2 21" xfId="35244" xr:uid="{00000000-0005-0000-0000-0000E2880000}"/>
    <cellStyle name="Total 2 2 22" xfId="35249" xr:uid="{00000000-0005-0000-0000-0000E3880000}"/>
    <cellStyle name="Total 2 2 23" xfId="35252" xr:uid="{00000000-0005-0000-0000-0000E4880000}"/>
    <cellStyle name="Total 2 2 24" xfId="35255" xr:uid="{00000000-0005-0000-0000-0000E5880000}"/>
    <cellStyle name="Total 2 2 25" xfId="16216" xr:uid="{00000000-0005-0000-0000-0000E6880000}"/>
    <cellStyle name="Total 2 2 26" xfId="16218" xr:uid="{00000000-0005-0000-0000-0000E7880000}"/>
    <cellStyle name="Total 2 2 27" xfId="16220" xr:uid="{00000000-0005-0000-0000-0000E8880000}"/>
    <cellStyle name="Total 2 2 28" xfId="35418" xr:uid="{00000000-0005-0000-0000-0000E9880000}"/>
    <cellStyle name="Total 2 2 29" xfId="35419" xr:uid="{00000000-0005-0000-0000-0000EA880000}"/>
    <cellStyle name="Total 2 2 3" xfId="35420" xr:uid="{00000000-0005-0000-0000-0000EB880000}"/>
    <cellStyle name="Total 2 2 3 10" xfId="35421" xr:uid="{00000000-0005-0000-0000-0000EC880000}"/>
    <cellStyle name="Total 2 2 3 10 2" xfId="35422" xr:uid="{00000000-0005-0000-0000-0000ED880000}"/>
    <cellStyle name="Total 2 2 3 10 2 2" xfId="35423" xr:uid="{00000000-0005-0000-0000-0000EE880000}"/>
    <cellStyle name="Total 2 2 3 10 2 3" xfId="35424" xr:uid="{00000000-0005-0000-0000-0000EF880000}"/>
    <cellStyle name="Total 2 2 3 10 2 4" xfId="35425" xr:uid="{00000000-0005-0000-0000-0000F0880000}"/>
    <cellStyle name="Total 2 2 3 10 3" xfId="35426" xr:uid="{00000000-0005-0000-0000-0000F1880000}"/>
    <cellStyle name="Total 2 2 3 10 3 2" xfId="35427" xr:uid="{00000000-0005-0000-0000-0000F2880000}"/>
    <cellStyle name="Total 2 2 3 10 3 3" xfId="35428" xr:uid="{00000000-0005-0000-0000-0000F3880000}"/>
    <cellStyle name="Total 2 2 3 10 3 4" xfId="854" xr:uid="{00000000-0005-0000-0000-0000F4880000}"/>
    <cellStyle name="Total 2 2 3 10 4" xfId="27970" xr:uid="{00000000-0005-0000-0000-0000F5880000}"/>
    <cellStyle name="Total 2 2 3 10 4 2" xfId="35429" xr:uid="{00000000-0005-0000-0000-0000F6880000}"/>
    <cellStyle name="Total 2 2 3 10 4 3" xfId="35430" xr:uid="{00000000-0005-0000-0000-0000F7880000}"/>
    <cellStyle name="Total 2 2 3 10 5" xfId="27972" xr:uid="{00000000-0005-0000-0000-0000F8880000}"/>
    <cellStyle name="Total 2 2 3 10 5 2" xfId="35431" xr:uid="{00000000-0005-0000-0000-0000F9880000}"/>
    <cellStyle name="Total 2 2 3 10 5 3" xfId="35432" xr:uid="{00000000-0005-0000-0000-0000FA880000}"/>
    <cellStyle name="Total 2 2 3 10 6" xfId="27974" xr:uid="{00000000-0005-0000-0000-0000FB880000}"/>
    <cellStyle name="Total 2 2 3 10 7" xfId="35433" xr:uid="{00000000-0005-0000-0000-0000FC880000}"/>
    <cellStyle name="Total 2 2 3 11" xfId="35434" xr:uid="{00000000-0005-0000-0000-0000FD880000}"/>
    <cellStyle name="Total 2 2 3 11 2" xfId="35435" xr:uid="{00000000-0005-0000-0000-0000FE880000}"/>
    <cellStyle name="Total 2 2 3 11 3" xfId="35436" xr:uid="{00000000-0005-0000-0000-0000FF880000}"/>
    <cellStyle name="Total 2 2 3 11 4" xfId="27976" xr:uid="{00000000-0005-0000-0000-000000890000}"/>
    <cellStyle name="Total 2 2 3 12" xfId="35437" xr:uid="{00000000-0005-0000-0000-000001890000}"/>
    <cellStyle name="Total 2 2 3 12 2" xfId="35438" xr:uid="{00000000-0005-0000-0000-000002890000}"/>
    <cellStyle name="Total 2 2 3 12 3" xfId="35439" xr:uid="{00000000-0005-0000-0000-000003890000}"/>
    <cellStyle name="Total 2 2 3 12 4" xfId="3959" xr:uid="{00000000-0005-0000-0000-000004890000}"/>
    <cellStyle name="Total 2 2 3 13" xfId="35440" xr:uid="{00000000-0005-0000-0000-000005890000}"/>
    <cellStyle name="Total 2 2 3 13 2" xfId="35441" xr:uid="{00000000-0005-0000-0000-000006890000}"/>
    <cellStyle name="Total 2 2 3 13 3" xfId="35442" xr:uid="{00000000-0005-0000-0000-000007890000}"/>
    <cellStyle name="Total 2 2 3 14" xfId="35443" xr:uid="{00000000-0005-0000-0000-000008890000}"/>
    <cellStyle name="Total 2 2 3 14 2" xfId="35444" xr:uid="{00000000-0005-0000-0000-000009890000}"/>
    <cellStyle name="Total 2 2 3 14 3" xfId="35445" xr:uid="{00000000-0005-0000-0000-00000A890000}"/>
    <cellStyle name="Total 2 2 3 15" xfId="35446" xr:uid="{00000000-0005-0000-0000-00000B890000}"/>
    <cellStyle name="Total 2 2 3 16" xfId="35447" xr:uid="{00000000-0005-0000-0000-00000C890000}"/>
    <cellStyle name="Total 2 2 3 17" xfId="35448" xr:uid="{00000000-0005-0000-0000-00000D890000}"/>
    <cellStyle name="Total 2 2 3 18" xfId="35449" xr:uid="{00000000-0005-0000-0000-00000E890000}"/>
    <cellStyle name="Total 2 2 3 2" xfId="35451" xr:uid="{00000000-0005-0000-0000-00000F890000}"/>
    <cellStyle name="Total 2 2 3 2 2" xfId="35452" xr:uid="{00000000-0005-0000-0000-000010890000}"/>
    <cellStyle name="Total 2 2 3 2 2 2" xfId="35453" xr:uid="{00000000-0005-0000-0000-000011890000}"/>
    <cellStyle name="Total 2 2 3 2 2 3" xfId="35454" xr:uid="{00000000-0005-0000-0000-000012890000}"/>
    <cellStyle name="Total 2 2 3 2 2 4" xfId="35455" xr:uid="{00000000-0005-0000-0000-000013890000}"/>
    <cellStyle name="Total 2 2 3 2 3" xfId="35456" xr:uid="{00000000-0005-0000-0000-000014890000}"/>
    <cellStyle name="Total 2 2 3 2 3 2" xfId="35457" xr:uid="{00000000-0005-0000-0000-000015890000}"/>
    <cellStyle name="Total 2 2 3 2 3 3" xfId="35458" xr:uid="{00000000-0005-0000-0000-000016890000}"/>
    <cellStyle name="Total 2 2 3 2 3 4" xfId="35459" xr:uid="{00000000-0005-0000-0000-000017890000}"/>
    <cellStyle name="Total 2 2 3 2 4" xfId="963" xr:uid="{00000000-0005-0000-0000-000018890000}"/>
    <cellStyle name="Total 2 2 3 2 4 2" xfId="35460" xr:uid="{00000000-0005-0000-0000-000019890000}"/>
    <cellStyle name="Total 2 2 3 2 4 3" xfId="35461" xr:uid="{00000000-0005-0000-0000-00001A890000}"/>
    <cellStyle name="Total 2 2 3 2 5" xfId="970" xr:uid="{00000000-0005-0000-0000-00001B890000}"/>
    <cellStyle name="Total 2 2 3 2 5 2" xfId="35462" xr:uid="{00000000-0005-0000-0000-00001C890000}"/>
    <cellStyle name="Total 2 2 3 2 5 3" xfId="35463" xr:uid="{00000000-0005-0000-0000-00001D890000}"/>
    <cellStyle name="Total 2 2 3 2 6" xfId="26864" xr:uid="{00000000-0005-0000-0000-00001E890000}"/>
    <cellStyle name="Total 2 2 3 2 7" xfId="35464" xr:uid="{00000000-0005-0000-0000-00001F890000}"/>
    <cellStyle name="Total 2 2 3 2 8" xfId="35466" xr:uid="{00000000-0005-0000-0000-000020890000}"/>
    <cellStyle name="Total 2 2 3 3" xfId="21452" xr:uid="{00000000-0005-0000-0000-000021890000}"/>
    <cellStyle name="Total 2 2 3 3 2" xfId="35468" xr:uid="{00000000-0005-0000-0000-000022890000}"/>
    <cellStyle name="Total 2 2 3 3 2 2" xfId="35469" xr:uid="{00000000-0005-0000-0000-000023890000}"/>
    <cellStyle name="Total 2 2 3 3 2 3" xfId="35470" xr:uid="{00000000-0005-0000-0000-000024890000}"/>
    <cellStyle name="Total 2 2 3 3 2 4" xfId="35471" xr:uid="{00000000-0005-0000-0000-000025890000}"/>
    <cellStyle name="Total 2 2 3 3 3" xfId="35472" xr:uid="{00000000-0005-0000-0000-000026890000}"/>
    <cellStyle name="Total 2 2 3 3 3 2" xfId="35473" xr:uid="{00000000-0005-0000-0000-000027890000}"/>
    <cellStyle name="Total 2 2 3 3 3 3" xfId="35474" xr:uid="{00000000-0005-0000-0000-000028890000}"/>
    <cellStyle name="Total 2 2 3 3 3 4" xfId="35475" xr:uid="{00000000-0005-0000-0000-000029890000}"/>
    <cellStyle name="Total 2 2 3 3 4" xfId="26867" xr:uid="{00000000-0005-0000-0000-00002A890000}"/>
    <cellStyle name="Total 2 2 3 3 4 2" xfId="35476" xr:uid="{00000000-0005-0000-0000-00002B890000}"/>
    <cellStyle name="Total 2 2 3 3 4 3" xfId="35477" xr:uid="{00000000-0005-0000-0000-00002C890000}"/>
    <cellStyle name="Total 2 2 3 3 5" xfId="26870" xr:uid="{00000000-0005-0000-0000-00002D890000}"/>
    <cellStyle name="Total 2 2 3 3 5 2" xfId="35478" xr:uid="{00000000-0005-0000-0000-00002E890000}"/>
    <cellStyle name="Total 2 2 3 3 5 3" xfId="35479" xr:uid="{00000000-0005-0000-0000-00002F890000}"/>
    <cellStyle name="Total 2 2 3 3 6" xfId="35480" xr:uid="{00000000-0005-0000-0000-000030890000}"/>
    <cellStyle name="Total 2 2 3 3 7" xfId="35481" xr:uid="{00000000-0005-0000-0000-000031890000}"/>
    <cellStyle name="Total 2 2 3 4" xfId="21455" xr:uid="{00000000-0005-0000-0000-000032890000}"/>
    <cellStyle name="Total 2 2 3 4 2" xfId="35482" xr:uid="{00000000-0005-0000-0000-000033890000}"/>
    <cellStyle name="Total 2 2 3 4 2 2" xfId="35483" xr:uid="{00000000-0005-0000-0000-000034890000}"/>
    <cellStyle name="Total 2 2 3 4 2 3" xfId="35484" xr:uid="{00000000-0005-0000-0000-000035890000}"/>
    <cellStyle name="Total 2 2 3 4 2 4" xfId="9470" xr:uid="{00000000-0005-0000-0000-000036890000}"/>
    <cellStyle name="Total 2 2 3 4 3" xfId="35485" xr:uid="{00000000-0005-0000-0000-000037890000}"/>
    <cellStyle name="Total 2 2 3 4 3 2" xfId="35486" xr:uid="{00000000-0005-0000-0000-000038890000}"/>
    <cellStyle name="Total 2 2 3 4 3 3" xfId="35487" xr:uid="{00000000-0005-0000-0000-000039890000}"/>
    <cellStyle name="Total 2 2 3 4 3 4" xfId="9492" xr:uid="{00000000-0005-0000-0000-00003A890000}"/>
    <cellStyle name="Total 2 2 3 4 4" xfId="26873" xr:uid="{00000000-0005-0000-0000-00003B890000}"/>
    <cellStyle name="Total 2 2 3 4 4 2" xfId="35488" xr:uid="{00000000-0005-0000-0000-00003C890000}"/>
    <cellStyle name="Total 2 2 3 4 4 3" xfId="35489" xr:uid="{00000000-0005-0000-0000-00003D890000}"/>
    <cellStyle name="Total 2 2 3 4 5" xfId="26876" xr:uid="{00000000-0005-0000-0000-00003E890000}"/>
    <cellStyle name="Total 2 2 3 4 5 2" xfId="35490" xr:uid="{00000000-0005-0000-0000-00003F890000}"/>
    <cellStyle name="Total 2 2 3 4 5 3" xfId="35491" xr:uid="{00000000-0005-0000-0000-000040890000}"/>
    <cellStyle name="Total 2 2 3 4 6" xfId="35492" xr:uid="{00000000-0005-0000-0000-000041890000}"/>
    <cellStyle name="Total 2 2 3 4 7" xfId="35493" xr:uid="{00000000-0005-0000-0000-000042890000}"/>
    <cellStyle name="Total 2 2 3 5" xfId="35494" xr:uid="{00000000-0005-0000-0000-000043890000}"/>
    <cellStyle name="Total 2 2 3 5 2" xfId="35495" xr:uid="{00000000-0005-0000-0000-000044890000}"/>
    <cellStyle name="Total 2 2 3 5 2 2" xfId="35496" xr:uid="{00000000-0005-0000-0000-000045890000}"/>
    <cellStyle name="Total 2 2 3 5 2 3" xfId="35497" xr:uid="{00000000-0005-0000-0000-000046890000}"/>
    <cellStyle name="Total 2 2 3 5 2 4" xfId="35498" xr:uid="{00000000-0005-0000-0000-000047890000}"/>
    <cellStyle name="Total 2 2 3 5 3" xfId="35499" xr:uid="{00000000-0005-0000-0000-000048890000}"/>
    <cellStyle name="Total 2 2 3 5 3 2" xfId="35500" xr:uid="{00000000-0005-0000-0000-000049890000}"/>
    <cellStyle name="Total 2 2 3 5 3 3" xfId="35501" xr:uid="{00000000-0005-0000-0000-00004A890000}"/>
    <cellStyle name="Total 2 2 3 5 3 4" xfId="35502" xr:uid="{00000000-0005-0000-0000-00004B890000}"/>
    <cellStyle name="Total 2 2 3 5 4" xfId="35503" xr:uid="{00000000-0005-0000-0000-00004C890000}"/>
    <cellStyle name="Total 2 2 3 5 4 2" xfId="35504" xr:uid="{00000000-0005-0000-0000-00004D890000}"/>
    <cellStyle name="Total 2 2 3 5 4 3" xfId="35505" xr:uid="{00000000-0005-0000-0000-00004E890000}"/>
    <cellStyle name="Total 2 2 3 5 5" xfId="35506" xr:uid="{00000000-0005-0000-0000-00004F890000}"/>
    <cellStyle name="Total 2 2 3 5 5 2" xfId="35507" xr:uid="{00000000-0005-0000-0000-000050890000}"/>
    <cellStyle name="Total 2 2 3 5 5 3" xfId="35508" xr:uid="{00000000-0005-0000-0000-000051890000}"/>
    <cellStyle name="Total 2 2 3 5 6" xfId="35509" xr:uid="{00000000-0005-0000-0000-000052890000}"/>
    <cellStyle name="Total 2 2 3 5 7" xfId="35510" xr:uid="{00000000-0005-0000-0000-000053890000}"/>
    <cellStyle name="Total 2 2 3 6" xfId="35511" xr:uid="{00000000-0005-0000-0000-000054890000}"/>
    <cellStyle name="Total 2 2 3 6 2" xfId="35512" xr:uid="{00000000-0005-0000-0000-000055890000}"/>
    <cellStyle name="Total 2 2 3 6 2 2" xfId="35513" xr:uid="{00000000-0005-0000-0000-000056890000}"/>
    <cellStyle name="Total 2 2 3 6 2 3" xfId="35514" xr:uid="{00000000-0005-0000-0000-000057890000}"/>
    <cellStyle name="Total 2 2 3 6 2 4" xfId="35515" xr:uid="{00000000-0005-0000-0000-000058890000}"/>
    <cellStyle name="Total 2 2 3 6 3" xfId="35516" xr:uid="{00000000-0005-0000-0000-000059890000}"/>
    <cellStyle name="Total 2 2 3 6 3 2" xfId="35517" xr:uid="{00000000-0005-0000-0000-00005A890000}"/>
    <cellStyle name="Total 2 2 3 6 3 3" xfId="35518" xr:uid="{00000000-0005-0000-0000-00005B890000}"/>
    <cellStyle name="Total 2 2 3 6 3 4" xfId="35519" xr:uid="{00000000-0005-0000-0000-00005C890000}"/>
    <cellStyle name="Total 2 2 3 6 4" xfId="35520" xr:uid="{00000000-0005-0000-0000-00005D890000}"/>
    <cellStyle name="Total 2 2 3 6 4 2" xfId="35521" xr:uid="{00000000-0005-0000-0000-00005E890000}"/>
    <cellStyle name="Total 2 2 3 6 4 3" xfId="35522" xr:uid="{00000000-0005-0000-0000-00005F890000}"/>
    <cellStyle name="Total 2 2 3 6 5" xfId="35523" xr:uid="{00000000-0005-0000-0000-000060890000}"/>
    <cellStyle name="Total 2 2 3 6 5 2" xfId="35524" xr:uid="{00000000-0005-0000-0000-000061890000}"/>
    <cellStyle name="Total 2 2 3 6 5 3" xfId="35525" xr:uid="{00000000-0005-0000-0000-000062890000}"/>
    <cellStyle name="Total 2 2 3 6 6" xfId="35526" xr:uid="{00000000-0005-0000-0000-000063890000}"/>
    <cellStyle name="Total 2 2 3 6 7" xfId="35527" xr:uid="{00000000-0005-0000-0000-000064890000}"/>
    <cellStyle name="Total 2 2 3 7" xfId="35528" xr:uid="{00000000-0005-0000-0000-000065890000}"/>
    <cellStyle name="Total 2 2 3 7 2" xfId="35529" xr:uid="{00000000-0005-0000-0000-000066890000}"/>
    <cellStyle name="Total 2 2 3 7 2 2" xfId="35530" xr:uid="{00000000-0005-0000-0000-000067890000}"/>
    <cellStyle name="Total 2 2 3 7 2 3" xfId="35531" xr:uid="{00000000-0005-0000-0000-000068890000}"/>
    <cellStyle name="Total 2 2 3 7 2 4" xfId="35532" xr:uid="{00000000-0005-0000-0000-000069890000}"/>
    <cellStyle name="Total 2 2 3 7 3" xfId="35533" xr:uid="{00000000-0005-0000-0000-00006A890000}"/>
    <cellStyle name="Total 2 2 3 7 3 2" xfId="35534" xr:uid="{00000000-0005-0000-0000-00006B890000}"/>
    <cellStyle name="Total 2 2 3 7 3 3" xfId="35535" xr:uid="{00000000-0005-0000-0000-00006C890000}"/>
    <cellStyle name="Total 2 2 3 7 3 4" xfId="35536" xr:uid="{00000000-0005-0000-0000-00006D890000}"/>
    <cellStyle name="Total 2 2 3 7 4" xfId="35537" xr:uid="{00000000-0005-0000-0000-00006E890000}"/>
    <cellStyle name="Total 2 2 3 7 4 2" xfId="35538" xr:uid="{00000000-0005-0000-0000-00006F890000}"/>
    <cellStyle name="Total 2 2 3 7 4 3" xfId="35539" xr:uid="{00000000-0005-0000-0000-000070890000}"/>
    <cellStyle name="Total 2 2 3 7 5" xfId="35540" xr:uid="{00000000-0005-0000-0000-000071890000}"/>
    <cellStyle name="Total 2 2 3 7 5 2" xfId="35541" xr:uid="{00000000-0005-0000-0000-000072890000}"/>
    <cellStyle name="Total 2 2 3 7 5 3" xfId="35542" xr:uid="{00000000-0005-0000-0000-000073890000}"/>
    <cellStyle name="Total 2 2 3 7 6" xfId="35543" xr:uid="{00000000-0005-0000-0000-000074890000}"/>
    <cellStyle name="Total 2 2 3 7 7" xfId="35544" xr:uid="{00000000-0005-0000-0000-000075890000}"/>
    <cellStyle name="Total 2 2 3 8" xfId="35545" xr:uid="{00000000-0005-0000-0000-000076890000}"/>
    <cellStyle name="Total 2 2 3 8 2" xfId="35546" xr:uid="{00000000-0005-0000-0000-000077890000}"/>
    <cellStyle name="Total 2 2 3 8 2 2" xfId="35547" xr:uid="{00000000-0005-0000-0000-000078890000}"/>
    <cellStyle name="Total 2 2 3 8 2 3" xfId="35548" xr:uid="{00000000-0005-0000-0000-000079890000}"/>
    <cellStyle name="Total 2 2 3 8 2 4" xfId="35549" xr:uid="{00000000-0005-0000-0000-00007A890000}"/>
    <cellStyle name="Total 2 2 3 8 3" xfId="35550" xr:uid="{00000000-0005-0000-0000-00007B890000}"/>
    <cellStyle name="Total 2 2 3 8 3 2" xfId="35551" xr:uid="{00000000-0005-0000-0000-00007C890000}"/>
    <cellStyle name="Total 2 2 3 8 3 3" xfId="35552" xr:uid="{00000000-0005-0000-0000-00007D890000}"/>
    <cellStyle name="Total 2 2 3 8 3 4" xfId="35553" xr:uid="{00000000-0005-0000-0000-00007E890000}"/>
    <cellStyle name="Total 2 2 3 8 4" xfId="35554" xr:uid="{00000000-0005-0000-0000-00007F890000}"/>
    <cellStyle name="Total 2 2 3 8 4 2" xfId="35555" xr:uid="{00000000-0005-0000-0000-000080890000}"/>
    <cellStyle name="Total 2 2 3 8 4 3" xfId="35556" xr:uid="{00000000-0005-0000-0000-000081890000}"/>
    <cellStyle name="Total 2 2 3 8 5" xfId="35557" xr:uid="{00000000-0005-0000-0000-000082890000}"/>
    <cellStyle name="Total 2 2 3 8 5 2" xfId="35558" xr:uid="{00000000-0005-0000-0000-000083890000}"/>
    <cellStyle name="Total 2 2 3 8 5 3" xfId="35559" xr:uid="{00000000-0005-0000-0000-000084890000}"/>
    <cellStyle name="Total 2 2 3 8 6" xfId="35560" xr:uid="{00000000-0005-0000-0000-000085890000}"/>
    <cellStyle name="Total 2 2 3 8 7" xfId="35561" xr:uid="{00000000-0005-0000-0000-000086890000}"/>
    <cellStyle name="Total 2 2 3 9" xfId="35562" xr:uid="{00000000-0005-0000-0000-000087890000}"/>
    <cellStyle name="Total 2 2 3 9 2" xfId="35563" xr:uid="{00000000-0005-0000-0000-000088890000}"/>
    <cellStyle name="Total 2 2 3 9 2 2" xfId="35564" xr:uid="{00000000-0005-0000-0000-000089890000}"/>
    <cellStyle name="Total 2 2 3 9 2 3" xfId="35565" xr:uid="{00000000-0005-0000-0000-00008A890000}"/>
    <cellStyle name="Total 2 2 3 9 2 4" xfId="15156" xr:uid="{00000000-0005-0000-0000-00008B890000}"/>
    <cellStyle name="Total 2 2 3 9 3" xfId="35566" xr:uid="{00000000-0005-0000-0000-00008C890000}"/>
    <cellStyle name="Total 2 2 3 9 3 2" xfId="35567" xr:uid="{00000000-0005-0000-0000-00008D890000}"/>
    <cellStyle name="Total 2 2 3 9 3 3" xfId="35568" xr:uid="{00000000-0005-0000-0000-00008E890000}"/>
    <cellStyle name="Total 2 2 3 9 3 4" xfId="1273" xr:uid="{00000000-0005-0000-0000-00008F890000}"/>
    <cellStyle name="Total 2 2 3 9 4" xfId="35569" xr:uid="{00000000-0005-0000-0000-000090890000}"/>
    <cellStyle name="Total 2 2 3 9 4 2" xfId="35570" xr:uid="{00000000-0005-0000-0000-000091890000}"/>
    <cellStyle name="Total 2 2 3 9 4 3" xfId="35571" xr:uid="{00000000-0005-0000-0000-000092890000}"/>
    <cellStyle name="Total 2 2 3 9 5" xfId="35572" xr:uid="{00000000-0005-0000-0000-000093890000}"/>
    <cellStyle name="Total 2 2 3 9 5 2" xfId="35573" xr:uid="{00000000-0005-0000-0000-000094890000}"/>
    <cellStyle name="Total 2 2 3 9 5 3" xfId="35574" xr:uid="{00000000-0005-0000-0000-000095890000}"/>
    <cellStyle name="Total 2 2 3 9 6" xfId="35575" xr:uid="{00000000-0005-0000-0000-000096890000}"/>
    <cellStyle name="Total 2 2 3 9 7" xfId="35576" xr:uid="{00000000-0005-0000-0000-000097890000}"/>
    <cellStyle name="Total 2 2 30" xfId="16215" xr:uid="{00000000-0005-0000-0000-000098890000}"/>
    <cellStyle name="Total 2 2 4" xfId="35577" xr:uid="{00000000-0005-0000-0000-000099890000}"/>
    <cellStyle name="Total 2 2 4 2" xfId="35578" xr:uid="{00000000-0005-0000-0000-00009A890000}"/>
    <cellStyle name="Total 2 2 4 2 2" xfId="35579" xr:uid="{00000000-0005-0000-0000-00009B890000}"/>
    <cellStyle name="Total 2 2 4 2 3" xfId="35580" xr:uid="{00000000-0005-0000-0000-00009C890000}"/>
    <cellStyle name="Total 2 2 4 2 4" xfId="263" xr:uid="{00000000-0005-0000-0000-00009D890000}"/>
    <cellStyle name="Total 2 2 4 3" xfId="21461" xr:uid="{00000000-0005-0000-0000-00009E890000}"/>
    <cellStyle name="Total 2 2 4 3 2" xfId="35581" xr:uid="{00000000-0005-0000-0000-00009F890000}"/>
    <cellStyle name="Total 2 2 4 3 3" xfId="35582" xr:uid="{00000000-0005-0000-0000-0000A0890000}"/>
    <cellStyle name="Total 2 2 4 3 4" xfId="26890" xr:uid="{00000000-0005-0000-0000-0000A1890000}"/>
    <cellStyle name="Total 2 2 4 4" xfId="21464" xr:uid="{00000000-0005-0000-0000-0000A2890000}"/>
    <cellStyle name="Total 2 2 4 4 2" xfId="35583" xr:uid="{00000000-0005-0000-0000-0000A3890000}"/>
    <cellStyle name="Total 2 2 4 4 3" xfId="35584" xr:uid="{00000000-0005-0000-0000-0000A4890000}"/>
    <cellStyle name="Total 2 2 4 5" xfId="35585" xr:uid="{00000000-0005-0000-0000-0000A5890000}"/>
    <cellStyle name="Total 2 2 4 5 2" xfId="35586" xr:uid="{00000000-0005-0000-0000-0000A6890000}"/>
    <cellStyle name="Total 2 2 4 5 3" xfId="35587" xr:uid="{00000000-0005-0000-0000-0000A7890000}"/>
    <cellStyle name="Total 2 2 4 6" xfId="35588" xr:uid="{00000000-0005-0000-0000-0000A8890000}"/>
    <cellStyle name="Total 2 2 4 7" xfId="35589" xr:uid="{00000000-0005-0000-0000-0000A9890000}"/>
    <cellStyle name="Total 2 2 4 8" xfId="35590" xr:uid="{00000000-0005-0000-0000-0000AA890000}"/>
    <cellStyle name="Total 2 2 5" xfId="35591" xr:uid="{00000000-0005-0000-0000-0000AB890000}"/>
    <cellStyle name="Total 2 2 5 2" xfId="35592" xr:uid="{00000000-0005-0000-0000-0000AC890000}"/>
    <cellStyle name="Total 2 2 5 2 2" xfId="35593" xr:uid="{00000000-0005-0000-0000-0000AD890000}"/>
    <cellStyle name="Total 2 2 5 2 3" xfId="35594" xr:uid="{00000000-0005-0000-0000-0000AE890000}"/>
    <cellStyle name="Total 2 2 5 2 4" xfId="1615" xr:uid="{00000000-0005-0000-0000-0000AF890000}"/>
    <cellStyle name="Total 2 2 5 3" xfId="35595" xr:uid="{00000000-0005-0000-0000-0000B0890000}"/>
    <cellStyle name="Total 2 2 5 3 2" xfId="35596" xr:uid="{00000000-0005-0000-0000-0000B1890000}"/>
    <cellStyle name="Total 2 2 5 3 3" xfId="35597" xr:uid="{00000000-0005-0000-0000-0000B2890000}"/>
    <cellStyle name="Total 2 2 5 3 4" xfId="26910" xr:uid="{00000000-0005-0000-0000-0000B3890000}"/>
    <cellStyle name="Total 2 2 5 4" xfId="35598" xr:uid="{00000000-0005-0000-0000-0000B4890000}"/>
    <cellStyle name="Total 2 2 5 4 2" xfId="35599" xr:uid="{00000000-0005-0000-0000-0000B5890000}"/>
    <cellStyle name="Total 2 2 5 4 3" xfId="35600" xr:uid="{00000000-0005-0000-0000-0000B6890000}"/>
    <cellStyle name="Total 2 2 5 5" xfId="35601" xr:uid="{00000000-0005-0000-0000-0000B7890000}"/>
    <cellStyle name="Total 2 2 5 5 2" xfId="35602" xr:uid="{00000000-0005-0000-0000-0000B8890000}"/>
    <cellStyle name="Total 2 2 5 5 3" xfId="35603" xr:uid="{00000000-0005-0000-0000-0000B9890000}"/>
    <cellStyle name="Total 2 2 5 6" xfId="35604" xr:uid="{00000000-0005-0000-0000-0000BA890000}"/>
    <cellStyle name="Total 2 2 5 7" xfId="35605" xr:uid="{00000000-0005-0000-0000-0000BB890000}"/>
    <cellStyle name="Total 2 2 5 8" xfId="35606" xr:uid="{00000000-0005-0000-0000-0000BC890000}"/>
    <cellStyle name="Total 2 2 6" xfId="35607" xr:uid="{00000000-0005-0000-0000-0000BD890000}"/>
    <cellStyle name="Total 2 2 6 2" xfId="35608" xr:uid="{00000000-0005-0000-0000-0000BE890000}"/>
    <cellStyle name="Total 2 2 6 2 2" xfId="35609" xr:uid="{00000000-0005-0000-0000-0000BF890000}"/>
    <cellStyle name="Total 2 2 6 2 3" xfId="35610" xr:uid="{00000000-0005-0000-0000-0000C0890000}"/>
    <cellStyle name="Total 2 2 6 2 4" xfId="26927" xr:uid="{00000000-0005-0000-0000-0000C1890000}"/>
    <cellStyle name="Total 2 2 6 3" xfId="35611" xr:uid="{00000000-0005-0000-0000-0000C2890000}"/>
    <cellStyle name="Total 2 2 6 3 2" xfId="35612" xr:uid="{00000000-0005-0000-0000-0000C3890000}"/>
    <cellStyle name="Total 2 2 6 3 3" xfId="35613" xr:uid="{00000000-0005-0000-0000-0000C4890000}"/>
    <cellStyle name="Total 2 2 6 3 4" xfId="15837" xr:uid="{00000000-0005-0000-0000-0000C5890000}"/>
    <cellStyle name="Total 2 2 6 4" xfId="35614" xr:uid="{00000000-0005-0000-0000-0000C6890000}"/>
    <cellStyle name="Total 2 2 6 4 2" xfId="35615" xr:uid="{00000000-0005-0000-0000-0000C7890000}"/>
    <cellStyle name="Total 2 2 6 4 3" xfId="35616" xr:uid="{00000000-0005-0000-0000-0000C8890000}"/>
    <cellStyle name="Total 2 2 6 5" xfId="35617" xr:uid="{00000000-0005-0000-0000-0000C9890000}"/>
    <cellStyle name="Total 2 2 6 5 2" xfId="35618" xr:uid="{00000000-0005-0000-0000-0000CA890000}"/>
    <cellStyle name="Total 2 2 6 5 3" xfId="35619" xr:uid="{00000000-0005-0000-0000-0000CB890000}"/>
    <cellStyle name="Total 2 2 6 6" xfId="35620" xr:uid="{00000000-0005-0000-0000-0000CC890000}"/>
    <cellStyle name="Total 2 2 6 7" xfId="35621" xr:uid="{00000000-0005-0000-0000-0000CD890000}"/>
    <cellStyle name="Total 2 2 6 8" xfId="35622" xr:uid="{00000000-0005-0000-0000-0000CE890000}"/>
    <cellStyle name="Total 2 2 7" xfId="35623" xr:uid="{00000000-0005-0000-0000-0000CF890000}"/>
    <cellStyle name="Total 2 2 7 2" xfId="35624" xr:uid="{00000000-0005-0000-0000-0000D0890000}"/>
    <cellStyle name="Total 2 2 7 2 2" xfId="35625" xr:uid="{00000000-0005-0000-0000-0000D1890000}"/>
    <cellStyle name="Total 2 2 7 2 3" xfId="35626" xr:uid="{00000000-0005-0000-0000-0000D2890000}"/>
    <cellStyle name="Total 2 2 7 2 4" xfId="35627" xr:uid="{00000000-0005-0000-0000-0000D3890000}"/>
    <cellStyle name="Total 2 2 7 3" xfId="35628" xr:uid="{00000000-0005-0000-0000-0000D4890000}"/>
    <cellStyle name="Total 2 2 7 3 2" xfId="35629" xr:uid="{00000000-0005-0000-0000-0000D5890000}"/>
    <cellStyle name="Total 2 2 7 3 3" xfId="35630" xr:uid="{00000000-0005-0000-0000-0000D6890000}"/>
    <cellStyle name="Total 2 2 7 3 4" xfId="35631" xr:uid="{00000000-0005-0000-0000-0000D7890000}"/>
    <cellStyle name="Total 2 2 7 4" xfId="35632" xr:uid="{00000000-0005-0000-0000-0000D8890000}"/>
    <cellStyle name="Total 2 2 7 4 2" xfId="35633" xr:uid="{00000000-0005-0000-0000-0000D9890000}"/>
    <cellStyle name="Total 2 2 7 4 3" xfId="35634" xr:uid="{00000000-0005-0000-0000-0000DA890000}"/>
    <cellStyle name="Total 2 2 7 5" xfId="35635" xr:uid="{00000000-0005-0000-0000-0000DB890000}"/>
    <cellStyle name="Total 2 2 7 5 2" xfId="35636" xr:uid="{00000000-0005-0000-0000-0000DC890000}"/>
    <cellStyle name="Total 2 2 7 5 3" xfId="35637" xr:uid="{00000000-0005-0000-0000-0000DD890000}"/>
    <cellStyle name="Total 2 2 7 6" xfId="35638" xr:uid="{00000000-0005-0000-0000-0000DE890000}"/>
    <cellStyle name="Total 2 2 7 7" xfId="35639" xr:uid="{00000000-0005-0000-0000-0000DF890000}"/>
    <cellStyle name="Total 2 2 7 8" xfId="35640" xr:uid="{00000000-0005-0000-0000-0000E0890000}"/>
    <cellStyle name="Total 2 2 8" xfId="35641" xr:uid="{00000000-0005-0000-0000-0000E1890000}"/>
    <cellStyle name="Total 2 2 8 2" xfId="35642" xr:uid="{00000000-0005-0000-0000-0000E2890000}"/>
    <cellStyle name="Total 2 2 8 2 2" xfId="35643" xr:uid="{00000000-0005-0000-0000-0000E3890000}"/>
    <cellStyle name="Total 2 2 8 2 3" xfId="35644" xr:uid="{00000000-0005-0000-0000-0000E4890000}"/>
    <cellStyle name="Total 2 2 8 2 4" xfId="35645" xr:uid="{00000000-0005-0000-0000-0000E5890000}"/>
    <cellStyle name="Total 2 2 8 3" xfId="35646" xr:uid="{00000000-0005-0000-0000-0000E6890000}"/>
    <cellStyle name="Total 2 2 8 3 2" xfId="35647" xr:uid="{00000000-0005-0000-0000-0000E7890000}"/>
    <cellStyle name="Total 2 2 8 3 3" xfId="35648" xr:uid="{00000000-0005-0000-0000-0000E8890000}"/>
    <cellStyle name="Total 2 2 8 3 4" xfId="35649" xr:uid="{00000000-0005-0000-0000-0000E9890000}"/>
    <cellStyle name="Total 2 2 8 4" xfId="35650" xr:uid="{00000000-0005-0000-0000-0000EA890000}"/>
    <cellStyle name="Total 2 2 8 4 2" xfId="35651" xr:uid="{00000000-0005-0000-0000-0000EB890000}"/>
    <cellStyle name="Total 2 2 8 4 3" xfId="35652" xr:uid="{00000000-0005-0000-0000-0000EC890000}"/>
    <cellStyle name="Total 2 2 8 5" xfId="35653" xr:uid="{00000000-0005-0000-0000-0000ED890000}"/>
    <cellStyle name="Total 2 2 8 5 2" xfId="35654" xr:uid="{00000000-0005-0000-0000-0000EE890000}"/>
    <cellStyle name="Total 2 2 8 5 3" xfId="35655" xr:uid="{00000000-0005-0000-0000-0000EF890000}"/>
    <cellStyle name="Total 2 2 8 6" xfId="35656" xr:uid="{00000000-0005-0000-0000-0000F0890000}"/>
    <cellStyle name="Total 2 2 8 7" xfId="35657" xr:uid="{00000000-0005-0000-0000-0000F1890000}"/>
    <cellStyle name="Total 2 2 8 8" xfId="35658" xr:uid="{00000000-0005-0000-0000-0000F2890000}"/>
    <cellStyle name="Total 2 2 9" xfId="35659" xr:uid="{00000000-0005-0000-0000-0000F3890000}"/>
    <cellStyle name="Total 2 2 9 2" xfId="32072" xr:uid="{00000000-0005-0000-0000-0000F4890000}"/>
    <cellStyle name="Total 2 2 9 2 2" xfId="35660" xr:uid="{00000000-0005-0000-0000-0000F5890000}"/>
    <cellStyle name="Total 2 2 9 2 3" xfId="35661" xr:uid="{00000000-0005-0000-0000-0000F6890000}"/>
    <cellStyle name="Total 2 2 9 2 4" xfId="35662" xr:uid="{00000000-0005-0000-0000-0000F7890000}"/>
    <cellStyle name="Total 2 2 9 3" xfId="35663" xr:uid="{00000000-0005-0000-0000-0000F8890000}"/>
    <cellStyle name="Total 2 2 9 3 2" xfId="35664" xr:uid="{00000000-0005-0000-0000-0000F9890000}"/>
    <cellStyle name="Total 2 2 9 3 3" xfId="35665" xr:uid="{00000000-0005-0000-0000-0000FA890000}"/>
    <cellStyle name="Total 2 2 9 3 4" xfId="35666" xr:uid="{00000000-0005-0000-0000-0000FB890000}"/>
    <cellStyle name="Total 2 2 9 4" xfId="35667" xr:uid="{00000000-0005-0000-0000-0000FC890000}"/>
    <cellStyle name="Total 2 2 9 4 2" xfId="35668" xr:uid="{00000000-0005-0000-0000-0000FD890000}"/>
    <cellStyle name="Total 2 2 9 4 3" xfId="35669" xr:uid="{00000000-0005-0000-0000-0000FE890000}"/>
    <cellStyle name="Total 2 2 9 5" xfId="35670" xr:uid="{00000000-0005-0000-0000-0000FF890000}"/>
    <cellStyle name="Total 2 2 9 5 2" xfId="35671" xr:uid="{00000000-0005-0000-0000-0000008A0000}"/>
    <cellStyle name="Total 2 2 9 5 3" xfId="35672" xr:uid="{00000000-0005-0000-0000-0000018A0000}"/>
    <cellStyle name="Total 2 2 9 6" xfId="35673" xr:uid="{00000000-0005-0000-0000-0000028A0000}"/>
    <cellStyle name="Total 2 2 9 7" xfId="35674" xr:uid="{00000000-0005-0000-0000-0000038A0000}"/>
    <cellStyle name="Total 2 2 9 8" xfId="35675" xr:uid="{00000000-0005-0000-0000-0000048A0000}"/>
    <cellStyle name="Total 2 20" xfId="34724" xr:uid="{00000000-0005-0000-0000-0000058A0000}"/>
    <cellStyle name="Total 2 20 2" xfId="34756" xr:uid="{00000000-0005-0000-0000-0000068A0000}"/>
    <cellStyle name="Total 2 20 2 2" xfId="34758" xr:uid="{00000000-0005-0000-0000-0000078A0000}"/>
    <cellStyle name="Total 2 20 2 3" xfId="34763" xr:uid="{00000000-0005-0000-0000-0000088A0000}"/>
    <cellStyle name="Total 2 20 2 4" xfId="34768" xr:uid="{00000000-0005-0000-0000-0000098A0000}"/>
    <cellStyle name="Total 2 20 3" xfId="34775" xr:uid="{00000000-0005-0000-0000-00000A8A0000}"/>
    <cellStyle name="Total 2 20 3 2" xfId="34777" xr:uid="{00000000-0005-0000-0000-00000B8A0000}"/>
    <cellStyle name="Total 2 20 3 3" xfId="34782" xr:uid="{00000000-0005-0000-0000-00000C8A0000}"/>
    <cellStyle name="Total 2 20 3 4" xfId="34787" xr:uid="{00000000-0005-0000-0000-00000D8A0000}"/>
    <cellStyle name="Total 2 20 4" xfId="34796" xr:uid="{00000000-0005-0000-0000-00000E8A0000}"/>
    <cellStyle name="Total 2 20 4 2" xfId="34798" xr:uid="{00000000-0005-0000-0000-00000F8A0000}"/>
    <cellStyle name="Total 2 20 4 3" xfId="34803" xr:uid="{00000000-0005-0000-0000-0000108A0000}"/>
    <cellStyle name="Total 2 20 5" xfId="34816" xr:uid="{00000000-0005-0000-0000-0000118A0000}"/>
    <cellStyle name="Total 2 20 5 2" xfId="34818" xr:uid="{00000000-0005-0000-0000-0000128A0000}"/>
    <cellStyle name="Total 2 20 5 3" xfId="34823" xr:uid="{00000000-0005-0000-0000-0000138A0000}"/>
    <cellStyle name="Total 2 20 6" xfId="34836" xr:uid="{00000000-0005-0000-0000-0000148A0000}"/>
    <cellStyle name="Total 2 20 7" xfId="34854" xr:uid="{00000000-0005-0000-0000-0000158A0000}"/>
    <cellStyle name="Total 2 20 8" xfId="34870" xr:uid="{00000000-0005-0000-0000-0000168A0000}"/>
    <cellStyle name="Total 2 21" xfId="7124" xr:uid="{00000000-0005-0000-0000-0000178A0000}"/>
    <cellStyle name="Total 2 21 2" xfId="34936" xr:uid="{00000000-0005-0000-0000-0000188A0000}"/>
    <cellStyle name="Total 2 21 2 2" xfId="34938" xr:uid="{00000000-0005-0000-0000-0000198A0000}"/>
    <cellStyle name="Total 2 21 2 3" xfId="34941" xr:uid="{00000000-0005-0000-0000-00001A8A0000}"/>
    <cellStyle name="Total 2 21 2 4" xfId="34944" xr:uid="{00000000-0005-0000-0000-00001B8A0000}"/>
    <cellStyle name="Total 2 21 3" xfId="34952" xr:uid="{00000000-0005-0000-0000-00001C8A0000}"/>
    <cellStyle name="Total 2 21 3 2" xfId="34954" xr:uid="{00000000-0005-0000-0000-00001D8A0000}"/>
    <cellStyle name="Total 2 21 3 3" xfId="34957" xr:uid="{00000000-0005-0000-0000-00001E8A0000}"/>
    <cellStyle name="Total 2 21 3 4" xfId="34959" xr:uid="{00000000-0005-0000-0000-00001F8A0000}"/>
    <cellStyle name="Total 2 21 4" xfId="34964" xr:uid="{00000000-0005-0000-0000-0000208A0000}"/>
    <cellStyle name="Total 2 21 4 2" xfId="34966" xr:uid="{00000000-0005-0000-0000-0000218A0000}"/>
    <cellStyle name="Total 2 21 4 3" xfId="34968" xr:uid="{00000000-0005-0000-0000-0000228A0000}"/>
    <cellStyle name="Total 2 21 5" xfId="34976" xr:uid="{00000000-0005-0000-0000-0000238A0000}"/>
    <cellStyle name="Total 2 21 5 2" xfId="34978" xr:uid="{00000000-0005-0000-0000-0000248A0000}"/>
    <cellStyle name="Total 2 21 5 3" xfId="34983" xr:uid="{00000000-0005-0000-0000-0000258A0000}"/>
    <cellStyle name="Total 2 21 6" xfId="34996" xr:uid="{00000000-0005-0000-0000-0000268A0000}"/>
    <cellStyle name="Total 2 21 7" xfId="35014" xr:uid="{00000000-0005-0000-0000-0000278A0000}"/>
    <cellStyle name="Total 2 21 8" xfId="35032" xr:uid="{00000000-0005-0000-0000-0000288A0000}"/>
    <cellStyle name="Total 2 22" xfId="35067" xr:uid="{00000000-0005-0000-0000-0000298A0000}"/>
    <cellStyle name="Total 2 22 2" xfId="35069" xr:uid="{00000000-0005-0000-0000-00002A8A0000}"/>
    <cellStyle name="Total 2 22 2 2" xfId="35071" xr:uid="{00000000-0005-0000-0000-00002B8A0000}"/>
    <cellStyle name="Total 2 22 2 3" xfId="35073" xr:uid="{00000000-0005-0000-0000-00002C8A0000}"/>
    <cellStyle name="Total 2 22 2 4" xfId="35075" xr:uid="{00000000-0005-0000-0000-00002D8A0000}"/>
    <cellStyle name="Total 2 22 3" xfId="35077" xr:uid="{00000000-0005-0000-0000-00002E8A0000}"/>
    <cellStyle name="Total 2 22 3 2" xfId="35079" xr:uid="{00000000-0005-0000-0000-00002F8A0000}"/>
    <cellStyle name="Total 2 22 3 3" xfId="35081" xr:uid="{00000000-0005-0000-0000-0000308A0000}"/>
    <cellStyle name="Total 2 22 3 4" xfId="35083" xr:uid="{00000000-0005-0000-0000-0000318A0000}"/>
    <cellStyle name="Total 2 22 4" xfId="35085" xr:uid="{00000000-0005-0000-0000-0000328A0000}"/>
    <cellStyle name="Total 2 22 4 2" xfId="35087" xr:uid="{00000000-0005-0000-0000-0000338A0000}"/>
    <cellStyle name="Total 2 22 4 3" xfId="35089" xr:uid="{00000000-0005-0000-0000-0000348A0000}"/>
    <cellStyle name="Total 2 22 5" xfId="35091" xr:uid="{00000000-0005-0000-0000-0000358A0000}"/>
    <cellStyle name="Total 2 22 5 2" xfId="35093" xr:uid="{00000000-0005-0000-0000-0000368A0000}"/>
    <cellStyle name="Total 2 22 5 3" xfId="35095" xr:uid="{00000000-0005-0000-0000-0000378A0000}"/>
    <cellStyle name="Total 2 22 6" xfId="35097" xr:uid="{00000000-0005-0000-0000-0000388A0000}"/>
    <cellStyle name="Total 2 22 7" xfId="35099" xr:uid="{00000000-0005-0000-0000-0000398A0000}"/>
    <cellStyle name="Total 2 22 8" xfId="35101" xr:uid="{00000000-0005-0000-0000-00003A8A0000}"/>
    <cellStyle name="Total 2 23" xfId="35103" xr:uid="{00000000-0005-0000-0000-00003B8A0000}"/>
    <cellStyle name="Total 2 23 2" xfId="35105" xr:uid="{00000000-0005-0000-0000-00003C8A0000}"/>
    <cellStyle name="Total 2 23 2 2" xfId="35107" xr:uid="{00000000-0005-0000-0000-00003D8A0000}"/>
    <cellStyle name="Total 2 23 2 3" xfId="35109" xr:uid="{00000000-0005-0000-0000-00003E8A0000}"/>
    <cellStyle name="Total 2 23 2 4" xfId="35111" xr:uid="{00000000-0005-0000-0000-00003F8A0000}"/>
    <cellStyle name="Total 2 23 3" xfId="35113" xr:uid="{00000000-0005-0000-0000-0000408A0000}"/>
    <cellStyle name="Total 2 23 3 2" xfId="35115" xr:uid="{00000000-0005-0000-0000-0000418A0000}"/>
    <cellStyle name="Total 2 23 3 3" xfId="35117" xr:uid="{00000000-0005-0000-0000-0000428A0000}"/>
    <cellStyle name="Total 2 23 3 4" xfId="35119" xr:uid="{00000000-0005-0000-0000-0000438A0000}"/>
    <cellStyle name="Total 2 23 4" xfId="35121" xr:uid="{00000000-0005-0000-0000-0000448A0000}"/>
    <cellStyle name="Total 2 23 4 2" xfId="2337" xr:uid="{00000000-0005-0000-0000-0000458A0000}"/>
    <cellStyle name="Total 2 23 4 3" xfId="2340" xr:uid="{00000000-0005-0000-0000-0000468A0000}"/>
    <cellStyle name="Total 2 23 5" xfId="35123" xr:uid="{00000000-0005-0000-0000-0000478A0000}"/>
    <cellStyle name="Total 2 23 5 2" xfId="35125" xr:uid="{00000000-0005-0000-0000-0000488A0000}"/>
    <cellStyle name="Total 2 23 5 3" xfId="35127" xr:uid="{00000000-0005-0000-0000-0000498A0000}"/>
    <cellStyle name="Total 2 23 6" xfId="35129" xr:uid="{00000000-0005-0000-0000-00004A8A0000}"/>
    <cellStyle name="Total 2 23 7" xfId="35131" xr:uid="{00000000-0005-0000-0000-00004B8A0000}"/>
    <cellStyle name="Total 2 23 8" xfId="35133" xr:uid="{00000000-0005-0000-0000-00004C8A0000}"/>
    <cellStyle name="Total 2 24" xfId="35135" xr:uid="{00000000-0005-0000-0000-00004D8A0000}"/>
    <cellStyle name="Total 2 24 2" xfId="35137" xr:uid="{00000000-0005-0000-0000-00004E8A0000}"/>
    <cellStyle name="Total 2 24 2 2" xfId="35139" xr:uid="{00000000-0005-0000-0000-00004F8A0000}"/>
    <cellStyle name="Total 2 24 2 3" xfId="35141" xr:uid="{00000000-0005-0000-0000-0000508A0000}"/>
    <cellStyle name="Total 2 24 2 4" xfId="35143" xr:uid="{00000000-0005-0000-0000-0000518A0000}"/>
    <cellStyle name="Total 2 24 3" xfId="35145" xr:uid="{00000000-0005-0000-0000-0000528A0000}"/>
    <cellStyle name="Total 2 24 3 2" xfId="35147" xr:uid="{00000000-0005-0000-0000-0000538A0000}"/>
    <cellStyle name="Total 2 24 3 3" xfId="35149" xr:uid="{00000000-0005-0000-0000-0000548A0000}"/>
    <cellStyle name="Total 2 24 3 4" xfId="35151" xr:uid="{00000000-0005-0000-0000-0000558A0000}"/>
    <cellStyle name="Total 2 24 4" xfId="35153" xr:uid="{00000000-0005-0000-0000-0000568A0000}"/>
    <cellStyle name="Total 2 24 4 2" xfId="35155" xr:uid="{00000000-0005-0000-0000-0000578A0000}"/>
    <cellStyle name="Total 2 24 4 3" xfId="35157" xr:uid="{00000000-0005-0000-0000-0000588A0000}"/>
    <cellStyle name="Total 2 24 5" xfId="35159" xr:uid="{00000000-0005-0000-0000-0000598A0000}"/>
    <cellStyle name="Total 2 24 5 2" xfId="35161" xr:uid="{00000000-0005-0000-0000-00005A8A0000}"/>
    <cellStyle name="Total 2 24 5 3" xfId="35163" xr:uid="{00000000-0005-0000-0000-00005B8A0000}"/>
    <cellStyle name="Total 2 24 6" xfId="35165" xr:uid="{00000000-0005-0000-0000-00005C8A0000}"/>
    <cellStyle name="Total 2 24 7" xfId="35167" xr:uid="{00000000-0005-0000-0000-00005D8A0000}"/>
    <cellStyle name="Total 2 24 8" xfId="35169" xr:uid="{00000000-0005-0000-0000-00005E8A0000}"/>
    <cellStyle name="Total 2 25" xfId="17687" xr:uid="{00000000-0005-0000-0000-00005F8A0000}"/>
    <cellStyle name="Total 2 25 2" xfId="17691" xr:uid="{00000000-0005-0000-0000-0000608A0000}"/>
    <cellStyle name="Total 2 25 2 2" xfId="35676" xr:uid="{00000000-0005-0000-0000-0000618A0000}"/>
    <cellStyle name="Total 2 25 2 3" xfId="35677" xr:uid="{00000000-0005-0000-0000-0000628A0000}"/>
    <cellStyle name="Total 2 25 2 4" xfId="35678" xr:uid="{00000000-0005-0000-0000-0000638A0000}"/>
    <cellStyle name="Total 2 25 3" xfId="17696" xr:uid="{00000000-0005-0000-0000-0000648A0000}"/>
    <cellStyle name="Total 2 25 3 2" xfId="35679" xr:uid="{00000000-0005-0000-0000-0000658A0000}"/>
    <cellStyle name="Total 2 25 3 3" xfId="35680" xr:uid="{00000000-0005-0000-0000-0000668A0000}"/>
    <cellStyle name="Total 2 25 3 4" xfId="35681" xr:uid="{00000000-0005-0000-0000-0000678A0000}"/>
    <cellStyle name="Total 2 25 4" xfId="18535" xr:uid="{00000000-0005-0000-0000-0000688A0000}"/>
    <cellStyle name="Total 2 25 4 2" xfId="35682" xr:uid="{00000000-0005-0000-0000-0000698A0000}"/>
    <cellStyle name="Total 2 25 4 3" xfId="35683" xr:uid="{00000000-0005-0000-0000-00006A8A0000}"/>
    <cellStyle name="Total 2 25 5" xfId="35684" xr:uid="{00000000-0005-0000-0000-00006B8A0000}"/>
    <cellStyle name="Total 2 25 5 2" xfId="35685" xr:uid="{00000000-0005-0000-0000-00006C8A0000}"/>
    <cellStyle name="Total 2 25 5 3" xfId="35686" xr:uid="{00000000-0005-0000-0000-00006D8A0000}"/>
    <cellStyle name="Total 2 25 6" xfId="35687" xr:uid="{00000000-0005-0000-0000-00006E8A0000}"/>
    <cellStyle name="Total 2 25 7" xfId="35688" xr:uid="{00000000-0005-0000-0000-00006F8A0000}"/>
    <cellStyle name="Total 2 25 8" xfId="35689" xr:uid="{00000000-0005-0000-0000-0000708A0000}"/>
    <cellStyle name="Total 2 26" xfId="1474" xr:uid="{00000000-0005-0000-0000-0000718A0000}"/>
    <cellStyle name="Total 2 26 2" xfId="247" xr:uid="{00000000-0005-0000-0000-0000728A0000}"/>
    <cellStyle name="Total 2 26 3" xfId="1490" xr:uid="{00000000-0005-0000-0000-0000738A0000}"/>
    <cellStyle name="Total 2 26 4" xfId="22150" xr:uid="{00000000-0005-0000-0000-0000748A0000}"/>
    <cellStyle name="Total 2 26 5" xfId="1251" xr:uid="{00000000-0005-0000-0000-0000758A0000}"/>
    <cellStyle name="Total 2 27" xfId="1504" xr:uid="{00000000-0005-0000-0000-0000768A0000}"/>
    <cellStyle name="Total 2 27 2" xfId="22153" xr:uid="{00000000-0005-0000-0000-0000778A0000}"/>
    <cellStyle name="Total 2 27 3" xfId="22156" xr:uid="{00000000-0005-0000-0000-0000788A0000}"/>
    <cellStyle name="Total 2 27 4" xfId="35690" xr:uid="{00000000-0005-0000-0000-0000798A0000}"/>
    <cellStyle name="Total 2 27 5" xfId="35691" xr:uid="{00000000-0005-0000-0000-00007A8A0000}"/>
    <cellStyle name="Total 2 28" xfId="1520" xr:uid="{00000000-0005-0000-0000-00007B8A0000}"/>
    <cellStyle name="Total 2 28 2" xfId="22160" xr:uid="{00000000-0005-0000-0000-00007C8A0000}"/>
    <cellStyle name="Total 2 28 3" xfId="22163" xr:uid="{00000000-0005-0000-0000-00007D8A0000}"/>
    <cellStyle name="Total 2 28 4" xfId="35692" xr:uid="{00000000-0005-0000-0000-00007E8A0000}"/>
    <cellStyle name="Total 2 29" xfId="1526" xr:uid="{00000000-0005-0000-0000-00007F8A0000}"/>
    <cellStyle name="Total 2 29 2" xfId="22166" xr:uid="{00000000-0005-0000-0000-0000808A0000}"/>
    <cellStyle name="Total 2 29 3" xfId="35693" xr:uid="{00000000-0005-0000-0000-0000818A0000}"/>
    <cellStyle name="Total 2 29 4" xfId="35694" xr:uid="{00000000-0005-0000-0000-0000828A0000}"/>
    <cellStyle name="Total 2 3" xfId="11663" xr:uid="{00000000-0005-0000-0000-0000838A0000}"/>
    <cellStyle name="Total 2 3 10" xfId="35695" xr:uid="{00000000-0005-0000-0000-0000848A0000}"/>
    <cellStyle name="Total 2 3 10 2" xfId="35696" xr:uid="{00000000-0005-0000-0000-0000858A0000}"/>
    <cellStyle name="Total 2 3 10 2 2" xfId="35697" xr:uid="{00000000-0005-0000-0000-0000868A0000}"/>
    <cellStyle name="Total 2 3 10 2 3" xfId="35698" xr:uid="{00000000-0005-0000-0000-0000878A0000}"/>
    <cellStyle name="Total 2 3 10 2 4" xfId="35699" xr:uid="{00000000-0005-0000-0000-0000888A0000}"/>
    <cellStyle name="Total 2 3 10 3" xfId="35700" xr:uid="{00000000-0005-0000-0000-0000898A0000}"/>
    <cellStyle name="Total 2 3 10 3 2" xfId="35701" xr:uid="{00000000-0005-0000-0000-00008A8A0000}"/>
    <cellStyle name="Total 2 3 10 3 3" xfId="35702" xr:uid="{00000000-0005-0000-0000-00008B8A0000}"/>
    <cellStyle name="Total 2 3 10 3 4" xfId="35703" xr:uid="{00000000-0005-0000-0000-00008C8A0000}"/>
    <cellStyle name="Total 2 3 10 4" xfId="35704" xr:uid="{00000000-0005-0000-0000-00008D8A0000}"/>
    <cellStyle name="Total 2 3 10 4 2" xfId="35705" xr:uid="{00000000-0005-0000-0000-00008E8A0000}"/>
    <cellStyle name="Total 2 3 10 4 3" xfId="35706" xr:uid="{00000000-0005-0000-0000-00008F8A0000}"/>
    <cellStyle name="Total 2 3 10 5" xfId="35707" xr:uid="{00000000-0005-0000-0000-0000908A0000}"/>
    <cellStyle name="Total 2 3 10 5 2" xfId="35708" xr:uid="{00000000-0005-0000-0000-0000918A0000}"/>
    <cellStyle name="Total 2 3 10 5 3" xfId="35709" xr:uid="{00000000-0005-0000-0000-0000928A0000}"/>
    <cellStyle name="Total 2 3 10 6" xfId="35710" xr:uid="{00000000-0005-0000-0000-0000938A0000}"/>
    <cellStyle name="Total 2 3 10 7" xfId="35711" xr:uid="{00000000-0005-0000-0000-0000948A0000}"/>
    <cellStyle name="Total 2 3 11" xfId="35712" xr:uid="{00000000-0005-0000-0000-0000958A0000}"/>
    <cellStyle name="Total 2 3 11 2" xfId="35713" xr:uid="{00000000-0005-0000-0000-0000968A0000}"/>
    <cellStyle name="Total 2 3 11 2 2" xfId="35714" xr:uid="{00000000-0005-0000-0000-0000978A0000}"/>
    <cellStyle name="Total 2 3 11 2 3" xfId="35715" xr:uid="{00000000-0005-0000-0000-0000988A0000}"/>
    <cellStyle name="Total 2 3 11 2 4" xfId="35716" xr:uid="{00000000-0005-0000-0000-0000998A0000}"/>
    <cellStyle name="Total 2 3 11 3" xfId="35717" xr:uid="{00000000-0005-0000-0000-00009A8A0000}"/>
    <cellStyle name="Total 2 3 11 3 2" xfId="35718" xr:uid="{00000000-0005-0000-0000-00009B8A0000}"/>
    <cellStyle name="Total 2 3 11 3 3" xfId="35719" xr:uid="{00000000-0005-0000-0000-00009C8A0000}"/>
    <cellStyle name="Total 2 3 11 3 4" xfId="35720" xr:uid="{00000000-0005-0000-0000-00009D8A0000}"/>
    <cellStyle name="Total 2 3 11 4" xfId="35721" xr:uid="{00000000-0005-0000-0000-00009E8A0000}"/>
    <cellStyle name="Total 2 3 11 4 2" xfId="35722" xr:uid="{00000000-0005-0000-0000-00009F8A0000}"/>
    <cellStyle name="Total 2 3 11 4 3" xfId="35723" xr:uid="{00000000-0005-0000-0000-0000A08A0000}"/>
    <cellStyle name="Total 2 3 11 5" xfId="35724" xr:uid="{00000000-0005-0000-0000-0000A18A0000}"/>
    <cellStyle name="Total 2 3 11 5 2" xfId="35725" xr:uid="{00000000-0005-0000-0000-0000A28A0000}"/>
    <cellStyle name="Total 2 3 11 5 3" xfId="35726" xr:uid="{00000000-0005-0000-0000-0000A38A0000}"/>
    <cellStyle name="Total 2 3 11 6" xfId="35727" xr:uid="{00000000-0005-0000-0000-0000A48A0000}"/>
    <cellStyle name="Total 2 3 11 7" xfId="35728" xr:uid="{00000000-0005-0000-0000-0000A58A0000}"/>
    <cellStyle name="Total 2 3 12" xfId="35729" xr:uid="{00000000-0005-0000-0000-0000A68A0000}"/>
    <cellStyle name="Total 2 3 12 2" xfId="35730" xr:uid="{00000000-0005-0000-0000-0000A78A0000}"/>
    <cellStyle name="Total 2 3 12 2 2" xfId="35731" xr:uid="{00000000-0005-0000-0000-0000A88A0000}"/>
    <cellStyle name="Total 2 3 12 2 3" xfId="35732" xr:uid="{00000000-0005-0000-0000-0000A98A0000}"/>
    <cellStyle name="Total 2 3 12 2 4" xfId="35733" xr:uid="{00000000-0005-0000-0000-0000AA8A0000}"/>
    <cellStyle name="Total 2 3 12 3" xfId="35734" xr:uid="{00000000-0005-0000-0000-0000AB8A0000}"/>
    <cellStyle name="Total 2 3 12 3 2" xfId="35735" xr:uid="{00000000-0005-0000-0000-0000AC8A0000}"/>
    <cellStyle name="Total 2 3 12 3 3" xfId="35736" xr:uid="{00000000-0005-0000-0000-0000AD8A0000}"/>
    <cellStyle name="Total 2 3 12 3 4" xfId="35737" xr:uid="{00000000-0005-0000-0000-0000AE8A0000}"/>
    <cellStyle name="Total 2 3 12 4" xfId="35738" xr:uid="{00000000-0005-0000-0000-0000AF8A0000}"/>
    <cellStyle name="Total 2 3 12 4 2" xfId="35739" xr:uid="{00000000-0005-0000-0000-0000B08A0000}"/>
    <cellStyle name="Total 2 3 12 4 3" xfId="35740" xr:uid="{00000000-0005-0000-0000-0000B18A0000}"/>
    <cellStyle name="Total 2 3 12 5" xfId="35741" xr:uid="{00000000-0005-0000-0000-0000B28A0000}"/>
    <cellStyle name="Total 2 3 12 5 2" xfId="35742" xr:uid="{00000000-0005-0000-0000-0000B38A0000}"/>
    <cellStyle name="Total 2 3 12 5 3" xfId="35743" xr:uid="{00000000-0005-0000-0000-0000B48A0000}"/>
    <cellStyle name="Total 2 3 12 6" xfId="35744" xr:uid="{00000000-0005-0000-0000-0000B58A0000}"/>
    <cellStyle name="Total 2 3 12 7" xfId="35745" xr:uid="{00000000-0005-0000-0000-0000B68A0000}"/>
    <cellStyle name="Total 2 3 13" xfId="35746" xr:uid="{00000000-0005-0000-0000-0000B78A0000}"/>
    <cellStyle name="Total 2 3 13 2" xfId="35747" xr:uid="{00000000-0005-0000-0000-0000B88A0000}"/>
    <cellStyle name="Total 2 3 13 3" xfId="7324" xr:uid="{00000000-0005-0000-0000-0000B98A0000}"/>
    <cellStyle name="Total 2 3 13 4" xfId="35748" xr:uid="{00000000-0005-0000-0000-0000BA8A0000}"/>
    <cellStyle name="Total 2 3 14" xfId="35749" xr:uid="{00000000-0005-0000-0000-0000BB8A0000}"/>
    <cellStyle name="Total 2 3 14 2" xfId="35750" xr:uid="{00000000-0005-0000-0000-0000BC8A0000}"/>
    <cellStyle name="Total 2 3 14 3" xfId="35751" xr:uid="{00000000-0005-0000-0000-0000BD8A0000}"/>
    <cellStyle name="Total 2 3 14 4" xfId="35752" xr:uid="{00000000-0005-0000-0000-0000BE8A0000}"/>
    <cellStyle name="Total 2 3 15" xfId="35753" xr:uid="{00000000-0005-0000-0000-0000BF8A0000}"/>
    <cellStyle name="Total 2 3 15 2" xfId="35755" xr:uid="{00000000-0005-0000-0000-0000C08A0000}"/>
    <cellStyle name="Total 2 3 15 3" xfId="35756" xr:uid="{00000000-0005-0000-0000-0000C18A0000}"/>
    <cellStyle name="Total 2 3 16" xfId="35757" xr:uid="{00000000-0005-0000-0000-0000C28A0000}"/>
    <cellStyle name="Total 2 3 16 2" xfId="35758" xr:uid="{00000000-0005-0000-0000-0000C38A0000}"/>
    <cellStyle name="Total 2 3 16 3" xfId="35759" xr:uid="{00000000-0005-0000-0000-0000C48A0000}"/>
    <cellStyle name="Total 2 3 17" xfId="35760" xr:uid="{00000000-0005-0000-0000-0000C58A0000}"/>
    <cellStyle name="Total 2 3 18" xfId="35761" xr:uid="{00000000-0005-0000-0000-0000C68A0000}"/>
    <cellStyle name="Total 2 3 19" xfId="35762" xr:uid="{00000000-0005-0000-0000-0000C78A0000}"/>
    <cellStyle name="Total 2 3 2" xfId="35763" xr:uid="{00000000-0005-0000-0000-0000C88A0000}"/>
    <cellStyle name="Total 2 3 2 10" xfId="9624" xr:uid="{00000000-0005-0000-0000-0000C98A0000}"/>
    <cellStyle name="Total 2 3 2 10 2" xfId="15384" xr:uid="{00000000-0005-0000-0000-0000CA8A0000}"/>
    <cellStyle name="Total 2 3 2 10 2 2" xfId="35764" xr:uid="{00000000-0005-0000-0000-0000CB8A0000}"/>
    <cellStyle name="Total 2 3 2 10 2 3" xfId="35765" xr:uid="{00000000-0005-0000-0000-0000CC8A0000}"/>
    <cellStyle name="Total 2 3 2 10 2 4" xfId="35766" xr:uid="{00000000-0005-0000-0000-0000CD8A0000}"/>
    <cellStyle name="Total 2 3 2 10 3" xfId="27379" xr:uid="{00000000-0005-0000-0000-0000CE8A0000}"/>
    <cellStyle name="Total 2 3 2 10 3 2" xfId="35767" xr:uid="{00000000-0005-0000-0000-0000CF8A0000}"/>
    <cellStyle name="Total 2 3 2 10 3 3" xfId="35768" xr:uid="{00000000-0005-0000-0000-0000D08A0000}"/>
    <cellStyle name="Total 2 3 2 10 3 4" xfId="35769" xr:uid="{00000000-0005-0000-0000-0000D18A0000}"/>
    <cellStyle name="Total 2 3 2 10 4" xfId="25600" xr:uid="{00000000-0005-0000-0000-0000D28A0000}"/>
    <cellStyle name="Total 2 3 2 10 4 2" xfId="18574" xr:uid="{00000000-0005-0000-0000-0000D38A0000}"/>
    <cellStyle name="Total 2 3 2 10 4 3" xfId="18576" xr:uid="{00000000-0005-0000-0000-0000D48A0000}"/>
    <cellStyle name="Total 2 3 2 10 5" xfId="35770" xr:uid="{00000000-0005-0000-0000-0000D58A0000}"/>
    <cellStyle name="Total 2 3 2 10 5 2" xfId="35771" xr:uid="{00000000-0005-0000-0000-0000D68A0000}"/>
    <cellStyle name="Total 2 3 2 10 5 3" xfId="35772" xr:uid="{00000000-0005-0000-0000-0000D78A0000}"/>
    <cellStyle name="Total 2 3 2 10 6" xfId="35773" xr:uid="{00000000-0005-0000-0000-0000D88A0000}"/>
    <cellStyle name="Total 2 3 2 10 7" xfId="35774" xr:uid="{00000000-0005-0000-0000-0000D98A0000}"/>
    <cellStyle name="Total 2 3 2 11" xfId="27381" xr:uid="{00000000-0005-0000-0000-0000DA8A0000}"/>
    <cellStyle name="Total 2 3 2 11 2" xfId="27384" xr:uid="{00000000-0005-0000-0000-0000DB8A0000}"/>
    <cellStyle name="Total 2 3 2 11 3" xfId="27386" xr:uid="{00000000-0005-0000-0000-0000DC8A0000}"/>
    <cellStyle name="Total 2 3 2 11 4" xfId="25603" xr:uid="{00000000-0005-0000-0000-0000DD8A0000}"/>
    <cellStyle name="Total 2 3 2 12" xfId="27388" xr:uid="{00000000-0005-0000-0000-0000DE8A0000}"/>
    <cellStyle name="Total 2 3 2 12 2" xfId="27390" xr:uid="{00000000-0005-0000-0000-0000DF8A0000}"/>
    <cellStyle name="Total 2 3 2 12 3" xfId="27392" xr:uid="{00000000-0005-0000-0000-0000E08A0000}"/>
    <cellStyle name="Total 2 3 2 12 4" xfId="35775" xr:uid="{00000000-0005-0000-0000-0000E18A0000}"/>
    <cellStyle name="Total 2 3 2 13" xfId="27394" xr:uid="{00000000-0005-0000-0000-0000E28A0000}"/>
    <cellStyle name="Total 2 3 2 13 2" xfId="27396" xr:uid="{00000000-0005-0000-0000-0000E38A0000}"/>
    <cellStyle name="Total 2 3 2 13 3" xfId="27398" xr:uid="{00000000-0005-0000-0000-0000E48A0000}"/>
    <cellStyle name="Total 2 3 2 14" xfId="27400" xr:uid="{00000000-0005-0000-0000-0000E58A0000}"/>
    <cellStyle name="Total 2 3 2 14 2" xfId="35776" xr:uid="{00000000-0005-0000-0000-0000E68A0000}"/>
    <cellStyle name="Total 2 3 2 14 3" xfId="35777" xr:uid="{00000000-0005-0000-0000-0000E78A0000}"/>
    <cellStyle name="Total 2 3 2 15" xfId="24669" xr:uid="{00000000-0005-0000-0000-0000E88A0000}"/>
    <cellStyle name="Total 2 3 2 16" xfId="24674" xr:uid="{00000000-0005-0000-0000-0000E98A0000}"/>
    <cellStyle name="Total 2 3 2 17" xfId="34505" xr:uid="{00000000-0005-0000-0000-0000EA8A0000}"/>
    <cellStyle name="Total 2 3 2 2" xfId="35778" xr:uid="{00000000-0005-0000-0000-0000EB8A0000}"/>
    <cellStyle name="Total 2 3 2 2 2" xfId="35779" xr:uid="{00000000-0005-0000-0000-0000EC8A0000}"/>
    <cellStyle name="Total 2 3 2 2 2 2" xfId="35780" xr:uid="{00000000-0005-0000-0000-0000ED8A0000}"/>
    <cellStyle name="Total 2 3 2 2 2 3" xfId="35781" xr:uid="{00000000-0005-0000-0000-0000EE8A0000}"/>
    <cellStyle name="Total 2 3 2 2 2 4" xfId="35782" xr:uid="{00000000-0005-0000-0000-0000EF8A0000}"/>
    <cellStyle name="Total 2 3 2 2 3" xfId="35783" xr:uid="{00000000-0005-0000-0000-0000F08A0000}"/>
    <cellStyle name="Total 2 3 2 2 3 2" xfId="35784" xr:uid="{00000000-0005-0000-0000-0000F18A0000}"/>
    <cellStyle name="Total 2 3 2 2 3 3" xfId="35785" xr:uid="{00000000-0005-0000-0000-0000F28A0000}"/>
    <cellStyle name="Total 2 3 2 2 3 4" xfId="35786" xr:uid="{00000000-0005-0000-0000-0000F38A0000}"/>
    <cellStyle name="Total 2 3 2 2 4" xfId="35787" xr:uid="{00000000-0005-0000-0000-0000F48A0000}"/>
    <cellStyle name="Total 2 3 2 2 4 2" xfId="35788" xr:uid="{00000000-0005-0000-0000-0000F58A0000}"/>
    <cellStyle name="Total 2 3 2 2 4 3" xfId="35789" xr:uid="{00000000-0005-0000-0000-0000F68A0000}"/>
    <cellStyle name="Total 2 3 2 2 5" xfId="35790" xr:uid="{00000000-0005-0000-0000-0000F78A0000}"/>
    <cellStyle name="Total 2 3 2 2 5 2" xfId="35791" xr:uid="{00000000-0005-0000-0000-0000F88A0000}"/>
    <cellStyle name="Total 2 3 2 2 5 3" xfId="35792" xr:uid="{00000000-0005-0000-0000-0000F98A0000}"/>
    <cellStyle name="Total 2 3 2 2 6" xfId="35793" xr:uid="{00000000-0005-0000-0000-0000FA8A0000}"/>
    <cellStyle name="Total 2 3 2 2 7" xfId="35794" xr:uid="{00000000-0005-0000-0000-0000FB8A0000}"/>
    <cellStyle name="Total 2 3 2 3" xfId="20623" xr:uid="{00000000-0005-0000-0000-0000FC8A0000}"/>
    <cellStyle name="Total 2 3 2 3 2" xfId="35795" xr:uid="{00000000-0005-0000-0000-0000FD8A0000}"/>
    <cellStyle name="Total 2 3 2 3 2 2" xfId="35796" xr:uid="{00000000-0005-0000-0000-0000FE8A0000}"/>
    <cellStyle name="Total 2 3 2 3 2 3" xfId="35797" xr:uid="{00000000-0005-0000-0000-0000FF8A0000}"/>
    <cellStyle name="Total 2 3 2 3 2 4" xfId="35798" xr:uid="{00000000-0005-0000-0000-0000008B0000}"/>
    <cellStyle name="Total 2 3 2 3 3" xfId="35799" xr:uid="{00000000-0005-0000-0000-0000018B0000}"/>
    <cellStyle name="Total 2 3 2 3 3 2" xfId="35800" xr:uid="{00000000-0005-0000-0000-0000028B0000}"/>
    <cellStyle name="Total 2 3 2 3 3 3" xfId="35801" xr:uid="{00000000-0005-0000-0000-0000038B0000}"/>
    <cellStyle name="Total 2 3 2 3 3 4" xfId="35802" xr:uid="{00000000-0005-0000-0000-0000048B0000}"/>
    <cellStyle name="Total 2 3 2 3 4" xfId="35803" xr:uid="{00000000-0005-0000-0000-0000058B0000}"/>
    <cellStyle name="Total 2 3 2 3 4 2" xfId="35804" xr:uid="{00000000-0005-0000-0000-0000068B0000}"/>
    <cellStyle name="Total 2 3 2 3 4 3" xfId="35805" xr:uid="{00000000-0005-0000-0000-0000078B0000}"/>
    <cellStyle name="Total 2 3 2 3 5" xfId="35806" xr:uid="{00000000-0005-0000-0000-0000088B0000}"/>
    <cellStyle name="Total 2 3 2 3 5 2" xfId="35807" xr:uid="{00000000-0005-0000-0000-0000098B0000}"/>
    <cellStyle name="Total 2 3 2 3 5 3" xfId="35808" xr:uid="{00000000-0005-0000-0000-00000A8B0000}"/>
    <cellStyle name="Total 2 3 2 3 6" xfId="35809" xr:uid="{00000000-0005-0000-0000-00000B8B0000}"/>
    <cellStyle name="Total 2 3 2 3 7" xfId="35810" xr:uid="{00000000-0005-0000-0000-00000C8B0000}"/>
    <cellStyle name="Total 2 3 2 4" xfId="21471" xr:uid="{00000000-0005-0000-0000-00000D8B0000}"/>
    <cellStyle name="Total 2 3 2 4 2" xfId="35811" xr:uid="{00000000-0005-0000-0000-00000E8B0000}"/>
    <cellStyle name="Total 2 3 2 4 2 2" xfId="35812" xr:uid="{00000000-0005-0000-0000-00000F8B0000}"/>
    <cellStyle name="Total 2 3 2 4 2 3" xfId="35813" xr:uid="{00000000-0005-0000-0000-0000108B0000}"/>
    <cellStyle name="Total 2 3 2 4 2 4" xfId="35814" xr:uid="{00000000-0005-0000-0000-0000118B0000}"/>
    <cellStyle name="Total 2 3 2 4 3" xfId="35815" xr:uid="{00000000-0005-0000-0000-0000128B0000}"/>
    <cellStyle name="Total 2 3 2 4 3 2" xfId="35816" xr:uid="{00000000-0005-0000-0000-0000138B0000}"/>
    <cellStyle name="Total 2 3 2 4 3 3" xfId="35817" xr:uid="{00000000-0005-0000-0000-0000148B0000}"/>
    <cellStyle name="Total 2 3 2 4 3 4" xfId="35818" xr:uid="{00000000-0005-0000-0000-0000158B0000}"/>
    <cellStyle name="Total 2 3 2 4 4" xfId="35819" xr:uid="{00000000-0005-0000-0000-0000168B0000}"/>
    <cellStyle name="Total 2 3 2 4 4 2" xfId="35820" xr:uid="{00000000-0005-0000-0000-0000178B0000}"/>
    <cellStyle name="Total 2 3 2 4 4 3" xfId="35821" xr:uid="{00000000-0005-0000-0000-0000188B0000}"/>
    <cellStyle name="Total 2 3 2 4 5" xfId="35822" xr:uid="{00000000-0005-0000-0000-0000198B0000}"/>
    <cellStyle name="Total 2 3 2 4 5 2" xfId="35823" xr:uid="{00000000-0005-0000-0000-00001A8B0000}"/>
    <cellStyle name="Total 2 3 2 4 5 3" xfId="35824" xr:uid="{00000000-0005-0000-0000-00001B8B0000}"/>
    <cellStyle name="Total 2 3 2 4 6" xfId="35825" xr:uid="{00000000-0005-0000-0000-00001C8B0000}"/>
    <cellStyle name="Total 2 3 2 4 7" xfId="2278" xr:uid="{00000000-0005-0000-0000-00001D8B0000}"/>
    <cellStyle name="Total 2 3 2 5" xfId="21474" xr:uid="{00000000-0005-0000-0000-00001E8B0000}"/>
    <cellStyle name="Total 2 3 2 5 2" xfId="35826" xr:uid="{00000000-0005-0000-0000-00001F8B0000}"/>
    <cellStyle name="Total 2 3 2 5 2 2" xfId="35827" xr:uid="{00000000-0005-0000-0000-0000208B0000}"/>
    <cellStyle name="Total 2 3 2 5 2 3" xfId="35828" xr:uid="{00000000-0005-0000-0000-0000218B0000}"/>
    <cellStyle name="Total 2 3 2 5 2 4" xfId="35829" xr:uid="{00000000-0005-0000-0000-0000228B0000}"/>
    <cellStyle name="Total 2 3 2 5 3" xfId="35830" xr:uid="{00000000-0005-0000-0000-0000238B0000}"/>
    <cellStyle name="Total 2 3 2 5 3 2" xfId="35831" xr:uid="{00000000-0005-0000-0000-0000248B0000}"/>
    <cellStyle name="Total 2 3 2 5 3 3" xfId="35832" xr:uid="{00000000-0005-0000-0000-0000258B0000}"/>
    <cellStyle name="Total 2 3 2 5 3 4" xfId="35833" xr:uid="{00000000-0005-0000-0000-0000268B0000}"/>
    <cellStyle name="Total 2 3 2 5 4" xfId="35834" xr:uid="{00000000-0005-0000-0000-0000278B0000}"/>
    <cellStyle name="Total 2 3 2 5 4 2" xfId="35835" xr:uid="{00000000-0005-0000-0000-0000288B0000}"/>
    <cellStyle name="Total 2 3 2 5 4 3" xfId="35836" xr:uid="{00000000-0005-0000-0000-0000298B0000}"/>
    <cellStyle name="Total 2 3 2 5 5" xfId="35837" xr:uid="{00000000-0005-0000-0000-00002A8B0000}"/>
    <cellStyle name="Total 2 3 2 5 5 2" xfId="35838" xr:uid="{00000000-0005-0000-0000-00002B8B0000}"/>
    <cellStyle name="Total 2 3 2 5 5 3" xfId="35839" xr:uid="{00000000-0005-0000-0000-00002C8B0000}"/>
    <cellStyle name="Total 2 3 2 5 6" xfId="35840" xr:uid="{00000000-0005-0000-0000-00002D8B0000}"/>
    <cellStyle name="Total 2 3 2 5 7" xfId="35841" xr:uid="{00000000-0005-0000-0000-00002E8B0000}"/>
    <cellStyle name="Total 2 3 2 6" xfId="35842" xr:uid="{00000000-0005-0000-0000-00002F8B0000}"/>
    <cellStyle name="Total 2 3 2 6 2" xfId="35843" xr:uid="{00000000-0005-0000-0000-0000308B0000}"/>
    <cellStyle name="Total 2 3 2 6 2 2" xfId="35844" xr:uid="{00000000-0005-0000-0000-0000318B0000}"/>
    <cellStyle name="Total 2 3 2 6 2 3" xfId="35845" xr:uid="{00000000-0005-0000-0000-0000328B0000}"/>
    <cellStyle name="Total 2 3 2 6 2 4" xfId="35846" xr:uid="{00000000-0005-0000-0000-0000338B0000}"/>
    <cellStyle name="Total 2 3 2 6 3" xfId="35847" xr:uid="{00000000-0005-0000-0000-0000348B0000}"/>
    <cellStyle name="Total 2 3 2 6 3 2" xfId="35848" xr:uid="{00000000-0005-0000-0000-0000358B0000}"/>
    <cellStyle name="Total 2 3 2 6 3 3" xfId="35849" xr:uid="{00000000-0005-0000-0000-0000368B0000}"/>
    <cellStyle name="Total 2 3 2 6 3 4" xfId="35850" xr:uid="{00000000-0005-0000-0000-0000378B0000}"/>
    <cellStyle name="Total 2 3 2 6 4" xfId="35851" xr:uid="{00000000-0005-0000-0000-0000388B0000}"/>
    <cellStyle name="Total 2 3 2 6 4 2" xfId="35852" xr:uid="{00000000-0005-0000-0000-0000398B0000}"/>
    <cellStyle name="Total 2 3 2 6 4 3" xfId="35853" xr:uid="{00000000-0005-0000-0000-00003A8B0000}"/>
    <cellStyle name="Total 2 3 2 6 5" xfId="35854" xr:uid="{00000000-0005-0000-0000-00003B8B0000}"/>
    <cellStyle name="Total 2 3 2 6 5 2" xfId="35855" xr:uid="{00000000-0005-0000-0000-00003C8B0000}"/>
    <cellStyle name="Total 2 3 2 6 5 3" xfId="35856" xr:uid="{00000000-0005-0000-0000-00003D8B0000}"/>
    <cellStyle name="Total 2 3 2 6 6" xfId="35857" xr:uid="{00000000-0005-0000-0000-00003E8B0000}"/>
    <cellStyle name="Total 2 3 2 6 7" xfId="35858" xr:uid="{00000000-0005-0000-0000-00003F8B0000}"/>
    <cellStyle name="Total 2 3 2 7" xfId="35859" xr:uid="{00000000-0005-0000-0000-0000408B0000}"/>
    <cellStyle name="Total 2 3 2 7 2" xfId="35860" xr:uid="{00000000-0005-0000-0000-0000418B0000}"/>
    <cellStyle name="Total 2 3 2 7 2 2" xfId="35861" xr:uid="{00000000-0005-0000-0000-0000428B0000}"/>
    <cellStyle name="Total 2 3 2 7 2 3" xfId="35862" xr:uid="{00000000-0005-0000-0000-0000438B0000}"/>
    <cellStyle name="Total 2 3 2 7 2 4" xfId="35863" xr:uid="{00000000-0005-0000-0000-0000448B0000}"/>
    <cellStyle name="Total 2 3 2 7 3" xfId="35864" xr:uid="{00000000-0005-0000-0000-0000458B0000}"/>
    <cellStyle name="Total 2 3 2 7 3 2" xfId="35865" xr:uid="{00000000-0005-0000-0000-0000468B0000}"/>
    <cellStyle name="Total 2 3 2 7 3 3" xfId="35866" xr:uid="{00000000-0005-0000-0000-0000478B0000}"/>
    <cellStyle name="Total 2 3 2 7 3 4" xfId="35867" xr:uid="{00000000-0005-0000-0000-0000488B0000}"/>
    <cellStyle name="Total 2 3 2 7 4" xfId="35868" xr:uid="{00000000-0005-0000-0000-0000498B0000}"/>
    <cellStyle name="Total 2 3 2 7 4 2" xfId="35869" xr:uid="{00000000-0005-0000-0000-00004A8B0000}"/>
    <cellStyle name="Total 2 3 2 7 4 3" xfId="35870" xr:uid="{00000000-0005-0000-0000-00004B8B0000}"/>
    <cellStyle name="Total 2 3 2 7 5" xfId="35871" xr:uid="{00000000-0005-0000-0000-00004C8B0000}"/>
    <cellStyle name="Total 2 3 2 7 5 2" xfId="35872" xr:uid="{00000000-0005-0000-0000-00004D8B0000}"/>
    <cellStyle name="Total 2 3 2 7 5 3" xfId="35873" xr:uid="{00000000-0005-0000-0000-00004E8B0000}"/>
    <cellStyle name="Total 2 3 2 7 6" xfId="35874" xr:uid="{00000000-0005-0000-0000-00004F8B0000}"/>
    <cellStyle name="Total 2 3 2 7 7" xfId="35875" xr:uid="{00000000-0005-0000-0000-0000508B0000}"/>
    <cellStyle name="Total 2 3 2 8" xfId="35876" xr:uid="{00000000-0005-0000-0000-0000518B0000}"/>
    <cellStyle name="Total 2 3 2 8 2" xfId="35877" xr:uid="{00000000-0005-0000-0000-0000528B0000}"/>
    <cellStyle name="Total 2 3 2 8 2 2" xfId="35878" xr:uid="{00000000-0005-0000-0000-0000538B0000}"/>
    <cellStyle name="Total 2 3 2 8 2 3" xfId="35879" xr:uid="{00000000-0005-0000-0000-0000548B0000}"/>
    <cellStyle name="Total 2 3 2 8 2 4" xfId="35880" xr:uid="{00000000-0005-0000-0000-0000558B0000}"/>
    <cellStyle name="Total 2 3 2 8 3" xfId="35881" xr:uid="{00000000-0005-0000-0000-0000568B0000}"/>
    <cellStyle name="Total 2 3 2 8 3 2" xfId="35882" xr:uid="{00000000-0005-0000-0000-0000578B0000}"/>
    <cellStyle name="Total 2 3 2 8 3 3" xfId="35883" xr:uid="{00000000-0005-0000-0000-0000588B0000}"/>
    <cellStyle name="Total 2 3 2 8 3 4" xfId="35884" xr:uid="{00000000-0005-0000-0000-0000598B0000}"/>
    <cellStyle name="Total 2 3 2 8 4" xfId="35885" xr:uid="{00000000-0005-0000-0000-00005A8B0000}"/>
    <cellStyle name="Total 2 3 2 8 4 2" xfId="35886" xr:uid="{00000000-0005-0000-0000-00005B8B0000}"/>
    <cellStyle name="Total 2 3 2 8 4 3" xfId="35887" xr:uid="{00000000-0005-0000-0000-00005C8B0000}"/>
    <cellStyle name="Total 2 3 2 8 5" xfId="35888" xr:uid="{00000000-0005-0000-0000-00005D8B0000}"/>
    <cellStyle name="Total 2 3 2 8 5 2" xfId="35889" xr:uid="{00000000-0005-0000-0000-00005E8B0000}"/>
    <cellStyle name="Total 2 3 2 8 5 3" xfId="35890" xr:uid="{00000000-0005-0000-0000-00005F8B0000}"/>
    <cellStyle name="Total 2 3 2 8 6" xfId="35891" xr:uid="{00000000-0005-0000-0000-0000608B0000}"/>
    <cellStyle name="Total 2 3 2 8 7" xfId="35892" xr:uid="{00000000-0005-0000-0000-0000618B0000}"/>
    <cellStyle name="Total 2 3 2 9" xfId="35893" xr:uid="{00000000-0005-0000-0000-0000628B0000}"/>
    <cellStyle name="Total 2 3 2 9 2" xfId="35894" xr:uid="{00000000-0005-0000-0000-0000638B0000}"/>
    <cellStyle name="Total 2 3 2 9 2 2" xfId="35895" xr:uid="{00000000-0005-0000-0000-0000648B0000}"/>
    <cellStyle name="Total 2 3 2 9 2 3" xfId="35896" xr:uid="{00000000-0005-0000-0000-0000658B0000}"/>
    <cellStyle name="Total 2 3 2 9 2 4" xfId="35897" xr:uid="{00000000-0005-0000-0000-0000668B0000}"/>
    <cellStyle name="Total 2 3 2 9 3" xfId="35898" xr:uid="{00000000-0005-0000-0000-0000678B0000}"/>
    <cellStyle name="Total 2 3 2 9 3 2" xfId="35899" xr:uid="{00000000-0005-0000-0000-0000688B0000}"/>
    <cellStyle name="Total 2 3 2 9 3 3" xfId="35900" xr:uid="{00000000-0005-0000-0000-0000698B0000}"/>
    <cellStyle name="Total 2 3 2 9 3 4" xfId="35901" xr:uid="{00000000-0005-0000-0000-00006A8B0000}"/>
    <cellStyle name="Total 2 3 2 9 4" xfId="35902" xr:uid="{00000000-0005-0000-0000-00006B8B0000}"/>
    <cellStyle name="Total 2 3 2 9 4 2" xfId="35903" xr:uid="{00000000-0005-0000-0000-00006C8B0000}"/>
    <cellStyle name="Total 2 3 2 9 4 3" xfId="35904" xr:uid="{00000000-0005-0000-0000-00006D8B0000}"/>
    <cellStyle name="Total 2 3 2 9 5" xfId="35905" xr:uid="{00000000-0005-0000-0000-00006E8B0000}"/>
    <cellStyle name="Total 2 3 2 9 5 2" xfId="35906" xr:uid="{00000000-0005-0000-0000-00006F8B0000}"/>
    <cellStyle name="Total 2 3 2 9 5 3" xfId="35907" xr:uid="{00000000-0005-0000-0000-0000708B0000}"/>
    <cellStyle name="Total 2 3 2 9 6" xfId="35908" xr:uid="{00000000-0005-0000-0000-0000718B0000}"/>
    <cellStyle name="Total 2 3 2 9 7" xfId="35909" xr:uid="{00000000-0005-0000-0000-0000728B0000}"/>
    <cellStyle name="Total 2 3 20" xfId="35754" xr:uid="{00000000-0005-0000-0000-0000738B0000}"/>
    <cellStyle name="Total 2 3 3" xfId="35910" xr:uid="{00000000-0005-0000-0000-0000748B0000}"/>
    <cellStyle name="Total 2 3 3 10" xfId="35911" xr:uid="{00000000-0005-0000-0000-0000758B0000}"/>
    <cellStyle name="Total 2 3 3 10 2" xfId="35912" xr:uid="{00000000-0005-0000-0000-0000768B0000}"/>
    <cellStyle name="Total 2 3 3 10 2 2" xfId="35913" xr:uid="{00000000-0005-0000-0000-0000778B0000}"/>
    <cellStyle name="Total 2 3 3 10 2 3" xfId="35914" xr:uid="{00000000-0005-0000-0000-0000788B0000}"/>
    <cellStyle name="Total 2 3 3 10 2 4" xfId="35915" xr:uid="{00000000-0005-0000-0000-0000798B0000}"/>
    <cellStyle name="Total 2 3 3 10 3" xfId="35916" xr:uid="{00000000-0005-0000-0000-00007A8B0000}"/>
    <cellStyle name="Total 2 3 3 10 3 2" xfId="35917" xr:uid="{00000000-0005-0000-0000-00007B8B0000}"/>
    <cellStyle name="Total 2 3 3 10 3 3" xfId="35918" xr:uid="{00000000-0005-0000-0000-00007C8B0000}"/>
    <cellStyle name="Total 2 3 3 10 3 4" xfId="35919" xr:uid="{00000000-0005-0000-0000-00007D8B0000}"/>
    <cellStyle name="Total 2 3 3 10 4" xfId="35920" xr:uid="{00000000-0005-0000-0000-00007E8B0000}"/>
    <cellStyle name="Total 2 3 3 10 4 2" xfId="35921" xr:uid="{00000000-0005-0000-0000-00007F8B0000}"/>
    <cellStyle name="Total 2 3 3 10 4 3" xfId="35922" xr:uid="{00000000-0005-0000-0000-0000808B0000}"/>
    <cellStyle name="Total 2 3 3 10 5" xfId="35923" xr:uid="{00000000-0005-0000-0000-0000818B0000}"/>
    <cellStyle name="Total 2 3 3 10 5 2" xfId="35924" xr:uid="{00000000-0005-0000-0000-0000828B0000}"/>
    <cellStyle name="Total 2 3 3 10 5 3" xfId="35925" xr:uid="{00000000-0005-0000-0000-0000838B0000}"/>
    <cellStyle name="Total 2 3 3 10 6" xfId="35926" xr:uid="{00000000-0005-0000-0000-0000848B0000}"/>
    <cellStyle name="Total 2 3 3 10 7" xfId="35927" xr:uid="{00000000-0005-0000-0000-0000858B0000}"/>
    <cellStyle name="Total 2 3 3 11" xfId="35928" xr:uid="{00000000-0005-0000-0000-0000868B0000}"/>
    <cellStyle name="Total 2 3 3 11 2" xfId="35929" xr:uid="{00000000-0005-0000-0000-0000878B0000}"/>
    <cellStyle name="Total 2 3 3 11 3" xfId="35930" xr:uid="{00000000-0005-0000-0000-0000888B0000}"/>
    <cellStyle name="Total 2 3 3 11 4" xfId="35931" xr:uid="{00000000-0005-0000-0000-0000898B0000}"/>
    <cellStyle name="Total 2 3 3 12" xfId="15997" xr:uid="{00000000-0005-0000-0000-00008A8B0000}"/>
    <cellStyle name="Total 2 3 3 12 2" xfId="35932" xr:uid="{00000000-0005-0000-0000-00008B8B0000}"/>
    <cellStyle name="Total 2 3 3 12 3" xfId="35933" xr:uid="{00000000-0005-0000-0000-00008C8B0000}"/>
    <cellStyle name="Total 2 3 3 12 4" xfId="35934" xr:uid="{00000000-0005-0000-0000-00008D8B0000}"/>
    <cellStyle name="Total 2 3 3 13" xfId="15999" xr:uid="{00000000-0005-0000-0000-00008E8B0000}"/>
    <cellStyle name="Total 2 3 3 13 2" xfId="35935" xr:uid="{00000000-0005-0000-0000-00008F8B0000}"/>
    <cellStyle name="Total 2 3 3 13 3" xfId="35936" xr:uid="{00000000-0005-0000-0000-0000908B0000}"/>
    <cellStyle name="Total 2 3 3 14" xfId="35937" xr:uid="{00000000-0005-0000-0000-0000918B0000}"/>
    <cellStyle name="Total 2 3 3 14 2" xfId="35938" xr:uid="{00000000-0005-0000-0000-0000928B0000}"/>
    <cellStyle name="Total 2 3 3 14 3" xfId="35939" xr:uid="{00000000-0005-0000-0000-0000938B0000}"/>
    <cellStyle name="Total 2 3 3 15" xfId="35940" xr:uid="{00000000-0005-0000-0000-0000948B0000}"/>
    <cellStyle name="Total 2 3 3 16" xfId="35941" xr:uid="{00000000-0005-0000-0000-0000958B0000}"/>
    <cellStyle name="Total 2 3 3 2" xfId="35942" xr:uid="{00000000-0005-0000-0000-0000968B0000}"/>
    <cellStyle name="Total 2 3 3 2 2" xfId="35943" xr:uid="{00000000-0005-0000-0000-0000978B0000}"/>
    <cellStyle name="Total 2 3 3 2 2 2" xfId="35944" xr:uid="{00000000-0005-0000-0000-0000988B0000}"/>
    <cellStyle name="Total 2 3 3 2 2 3" xfId="35945" xr:uid="{00000000-0005-0000-0000-0000998B0000}"/>
    <cellStyle name="Total 2 3 3 2 2 4" xfId="35946" xr:uid="{00000000-0005-0000-0000-00009A8B0000}"/>
    <cellStyle name="Total 2 3 3 2 3" xfId="35947" xr:uid="{00000000-0005-0000-0000-00009B8B0000}"/>
    <cellStyle name="Total 2 3 3 2 3 2" xfId="35948" xr:uid="{00000000-0005-0000-0000-00009C8B0000}"/>
    <cellStyle name="Total 2 3 3 2 3 3" xfId="35949" xr:uid="{00000000-0005-0000-0000-00009D8B0000}"/>
    <cellStyle name="Total 2 3 3 2 3 4" xfId="35950" xr:uid="{00000000-0005-0000-0000-00009E8B0000}"/>
    <cellStyle name="Total 2 3 3 2 4" xfId="35951" xr:uid="{00000000-0005-0000-0000-00009F8B0000}"/>
    <cellStyle name="Total 2 3 3 2 4 2" xfId="35952" xr:uid="{00000000-0005-0000-0000-0000A08B0000}"/>
    <cellStyle name="Total 2 3 3 2 4 3" xfId="35953" xr:uid="{00000000-0005-0000-0000-0000A18B0000}"/>
    <cellStyle name="Total 2 3 3 2 5" xfId="35954" xr:uid="{00000000-0005-0000-0000-0000A28B0000}"/>
    <cellStyle name="Total 2 3 3 2 5 2" xfId="35955" xr:uid="{00000000-0005-0000-0000-0000A38B0000}"/>
    <cellStyle name="Total 2 3 3 2 5 3" xfId="35956" xr:uid="{00000000-0005-0000-0000-0000A48B0000}"/>
    <cellStyle name="Total 2 3 3 2 6" xfId="35957" xr:uid="{00000000-0005-0000-0000-0000A58B0000}"/>
    <cellStyle name="Total 2 3 3 2 7" xfId="35958" xr:uid="{00000000-0005-0000-0000-0000A68B0000}"/>
    <cellStyle name="Total 2 3 3 3" xfId="20605" xr:uid="{00000000-0005-0000-0000-0000A78B0000}"/>
    <cellStyle name="Total 2 3 3 3 2" xfId="35959" xr:uid="{00000000-0005-0000-0000-0000A88B0000}"/>
    <cellStyle name="Total 2 3 3 3 2 2" xfId="35960" xr:uid="{00000000-0005-0000-0000-0000A98B0000}"/>
    <cellStyle name="Total 2 3 3 3 2 3" xfId="35961" xr:uid="{00000000-0005-0000-0000-0000AA8B0000}"/>
    <cellStyle name="Total 2 3 3 3 2 4" xfId="35962" xr:uid="{00000000-0005-0000-0000-0000AB8B0000}"/>
    <cellStyle name="Total 2 3 3 3 3" xfId="35963" xr:uid="{00000000-0005-0000-0000-0000AC8B0000}"/>
    <cellStyle name="Total 2 3 3 3 3 2" xfId="35964" xr:uid="{00000000-0005-0000-0000-0000AD8B0000}"/>
    <cellStyle name="Total 2 3 3 3 3 3" xfId="35965" xr:uid="{00000000-0005-0000-0000-0000AE8B0000}"/>
    <cellStyle name="Total 2 3 3 3 3 4" xfId="13474" xr:uid="{00000000-0005-0000-0000-0000AF8B0000}"/>
    <cellStyle name="Total 2 3 3 3 4" xfId="35966" xr:uid="{00000000-0005-0000-0000-0000B08B0000}"/>
    <cellStyle name="Total 2 3 3 3 4 2" xfId="35967" xr:uid="{00000000-0005-0000-0000-0000B18B0000}"/>
    <cellStyle name="Total 2 3 3 3 4 3" xfId="35968" xr:uid="{00000000-0005-0000-0000-0000B28B0000}"/>
    <cellStyle name="Total 2 3 3 3 5" xfId="35969" xr:uid="{00000000-0005-0000-0000-0000B38B0000}"/>
    <cellStyle name="Total 2 3 3 3 5 2" xfId="35970" xr:uid="{00000000-0005-0000-0000-0000B48B0000}"/>
    <cellStyle name="Total 2 3 3 3 5 3" xfId="35971" xr:uid="{00000000-0005-0000-0000-0000B58B0000}"/>
    <cellStyle name="Total 2 3 3 3 6" xfId="35972" xr:uid="{00000000-0005-0000-0000-0000B68B0000}"/>
    <cellStyle name="Total 2 3 3 3 7" xfId="35973" xr:uid="{00000000-0005-0000-0000-0000B78B0000}"/>
    <cellStyle name="Total 2 3 3 4" xfId="20615" xr:uid="{00000000-0005-0000-0000-0000B88B0000}"/>
    <cellStyle name="Total 2 3 3 4 2" xfId="35974" xr:uid="{00000000-0005-0000-0000-0000B98B0000}"/>
    <cellStyle name="Total 2 3 3 4 2 2" xfId="35975" xr:uid="{00000000-0005-0000-0000-0000BA8B0000}"/>
    <cellStyle name="Total 2 3 3 4 2 3" xfId="35976" xr:uid="{00000000-0005-0000-0000-0000BB8B0000}"/>
    <cellStyle name="Total 2 3 3 4 2 4" xfId="35977" xr:uid="{00000000-0005-0000-0000-0000BC8B0000}"/>
    <cellStyle name="Total 2 3 3 4 3" xfId="35978" xr:uid="{00000000-0005-0000-0000-0000BD8B0000}"/>
    <cellStyle name="Total 2 3 3 4 3 2" xfId="35979" xr:uid="{00000000-0005-0000-0000-0000BE8B0000}"/>
    <cellStyle name="Total 2 3 3 4 3 3" xfId="35980" xr:uid="{00000000-0005-0000-0000-0000BF8B0000}"/>
    <cellStyle name="Total 2 3 3 4 3 4" xfId="35981" xr:uid="{00000000-0005-0000-0000-0000C08B0000}"/>
    <cellStyle name="Total 2 3 3 4 4" xfId="35982" xr:uid="{00000000-0005-0000-0000-0000C18B0000}"/>
    <cellStyle name="Total 2 3 3 4 4 2" xfId="35983" xr:uid="{00000000-0005-0000-0000-0000C28B0000}"/>
    <cellStyle name="Total 2 3 3 4 4 3" xfId="35984" xr:uid="{00000000-0005-0000-0000-0000C38B0000}"/>
    <cellStyle name="Total 2 3 3 4 5" xfId="35985" xr:uid="{00000000-0005-0000-0000-0000C48B0000}"/>
    <cellStyle name="Total 2 3 3 4 5 2" xfId="35986" xr:uid="{00000000-0005-0000-0000-0000C58B0000}"/>
    <cellStyle name="Total 2 3 3 4 5 3" xfId="35987" xr:uid="{00000000-0005-0000-0000-0000C68B0000}"/>
    <cellStyle name="Total 2 3 3 4 6" xfId="35988" xr:uid="{00000000-0005-0000-0000-0000C78B0000}"/>
    <cellStyle name="Total 2 3 3 4 7" xfId="35989" xr:uid="{00000000-0005-0000-0000-0000C88B0000}"/>
    <cellStyle name="Total 2 3 3 5" xfId="35990" xr:uid="{00000000-0005-0000-0000-0000C98B0000}"/>
    <cellStyle name="Total 2 3 3 5 2" xfId="35991" xr:uid="{00000000-0005-0000-0000-0000CA8B0000}"/>
    <cellStyle name="Total 2 3 3 5 2 2" xfId="35992" xr:uid="{00000000-0005-0000-0000-0000CB8B0000}"/>
    <cellStyle name="Total 2 3 3 5 2 3" xfId="35993" xr:uid="{00000000-0005-0000-0000-0000CC8B0000}"/>
    <cellStyle name="Total 2 3 3 5 2 4" xfId="35994" xr:uid="{00000000-0005-0000-0000-0000CD8B0000}"/>
    <cellStyle name="Total 2 3 3 5 3" xfId="35995" xr:uid="{00000000-0005-0000-0000-0000CE8B0000}"/>
    <cellStyle name="Total 2 3 3 5 3 2" xfId="35996" xr:uid="{00000000-0005-0000-0000-0000CF8B0000}"/>
    <cellStyle name="Total 2 3 3 5 3 3" xfId="35997" xr:uid="{00000000-0005-0000-0000-0000D08B0000}"/>
    <cellStyle name="Total 2 3 3 5 3 4" xfId="35998" xr:uid="{00000000-0005-0000-0000-0000D18B0000}"/>
    <cellStyle name="Total 2 3 3 5 4" xfId="35999" xr:uid="{00000000-0005-0000-0000-0000D28B0000}"/>
    <cellStyle name="Total 2 3 3 5 4 2" xfId="36000" xr:uid="{00000000-0005-0000-0000-0000D38B0000}"/>
    <cellStyle name="Total 2 3 3 5 4 3" xfId="36001" xr:uid="{00000000-0005-0000-0000-0000D48B0000}"/>
    <cellStyle name="Total 2 3 3 5 5" xfId="36002" xr:uid="{00000000-0005-0000-0000-0000D58B0000}"/>
    <cellStyle name="Total 2 3 3 5 5 2" xfId="36003" xr:uid="{00000000-0005-0000-0000-0000D68B0000}"/>
    <cellStyle name="Total 2 3 3 5 5 3" xfId="36004" xr:uid="{00000000-0005-0000-0000-0000D78B0000}"/>
    <cellStyle name="Total 2 3 3 5 6" xfId="36005" xr:uid="{00000000-0005-0000-0000-0000D88B0000}"/>
    <cellStyle name="Total 2 3 3 5 7" xfId="36006" xr:uid="{00000000-0005-0000-0000-0000D98B0000}"/>
    <cellStyle name="Total 2 3 3 6" xfId="36007" xr:uid="{00000000-0005-0000-0000-0000DA8B0000}"/>
    <cellStyle name="Total 2 3 3 6 2" xfId="36008" xr:uid="{00000000-0005-0000-0000-0000DB8B0000}"/>
    <cellStyle name="Total 2 3 3 6 2 2" xfId="36009" xr:uid="{00000000-0005-0000-0000-0000DC8B0000}"/>
    <cellStyle name="Total 2 3 3 6 2 3" xfId="36010" xr:uid="{00000000-0005-0000-0000-0000DD8B0000}"/>
    <cellStyle name="Total 2 3 3 6 2 4" xfId="36011" xr:uid="{00000000-0005-0000-0000-0000DE8B0000}"/>
    <cellStyle name="Total 2 3 3 6 3" xfId="36012" xr:uid="{00000000-0005-0000-0000-0000DF8B0000}"/>
    <cellStyle name="Total 2 3 3 6 3 2" xfId="36013" xr:uid="{00000000-0005-0000-0000-0000E08B0000}"/>
    <cellStyle name="Total 2 3 3 6 3 3" xfId="36014" xr:uid="{00000000-0005-0000-0000-0000E18B0000}"/>
    <cellStyle name="Total 2 3 3 6 3 4" xfId="36015" xr:uid="{00000000-0005-0000-0000-0000E28B0000}"/>
    <cellStyle name="Total 2 3 3 6 4" xfId="36016" xr:uid="{00000000-0005-0000-0000-0000E38B0000}"/>
    <cellStyle name="Total 2 3 3 6 4 2" xfId="36017" xr:uid="{00000000-0005-0000-0000-0000E48B0000}"/>
    <cellStyle name="Total 2 3 3 6 4 3" xfId="36018" xr:uid="{00000000-0005-0000-0000-0000E58B0000}"/>
    <cellStyle name="Total 2 3 3 6 5" xfId="36019" xr:uid="{00000000-0005-0000-0000-0000E68B0000}"/>
    <cellStyle name="Total 2 3 3 6 5 2" xfId="36020" xr:uid="{00000000-0005-0000-0000-0000E78B0000}"/>
    <cellStyle name="Total 2 3 3 6 5 3" xfId="36021" xr:uid="{00000000-0005-0000-0000-0000E88B0000}"/>
    <cellStyle name="Total 2 3 3 6 6" xfId="36022" xr:uid="{00000000-0005-0000-0000-0000E98B0000}"/>
    <cellStyle name="Total 2 3 3 6 7" xfId="36023" xr:uid="{00000000-0005-0000-0000-0000EA8B0000}"/>
    <cellStyle name="Total 2 3 3 7" xfId="36024" xr:uid="{00000000-0005-0000-0000-0000EB8B0000}"/>
    <cellStyle name="Total 2 3 3 7 2" xfId="36025" xr:uid="{00000000-0005-0000-0000-0000EC8B0000}"/>
    <cellStyle name="Total 2 3 3 7 2 2" xfId="36026" xr:uid="{00000000-0005-0000-0000-0000ED8B0000}"/>
    <cellStyle name="Total 2 3 3 7 2 3" xfId="36027" xr:uid="{00000000-0005-0000-0000-0000EE8B0000}"/>
    <cellStyle name="Total 2 3 3 7 2 4" xfId="36028" xr:uid="{00000000-0005-0000-0000-0000EF8B0000}"/>
    <cellStyle name="Total 2 3 3 7 3" xfId="36029" xr:uid="{00000000-0005-0000-0000-0000F08B0000}"/>
    <cellStyle name="Total 2 3 3 7 3 2" xfId="36030" xr:uid="{00000000-0005-0000-0000-0000F18B0000}"/>
    <cellStyle name="Total 2 3 3 7 3 3" xfId="36031" xr:uid="{00000000-0005-0000-0000-0000F28B0000}"/>
    <cellStyle name="Total 2 3 3 7 3 4" xfId="36032" xr:uid="{00000000-0005-0000-0000-0000F38B0000}"/>
    <cellStyle name="Total 2 3 3 7 4" xfId="36033" xr:uid="{00000000-0005-0000-0000-0000F48B0000}"/>
    <cellStyle name="Total 2 3 3 7 4 2" xfId="36034" xr:uid="{00000000-0005-0000-0000-0000F58B0000}"/>
    <cellStyle name="Total 2 3 3 7 4 3" xfId="36035" xr:uid="{00000000-0005-0000-0000-0000F68B0000}"/>
    <cellStyle name="Total 2 3 3 7 5" xfId="36036" xr:uid="{00000000-0005-0000-0000-0000F78B0000}"/>
    <cellStyle name="Total 2 3 3 7 5 2" xfId="36037" xr:uid="{00000000-0005-0000-0000-0000F88B0000}"/>
    <cellStyle name="Total 2 3 3 7 5 3" xfId="36038" xr:uid="{00000000-0005-0000-0000-0000F98B0000}"/>
    <cellStyle name="Total 2 3 3 7 6" xfId="36039" xr:uid="{00000000-0005-0000-0000-0000FA8B0000}"/>
    <cellStyle name="Total 2 3 3 7 7" xfId="36040" xr:uid="{00000000-0005-0000-0000-0000FB8B0000}"/>
    <cellStyle name="Total 2 3 3 8" xfId="36041" xr:uid="{00000000-0005-0000-0000-0000FC8B0000}"/>
    <cellStyle name="Total 2 3 3 8 2" xfId="36042" xr:uid="{00000000-0005-0000-0000-0000FD8B0000}"/>
    <cellStyle name="Total 2 3 3 8 2 2" xfId="36043" xr:uid="{00000000-0005-0000-0000-0000FE8B0000}"/>
    <cellStyle name="Total 2 3 3 8 2 3" xfId="36044" xr:uid="{00000000-0005-0000-0000-0000FF8B0000}"/>
    <cellStyle name="Total 2 3 3 8 2 4" xfId="36045" xr:uid="{00000000-0005-0000-0000-0000008C0000}"/>
    <cellStyle name="Total 2 3 3 8 3" xfId="36046" xr:uid="{00000000-0005-0000-0000-0000018C0000}"/>
    <cellStyle name="Total 2 3 3 8 3 2" xfId="36047" xr:uid="{00000000-0005-0000-0000-0000028C0000}"/>
    <cellStyle name="Total 2 3 3 8 3 3" xfId="36048" xr:uid="{00000000-0005-0000-0000-0000038C0000}"/>
    <cellStyle name="Total 2 3 3 8 3 4" xfId="36049" xr:uid="{00000000-0005-0000-0000-0000048C0000}"/>
    <cellStyle name="Total 2 3 3 8 4" xfId="36050" xr:uid="{00000000-0005-0000-0000-0000058C0000}"/>
    <cellStyle name="Total 2 3 3 8 4 2" xfId="36051" xr:uid="{00000000-0005-0000-0000-0000068C0000}"/>
    <cellStyle name="Total 2 3 3 8 4 3" xfId="36052" xr:uid="{00000000-0005-0000-0000-0000078C0000}"/>
    <cellStyle name="Total 2 3 3 8 5" xfId="36053" xr:uid="{00000000-0005-0000-0000-0000088C0000}"/>
    <cellStyle name="Total 2 3 3 8 5 2" xfId="36054" xr:uid="{00000000-0005-0000-0000-0000098C0000}"/>
    <cellStyle name="Total 2 3 3 8 5 3" xfId="36055" xr:uid="{00000000-0005-0000-0000-00000A8C0000}"/>
    <cellStyle name="Total 2 3 3 8 6" xfId="36056" xr:uid="{00000000-0005-0000-0000-00000B8C0000}"/>
    <cellStyle name="Total 2 3 3 8 7" xfId="36057" xr:uid="{00000000-0005-0000-0000-00000C8C0000}"/>
    <cellStyle name="Total 2 3 3 9" xfId="36058" xr:uid="{00000000-0005-0000-0000-00000D8C0000}"/>
    <cellStyle name="Total 2 3 3 9 2" xfId="36059" xr:uid="{00000000-0005-0000-0000-00000E8C0000}"/>
    <cellStyle name="Total 2 3 3 9 2 2" xfId="36060" xr:uid="{00000000-0005-0000-0000-00000F8C0000}"/>
    <cellStyle name="Total 2 3 3 9 2 3" xfId="36061" xr:uid="{00000000-0005-0000-0000-0000108C0000}"/>
    <cellStyle name="Total 2 3 3 9 2 4" xfId="36062" xr:uid="{00000000-0005-0000-0000-0000118C0000}"/>
    <cellStyle name="Total 2 3 3 9 3" xfId="36063" xr:uid="{00000000-0005-0000-0000-0000128C0000}"/>
    <cellStyle name="Total 2 3 3 9 3 2" xfId="36064" xr:uid="{00000000-0005-0000-0000-0000138C0000}"/>
    <cellStyle name="Total 2 3 3 9 3 3" xfId="36065" xr:uid="{00000000-0005-0000-0000-0000148C0000}"/>
    <cellStyle name="Total 2 3 3 9 3 4" xfId="36066" xr:uid="{00000000-0005-0000-0000-0000158C0000}"/>
    <cellStyle name="Total 2 3 3 9 4" xfId="36067" xr:uid="{00000000-0005-0000-0000-0000168C0000}"/>
    <cellStyle name="Total 2 3 3 9 4 2" xfId="36068" xr:uid="{00000000-0005-0000-0000-0000178C0000}"/>
    <cellStyle name="Total 2 3 3 9 4 3" xfId="36069" xr:uid="{00000000-0005-0000-0000-0000188C0000}"/>
    <cellStyle name="Total 2 3 3 9 5" xfId="36070" xr:uid="{00000000-0005-0000-0000-0000198C0000}"/>
    <cellStyle name="Total 2 3 3 9 5 2" xfId="36071" xr:uid="{00000000-0005-0000-0000-00001A8C0000}"/>
    <cellStyle name="Total 2 3 3 9 5 3" xfId="36072" xr:uid="{00000000-0005-0000-0000-00001B8C0000}"/>
    <cellStyle name="Total 2 3 3 9 6" xfId="36073" xr:uid="{00000000-0005-0000-0000-00001C8C0000}"/>
    <cellStyle name="Total 2 3 3 9 7" xfId="36074" xr:uid="{00000000-0005-0000-0000-00001D8C0000}"/>
    <cellStyle name="Total 2 3 4" xfId="36075" xr:uid="{00000000-0005-0000-0000-00001E8C0000}"/>
    <cellStyle name="Total 2 3 4 2" xfId="36076" xr:uid="{00000000-0005-0000-0000-00001F8C0000}"/>
    <cellStyle name="Total 2 3 4 2 2" xfId="36077" xr:uid="{00000000-0005-0000-0000-0000208C0000}"/>
    <cellStyle name="Total 2 3 4 2 3" xfId="36078" xr:uid="{00000000-0005-0000-0000-0000218C0000}"/>
    <cellStyle name="Total 2 3 4 2 4" xfId="36079" xr:uid="{00000000-0005-0000-0000-0000228C0000}"/>
    <cellStyle name="Total 2 3 4 3" xfId="21482" xr:uid="{00000000-0005-0000-0000-0000238C0000}"/>
    <cellStyle name="Total 2 3 4 3 2" xfId="36080" xr:uid="{00000000-0005-0000-0000-0000248C0000}"/>
    <cellStyle name="Total 2 3 4 3 3" xfId="36081" xr:uid="{00000000-0005-0000-0000-0000258C0000}"/>
    <cellStyle name="Total 2 3 4 3 4" xfId="36082" xr:uid="{00000000-0005-0000-0000-0000268C0000}"/>
    <cellStyle name="Total 2 3 4 4" xfId="21485" xr:uid="{00000000-0005-0000-0000-0000278C0000}"/>
    <cellStyle name="Total 2 3 4 4 2" xfId="36083" xr:uid="{00000000-0005-0000-0000-0000288C0000}"/>
    <cellStyle name="Total 2 3 4 4 3" xfId="36084" xr:uid="{00000000-0005-0000-0000-0000298C0000}"/>
    <cellStyle name="Total 2 3 4 5" xfId="36085" xr:uid="{00000000-0005-0000-0000-00002A8C0000}"/>
    <cellStyle name="Total 2 3 4 5 2" xfId="36086" xr:uid="{00000000-0005-0000-0000-00002B8C0000}"/>
    <cellStyle name="Total 2 3 4 5 3" xfId="36087" xr:uid="{00000000-0005-0000-0000-00002C8C0000}"/>
    <cellStyle name="Total 2 3 4 6" xfId="36088" xr:uid="{00000000-0005-0000-0000-00002D8C0000}"/>
    <cellStyle name="Total 2 3 4 7" xfId="36089" xr:uid="{00000000-0005-0000-0000-00002E8C0000}"/>
    <cellStyle name="Total 2 3 5" xfId="36090" xr:uid="{00000000-0005-0000-0000-00002F8C0000}"/>
    <cellStyle name="Total 2 3 5 2" xfId="36091" xr:uid="{00000000-0005-0000-0000-0000308C0000}"/>
    <cellStyle name="Total 2 3 5 2 2" xfId="36092" xr:uid="{00000000-0005-0000-0000-0000318C0000}"/>
    <cellStyle name="Total 2 3 5 2 3" xfId="36093" xr:uid="{00000000-0005-0000-0000-0000328C0000}"/>
    <cellStyle name="Total 2 3 5 2 4" xfId="36094" xr:uid="{00000000-0005-0000-0000-0000338C0000}"/>
    <cellStyle name="Total 2 3 5 3" xfId="36095" xr:uid="{00000000-0005-0000-0000-0000348C0000}"/>
    <cellStyle name="Total 2 3 5 3 2" xfId="36096" xr:uid="{00000000-0005-0000-0000-0000358C0000}"/>
    <cellStyle name="Total 2 3 5 3 3" xfId="36097" xr:uid="{00000000-0005-0000-0000-0000368C0000}"/>
    <cellStyle name="Total 2 3 5 3 4" xfId="36098" xr:uid="{00000000-0005-0000-0000-0000378C0000}"/>
    <cellStyle name="Total 2 3 5 4" xfId="36099" xr:uid="{00000000-0005-0000-0000-0000388C0000}"/>
    <cellStyle name="Total 2 3 5 4 2" xfId="36100" xr:uid="{00000000-0005-0000-0000-0000398C0000}"/>
    <cellStyle name="Total 2 3 5 4 3" xfId="36101" xr:uid="{00000000-0005-0000-0000-00003A8C0000}"/>
    <cellStyle name="Total 2 3 5 5" xfId="36102" xr:uid="{00000000-0005-0000-0000-00003B8C0000}"/>
    <cellStyle name="Total 2 3 5 5 2" xfId="36103" xr:uid="{00000000-0005-0000-0000-00003C8C0000}"/>
    <cellStyle name="Total 2 3 5 5 3" xfId="36104" xr:uid="{00000000-0005-0000-0000-00003D8C0000}"/>
    <cellStyle name="Total 2 3 5 6" xfId="36105" xr:uid="{00000000-0005-0000-0000-00003E8C0000}"/>
    <cellStyle name="Total 2 3 5 7" xfId="36106" xr:uid="{00000000-0005-0000-0000-00003F8C0000}"/>
    <cellStyle name="Total 2 3 6" xfId="36107" xr:uid="{00000000-0005-0000-0000-0000408C0000}"/>
    <cellStyle name="Total 2 3 6 2" xfId="36108" xr:uid="{00000000-0005-0000-0000-0000418C0000}"/>
    <cellStyle name="Total 2 3 6 2 2" xfId="36109" xr:uid="{00000000-0005-0000-0000-0000428C0000}"/>
    <cellStyle name="Total 2 3 6 2 3" xfId="36110" xr:uid="{00000000-0005-0000-0000-0000438C0000}"/>
    <cellStyle name="Total 2 3 6 2 4" xfId="36111" xr:uid="{00000000-0005-0000-0000-0000448C0000}"/>
    <cellStyle name="Total 2 3 6 3" xfId="36112" xr:uid="{00000000-0005-0000-0000-0000458C0000}"/>
    <cellStyle name="Total 2 3 6 3 2" xfId="36113" xr:uid="{00000000-0005-0000-0000-0000468C0000}"/>
    <cellStyle name="Total 2 3 6 3 3" xfId="36114" xr:uid="{00000000-0005-0000-0000-0000478C0000}"/>
    <cellStyle name="Total 2 3 6 3 4" xfId="36115" xr:uid="{00000000-0005-0000-0000-0000488C0000}"/>
    <cellStyle name="Total 2 3 6 4" xfId="36116" xr:uid="{00000000-0005-0000-0000-0000498C0000}"/>
    <cellStyle name="Total 2 3 6 4 2" xfId="36117" xr:uid="{00000000-0005-0000-0000-00004A8C0000}"/>
    <cellStyle name="Total 2 3 6 4 3" xfId="36118" xr:uid="{00000000-0005-0000-0000-00004B8C0000}"/>
    <cellStyle name="Total 2 3 6 5" xfId="36119" xr:uid="{00000000-0005-0000-0000-00004C8C0000}"/>
    <cellStyle name="Total 2 3 6 5 2" xfId="36120" xr:uid="{00000000-0005-0000-0000-00004D8C0000}"/>
    <cellStyle name="Total 2 3 6 5 3" xfId="36121" xr:uid="{00000000-0005-0000-0000-00004E8C0000}"/>
    <cellStyle name="Total 2 3 6 6" xfId="36122" xr:uid="{00000000-0005-0000-0000-00004F8C0000}"/>
    <cellStyle name="Total 2 3 6 7" xfId="36123" xr:uid="{00000000-0005-0000-0000-0000508C0000}"/>
    <cellStyle name="Total 2 3 7" xfId="36124" xr:uid="{00000000-0005-0000-0000-0000518C0000}"/>
    <cellStyle name="Total 2 3 7 2" xfId="36125" xr:uid="{00000000-0005-0000-0000-0000528C0000}"/>
    <cellStyle name="Total 2 3 7 2 2" xfId="36126" xr:uid="{00000000-0005-0000-0000-0000538C0000}"/>
    <cellStyle name="Total 2 3 7 2 3" xfId="36127" xr:uid="{00000000-0005-0000-0000-0000548C0000}"/>
    <cellStyle name="Total 2 3 7 2 4" xfId="36128" xr:uid="{00000000-0005-0000-0000-0000558C0000}"/>
    <cellStyle name="Total 2 3 7 3" xfId="36129" xr:uid="{00000000-0005-0000-0000-0000568C0000}"/>
    <cellStyle name="Total 2 3 7 3 2" xfId="36130" xr:uid="{00000000-0005-0000-0000-0000578C0000}"/>
    <cellStyle name="Total 2 3 7 3 3" xfId="36131" xr:uid="{00000000-0005-0000-0000-0000588C0000}"/>
    <cellStyle name="Total 2 3 7 3 4" xfId="36132" xr:uid="{00000000-0005-0000-0000-0000598C0000}"/>
    <cellStyle name="Total 2 3 7 4" xfId="36133" xr:uid="{00000000-0005-0000-0000-00005A8C0000}"/>
    <cellStyle name="Total 2 3 7 4 2" xfId="36134" xr:uid="{00000000-0005-0000-0000-00005B8C0000}"/>
    <cellStyle name="Total 2 3 7 4 3" xfId="36135" xr:uid="{00000000-0005-0000-0000-00005C8C0000}"/>
    <cellStyle name="Total 2 3 7 5" xfId="36136" xr:uid="{00000000-0005-0000-0000-00005D8C0000}"/>
    <cellStyle name="Total 2 3 7 5 2" xfId="36137" xr:uid="{00000000-0005-0000-0000-00005E8C0000}"/>
    <cellStyle name="Total 2 3 7 5 3" xfId="36138" xr:uid="{00000000-0005-0000-0000-00005F8C0000}"/>
    <cellStyle name="Total 2 3 7 6" xfId="36139" xr:uid="{00000000-0005-0000-0000-0000608C0000}"/>
    <cellStyle name="Total 2 3 7 7" xfId="36140" xr:uid="{00000000-0005-0000-0000-0000618C0000}"/>
    <cellStyle name="Total 2 3 8" xfId="36141" xr:uid="{00000000-0005-0000-0000-0000628C0000}"/>
    <cellStyle name="Total 2 3 8 2" xfId="36142" xr:uid="{00000000-0005-0000-0000-0000638C0000}"/>
    <cellStyle name="Total 2 3 8 2 2" xfId="36143" xr:uid="{00000000-0005-0000-0000-0000648C0000}"/>
    <cellStyle name="Total 2 3 8 2 3" xfId="36144" xr:uid="{00000000-0005-0000-0000-0000658C0000}"/>
    <cellStyle name="Total 2 3 8 2 4" xfId="36145" xr:uid="{00000000-0005-0000-0000-0000668C0000}"/>
    <cellStyle name="Total 2 3 8 3" xfId="36146" xr:uid="{00000000-0005-0000-0000-0000678C0000}"/>
    <cellStyle name="Total 2 3 8 3 2" xfId="36147" xr:uid="{00000000-0005-0000-0000-0000688C0000}"/>
    <cellStyle name="Total 2 3 8 3 3" xfId="36148" xr:uid="{00000000-0005-0000-0000-0000698C0000}"/>
    <cellStyle name="Total 2 3 8 3 4" xfId="36149" xr:uid="{00000000-0005-0000-0000-00006A8C0000}"/>
    <cellStyle name="Total 2 3 8 4" xfId="36150" xr:uid="{00000000-0005-0000-0000-00006B8C0000}"/>
    <cellStyle name="Total 2 3 8 4 2" xfId="36151" xr:uid="{00000000-0005-0000-0000-00006C8C0000}"/>
    <cellStyle name="Total 2 3 8 4 3" xfId="36152" xr:uid="{00000000-0005-0000-0000-00006D8C0000}"/>
    <cellStyle name="Total 2 3 8 5" xfId="36153" xr:uid="{00000000-0005-0000-0000-00006E8C0000}"/>
    <cellStyle name="Total 2 3 8 5 2" xfId="36154" xr:uid="{00000000-0005-0000-0000-00006F8C0000}"/>
    <cellStyle name="Total 2 3 8 5 3" xfId="36155" xr:uid="{00000000-0005-0000-0000-0000708C0000}"/>
    <cellStyle name="Total 2 3 8 6" xfId="36156" xr:uid="{00000000-0005-0000-0000-0000718C0000}"/>
    <cellStyle name="Total 2 3 8 7" xfId="36157" xr:uid="{00000000-0005-0000-0000-0000728C0000}"/>
    <cellStyle name="Total 2 3 9" xfId="36158" xr:uid="{00000000-0005-0000-0000-0000738C0000}"/>
    <cellStyle name="Total 2 3 9 2" xfId="32082" xr:uid="{00000000-0005-0000-0000-0000748C0000}"/>
    <cellStyle name="Total 2 3 9 2 2" xfId="36159" xr:uid="{00000000-0005-0000-0000-0000758C0000}"/>
    <cellStyle name="Total 2 3 9 2 3" xfId="36160" xr:uid="{00000000-0005-0000-0000-0000768C0000}"/>
    <cellStyle name="Total 2 3 9 2 4" xfId="36161" xr:uid="{00000000-0005-0000-0000-0000778C0000}"/>
    <cellStyle name="Total 2 3 9 3" xfId="36162" xr:uid="{00000000-0005-0000-0000-0000788C0000}"/>
    <cellStyle name="Total 2 3 9 3 2" xfId="36163" xr:uid="{00000000-0005-0000-0000-0000798C0000}"/>
    <cellStyle name="Total 2 3 9 3 3" xfId="36164" xr:uid="{00000000-0005-0000-0000-00007A8C0000}"/>
    <cellStyle name="Total 2 3 9 3 4" xfId="36165" xr:uid="{00000000-0005-0000-0000-00007B8C0000}"/>
    <cellStyle name="Total 2 3 9 4" xfId="36166" xr:uid="{00000000-0005-0000-0000-00007C8C0000}"/>
    <cellStyle name="Total 2 3 9 4 2" xfId="36167" xr:uid="{00000000-0005-0000-0000-00007D8C0000}"/>
    <cellStyle name="Total 2 3 9 4 3" xfId="36168" xr:uid="{00000000-0005-0000-0000-00007E8C0000}"/>
    <cellStyle name="Total 2 3 9 5" xfId="36169" xr:uid="{00000000-0005-0000-0000-00007F8C0000}"/>
    <cellStyle name="Total 2 3 9 5 2" xfId="36170" xr:uid="{00000000-0005-0000-0000-0000808C0000}"/>
    <cellStyle name="Total 2 3 9 5 3" xfId="36171" xr:uid="{00000000-0005-0000-0000-0000818C0000}"/>
    <cellStyle name="Total 2 3 9 6" xfId="36172" xr:uid="{00000000-0005-0000-0000-0000828C0000}"/>
    <cellStyle name="Total 2 3 9 7" xfId="36173" xr:uid="{00000000-0005-0000-0000-0000838C0000}"/>
    <cellStyle name="Total 2 30" xfId="17686" xr:uid="{00000000-0005-0000-0000-0000848C0000}"/>
    <cellStyle name="Total 2 30 2" xfId="17690" xr:uid="{00000000-0005-0000-0000-0000858C0000}"/>
    <cellStyle name="Total 2 30 3" xfId="17695" xr:uid="{00000000-0005-0000-0000-0000868C0000}"/>
    <cellStyle name="Total 2 31" xfId="1475" xr:uid="{00000000-0005-0000-0000-0000878C0000}"/>
    <cellStyle name="Total 2 31 2" xfId="246" xr:uid="{00000000-0005-0000-0000-0000888C0000}"/>
    <cellStyle name="Total 2 32" xfId="1505" xr:uid="{00000000-0005-0000-0000-0000898C0000}"/>
    <cellStyle name="Total 2 33" xfId="1521" xr:uid="{00000000-0005-0000-0000-00008A8C0000}"/>
    <cellStyle name="Total 2 4" xfId="11667" xr:uid="{00000000-0005-0000-0000-00008B8C0000}"/>
    <cellStyle name="Total 2 4 10" xfId="5904" xr:uid="{00000000-0005-0000-0000-00008C8C0000}"/>
    <cellStyle name="Total 2 4 10 2" xfId="36174" xr:uid="{00000000-0005-0000-0000-00008D8C0000}"/>
    <cellStyle name="Total 2 4 10 2 2" xfId="24690" xr:uid="{00000000-0005-0000-0000-00008E8C0000}"/>
    <cellStyle name="Total 2 4 10 2 3" xfId="36175" xr:uid="{00000000-0005-0000-0000-00008F8C0000}"/>
    <cellStyle name="Total 2 4 10 2 4" xfId="36176" xr:uid="{00000000-0005-0000-0000-0000908C0000}"/>
    <cellStyle name="Total 2 4 10 3" xfId="36177" xr:uid="{00000000-0005-0000-0000-0000918C0000}"/>
    <cellStyle name="Total 2 4 10 3 2" xfId="36178" xr:uid="{00000000-0005-0000-0000-0000928C0000}"/>
    <cellStyle name="Total 2 4 10 3 3" xfId="36179" xr:uid="{00000000-0005-0000-0000-0000938C0000}"/>
    <cellStyle name="Total 2 4 10 3 4" xfId="36180" xr:uid="{00000000-0005-0000-0000-0000948C0000}"/>
    <cellStyle name="Total 2 4 10 4" xfId="36181" xr:uid="{00000000-0005-0000-0000-0000958C0000}"/>
    <cellStyle name="Total 2 4 10 4 2" xfId="36182" xr:uid="{00000000-0005-0000-0000-0000968C0000}"/>
    <cellStyle name="Total 2 4 10 4 3" xfId="36183" xr:uid="{00000000-0005-0000-0000-0000978C0000}"/>
    <cellStyle name="Total 2 4 10 5" xfId="36184" xr:uid="{00000000-0005-0000-0000-0000988C0000}"/>
    <cellStyle name="Total 2 4 10 5 2" xfId="36185" xr:uid="{00000000-0005-0000-0000-0000998C0000}"/>
    <cellStyle name="Total 2 4 10 5 3" xfId="36186" xr:uid="{00000000-0005-0000-0000-00009A8C0000}"/>
    <cellStyle name="Total 2 4 10 6" xfId="36187" xr:uid="{00000000-0005-0000-0000-00009B8C0000}"/>
    <cellStyle name="Total 2 4 10 7" xfId="36188" xr:uid="{00000000-0005-0000-0000-00009C8C0000}"/>
    <cellStyle name="Total 2 4 11" xfId="5907" xr:uid="{00000000-0005-0000-0000-00009D8C0000}"/>
    <cellStyle name="Total 2 4 11 2" xfId="36189" xr:uid="{00000000-0005-0000-0000-00009E8C0000}"/>
    <cellStyle name="Total 2 4 11 2 2" xfId="24732" xr:uid="{00000000-0005-0000-0000-00009F8C0000}"/>
    <cellStyle name="Total 2 4 11 2 3" xfId="36190" xr:uid="{00000000-0005-0000-0000-0000A08C0000}"/>
    <cellStyle name="Total 2 4 11 2 4" xfId="36191" xr:uid="{00000000-0005-0000-0000-0000A18C0000}"/>
    <cellStyle name="Total 2 4 11 3" xfId="36192" xr:uid="{00000000-0005-0000-0000-0000A28C0000}"/>
    <cellStyle name="Total 2 4 11 3 2" xfId="36193" xr:uid="{00000000-0005-0000-0000-0000A38C0000}"/>
    <cellStyle name="Total 2 4 11 3 3" xfId="36194" xr:uid="{00000000-0005-0000-0000-0000A48C0000}"/>
    <cellStyle name="Total 2 4 11 3 4" xfId="36195" xr:uid="{00000000-0005-0000-0000-0000A58C0000}"/>
    <cellStyle name="Total 2 4 11 4" xfId="36196" xr:uid="{00000000-0005-0000-0000-0000A68C0000}"/>
    <cellStyle name="Total 2 4 11 4 2" xfId="36197" xr:uid="{00000000-0005-0000-0000-0000A78C0000}"/>
    <cellStyle name="Total 2 4 11 4 3" xfId="36198" xr:uid="{00000000-0005-0000-0000-0000A88C0000}"/>
    <cellStyle name="Total 2 4 11 5" xfId="36199" xr:uid="{00000000-0005-0000-0000-0000A98C0000}"/>
    <cellStyle name="Total 2 4 11 5 2" xfId="36200" xr:uid="{00000000-0005-0000-0000-0000AA8C0000}"/>
    <cellStyle name="Total 2 4 11 5 3" xfId="36201" xr:uid="{00000000-0005-0000-0000-0000AB8C0000}"/>
    <cellStyle name="Total 2 4 11 6" xfId="36202" xr:uid="{00000000-0005-0000-0000-0000AC8C0000}"/>
    <cellStyle name="Total 2 4 11 7" xfId="36203" xr:uid="{00000000-0005-0000-0000-0000AD8C0000}"/>
    <cellStyle name="Total 2 4 12" xfId="36204" xr:uid="{00000000-0005-0000-0000-0000AE8C0000}"/>
    <cellStyle name="Total 2 4 12 2" xfId="36205" xr:uid="{00000000-0005-0000-0000-0000AF8C0000}"/>
    <cellStyle name="Total 2 4 12 2 2" xfId="24774" xr:uid="{00000000-0005-0000-0000-0000B08C0000}"/>
    <cellStyle name="Total 2 4 12 2 3" xfId="36206" xr:uid="{00000000-0005-0000-0000-0000B18C0000}"/>
    <cellStyle name="Total 2 4 12 2 4" xfId="36207" xr:uid="{00000000-0005-0000-0000-0000B28C0000}"/>
    <cellStyle name="Total 2 4 12 3" xfId="36208" xr:uid="{00000000-0005-0000-0000-0000B38C0000}"/>
    <cellStyle name="Total 2 4 12 3 2" xfId="36209" xr:uid="{00000000-0005-0000-0000-0000B48C0000}"/>
    <cellStyle name="Total 2 4 12 3 3" xfId="36210" xr:uid="{00000000-0005-0000-0000-0000B58C0000}"/>
    <cellStyle name="Total 2 4 12 3 4" xfId="36211" xr:uid="{00000000-0005-0000-0000-0000B68C0000}"/>
    <cellStyle name="Total 2 4 12 4" xfId="36212" xr:uid="{00000000-0005-0000-0000-0000B78C0000}"/>
    <cellStyle name="Total 2 4 12 4 2" xfId="36213" xr:uid="{00000000-0005-0000-0000-0000B88C0000}"/>
    <cellStyle name="Total 2 4 12 4 3" xfId="36214" xr:uid="{00000000-0005-0000-0000-0000B98C0000}"/>
    <cellStyle name="Total 2 4 12 5" xfId="36215" xr:uid="{00000000-0005-0000-0000-0000BA8C0000}"/>
    <cellStyle name="Total 2 4 12 5 2" xfId="36216" xr:uid="{00000000-0005-0000-0000-0000BB8C0000}"/>
    <cellStyle name="Total 2 4 12 5 3" xfId="36217" xr:uid="{00000000-0005-0000-0000-0000BC8C0000}"/>
    <cellStyle name="Total 2 4 12 6" xfId="36218" xr:uid="{00000000-0005-0000-0000-0000BD8C0000}"/>
    <cellStyle name="Total 2 4 12 7" xfId="36219" xr:uid="{00000000-0005-0000-0000-0000BE8C0000}"/>
    <cellStyle name="Total 2 4 13" xfId="36220" xr:uid="{00000000-0005-0000-0000-0000BF8C0000}"/>
    <cellStyle name="Total 2 4 13 2" xfId="36221" xr:uid="{00000000-0005-0000-0000-0000C08C0000}"/>
    <cellStyle name="Total 2 4 13 3" xfId="36222" xr:uid="{00000000-0005-0000-0000-0000C18C0000}"/>
    <cellStyle name="Total 2 4 13 4" xfId="36223" xr:uid="{00000000-0005-0000-0000-0000C28C0000}"/>
    <cellStyle name="Total 2 4 14" xfId="36224" xr:uid="{00000000-0005-0000-0000-0000C38C0000}"/>
    <cellStyle name="Total 2 4 14 2" xfId="36225" xr:uid="{00000000-0005-0000-0000-0000C48C0000}"/>
    <cellStyle name="Total 2 4 14 3" xfId="36226" xr:uid="{00000000-0005-0000-0000-0000C58C0000}"/>
    <cellStyle name="Total 2 4 14 4" xfId="36227" xr:uid="{00000000-0005-0000-0000-0000C68C0000}"/>
    <cellStyle name="Total 2 4 15" xfId="36228" xr:uid="{00000000-0005-0000-0000-0000C78C0000}"/>
    <cellStyle name="Total 2 4 15 2" xfId="36230" xr:uid="{00000000-0005-0000-0000-0000C88C0000}"/>
    <cellStyle name="Total 2 4 15 3" xfId="36231" xr:uid="{00000000-0005-0000-0000-0000C98C0000}"/>
    <cellStyle name="Total 2 4 16" xfId="36232" xr:uid="{00000000-0005-0000-0000-0000CA8C0000}"/>
    <cellStyle name="Total 2 4 16 2" xfId="36233" xr:uid="{00000000-0005-0000-0000-0000CB8C0000}"/>
    <cellStyle name="Total 2 4 16 3" xfId="36234" xr:uid="{00000000-0005-0000-0000-0000CC8C0000}"/>
    <cellStyle name="Total 2 4 17" xfId="36235" xr:uid="{00000000-0005-0000-0000-0000CD8C0000}"/>
    <cellStyle name="Total 2 4 17 2" xfId="36236" xr:uid="{00000000-0005-0000-0000-0000CE8C0000}"/>
    <cellStyle name="Total 2 4 17 2 2" xfId="36237" xr:uid="{00000000-0005-0000-0000-0000CF8C0000}"/>
    <cellStyle name="Total 2 4 18" xfId="36238" xr:uid="{00000000-0005-0000-0000-0000D08C0000}"/>
    <cellStyle name="Total 2 4 19" xfId="36239" xr:uid="{00000000-0005-0000-0000-0000D18C0000}"/>
    <cellStyle name="Total 2 4 2" xfId="36240" xr:uid="{00000000-0005-0000-0000-0000D28C0000}"/>
    <cellStyle name="Total 2 4 2 10" xfId="9754" xr:uid="{00000000-0005-0000-0000-0000D38C0000}"/>
    <cellStyle name="Total 2 4 2 10 2" xfId="29449" xr:uid="{00000000-0005-0000-0000-0000D48C0000}"/>
    <cellStyle name="Total 2 4 2 10 2 2" xfId="36241" xr:uid="{00000000-0005-0000-0000-0000D58C0000}"/>
    <cellStyle name="Total 2 4 2 10 2 3" xfId="36242" xr:uid="{00000000-0005-0000-0000-0000D68C0000}"/>
    <cellStyle name="Total 2 4 2 10 2 4" xfId="36243" xr:uid="{00000000-0005-0000-0000-0000D78C0000}"/>
    <cellStyle name="Total 2 4 2 10 3" xfId="29452" xr:uid="{00000000-0005-0000-0000-0000D88C0000}"/>
    <cellStyle name="Total 2 4 2 10 3 2" xfId="36244" xr:uid="{00000000-0005-0000-0000-0000D98C0000}"/>
    <cellStyle name="Total 2 4 2 10 3 3" xfId="36245" xr:uid="{00000000-0005-0000-0000-0000DA8C0000}"/>
    <cellStyle name="Total 2 4 2 10 3 4" xfId="36246" xr:uid="{00000000-0005-0000-0000-0000DB8C0000}"/>
    <cellStyle name="Total 2 4 2 10 4" xfId="29455" xr:uid="{00000000-0005-0000-0000-0000DC8C0000}"/>
    <cellStyle name="Total 2 4 2 10 4 2" xfId="36247" xr:uid="{00000000-0005-0000-0000-0000DD8C0000}"/>
    <cellStyle name="Total 2 4 2 10 4 3" xfId="36248" xr:uid="{00000000-0005-0000-0000-0000DE8C0000}"/>
    <cellStyle name="Total 2 4 2 10 5" xfId="36249" xr:uid="{00000000-0005-0000-0000-0000DF8C0000}"/>
    <cellStyle name="Total 2 4 2 10 5 2" xfId="36250" xr:uid="{00000000-0005-0000-0000-0000E08C0000}"/>
    <cellStyle name="Total 2 4 2 10 5 3" xfId="36251" xr:uid="{00000000-0005-0000-0000-0000E18C0000}"/>
    <cellStyle name="Total 2 4 2 10 6" xfId="36252" xr:uid="{00000000-0005-0000-0000-0000E28C0000}"/>
    <cellStyle name="Total 2 4 2 10 7" xfId="36253" xr:uid="{00000000-0005-0000-0000-0000E38C0000}"/>
    <cellStyle name="Total 2 4 2 11" xfId="8198" xr:uid="{00000000-0005-0000-0000-0000E48C0000}"/>
    <cellStyle name="Total 2 4 2 11 2" xfId="29457" xr:uid="{00000000-0005-0000-0000-0000E58C0000}"/>
    <cellStyle name="Total 2 4 2 11 3" xfId="29460" xr:uid="{00000000-0005-0000-0000-0000E68C0000}"/>
    <cellStyle name="Total 2 4 2 11 4" xfId="29462" xr:uid="{00000000-0005-0000-0000-0000E78C0000}"/>
    <cellStyle name="Total 2 4 2 12" xfId="29464" xr:uid="{00000000-0005-0000-0000-0000E88C0000}"/>
    <cellStyle name="Total 2 4 2 12 2" xfId="29466" xr:uid="{00000000-0005-0000-0000-0000E98C0000}"/>
    <cellStyle name="Total 2 4 2 12 3" xfId="29469" xr:uid="{00000000-0005-0000-0000-0000EA8C0000}"/>
    <cellStyle name="Total 2 4 2 12 4" xfId="36254" xr:uid="{00000000-0005-0000-0000-0000EB8C0000}"/>
    <cellStyle name="Total 2 4 2 13" xfId="29471" xr:uid="{00000000-0005-0000-0000-0000EC8C0000}"/>
    <cellStyle name="Total 2 4 2 13 2" xfId="29473" xr:uid="{00000000-0005-0000-0000-0000ED8C0000}"/>
    <cellStyle name="Total 2 4 2 13 3" xfId="29476" xr:uid="{00000000-0005-0000-0000-0000EE8C0000}"/>
    <cellStyle name="Total 2 4 2 14" xfId="29480" xr:uid="{00000000-0005-0000-0000-0000EF8C0000}"/>
    <cellStyle name="Total 2 4 2 14 2" xfId="36255" xr:uid="{00000000-0005-0000-0000-0000F08C0000}"/>
    <cellStyle name="Total 2 4 2 14 3" xfId="36256" xr:uid="{00000000-0005-0000-0000-0000F18C0000}"/>
    <cellStyle name="Total 2 4 2 15" xfId="29482" xr:uid="{00000000-0005-0000-0000-0000F28C0000}"/>
    <cellStyle name="Total 2 4 2 16" xfId="36257" xr:uid="{00000000-0005-0000-0000-0000F38C0000}"/>
    <cellStyle name="Total 2 4 2 17" xfId="34586" xr:uid="{00000000-0005-0000-0000-0000F48C0000}"/>
    <cellStyle name="Total 2 4 2 2" xfId="36258" xr:uid="{00000000-0005-0000-0000-0000F58C0000}"/>
    <cellStyle name="Total 2 4 2 2 2" xfId="36259" xr:uid="{00000000-0005-0000-0000-0000F68C0000}"/>
    <cellStyle name="Total 2 4 2 2 2 2" xfId="36260" xr:uid="{00000000-0005-0000-0000-0000F78C0000}"/>
    <cellStyle name="Total 2 4 2 2 2 2 2" xfId="36261" xr:uid="{00000000-0005-0000-0000-0000F88C0000}"/>
    <cellStyle name="Total 2 4 2 2 2 2 2 2" xfId="36262" xr:uid="{00000000-0005-0000-0000-0000F98C0000}"/>
    <cellStyle name="Total 2 4 2 2 2 2 2 2 2" xfId="36263" xr:uid="{00000000-0005-0000-0000-0000FA8C0000}"/>
    <cellStyle name="Total 2 4 2 2 2 2 2 2 2 2" xfId="36264" xr:uid="{00000000-0005-0000-0000-0000FB8C0000}"/>
    <cellStyle name="Total 2 4 2 2 2 2 2 3" xfId="36265" xr:uid="{00000000-0005-0000-0000-0000FC8C0000}"/>
    <cellStyle name="Total 2 4 2 2 2 3" xfId="36266" xr:uid="{00000000-0005-0000-0000-0000FD8C0000}"/>
    <cellStyle name="Total 2 4 2 2 2 4" xfId="36267" xr:uid="{00000000-0005-0000-0000-0000FE8C0000}"/>
    <cellStyle name="Total 2 4 2 2 3" xfId="36268" xr:uid="{00000000-0005-0000-0000-0000FF8C0000}"/>
    <cellStyle name="Total 2 4 2 2 3 2" xfId="36269" xr:uid="{00000000-0005-0000-0000-0000008D0000}"/>
    <cellStyle name="Total 2 4 2 2 3 2 2" xfId="28472" xr:uid="{00000000-0005-0000-0000-0000018D0000}"/>
    <cellStyle name="Total 2 4 2 2 3 3" xfId="36270" xr:uid="{00000000-0005-0000-0000-0000028D0000}"/>
    <cellStyle name="Total 2 4 2 2 3 4" xfId="36271" xr:uid="{00000000-0005-0000-0000-0000038D0000}"/>
    <cellStyle name="Total 2 4 2 2 4" xfId="36272" xr:uid="{00000000-0005-0000-0000-0000048D0000}"/>
    <cellStyle name="Total 2 4 2 2 4 2" xfId="36273" xr:uid="{00000000-0005-0000-0000-0000058D0000}"/>
    <cellStyle name="Total 2 4 2 2 4 3" xfId="36274" xr:uid="{00000000-0005-0000-0000-0000068D0000}"/>
    <cellStyle name="Total 2 4 2 2 5" xfId="36275" xr:uid="{00000000-0005-0000-0000-0000078D0000}"/>
    <cellStyle name="Total 2 4 2 2 5 2" xfId="36276" xr:uid="{00000000-0005-0000-0000-0000088D0000}"/>
    <cellStyle name="Total 2 4 2 2 5 3" xfId="36277" xr:uid="{00000000-0005-0000-0000-0000098D0000}"/>
    <cellStyle name="Total 2 4 2 2 6" xfId="36278" xr:uid="{00000000-0005-0000-0000-00000A8D0000}"/>
    <cellStyle name="Total 2 4 2 2 6 2" xfId="36279" xr:uid="{00000000-0005-0000-0000-00000B8D0000}"/>
    <cellStyle name="Total 2 4 2 2 6 2 2" xfId="36280" xr:uid="{00000000-0005-0000-0000-00000C8D0000}"/>
    <cellStyle name="Total 2 4 2 2 7" xfId="36281" xr:uid="{00000000-0005-0000-0000-00000D8D0000}"/>
    <cellStyle name="Total 2 4 2 3" xfId="20638" xr:uid="{00000000-0005-0000-0000-00000E8D0000}"/>
    <cellStyle name="Total 2 4 2 3 2" xfId="36282" xr:uid="{00000000-0005-0000-0000-00000F8D0000}"/>
    <cellStyle name="Total 2 4 2 3 2 2" xfId="36283" xr:uid="{00000000-0005-0000-0000-0000108D0000}"/>
    <cellStyle name="Total 2 4 2 3 2 3" xfId="36284" xr:uid="{00000000-0005-0000-0000-0000118D0000}"/>
    <cellStyle name="Total 2 4 2 3 2 4" xfId="36285" xr:uid="{00000000-0005-0000-0000-0000128D0000}"/>
    <cellStyle name="Total 2 4 2 3 3" xfId="36286" xr:uid="{00000000-0005-0000-0000-0000138D0000}"/>
    <cellStyle name="Total 2 4 2 3 3 2" xfId="36287" xr:uid="{00000000-0005-0000-0000-0000148D0000}"/>
    <cellStyle name="Total 2 4 2 3 3 3" xfId="36288" xr:uid="{00000000-0005-0000-0000-0000158D0000}"/>
    <cellStyle name="Total 2 4 2 3 3 4" xfId="36289" xr:uid="{00000000-0005-0000-0000-0000168D0000}"/>
    <cellStyle name="Total 2 4 2 3 4" xfId="36290" xr:uid="{00000000-0005-0000-0000-0000178D0000}"/>
    <cellStyle name="Total 2 4 2 3 4 2" xfId="36291" xr:uid="{00000000-0005-0000-0000-0000188D0000}"/>
    <cellStyle name="Total 2 4 2 3 4 3" xfId="36292" xr:uid="{00000000-0005-0000-0000-0000198D0000}"/>
    <cellStyle name="Total 2 4 2 3 5" xfId="36293" xr:uid="{00000000-0005-0000-0000-00001A8D0000}"/>
    <cellStyle name="Total 2 4 2 3 5 2" xfId="36294" xr:uid="{00000000-0005-0000-0000-00001B8D0000}"/>
    <cellStyle name="Total 2 4 2 3 5 3" xfId="36295" xr:uid="{00000000-0005-0000-0000-00001C8D0000}"/>
    <cellStyle name="Total 2 4 2 3 6" xfId="36296" xr:uid="{00000000-0005-0000-0000-00001D8D0000}"/>
    <cellStyle name="Total 2 4 2 3 6 2" xfId="36297" xr:uid="{00000000-0005-0000-0000-00001E8D0000}"/>
    <cellStyle name="Total 2 4 2 3 6 2 2" xfId="36298" xr:uid="{00000000-0005-0000-0000-00001F8D0000}"/>
    <cellStyle name="Total 2 4 2 3 7" xfId="36299" xr:uid="{00000000-0005-0000-0000-0000208D0000}"/>
    <cellStyle name="Total 2 4 2 4" xfId="1744" xr:uid="{00000000-0005-0000-0000-0000218D0000}"/>
    <cellStyle name="Total 2 4 2 4 2" xfId="36300" xr:uid="{00000000-0005-0000-0000-0000228D0000}"/>
    <cellStyle name="Total 2 4 2 4 2 2" xfId="36301" xr:uid="{00000000-0005-0000-0000-0000238D0000}"/>
    <cellStyle name="Total 2 4 2 4 2 3" xfId="36302" xr:uid="{00000000-0005-0000-0000-0000248D0000}"/>
    <cellStyle name="Total 2 4 2 4 2 4" xfId="36303" xr:uid="{00000000-0005-0000-0000-0000258D0000}"/>
    <cellStyle name="Total 2 4 2 4 3" xfId="36304" xr:uid="{00000000-0005-0000-0000-0000268D0000}"/>
    <cellStyle name="Total 2 4 2 4 3 2" xfId="36305" xr:uid="{00000000-0005-0000-0000-0000278D0000}"/>
    <cellStyle name="Total 2 4 2 4 3 3" xfId="36306" xr:uid="{00000000-0005-0000-0000-0000288D0000}"/>
    <cellStyle name="Total 2 4 2 4 3 4" xfId="36307" xr:uid="{00000000-0005-0000-0000-0000298D0000}"/>
    <cellStyle name="Total 2 4 2 4 4" xfId="36308" xr:uid="{00000000-0005-0000-0000-00002A8D0000}"/>
    <cellStyle name="Total 2 4 2 4 4 2" xfId="36309" xr:uid="{00000000-0005-0000-0000-00002B8D0000}"/>
    <cellStyle name="Total 2 4 2 4 4 3" xfId="36310" xr:uid="{00000000-0005-0000-0000-00002C8D0000}"/>
    <cellStyle name="Total 2 4 2 4 5" xfId="36311" xr:uid="{00000000-0005-0000-0000-00002D8D0000}"/>
    <cellStyle name="Total 2 4 2 4 5 2" xfId="36312" xr:uid="{00000000-0005-0000-0000-00002E8D0000}"/>
    <cellStyle name="Total 2 4 2 4 5 3" xfId="36313" xr:uid="{00000000-0005-0000-0000-00002F8D0000}"/>
    <cellStyle name="Total 2 4 2 4 6" xfId="36314" xr:uid="{00000000-0005-0000-0000-0000308D0000}"/>
    <cellStyle name="Total 2 4 2 4 7" xfId="36315" xr:uid="{00000000-0005-0000-0000-0000318D0000}"/>
    <cellStyle name="Total 2 4 2 5" xfId="1766" xr:uid="{00000000-0005-0000-0000-0000328D0000}"/>
    <cellStyle name="Total 2 4 2 5 2" xfId="36316" xr:uid="{00000000-0005-0000-0000-0000338D0000}"/>
    <cellStyle name="Total 2 4 2 5 2 2" xfId="36317" xr:uid="{00000000-0005-0000-0000-0000348D0000}"/>
    <cellStyle name="Total 2 4 2 5 2 3" xfId="36318" xr:uid="{00000000-0005-0000-0000-0000358D0000}"/>
    <cellStyle name="Total 2 4 2 5 2 4" xfId="36319" xr:uid="{00000000-0005-0000-0000-0000368D0000}"/>
    <cellStyle name="Total 2 4 2 5 3" xfId="36320" xr:uid="{00000000-0005-0000-0000-0000378D0000}"/>
    <cellStyle name="Total 2 4 2 5 3 2" xfId="36321" xr:uid="{00000000-0005-0000-0000-0000388D0000}"/>
    <cellStyle name="Total 2 4 2 5 3 3" xfId="36322" xr:uid="{00000000-0005-0000-0000-0000398D0000}"/>
    <cellStyle name="Total 2 4 2 5 3 4" xfId="36323" xr:uid="{00000000-0005-0000-0000-00003A8D0000}"/>
    <cellStyle name="Total 2 4 2 5 4" xfId="36324" xr:uid="{00000000-0005-0000-0000-00003B8D0000}"/>
    <cellStyle name="Total 2 4 2 5 4 2" xfId="36325" xr:uid="{00000000-0005-0000-0000-00003C8D0000}"/>
    <cellStyle name="Total 2 4 2 5 4 3" xfId="36326" xr:uid="{00000000-0005-0000-0000-00003D8D0000}"/>
    <cellStyle name="Total 2 4 2 5 5" xfId="36327" xr:uid="{00000000-0005-0000-0000-00003E8D0000}"/>
    <cellStyle name="Total 2 4 2 5 5 2" xfId="36328" xr:uid="{00000000-0005-0000-0000-00003F8D0000}"/>
    <cellStyle name="Total 2 4 2 5 5 3" xfId="36329" xr:uid="{00000000-0005-0000-0000-0000408D0000}"/>
    <cellStyle name="Total 2 4 2 5 6" xfId="36330" xr:uid="{00000000-0005-0000-0000-0000418D0000}"/>
    <cellStyle name="Total 2 4 2 5 7" xfId="36331" xr:uid="{00000000-0005-0000-0000-0000428D0000}"/>
    <cellStyle name="Total 2 4 2 6" xfId="36332" xr:uid="{00000000-0005-0000-0000-0000438D0000}"/>
    <cellStyle name="Total 2 4 2 6 2" xfId="36333" xr:uid="{00000000-0005-0000-0000-0000448D0000}"/>
    <cellStyle name="Total 2 4 2 6 2 2" xfId="36334" xr:uid="{00000000-0005-0000-0000-0000458D0000}"/>
    <cellStyle name="Total 2 4 2 6 2 3" xfId="36335" xr:uid="{00000000-0005-0000-0000-0000468D0000}"/>
    <cellStyle name="Total 2 4 2 6 2 4" xfId="36336" xr:uid="{00000000-0005-0000-0000-0000478D0000}"/>
    <cellStyle name="Total 2 4 2 6 3" xfId="36337" xr:uid="{00000000-0005-0000-0000-0000488D0000}"/>
    <cellStyle name="Total 2 4 2 6 3 2" xfId="36338" xr:uid="{00000000-0005-0000-0000-0000498D0000}"/>
    <cellStyle name="Total 2 4 2 6 3 3" xfId="36339" xr:uid="{00000000-0005-0000-0000-00004A8D0000}"/>
    <cellStyle name="Total 2 4 2 6 3 4" xfId="36340" xr:uid="{00000000-0005-0000-0000-00004B8D0000}"/>
    <cellStyle name="Total 2 4 2 6 4" xfId="36341" xr:uid="{00000000-0005-0000-0000-00004C8D0000}"/>
    <cellStyle name="Total 2 4 2 6 4 2" xfId="36342" xr:uid="{00000000-0005-0000-0000-00004D8D0000}"/>
    <cellStyle name="Total 2 4 2 6 4 3" xfId="36343" xr:uid="{00000000-0005-0000-0000-00004E8D0000}"/>
    <cellStyle name="Total 2 4 2 6 5" xfId="36344" xr:uid="{00000000-0005-0000-0000-00004F8D0000}"/>
    <cellStyle name="Total 2 4 2 6 5 2" xfId="36345" xr:uid="{00000000-0005-0000-0000-0000508D0000}"/>
    <cellStyle name="Total 2 4 2 6 5 3" xfId="36346" xr:uid="{00000000-0005-0000-0000-0000518D0000}"/>
    <cellStyle name="Total 2 4 2 6 6" xfId="36347" xr:uid="{00000000-0005-0000-0000-0000528D0000}"/>
    <cellStyle name="Total 2 4 2 6 7" xfId="36348" xr:uid="{00000000-0005-0000-0000-0000538D0000}"/>
    <cellStyle name="Total 2 4 2 7" xfId="36349" xr:uid="{00000000-0005-0000-0000-0000548D0000}"/>
    <cellStyle name="Total 2 4 2 7 2" xfId="36350" xr:uid="{00000000-0005-0000-0000-0000558D0000}"/>
    <cellStyle name="Total 2 4 2 7 2 2" xfId="36351" xr:uid="{00000000-0005-0000-0000-0000568D0000}"/>
    <cellStyle name="Total 2 4 2 7 2 3" xfId="36352" xr:uid="{00000000-0005-0000-0000-0000578D0000}"/>
    <cellStyle name="Total 2 4 2 7 2 4" xfId="36353" xr:uid="{00000000-0005-0000-0000-0000588D0000}"/>
    <cellStyle name="Total 2 4 2 7 3" xfId="36354" xr:uid="{00000000-0005-0000-0000-0000598D0000}"/>
    <cellStyle name="Total 2 4 2 7 3 2" xfId="36355" xr:uid="{00000000-0005-0000-0000-00005A8D0000}"/>
    <cellStyle name="Total 2 4 2 7 3 3" xfId="36356" xr:uid="{00000000-0005-0000-0000-00005B8D0000}"/>
    <cellStyle name="Total 2 4 2 7 3 4" xfId="36357" xr:uid="{00000000-0005-0000-0000-00005C8D0000}"/>
    <cellStyle name="Total 2 4 2 7 4" xfId="36358" xr:uid="{00000000-0005-0000-0000-00005D8D0000}"/>
    <cellStyle name="Total 2 4 2 7 4 2" xfId="36359" xr:uid="{00000000-0005-0000-0000-00005E8D0000}"/>
    <cellStyle name="Total 2 4 2 7 4 3" xfId="36360" xr:uid="{00000000-0005-0000-0000-00005F8D0000}"/>
    <cellStyle name="Total 2 4 2 7 5" xfId="36361" xr:uid="{00000000-0005-0000-0000-0000608D0000}"/>
    <cellStyle name="Total 2 4 2 7 5 2" xfId="36362" xr:uid="{00000000-0005-0000-0000-0000618D0000}"/>
    <cellStyle name="Total 2 4 2 7 5 3" xfId="36363" xr:uid="{00000000-0005-0000-0000-0000628D0000}"/>
    <cellStyle name="Total 2 4 2 7 6" xfId="36364" xr:uid="{00000000-0005-0000-0000-0000638D0000}"/>
    <cellStyle name="Total 2 4 2 7 7" xfId="36365" xr:uid="{00000000-0005-0000-0000-0000648D0000}"/>
    <cellStyle name="Total 2 4 2 8" xfId="36366" xr:uid="{00000000-0005-0000-0000-0000658D0000}"/>
    <cellStyle name="Total 2 4 2 8 2" xfId="36367" xr:uid="{00000000-0005-0000-0000-0000668D0000}"/>
    <cellStyle name="Total 2 4 2 8 2 2" xfId="36368" xr:uid="{00000000-0005-0000-0000-0000678D0000}"/>
    <cellStyle name="Total 2 4 2 8 2 3" xfId="36369" xr:uid="{00000000-0005-0000-0000-0000688D0000}"/>
    <cellStyle name="Total 2 4 2 8 2 4" xfId="20412" xr:uid="{00000000-0005-0000-0000-0000698D0000}"/>
    <cellStyle name="Total 2 4 2 8 3" xfId="36370" xr:uid="{00000000-0005-0000-0000-00006A8D0000}"/>
    <cellStyle name="Total 2 4 2 8 3 2" xfId="36371" xr:uid="{00000000-0005-0000-0000-00006B8D0000}"/>
    <cellStyle name="Total 2 4 2 8 3 3" xfId="36372" xr:uid="{00000000-0005-0000-0000-00006C8D0000}"/>
    <cellStyle name="Total 2 4 2 8 3 4" xfId="20417" xr:uid="{00000000-0005-0000-0000-00006D8D0000}"/>
    <cellStyle name="Total 2 4 2 8 4" xfId="36373" xr:uid="{00000000-0005-0000-0000-00006E8D0000}"/>
    <cellStyle name="Total 2 4 2 8 4 2" xfId="36374" xr:uid="{00000000-0005-0000-0000-00006F8D0000}"/>
    <cellStyle name="Total 2 4 2 8 4 3" xfId="36375" xr:uid="{00000000-0005-0000-0000-0000708D0000}"/>
    <cellStyle name="Total 2 4 2 8 5" xfId="36376" xr:uid="{00000000-0005-0000-0000-0000718D0000}"/>
    <cellStyle name="Total 2 4 2 8 5 2" xfId="36377" xr:uid="{00000000-0005-0000-0000-0000728D0000}"/>
    <cellStyle name="Total 2 4 2 8 5 3" xfId="36378" xr:uid="{00000000-0005-0000-0000-0000738D0000}"/>
    <cellStyle name="Total 2 4 2 8 6" xfId="36379" xr:uid="{00000000-0005-0000-0000-0000748D0000}"/>
    <cellStyle name="Total 2 4 2 8 7" xfId="36380" xr:uid="{00000000-0005-0000-0000-0000758D0000}"/>
    <cellStyle name="Total 2 4 2 9" xfId="36381" xr:uid="{00000000-0005-0000-0000-0000768D0000}"/>
    <cellStyle name="Total 2 4 2 9 2" xfId="36382" xr:uid="{00000000-0005-0000-0000-0000778D0000}"/>
    <cellStyle name="Total 2 4 2 9 2 2" xfId="36383" xr:uid="{00000000-0005-0000-0000-0000788D0000}"/>
    <cellStyle name="Total 2 4 2 9 2 3" xfId="32442" xr:uid="{00000000-0005-0000-0000-0000798D0000}"/>
    <cellStyle name="Total 2 4 2 9 2 4" xfId="28829" xr:uid="{00000000-0005-0000-0000-00007A8D0000}"/>
    <cellStyle name="Total 2 4 2 9 3" xfId="36384" xr:uid="{00000000-0005-0000-0000-00007B8D0000}"/>
    <cellStyle name="Total 2 4 2 9 3 2" xfId="36385" xr:uid="{00000000-0005-0000-0000-00007C8D0000}"/>
    <cellStyle name="Total 2 4 2 9 3 3" xfId="32445" xr:uid="{00000000-0005-0000-0000-00007D8D0000}"/>
    <cellStyle name="Total 2 4 2 9 3 4" xfId="28834" xr:uid="{00000000-0005-0000-0000-00007E8D0000}"/>
    <cellStyle name="Total 2 4 2 9 4" xfId="36386" xr:uid="{00000000-0005-0000-0000-00007F8D0000}"/>
    <cellStyle name="Total 2 4 2 9 4 2" xfId="36387" xr:uid="{00000000-0005-0000-0000-0000808D0000}"/>
    <cellStyle name="Total 2 4 2 9 4 3" xfId="36388" xr:uid="{00000000-0005-0000-0000-0000818D0000}"/>
    <cellStyle name="Total 2 4 2 9 5" xfId="36389" xr:uid="{00000000-0005-0000-0000-0000828D0000}"/>
    <cellStyle name="Total 2 4 2 9 5 2" xfId="36390" xr:uid="{00000000-0005-0000-0000-0000838D0000}"/>
    <cellStyle name="Total 2 4 2 9 5 3" xfId="36391" xr:uid="{00000000-0005-0000-0000-0000848D0000}"/>
    <cellStyle name="Total 2 4 2 9 6" xfId="36392" xr:uid="{00000000-0005-0000-0000-0000858D0000}"/>
    <cellStyle name="Total 2 4 2 9 7" xfId="36393" xr:uid="{00000000-0005-0000-0000-0000868D0000}"/>
    <cellStyle name="Total 2 4 20" xfId="36229" xr:uid="{00000000-0005-0000-0000-0000878D0000}"/>
    <cellStyle name="Total 2 4 3" xfId="36394" xr:uid="{00000000-0005-0000-0000-0000888D0000}"/>
    <cellStyle name="Total 2 4 3 10" xfId="36395" xr:uid="{00000000-0005-0000-0000-0000898D0000}"/>
    <cellStyle name="Total 2 4 3 10 2" xfId="36396" xr:uid="{00000000-0005-0000-0000-00008A8D0000}"/>
    <cellStyle name="Total 2 4 3 10 2 2" xfId="36397" xr:uid="{00000000-0005-0000-0000-00008B8D0000}"/>
    <cellStyle name="Total 2 4 3 10 2 3" xfId="36398" xr:uid="{00000000-0005-0000-0000-00008C8D0000}"/>
    <cellStyle name="Total 2 4 3 10 2 4" xfId="7760" xr:uid="{00000000-0005-0000-0000-00008D8D0000}"/>
    <cellStyle name="Total 2 4 3 10 3" xfId="36399" xr:uid="{00000000-0005-0000-0000-00008E8D0000}"/>
    <cellStyle name="Total 2 4 3 10 3 2" xfId="36400" xr:uid="{00000000-0005-0000-0000-00008F8D0000}"/>
    <cellStyle name="Total 2 4 3 10 3 3" xfId="36401" xr:uid="{00000000-0005-0000-0000-0000908D0000}"/>
    <cellStyle name="Total 2 4 3 10 3 4" xfId="7773" xr:uid="{00000000-0005-0000-0000-0000918D0000}"/>
    <cellStyle name="Total 2 4 3 10 4" xfId="36402" xr:uid="{00000000-0005-0000-0000-0000928D0000}"/>
    <cellStyle name="Total 2 4 3 10 4 2" xfId="36403" xr:uid="{00000000-0005-0000-0000-0000938D0000}"/>
    <cellStyle name="Total 2 4 3 10 4 3" xfId="36404" xr:uid="{00000000-0005-0000-0000-0000948D0000}"/>
    <cellStyle name="Total 2 4 3 10 5" xfId="36405" xr:uid="{00000000-0005-0000-0000-0000958D0000}"/>
    <cellStyle name="Total 2 4 3 10 5 2" xfId="36406" xr:uid="{00000000-0005-0000-0000-0000968D0000}"/>
    <cellStyle name="Total 2 4 3 10 5 3" xfId="36407" xr:uid="{00000000-0005-0000-0000-0000978D0000}"/>
    <cellStyle name="Total 2 4 3 10 6" xfId="36408" xr:uid="{00000000-0005-0000-0000-0000988D0000}"/>
    <cellStyle name="Total 2 4 3 10 7" xfId="36409" xr:uid="{00000000-0005-0000-0000-0000998D0000}"/>
    <cellStyle name="Total 2 4 3 11" xfId="36410" xr:uid="{00000000-0005-0000-0000-00009A8D0000}"/>
    <cellStyle name="Total 2 4 3 11 2" xfId="36411" xr:uid="{00000000-0005-0000-0000-00009B8D0000}"/>
    <cellStyle name="Total 2 4 3 11 3" xfId="36412" xr:uid="{00000000-0005-0000-0000-00009C8D0000}"/>
    <cellStyle name="Total 2 4 3 11 4" xfId="36413" xr:uid="{00000000-0005-0000-0000-00009D8D0000}"/>
    <cellStyle name="Total 2 4 3 12" xfId="36414" xr:uid="{00000000-0005-0000-0000-00009E8D0000}"/>
    <cellStyle name="Total 2 4 3 12 2" xfId="36415" xr:uid="{00000000-0005-0000-0000-00009F8D0000}"/>
    <cellStyle name="Total 2 4 3 12 3" xfId="36416" xr:uid="{00000000-0005-0000-0000-0000A08D0000}"/>
    <cellStyle name="Total 2 4 3 12 4" xfId="36417" xr:uid="{00000000-0005-0000-0000-0000A18D0000}"/>
    <cellStyle name="Total 2 4 3 13" xfId="36418" xr:uid="{00000000-0005-0000-0000-0000A28D0000}"/>
    <cellStyle name="Total 2 4 3 13 2" xfId="36419" xr:uid="{00000000-0005-0000-0000-0000A38D0000}"/>
    <cellStyle name="Total 2 4 3 13 3" xfId="36420" xr:uid="{00000000-0005-0000-0000-0000A48D0000}"/>
    <cellStyle name="Total 2 4 3 14" xfId="36421" xr:uid="{00000000-0005-0000-0000-0000A58D0000}"/>
    <cellStyle name="Total 2 4 3 14 2" xfId="35465" xr:uid="{00000000-0005-0000-0000-0000A68D0000}"/>
    <cellStyle name="Total 2 4 3 14 3" xfId="35467" xr:uid="{00000000-0005-0000-0000-0000A78D0000}"/>
    <cellStyle name="Total 2 4 3 15" xfId="36422" xr:uid="{00000000-0005-0000-0000-0000A88D0000}"/>
    <cellStyle name="Total 2 4 3 16" xfId="36423" xr:uid="{00000000-0005-0000-0000-0000A98D0000}"/>
    <cellStyle name="Total 2 4 3 2" xfId="36424" xr:uid="{00000000-0005-0000-0000-0000AA8D0000}"/>
    <cellStyle name="Total 2 4 3 2 2" xfId="36425" xr:uid="{00000000-0005-0000-0000-0000AB8D0000}"/>
    <cellStyle name="Total 2 4 3 2 2 2" xfId="36426" xr:uid="{00000000-0005-0000-0000-0000AC8D0000}"/>
    <cellStyle name="Total 2 4 3 2 2 3" xfId="36427" xr:uid="{00000000-0005-0000-0000-0000AD8D0000}"/>
    <cellStyle name="Total 2 4 3 2 2 4" xfId="36428" xr:uid="{00000000-0005-0000-0000-0000AE8D0000}"/>
    <cellStyle name="Total 2 4 3 2 3" xfId="36429" xr:uid="{00000000-0005-0000-0000-0000AF8D0000}"/>
    <cellStyle name="Total 2 4 3 2 3 2" xfId="36430" xr:uid="{00000000-0005-0000-0000-0000B08D0000}"/>
    <cellStyle name="Total 2 4 3 2 3 3" xfId="36431" xr:uid="{00000000-0005-0000-0000-0000B18D0000}"/>
    <cellStyle name="Total 2 4 3 2 3 4" xfId="36432" xr:uid="{00000000-0005-0000-0000-0000B28D0000}"/>
    <cellStyle name="Total 2 4 3 2 4" xfId="36433" xr:uid="{00000000-0005-0000-0000-0000B38D0000}"/>
    <cellStyle name="Total 2 4 3 2 4 2" xfId="36434" xr:uid="{00000000-0005-0000-0000-0000B48D0000}"/>
    <cellStyle name="Total 2 4 3 2 4 3" xfId="36435" xr:uid="{00000000-0005-0000-0000-0000B58D0000}"/>
    <cellStyle name="Total 2 4 3 2 5" xfId="36436" xr:uid="{00000000-0005-0000-0000-0000B68D0000}"/>
    <cellStyle name="Total 2 4 3 2 5 2" xfId="36437" xr:uid="{00000000-0005-0000-0000-0000B78D0000}"/>
    <cellStyle name="Total 2 4 3 2 5 3" xfId="36438" xr:uid="{00000000-0005-0000-0000-0000B88D0000}"/>
    <cellStyle name="Total 2 4 3 2 6" xfId="36439" xr:uid="{00000000-0005-0000-0000-0000B98D0000}"/>
    <cellStyle name="Total 2 4 3 2 7" xfId="36440" xr:uid="{00000000-0005-0000-0000-0000BA8D0000}"/>
    <cellStyle name="Total 2 4 3 3" xfId="20646" xr:uid="{00000000-0005-0000-0000-0000BB8D0000}"/>
    <cellStyle name="Total 2 4 3 3 2" xfId="36441" xr:uid="{00000000-0005-0000-0000-0000BC8D0000}"/>
    <cellStyle name="Total 2 4 3 3 2 2" xfId="36442" xr:uid="{00000000-0005-0000-0000-0000BD8D0000}"/>
    <cellStyle name="Total 2 4 3 3 2 3" xfId="36443" xr:uid="{00000000-0005-0000-0000-0000BE8D0000}"/>
    <cellStyle name="Total 2 4 3 3 2 4" xfId="36444" xr:uid="{00000000-0005-0000-0000-0000BF8D0000}"/>
    <cellStyle name="Total 2 4 3 3 3" xfId="36445" xr:uid="{00000000-0005-0000-0000-0000C08D0000}"/>
    <cellStyle name="Total 2 4 3 3 3 2" xfId="36446" xr:uid="{00000000-0005-0000-0000-0000C18D0000}"/>
    <cellStyle name="Total 2 4 3 3 3 3" xfId="36447" xr:uid="{00000000-0005-0000-0000-0000C28D0000}"/>
    <cellStyle name="Total 2 4 3 3 3 4" xfId="36448" xr:uid="{00000000-0005-0000-0000-0000C38D0000}"/>
    <cellStyle name="Total 2 4 3 3 4" xfId="36449" xr:uid="{00000000-0005-0000-0000-0000C48D0000}"/>
    <cellStyle name="Total 2 4 3 3 4 2" xfId="36450" xr:uid="{00000000-0005-0000-0000-0000C58D0000}"/>
    <cellStyle name="Total 2 4 3 3 4 3" xfId="36451" xr:uid="{00000000-0005-0000-0000-0000C68D0000}"/>
    <cellStyle name="Total 2 4 3 3 5" xfId="36452" xr:uid="{00000000-0005-0000-0000-0000C78D0000}"/>
    <cellStyle name="Total 2 4 3 3 5 2" xfId="36453" xr:uid="{00000000-0005-0000-0000-0000C88D0000}"/>
    <cellStyle name="Total 2 4 3 3 5 3" xfId="36454" xr:uid="{00000000-0005-0000-0000-0000C98D0000}"/>
    <cellStyle name="Total 2 4 3 3 6" xfId="36455" xr:uid="{00000000-0005-0000-0000-0000CA8D0000}"/>
    <cellStyle name="Total 2 4 3 3 7" xfId="36456" xr:uid="{00000000-0005-0000-0000-0000CB8D0000}"/>
    <cellStyle name="Total 2 4 3 4" xfId="21497" xr:uid="{00000000-0005-0000-0000-0000CC8D0000}"/>
    <cellStyle name="Total 2 4 3 4 2" xfId="36457" xr:uid="{00000000-0005-0000-0000-0000CD8D0000}"/>
    <cellStyle name="Total 2 4 3 4 2 2" xfId="36458" xr:uid="{00000000-0005-0000-0000-0000CE8D0000}"/>
    <cellStyle name="Total 2 4 3 4 2 3" xfId="36459" xr:uid="{00000000-0005-0000-0000-0000CF8D0000}"/>
    <cellStyle name="Total 2 4 3 4 2 4" xfId="36460" xr:uid="{00000000-0005-0000-0000-0000D08D0000}"/>
    <cellStyle name="Total 2 4 3 4 3" xfId="36461" xr:uid="{00000000-0005-0000-0000-0000D18D0000}"/>
    <cellStyle name="Total 2 4 3 4 3 2" xfId="36462" xr:uid="{00000000-0005-0000-0000-0000D28D0000}"/>
    <cellStyle name="Total 2 4 3 4 3 3" xfId="36463" xr:uid="{00000000-0005-0000-0000-0000D38D0000}"/>
    <cellStyle name="Total 2 4 3 4 3 4" xfId="36464" xr:uid="{00000000-0005-0000-0000-0000D48D0000}"/>
    <cellStyle name="Total 2 4 3 4 4" xfId="36465" xr:uid="{00000000-0005-0000-0000-0000D58D0000}"/>
    <cellStyle name="Total 2 4 3 4 4 2" xfId="36466" xr:uid="{00000000-0005-0000-0000-0000D68D0000}"/>
    <cellStyle name="Total 2 4 3 4 4 3" xfId="36467" xr:uid="{00000000-0005-0000-0000-0000D78D0000}"/>
    <cellStyle name="Total 2 4 3 4 5" xfId="36468" xr:uid="{00000000-0005-0000-0000-0000D88D0000}"/>
    <cellStyle name="Total 2 4 3 4 5 2" xfId="36469" xr:uid="{00000000-0005-0000-0000-0000D98D0000}"/>
    <cellStyle name="Total 2 4 3 4 5 3" xfId="36470" xr:uid="{00000000-0005-0000-0000-0000DA8D0000}"/>
    <cellStyle name="Total 2 4 3 4 6" xfId="36471" xr:uid="{00000000-0005-0000-0000-0000DB8D0000}"/>
    <cellStyle name="Total 2 4 3 4 7" xfId="36472" xr:uid="{00000000-0005-0000-0000-0000DC8D0000}"/>
    <cellStyle name="Total 2 4 3 5" xfId="36473" xr:uid="{00000000-0005-0000-0000-0000DD8D0000}"/>
    <cellStyle name="Total 2 4 3 5 2" xfId="35450" xr:uid="{00000000-0005-0000-0000-0000DE8D0000}"/>
    <cellStyle name="Total 2 4 3 5 2 2" xfId="36474" xr:uid="{00000000-0005-0000-0000-0000DF8D0000}"/>
    <cellStyle name="Total 2 4 3 5 2 3" xfId="36475" xr:uid="{00000000-0005-0000-0000-0000E08D0000}"/>
    <cellStyle name="Total 2 4 3 5 2 4" xfId="36476" xr:uid="{00000000-0005-0000-0000-0000E18D0000}"/>
    <cellStyle name="Total 2 4 3 5 3" xfId="36477" xr:uid="{00000000-0005-0000-0000-0000E28D0000}"/>
    <cellStyle name="Total 2 4 3 5 3 2" xfId="36478" xr:uid="{00000000-0005-0000-0000-0000E38D0000}"/>
    <cellStyle name="Total 2 4 3 5 3 3" xfId="36479" xr:uid="{00000000-0005-0000-0000-0000E48D0000}"/>
    <cellStyle name="Total 2 4 3 5 3 4" xfId="36480" xr:uid="{00000000-0005-0000-0000-0000E58D0000}"/>
    <cellStyle name="Total 2 4 3 5 4" xfId="36481" xr:uid="{00000000-0005-0000-0000-0000E68D0000}"/>
    <cellStyle name="Total 2 4 3 5 4 2" xfId="36482" xr:uid="{00000000-0005-0000-0000-0000E78D0000}"/>
    <cellStyle name="Total 2 4 3 5 4 3" xfId="36483" xr:uid="{00000000-0005-0000-0000-0000E88D0000}"/>
    <cellStyle name="Total 2 4 3 5 5" xfId="36484" xr:uid="{00000000-0005-0000-0000-0000E98D0000}"/>
    <cellStyle name="Total 2 4 3 5 5 2" xfId="36485" xr:uid="{00000000-0005-0000-0000-0000EA8D0000}"/>
    <cellStyle name="Total 2 4 3 5 5 3" xfId="36486" xr:uid="{00000000-0005-0000-0000-0000EB8D0000}"/>
    <cellStyle name="Total 2 4 3 5 6" xfId="36487" xr:uid="{00000000-0005-0000-0000-0000EC8D0000}"/>
    <cellStyle name="Total 2 4 3 5 7" xfId="36488" xr:uid="{00000000-0005-0000-0000-0000ED8D0000}"/>
    <cellStyle name="Total 2 4 3 6" xfId="36489" xr:uid="{00000000-0005-0000-0000-0000EE8D0000}"/>
    <cellStyle name="Total 2 4 3 6 2" xfId="36490" xr:uid="{00000000-0005-0000-0000-0000EF8D0000}"/>
    <cellStyle name="Total 2 4 3 6 2 2" xfId="36491" xr:uid="{00000000-0005-0000-0000-0000F08D0000}"/>
    <cellStyle name="Total 2 4 3 6 2 3" xfId="36492" xr:uid="{00000000-0005-0000-0000-0000F18D0000}"/>
    <cellStyle name="Total 2 4 3 6 2 4" xfId="36493" xr:uid="{00000000-0005-0000-0000-0000F28D0000}"/>
    <cellStyle name="Total 2 4 3 6 3" xfId="36494" xr:uid="{00000000-0005-0000-0000-0000F38D0000}"/>
    <cellStyle name="Total 2 4 3 6 3 2" xfId="36495" xr:uid="{00000000-0005-0000-0000-0000F48D0000}"/>
    <cellStyle name="Total 2 4 3 6 3 3" xfId="36496" xr:uid="{00000000-0005-0000-0000-0000F58D0000}"/>
    <cellStyle name="Total 2 4 3 6 3 4" xfId="36497" xr:uid="{00000000-0005-0000-0000-0000F68D0000}"/>
    <cellStyle name="Total 2 4 3 6 4" xfId="36498" xr:uid="{00000000-0005-0000-0000-0000F78D0000}"/>
    <cellStyle name="Total 2 4 3 6 4 2" xfId="36499" xr:uid="{00000000-0005-0000-0000-0000F88D0000}"/>
    <cellStyle name="Total 2 4 3 6 4 3" xfId="36500" xr:uid="{00000000-0005-0000-0000-0000F98D0000}"/>
    <cellStyle name="Total 2 4 3 6 5" xfId="36501" xr:uid="{00000000-0005-0000-0000-0000FA8D0000}"/>
    <cellStyle name="Total 2 4 3 6 5 2" xfId="36502" xr:uid="{00000000-0005-0000-0000-0000FB8D0000}"/>
    <cellStyle name="Total 2 4 3 6 5 3" xfId="36503" xr:uid="{00000000-0005-0000-0000-0000FC8D0000}"/>
    <cellStyle name="Total 2 4 3 6 6" xfId="36504" xr:uid="{00000000-0005-0000-0000-0000FD8D0000}"/>
    <cellStyle name="Total 2 4 3 6 7" xfId="36505" xr:uid="{00000000-0005-0000-0000-0000FE8D0000}"/>
    <cellStyle name="Total 2 4 3 7" xfId="36506" xr:uid="{00000000-0005-0000-0000-0000FF8D0000}"/>
    <cellStyle name="Total 2 4 3 7 2" xfId="36507" xr:uid="{00000000-0005-0000-0000-0000008E0000}"/>
    <cellStyle name="Total 2 4 3 7 2 2" xfId="36508" xr:uid="{00000000-0005-0000-0000-0000018E0000}"/>
    <cellStyle name="Total 2 4 3 7 2 3" xfId="36509" xr:uid="{00000000-0005-0000-0000-0000028E0000}"/>
    <cellStyle name="Total 2 4 3 7 2 4" xfId="36510" xr:uid="{00000000-0005-0000-0000-0000038E0000}"/>
    <cellStyle name="Total 2 4 3 7 3" xfId="36511" xr:uid="{00000000-0005-0000-0000-0000048E0000}"/>
    <cellStyle name="Total 2 4 3 7 3 2" xfId="36512" xr:uid="{00000000-0005-0000-0000-0000058E0000}"/>
    <cellStyle name="Total 2 4 3 7 3 3" xfId="36513" xr:uid="{00000000-0005-0000-0000-0000068E0000}"/>
    <cellStyle name="Total 2 4 3 7 3 4" xfId="36514" xr:uid="{00000000-0005-0000-0000-0000078E0000}"/>
    <cellStyle name="Total 2 4 3 7 4" xfId="36515" xr:uid="{00000000-0005-0000-0000-0000088E0000}"/>
    <cellStyle name="Total 2 4 3 7 4 2" xfId="36516" xr:uid="{00000000-0005-0000-0000-0000098E0000}"/>
    <cellStyle name="Total 2 4 3 7 4 3" xfId="36517" xr:uid="{00000000-0005-0000-0000-00000A8E0000}"/>
    <cellStyle name="Total 2 4 3 7 5" xfId="36518" xr:uid="{00000000-0005-0000-0000-00000B8E0000}"/>
    <cellStyle name="Total 2 4 3 7 5 2" xfId="36519" xr:uid="{00000000-0005-0000-0000-00000C8E0000}"/>
    <cellStyle name="Total 2 4 3 7 5 3" xfId="36520" xr:uid="{00000000-0005-0000-0000-00000D8E0000}"/>
    <cellStyle name="Total 2 4 3 7 6" xfId="36521" xr:uid="{00000000-0005-0000-0000-00000E8E0000}"/>
    <cellStyle name="Total 2 4 3 7 7" xfId="36522" xr:uid="{00000000-0005-0000-0000-00000F8E0000}"/>
    <cellStyle name="Total 2 4 3 8" xfId="36523" xr:uid="{00000000-0005-0000-0000-0000108E0000}"/>
    <cellStyle name="Total 2 4 3 8 2" xfId="36524" xr:uid="{00000000-0005-0000-0000-0000118E0000}"/>
    <cellStyle name="Total 2 4 3 8 2 2" xfId="36525" xr:uid="{00000000-0005-0000-0000-0000128E0000}"/>
    <cellStyle name="Total 2 4 3 8 2 3" xfId="36526" xr:uid="{00000000-0005-0000-0000-0000138E0000}"/>
    <cellStyle name="Total 2 4 3 8 2 4" xfId="36527" xr:uid="{00000000-0005-0000-0000-0000148E0000}"/>
    <cellStyle name="Total 2 4 3 8 3" xfId="36528" xr:uid="{00000000-0005-0000-0000-0000158E0000}"/>
    <cellStyle name="Total 2 4 3 8 3 2" xfId="36529" xr:uid="{00000000-0005-0000-0000-0000168E0000}"/>
    <cellStyle name="Total 2 4 3 8 3 3" xfId="36530" xr:uid="{00000000-0005-0000-0000-0000178E0000}"/>
    <cellStyle name="Total 2 4 3 8 3 4" xfId="36531" xr:uid="{00000000-0005-0000-0000-0000188E0000}"/>
    <cellStyle name="Total 2 4 3 8 4" xfId="36532" xr:uid="{00000000-0005-0000-0000-0000198E0000}"/>
    <cellStyle name="Total 2 4 3 8 4 2" xfId="36533" xr:uid="{00000000-0005-0000-0000-00001A8E0000}"/>
    <cellStyle name="Total 2 4 3 8 4 3" xfId="36534" xr:uid="{00000000-0005-0000-0000-00001B8E0000}"/>
    <cellStyle name="Total 2 4 3 8 5" xfId="36535" xr:uid="{00000000-0005-0000-0000-00001C8E0000}"/>
    <cellStyle name="Total 2 4 3 8 5 2" xfId="36536" xr:uid="{00000000-0005-0000-0000-00001D8E0000}"/>
    <cellStyle name="Total 2 4 3 8 5 3" xfId="36537" xr:uid="{00000000-0005-0000-0000-00001E8E0000}"/>
    <cellStyle name="Total 2 4 3 8 6" xfId="36538" xr:uid="{00000000-0005-0000-0000-00001F8E0000}"/>
    <cellStyle name="Total 2 4 3 8 7" xfId="36539" xr:uid="{00000000-0005-0000-0000-0000208E0000}"/>
    <cellStyle name="Total 2 4 3 9" xfId="36540" xr:uid="{00000000-0005-0000-0000-0000218E0000}"/>
    <cellStyle name="Total 2 4 3 9 2" xfId="36541" xr:uid="{00000000-0005-0000-0000-0000228E0000}"/>
    <cellStyle name="Total 2 4 3 9 2 2" xfId="36542" xr:uid="{00000000-0005-0000-0000-0000238E0000}"/>
    <cellStyle name="Total 2 4 3 9 2 3" xfId="36543" xr:uid="{00000000-0005-0000-0000-0000248E0000}"/>
    <cellStyle name="Total 2 4 3 9 2 4" xfId="36544" xr:uid="{00000000-0005-0000-0000-0000258E0000}"/>
    <cellStyle name="Total 2 4 3 9 3" xfId="36545" xr:uid="{00000000-0005-0000-0000-0000268E0000}"/>
    <cellStyle name="Total 2 4 3 9 3 2" xfId="36546" xr:uid="{00000000-0005-0000-0000-0000278E0000}"/>
    <cellStyle name="Total 2 4 3 9 3 3" xfId="36547" xr:uid="{00000000-0005-0000-0000-0000288E0000}"/>
    <cellStyle name="Total 2 4 3 9 3 4" xfId="36548" xr:uid="{00000000-0005-0000-0000-0000298E0000}"/>
    <cellStyle name="Total 2 4 3 9 4" xfId="36549" xr:uid="{00000000-0005-0000-0000-00002A8E0000}"/>
    <cellStyle name="Total 2 4 3 9 4 2" xfId="36550" xr:uid="{00000000-0005-0000-0000-00002B8E0000}"/>
    <cellStyle name="Total 2 4 3 9 4 3" xfId="36551" xr:uid="{00000000-0005-0000-0000-00002C8E0000}"/>
    <cellStyle name="Total 2 4 3 9 5" xfId="36552" xr:uid="{00000000-0005-0000-0000-00002D8E0000}"/>
    <cellStyle name="Total 2 4 3 9 5 2" xfId="36553" xr:uid="{00000000-0005-0000-0000-00002E8E0000}"/>
    <cellStyle name="Total 2 4 3 9 5 3" xfId="36554" xr:uid="{00000000-0005-0000-0000-00002F8E0000}"/>
    <cellStyle name="Total 2 4 3 9 6" xfId="36555" xr:uid="{00000000-0005-0000-0000-0000308E0000}"/>
    <cellStyle name="Total 2 4 3 9 7" xfId="36556" xr:uid="{00000000-0005-0000-0000-0000318E0000}"/>
    <cellStyle name="Total 2 4 4" xfId="36557" xr:uid="{00000000-0005-0000-0000-0000328E0000}"/>
    <cellStyle name="Total 2 4 4 2" xfId="36558" xr:uid="{00000000-0005-0000-0000-0000338E0000}"/>
    <cellStyle name="Total 2 4 4 2 2" xfId="36559" xr:uid="{00000000-0005-0000-0000-0000348E0000}"/>
    <cellStyle name="Total 2 4 4 2 3" xfId="36560" xr:uid="{00000000-0005-0000-0000-0000358E0000}"/>
    <cellStyle name="Total 2 4 4 2 4" xfId="36561" xr:uid="{00000000-0005-0000-0000-0000368E0000}"/>
    <cellStyle name="Total 2 4 4 3" xfId="21503" xr:uid="{00000000-0005-0000-0000-0000378E0000}"/>
    <cellStyle name="Total 2 4 4 3 2" xfId="36562" xr:uid="{00000000-0005-0000-0000-0000388E0000}"/>
    <cellStyle name="Total 2 4 4 3 3" xfId="36563" xr:uid="{00000000-0005-0000-0000-0000398E0000}"/>
    <cellStyle name="Total 2 4 4 3 4" xfId="36564" xr:uid="{00000000-0005-0000-0000-00003A8E0000}"/>
    <cellStyle name="Total 2 4 4 4" xfId="1776" xr:uid="{00000000-0005-0000-0000-00003B8E0000}"/>
    <cellStyle name="Total 2 4 4 4 2" xfId="36565" xr:uid="{00000000-0005-0000-0000-00003C8E0000}"/>
    <cellStyle name="Total 2 4 4 4 3" xfId="36566" xr:uid="{00000000-0005-0000-0000-00003D8E0000}"/>
    <cellStyle name="Total 2 4 4 5" xfId="36567" xr:uid="{00000000-0005-0000-0000-00003E8E0000}"/>
    <cellStyle name="Total 2 4 4 5 2" xfId="36568" xr:uid="{00000000-0005-0000-0000-00003F8E0000}"/>
    <cellStyle name="Total 2 4 4 5 3" xfId="36569" xr:uid="{00000000-0005-0000-0000-0000408E0000}"/>
    <cellStyle name="Total 2 4 4 6" xfId="36570" xr:uid="{00000000-0005-0000-0000-0000418E0000}"/>
    <cellStyle name="Total 2 4 4 7" xfId="36571" xr:uid="{00000000-0005-0000-0000-0000428E0000}"/>
    <cellStyle name="Total 2 4 5" xfId="36572" xr:uid="{00000000-0005-0000-0000-0000438E0000}"/>
    <cellStyle name="Total 2 4 5 2" xfId="36573" xr:uid="{00000000-0005-0000-0000-0000448E0000}"/>
    <cellStyle name="Total 2 4 5 2 2" xfId="36574" xr:uid="{00000000-0005-0000-0000-0000458E0000}"/>
    <cellStyle name="Total 2 4 5 2 3" xfId="36575" xr:uid="{00000000-0005-0000-0000-0000468E0000}"/>
    <cellStyle name="Total 2 4 5 2 4" xfId="36576" xr:uid="{00000000-0005-0000-0000-0000478E0000}"/>
    <cellStyle name="Total 2 4 5 3" xfId="36577" xr:uid="{00000000-0005-0000-0000-0000488E0000}"/>
    <cellStyle name="Total 2 4 5 3 2" xfId="36578" xr:uid="{00000000-0005-0000-0000-0000498E0000}"/>
    <cellStyle name="Total 2 4 5 3 3" xfId="36579" xr:uid="{00000000-0005-0000-0000-00004A8E0000}"/>
    <cellStyle name="Total 2 4 5 3 4" xfId="36580" xr:uid="{00000000-0005-0000-0000-00004B8E0000}"/>
    <cellStyle name="Total 2 4 5 4" xfId="36581" xr:uid="{00000000-0005-0000-0000-00004C8E0000}"/>
    <cellStyle name="Total 2 4 5 4 2" xfId="36582" xr:uid="{00000000-0005-0000-0000-00004D8E0000}"/>
    <cellStyle name="Total 2 4 5 4 3" xfId="36583" xr:uid="{00000000-0005-0000-0000-00004E8E0000}"/>
    <cellStyle name="Total 2 4 5 5" xfId="36584" xr:uid="{00000000-0005-0000-0000-00004F8E0000}"/>
    <cellStyle name="Total 2 4 5 5 2" xfId="36585" xr:uid="{00000000-0005-0000-0000-0000508E0000}"/>
    <cellStyle name="Total 2 4 5 5 3" xfId="36586" xr:uid="{00000000-0005-0000-0000-0000518E0000}"/>
    <cellStyle name="Total 2 4 5 6" xfId="36587" xr:uid="{00000000-0005-0000-0000-0000528E0000}"/>
    <cellStyle name="Total 2 4 5 6 2" xfId="36588" xr:uid="{00000000-0005-0000-0000-0000538E0000}"/>
    <cellStyle name="Total 2 4 5 7" xfId="36589" xr:uid="{00000000-0005-0000-0000-0000548E0000}"/>
    <cellStyle name="Total 2 4 6" xfId="36590" xr:uid="{00000000-0005-0000-0000-0000558E0000}"/>
    <cellStyle name="Total 2 4 6 2" xfId="36591" xr:uid="{00000000-0005-0000-0000-0000568E0000}"/>
    <cellStyle name="Total 2 4 6 2 2" xfId="36592" xr:uid="{00000000-0005-0000-0000-0000578E0000}"/>
    <cellStyle name="Total 2 4 6 2 3" xfId="36593" xr:uid="{00000000-0005-0000-0000-0000588E0000}"/>
    <cellStyle name="Total 2 4 6 2 4" xfId="36594" xr:uid="{00000000-0005-0000-0000-0000598E0000}"/>
    <cellStyle name="Total 2 4 6 3" xfId="36595" xr:uid="{00000000-0005-0000-0000-00005A8E0000}"/>
    <cellStyle name="Total 2 4 6 3 2" xfId="36596" xr:uid="{00000000-0005-0000-0000-00005B8E0000}"/>
    <cellStyle name="Total 2 4 6 3 3" xfId="36597" xr:uid="{00000000-0005-0000-0000-00005C8E0000}"/>
    <cellStyle name="Total 2 4 6 3 4" xfId="36598" xr:uid="{00000000-0005-0000-0000-00005D8E0000}"/>
    <cellStyle name="Total 2 4 6 4" xfId="36599" xr:uid="{00000000-0005-0000-0000-00005E8E0000}"/>
    <cellStyle name="Total 2 4 6 4 2" xfId="36600" xr:uid="{00000000-0005-0000-0000-00005F8E0000}"/>
    <cellStyle name="Total 2 4 6 4 3" xfId="36601" xr:uid="{00000000-0005-0000-0000-0000608E0000}"/>
    <cellStyle name="Total 2 4 6 5" xfId="36602" xr:uid="{00000000-0005-0000-0000-0000618E0000}"/>
    <cellStyle name="Total 2 4 6 5 2" xfId="36603" xr:uid="{00000000-0005-0000-0000-0000628E0000}"/>
    <cellStyle name="Total 2 4 6 5 3" xfId="36604" xr:uid="{00000000-0005-0000-0000-0000638E0000}"/>
    <cellStyle name="Total 2 4 6 6" xfId="36605" xr:uid="{00000000-0005-0000-0000-0000648E0000}"/>
    <cellStyle name="Total 2 4 6 6 2" xfId="36606" xr:uid="{00000000-0005-0000-0000-0000658E0000}"/>
    <cellStyle name="Total 2 4 6 7" xfId="36607" xr:uid="{00000000-0005-0000-0000-0000668E0000}"/>
    <cellStyle name="Total 2 4 7" xfId="36608" xr:uid="{00000000-0005-0000-0000-0000678E0000}"/>
    <cellStyle name="Total 2 4 7 2" xfId="36609" xr:uid="{00000000-0005-0000-0000-0000688E0000}"/>
    <cellStyle name="Total 2 4 7 2 2" xfId="36610" xr:uid="{00000000-0005-0000-0000-0000698E0000}"/>
    <cellStyle name="Total 2 4 7 2 3" xfId="36611" xr:uid="{00000000-0005-0000-0000-00006A8E0000}"/>
    <cellStyle name="Total 2 4 7 2 4" xfId="36612" xr:uid="{00000000-0005-0000-0000-00006B8E0000}"/>
    <cellStyle name="Total 2 4 7 3" xfId="36613" xr:uid="{00000000-0005-0000-0000-00006C8E0000}"/>
    <cellStyle name="Total 2 4 7 3 2" xfId="36614" xr:uid="{00000000-0005-0000-0000-00006D8E0000}"/>
    <cellStyle name="Total 2 4 7 3 3" xfId="36615" xr:uid="{00000000-0005-0000-0000-00006E8E0000}"/>
    <cellStyle name="Total 2 4 7 3 4" xfId="36616" xr:uid="{00000000-0005-0000-0000-00006F8E0000}"/>
    <cellStyle name="Total 2 4 7 4" xfId="36617" xr:uid="{00000000-0005-0000-0000-0000708E0000}"/>
    <cellStyle name="Total 2 4 7 4 2" xfId="36618" xr:uid="{00000000-0005-0000-0000-0000718E0000}"/>
    <cellStyle name="Total 2 4 7 4 3" xfId="36619" xr:uid="{00000000-0005-0000-0000-0000728E0000}"/>
    <cellStyle name="Total 2 4 7 5" xfId="36620" xr:uid="{00000000-0005-0000-0000-0000738E0000}"/>
    <cellStyle name="Total 2 4 7 5 2" xfId="36621" xr:uid="{00000000-0005-0000-0000-0000748E0000}"/>
    <cellStyle name="Total 2 4 7 5 3" xfId="36622" xr:uid="{00000000-0005-0000-0000-0000758E0000}"/>
    <cellStyle name="Total 2 4 7 6" xfId="36623" xr:uid="{00000000-0005-0000-0000-0000768E0000}"/>
    <cellStyle name="Total 2 4 7 6 2" xfId="36624" xr:uid="{00000000-0005-0000-0000-0000778E0000}"/>
    <cellStyle name="Total 2 4 7 7" xfId="36625" xr:uid="{00000000-0005-0000-0000-0000788E0000}"/>
    <cellStyle name="Total 2 4 8" xfId="36626" xr:uid="{00000000-0005-0000-0000-0000798E0000}"/>
    <cellStyle name="Total 2 4 8 2" xfId="36627" xr:uid="{00000000-0005-0000-0000-00007A8E0000}"/>
    <cellStyle name="Total 2 4 8 2 2" xfId="36628" xr:uid="{00000000-0005-0000-0000-00007B8E0000}"/>
    <cellStyle name="Total 2 4 8 2 3" xfId="36629" xr:uid="{00000000-0005-0000-0000-00007C8E0000}"/>
    <cellStyle name="Total 2 4 8 2 4" xfId="36630" xr:uid="{00000000-0005-0000-0000-00007D8E0000}"/>
    <cellStyle name="Total 2 4 8 3" xfId="36631" xr:uid="{00000000-0005-0000-0000-00007E8E0000}"/>
    <cellStyle name="Total 2 4 8 3 2" xfId="36632" xr:uid="{00000000-0005-0000-0000-00007F8E0000}"/>
    <cellStyle name="Total 2 4 8 3 3" xfId="36633" xr:uid="{00000000-0005-0000-0000-0000808E0000}"/>
    <cellStyle name="Total 2 4 8 3 4" xfId="36634" xr:uid="{00000000-0005-0000-0000-0000818E0000}"/>
    <cellStyle name="Total 2 4 8 4" xfId="36635" xr:uid="{00000000-0005-0000-0000-0000828E0000}"/>
    <cellStyle name="Total 2 4 8 4 2" xfId="36636" xr:uid="{00000000-0005-0000-0000-0000838E0000}"/>
    <cellStyle name="Total 2 4 8 4 3" xfId="36637" xr:uid="{00000000-0005-0000-0000-0000848E0000}"/>
    <cellStyle name="Total 2 4 8 5" xfId="36638" xr:uid="{00000000-0005-0000-0000-0000858E0000}"/>
    <cellStyle name="Total 2 4 8 5 2" xfId="36639" xr:uid="{00000000-0005-0000-0000-0000868E0000}"/>
    <cellStyle name="Total 2 4 8 5 3" xfId="36640" xr:uid="{00000000-0005-0000-0000-0000878E0000}"/>
    <cellStyle name="Total 2 4 8 6" xfId="36641" xr:uid="{00000000-0005-0000-0000-0000888E0000}"/>
    <cellStyle name="Total 2 4 8 7" xfId="36642" xr:uid="{00000000-0005-0000-0000-0000898E0000}"/>
    <cellStyle name="Total 2 4 9" xfId="36643" xr:uid="{00000000-0005-0000-0000-00008A8E0000}"/>
    <cellStyle name="Total 2 4 9 2" xfId="32095" xr:uid="{00000000-0005-0000-0000-00008B8E0000}"/>
    <cellStyle name="Total 2 4 9 2 2" xfId="36644" xr:uid="{00000000-0005-0000-0000-00008C8E0000}"/>
    <cellStyle name="Total 2 4 9 2 3" xfId="36645" xr:uid="{00000000-0005-0000-0000-00008D8E0000}"/>
    <cellStyle name="Total 2 4 9 2 4" xfId="36646" xr:uid="{00000000-0005-0000-0000-00008E8E0000}"/>
    <cellStyle name="Total 2 4 9 3" xfId="36647" xr:uid="{00000000-0005-0000-0000-00008F8E0000}"/>
    <cellStyle name="Total 2 4 9 3 2" xfId="36648" xr:uid="{00000000-0005-0000-0000-0000908E0000}"/>
    <cellStyle name="Total 2 4 9 3 3" xfId="36649" xr:uid="{00000000-0005-0000-0000-0000918E0000}"/>
    <cellStyle name="Total 2 4 9 3 4" xfId="36650" xr:uid="{00000000-0005-0000-0000-0000928E0000}"/>
    <cellStyle name="Total 2 4 9 4" xfId="36651" xr:uid="{00000000-0005-0000-0000-0000938E0000}"/>
    <cellStyle name="Total 2 4 9 4 2" xfId="36652" xr:uid="{00000000-0005-0000-0000-0000948E0000}"/>
    <cellStyle name="Total 2 4 9 4 3" xfId="36653" xr:uid="{00000000-0005-0000-0000-0000958E0000}"/>
    <cellStyle name="Total 2 4 9 5" xfId="36654" xr:uid="{00000000-0005-0000-0000-0000968E0000}"/>
    <cellStyle name="Total 2 4 9 5 2" xfId="36655" xr:uid="{00000000-0005-0000-0000-0000978E0000}"/>
    <cellStyle name="Total 2 4 9 5 3" xfId="36656" xr:uid="{00000000-0005-0000-0000-0000988E0000}"/>
    <cellStyle name="Total 2 4 9 6" xfId="36657" xr:uid="{00000000-0005-0000-0000-0000998E0000}"/>
    <cellStyle name="Total 2 4 9 7" xfId="36658" xr:uid="{00000000-0005-0000-0000-00009A8E0000}"/>
    <cellStyle name="Total 2 5" xfId="36659" xr:uid="{00000000-0005-0000-0000-00009B8E0000}"/>
    <cellStyle name="Total 2 5 10" xfId="36660" xr:uid="{00000000-0005-0000-0000-00009C8E0000}"/>
    <cellStyle name="Total 2 5 10 2" xfId="36661" xr:uid="{00000000-0005-0000-0000-00009D8E0000}"/>
    <cellStyle name="Total 2 5 10 2 2" xfId="36662" xr:uid="{00000000-0005-0000-0000-00009E8E0000}"/>
    <cellStyle name="Total 2 5 10 2 3" xfId="36663" xr:uid="{00000000-0005-0000-0000-00009F8E0000}"/>
    <cellStyle name="Total 2 5 10 2 4" xfId="36664" xr:uid="{00000000-0005-0000-0000-0000A08E0000}"/>
    <cellStyle name="Total 2 5 10 3" xfId="36665" xr:uid="{00000000-0005-0000-0000-0000A18E0000}"/>
    <cellStyle name="Total 2 5 10 3 2" xfId="36666" xr:uid="{00000000-0005-0000-0000-0000A28E0000}"/>
    <cellStyle name="Total 2 5 10 3 3" xfId="36667" xr:uid="{00000000-0005-0000-0000-0000A38E0000}"/>
    <cellStyle name="Total 2 5 10 3 4" xfId="36668" xr:uid="{00000000-0005-0000-0000-0000A48E0000}"/>
    <cellStyle name="Total 2 5 10 4" xfId="36669" xr:uid="{00000000-0005-0000-0000-0000A58E0000}"/>
    <cellStyle name="Total 2 5 10 4 2" xfId="36670" xr:uid="{00000000-0005-0000-0000-0000A68E0000}"/>
    <cellStyle name="Total 2 5 10 4 3" xfId="36671" xr:uid="{00000000-0005-0000-0000-0000A78E0000}"/>
    <cellStyle name="Total 2 5 10 5" xfId="36672" xr:uid="{00000000-0005-0000-0000-0000A88E0000}"/>
    <cellStyle name="Total 2 5 10 5 2" xfId="36673" xr:uid="{00000000-0005-0000-0000-0000A98E0000}"/>
    <cellStyle name="Total 2 5 10 5 3" xfId="36674" xr:uid="{00000000-0005-0000-0000-0000AA8E0000}"/>
    <cellStyle name="Total 2 5 10 6" xfId="36675" xr:uid="{00000000-0005-0000-0000-0000AB8E0000}"/>
    <cellStyle name="Total 2 5 10 7" xfId="36676" xr:uid="{00000000-0005-0000-0000-0000AC8E0000}"/>
    <cellStyle name="Total 2 5 11" xfId="36677" xr:uid="{00000000-0005-0000-0000-0000AD8E0000}"/>
    <cellStyle name="Total 2 5 11 2" xfId="36678" xr:uid="{00000000-0005-0000-0000-0000AE8E0000}"/>
    <cellStyle name="Total 2 5 11 2 2" xfId="36679" xr:uid="{00000000-0005-0000-0000-0000AF8E0000}"/>
    <cellStyle name="Total 2 5 11 2 3" xfId="36680" xr:uid="{00000000-0005-0000-0000-0000B08E0000}"/>
    <cellStyle name="Total 2 5 11 2 4" xfId="36681" xr:uid="{00000000-0005-0000-0000-0000B18E0000}"/>
    <cellStyle name="Total 2 5 11 3" xfId="36682" xr:uid="{00000000-0005-0000-0000-0000B28E0000}"/>
    <cellStyle name="Total 2 5 11 3 2" xfId="36683" xr:uid="{00000000-0005-0000-0000-0000B38E0000}"/>
    <cellStyle name="Total 2 5 11 3 3" xfId="36684" xr:uid="{00000000-0005-0000-0000-0000B48E0000}"/>
    <cellStyle name="Total 2 5 11 3 4" xfId="36685" xr:uid="{00000000-0005-0000-0000-0000B58E0000}"/>
    <cellStyle name="Total 2 5 11 4" xfId="36686" xr:uid="{00000000-0005-0000-0000-0000B68E0000}"/>
    <cellStyle name="Total 2 5 11 4 2" xfId="36687" xr:uid="{00000000-0005-0000-0000-0000B78E0000}"/>
    <cellStyle name="Total 2 5 11 4 3" xfId="36688" xr:uid="{00000000-0005-0000-0000-0000B88E0000}"/>
    <cellStyle name="Total 2 5 11 5" xfId="36689" xr:uid="{00000000-0005-0000-0000-0000B98E0000}"/>
    <cellStyle name="Total 2 5 11 5 2" xfId="36690" xr:uid="{00000000-0005-0000-0000-0000BA8E0000}"/>
    <cellStyle name="Total 2 5 11 5 3" xfId="36691" xr:uid="{00000000-0005-0000-0000-0000BB8E0000}"/>
    <cellStyle name="Total 2 5 11 6" xfId="36692" xr:uid="{00000000-0005-0000-0000-0000BC8E0000}"/>
    <cellStyle name="Total 2 5 11 7" xfId="36693" xr:uid="{00000000-0005-0000-0000-0000BD8E0000}"/>
    <cellStyle name="Total 2 5 12" xfId="36694" xr:uid="{00000000-0005-0000-0000-0000BE8E0000}"/>
    <cellStyle name="Total 2 5 12 2" xfId="36695" xr:uid="{00000000-0005-0000-0000-0000BF8E0000}"/>
    <cellStyle name="Total 2 5 12 2 2" xfId="36696" xr:uid="{00000000-0005-0000-0000-0000C08E0000}"/>
    <cellStyle name="Total 2 5 12 2 3" xfId="36697" xr:uid="{00000000-0005-0000-0000-0000C18E0000}"/>
    <cellStyle name="Total 2 5 12 2 4" xfId="36698" xr:uid="{00000000-0005-0000-0000-0000C28E0000}"/>
    <cellStyle name="Total 2 5 12 3" xfId="36699" xr:uid="{00000000-0005-0000-0000-0000C38E0000}"/>
    <cellStyle name="Total 2 5 12 3 2" xfId="36700" xr:uid="{00000000-0005-0000-0000-0000C48E0000}"/>
    <cellStyle name="Total 2 5 12 3 3" xfId="36701" xr:uid="{00000000-0005-0000-0000-0000C58E0000}"/>
    <cellStyle name="Total 2 5 12 3 4" xfId="36702" xr:uid="{00000000-0005-0000-0000-0000C68E0000}"/>
    <cellStyle name="Total 2 5 12 4" xfId="36703" xr:uid="{00000000-0005-0000-0000-0000C78E0000}"/>
    <cellStyle name="Total 2 5 12 4 2" xfId="36704" xr:uid="{00000000-0005-0000-0000-0000C88E0000}"/>
    <cellStyle name="Total 2 5 12 4 3" xfId="36705" xr:uid="{00000000-0005-0000-0000-0000C98E0000}"/>
    <cellStyle name="Total 2 5 12 5" xfId="36706" xr:uid="{00000000-0005-0000-0000-0000CA8E0000}"/>
    <cellStyle name="Total 2 5 12 5 2" xfId="36707" xr:uid="{00000000-0005-0000-0000-0000CB8E0000}"/>
    <cellStyle name="Total 2 5 12 5 3" xfId="36708" xr:uid="{00000000-0005-0000-0000-0000CC8E0000}"/>
    <cellStyle name="Total 2 5 12 6" xfId="36709" xr:uid="{00000000-0005-0000-0000-0000CD8E0000}"/>
    <cellStyle name="Total 2 5 12 7" xfId="36710" xr:uid="{00000000-0005-0000-0000-0000CE8E0000}"/>
    <cellStyle name="Total 2 5 13" xfId="36711" xr:uid="{00000000-0005-0000-0000-0000CF8E0000}"/>
    <cellStyle name="Total 2 5 13 2" xfId="36712" xr:uid="{00000000-0005-0000-0000-0000D08E0000}"/>
    <cellStyle name="Total 2 5 13 3" xfId="36713" xr:uid="{00000000-0005-0000-0000-0000D18E0000}"/>
    <cellStyle name="Total 2 5 13 4" xfId="36714" xr:uid="{00000000-0005-0000-0000-0000D28E0000}"/>
    <cellStyle name="Total 2 5 14" xfId="36715" xr:uid="{00000000-0005-0000-0000-0000D38E0000}"/>
    <cellStyle name="Total 2 5 14 2" xfId="36716" xr:uid="{00000000-0005-0000-0000-0000D48E0000}"/>
    <cellStyle name="Total 2 5 14 3" xfId="36717" xr:uid="{00000000-0005-0000-0000-0000D58E0000}"/>
    <cellStyle name="Total 2 5 14 4" xfId="36718" xr:uid="{00000000-0005-0000-0000-0000D68E0000}"/>
    <cellStyle name="Total 2 5 15" xfId="36719" xr:uid="{00000000-0005-0000-0000-0000D78E0000}"/>
    <cellStyle name="Total 2 5 15 2" xfId="36721" xr:uid="{00000000-0005-0000-0000-0000D88E0000}"/>
    <cellStyle name="Total 2 5 15 3" xfId="36722" xr:uid="{00000000-0005-0000-0000-0000D98E0000}"/>
    <cellStyle name="Total 2 5 16" xfId="36723" xr:uid="{00000000-0005-0000-0000-0000DA8E0000}"/>
    <cellStyle name="Total 2 5 16 2" xfId="36724" xr:uid="{00000000-0005-0000-0000-0000DB8E0000}"/>
    <cellStyle name="Total 2 5 16 3" xfId="36725" xr:uid="{00000000-0005-0000-0000-0000DC8E0000}"/>
    <cellStyle name="Total 2 5 17" xfId="36726" xr:uid="{00000000-0005-0000-0000-0000DD8E0000}"/>
    <cellStyle name="Total 2 5 17 2" xfId="36727" xr:uid="{00000000-0005-0000-0000-0000DE8E0000}"/>
    <cellStyle name="Total 2 5 17 2 2" xfId="36728" xr:uid="{00000000-0005-0000-0000-0000DF8E0000}"/>
    <cellStyle name="Total 2 5 18" xfId="36729" xr:uid="{00000000-0005-0000-0000-0000E08E0000}"/>
    <cellStyle name="Total 2 5 19" xfId="36730" xr:uid="{00000000-0005-0000-0000-0000E18E0000}"/>
    <cellStyle name="Total 2 5 2" xfId="36731" xr:uid="{00000000-0005-0000-0000-0000E28E0000}"/>
    <cellStyle name="Total 2 5 2 10" xfId="32597" xr:uid="{00000000-0005-0000-0000-0000E38E0000}"/>
    <cellStyle name="Total 2 5 2 10 2" xfId="36732" xr:uid="{00000000-0005-0000-0000-0000E48E0000}"/>
    <cellStyle name="Total 2 5 2 10 2 2" xfId="36733" xr:uid="{00000000-0005-0000-0000-0000E58E0000}"/>
    <cellStyle name="Total 2 5 2 10 2 3" xfId="36734" xr:uid="{00000000-0005-0000-0000-0000E68E0000}"/>
    <cellStyle name="Total 2 5 2 10 2 4" xfId="36735" xr:uid="{00000000-0005-0000-0000-0000E78E0000}"/>
    <cellStyle name="Total 2 5 2 10 3" xfId="36736" xr:uid="{00000000-0005-0000-0000-0000E88E0000}"/>
    <cellStyle name="Total 2 5 2 10 3 2" xfId="36737" xr:uid="{00000000-0005-0000-0000-0000E98E0000}"/>
    <cellStyle name="Total 2 5 2 10 3 3" xfId="36738" xr:uid="{00000000-0005-0000-0000-0000EA8E0000}"/>
    <cellStyle name="Total 2 5 2 10 3 4" xfId="36739" xr:uid="{00000000-0005-0000-0000-0000EB8E0000}"/>
    <cellStyle name="Total 2 5 2 10 4" xfId="36740" xr:uid="{00000000-0005-0000-0000-0000EC8E0000}"/>
    <cellStyle name="Total 2 5 2 10 4 2" xfId="36741" xr:uid="{00000000-0005-0000-0000-0000ED8E0000}"/>
    <cellStyle name="Total 2 5 2 10 4 3" xfId="36742" xr:uid="{00000000-0005-0000-0000-0000EE8E0000}"/>
    <cellStyle name="Total 2 5 2 10 5" xfId="36743" xr:uid="{00000000-0005-0000-0000-0000EF8E0000}"/>
    <cellStyle name="Total 2 5 2 10 5 2" xfId="36744" xr:uid="{00000000-0005-0000-0000-0000F08E0000}"/>
    <cellStyle name="Total 2 5 2 10 5 3" xfId="36745" xr:uid="{00000000-0005-0000-0000-0000F18E0000}"/>
    <cellStyle name="Total 2 5 2 10 6" xfId="36746" xr:uid="{00000000-0005-0000-0000-0000F28E0000}"/>
    <cellStyle name="Total 2 5 2 10 7" xfId="36747" xr:uid="{00000000-0005-0000-0000-0000F38E0000}"/>
    <cellStyle name="Total 2 5 2 11" xfId="32599" xr:uid="{00000000-0005-0000-0000-0000F48E0000}"/>
    <cellStyle name="Total 2 5 2 11 2" xfId="36748" xr:uid="{00000000-0005-0000-0000-0000F58E0000}"/>
    <cellStyle name="Total 2 5 2 11 3" xfId="36749" xr:uid="{00000000-0005-0000-0000-0000F68E0000}"/>
    <cellStyle name="Total 2 5 2 11 4" xfId="36750" xr:uid="{00000000-0005-0000-0000-0000F78E0000}"/>
    <cellStyle name="Total 2 5 2 12" xfId="36751" xr:uid="{00000000-0005-0000-0000-0000F88E0000}"/>
    <cellStyle name="Total 2 5 2 12 2" xfId="36752" xr:uid="{00000000-0005-0000-0000-0000F98E0000}"/>
    <cellStyle name="Total 2 5 2 12 3" xfId="36753" xr:uid="{00000000-0005-0000-0000-0000FA8E0000}"/>
    <cellStyle name="Total 2 5 2 12 4" xfId="36754" xr:uid="{00000000-0005-0000-0000-0000FB8E0000}"/>
    <cellStyle name="Total 2 5 2 13" xfId="36755" xr:uid="{00000000-0005-0000-0000-0000FC8E0000}"/>
    <cellStyle name="Total 2 5 2 13 2" xfId="36756" xr:uid="{00000000-0005-0000-0000-0000FD8E0000}"/>
    <cellStyle name="Total 2 5 2 13 3" xfId="36757" xr:uid="{00000000-0005-0000-0000-0000FE8E0000}"/>
    <cellStyle name="Total 2 5 2 14" xfId="36758" xr:uid="{00000000-0005-0000-0000-0000FF8E0000}"/>
    <cellStyle name="Total 2 5 2 14 2" xfId="36759" xr:uid="{00000000-0005-0000-0000-0000008F0000}"/>
    <cellStyle name="Total 2 5 2 14 3" xfId="36760" xr:uid="{00000000-0005-0000-0000-0000018F0000}"/>
    <cellStyle name="Total 2 5 2 15" xfId="36761" xr:uid="{00000000-0005-0000-0000-0000028F0000}"/>
    <cellStyle name="Total 2 5 2 16" xfId="36762" xr:uid="{00000000-0005-0000-0000-0000038F0000}"/>
    <cellStyle name="Total 2 5 2 17" xfId="36763" xr:uid="{00000000-0005-0000-0000-0000048F0000}"/>
    <cellStyle name="Total 2 5 2 2" xfId="36764" xr:uid="{00000000-0005-0000-0000-0000058F0000}"/>
    <cellStyle name="Total 2 5 2 2 2" xfId="36765" xr:uid="{00000000-0005-0000-0000-0000068F0000}"/>
    <cellStyle name="Total 2 5 2 2 2 2" xfId="36766" xr:uid="{00000000-0005-0000-0000-0000078F0000}"/>
    <cellStyle name="Total 2 5 2 2 2 2 2" xfId="36767" xr:uid="{00000000-0005-0000-0000-0000088F0000}"/>
    <cellStyle name="Total 2 5 2 2 2 3" xfId="36768" xr:uid="{00000000-0005-0000-0000-0000098F0000}"/>
    <cellStyle name="Total 2 5 2 2 2 4" xfId="36769" xr:uid="{00000000-0005-0000-0000-00000A8F0000}"/>
    <cellStyle name="Total 2 5 2 2 3" xfId="36770" xr:uid="{00000000-0005-0000-0000-00000B8F0000}"/>
    <cellStyle name="Total 2 5 2 2 3 2" xfId="36771" xr:uid="{00000000-0005-0000-0000-00000C8F0000}"/>
    <cellStyle name="Total 2 5 2 2 3 3" xfId="36772" xr:uid="{00000000-0005-0000-0000-00000D8F0000}"/>
    <cellStyle name="Total 2 5 2 2 3 4" xfId="36773" xr:uid="{00000000-0005-0000-0000-00000E8F0000}"/>
    <cellStyle name="Total 2 5 2 2 4" xfId="36774" xr:uid="{00000000-0005-0000-0000-00000F8F0000}"/>
    <cellStyle name="Total 2 5 2 2 4 2" xfId="36775" xr:uid="{00000000-0005-0000-0000-0000108F0000}"/>
    <cellStyle name="Total 2 5 2 2 4 3" xfId="36776" xr:uid="{00000000-0005-0000-0000-0000118F0000}"/>
    <cellStyle name="Total 2 5 2 2 5" xfId="36777" xr:uid="{00000000-0005-0000-0000-0000128F0000}"/>
    <cellStyle name="Total 2 5 2 2 5 2" xfId="36778" xr:uid="{00000000-0005-0000-0000-0000138F0000}"/>
    <cellStyle name="Total 2 5 2 2 5 3" xfId="36779" xr:uid="{00000000-0005-0000-0000-0000148F0000}"/>
    <cellStyle name="Total 2 5 2 2 6" xfId="36780" xr:uid="{00000000-0005-0000-0000-0000158F0000}"/>
    <cellStyle name="Total 2 5 2 2 6 2" xfId="36781" xr:uid="{00000000-0005-0000-0000-0000168F0000}"/>
    <cellStyle name="Total 2 5 2 2 6 2 2" xfId="36782" xr:uid="{00000000-0005-0000-0000-0000178F0000}"/>
    <cellStyle name="Total 2 5 2 2 7" xfId="36783" xr:uid="{00000000-0005-0000-0000-0000188F0000}"/>
    <cellStyle name="Total 2 5 2 3" xfId="20661" xr:uid="{00000000-0005-0000-0000-0000198F0000}"/>
    <cellStyle name="Total 2 5 2 3 2" xfId="36784" xr:uid="{00000000-0005-0000-0000-00001A8F0000}"/>
    <cellStyle name="Total 2 5 2 3 2 2" xfId="36785" xr:uid="{00000000-0005-0000-0000-00001B8F0000}"/>
    <cellStyle name="Total 2 5 2 3 2 3" xfId="36786" xr:uid="{00000000-0005-0000-0000-00001C8F0000}"/>
    <cellStyle name="Total 2 5 2 3 2 4" xfId="36787" xr:uid="{00000000-0005-0000-0000-00001D8F0000}"/>
    <cellStyle name="Total 2 5 2 3 3" xfId="36788" xr:uid="{00000000-0005-0000-0000-00001E8F0000}"/>
    <cellStyle name="Total 2 5 2 3 3 2" xfId="36789" xr:uid="{00000000-0005-0000-0000-00001F8F0000}"/>
    <cellStyle name="Total 2 5 2 3 3 3" xfId="36790" xr:uid="{00000000-0005-0000-0000-0000208F0000}"/>
    <cellStyle name="Total 2 5 2 3 3 4" xfId="36791" xr:uid="{00000000-0005-0000-0000-0000218F0000}"/>
    <cellStyle name="Total 2 5 2 3 4" xfId="36792" xr:uid="{00000000-0005-0000-0000-0000228F0000}"/>
    <cellStyle name="Total 2 5 2 3 4 2" xfId="36793" xr:uid="{00000000-0005-0000-0000-0000238F0000}"/>
    <cellStyle name="Total 2 5 2 3 4 3" xfId="36794" xr:uid="{00000000-0005-0000-0000-0000248F0000}"/>
    <cellStyle name="Total 2 5 2 3 5" xfId="36795" xr:uid="{00000000-0005-0000-0000-0000258F0000}"/>
    <cellStyle name="Total 2 5 2 3 5 2" xfId="36796" xr:uid="{00000000-0005-0000-0000-0000268F0000}"/>
    <cellStyle name="Total 2 5 2 3 5 3" xfId="36797" xr:uid="{00000000-0005-0000-0000-0000278F0000}"/>
    <cellStyle name="Total 2 5 2 3 6" xfId="36798" xr:uid="{00000000-0005-0000-0000-0000288F0000}"/>
    <cellStyle name="Total 2 5 2 3 7" xfId="36799" xr:uid="{00000000-0005-0000-0000-0000298F0000}"/>
    <cellStyle name="Total 2 5 2 4" xfId="21516" xr:uid="{00000000-0005-0000-0000-00002A8F0000}"/>
    <cellStyle name="Total 2 5 2 4 2" xfId="36800" xr:uid="{00000000-0005-0000-0000-00002B8F0000}"/>
    <cellStyle name="Total 2 5 2 4 2 2" xfId="36801" xr:uid="{00000000-0005-0000-0000-00002C8F0000}"/>
    <cellStyle name="Total 2 5 2 4 2 3" xfId="36802" xr:uid="{00000000-0005-0000-0000-00002D8F0000}"/>
    <cellStyle name="Total 2 5 2 4 2 4" xfId="36803" xr:uid="{00000000-0005-0000-0000-00002E8F0000}"/>
    <cellStyle name="Total 2 5 2 4 3" xfId="36804" xr:uid="{00000000-0005-0000-0000-00002F8F0000}"/>
    <cellStyle name="Total 2 5 2 4 3 2" xfId="36805" xr:uid="{00000000-0005-0000-0000-0000308F0000}"/>
    <cellStyle name="Total 2 5 2 4 3 3" xfId="36806" xr:uid="{00000000-0005-0000-0000-0000318F0000}"/>
    <cellStyle name="Total 2 5 2 4 3 4" xfId="36807" xr:uid="{00000000-0005-0000-0000-0000328F0000}"/>
    <cellStyle name="Total 2 5 2 4 4" xfId="36808" xr:uid="{00000000-0005-0000-0000-0000338F0000}"/>
    <cellStyle name="Total 2 5 2 4 4 2" xfId="36809" xr:uid="{00000000-0005-0000-0000-0000348F0000}"/>
    <cellStyle name="Total 2 5 2 4 4 3" xfId="36810" xr:uid="{00000000-0005-0000-0000-0000358F0000}"/>
    <cellStyle name="Total 2 5 2 4 5" xfId="36811" xr:uid="{00000000-0005-0000-0000-0000368F0000}"/>
    <cellStyle name="Total 2 5 2 4 5 2" xfId="36812" xr:uid="{00000000-0005-0000-0000-0000378F0000}"/>
    <cellStyle name="Total 2 5 2 4 5 3" xfId="36813" xr:uid="{00000000-0005-0000-0000-0000388F0000}"/>
    <cellStyle name="Total 2 5 2 4 6" xfId="36814" xr:uid="{00000000-0005-0000-0000-0000398F0000}"/>
    <cellStyle name="Total 2 5 2 4 7" xfId="36815" xr:uid="{00000000-0005-0000-0000-00003A8F0000}"/>
    <cellStyle name="Total 2 5 2 5" xfId="8838" xr:uid="{00000000-0005-0000-0000-00003B8F0000}"/>
    <cellStyle name="Total 2 5 2 5 2" xfId="8841" xr:uid="{00000000-0005-0000-0000-00003C8F0000}"/>
    <cellStyle name="Total 2 5 2 5 2 2" xfId="8844" xr:uid="{00000000-0005-0000-0000-00003D8F0000}"/>
    <cellStyle name="Total 2 5 2 5 2 3" xfId="8850" xr:uid="{00000000-0005-0000-0000-00003E8F0000}"/>
    <cellStyle name="Total 2 5 2 5 2 4" xfId="36816" xr:uid="{00000000-0005-0000-0000-00003F8F0000}"/>
    <cellStyle name="Total 2 5 2 5 3" xfId="8852" xr:uid="{00000000-0005-0000-0000-0000408F0000}"/>
    <cellStyle name="Total 2 5 2 5 3 2" xfId="36817" xr:uid="{00000000-0005-0000-0000-0000418F0000}"/>
    <cellStyle name="Total 2 5 2 5 3 3" xfId="36818" xr:uid="{00000000-0005-0000-0000-0000428F0000}"/>
    <cellStyle name="Total 2 5 2 5 3 4" xfId="36819" xr:uid="{00000000-0005-0000-0000-0000438F0000}"/>
    <cellStyle name="Total 2 5 2 5 4" xfId="36820" xr:uid="{00000000-0005-0000-0000-0000448F0000}"/>
    <cellStyle name="Total 2 5 2 5 4 2" xfId="36821" xr:uid="{00000000-0005-0000-0000-0000458F0000}"/>
    <cellStyle name="Total 2 5 2 5 4 3" xfId="36822" xr:uid="{00000000-0005-0000-0000-0000468F0000}"/>
    <cellStyle name="Total 2 5 2 5 5" xfId="36823" xr:uid="{00000000-0005-0000-0000-0000478F0000}"/>
    <cellStyle name="Total 2 5 2 5 5 2" xfId="36824" xr:uid="{00000000-0005-0000-0000-0000488F0000}"/>
    <cellStyle name="Total 2 5 2 5 5 3" xfId="36825" xr:uid="{00000000-0005-0000-0000-0000498F0000}"/>
    <cellStyle name="Total 2 5 2 5 6" xfId="36826" xr:uid="{00000000-0005-0000-0000-00004A8F0000}"/>
    <cellStyle name="Total 2 5 2 5 7" xfId="36827" xr:uid="{00000000-0005-0000-0000-00004B8F0000}"/>
    <cellStyle name="Total 2 5 2 6" xfId="36828" xr:uid="{00000000-0005-0000-0000-00004C8F0000}"/>
    <cellStyle name="Total 2 5 2 6 2" xfId="36829" xr:uid="{00000000-0005-0000-0000-00004D8F0000}"/>
    <cellStyle name="Total 2 5 2 6 2 2" xfId="36830" xr:uid="{00000000-0005-0000-0000-00004E8F0000}"/>
    <cellStyle name="Total 2 5 2 6 2 3" xfId="36831" xr:uid="{00000000-0005-0000-0000-00004F8F0000}"/>
    <cellStyle name="Total 2 5 2 6 2 4" xfId="36832" xr:uid="{00000000-0005-0000-0000-0000508F0000}"/>
    <cellStyle name="Total 2 5 2 6 3" xfId="36833" xr:uid="{00000000-0005-0000-0000-0000518F0000}"/>
    <cellStyle name="Total 2 5 2 6 3 2" xfId="36834" xr:uid="{00000000-0005-0000-0000-0000528F0000}"/>
    <cellStyle name="Total 2 5 2 6 3 3" xfId="36835" xr:uid="{00000000-0005-0000-0000-0000538F0000}"/>
    <cellStyle name="Total 2 5 2 6 3 4" xfId="36836" xr:uid="{00000000-0005-0000-0000-0000548F0000}"/>
    <cellStyle name="Total 2 5 2 6 4" xfId="36837" xr:uid="{00000000-0005-0000-0000-0000558F0000}"/>
    <cellStyle name="Total 2 5 2 6 4 2" xfId="36838" xr:uid="{00000000-0005-0000-0000-0000568F0000}"/>
    <cellStyle name="Total 2 5 2 6 4 3" xfId="36839" xr:uid="{00000000-0005-0000-0000-0000578F0000}"/>
    <cellStyle name="Total 2 5 2 6 5" xfId="36840" xr:uid="{00000000-0005-0000-0000-0000588F0000}"/>
    <cellStyle name="Total 2 5 2 6 5 2" xfId="24031" xr:uid="{00000000-0005-0000-0000-0000598F0000}"/>
    <cellStyle name="Total 2 5 2 6 5 3" xfId="14399" xr:uid="{00000000-0005-0000-0000-00005A8F0000}"/>
    <cellStyle name="Total 2 5 2 6 6" xfId="36841" xr:uid="{00000000-0005-0000-0000-00005B8F0000}"/>
    <cellStyle name="Total 2 5 2 6 7" xfId="36842" xr:uid="{00000000-0005-0000-0000-00005C8F0000}"/>
    <cellStyle name="Total 2 5 2 7" xfId="36843" xr:uid="{00000000-0005-0000-0000-00005D8F0000}"/>
    <cellStyle name="Total 2 5 2 7 2" xfId="36844" xr:uid="{00000000-0005-0000-0000-00005E8F0000}"/>
    <cellStyle name="Total 2 5 2 7 2 2" xfId="36845" xr:uid="{00000000-0005-0000-0000-00005F8F0000}"/>
    <cellStyle name="Total 2 5 2 7 2 3" xfId="36846" xr:uid="{00000000-0005-0000-0000-0000608F0000}"/>
    <cellStyle name="Total 2 5 2 7 2 4" xfId="36847" xr:uid="{00000000-0005-0000-0000-0000618F0000}"/>
    <cellStyle name="Total 2 5 2 7 3" xfId="36848" xr:uid="{00000000-0005-0000-0000-0000628F0000}"/>
    <cellStyle name="Total 2 5 2 7 3 2" xfId="36849" xr:uid="{00000000-0005-0000-0000-0000638F0000}"/>
    <cellStyle name="Total 2 5 2 7 3 3" xfId="36850" xr:uid="{00000000-0005-0000-0000-0000648F0000}"/>
    <cellStyle name="Total 2 5 2 7 3 4" xfId="36851" xr:uid="{00000000-0005-0000-0000-0000658F0000}"/>
    <cellStyle name="Total 2 5 2 7 4" xfId="36852" xr:uid="{00000000-0005-0000-0000-0000668F0000}"/>
    <cellStyle name="Total 2 5 2 7 4 2" xfId="36853" xr:uid="{00000000-0005-0000-0000-0000678F0000}"/>
    <cellStyle name="Total 2 5 2 7 4 3" xfId="36854" xr:uid="{00000000-0005-0000-0000-0000688F0000}"/>
    <cellStyle name="Total 2 5 2 7 5" xfId="36855" xr:uid="{00000000-0005-0000-0000-0000698F0000}"/>
    <cellStyle name="Total 2 5 2 7 5 2" xfId="36856" xr:uid="{00000000-0005-0000-0000-00006A8F0000}"/>
    <cellStyle name="Total 2 5 2 7 5 3" xfId="36857" xr:uid="{00000000-0005-0000-0000-00006B8F0000}"/>
    <cellStyle name="Total 2 5 2 7 6" xfId="36858" xr:uid="{00000000-0005-0000-0000-00006C8F0000}"/>
    <cellStyle name="Total 2 5 2 7 7" xfId="36859" xr:uid="{00000000-0005-0000-0000-00006D8F0000}"/>
    <cellStyle name="Total 2 5 2 8" xfId="36860" xr:uid="{00000000-0005-0000-0000-00006E8F0000}"/>
    <cellStyle name="Total 2 5 2 8 2" xfId="36861" xr:uid="{00000000-0005-0000-0000-00006F8F0000}"/>
    <cellStyle name="Total 2 5 2 8 2 2" xfId="36862" xr:uid="{00000000-0005-0000-0000-0000708F0000}"/>
    <cellStyle name="Total 2 5 2 8 2 3" xfId="36863" xr:uid="{00000000-0005-0000-0000-0000718F0000}"/>
    <cellStyle name="Total 2 5 2 8 2 4" xfId="36864" xr:uid="{00000000-0005-0000-0000-0000728F0000}"/>
    <cellStyle name="Total 2 5 2 8 3" xfId="36865" xr:uid="{00000000-0005-0000-0000-0000738F0000}"/>
    <cellStyle name="Total 2 5 2 8 3 2" xfId="36866" xr:uid="{00000000-0005-0000-0000-0000748F0000}"/>
    <cellStyle name="Total 2 5 2 8 3 3" xfId="36867" xr:uid="{00000000-0005-0000-0000-0000758F0000}"/>
    <cellStyle name="Total 2 5 2 8 3 4" xfId="36868" xr:uid="{00000000-0005-0000-0000-0000768F0000}"/>
    <cellStyle name="Total 2 5 2 8 4" xfId="36869" xr:uid="{00000000-0005-0000-0000-0000778F0000}"/>
    <cellStyle name="Total 2 5 2 8 4 2" xfId="36870" xr:uid="{00000000-0005-0000-0000-0000788F0000}"/>
    <cellStyle name="Total 2 5 2 8 4 3" xfId="36871" xr:uid="{00000000-0005-0000-0000-0000798F0000}"/>
    <cellStyle name="Total 2 5 2 8 5" xfId="36872" xr:uid="{00000000-0005-0000-0000-00007A8F0000}"/>
    <cellStyle name="Total 2 5 2 8 5 2" xfId="36873" xr:uid="{00000000-0005-0000-0000-00007B8F0000}"/>
    <cellStyle name="Total 2 5 2 8 5 3" xfId="36874" xr:uid="{00000000-0005-0000-0000-00007C8F0000}"/>
    <cellStyle name="Total 2 5 2 8 6" xfId="36875" xr:uid="{00000000-0005-0000-0000-00007D8F0000}"/>
    <cellStyle name="Total 2 5 2 8 7" xfId="36876" xr:uid="{00000000-0005-0000-0000-00007E8F0000}"/>
    <cellStyle name="Total 2 5 2 9" xfId="36877" xr:uid="{00000000-0005-0000-0000-00007F8F0000}"/>
    <cellStyle name="Total 2 5 2 9 2" xfId="36878" xr:uid="{00000000-0005-0000-0000-0000808F0000}"/>
    <cellStyle name="Total 2 5 2 9 2 2" xfId="36879" xr:uid="{00000000-0005-0000-0000-0000818F0000}"/>
    <cellStyle name="Total 2 5 2 9 2 3" xfId="36880" xr:uid="{00000000-0005-0000-0000-0000828F0000}"/>
    <cellStyle name="Total 2 5 2 9 2 4" xfId="36881" xr:uid="{00000000-0005-0000-0000-0000838F0000}"/>
    <cellStyle name="Total 2 5 2 9 3" xfId="36882" xr:uid="{00000000-0005-0000-0000-0000848F0000}"/>
    <cellStyle name="Total 2 5 2 9 3 2" xfId="36883" xr:uid="{00000000-0005-0000-0000-0000858F0000}"/>
    <cellStyle name="Total 2 5 2 9 3 3" xfId="36884" xr:uid="{00000000-0005-0000-0000-0000868F0000}"/>
    <cellStyle name="Total 2 5 2 9 3 4" xfId="36885" xr:uid="{00000000-0005-0000-0000-0000878F0000}"/>
    <cellStyle name="Total 2 5 2 9 4" xfId="36886" xr:uid="{00000000-0005-0000-0000-0000888F0000}"/>
    <cellStyle name="Total 2 5 2 9 4 2" xfId="36887" xr:uid="{00000000-0005-0000-0000-0000898F0000}"/>
    <cellStyle name="Total 2 5 2 9 4 3" xfId="36888" xr:uid="{00000000-0005-0000-0000-00008A8F0000}"/>
    <cellStyle name="Total 2 5 2 9 5" xfId="36889" xr:uid="{00000000-0005-0000-0000-00008B8F0000}"/>
    <cellStyle name="Total 2 5 2 9 5 2" xfId="36890" xr:uid="{00000000-0005-0000-0000-00008C8F0000}"/>
    <cellStyle name="Total 2 5 2 9 5 3" xfId="36891" xr:uid="{00000000-0005-0000-0000-00008D8F0000}"/>
    <cellStyle name="Total 2 5 2 9 6" xfId="36892" xr:uid="{00000000-0005-0000-0000-00008E8F0000}"/>
    <cellStyle name="Total 2 5 2 9 7" xfId="36893" xr:uid="{00000000-0005-0000-0000-00008F8F0000}"/>
    <cellStyle name="Total 2 5 20" xfId="36720" xr:uid="{00000000-0005-0000-0000-0000908F0000}"/>
    <cellStyle name="Total 2 5 3" xfId="36894" xr:uid="{00000000-0005-0000-0000-0000918F0000}"/>
    <cellStyle name="Total 2 5 3 10" xfId="36895" xr:uid="{00000000-0005-0000-0000-0000928F0000}"/>
    <cellStyle name="Total 2 5 3 10 2" xfId="36896" xr:uid="{00000000-0005-0000-0000-0000938F0000}"/>
    <cellStyle name="Total 2 5 3 10 2 2" xfId="36897" xr:uid="{00000000-0005-0000-0000-0000948F0000}"/>
    <cellStyle name="Total 2 5 3 10 2 3" xfId="36898" xr:uid="{00000000-0005-0000-0000-0000958F0000}"/>
    <cellStyle name="Total 2 5 3 10 2 4" xfId="12259" xr:uid="{00000000-0005-0000-0000-0000968F0000}"/>
    <cellStyle name="Total 2 5 3 10 3" xfId="36899" xr:uid="{00000000-0005-0000-0000-0000978F0000}"/>
    <cellStyle name="Total 2 5 3 10 3 2" xfId="36900" xr:uid="{00000000-0005-0000-0000-0000988F0000}"/>
    <cellStyle name="Total 2 5 3 10 3 3" xfId="36901" xr:uid="{00000000-0005-0000-0000-0000998F0000}"/>
    <cellStyle name="Total 2 5 3 10 3 4" xfId="12265" xr:uid="{00000000-0005-0000-0000-00009A8F0000}"/>
    <cellStyle name="Total 2 5 3 10 4" xfId="36902" xr:uid="{00000000-0005-0000-0000-00009B8F0000}"/>
    <cellStyle name="Total 2 5 3 10 4 2" xfId="36903" xr:uid="{00000000-0005-0000-0000-00009C8F0000}"/>
    <cellStyle name="Total 2 5 3 10 4 3" xfId="36904" xr:uid="{00000000-0005-0000-0000-00009D8F0000}"/>
    <cellStyle name="Total 2 5 3 10 5" xfId="36905" xr:uid="{00000000-0005-0000-0000-00009E8F0000}"/>
    <cellStyle name="Total 2 5 3 10 5 2" xfId="36906" xr:uid="{00000000-0005-0000-0000-00009F8F0000}"/>
    <cellStyle name="Total 2 5 3 10 5 3" xfId="36907" xr:uid="{00000000-0005-0000-0000-0000A08F0000}"/>
    <cellStyle name="Total 2 5 3 10 6" xfId="36908" xr:uid="{00000000-0005-0000-0000-0000A18F0000}"/>
    <cellStyle name="Total 2 5 3 10 7" xfId="36909" xr:uid="{00000000-0005-0000-0000-0000A28F0000}"/>
    <cellStyle name="Total 2 5 3 11" xfId="36910" xr:uid="{00000000-0005-0000-0000-0000A38F0000}"/>
    <cellStyle name="Total 2 5 3 11 2" xfId="36911" xr:uid="{00000000-0005-0000-0000-0000A48F0000}"/>
    <cellStyle name="Total 2 5 3 11 3" xfId="36912" xr:uid="{00000000-0005-0000-0000-0000A58F0000}"/>
    <cellStyle name="Total 2 5 3 11 4" xfId="36913" xr:uid="{00000000-0005-0000-0000-0000A68F0000}"/>
    <cellStyle name="Total 2 5 3 12" xfId="36914" xr:uid="{00000000-0005-0000-0000-0000A78F0000}"/>
    <cellStyle name="Total 2 5 3 12 2" xfId="36915" xr:uid="{00000000-0005-0000-0000-0000A88F0000}"/>
    <cellStyle name="Total 2 5 3 12 3" xfId="36916" xr:uid="{00000000-0005-0000-0000-0000A98F0000}"/>
    <cellStyle name="Total 2 5 3 12 4" xfId="36917" xr:uid="{00000000-0005-0000-0000-0000AA8F0000}"/>
    <cellStyle name="Total 2 5 3 13" xfId="36918" xr:uid="{00000000-0005-0000-0000-0000AB8F0000}"/>
    <cellStyle name="Total 2 5 3 13 2" xfId="36919" xr:uid="{00000000-0005-0000-0000-0000AC8F0000}"/>
    <cellStyle name="Total 2 5 3 13 3" xfId="36920" xr:uid="{00000000-0005-0000-0000-0000AD8F0000}"/>
    <cellStyle name="Total 2 5 3 14" xfId="36921" xr:uid="{00000000-0005-0000-0000-0000AE8F0000}"/>
    <cellStyle name="Total 2 5 3 14 2" xfId="36922" xr:uid="{00000000-0005-0000-0000-0000AF8F0000}"/>
    <cellStyle name="Total 2 5 3 14 3" xfId="36924" xr:uid="{00000000-0005-0000-0000-0000B08F0000}"/>
    <cellStyle name="Total 2 5 3 15" xfId="36925" xr:uid="{00000000-0005-0000-0000-0000B18F0000}"/>
    <cellStyle name="Total 2 5 3 16" xfId="36926" xr:uid="{00000000-0005-0000-0000-0000B28F0000}"/>
    <cellStyle name="Total 2 5 3 2" xfId="36927" xr:uid="{00000000-0005-0000-0000-0000B38F0000}"/>
    <cellStyle name="Total 2 5 3 2 2" xfId="36928" xr:uid="{00000000-0005-0000-0000-0000B48F0000}"/>
    <cellStyle name="Total 2 5 3 2 2 2" xfId="36929" xr:uid="{00000000-0005-0000-0000-0000B58F0000}"/>
    <cellStyle name="Total 2 5 3 2 2 3" xfId="36930" xr:uid="{00000000-0005-0000-0000-0000B68F0000}"/>
    <cellStyle name="Total 2 5 3 2 2 4" xfId="36931" xr:uid="{00000000-0005-0000-0000-0000B78F0000}"/>
    <cellStyle name="Total 2 5 3 2 3" xfId="36932" xr:uid="{00000000-0005-0000-0000-0000B88F0000}"/>
    <cellStyle name="Total 2 5 3 2 3 2" xfId="36933" xr:uid="{00000000-0005-0000-0000-0000B98F0000}"/>
    <cellStyle name="Total 2 5 3 2 3 3" xfId="36934" xr:uid="{00000000-0005-0000-0000-0000BA8F0000}"/>
    <cellStyle name="Total 2 5 3 2 3 4" xfId="36935" xr:uid="{00000000-0005-0000-0000-0000BB8F0000}"/>
    <cellStyle name="Total 2 5 3 2 4" xfId="36936" xr:uid="{00000000-0005-0000-0000-0000BC8F0000}"/>
    <cellStyle name="Total 2 5 3 2 4 2" xfId="36937" xr:uid="{00000000-0005-0000-0000-0000BD8F0000}"/>
    <cellStyle name="Total 2 5 3 2 4 3" xfId="36938" xr:uid="{00000000-0005-0000-0000-0000BE8F0000}"/>
    <cellStyle name="Total 2 5 3 2 5" xfId="36939" xr:uid="{00000000-0005-0000-0000-0000BF8F0000}"/>
    <cellStyle name="Total 2 5 3 2 5 2" xfId="36940" xr:uid="{00000000-0005-0000-0000-0000C08F0000}"/>
    <cellStyle name="Total 2 5 3 2 5 3" xfId="36941" xr:uid="{00000000-0005-0000-0000-0000C18F0000}"/>
    <cellStyle name="Total 2 5 3 2 6" xfId="36942" xr:uid="{00000000-0005-0000-0000-0000C28F0000}"/>
    <cellStyle name="Total 2 5 3 2 7" xfId="36943" xr:uid="{00000000-0005-0000-0000-0000C38F0000}"/>
    <cellStyle name="Total 2 5 3 3" xfId="20669" xr:uid="{00000000-0005-0000-0000-0000C48F0000}"/>
    <cellStyle name="Total 2 5 3 3 2" xfId="36944" xr:uid="{00000000-0005-0000-0000-0000C58F0000}"/>
    <cellStyle name="Total 2 5 3 3 2 2" xfId="36945" xr:uid="{00000000-0005-0000-0000-0000C68F0000}"/>
    <cellStyle name="Total 2 5 3 3 2 3" xfId="36946" xr:uid="{00000000-0005-0000-0000-0000C78F0000}"/>
    <cellStyle name="Total 2 5 3 3 2 4" xfId="36947" xr:uid="{00000000-0005-0000-0000-0000C88F0000}"/>
    <cellStyle name="Total 2 5 3 3 3" xfId="36948" xr:uid="{00000000-0005-0000-0000-0000C98F0000}"/>
    <cellStyle name="Total 2 5 3 3 3 2" xfId="36949" xr:uid="{00000000-0005-0000-0000-0000CA8F0000}"/>
    <cellStyle name="Total 2 5 3 3 3 3" xfId="36950" xr:uid="{00000000-0005-0000-0000-0000CB8F0000}"/>
    <cellStyle name="Total 2 5 3 3 3 4" xfId="36951" xr:uid="{00000000-0005-0000-0000-0000CC8F0000}"/>
    <cellStyle name="Total 2 5 3 3 4" xfId="36952" xr:uid="{00000000-0005-0000-0000-0000CD8F0000}"/>
    <cellStyle name="Total 2 5 3 3 4 2" xfId="36953" xr:uid="{00000000-0005-0000-0000-0000CE8F0000}"/>
    <cellStyle name="Total 2 5 3 3 4 3" xfId="36954" xr:uid="{00000000-0005-0000-0000-0000CF8F0000}"/>
    <cellStyle name="Total 2 5 3 3 5" xfId="36955" xr:uid="{00000000-0005-0000-0000-0000D08F0000}"/>
    <cellStyle name="Total 2 5 3 3 5 2" xfId="36956" xr:uid="{00000000-0005-0000-0000-0000D18F0000}"/>
    <cellStyle name="Total 2 5 3 3 5 3" xfId="36957" xr:uid="{00000000-0005-0000-0000-0000D28F0000}"/>
    <cellStyle name="Total 2 5 3 3 6" xfId="36958" xr:uid="{00000000-0005-0000-0000-0000D38F0000}"/>
    <cellStyle name="Total 2 5 3 3 7" xfId="36959" xr:uid="{00000000-0005-0000-0000-0000D48F0000}"/>
    <cellStyle name="Total 2 5 3 4" xfId="21521" xr:uid="{00000000-0005-0000-0000-0000D58F0000}"/>
    <cellStyle name="Total 2 5 3 4 2" xfId="36960" xr:uid="{00000000-0005-0000-0000-0000D68F0000}"/>
    <cellStyle name="Total 2 5 3 4 2 2" xfId="36961" xr:uid="{00000000-0005-0000-0000-0000D78F0000}"/>
    <cellStyle name="Total 2 5 3 4 2 3" xfId="36962" xr:uid="{00000000-0005-0000-0000-0000D88F0000}"/>
    <cellStyle name="Total 2 5 3 4 2 4" xfId="36963" xr:uid="{00000000-0005-0000-0000-0000D98F0000}"/>
    <cellStyle name="Total 2 5 3 4 3" xfId="36964" xr:uid="{00000000-0005-0000-0000-0000DA8F0000}"/>
    <cellStyle name="Total 2 5 3 4 3 2" xfId="36965" xr:uid="{00000000-0005-0000-0000-0000DB8F0000}"/>
    <cellStyle name="Total 2 5 3 4 3 3" xfId="36966" xr:uid="{00000000-0005-0000-0000-0000DC8F0000}"/>
    <cellStyle name="Total 2 5 3 4 3 4" xfId="36967" xr:uid="{00000000-0005-0000-0000-0000DD8F0000}"/>
    <cellStyle name="Total 2 5 3 4 4" xfId="36968" xr:uid="{00000000-0005-0000-0000-0000DE8F0000}"/>
    <cellStyle name="Total 2 5 3 4 4 2" xfId="36969" xr:uid="{00000000-0005-0000-0000-0000DF8F0000}"/>
    <cellStyle name="Total 2 5 3 4 4 3" xfId="36970" xr:uid="{00000000-0005-0000-0000-0000E08F0000}"/>
    <cellStyle name="Total 2 5 3 4 5" xfId="36971" xr:uid="{00000000-0005-0000-0000-0000E18F0000}"/>
    <cellStyle name="Total 2 5 3 4 5 2" xfId="36972" xr:uid="{00000000-0005-0000-0000-0000E28F0000}"/>
    <cellStyle name="Total 2 5 3 4 5 3" xfId="36973" xr:uid="{00000000-0005-0000-0000-0000E38F0000}"/>
    <cellStyle name="Total 2 5 3 4 6" xfId="36974" xr:uid="{00000000-0005-0000-0000-0000E48F0000}"/>
    <cellStyle name="Total 2 5 3 4 7" xfId="36975" xr:uid="{00000000-0005-0000-0000-0000E58F0000}"/>
    <cellStyle name="Total 2 5 3 5" xfId="8857" xr:uid="{00000000-0005-0000-0000-0000E68F0000}"/>
    <cellStyle name="Total 2 5 3 5 2" xfId="8859" xr:uid="{00000000-0005-0000-0000-0000E78F0000}"/>
    <cellStyle name="Total 2 5 3 5 2 2" xfId="36976" xr:uid="{00000000-0005-0000-0000-0000E88F0000}"/>
    <cellStyle name="Total 2 5 3 5 2 3" xfId="36977" xr:uid="{00000000-0005-0000-0000-0000E98F0000}"/>
    <cellStyle name="Total 2 5 3 5 2 4" xfId="36978" xr:uid="{00000000-0005-0000-0000-0000EA8F0000}"/>
    <cellStyle name="Total 2 5 3 5 3" xfId="36979" xr:uid="{00000000-0005-0000-0000-0000EB8F0000}"/>
    <cellStyle name="Total 2 5 3 5 3 2" xfId="36980" xr:uid="{00000000-0005-0000-0000-0000EC8F0000}"/>
    <cellStyle name="Total 2 5 3 5 3 3" xfId="36981" xr:uid="{00000000-0005-0000-0000-0000ED8F0000}"/>
    <cellStyle name="Total 2 5 3 5 3 4" xfId="36982" xr:uid="{00000000-0005-0000-0000-0000EE8F0000}"/>
    <cellStyle name="Total 2 5 3 5 4" xfId="36983" xr:uid="{00000000-0005-0000-0000-0000EF8F0000}"/>
    <cellStyle name="Total 2 5 3 5 4 2" xfId="36984" xr:uid="{00000000-0005-0000-0000-0000F08F0000}"/>
    <cellStyle name="Total 2 5 3 5 4 3" xfId="36985" xr:uid="{00000000-0005-0000-0000-0000F18F0000}"/>
    <cellStyle name="Total 2 5 3 5 5" xfId="36986" xr:uid="{00000000-0005-0000-0000-0000F28F0000}"/>
    <cellStyle name="Total 2 5 3 5 5 2" xfId="36987" xr:uid="{00000000-0005-0000-0000-0000F38F0000}"/>
    <cellStyle name="Total 2 5 3 5 5 3" xfId="36988" xr:uid="{00000000-0005-0000-0000-0000F48F0000}"/>
    <cellStyle name="Total 2 5 3 5 6" xfId="36989" xr:uid="{00000000-0005-0000-0000-0000F58F0000}"/>
    <cellStyle name="Total 2 5 3 5 7" xfId="36990" xr:uid="{00000000-0005-0000-0000-0000F68F0000}"/>
    <cellStyle name="Total 2 5 3 6" xfId="36991" xr:uid="{00000000-0005-0000-0000-0000F78F0000}"/>
    <cellStyle name="Total 2 5 3 6 2" xfId="36992" xr:uid="{00000000-0005-0000-0000-0000F88F0000}"/>
    <cellStyle name="Total 2 5 3 6 2 2" xfId="36993" xr:uid="{00000000-0005-0000-0000-0000F98F0000}"/>
    <cellStyle name="Total 2 5 3 6 2 3" xfId="36994" xr:uid="{00000000-0005-0000-0000-0000FA8F0000}"/>
    <cellStyle name="Total 2 5 3 6 2 4" xfId="36995" xr:uid="{00000000-0005-0000-0000-0000FB8F0000}"/>
    <cellStyle name="Total 2 5 3 6 3" xfId="36996" xr:uid="{00000000-0005-0000-0000-0000FC8F0000}"/>
    <cellStyle name="Total 2 5 3 6 3 2" xfId="36997" xr:uid="{00000000-0005-0000-0000-0000FD8F0000}"/>
    <cellStyle name="Total 2 5 3 6 3 3" xfId="36998" xr:uid="{00000000-0005-0000-0000-0000FE8F0000}"/>
    <cellStyle name="Total 2 5 3 6 3 4" xfId="36999" xr:uid="{00000000-0005-0000-0000-0000FF8F0000}"/>
    <cellStyle name="Total 2 5 3 6 4" xfId="37000" xr:uid="{00000000-0005-0000-0000-000000900000}"/>
    <cellStyle name="Total 2 5 3 6 4 2" xfId="37001" xr:uid="{00000000-0005-0000-0000-000001900000}"/>
    <cellStyle name="Total 2 5 3 6 4 3" xfId="37002" xr:uid="{00000000-0005-0000-0000-000002900000}"/>
    <cellStyle name="Total 2 5 3 6 5" xfId="37003" xr:uid="{00000000-0005-0000-0000-000003900000}"/>
    <cellStyle name="Total 2 5 3 6 5 2" xfId="37004" xr:uid="{00000000-0005-0000-0000-000004900000}"/>
    <cellStyle name="Total 2 5 3 6 5 3" xfId="37005" xr:uid="{00000000-0005-0000-0000-000005900000}"/>
    <cellStyle name="Total 2 5 3 6 6" xfId="37006" xr:uid="{00000000-0005-0000-0000-000006900000}"/>
    <cellStyle name="Total 2 5 3 6 7" xfId="37007" xr:uid="{00000000-0005-0000-0000-000007900000}"/>
    <cellStyle name="Total 2 5 3 7" xfId="37008" xr:uid="{00000000-0005-0000-0000-000008900000}"/>
    <cellStyle name="Total 2 5 3 7 2" xfId="37009" xr:uid="{00000000-0005-0000-0000-000009900000}"/>
    <cellStyle name="Total 2 5 3 7 2 2" xfId="37010" xr:uid="{00000000-0005-0000-0000-00000A900000}"/>
    <cellStyle name="Total 2 5 3 7 2 3" xfId="37011" xr:uid="{00000000-0005-0000-0000-00000B900000}"/>
    <cellStyle name="Total 2 5 3 7 2 4" xfId="37012" xr:uid="{00000000-0005-0000-0000-00000C900000}"/>
    <cellStyle name="Total 2 5 3 7 3" xfId="37013" xr:uid="{00000000-0005-0000-0000-00000D900000}"/>
    <cellStyle name="Total 2 5 3 7 3 2" xfId="37014" xr:uid="{00000000-0005-0000-0000-00000E900000}"/>
    <cellStyle name="Total 2 5 3 7 3 3" xfId="37015" xr:uid="{00000000-0005-0000-0000-00000F900000}"/>
    <cellStyle name="Total 2 5 3 7 3 4" xfId="37016" xr:uid="{00000000-0005-0000-0000-000010900000}"/>
    <cellStyle name="Total 2 5 3 7 4" xfId="37017" xr:uid="{00000000-0005-0000-0000-000011900000}"/>
    <cellStyle name="Total 2 5 3 7 4 2" xfId="37018" xr:uid="{00000000-0005-0000-0000-000012900000}"/>
    <cellStyle name="Total 2 5 3 7 4 3" xfId="37019" xr:uid="{00000000-0005-0000-0000-000013900000}"/>
    <cellStyle name="Total 2 5 3 7 5" xfId="37020" xr:uid="{00000000-0005-0000-0000-000014900000}"/>
    <cellStyle name="Total 2 5 3 7 5 2" xfId="37021" xr:uid="{00000000-0005-0000-0000-000015900000}"/>
    <cellStyle name="Total 2 5 3 7 5 3" xfId="37022" xr:uid="{00000000-0005-0000-0000-000016900000}"/>
    <cellStyle name="Total 2 5 3 7 6" xfId="37023" xr:uid="{00000000-0005-0000-0000-000017900000}"/>
    <cellStyle name="Total 2 5 3 7 7" xfId="37024" xr:uid="{00000000-0005-0000-0000-000018900000}"/>
    <cellStyle name="Total 2 5 3 8" xfId="37025" xr:uid="{00000000-0005-0000-0000-000019900000}"/>
    <cellStyle name="Total 2 5 3 8 2" xfId="37026" xr:uid="{00000000-0005-0000-0000-00001A900000}"/>
    <cellStyle name="Total 2 5 3 8 2 2" xfId="37027" xr:uid="{00000000-0005-0000-0000-00001B900000}"/>
    <cellStyle name="Total 2 5 3 8 2 3" xfId="37028" xr:uid="{00000000-0005-0000-0000-00001C900000}"/>
    <cellStyle name="Total 2 5 3 8 2 4" xfId="37029" xr:uid="{00000000-0005-0000-0000-00001D900000}"/>
    <cellStyle name="Total 2 5 3 8 3" xfId="37030" xr:uid="{00000000-0005-0000-0000-00001E900000}"/>
    <cellStyle name="Total 2 5 3 8 3 2" xfId="37031" xr:uid="{00000000-0005-0000-0000-00001F900000}"/>
    <cellStyle name="Total 2 5 3 8 3 3" xfId="37032" xr:uid="{00000000-0005-0000-0000-000020900000}"/>
    <cellStyle name="Total 2 5 3 8 3 4" xfId="37033" xr:uid="{00000000-0005-0000-0000-000021900000}"/>
    <cellStyle name="Total 2 5 3 8 4" xfId="37034" xr:uid="{00000000-0005-0000-0000-000022900000}"/>
    <cellStyle name="Total 2 5 3 8 4 2" xfId="37035" xr:uid="{00000000-0005-0000-0000-000023900000}"/>
    <cellStyle name="Total 2 5 3 8 4 3" xfId="37036" xr:uid="{00000000-0005-0000-0000-000024900000}"/>
    <cellStyle name="Total 2 5 3 8 5" xfId="37037" xr:uid="{00000000-0005-0000-0000-000025900000}"/>
    <cellStyle name="Total 2 5 3 8 5 2" xfId="37038" xr:uid="{00000000-0005-0000-0000-000026900000}"/>
    <cellStyle name="Total 2 5 3 8 5 3" xfId="37039" xr:uid="{00000000-0005-0000-0000-000027900000}"/>
    <cellStyle name="Total 2 5 3 8 6" xfId="37040" xr:uid="{00000000-0005-0000-0000-000028900000}"/>
    <cellStyle name="Total 2 5 3 8 7" xfId="37041" xr:uid="{00000000-0005-0000-0000-000029900000}"/>
    <cellStyle name="Total 2 5 3 9" xfId="37042" xr:uid="{00000000-0005-0000-0000-00002A900000}"/>
    <cellStyle name="Total 2 5 3 9 2" xfId="37043" xr:uid="{00000000-0005-0000-0000-00002B900000}"/>
    <cellStyle name="Total 2 5 3 9 2 2" xfId="37044" xr:uid="{00000000-0005-0000-0000-00002C900000}"/>
    <cellStyle name="Total 2 5 3 9 2 3" xfId="37045" xr:uid="{00000000-0005-0000-0000-00002D900000}"/>
    <cellStyle name="Total 2 5 3 9 2 4" xfId="37046" xr:uid="{00000000-0005-0000-0000-00002E900000}"/>
    <cellStyle name="Total 2 5 3 9 3" xfId="37047" xr:uid="{00000000-0005-0000-0000-00002F900000}"/>
    <cellStyle name="Total 2 5 3 9 3 2" xfId="37048" xr:uid="{00000000-0005-0000-0000-000030900000}"/>
    <cellStyle name="Total 2 5 3 9 3 3" xfId="37049" xr:uid="{00000000-0005-0000-0000-000031900000}"/>
    <cellStyle name="Total 2 5 3 9 3 4" xfId="37050" xr:uid="{00000000-0005-0000-0000-000032900000}"/>
    <cellStyle name="Total 2 5 3 9 4" xfId="37051" xr:uid="{00000000-0005-0000-0000-000033900000}"/>
    <cellStyle name="Total 2 5 3 9 4 2" xfId="37052" xr:uid="{00000000-0005-0000-0000-000034900000}"/>
    <cellStyle name="Total 2 5 3 9 4 3" xfId="37053" xr:uid="{00000000-0005-0000-0000-000035900000}"/>
    <cellStyle name="Total 2 5 3 9 5" xfId="37054" xr:uid="{00000000-0005-0000-0000-000036900000}"/>
    <cellStyle name="Total 2 5 3 9 5 2" xfId="37055" xr:uid="{00000000-0005-0000-0000-000037900000}"/>
    <cellStyle name="Total 2 5 3 9 5 3" xfId="37056" xr:uid="{00000000-0005-0000-0000-000038900000}"/>
    <cellStyle name="Total 2 5 3 9 6" xfId="37057" xr:uid="{00000000-0005-0000-0000-000039900000}"/>
    <cellStyle name="Total 2 5 3 9 7" xfId="37058" xr:uid="{00000000-0005-0000-0000-00003A900000}"/>
    <cellStyle name="Total 2 5 4" xfId="37059" xr:uid="{00000000-0005-0000-0000-00003B900000}"/>
    <cellStyle name="Total 2 5 4 2" xfId="37060" xr:uid="{00000000-0005-0000-0000-00003C900000}"/>
    <cellStyle name="Total 2 5 4 2 2" xfId="37061" xr:uid="{00000000-0005-0000-0000-00003D900000}"/>
    <cellStyle name="Total 2 5 4 2 3" xfId="37062" xr:uid="{00000000-0005-0000-0000-00003E900000}"/>
    <cellStyle name="Total 2 5 4 2 4" xfId="37063" xr:uid="{00000000-0005-0000-0000-00003F900000}"/>
    <cellStyle name="Total 2 5 4 3" xfId="21527" xr:uid="{00000000-0005-0000-0000-000040900000}"/>
    <cellStyle name="Total 2 5 4 3 2" xfId="37064" xr:uid="{00000000-0005-0000-0000-000041900000}"/>
    <cellStyle name="Total 2 5 4 3 3" xfId="37065" xr:uid="{00000000-0005-0000-0000-000042900000}"/>
    <cellStyle name="Total 2 5 4 3 4" xfId="37066" xr:uid="{00000000-0005-0000-0000-000043900000}"/>
    <cellStyle name="Total 2 5 4 4" xfId="21530" xr:uid="{00000000-0005-0000-0000-000044900000}"/>
    <cellStyle name="Total 2 5 4 4 2" xfId="37067" xr:uid="{00000000-0005-0000-0000-000045900000}"/>
    <cellStyle name="Total 2 5 4 4 3" xfId="37068" xr:uid="{00000000-0005-0000-0000-000046900000}"/>
    <cellStyle name="Total 2 5 4 5" xfId="37069" xr:uid="{00000000-0005-0000-0000-000047900000}"/>
    <cellStyle name="Total 2 5 4 5 2" xfId="37070" xr:uid="{00000000-0005-0000-0000-000048900000}"/>
    <cellStyle name="Total 2 5 4 5 3" xfId="37071" xr:uid="{00000000-0005-0000-0000-000049900000}"/>
    <cellStyle name="Total 2 5 4 6" xfId="37072" xr:uid="{00000000-0005-0000-0000-00004A900000}"/>
    <cellStyle name="Total 2 5 4 7" xfId="37073" xr:uid="{00000000-0005-0000-0000-00004B900000}"/>
    <cellStyle name="Total 2 5 5" xfId="37074" xr:uid="{00000000-0005-0000-0000-00004C900000}"/>
    <cellStyle name="Total 2 5 5 2" xfId="37075" xr:uid="{00000000-0005-0000-0000-00004D900000}"/>
    <cellStyle name="Total 2 5 5 2 2" xfId="14298" xr:uid="{00000000-0005-0000-0000-00004E900000}"/>
    <cellStyle name="Total 2 5 5 2 3" xfId="14303" xr:uid="{00000000-0005-0000-0000-00004F900000}"/>
    <cellStyle name="Total 2 5 5 2 4" xfId="37076" xr:uid="{00000000-0005-0000-0000-000050900000}"/>
    <cellStyle name="Total 2 5 5 3" xfId="37077" xr:uid="{00000000-0005-0000-0000-000051900000}"/>
    <cellStyle name="Total 2 5 5 3 2" xfId="37078" xr:uid="{00000000-0005-0000-0000-000052900000}"/>
    <cellStyle name="Total 2 5 5 3 3" xfId="37079" xr:uid="{00000000-0005-0000-0000-000053900000}"/>
    <cellStyle name="Total 2 5 5 3 4" xfId="37080" xr:uid="{00000000-0005-0000-0000-000054900000}"/>
    <cellStyle name="Total 2 5 5 4" xfId="37081" xr:uid="{00000000-0005-0000-0000-000055900000}"/>
    <cellStyle name="Total 2 5 5 4 2" xfId="37082" xr:uid="{00000000-0005-0000-0000-000056900000}"/>
    <cellStyle name="Total 2 5 5 4 3" xfId="37083" xr:uid="{00000000-0005-0000-0000-000057900000}"/>
    <cellStyle name="Total 2 5 5 5" xfId="37084" xr:uid="{00000000-0005-0000-0000-000058900000}"/>
    <cellStyle name="Total 2 5 5 5 2" xfId="37085" xr:uid="{00000000-0005-0000-0000-000059900000}"/>
    <cellStyle name="Total 2 5 5 5 3" xfId="37086" xr:uid="{00000000-0005-0000-0000-00005A900000}"/>
    <cellStyle name="Total 2 5 5 6" xfId="37087" xr:uid="{00000000-0005-0000-0000-00005B900000}"/>
    <cellStyle name="Total 2 5 5 7" xfId="37088" xr:uid="{00000000-0005-0000-0000-00005C900000}"/>
    <cellStyle name="Total 2 5 6" xfId="37089" xr:uid="{00000000-0005-0000-0000-00005D900000}"/>
    <cellStyle name="Total 2 5 6 2" xfId="37090" xr:uid="{00000000-0005-0000-0000-00005E900000}"/>
    <cellStyle name="Total 2 5 6 2 2" xfId="37091" xr:uid="{00000000-0005-0000-0000-00005F900000}"/>
    <cellStyle name="Total 2 5 6 2 3" xfId="37092" xr:uid="{00000000-0005-0000-0000-000060900000}"/>
    <cellStyle name="Total 2 5 6 2 4" xfId="37093" xr:uid="{00000000-0005-0000-0000-000061900000}"/>
    <cellStyle name="Total 2 5 6 3" xfId="37094" xr:uid="{00000000-0005-0000-0000-000062900000}"/>
    <cellStyle name="Total 2 5 6 3 2" xfId="37095" xr:uid="{00000000-0005-0000-0000-000063900000}"/>
    <cellStyle name="Total 2 5 6 3 3" xfId="37096" xr:uid="{00000000-0005-0000-0000-000064900000}"/>
    <cellStyle name="Total 2 5 6 3 4" xfId="37097" xr:uid="{00000000-0005-0000-0000-000065900000}"/>
    <cellStyle name="Total 2 5 6 4" xfId="37098" xr:uid="{00000000-0005-0000-0000-000066900000}"/>
    <cellStyle name="Total 2 5 6 4 2" xfId="37099" xr:uid="{00000000-0005-0000-0000-000067900000}"/>
    <cellStyle name="Total 2 5 6 4 3" xfId="37100" xr:uid="{00000000-0005-0000-0000-000068900000}"/>
    <cellStyle name="Total 2 5 6 5" xfId="37101" xr:uid="{00000000-0005-0000-0000-000069900000}"/>
    <cellStyle name="Total 2 5 6 5 2" xfId="37102" xr:uid="{00000000-0005-0000-0000-00006A900000}"/>
    <cellStyle name="Total 2 5 6 5 3" xfId="37103" xr:uid="{00000000-0005-0000-0000-00006B900000}"/>
    <cellStyle name="Total 2 5 6 6" xfId="37104" xr:uid="{00000000-0005-0000-0000-00006C900000}"/>
    <cellStyle name="Total 2 5 6 7" xfId="37105" xr:uid="{00000000-0005-0000-0000-00006D900000}"/>
    <cellStyle name="Total 2 5 7" xfId="37106" xr:uid="{00000000-0005-0000-0000-00006E900000}"/>
    <cellStyle name="Total 2 5 7 2" xfId="37107" xr:uid="{00000000-0005-0000-0000-00006F900000}"/>
    <cellStyle name="Total 2 5 7 2 2" xfId="37108" xr:uid="{00000000-0005-0000-0000-000070900000}"/>
    <cellStyle name="Total 2 5 7 2 3" xfId="37109" xr:uid="{00000000-0005-0000-0000-000071900000}"/>
    <cellStyle name="Total 2 5 7 2 4" xfId="37110" xr:uid="{00000000-0005-0000-0000-000072900000}"/>
    <cellStyle name="Total 2 5 7 3" xfId="37111" xr:uid="{00000000-0005-0000-0000-000073900000}"/>
    <cellStyle name="Total 2 5 7 3 2" xfId="37112" xr:uid="{00000000-0005-0000-0000-000074900000}"/>
    <cellStyle name="Total 2 5 7 3 3" xfId="37113" xr:uid="{00000000-0005-0000-0000-000075900000}"/>
    <cellStyle name="Total 2 5 7 3 4" xfId="37114" xr:uid="{00000000-0005-0000-0000-000076900000}"/>
    <cellStyle name="Total 2 5 7 4" xfId="37115" xr:uid="{00000000-0005-0000-0000-000077900000}"/>
    <cellStyle name="Total 2 5 7 4 2" xfId="37116" xr:uid="{00000000-0005-0000-0000-000078900000}"/>
    <cellStyle name="Total 2 5 7 4 3" xfId="37117" xr:uid="{00000000-0005-0000-0000-000079900000}"/>
    <cellStyle name="Total 2 5 7 5" xfId="37118" xr:uid="{00000000-0005-0000-0000-00007A900000}"/>
    <cellStyle name="Total 2 5 7 5 2" xfId="37119" xr:uid="{00000000-0005-0000-0000-00007B900000}"/>
    <cellStyle name="Total 2 5 7 5 3" xfId="37120" xr:uid="{00000000-0005-0000-0000-00007C900000}"/>
    <cellStyle name="Total 2 5 7 6" xfId="37121" xr:uid="{00000000-0005-0000-0000-00007D900000}"/>
    <cellStyle name="Total 2 5 7 7" xfId="37122" xr:uid="{00000000-0005-0000-0000-00007E900000}"/>
    <cellStyle name="Total 2 5 8" xfId="37123" xr:uid="{00000000-0005-0000-0000-00007F900000}"/>
    <cellStyle name="Total 2 5 8 2" xfId="37124" xr:uid="{00000000-0005-0000-0000-000080900000}"/>
    <cellStyle name="Total 2 5 8 2 2" xfId="37125" xr:uid="{00000000-0005-0000-0000-000081900000}"/>
    <cellStyle name="Total 2 5 8 2 3" xfId="37126" xr:uid="{00000000-0005-0000-0000-000082900000}"/>
    <cellStyle name="Total 2 5 8 2 4" xfId="37127" xr:uid="{00000000-0005-0000-0000-000083900000}"/>
    <cellStyle name="Total 2 5 8 3" xfId="37128" xr:uid="{00000000-0005-0000-0000-000084900000}"/>
    <cellStyle name="Total 2 5 8 3 2" xfId="37129" xr:uid="{00000000-0005-0000-0000-000085900000}"/>
    <cellStyle name="Total 2 5 8 3 3" xfId="37130" xr:uid="{00000000-0005-0000-0000-000086900000}"/>
    <cellStyle name="Total 2 5 8 3 4" xfId="37131" xr:uid="{00000000-0005-0000-0000-000087900000}"/>
    <cellStyle name="Total 2 5 8 4" xfId="37132" xr:uid="{00000000-0005-0000-0000-000088900000}"/>
    <cellStyle name="Total 2 5 8 4 2" xfId="37133" xr:uid="{00000000-0005-0000-0000-000089900000}"/>
    <cellStyle name="Total 2 5 8 4 3" xfId="37134" xr:uid="{00000000-0005-0000-0000-00008A900000}"/>
    <cellStyle name="Total 2 5 8 5" xfId="37135" xr:uid="{00000000-0005-0000-0000-00008B900000}"/>
    <cellStyle name="Total 2 5 8 5 2" xfId="37136" xr:uid="{00000000-0005-0000-0000-00008C900000}"/>
    <cellStyle name="Total 2 5 8 5 3" xfId="37137" xr:uid="{00000000-0005-0000-0000-00008D900000}"/>
    <cellStyle name="Total 2 5 8 6" xfId="37138" xr:uid="{00000000-0005-0000-0000-00008E900000}"/>
    <cellStyle name="Total 2 5 8 7" xfId="37139" xr:uid="{00000000-0005-0000-0000-00008F900000}"/>
    <cellStyle name="Total 2 5 9" xfId="37140" xr:uid="{00000000-0005-0000-0000-000090900000}"/>
    <cellStyle name="Total 2 5 9 2" xfId="37141" xr:uid="{00000000-0005-0000-0000-000091900000}"/>
    <cellStyle name="Total 2 5 9 2 2" xfId="37142" xr:uid="{00000000-0005-0000-0000-000092900000}"/>
    <cellStyle name="Total 2 5 9 2 3" xfId="37143" xr:uid="{00000000-0005-0000-0000-000093900000}"/>
    <cellStyle name="Total 2 5 9 2 4" xfId="37144" xr:uid="{00000000-0005-0000-0000-000094900000}"/>
    <cellStyle name="Total 2 5 9 3" xfId="37145" xr:uid="{00000000-0005-0000-0000-000095900000}"/>
    <cellStyle name="Total 2 5 9 3 2" xfId="37146" xr:uid="{00000000-0005-0000-0000-000096900000}"/>
    <cellStyle name="Total 2 5 9 3 3" xfId="37147" xr:uid="{00000000-0005-0000-0000-000097900000}"/>
    <cellStyle name="Total 2 5 9 3 4" xfId="37148" xr:uid="{00000000-0005-0000-0000-000098900000}"/>
    <cellStyle name="Total 2 5 9 4" xfId="37149" xr:uid="{00000000-0005-0000-0000-000099900000}"/>
    <cellStyle name="Total 2 5 9 4 2" xfId="37150" xr:uid="{00000000-0005-0000-0000-00009A900000}"/>
    <cellStyle name="Total 2 5 9 4 3" xfId="37151" xr:uid="{00000000-0005-0000-0000-00009B900000}"/>
    <cellStyle name="Total 2 5 9 5" xfId="37152" xr:uid="{00000000-0005-0000-0000-00009C900000}"/>
    <cellStyle name="Total 2 5 9 5 2" xfId="37153" xr:uid="{00000000-0005-0000-0000-00009D900000}"/>
    <cellStyle name="Total 2 5 9 5 3" xfId="37154" xr:uid="{00000000-0005-0000-0000-00009E900000}"/>
    <cellStyle name="Total 2 5 9 6" xfId="37155" xr:uid="{00000000-0005-0000-0000-00009F900000}"/>
    <cellStyle name="Total 2 5 9 7" xfId="37156" xr:uid="{00000000-0005-0000-0000-0000A0900000}"/>
    <cellStyle name="Total 2 6" xfId="37157" xr:uid="{00000000-0005-0000-0000-0000A1900000}"/>
    <cellStyle name="Total 2 6 10" xfId="37158" xr:uid="{00000000-0005-0000-0000-0000A2900000}"/>
    <cellStyle name="Total 2 6 10 2" xfId="37159" xr:uid="{00000000-0005-0000-0000-0000A3900000}"/>
    <cellStyle name="Total 2 6 10 2 2" xfId="37160" xr:uid="{00000000-0005-0000-0000-0000A4900000}"/>
    <cellStyle name="Total 2 6 10 2 3" xfId="37161" xr:uid="{00000000-0005-0000-0000-0000A5900000}"/>
    <cellStyle name="Total 2 6 10 2 4" xfId="37162" xr:uid="{00000000-0005-0000-0000-0000A6900000}"/>
    <cellStyle name="Total 2 6 10 3" xfId="37163" xr:uid="{00000000-0005-0000-0000-0000A7900000}"/>
    <cellStyle name="Total 2 6 10 3 2" xfId="37164" xr:uid="{00000000-0005-0000-0000-0000A8900000}"/>
    <cellStyle name="Total 2 6 10 3 3" xfId="37165" xr:uid="{00000000-0005-0000-0000-0000A9900000}"/>
    <cellStyle name="Total 2 6 10 3 4" xfId="37166" xr:uid="{00000000-0005-0000-0000-0000AA900000}"/>
    <cellStyle name="Total 2 6 10 4" xfId="37167" xr:uid="{00000000-0005-0000-0000-0000AB900000}"/>
    <cellStyle name="Total 2 6 10 4 2" xfId="37168" xr:uid="{00000000-0005-0000-0000-0000AC900000}"/>
    <cellStyle name="Total 2 6 10 4 3" xfId="37169" xr:uid="{00000000-0005-0000-0000-0000AD900000}"/>
    <cellStyle name="Total 2 6 10 5" xfId="37170" xr:uid="{00000000-0005-0000-0000-0000AE900000}"/>
    <cellStyle name="Total 2 6 10 5 2" xfId="37171" xr:uid="{00000000-0005-0000-0000-0000AF900000}"/>
    <cellStyle name="Total 2 6 10 5 3" xfId="37172" xr:uid="{00000000-0005-0000-0000-0000B0900000}"/>
    <cellStyle name="Total 2 6 10 6" xfId="37173" xr:uid="{00000000-0005-0000-0000-0000B1900000}"/>
    <cellStyle name="Total 2 6 10 7" xfId="37174" xr:uid="{00000000-0005-0000-0000-0000B2900000}"/>
    <cellStyle name="Total 2 6 11" xfId="37175" xr:uid="{00000000-0005-0000-0000-0000B3900000}"/>
    <cellStyle name="Total 2 6 11 2" xfId="37176" xr:uid="{00000000-0005-0000-0000-0000B4900000}"/>
    <cellStyle name="Total 2 6 11 2 2" xfId="37177" xr:uid="{00000000-0005-0000-0000-0000B5900000}"/>
    <cellStyle name="Total 2 6 11 2 3" xfId="37178" xr:uid="{00000000-0005-0000-0000-0000B6900000}"/>
    <cellStyle name="Total 2 6 11 2 4" xfId="37179" xr:uid="{00000000-0005-0000-0000-0000B7900000}"/>
    <cellStyle name="Total 2 6 11 3" xfId="37180" xr:uid="{00000000-0005-0000-0000-0000B8900000}"/>
    <cellStyle name="Total 2 6 11 3 2" xfId="37181" xr:uid="{00000000-0005-0000-0000-0000B9900000}"/>
    <cellStyle name="Total 2 6 11 3 3" xfId="37182" xr:uid="{00000000-0005-0000-0000-0000BA900000}"/>
    <cellStyle name="Total 2 6 11 3 4" xfId="37183" xr:uid="{00000000-0005-0000-0000-0000BB900000}"/>
    <cellStyle name="Total 2 6 11 4" xfId="37184" xr:uid="{00000000-0005-0000-0000-0000BC900000}"/>
    <cellStyle name="Total 2 6 11 4 2" xfId="37185" xr:uid="{00000000-0005-0000-0000-0000BD900000}"/>
    <cellStyle name="Total 2 6 11 4 3" xfId="37186" xr:uid="{00000000-0005-0000-0000-0000BE900000}"/>
    <cellStyle name="Total 2 6 11 5" xfId="37187" xr:uid="{00000000-0005-0000-0000-0000BF900000}"/>
    <cellStyle name="Total 2 6 11 5 2" xfId="37188" xr:uid="{00000000-0005-0000-0000-0000C0900000}"/>
    <cellStyle name="Total 2 6 11 5 3" xfId="37189" xr:uid="{00000000-0005-0000-0000-0000C1900000}"/>
    <cellStyle name="Total 2 6 11 6" xfId="37190" xr:uid="{00000000-0005-0000-0000-0000C2900000}"/>
    <cellStyle name="Total 2 6 11 7" xfId="37191" xr:uid="{00000000-0005-0000-0000-0000C3900000}"/>
    <cellStyle name="Total 2 6 12" xfId="37192" xr:uid="{00000000-0005-0000-0000-0000C4900000}"/>
    <cellStyle name="Total 2 6 12 2" xfId="37193" xr:uid="{00000000-0005-0000-0000-0000C5900000}"/>
    <cellStyle name="Total 2 6 12 2 2" xfId="37194" xr:uid="{00000000-0005-0000-0000-0000C6900000}"/>
    <cellStyle name="Total 2 6 12 2 3" xfId="37195" xr:uid="{00000000-0005-0000-0000-0000C7900000}"/>
    <cellStyle name="Total 2 6 12 2 4" xfId="37196" xr:uid="{00000000-0005-0000-0000-0000C8900000}"/>
    <cellStyle name="Total 2 6 12 3" xfId="37197" xr:uid="{00000000-0005-0000-0000-0000C9900000}"/>
    <cellStyle name="Total 2 6 12 3 2" xfId="37198" xr:uid="{00000000-0005-0000-0000-0000CA900000}"/>
    <cellStyle name="Total 2 6 12 3 3" xfId="37199" xr:uid="{00000000-0005-0000-0000-0000CB900000}"/>
    <cellStyle name="Total 2 6 12 3 4" xfId="37200" xr:uid="{00000000-0005-0000-0000-0000CC900000}"/>
    <cellStyle name="Total 2 6 12 4" xfId="37201" xr:uid="{00000000-0005-0000-0000-0000CD900000}"/>
    <cellStyle name="Total 2 6 12 4 2" xfId="37202" xr:uid="{00000000-0005-0000-0000-0000CE900000}"/>
    <cellStyle name="Total 2 6 12 4 3" xfId="37203" xr:uid="{00000000-0005-0000-0000-0000CF900000}"/>
    <cellStyle name="Total 2 6 12 5" xfId="37204" xr:uid="{00000000-0005-0000-0000-0000D0900000}"/>
    <cellStyle name="Total 2 6 12 5 2" xfId="37205" xr:uid="{00000000-0005-0000-0000-0000D1900000}"/>
    <cellStyle name="Total 2 6 12 5 3" xfId="37206" xr:uid="{00000000-0005-0000-0000-0000D2900000}"/>
    <cellStyle name="Total 2 6 12 6" xfId="37207" xr:uid="{00000000-0005-0000-0000-0000D3900000}"/>
    <cellStyle name="Total 2 6 12 7" xfId="37208" xr:uid="{00000000-0005-0000-0000-0000D4900000}"/>
    <cellStyle name="Total 2 6 13" xfId="37209" xr:uid="{00000000-0005-0000-0000-0000D5900000}"/>
    <cellStyle name="Total 2 6 13 2" xfId="37210" xr:uid="{00000000-0005-0000-0000-0000D6900000}"/>
    <cellStyle name="Total 2 6 13 3" xfId="37211" xr:uid="{00000000-0005-0000-0000-0000D7900000}"/>
    <cellStyle name="Total 2 6 13 4" xfId="37212" xr:uid="{00000000-0005-0000-0000-0000D8900000}"/>
    <cellStyle name="Total 2 6 14" xfId="37213" xr:uid="{00000000-0005-0000-0000-0000D9900000}"/>
    <cellStyle name="Total 2 6 14 2" xfId="37214" xr:uid="{00000000-0005-0000-0000-0000DA900000}"/>
    <cellStyle name="Total 2 6 14 3" xfId="37215" xr:uid="{00000000-0005-0000-0000-0000DB900000}"/>
    <cellStyle name="Total 2 6 14 4" xfId="37216" xr:uid="{00000000-0005-0000-0000-0000DC900000}"/>
    <cellStyle name="Total 2 6 15" xfId="37217" xr:uid="{00000000-0005-0000-0000-0000DD900000}"/>
    <cellStyle name="Total 2 6 15 2" xfId="37219" xr:uid="{00000000-0005-0000-0000-0000DE900000}"/>
    <cellStyle name="Total 2 6 15 3" xfId="37220" xr:uid="{00000000-0005-0000-0000-0000DF900000}"/>
    <cellStyle name="Total 2 6 16" xfId="37221" xr:uid="{00000000-0005-0000-0000-0000E0900000}"/>
    <cellStyle name="Total 2 6 16 2" xfId="37222" xr:uid="{00000000-0005-0000-0000-0000E1900000}"/>
    <cellStyle name="Total 2 6 16 3" xfId="37223" xr:uid="{00000000-0005-0000-0000-0000E2900000}"/>
    <cellStyle name="Total 2 6 17" xfId="37224" xr:uid="{00000000-0005-0000-0000-0000E3900000}"/>
    <cellStyle name="Total 2 6 17 2" xfId="37225" xr:uid="{00000000-0005-0000-0000-0000E4900000}"/>
    <cellStyle name="Total 2 6 17 2 2" xfId="37226" xr:uid="{00000000-0005-0000-0000-0000E5900000}"/>
    <cellStyle name="Total 2 6 18" xfId="37227" xr:uid="{00000000-0005-0000-0000-0000E6900000}"/>
    <cellStyle name="Total 2 6 19" xfId="37228" xr:uid="{00000000-0005-0000-0000-0000E7900000}"/>
    <cellStyle name="Total 2 6 2" xfId="37229" xr:uid="{00000000-0005-0000-0000-0000E8900000}"/>
    <cellStyle name="Total 2 6 2 10" xfId="31006" xr:uid="{00000000-0005-0000-0000-0000E9900000}"/>
    <cellStyle name="Total 2 6 2 10 2" xfId="4630" xr:uid="{00000000-0005-0000-0000-0000EA900000}"/>
    <cellStyle name="Total 2 6 2 10 2 2" xfId="37230" xr:uid="{00000000-0005-0000-0000-0000EB900000}"/>
    <cellStyle name="Total 2 6 2 10 2 3" xfId="37231" xr:uid="{00000000-0005-0000-0000-0000EC900000}"/>
    <cellStyle name="Total 2 6 2 10 2 4" xfId="37232" xr:uid="{00000000-0005-0000-0000-0000ED900000}"/>
    <cellStyle name="Total 2 6 2 10 3" xfId="37233" xr:uid="{00000000-0005-0000-0000-0000EE900000}"/>
    <cellStyle name="Total 2 6 2 10 3 2" xfId="37234" xr:uid="{00000000-0005-0000-0000-0000EF900000}"/>
    <cellStyle name="Total 2 6 2 10 3 3" xfId="37235" xr:uid="{00000000-0005-0000-0000-0000F0900000}"/>
    <cellStyle name="Total 2 6 2 10 3 4" xfId="37236" xr:uid="{00000000-0005-0000-0000-0000F1900000}"/>
    <cellStyle name="Total 2 6 2 10 4" xfId="37237" xr:uid="{00000000-0005-0000-0000-0000F2900000}"/>
    <cellStyle name="Total 2 6 2 10 4 2" xfId="37238" xr:uid="{00000000-0005-0000-0000-0000F3900000}"/>
    <cellStyle name="Total 2 6 2 10 4 3" xfId="37239" xr:uid="{00000000-0005-0000-0000-0000F4900000}"/>
    <cellStyle name="Total 2 6 2 10 5" xfId="37240" xr:uid="{00000000-0005-0000-0000-0000F5900000}"/>
    <cellStyle name="Total 2 6 2 10 5 2" xfId="37241" xr:uid="{00000000-0005-0000-0000-0000F6900000}"/>
    <cellStyle name="Total 2 6 2 10 5 3" xfId="37242" xr:uid="{00000000-0005-0000-0000-0000F7900000}"/>
    <cellStyle name="Total 2 6 2 10 6" xfId="37243" xr:uid="{00000000-0005-0000-0000-0000F8900000}"/>
    <cellStyle name="Total 2 6 2 10 7" xfId="37244" xr:uid="{00000000-0005-0000-0000-0000F9900000}"/>
    <cellStyle name="Total 2 6 2 11" xfId="31010" xr:uid="{00000000-0005-0000-0000-0000FA900000}"/>
    <cellStyle name="Total 2 6 2 11 2" xfId="4636" xr:uid="{00000000-0005-0000-0000-0000FB900000}"/>
    <cellStyle name="Total 2 6 2 11 3" xfId="37245" xr:uid="{00000000-0005-0000-0000-0000FC900000}"/>
    <cellStyle name="Total 2 6 2 11 4" xfId="37246" xr:uid="{00000000-0005-0000-0000-0000FD900000}"/>
    <cellStyle name="Total 2 6 2 12" xfId="32777" xr:uid="{00000000-0005-0000-0000-0000FE900000}"/>
    <cellStyle name="Total 2 6 2 12 2" xfId="37247" xr:uid="{00000000-0005-0000-0000-0000FF900000}"/>
    <cellStyle name="Total 2 6 2 12 3" xfId="37248" xr:uid="{00000000-0005-0000-0000-000000910000}"/>
    <cellStyle name="Total 2 6 2 12 4" xfId="37249" xr:uid="{00000000-0005-0000-0000-000001910000}"/>
    <cellStyle name="Total 2 6 2 13" xfId="37250" xr:uid="{00000000-0005-0000-0000-000002910000}"/>
    <cellStyle name="Total 2 6 2 13 2" xfId="37251" xr:uid="{00000000-0005-0000-0000-000003910000}"/>
    <cellStyle name="Total 2 6 2 13 3" xfId="37252" xr:uid="{00000000-0005-0000-0000-000004910000}"/>
    <cellStyle name="Total 2 6 2 14" xfId="37253" xr:uid="{00000000-0005-0000-0000-000005910000}"/>
    <cellStyle name="Total 2 6 2 14 2" xfId="37254" xr:uid="{00000000-0005-0000-0000-000006910000}"/>
    <cellStyle name="Total 2 6 2 14 3" xfId="37255" xr:uid="{00000000-0005-0000-0000-000007910000}"/>
    <cellStyle name="Total 2 6 2 15" xfId="37256" xr:uid="{00000000-0005-0000-0000-000008910000}"/>
    <cellStyle name="Total 2 6 2 16" xfId="37257" xr:uid="{00000000-0005-0000-0000-000009910000}"/>
    <cellStyle name="Total 2 6 2 17" xfId="37258" xr:uid="{00000000-0005-0000-0000-00000A910000}"/>
    <cellStyle name="Total 2 6 2 2" xfId="37259" xr:uid="{00000000-0005-0000-0000-00000B910000}"/>
    <cellStyle name="Total 2 6 2 2 2" xfId="37260" xr:uid="{00000000-0005-0000-0000-00000C910000}"/>
    <cellStyle name="Total 2 6 2 2 2 2" xfId="37261" xr:uid="{00000000-0005-0000-0000-00000D910000}"/>
    <cellStyle name="Total 2 6 2 2 2 3" xfId="37262" xr:uid="{00000000-0005-0000-0000-00000E910000}"/>
    <cellStyle name="Total 2 6 2 2 2 4" xfId="18561" xr:uid="{00000000-0005-0000-0000-00000F910000}"/>
    <cellStyle name="Total 2 6 2 2 3" xfId="37263" xr:uid="{00000000-0005-0000-0000-000010910000}"/>
    <cellStyle name="Total 2 6 2 2 3 2" xfId="37264" xr:uid="{00000000-0005-0000-0000-000011910000}"/>
    <cellStyle name="Total 2 6 2 2 3 3" xfId="37265" xr:uid="{00000000-0005-0000-0000-000012910000}"/>
    <cellStyle name="Total 2 6 2 2 3 4" xfId="37266" xr:uid="{00000000-0005-0000-0000-000013910000}"/>
    <cellStyle name="Total 2 6 2 2 4" xfId="37267" xr:uid="{00000000-0005-0000-0000-000014910000}"/>
    <cellStyle name="Total 2 6 2 2 4 2" xfId="37268" xr:uid="{00000000-0005-0000-0000-000015910000}"/>
    <cellStyle name="Total 2 6 2 2 4 3" xfId="37269" xr:uid="{00000000-0005-0000-0000-000016910000}"/>
    <cellStyle name="Total 2 6 2 2 5" xfId="37270" xr:uid="{00000000-0005-0000-0000-000017910000}"/>
    <cellStyle name="Total 2 6 2 2 5 2" xfId="37271" xr:uid="{00000000-0005-0000-0000-000018910000}"/>
    <cellStyle name="Total 2 6 2 2 5 3" xfId="37272" xr:uid="{00000000-0005-0000-0000-000019910000}"/>
    <cellStyle name="Total 2 6 2 2 6" xfId="37273" xr:uid="{00000000-0005-0000-0000-00001A910000}"/>
    <cellStyle name="Total 2 6 2 2 7" xfId="37274" xr:uid="{00000000-0005-0000-0000-00001B910000}"/>
    <cellStyle name="Total 2 6 2 3" xfId="20690" xr:uid="{00000000-0005-0000-0000-00001C910000}"/>
    <cellStyle name="Total 2 6 2 3 2" xfId="37275" xr:uid="{00000000-0005-0000-0000-00001D910000}"/>
    <cellStyle name="Total 2 6 2 3 2 2" xfId="37276" xr:uid="{00000000-0005-0000-0000-00001E910000}"/>
    <cellStyle name="Total 2 6 2 3 2 3" xfId="37277" xr:uid="{00000000-0005-0000-0000-00001F910000}"/>
    <cellStyle name="Total 2 6 2 3 2 4" xfId="37278" xr:uid="{00000000-0005-0000-0000-000020910000}"/>
    <cellStyle name="Total 2 6 2 3 3" xfId="37279" xr:uid="{00000000-0005-0000-0000-000021910000}"/>
    <cellStyle name="Total 2 6 2 3 3 2" xfId="37280" xr:uid="{00000000-0005-0000-0000-000022910000}"/>
    <cellStyle name="Total 2 6 2 3 3 3" xfId="37281" xr:uid="{00000000-0005-0000-0000-000023910000}"/>
    <cellStyle name="Total 2 6 2 3 3 4" xfId="37282" xr:uid="{00000000-0005-0000-0000-000024910000}"/>
    <cellStyle name="Total 2 6 2 3 4" xfId="37283" xr:uid="{00000000-0005-0000-0000-000025910000}"/>
    <cellStyle name="Total 2 6 2 3 4 2" xfId="37284" xr:uid="{00000000-0005-0000-0000-000026910000}"/>
    <cellStyle name="Total 2 6 2 3 4 3" xfId="37285" xr:uid="{00000000-0005-0000-0000-000027910000}"/>
    <cellStyle name="Total 2 6 2 3 5" xfId="37286" xr:uid="{00000000-0005-0000-0000-000028910000}"/>
    <cellStyle name="Total 2 6 2 3 5 2" xfId="37287" xr:uid="{00000000-0005-0000-0000-000029910000}"/>
    <cellStyle name="Total 2 6 2 3 5 3" xfId="37288" xr:uid="{00000000-0005-0000-0000-00002A910000}"/>
    <cellStyle name="Total 2 6 2 3 6" xfId="37289" xr:uid="{00000000-0005-0000-0000-00002B910000}"/>
    <cellStyle name="Total 2 6 2 3 7" xfId="37290" xr:uid="{00000000-0005-0000-0000-00002C910000}"/>
    <cellStyle name="Total 2 6 2 4" xfId="21545" xr:uid="{00000000-0005-0000-0000-00002D910000}"/>
    <cellStyle name="Total 2 6 2 4 2" xfId="37291" xr:uid="{00000000-0005-0000-0000-00002E910000}"/>
    <cellStyle name="Total 2 6 2 4 2 2" xfId="37292" xr:uid="{00000000-0005-0000-0000-00002F910000}"/>
    <cellStyle name="Total 2 6 2 4 2 3" xfId="37293" xr:uid="{00000000-0005-0000-0000-000030910000}"/>
    <cellStyle name="Total 2 6 2 4 2 4" xfId="37294" xr:uid="{00000000-0005-0000-0000-000031910000}"/>
    <cellStyle name="Total 2 6 2 4 3" xfId="37295" xr:uid="{00000000-0005-0000-0000-000032910000}"/>
    <cellStyle name="Total 2 6 2 4 3 2" xfId="37296" xr:uid="{00000000-0005-0000-0000-000033910000}"/>
    <cellStyle name="Total 2 6 2 4 3 3" xfId="37297" xr:uid="{00000000-0005-0000-0000-000034910000}"/>
    <cellStyle name="Total 2 6 2 4 3 4" xfId="37298" xr:uid="{00000000-0005-0000-0000-000035910000}"/>
    <cellStyle name="Total 2 6 2 4 4" xfId="37299" xr:uid="{00000000-0005-0000-0000-000036910000}"/>
    <cellStyle name="Total 2 6 2 4 4 2" xfId="37300" xr:uid="{00000000-0005-0000-0000-000037910000}"/>
    <cellStyle name="Total 2 6 2 4 4 3" xfId="37301" xr:uid="{00000000-0005-0000-0000-000038910000}"/>
    <cellStyle name="Total 2 6 2 4 5" xfId="37302" xr:uid="{00000000-0005-0000-0000-000039910000}"/>
    <cellStyle name="Total 2 6 2 4 5 2" xfId="37303" xr:uid="{00000000-0005-0000-0000-00003A910000}"/>
    <cellStyle name="Total 2 6 2 4 5 3" xfId="37304" xr:uid="{00000000-0005-0000-0000-00003B910000}"/>
    <cellStyle name="Total 2 6 2 4 6" xfId="37305" xr:uid="{00000000-0005-0000-0000-00003C910000}"/>
    <cellStyle name="Total 2 6 2 4 7" xfId="37306" xr:uid="{00000000-0005-0000-0000-00003D910000}"/>
    <cellStyle name="Total 2 6 2 5" xfId="8868" xr:uid="{00000000-0005-0000-0000-00003E910000}"/>
    <cellStyle name="Total 2 6 2 5 2" xfId="516" xr:uid="{00000000-0005-0000-0000-00003F910000}"/>
    <cellStyle name="Total 2 6 2 5 2 2" xfId="37307" xr:uid="{00000000-0005-0000-0000-000040910000}"/>
    <cellStyle name="Total 2 6 2 5 2 3" xfId="37308" xr:uid="{00000000-0005-0000-0000-000041910000}"/>
    <cellStyle name="Total 2 6 2 5 2 4" xfId="37309" xr:uid="{00000000-0005-0000-0000-000042910000}"/>
    <cellStyle name="Total 2 6 2 5 3" xfId="37310" xr:uid="{00000000-0005-0000-0000-000043910000}"/>
    <cellStyle name="Total 2 6 2 5 3 2" xfId="37311" xr:uid="{00000000-0005-0000-0000-000044910000}"/>
    <cellStyle name="Total 2 6 2 5 3 3" xfId="37312" xr:uid="{00000000-0005-0000-0000-000045910000}"/>
    <cellStyle name="Total 2 6 2 5 3 4" xfId="37313" xr:uid="{00000000-0005-0000-0000-000046910000}"/>
    <cellStyle name="Total 2 6 2 5 4" xfId="37314" xr:uid="{00000000-0005-0000-0000-000047910000}"/>
    <cellStyle name="Total 2 6 2 5 4 2" xfId="37315" xr:uid="{00000000-0005-0000-0000-000048910000}"/>
    <cellStyle name="Total 2 6 2 5 4 3" xfId="37316" xr:uid="{00000000-0005-0000-0000-000049910000}"/>
    <cellStyle name="Total 2 6 2 5 5" xfId="37317" xr:uid="{00000000-0005-0000-0000-00004A910000}"/>
    <cellStyle name="Total 2 6 2 5 5 2" xfId="37318" xr:uid="{00000000-0005-0000-0000-00004B910000}"/>
    <cellStyle name="Total 2 6 2 5 5 3" xfId="37319" xr:uid="{00000000-0005-0000-0000-00004C910000}"/>
    <cellStyle name="Total 2 6 2 5 6" xfId="37320" xr:uid="{00000000-0005-0000-0000-00004D910000}"/>
    <cellStyle name="Total 2 6 2 5 7" xfId="37321" xr:uid="{00000000-0005-0000-0000-00004E910000}"/>
    <cellStyle name="Total 2 6 2 6" xfId="37322" xr:uid="{00000000-0005-0000-0000-00004F910000}"/>
    <cellStyle name="Total 2 6 2 6 2" xfId="37323" xr:uid="{00000000-0005-0000-0000-000050910000}"/>
    <cellStyle name="Total 2 6 2 6 2 2" xfId="37324" xr:uid="{00000000-0005-0000-0000-000051910000}"/>
    <cellStyle name="Total 2 6 2 6 2 3" xfId="37325" xr:uid="{00000000-0005-0000-0000-000052910000}"/>
    <cellStyle name="Total 2 6 2 6 2 4" xfId="37326" xr:uid="{00000000-0005-0000-0000-000053910000}"/>
    <cellStyle name="Total 2 6 2 6 3" xfId="37327" xr:uid="{00000000-0005-0000-0000-000054910000}"/>
    <cellStyle name="Total 2 6 2 6 3 2" xfId="37328" xr:uid="{00000000-0005-0000-0000-000055910000}"/>
    <cellStyle name="Total 2 6 2 6 3 3" xfId="37329" xr:uid="{00000000-0005-0000-0000-000056910000}"/>
    <cellStyle name="Total 2 6 2 6 3 4" xfId="37330" xr:uid="{00000000-0005-0000-0000-000057910000}"/>
    <cellStyle name="Total 2 6 2 6 4" xfId="37331" xr:uid="{00000000-0005-0000-0000-000058910000}"/>
    <cellStyle name="Total 2 6 2 6 4 2" xfId="37332" xr:uid="{00000000-0005-0000-0000-000059910000}"/>
    <cellStyle name="Total 2 6 2 6 4 3" xfId="37333" xr:uid="{00000000-0005-0000-0000-00005A910000}"/>
    <cellStyle name="Total 2 6 2 6 5" xfId="37334" xr:uid="{00000000-0005-0000-0000-00005B910000}"/>
    <cellStyle name="Total 2 6 2 6 5 2" xfId="37335" xr:uid="{00000000-0005-0000-0000-00005C910000}"/>
    <cellStyle name="Total 2 6 2 6 5 3" xfId="37336" xr:uid="{00000000-0005-0000-0000-00005D910000}"/>
    <cellStyle name="Total 2 6 2 6 6" xfId="37337" xr:uid="{00000000-0005-0000-0000-00005E910000}"/>
    <cellStyle name="Total 2 6 2 6 7" xfId="37338" xr:uid="{00000000-0005-0000-0000-00005F910000}"/>
    <cellStyle name="Total 2 6 2 7" xfId="37339" xr:uid="{00000000-0005-0000-0000-000060910000}"/>
    <cellStyle name="Total 2 6 2 7 2" xfId="37340" xr:uid="{00000000-0005-0000-0000-000061910000}"/>
    <cellStyle name="Total 2 6 2 7 2 2" xfId="37341" xr:uid="{00000000-0005-0000-0000-000062910000}"/>
    <cellStyle name="Total 2 6 2 7 2 3" xfId="37342" xr:uid="{00000000-0005-0000-0000-000063910000}"/>
    <cellStyle name="Total 2 6 2 7 2 4" xfId="37343" xr:uid="{00000000-0005-0000-0000-000064910000}"/>
    <cellStyle name="Total 2 6 2 7 3" xfId="37344" xr:uid="{00000000-0005-0000-0000-000065910000}"/>
    <cellStyle name="Total 2 6 2 7 3 2" xfId="37345" xr:uid="{00000000-0005-0000-0000-000066910000}"/>
    <cellStyle name="Total 2 6 2 7 3 3" xfId="37346" xr:uid="{00000000-0005-0000-0000-000067910000}"/>
    <cellStyle name="Total 2 6 2 7 3 4" xfId="37347" xr:uid="{00000000-0005-0000-0000-000068910000}"/>
    <cellStyle name="Total 2 6 2 7 4" xfId="37348" xr:uid="{00000000-0005-0000-0000-000069910000}"/>
    <cellStyle name="Total 2 6 2 7 4 2" xfId="37349" xr:uid="{00000000-0005-0000-0000-00006A910000}"/>
    <cellStyle name="Total 2 6 2 7 4 3" xfId="37350" xr:uid="{00000000-0005-0000-0000-00006B910000}"/>
    <cellStyle name="Total 2 6 2 7 5" xfId="37351" xr:uid="{00000000-0005-0000-0000-00006C910000}"/>
    <cellStyle name="Total 2 6 2 7 5 2" xfId="37352" xr:uid="{00000000-0005-0000-0000-00006D910000}"/>
    <cellStyle name="Total 2 6 2 7 5 3" xfId="37353" xr:uid="{00000000-0005-0000-0000-00006E910000}"/>
    <cellStyle name="Total 2 6 2 7 6" xfId="37354" xr:uid="{00000000-0005-0000-0000-00006F910000}"/>
    <cellStyle name="Total 2 6 2 7 7" xfId="37355" xr:uid="{00000000-0005-0000-0000-000070910000}"/>
    <cellStyle name="Total 2 6 2 8" xfId="37356" xr:uid="{00000000-0005-0000-0000-000071910000}"/>
    <cellStyle name="Total 2 6 2 8 2" xfId="37357" xr:uid="{00000000-0005-0000-0000-000072910000}"/>
    <cellStyle name="Total 2 6 2 8 2 2" xfId="37358" xr:uid="{00000000-0005-0000-0000-000073910000}"/>
    <cellStyle name="Total 2 6 2 8 2 3" xfId="37359" xr:uid="{00000000-0005-0000-0000-000074910000}"/>
    <cellStyle name="Total 2 6 2 8 2 4" xfId="37360" xr:uid="{00000000-0005-0000-0000-000075910000}"/>
    <cellStyle name="Total 2 6 2 8 3" xfId="37361" xr:uid="{00000000-0005-0000-0000-000076910000}"/>
    <cellStyle name="Total 2 6 2 8 3 2" xfId="37362" xr:uid="{00000000-0005-0000-0000-000077910000}"/>
    <cellStyle name="Total 2 6 2 8 3 3" xfId="37363" xr:uid="{00000000-0005-0000-0000-000078910000}"/>
    <cellStyle name="Total 2 6 2 8 3 4" xfId="37364" xr:uid="{00000000-0005-0000-0000-000079910000}"/>
    <cellStyle name="Total 2 6 2 8 4" xfId="37365" xr:uid="{00000000-0005-0000-0000-00007A910000}"/>
    <cellStyle name="Total 2 6 2 8 4 2" xfId="37366" xr:uid="{00000000-0005-0000-0000-00007B910000}"/>
    <cellStyle name="Total 2 6 2 8 4 3" xfId="37367" xr:uid="{00000000-0005-0000-0000-00007C910000}"/>
    <cellStyle name="Total 2 6 2 8 5" xfId="37368" xr:uid="{00000000-0005-0000-0000-00007D910000}"/>
    <cellStyle name="Total 2 6 2 8 5 2" xfId="37369" xr:uid="{00000000-0005-0000-0000-00007E910000}"/>
    <cellStyle name="Total 2 6 2 8 5 3" xfId="37370" xr:uid="{00000000-0005-0000-0000-00007F910000}"/>
    <cellStyle name="Total 2 6 2 8 6" xfId="37371" xr:uid="{00000000-0005-0000-0000-000080910000}"/>
    <cellStyle name="Total 2 6 2 8 7" xfId="37372" xr:uid="{00000000-0005-0000-0000-000081910000}"/>
    <cellStyle name="Total 2 6 2 9" xfId="37373" xr:uid="{00000000-0005-0000-0000-000082910000}"/>
    <cellStyle name="Total 2 6 2 9 2" xfId="37374" xr:uid="{00000000-0005-0000-0000-000083910000}"/>
    <cellStyle name="Total 2 6 2 9 2 2" xfId="37375" xr:uid="{00000000-0005-0000-0000-000084910000}"/>
    <cellStyle name="Total 2 6 2 9 2 3" xfId="37376" xr:uid="{00000000-0005-0000-0000-000085910000}"/>
    <cellStyle name="Total 2 6 2 9 2 4" xfId="37377" xr:uid="{00000000-0005-0000-0000-000086910000}"/>
    <cellStyle name="Total 2 6 2 9 3" xfId="37378" xr:uid="{00000000-0005-0000-0000-000087910000}"/>
    <cellStyle name="Total 2 6 2 9 3 2" xfId="37379" xr:uid="{00000000-0005-0000-0000-000088910000}"/>
    <cellStyle name="Total 2 6 2 9 3 3" xfId="37380" xr:uid="{00000000-0005-0000-0000-000089910000}"/>
    <cellStyle name="Total 2 6 2 9 3 4" xfId="37381" xr:uid="{00000000-0005-0000-0000-00008A910000}"/>
    <cellStyle name="Total 2 6 2 9 4" xfId="37382" xr:uid="{00000000-0005-0000-0000-00008B910000}"/>
    <cellStyle name="Total 2 6 2 9 4 2" xfId="37383" xr:uid="{00000000-0005-0000-0000-00008C910000}"/>
    <cellStyle name="Total 2 6 2 9 4 3" xfId="37384" xr:uid="{00000000-0005-0000-0000-00008D910000}"/>
    <cellStyle name="Total 2 6 2 9 5" xfId="37385" xr:uid="{00000000-0005-0000-0000-00008E910000}"/>
    <cellStyle name="Total 2 6 2 9 5 2" xfId="37386" xr:uid="{00000000-0005-0000-0000-00008F910000}"/>
    <cellStyle name="Total 2 6 2 9 5 3" xfId="37387" xr:uid="{00000000-0005-0000-0000-000090910000}"/>
    <cellStyle name="Total 2 6 2 9 6" xfId="37388" xr:uid="{00000000-0005-0000-0000-000091910000}"/>
    <cellStyle name="Total 2 6 2 9 7" xfId="37389" xr:uid="{00000000-0005-0000-0000-000092910000}"/>
    <cellStyle name="Total 2 6 20" xfId="37218" xr:uid="{00000000-0005-0000-0000-000093910000}"/>
    <cellStyle name="Total 2 6 3" xfId="37390" xr:uid="{00000000-0005-0000-0000-000094910000}"/>
    <cellStyle name="Total 2 6 3 10" xfId="37391" xr:uid="{00000000-0005-0000-0000-000095910000}"/>
    <cellStyle name="Total 2 6 3 10 2" xfId="2013" xr:uid="{00000000-0005-0000-0000-000096910000}"/>
    <cellStyle name="Total 2 6 3 10 2 2" xfId="37392" xr:uid="{00000000-0005-0000-0000-000097910000}"/>
    <cellStyle name="Total 2 6 3 10 2 3" xfId="37393" xr:uid="{00000000-0005-0000-0000-000098910000}"/>
    <cellStyle name="Total 2 6 3 10 2 4" xfId="37394" xr:uid="{00000000-0005-0000-0000-000099910000}"/>
    <cellStyle name="Total 2 6 3 10 3" xfId="37395" xr:uid="{00000000-0005-0000-0000-00009A910000}"/>
    <cellStyle name="Total 2 6 3 10 3 2" xfId="37396" xr:uid="{00000000-0005-0000-0000-00009B910000}"/>
    <cellStyle name="Total 2 6 3 10 3 3" xfId="37397" xr:uid="{00000000-0005-0000-0000-00009C910000}"/>
    <cellStyle name="Total 2 6 3 10 3 4" xfId="37398" xr:uid="{00000000-0005-0000-0000-00009D910000}"/>
    <cellStyle name="Total 2 6 3 10 4" xfId="37399" xr:uid="{00000000-0005-0000-0000-00009E910000}"/>
    <cellStyle name="Total 2 6 3 10 4 2" xfId="37400" xr:uid="{00000000-0005-0000-0000-00009F910000}"/>
    <cellStyle name="Total 2 6 3 10 4 3" xfId="37401" xr:uid="{00000000-0005-0000-0000-0000A0910000}"/>
    <cellStyle name="Total 2 6 3 10 5" xfId="37402" xr:uid="{00000000-0005-0000-0000-0000A1910000}"/>
    <cellStyle name="Total 2 6 3 10 5 2" xfId="37403" xr:uid="{00000000-0005-0000-0000-0000A2910000}"/>
    <cellStyle name="Total 2 6 3 10 5 3" xfId="37404" xr:uid="{00000000-0005-0000-0000-0000A3910000}"/>
    <cellStyle name="Total 2 6 3 10 6" xfId="37405" xr:uid="{00000000-0005-0000-0000-0000A4910000}"/>
    <cellStyle name="Total 2 6 3 10 7" xfId="37406" xr:uid="{00000000-0005-0000-0000-0000A5910000}"/>
    <cellStyle name="Total 2 6 3 11" xfId="37407" xr:uid="{00000000-0005-0000-0000-0000A6910000}"/>
    <cellStyle name="Total 2 6 3 11 2" xfId="3141" xr:uid="{00000000-0005-0000-0000-0000A7910000}"/>
    <cellStyle name="Total 2 6 3 11 3" xfId="37408" xr:uid="{00000000-0005-0000-0000-0000A8910000}"/>
    <cellStyle name="Total 2 6 3 11 4" xfId="37409" xr:uid="{00000000-0005-0000-0000-0000A9910000}"/>
    <cellStyle name="Total 2 6 3 12" xfId="37410" xr:uid="{00000000-0005-0000-0000-0000AA910000}"/>
    <cellStyle name="Total 2 6 3 12 2" xfId="37411" xr:uid="{00000000-0005-0000-0000-0000AB910000}"/>
    <cellStyle name="Total 2 6 3 12 3" xfId="37412" xr:uid="{00000000-0005-0000-0000-0000AC910000}"/>
    <cellStyle name="Total 2 6 3 12 4" xfId="37413" xr:uid="{00000000-0005-0000-0000-0000AD910000}"/>
    <cellStyle name="Total 2 6 3 13" xfId="37414" xr:uid="{00000000-0005-0000-0000-0000AE910000}"/>
    <cellStyle name="Total 2 6 3 13 2" xfId="37415" xr:uid="{00000000-0005-0000-0000-0000AF910000}"/>
    <cellStyle name="Total 2 6 3 13 3" xfId="37416" xr:uid="{00000000-0005-0000-0000-0000B0910000}"/>
    <cellStyle name="Total 2 6 3 14" xfId="37417" xr:uid="{00000000-0005-0000-0000-0000B1910000}"/>
    <cellStyle name="Total 2 6 3 14 2" xfId="37418" xr:uid="{00000000-0005-0000-0000-0000B2910000}"/>
    <cellStyle name="Total 2 6 3 14 3" xfId="37419" xr:uid="{00000000-0005-0000-0000-0000B3910000}"/>
    <cellStyle name="Total 2 6 3 15" xfId="37420" xr:uid="{00000000-0005-0000-0000-0000B4910000}"/>
    <cellStyle name="Total 2 6 3 16" xfId="37421" xr:uid="{00000000-0005-0000-0000-0000B5910000}"/>
    <cellStyle name="Total 2 6 3 2" xfId="37422" xr:uid="{00000000-0005-0000-0000-0000B6910000}"/>
    <cellStyle name="Total 2 6 3 2 2" xfId="37423" xr:uid="{00000000-0005-0000-0000-0000B7910000}"/>
    <cellStyle name="Total 2 6 3 2 2 2" xfId="37424" xr:uid="{00000000-0005-0000-0000-0000B8910000}"/>
    <cellStyle name="Total 2 6 3 2 2 3" xfId="37425" xr:uid="{00000000-0005-0000-0000-0000B9910000}"/>
    <cellStyle name="Total 2 6 3 2 2 4" xfId="37426" xr:uid="{00000000-0005-0000-0000-0000BA910000}"/>
    <cellStyle name="Total 2 6 3 2 3" xfId="37427" xr:uid="{00000000-0005-0000-0000-0000BB910000}"/>
    <cellStyle name="Total 2 6 3 2 3 2" xfId="37428" xr:uid="{00000000-0005-0000-0000-0000BC910000}"/>
    <cellStyle name="Total 2 6 3 2 3 3" xfId="37429" xr:uid="{00000000-0005-0000-0000-0000BD910000}"/>
    <cellStyle name="Total 2 6 3 2 3 4" xfId="37430" xr:uid="{00000000-0005-0000-0000-0000BE910000}"/>
    <cellStyle name="Total 2 6 3 2 4" xfId="37431" xr:uid="{00000000-0005-0000-0000-0000BF910000}"/>
    <cellStyle name="Total 2 6 3 2 4 2" xfId="37432" xr:uid="{00000000-0005-0000-0000-0000C0910000}"/>
    <cellStyle name="Total 2 6 3 2 4 3" xfId="37433" xr:uid="{00000000-0005-0000-0000-0000C1910000}"/>
    <cellStyle name="Total 2 6 3 2 5" xfId="37434" xr:uid="{00000000-0005-0000-0000-0000C2910000}"/>
    <cellStyle name="Total 2 6 3 2 5 2" xfId="37435" xr:uid="{00000000-0005-0000-0000-0000C3910000}"/>
    <cellStyle name="Total 2 6 3 2 5 3" xfId="37436" xr:uid="{00000000-0005-0000-0000-0000C4910000}"/>
    <cellStyle name="Total 2 6 3 2 6" xfId="37437" xr:uid="{00000000-0005-0000-0000-0000C5910000}"/>
    <cellStyle name="Total 2 6 3 2 7" xfId="37438" xr:uid="{00000000-0005-0000-0000-0000C6910000}"/>
    <cellStyle name="Total 2 6 3 3" xfId="20697" xr:uid="{00000000-0005-0000-0000-0000C7910000}"/>
    <cellStyle name="Total 2 6 3 3 2" xfId="37439" xr:uid="{00000000-0005-0000-0000-0000C8910000}"/>
    <cellStyle name="Total 2 6 3 3 2 2" xfId="37440" xr:uid="{00000000-0005-0000-0000-0000C9910000}"/>
    <cellStyle name="Total 2 6 3 3 2 3" xfId="37441" xr:uid="{00000000-0005-0000-0000-0000CA910000}"/>
    <cellStyle name="Total 2 6 3 3 2 4" xfId="37442" xr:uid="{00000000-0005-0000-0000-0000CB910000}"/>
    <cellStyle name="Total 2 6 3 3 3" xfId="37443" xr:uid="{00000000-0005-0000-0000-0000CC910000}"/>
    <cellStyle name="Total 2 6 3 3 3 2" xfId="37444" xr:uid="{00000000-0005-0000-0000-0000CD910000}"/>
    <cellStyle name="Total 2 6 3 3 3 3" xfId="37445" xr:uid="{00000000-0005-0000-0000-0000CE910000}"/>
    <cellStyle name="Total 2 6 3 3 3 4" xfId="37446" xr:uid="{00000000-0005-0000-0000-0000CF910000}"/>
    <cellStyle name="Total 2 6 3 3 4" xfId="37447" xr:uid="{00000000-0005-0000-0000-0000D0910000}"/>
    <cellStyle name="Total 2 6 3 3 4 2" xfId="37448" xr:uid="{00000000-0005-0000-0000-0000D1910000}"/>
    <cellStyle name="Total 2 6 3 3 4 3" xfId="37449" xr:uid="{00000000-0005-0000-0000-0000D2910000}"/>
    <cellStyle name="Total 2 6 3 3 5" xfId="37450" xr:uid="{00000000-0005-0000-0000-0000D3910000}"/>
    <cellStyle name="Total 2 6 3 3 5 2" xfId="37451" xr:uid="{00000000-0005-0000-0000-0000D4910000}"/>
    <cellStyle name="Total 2 6 3 3 5 3" xfId="37452" xr:uid="{00000000-0005-0000-0000-0000D5910000}"/>
    <cellStyle name="Total 2 6 3 3 6" xfId="37453" xr:uid="{00000000-0005-0000-0000-0000D6910000}"/>
    <cellStyle name="Total 2 6 3 3 7" xfId="37454" xr:uid="{00000000-0005-0000-0000-0000D7910000}"/>
    <cellStyle name="Total 2 6 3 4" xfId="21550" xr:uid="{00000000-0005-0000-0000-0000D8910000}"/>
    <cellStyle name="Total 2 6 3 4 2" xfId="37455" xr:uid="{00000000-0005-0000-0000-0000D9910000}"/>
    <cellStyle name="Total 2 6 3 4 2 2" xfId="37456" xr:uid="{00000000-0005-0000-0000-0000DA910000}"/>
    <cellStyle name="Total 2 6 3 4 2 3" xfId="37457" xr:uid="{00000000-0005-0000-0000-0000DB910000}"/>
    <cellStyle name="Total 2 6 3 4 2 4" xfId="37458" xr:uid="{00000000-0005-0000-0000-0000DC910000}"/>
    <cellStyle name="Total 2 6 3 4 3" xfId="37459" xr:uid="{00000000-0005-0000-0000-0000DD910000}"/>
    <cellStyle name="Total 2 6 3 4 3 2" xfId="37460" xr:uid="{00000000-0005-0000-0000-0000DE910000}"/>
    <cellStyle name="Total 2 6 3 4 3 3" xfId="37461" xr:uid="{00000000-0005-0000-0000-0000DF910000}"/>
    <cellStyle name="Total 2 6 3 4 3 4" xfId="37462" xr:uid="{00000000-0005-0000-0000-0000E0910000}"/>
    <cellStyle name="Total 2 6 3 4 4" xfId="37463" xr:uid="{00000000-0005-0000-0000-0000E1910000}"/>
    <cellStyle name="Total 2 6 3 4 4 2" xfId="37464" xr:uid="{00000000-0005-0000-0000-0000E2910000}"/>
    <cellStyle name="Total 2 6 3 4 4 3" xfId="37465" xr:uid="{00000000-0005-0000-0000-0000E3910000}"/>
    <cellStyle name="Total 2 6 3 4 5" xfId="37466" xr:uid="{00000000-0005-0000-0000-0000E4910000}"/>
    <cellStyle name="Total 2 6 3 4 5 2" xfId="37467" xr:uid="{00000000-0005-0000-0000-0000E5910000}"/>
    <cellStyle name="Total 2 6 3 4 5 3" xfId="37468" xr:uid="{00000000-0005-0000-0000-0000E6910000}"/>
    <cellStyle name="Total 2 6 3 4 6" xfId="37469" xr:uid="{00000000-0005-0000-0000-0000E7910000}"/>
    <cellStyle name="Total 2 6 3 4 7" xfId="37470" xr:uid="{00000000-0005-0000-0000-0000E8910000}"/>
    <cellStyle name="Total 2 6 3 5" xfId="37471" xr:uid="{00000000-0005-0000-0000-0000E9910000}"/>
    <cellStyle name="Total 2 6 3 5 2" xfId="37472" xr:uid="{00000000-0005-0000-0000-0000EA910000}"/>
    <cellStyle name="Total 2 6 3 5 2 2" xfId="37473" xr:uid="{00000000-0005-0000-0000-0000EB910000}"/>
    <cellStyle name="Total 2 6 3 5 2 3" xfId="37474" xr:uid="{00000000-0005-0000-0000-0000EC910000}"/>
    <cellStyle name="Total 2 6 3 5 2 4" xfId="37475" xr:uid="{00000000-0005-0000-0000-0000ED910000}"/>
    <cellStyle name="Total 2 6 3 5 3" xfId="37476" xr:uid="{00000000-0005-0000-0000-0000EE910000}"/>
    <cellStyle name="Total 2 6 3 5 3 2" xfId="37477" xr:uid="{00000000-0005-0000-0000-0000EF910000}"/>
    <cellStyle name="Total 2 6 3 5 3 3" xfId="37478" xr:uid="{00000000-0005-0000-0000-0000F0910000}"/>
    <cellStyle name="Total 2 6 3 5 3 4" xfId="37479" xr:uid="{00000000-0005-0000-0000-0000F1910000}"/>
    <cellStyle name="Total 2 6 3 5 4" xfId="37480" xr:uid="{00000000-0005-0000-0000-0000F2910000}"/>
    <cellStyle name="Total 2 6 3 5 4 2" xfId="37481" xr:uid="{00000000-0005-0000-0000-0000F3910000}"/>
    <cellStyle name="Total 2 6 3 5 4 3" xfId="37482" xr:uid="{00000000-0005-0000-0000-0000F4910000}"/>
    <cellStyle name="Total 2 6 3 5 5" xfId="37483" xr:uid="{00000000-0005-0000-0000-0000F5910000}"/>
    <cellStyle name="Total 2 6 3 5 5 2" xfId="37484" xr:uid="{00000000-0005-0000-0000-0000F6910000}"/>
    <cellStyle name="Total 2 6 3 5 5 3" xfId="37485" xr:uid="{00000000-0005-0000-0000-0000F7910000}"/>
    <cellStyle name="Total 2 6 3 5 6" xfId="37486" xr:uid="{00000000-0005-0000-0000-0000F8910000}"/>
    <cellStyle name="Total 2 6 3 5 7" xfId="37487" xr:uid="{00000000-0005-0000-0000-0000F9910000}"/>
    <cellStyle name="Total 2 6 3 6" xfId="37488" xr:uid="{00000000-0005-0000-0000-0000FA910000}"/>
    <cellStyle name="Total 2 6 3 6 2" xfId="37489" xr:uid="{00000000-0005-0000-0000-0000FB910000}"/>
    <cellStyle name="Total 2 6 3 6 2 2" xfId="37490" xr:uid="{00000000-0005-0000-0000-0000FC910000}"/>
    <cellStyle name="Total 2 6 3 6 2 3" xfId="37491" xr:uid="{00000000-0005-0000-0000-0000FD910000}"/>
    <cellStyle name="Total 2 6 3 6 2 4" xfId="37492" xr:uid="{00000000-0005-0000-0000-0000FE910000}"/>
    <cellStyle name="Total 2 6 3 6 3" xfId="37493" xr:uid="{00000000-0005-0000-0000-0000FF910000}"/>
    <cellStyle name="Total 2 6 3 6 3 2" xfId="37494" xr:uid="{00000000-0005-0000-0000-000000920000}"/>
    <cellStyle name="Total 2 6 3 6 3 3" xfId="37495" xr:uid="{00000000-0005-0000-0000-000001920000}"/>
    <cellStyle name="Total 2 6 3 6 3 4" xfId="37496" xr:uid="{00000000-0005-0000-0000-000002920000}"/>
    <cellStyle name="Total 2 6 3 6 4" xfId="37497" xr:uid="{00000000-0005-0000-0000-000003920000}"/>
    <cellStyle name="Total 2 6 3 6 4 2" xfId="37498" xr:uid="{00000000-0005-0000-0000-000004920000}"/>
    <cellStyle name="Total 2 6 3 6 4 3" xfId="37499" xr:uid="{00000000-0005-0000-0000-000005920000}"/>
    <cellStyle name="Total 2 6 3 6 5" xfId="37500" xr:uid="{00000000-0005-0000-0000-000006920000}"/>
    <cellStyle name="Total 2 6 3 6 5 2" xfId="37501" xr:uid="{00000000-0005-0000-0000-000007920000}"/>
    <cellStyle name="Total 2 6 3 6 5 3" xfId="37502" xr:uid="{00000000-0005-0000-0000-000008920000}"/>
    <cellStyle name="Total 2 6 3 6 6" xfId="37503" xr:uid="{00000000-0005-0000-0000-000009920000}"/>
    <cellStyle name="Total 2 6 3 6 7" xfId="37504" xr:uid="{00000000-0005-0000-0000-00000A920000}"/>
    <cellStyle name="Total 2 6 3 7" xfId="37505" xr:uid="{00000000-0005-0000-0000-00000B920000}"/>
    <cellStyle name="Total 2 6 3 7 2" xfId="37506" xr:uid="{00000000-0005-0000-0000-00000C920000}"/>
    <cellStyle name="Total 2 6 3 7 2 2" xfId="37507" xr:uid="{00000000-0005-0000-0000-00000D920000}"/>
    <cellStyle name="Total 2 6 3 7 2 3" xfId="37508" xr:uid="{00000000-0005-0000-0000-00000E920000}"/>
    <cellStyle name="Total 2 6 3 7 2 4" xfId="37509" xr:uid="{00000000-0005-0000-0000-00000F920000}"/>
    <cellStyle name="Total 2 6 3 7 3" xfId="37510" xr:uid="{00000000-0005-0000-0000-000010920000}"/>
    <cellStyle name="Total 2 6 3 7 3 2" xfId="37511" xr:uid="{00000000-0005-0000-0000-000011920000}"/>
    <cellStyle name="Total 2 6 3 7 3 3" xfId="37512" xr:uid="{00000000-0005-0000-0000-000012920000}"/>
    <cellStyle name="Total 2 6 3 7 3 4" xfId="37513" xr:uid="{00000000-0005-0000-0000-000013920000}"/>
    <cellStyle name="Total 2 6 3 7 4" xfId="37514" xr:uid="{00000000-0005-0000-0000-000014920000}"/>
    <cellStyle name="Total 2 6 3 7 4 2" xfId="37515" xr:uid="{00000000-0005-0000-0000-000015920000}"/>
    <cellStyle name="Total 2 6 3 7 4 3" xfId="37516" xr:uid="{00000000-0005-0000-0000-000016920000}"/>
    <cellStyle name="Total 2 6 3 7 5" xfId="37517" xr:uid="{00000000-0005-0000-0000-000017920000}"/>
    <cellStyle name="Total 2 6 3 7 5 2" xfId="37518" xr:uid="{00000000-0005-0000-0000-000018920000}"/>
    <cellStyle name="Total 2 6 3 7 5 3" xfId="37519" xr:uid="{00000000-0005-0000-0000-000019920000}"/>
    <cellStyle name="Total 2 6 3 7 6" xfId="37520" xr:uid="{00000000-0005-0000-0000-00001A920000}"/>
    <cellStyle name="Total 2 6 3 7 7" xfId="37521" xr:uid="{00000000-0005-0000-0000-00001B920000}"/>
    <cellStyle name="Total 2 6 3 8" xfId="37522" xr:uid="{00000000-0005-0000-0000-00001C920000}"/>
    <cellStyle name="Total 2 6 3 8 2" xfId="37523" xr:uid="{00000000-0005-0000-0000-00001D920000}"/>
    <cellStyle name="Total 2 6 3 8 2 2" xfId="37524" xr:uid="{00000000-0005-0000-0000-00001E920000}"/>
    <cellStyle name="Total 2 6 3 8 2 3" xfId="37525" xr:uid="{00000000-0005-0000-0000-00001F920000}"/>
    <cellStyle name="Total 2 6 3 8 2 4" xfId="37526" xr:uid="{00000000-0005-0000-0000-000020920000}"/>
    <cellStyle name="Total 2 6 3 8 3" xfId="37527" xr:uid="{00000000-0005-0000-0000-000021920000}"/>
    <cellStyle name="Total 2 6 3 8 3 2" xfId="37528" xr:uid="{00000000-0005-0000-0000-000022920000}"/>
    <cellStyle name="Total 2 6 3 8 3 3" xfId="37529" xr:uid="{00000000-0005-0000-0000-000023920000}"/>
    <cellStyle name="Total 2 6 3 8 3 4" xfId="37530" xr:uid="{00000000-0005-0000-0000-000024920000}"/>
    <cellStyle name="Total 2 6 3 8 4" xfId="37531" xr:uid="{00000000-0005-0000-0000-000025920000}"/>
    <cellStyle name="Total 2 6 3 8 4 2" xfId="37532" xr:uid="{00000000-0005-0000-0000-000026920000}"/>
    <cellStyle name="Total 2 6 3 8 4 3" xfId="37533" xr:uid="{00000000-0005-0000-0000-000027920000}"/>
    <cellStyle name="Total 2 6 3 8 5" xfId="37534" xr:uid="{00000000-0005-0000-0000-000028920000}"/>
    <cellStyle name="Total 2 6 3 8 5 2" xfId="37535" xr:uid="{00000000-0005-0000-0000-000029920000}"/>
    <cellStyle name="Total 2 6 3 8 5 3" xfId="37536" xr:uid="{00000000-0005-0000-0000-00002A920000}"/>
    <cellStyle name="Total 2 6 3 8 6" xfId="37537" xr:uid="{00000000-0005-0000-0000-00002B920000}"/>
    <cellStyle name="Total 2 6 3 8 7" xfId="37538" xr:uid="{00000000-0005-0000-0000-00002C920000}"/>
    <cellStyle name="Total 2 6 3 9" xfId="37539" xr:uid="{00000000-0005-0000-0000-00002D920000}"/>
    <cellStyle name="Total 2 6 3 9 2" xfId="37540" xr:uid="{00000000-0005-0000-0000-00002E920000}"/>
    <cellStyle name="Total 2 6 3 9 2 2" xfId="37541" xr:uid="{00000000-0005-0000-0000-00002F920000}"/>
    <cellStyle name="Total 2 6 3 9 2 3" xfId="37542" xr:uid="{00000000-0005-0000-0000-000030920000}"/>
    <cellStyle name="Total 2 6 3 9 2 4" xfId="37543" xr:uid="{00000000-0005-0000-0000-000031920000}"/>
    <cellStyle name="Total 2 6 3 9 3" xfId="37544" xr:uid="{00000000-0005-0000-0000-000032920000}"/>
    <cellStyle name="Total 2 6 3 9 3 2" xfId="37545" xr:uid="{00000000-0005-0000-0000-000033920000}"/>
    <cellStyle name="Total 2 6 3 9 3 3" xfId="37546" xr:uid="{00000000-0005-0000-0000-000034920000}"/>
    <cellStyle name="Total 2 6 3 9 3 4" xfId="37547" xr:uid="{00000000-0005-0000-0000-000035920000}"/>
    <cellStyle name="Total 2 6 3 9 4" xfId="37548" xr:uid="{00000000-0005-0000-0000-000036920000}"/>
    <cellStyle name="Total 2 6 3 9 4 2" xfId="37549" xr:uid="{00000000-0005-0000-0000-000037920000}"/>
    <cellStyle name="Total 2 6 3 9 4 3" xfId="37550" xr:uid="{00000000-0005-0000-0000-000038920000}"/>
    <cellStyle name="Total 2 6 3 9 5" xfId="37551" xr:uid="{00000000-0005-0000-0000-000039920000}"/>
    <cellStyle name="Total 2 6 3 9 5 2" xfId="37552" xr:uid="{00000000-0005-0000-0000-00003A920000}"/>
    <cellStyle name="Total 2 6 3 9 5 3" xfId="37553" xr:uid="{00000000-0005-0000-0000-00003B920000}"/>
    <cellStyle name="Total 2 6 3 9 6" xfId="37554" xr:uid="{00000000-0005-0000-0000-00003C920000}"/>
    <cellStyle name="Total 2 6 3 9 7" xfId="37555" xr:uid="{00000000-0005-0000-0000-00003D920000}"/>
    <cellStyle name="Total 2 6 4" xfId="37556" xr:uid="{00000000-0005-0000-0000-00003E920000}"/>
    <cellStyle name="Total 2 6 4 2" xfId="37557" xr:uid="{00000000-0005-0000-0000-00003F920000}"/>
    <cellStyle name="Total 2 6 4 2 2" xfId="37558" xr:uid="{00000000-0005-0000-0000-000040920000}"/>
    <cellStyle name="Total 2 6 4 2 3" xfId="37559" xr:uid="{00000000-0005-0000-0000-000041920000}"/>
    <cellStyle name="Total 2 6 4 2 4" xfId="37560" xr:uid="{00000000-0005-0000-0000-000042920000}"/>
    <cellStyle name="Total 2 6 4 3" xfId="21557" xr:uid="{00000000-0005-0000-0000-000043920000}"/>
    <cellStyle name="Total 2 6 4 3 2" xfId="37561" xr:uid="{00000000-0005-0000-0000-000044920000}"/>
    <cellStyle name="Total 2 6 4 3 3" xfId="37562" xr:uid="{00000000-0005-0000-0000-000045920000}"/>
    <cellStyle name="Total 2 6 4 3 4" xfId="37563" xr:uid="{00000000-0005-0000-0000-000046920000}"/>
    <cellStyle name="Total 2 6 4 4" xfId="21560" xr:uid="{00000000-0005-0000-0000-000047920000}"/>
    <cellStyle name="Total 2 6 4 4 2" xfId="37564" xr:uid="{00000000-0005-0000-0000-000048920000}"/>
    <cellStyle name="Total 2 6 4 4 3" xfId="37565" xr:uid="{00000000-0005-0000-0000-000049920000}"/>
    <cellStyle name="Total 2 6 4 5" xfId="37566" xr:uid="{00000000-0005-0000-0000-00004A920000}"/>
    <cellStyle name="Total 2 6 4 5 2" xfId="37567" xr:uid="{00000000-0005-0000-0000-00004B920000}"/>
    <cellStyle name="Total 2 6 4 5 3" xfId="37568" xr:uid="{00000000-0005-0000-0000-00004C920000}"/>
    <cellStyle name="Total 2 6 4 6" xfId="37569" xr:uid="{00000000-0005-0000-0000-00004D920000}"/>
    <cellStyle name="Total 2 6 4 7" xfId="37570" xr:uid="{00000000-0005-0000-0000-00004E920000}"/>
    <cellStyle name="Total 2 6 5" xfId="37571" xr:uid="{00000000-0005-0000-0000-00004F920000}"/>
    <cellStyle name="Total 2 6 5 2" xfId="37572" xr:uid="{00000000-0005-0000-0000-000050920000}"/>
    <cellStyle name="Total 2 6 5 2 2" xfId="37573" xr:uid="{00000000-0005-0000-0000-000051920000}"/>
    <cellStyle name="Total 2 6 5 2 3" xfId="37574" xr:uid="{00000000-0005-0000-0000-000052920000}"/>
    <cellStyle name="Total 2 6 5 2 4" xfId="37575" xr:uid="{00000000-0005-0000-0000-000053920000}"/>
    <cellStyle name="Total 2 6 5 3" xfId="37576" xr:uid="{00000000-0005-0000-0000-000054920000}"/>
    <cellStyle name="Total 2 6 5 3 2" xfId="37577" xr:uid="{00000000-0005-0000-0000-000055920000}"/>
    <cellStyle name="Total 2 6 5 3 3" xfId="37578" xr:uid="{00000000-0005-0000-0000-000056920000}"/>
    <cellStyle name="Total 2 6 5 3 4" xfId="37579" xr:uid="{00000000-0005-0000-0000-000057920000}"/>
    <cellStyle name="Total 2 6 5 4" xfId="37580" xr:uid="{00000000-0005-0000-0000-000058920000}"/>
    <cellStyle name="Total 2 6 5 4 2" xfId="37581" xr:uid="{00000000-0005-0000-0000-000059920000}"/>
    <cellStyle name="Total 2 6 5 4 3" xfId="37582" xr:uid="{00000000-0005-0000-0000-00005A920000}"/>
    <cellStyle name="Total 2 6 5 5" xfId="37583" xr:uid="{00000000-0005-0000-0000-00005B920000}"/>
    <cellStyle name="Total 2 6 5 5 2" xfId="37584" xr:uid="{00000000-0005-0000-0000-00005C920000}"/>
    <cellStyle name="Total 2 6 5 5 3" xfId="37585" xr:uid="{00000000-0005-0000-0000-00005D920000}"/>
    <cellStyle name="Total 2 6 5 6" xfId="37586" xr:uid="{00000000-0005-0000-0000-00005E920000}"/>
    <cellStyle name="Total 2 6 5 7" xfId="37587" xr:uid="{00000000-0005-0000-0000-00005F920000}"/>
    <cellStyle name="Total 2 6 6" xfId="37588" xr:uid="{00000000-0005-0000-0000-000060920000}"/>
    <cellStyle name="Total 2 6 6 2" xfId="37589" xr:uid="{00000000-0005-0000-0000-000061920000}"/>
    <cellStyle name="Total 2 6 6 2 2" xfId="37590" xr:uid="{00000000-0005-0000-0000-000062920000}"/>
    <cellStyle name="Total 2 6 6 2 3" xfId="37591" xr:uid="{00000000-0005-0000-0000-000063920000}"/>
    <cellStyle name="Total 2 6 6 2 4" xfId="37592" xr:uid="{00000000-0005-0000-0000-000064920000}"/>
    <cellStyle name="Total 2 6 6 3" xfId="37593" xr:uid="{00000000-0005-0000-0000-000065920000}"/>
    <cellStyle name="Total 2 6 6 3 2" xfId="37594" xr:uid="{00000000-0005-0000-0000-000066920000}"/>
    <cellStyle name="Total 2 6 6 3 3" xfId="37595" xr:uid="{00000000-0005-0000-0000-000067920000}"/>
    <cellStyle name="Total 2 6 6 3 4" xfId="37596" xr:uid="{00000000-0005-0000-0000-000068920000}"/>
    <cellStyle name="Total 2 6 6 4" xfId="37597" xr:uid="{00000000-0005-0000-0000-000069920000}"/>
    <cellStyle name="Total 2 6 6 4 2" xfId="37598" xr:uid="{00000000-0005-0000-0000-00006A920000}"/>
    <cellStyle name="Total 2 6 6 4 3" xfId="37599" xr:uid="{00000000-0005-0000-0000-00006B920000}"/>
    <cellStyle name="Total 2 6 6 5" xfId="37600" xr:uid="{00000000-0005-0000-0000-00006C920000}"/>
    <cellStyle name="Total 2 6 6 5 2" xfId="37601" xr:uid="{00000000-0005-0000-0000-00006D920000}"/>
    <cellStyle name="Total 2 6 6 5 3" xfId="37602" xr:uid="{00000000-0005-0000-0000-00006E920000}"/>
    <cellStyle name="Total 2 6 6 6" xfId="37603" xr:uid="{00000000-0005-0000-0000-00006F920000}"/>
    <cellStyle name="Total 2 6 6 7" xfId="37604" xr:uid="{00000000-0005-0000-0000-000070920000}"/>
    <cellStyle name="Total 2 6 7" xfId="37605" xr:uid="{00000000-0005-0000-0000-000071920000}"/>
    <cellStyle name="Total 2 6 7 2" xfId="37606" xr:uid="{00000000-0005-0000-0000-000072920000}"/>
    <cellStyle name="Total 2 6 7 2 2" xfId="37607" xr:uid="{00000000-0005-0000-0000-000073920000}"/>
    <cellStyle name="Total 2 6 7 2 3" xfId="37608" xr:uid="{00000000-0005-0000-0000-000074920000}"/>
    <cellStyle name="Total 2 6 7 2 4" xfId="37609" xr:uid="{00000000-0005-0000-0000-000075920000}"/>
    <cellStyle name="Total 2 6 7 3" xfId="37610" xr:uid="{00000000-0005-0000-0000-000076920000}"/>
    <cellStyle name="Total 2 6 7 3 2" xfId="37611" xr:uid="{00000000-0005-0000-0000-000077920000}"/>
    <cellStyle name="Total 2 6 7 3 3" xfId="37612" xr:uid="{00000000-0005-0000-0000-000078920000}"/>
    <cellStyle name="Total 2 6 7 3 4" xfId="37613" xr:uid="{00000000-0005-0000-0000-000079920000}"/>
    <cellStyle name="Total 2 6 7 4" xfId="37614" xr:uid="{00000000-0005-0000-0000-00007A920000}"/>
    <cellStyle name="Total 2 6 7 4 2" xfId="37615" xr:uid="{00000000-0005-0000-0000-00007B920000}"/>
    <cellStyle name="Total 2 6 7 4 3" xfId="37616" xr:uid="{00000000-0005-0000-0000-00007C920000}"/>
    <cellStyle name="Total 2 6 7 5" xfId="37617" xr:uid="{00000000-0005-0000-0000-00007D920000}"/>
    <cellStyle name="Total 2 6 7 5 2" xfId="37618" xr:uid="{00000000-0005-0000-0000-00007E920000}"/>
    <cellStyle name="Total 2 6 7 5 3" xfId="37619" xr:uid="{00000000-0005-0000-0000-00007F920000}"/>
    <cellStyle name="Total 2 6 7 6" xfId="37620" xr:uid="{00000000-0005-0000-0000-000080920000}"/>
    <cellStyle name="Total 2 6 7 7" xfId="37621" xr:uid="{00000000-0005-0000-0000-000081920000}"/>
    <cellStyle name="Total 2 6 8" xfId="37622" xr:uid="{00000000-0005-0000-0000-000082920000}"/>
    <cellStyle name="Total 2 6 8 2" xfId="37623" xr:uid="{00000000-0005-0000-0000-000083920000}"/>
    <cellStyle name="Total 2 6 8 2 2" xfId="37624" xr:uid="{00000000-0005-0000-0000-000084920000}"/>
    <cellStyle name="Total 2 6 8 2 3" xfId="37625" xr:uid="{00000000-0005-0000-0000-000085920000}"/>
    <cellStyle name="Total 2 6 8 2 4" xfId="37626" xr:uid="{00000000-0005-0000-0000-000086920000}"/>
    <cellStyle name="Total 2 6 8 3" xfId="37627" xr:uid="{00000000-0005-0000-0000-000087920000}"/>
    <cellStyle name="Total 2 6 8 3 2" xfId="37628" xr:uid="{00000000-0005-0000-0000-000088920000}"/>
    <cellStyle name="Total 2 6 8 3 3" xfId="37629" xr:uid="{00000000-0005-0000-0000-000089920000}"/>
    <cellStyle name="Total 2 6 8 3 4" xfId="37630" xr:uid="{00000000-0005-0000-0000-00008A920000}"/>
    <cellStyle name="Total 2 6 8 4" xfId="37631" xr:uid="{00000000-0005-0000-0000-00008B920000}"/>
    <cellStyle name="Total 2 6 8 4 2" xfId="37632" xr:uid="{00000000-0005-0000-0000-00008C920000}"/>
    <cellStyle name="Total 2 6 8 4 3" xfId="37633" xr:uid="{00000000-0005-0000-0000-00008D920000}"/>
    <cellStyle name="Total 2 6 8 5" xfId="37634" xr:uid="{00000000-0005-0000-0000-00008E920000}"/>
    <cellStyle name="Total 2 6 8 5 2" xfId="37635" xr:uid="{00000000-0005-0000-0000-00008F920000}"/>
    <cellStyle name="Total 2 6 8 5 3" xfId="37636" xr:uid="{00000000-0005-0000-0000-000090920000}"/>
    <cellStyle name="Total 2 6 8 6" xfId="37637" xr:uid="{00000000-0005-0000-0000-000091920000}"/>
    <cellStyle name="Total 2 6 8 7" xfId="37638" xr:uid="{00000000-0005-0000-0000-000092920000}"/>
    <cellStyle name="Total 2 6 9" xfId="37639" xr:uid="{00000000-0005-0000-0000-000093920000}"/>
    <cellStyle name="Total 2 6 9 2" xfId="37640" xr:uid="{00000000-0005-0000-0000-000094920000}"/>
    <cellStyle name="Total 2 6 9 2 2" xfId="37641" xr:uid="{00000000-0005-0000-0000-000095920000}"/>
    <cellStyle name="Total 2 6 9 2 3" xfId="37642" xr:uid="{00000000-0005-0000-0000-000096920000}"/>
    <cellStyle name="Total 2 6 9 2 4" xfId="37643" xr:uid="{00000000-0005-0000-0000-000097920000}"/>
    <cellStyle name="Total 2 6 9 3" xfId="37644" xr:uid="{00000000-0005-0000-0000-000098920000}"/>
    <cellStyle name="Total 2 6 9 3 2" xfId="37645" xr:uid="{00000000-0005-0000-0000-000099920000}"/>
    <cellStyle name="Total 2 6 9 3 3" xfId="37646" xr:uid="{00000000-0005-0000-0000-00009A920000}"/>
    <cellStyle name="Total 2 6 9 3 4" xfId="37647" xr:uid="{00000000-0005-0000-0000-00009B920000}"/>
    <cellStyle name="Total 2 6 9 4" xfId="37648" xr:uid="{00000000-0005-0000-0000-00009C920000}"/>
    <cellStyle name="Total 2 6 9 4 2" xfId="37649" xr:uid="{00000000-0005-0000-0000-00009D920000}"/>
    <cellStyle name="Total 2 6 9 4 3" xfId="37650" xr:uid="{00000000-0005-0000-0000-00009E920000}"/>
    <cellStyle name="Total 2 6 9 5" xfId="37651" xr:uid="{00000000-0005-0000-0000-00009F920000}"/>
    <cellStyle name="Total 2 6 9 5 2" xfId="37652" xr:uid="{00000000-0005-0000-0000-0000A0920000}"/>
    <cellStyle name="Total 2 6 9 5 3" xfId="37653" xr:uid="{00000000-0005-0000-0000-0000A1920000}"/>
    <cellStyle name="Total 2 6 9 6" xfId="37654" xr:uid="{00000000-0005-0000-0000-0000A2920000}"/>
    <cellStyle name="Total 2 6 9 7" xfId="37655" xr:uid="{00000000-0005-0000-0000-0000A3920000}"/>
    <cellStyle name="Total 2 7" xfId="37656" xr:uid="{00000000-0005-0000-0000-0000A4920000}"/>
    <cellStyle name="Total 2 7 10" xfId="37657" xr:uid="{00000000-0005-0000-0000-0000A5920000}"/>
    <cellStyle name="Total 2 7 10 2" xfId="37658" xr:uid="{00000000-0005-0000-0000-0000A6920000}"/>
    <cellStyle name="Total 2 7 10 2 2" xfId="37659" xr:uid="{00000000-0005-0000-0000-0000A7920000}"/>
    <cellStyle name="Total 2 7 10 2 3" xfId="37660" xr:uid="{00000000-0005-0000-0000-0000A8920000}"/>
    <cellStyle name="Total 2 7 10 2 4" xfId="37661" xr:uid="{00000000-0005-0000-0000-0000A9920000}"/>
    <cellStyle name="Total 2 7 10 3" xfId="37662" xr:uid="{00000000-0005-0000-0000-0000AA920000}"/>
    <cellStyle name="Total 2 7 10 3 2" xfId="37663" xr:uid="{00000000-0005-0000-0000-0000AB920000}"/>
    <cellStyle name="Total 2 7 10 3 3" xfId="37664" xr:uid="{00000000-0005-0000-0000-0000AC920000}"/>
    <cellStyle name="Total 2 7 10 3 4" xfId="37665" xr:uid="{00000000-0005-0000-0000-0000AD920000}"/>
    <cellStyle name="Total 2 7 10 4" xfId="37666" xr:uid="{00000000-0005-0000-0000-0000AE920000}"/>
    <cellStyle name="Total 2 7 10 4 2" xfId="37667" xr:uid="{00000000-0005-0000-0000-0000AF920000}"/>
    <cellStyle name="Total 2 7 10 4 3" xfId="37668" xr:uid="{00000000-0005-0000-0000-0000B0920000}"/>
    <cellStyle name="Total 2 7 10 5" xfId="37669" xr:uid="{00000000-0005-0000-0000-0000B1920000}"/>
    <cellStyle name="Total 2 7 10 5 2" xfId="37670" xr:uid="{00000000-0005-0000-0000-0000B2920000}"/>
    <cellStyle name="Total 2 7 10 5 3" xfId="37671" xr:uid="{00000000-0005-0000-0000-0000B3920000}"/>
    <cellStyle name="Total 2 7 10 6" xfId="37672" xr:uid="{00000000-0005-0000-0000-0000B4920000}"/>
    <cellStyle name="Total 2 7 10 7" xfId="37673" xr:uid="{00000000-0005-0000-0000-0000B5920000}"/>
    <cellStyle name="Total 2 7 11" xfId="37674" xr:uid="{00000000-0005-0000-0000-0000B6920000}"/>
    <cellStyle name="Total 2 7 11 2" xfId="37675" xr:uid="{00000000-0005-0000-0000-0000B7920000}"/>
    <cellStyle name="Total 2 7 11 2 2" xfId="37676" xr:uid="{00000000-0005-0000-0000-0000B8920000}"/>
    <cellStyle name="Total 2 7 11 2 3" xfId="37677" xr:uid="{00000000-0005-0000-0000-0000B9920000}"/>
    <cellStyle name="Total 2 7 11 2 4" xfId="37678" xr:uid="{00000000-0005-0000-0000-0000BA920000}"/>
    <cellStyle name="Total 2 7 11 3" xfId="37679" xr:uid="{00000000-0005-0000-0000-0000BB920000}"/>
    <cellStyle name="Total 2 7 11 3 2" xfId="37680" xr:uid="{00000000-0005-0000-0000-0000BC920000}"/>
    <cellStyle name="Total 2 7 11 3 3" xfId="37681" xr:uid="{00000000-0005-0000-0000-0000BD920000}"/>
    <cellStyle name="Total 2 7 11 3 4" xfId="37682" xr:uid="{00000000-0005-0000-0000-0000BE920000}"/>
    <cellStyle name="Total 2 7 11 4" xfId="37683" xr:uid="{00000000-0005-0000-0000-0000BF920000}"/>
    <cellStyle name="Total 2 7 11 4 2" xfId="37684" xr:uid="{00000000-0005-0000-0000-0000C0920000}"/>
    <cellStyle name="Total 2 7 11 4 3" xfId="37685" xr:uid="{00000000-0005-0000-0000-0000C1920000}"/>
    <cellStyle name="Total 2 7 11 5" xfId="37686" xr:uid="{00000000-0005-0000-0000-0000C2920000}"/>
    <cellStyle name="Total 2 7 11 5 2" xfId="37687" xr:uid="{00000000-0005-0000-0000-0000C3920000}"/>
    <cellStyle name="Total 2 7 11 5 3" xfId="37688" xr:uid="{00000000-0005-0000-0000-0000C4920000}"/>
    <cellStyle name="Total 2 7 11 6" xfId="37689" xr:uid="{00000000-0005-0000-0000-0000C5920000}"/>
    <cellStyle name="Total 2 7 11 7" xfId="37690" xr:uid="{00000000-0005-0000-0000-0000C6920000}"/>
    <cellStyle name="Total 2 7 12" xfId="37691" xr:uid="{00000000-0005-0000-0000-0000C7920000}"/>
    <cellStyle name="Total 2 7 12 2" xfId="37692" xr:uid="{00000000-0005-0000-0000-0000C8920000}"/>
    <cellStyle name="Total 2 7 12 2 2" xfId="37693" xr:uid="{00000000-0005-0000-0000-0000C9920000}"/>
    <cellStyle name="Total 2 7 12 2 3" xfId="37694" xr:uid="{00000000-0005-0000-0000-0000CA920000}"/>
    <cellStyle name="Total 2 7 12 2 4" xfId="37695" xr:uid="{00000000-0005-0000-0000-0000CB920000}"/>
    <cellStyle name="Total 2 7 12 3" xfId="37696" xr:uid="{00000000-0005-0000-0000-0000CC920000}"/>
    <cellStyle name="Total 2 7 12 3 2" xfId="37697" xr:uid="{00000000-0005-0000-0000-0000CD920000}"/>
    <cellStyle name="Total 2 7 12 3 3" xfId="37698" xr:uid="{00000000-0005-0000-0000-0000CE920000}"/>
    <cellStyle name="Total 2 7 12 3 4" xfId="37699" xr:uid="{00000000-0005-0000-0000-0000CF920000}"/>
    <cellStyle name="Total 2 7 12 4" xfId="37700" xr:uid="{00000000-0005-0000-0000-0000D0920000}"/>
    <cellStyle name="Total 2 7 12 4 2" xfId="37701" xr:uid="{00000000-0005-0000-0000-0000D1920000}"/>
    <cellStyle name="Total 2 7 12 4 3" xfId="37702" xr:uid="{00000000-0005-0000-0000-0000D2920000}"/>
    <cellStyle name="Total 2 7 12 5" xfId="37703" xr:uid="{00000000-0005-0000-0000-0000D3920000}"/>
    <cellStyle name="Total 2 7 12 5 2" xfId="37704" xr:uid="{00000000-0005-0000-0000-0000D4920000}"/>
    <cellStyle name="Total 2 7 12 5 3" xfId="37705" xr:uid="{00000000-0005-0000-0000-0000D5920000}"/>
    <cellStyle name="Total 2 7 12 6" xfId="37706" xr:uid="{00000000-0005-0000-0000-0000D6920000}"/>
    <cellStyle name="Total 2 7 12 7" xfId="37707" xr:uid="{00000000-0005-0000-0000-0000D7920000}"/>
    <cellStyle name="Total 2 7 13" xfId="37708" xr:uid="{00000000-0005-0000-0000-0000D8920000}"/>
    <cellStyle name="Total 2 7 13 2" xfId="37709" xr:uid="{00000000-0005-0000-0000-0000D9920000}"/>
    <cellStyle name="Total 2 7 13 3" xfId="37710" xr:uid="{00000000-0005-0000-0000-0000DA920000}"/>
    <cellStyle name="Total 2 7 13 4" xfId="37711" xr:uid="{00000000-0005-0000-0000-0000DB920000}"/>
    <cellStyle name="Total 2 7 14" xfId="37712" xr:uid="{00000000-0005-0000-0000-0000DC920000}"/>
    <cellStyle name="Total 2 7 14 2" xfId="37713" xr:uid="{00000000-0005-0000-0000-0000DD920000}"/>
    <cellStyle name="Total 2 7 14 3" xfId="37714" xr:uid="{00000000-0005-0000-0000-0000DE920000}"/>
    <cellStyle name="Total 2 7 14 4" xfId="37715" xr:uid="{00000000-0005-0000-0000-0000DF920000}"/>
    <cellStyle name="Total 2 7 15" xfId="37716" xr:uid="{00000000-0005-0000-0000-0000E0920000}"/>
    <cellStyle name="Total 2 7 15 2" xfId="37718" xr:uid="{00000000-0005-0000-0000-0000E1920000}"/>
    <cellStyle name="Total 2 7 15 3" xfId="37719" xr:uid="{00000000-0005-0000-0000-0000E2920000}"/>
    <cellStyle name="Total 2 7 16" xfId="37720" xr:uid="{00000000-0005-0000-0000-0000E3920000}"/>
    <cellStyle name="Total 2 7 16 2" xfId="37721" xr:uid="{00000000-0005-0000-0000-0000E4920000}"/>
    <cellStyle name="Total 2 7 16 3" xfId="37722" xr:uid="{00000000-0005-0000-0000-0000E5920000}"/>
    <cellStyle name="Total 2 7 17" xfId="37723" xr:uid="{00000000-0005-0000-0000-0000E6920000}"/>
    <cellStyle name="Total 2 7 17 2" xfId="37724" xr:uid="{00000000-0005-0000-0000-0000E7920000}"/>
    <cellStyle name="Total 2 7 17 2 2" xfId="37725" xr:uid="{00000000-0005-0000-0000-0000E8920000}"/>
    <cellStyle name="Total 2 7 18" xfId="37726" xr:uid="{00000000-0005-0000-0000-0000E9920000}"/>
    <cellStyle name="Total 2 7 19" xfId="37727" xr:uid="{00000000-0005-0000-0000-0000EA920000}"/>
    <cellStyle name="Total 2 7 2" xfId="37728" xr:uid="{00000000-0005-0000-0000-0000EB920000}"/>
    <cellStyle name="Total 2 7 2 10" xfId="14760" xr:uid="{00000000-0005-0000-0000-0000EC920000}"/>
    <cellStyle name="Total 2 7 2 10 2" xfId="37729" xr:uid="{00000000-0005-0000-0000-0000ED920000}"/>
    <cellStyle name="Total 2 7 2 10 2 2" xfId="37730" xr:uid="{00000000-0005-0000-0000-0000EE920000}"/>
    <cellStyle name="Total 2 7 2 10 2 3" xfId="37731" xr:uid="{00000000-0005-0000-0000-0000EF920000}"/>
    <cellStyle name="Total 2 7 2 10 2 4" xfId="37732" xr:uid="{00000000-0005-0000-0000-0000F0920000}"/>
    <cellStyle name="Total 2 7 2 10 3" xfId="37733" xr:uid="{00000000-0005-0000-0000-0000F1920000}"/>
    <cellStyle name="Total 2 7 2 10 3 2" xfId="37734" xr:uid="{00000000-0005-0000-0000-0000F2920000}"/>
    <cellStyle name="Total 2 7 2 10 3 3" xfId="37735" xr:uid="{00000000-0005-0000-0000-0000F3920000}"/>
    <cellStyle name="Total 2 7 2 10 3 4" xfId="37736" xr:uid="{00000000-0005-0000-0000-0000F4920000}"/>
    <cellStyle name="Total 2 7 2 10 4" xfId="37737" xr:uid="{00000000-0005-0000-0000-0000F5920000}"/>
    <cellStyle name="Total 2 7 2 10 4 2" xfId="37738" xr:uid="{00000000-0005-0000-0000-0000F6920000}"/>
    <cellStyle name="Total 2 7 2 10 4 3" xfId="37739" xr:uid="{00000000-0005-0000-0000-0000F7920000}"/>
    <cellStyle name="Total 2 7 2 10 5" xfId="37740" xr:uid="{00000000-0005-0000-0000-0000F8920000}"/>
    <cellStyle name="Total 2 7 2 10 5 2" xfId="37741" xr:uid="{00000000-0005-0000-0000-0000F9920000}"/>
    <cellStyle name="Total 2 7 2 10 5 3" xfId="37742" xr:uid="{00000000-0005-0000-0000-0000FA920000}"/>
    <cellStyle name="Total 2 7 2 10 6" xfId="37743" xr:uid="{00000000-0005-0000-0000-0000FB920000}"/>
    <cellStyle name="Total 2 7 2 10 7" xfId="37744" xr:uid="{00000000-0005-0000-0000-0000FC920000}"/>
    <cellStyle name="Total 2 7 2 11" xfId="14775" xr:uid="{00000000-0005-0000-0000-0000FD920000}"/>
    <cellStyle name="Total 2 7 2 11 2" xfId="37745" xr:uid="{00000000-0005-0000-0000-0000FE920000}"/>
    <cellStyle name="Total 2 7 2 11 3" xfId="37746" xr:uid="{00000000-0005-0000-0000-0000FF920000}"/>
    <cellStyle name="Total 2 7 2 11 4" xfId="37747" xr:uid="{00000000-0005-0000-0000-000000930000}"/>
    <cellStyle name="Total 2 7 2 12" xfId="14797" xr:uid="{00000000-0005-0000-0000-000001930000}"/>
    <cellStyle name="Total 2 7 2 12 2" xfId="37748" xr:uid="{00000000-0005-0000-0000-000002930000}"/>
    <cellStyle name="Total 2 7 2 12 3" xfId="37749" xr:uid="{00000000-0005-0000-0000-000003930000}"/>
    <cellStyle name="Total 2 7 2 12 4" xfId="37750" xr:uid="{00000000-0005-0000-0000-000004930000}"/>
    <cellStyle name="Total 2 7 2 13" xfId="37751" xr:uid="{00000000-0005-0000-0000-000005930000}"/>
    <cellStyle name="Total 2 7 2 13 2" xfId="37752" xr:uid="{00000000-0005-0000-0000-000006930000}"/>
    <cellStyle name="Total 2 7 2 13 3" xfId="37753" xr:uid="{00000000-0005-0000-0000-000007930000}"/>
    <cellStyle name="Total 2 7 2 14" xfId="37754" xr:uid="{00000000-0005-0000-0000-000008930000}"/>
    <cellStyle name="Total 2 7 2 14 2" xfId="37755" xr:uid="{00000000-0005-0000-0000-000009930000}"/>
    <cellStyle name="Total 2 7 2 14 3" xfId="37756" xr:uid="{00000000-0005-0000-0000-00000A930000}"/>
    <cellStyle name="Total 2 7 2 15" xfId="37757" xr:uid="{00000000-0005-0000-0000-00000B930000}"/>
    <cellStyle name="Total 2 7 2 16" xfId="37758" xr:uid="{00000000-0005-0000-0000-00000C930000}"/>
    <cellStyle name="Total 2 7 2 17" xfId="37759" xr:uid="{00000000-0005-0000-0000-00000D930000}"/>
    <cellStyle name="Total 2 7 2 2" xfId="37760" xr:uid="{00000000-0005-0000-0000-00000E930000}"/>
    <cellStyle name="Total 2 7 2 2 2" xfId="37761" xr:uid="{00000000-0005-0000-0000-00000F930000}"/>
    <cellStyle name="Total 2 7 2 2 2 2" xfId="1070" xr:uid="{00000000-0005-0000-0000-000010930000}"/>
    <cellStyle name="Total 2 7 2 2 2 3" xfId="1659" xr:uid="{00000000-0005-0000-0000-000011930000}"/>
    <cellStyle name="Total 2 7 2 2 2 4" xfId="10765" xr:uid="{00000000-0005-0000-0000-000012930000}"/>
    <cellStyle name="Total 2 7 2 2 3" xfId="37762" xr:uid="{00000000-0005-0000-0000-000013930000}"/>
    <cellStyle name="Total 2 7 2 2 3 2" xfId="37763" xr:uid="{00000000-0005-0000-0000-000014930000}"/>
    <cellStyle name="Total 2 7 2 2 3 3" xfId="37764" xr:uid="{00000000-0005-0000-0000-000015930000}"/>
    <cellStyle name="Total 2 7 2 2 3 4" xfId="37765" xr:uid="{00000000-0005-0000-0000-000016930000}"/>
    <cellStyle name="Total 2 7 2 2 4" xfId="37766" xr:uid="{00000000-0005-0000-0000-000017930000}"/>
    <cellStyle name="Total 2 7 2 2 4 2" xfId="5783" xr:uid="{00000000-0005-0000-0000-000018930000}"/>
    <cellStyle name="Total 2 7 2 2 4 3" xfId="5790" xr:uid="{00000000-0005-0000-0000-000019930000}"/>
    <cellStyle name="Total 2 7 2 2 5" xfId="37767" xr:uid="{00000000-0005-0000-0000-00001A930000}"/>
    <cellStyle name="Total 2 7 2 2 5 2" xfId="37768" xr:uid="{00000000-0005-0000-0000-00001B930000}"/>
    <cellStyle name="Total 2 7 2 2 5 3" xfId="37769" xr:uid="{00000000-0005-0000-0000-00001C930000}"/>
    <cellStyle name="Total 2 7 2 2 6" xfId="37770" xr:uid="{00000000-0005-0000-0000-00001D930000}"/>
    <cellStyle name="Total 2 7 2 2 7" xfId="37771" xr:uid="{00000000-0005-0000-0000-00001E930000}"/>
    <cellStyle name="Total 2 7 2 3" xfId="20721" xr:uid="{00000000-0005-0000-0000-00001F930000}"/>
    <cellStyle name="Total 2 7 2 3 2" xfId="37772" xr:uid="{00000000-0005-0000-0000-000020930000}"/>
    <cellStyle name="Total 2 7 2 3 2 2" xfId="37773" xr:uid="{00000000-0005-0000-0000-000021930000}"/>
    <cellStyle name="Total 2 7 2 3 2 3" xfId="37774" xr:uid="{00000000-0005-0000-0000-000022930000}"/>
    <cellStyle name="Total 2 7 2 3 2 4" xfId="37775" xr:uid="{00000000-0005-0000-0000-000023930000}"/>
    <cellStyle name="Total 2 7 2 3 3" xfId="37776" xr:uid="{00000000-0005-0000-0000-000024930000}"/>
    <cellStyle name="Total 2 7 2 3 3 2" xfId="37777" xr:uid="{00000000-0005-0000-0000-000025930000}"/>
    <cellStyle name="Total 2 7 2 3 3 3" xfId="37778" xr:uid="{00000000-0005-0000-0000-000026930000}"/>
    <cellStyle name="Total 2 7 2 3 3 4" xfId="37779" xr:uid="{00000000-0005-0000-0000-000027930000}"/>
    <cellStyle name="Total 2 7 2 3 4" xfId="37780" xr:uid="{00000000-0005-0000-0000-000028930000}"/>
    <cellStyle name="Total 2 7 2 3 4 2" xfId="37781" xr:uid="{00000000-0005-0000-0000-000029930000}"/>
    <cellStyle name="Total 2 7 2 3 4 3" xfId="37782" xr:uid="{00000000-0005-0000-0000-00002A930000}"/>
    <cellStyle name="Total 2 7 2 3 5" xfId="37783" xr:uid="{00000000-0005-0000-0000-00002B930000}"/>
    <cellStyle name="Total 2 7 2 3 5 2" xfId="37784" xr:uid="{00000000-0005-0000-0000-00002C930000}"/>
    <cellStyle name="Total 2 7 2 3 5 3" xfId="37785" xr:uid="{00000000-0005-0000-0000-00002D930000}"/>
    <cellStyle name="Total 2 7 2 3 6" xfId="37786" xr:uid="{00000000-0005-0000-0000-00002E930000}"/>
    <cellStyle name="Total 2 7 2 3 7" xfId="37787" xr:uid="{00000000-0005-0000-0000-00002F930000}"/>
    <cellStyle name="Total 2 7 2 4" xfId="21569" xr:uid="{00000000-0005-0000-0000-000030930000}"/>
    <cellStyle name="Total 2 7 2 4 2" xfId="37788" xr:uid="{00000000-0005-0000-0000-000031930000}"/>
    <cellStyle name="Total 2 7 2 4 2 2" xfId="37789" xr:uid="{00000000-0005-0000-0000-000032930000}"/>
    <cellStyle name="Total 2 7 2 4 2 3" xfId="37790" xr:uid="{00000000-0005-0000-0000-000033930000}"/>
    <cellStyle name="Total 2 7 2 4 2 4" xfId="37791" xr:uid="{00000000-0005-0000-0000-000034930000}"/>
    <cellStyle name="Total 2 7 2 4 3" xfId="37792" xr:uid="{00000000-0005-0000-0000-000035930000}"/>
    <cellStyle name="Total 2 7 2 4 3 2" xfId="37793" xr:uid="{00000000-0005-0000-0000-000036930000}"/>
    <cellStyle name="Total 2 7 2 4 3 3" xfId="37794" xr:uid="{00000000-0005-0000-0000-000037930000}"/>
    <cellStyle name="Total 2 7 2 4 3 4" xfId="37795" xr:uid="{00000000-0005-0000-0000-000038930000}"/>
    <cellStyle name="Total 2 7 2 4 4" xfId="37796" xr:uid="{00000000-0005-0000-0000-000039930000}"/>
    <cellStyle name="Total 2 7 2 4 4 2" xfId="37797" xr:uid="{00000000-0005-0000-0000-00003A930000}"/>
    <cellStyle name="Total 2 7 2 4 4 3" xfId="37798" xr:uid="{00000000-0005-0000-0000-00003B930000}"/>
    <cellStyle name="Total 2 7 2 4 5" xfId="37799" xr:uid="{00000000-0005-0000-0000-00003C930000}"/>
    <cellStyle name="Total 2 7 2 4 5 2" xfId="37800" xr:uid="{00000000-0005-0000-0000-00003D930000}"/>
    <cellStyle name="Total 2 7 2 4 5 3" xfId="37801" xr:uid="{00000000-0005-0000-0000-00003E930000}"/>
    <cellStyle name="Total 2 7 2 4 6" xfId="37802" xr:uid="{00000000-0005-0000-0000-00003F930000}"/>
    <cellStyle name="Total 2 7 2 4 7" xfId="37803" xr:uid="{00000000-0005-0000-0000-000040930000}"/>
    <cellStyle name="Total 2 7 2 5" xfId="21572" xr:uid="{00000000-0005-0000-0000-000041930000}"/>
    <cellStyle name="Total 2 7 2 5 2" xfId="37804" xr:uid="{00000000-0005-0000-0000-000042930000}"/>
    <cellStyle name="Total 2 7 2 5 2 2" xfId="37805" xr:uid="{00000000-0005-0000-0000-000043930000}"/>
    <cellStyle name="Total 2 7 2 5 2 3" xfId="37806" xr:uid="{00000000-0005-0000-0000-000044930000}"/>
    <cellStyle name="Total 2 7 2 5 2 4" xfId="37807" xr:uid="{00000000-0005-0000-0000-000045930000}"/>
    <cellStyle name="Total 2 7 2 5 3" xfId="37808" xr:uid="{00000000-0005-0000-0000-000046930000}"/>
    <cellStyle name="Total 2 7 2 5 3 2" xfId="37809" xr:uid="{00000000-0005-0000-0000-000047930000}"/>
    <cellStyle name="Total 2 7 2 5 3 3" xfId="37810" xr:uid="{00000000-0005-0000-0000-000048930000}"/>
    <cellStyle name="Total 2 7 2 5 3 4" xfId="37811" xr:uid="{00000000-0005-0000-0000-000049930000}"/>
    <cellStyle name="Total 2 7 2 5 4" xfId="37812" xr:uid="{00000000-0005-0000-0000-00004A930000}"/>
    <cellStyle name="Total 2 7 2 5 4 2" xfId="37813" xr:uid="{00000000-0005-0000-0000-00004B930000}"/>
    <cellStyle name="Total 2 7 2 5 4 3" xfId="37814" xr:uid="{00000000-0005-0000-0000-00004C930000}"/>
    <cellStyle name="Total 2 7 2 5 5" xfId="37815" xr:uid="{00000000-0005-0000-0000-00004D930000}"/>
    <cellStyle name="Total 2 7 2 5 5 2" xfId="37816" xr:uid="{00000000-0005-0000-0000-00004E930000}"/>
    <cellStyle name="Total 2 7 2 5 5 3" xfId="37817" xr:uid="{00000000-0005-0000-0000-00004F930000}"/>
    <cellStyle name="Total 2 7 2 5 6" xfId="37818" xr:uid="{00000000-0005-0000-0000-000050930000}"/>
    <cellStyle name="Total 2 7 2 5 7" xfId="37819" xr:uid="{00000000-0005-0000-0000-000051930000}"/>
    <cellStyle name="Total 2 7 2 6" xfId="37820" xr:uid="{00000000-0005-0000-0000-000052930000}"/>
    <cellStyle name="Total 2 7 2 6 2" xfId="37821" xr:uid="{00000000-0005-0000-0000-000053930000}"/>
    <cellStyle name="Total 2 7 2 6 2 2" xfId="37822" xr:uid="{00000000-0005-0000-0000-000054930000}"/>
    <cellStyle name="Total 2 7 2 6 2 3" xfId="37823" xr:uid="{00000000-0005-0000-0000-000055930000}"/>
    <cellStyle name="Total 2 7 2 6 2 4" xfId="37824" xr:uid="{00000000-0005-0000-0000-000056930000}"/>
    <cellStyle name="Total 2 7 2 6 3" xfId="37825" xr:uid="{00000000-0005-0000-0000-000057930000}"/>
    <cellStyle name="Total 2 7 2 6 3 2" xfId="37826" xr:uid="{00000000-0005-0000-0000-000058930000}"/>
    <cellStyle name="Total 2 7 2 6 3 3" xfId="37827" xr:uid="{00000000-0005-0000-0000-000059930000}"/>
    <cellStyle name="Total 2 7 2 6 3 4" xfId="37828" xr:uid="{00000000-0005-0000-0000-00005A930000}"/>
    <cellStyle name="Total 2 7 2 6 4" xfId="37829" xr:uid="{00000000-0005-0000-0000-00005B930000}"/>
    <cellStyle name="Total 2 7 2 6 4 2" xfId="37830" xr:uid="{00000000-0005-0000-0000-00005C930000}"/>
    <cellStyle name="Total 2 7 2 6 4 3" xfId="37831" xr:uid="{00000000-0005-0000-0000-00005D930000}"/>
    <cellStyle name="Total 2 7 2 6 5" xfId="37832" xr:uid="{00000000-0005-0000-0000-00005E930000}"/>
    <cellStyle name="Total 2 7 2 6 5 2" xfId="37833" xr:uid="{00000000-0005-0000-0000-00005F930000}"/>
    <cellStyle name="Total 2 7 2 6 5 3" xfId="37834" xr:uid="{00000000-0005-0000-0000-000060930000}"/>
    <cellStyle name="Total 2 7 2 6 6" xfId="37835" xr:uid="{00000000-0005-0000-0000-000061930000}"/>
    <cellStyle name="Total 2 7 2 6 7" xfId="37836" xr:uid="{00000000-0005-0000-0000-000062930000}"/>
    <cellStyle name="Total 2 7 2 7" xfId="37837" xr:uid="{00000000-0005-0000-0000-000063930000}"/>
    <cellStyle name="Total 2 7 2 7 2" xfId="37838" xr:uid="{00000000-0005-0000-0000-000064930000}"/>
    <cellStyle name="Total 2 7 2 7 2 2" xfId="37839" xr:uid="{00000000-0005-0000-0000-000065930000}"/>
    <cellStyle name="Total 2 7 2 7 2 3" xfId="37840" xr:uid="{00000000-0005-0000-0000-000066930000}"/>
    <cellStyle name="Total 2 7 2 7 2 4" xfId="37841" xr:uid="{00000000-0005-0000-0000-000067930000}"/>
    <cellStyle name="Total 2 7 2 7 3" xfId="37842" xr:uid="{00000000-0005-0000-0000-000068930000}"/>
    <cellStyle name="Total 2 7 2 7 3 2" xfId="37843" xr:uid="{00000000-0005-0000-0000-000069930000}"/>
    <cellStyle name="Total 2 7 2 7 3 3" xfId="37844" xr:uid="{00000000-0005-0000-0000-00006A930000}"/>
    <cellStyle name="Total 2 7 2 7 3 4" xfId="37845" xr:uid="{00000000-0005-0000-0000-00006B930000}"/>
    <cellStyle name="Total 2 7 2 7 4" xfId="37846" xr:uid="{00000000-0005-0000-0000-00006C930000}"/>
    <cellStyle name="Total 2 7 2 7 4 2" xfId="3239" xr:uid="{00000000-0005-0000-0000-00006D930000}"/>
    <cellStyle name="Total 2 7 2 7 4 3" xfId="3245" xr:uid="{00000000-0005-0000-0000-00006E930000}"/>
    <cellStyle name="Total 2 7 2 7 5" xfId="37847" xr:uid="{00000000-0005-0000-0000-00006F930000}"/>
    <cellStyle name="Total 2 7 2 7 5 2" xfId="37848" xr:uid="{00000000-0005-0000-0000-000070930000}"/>
    <cellStyle name="Total 2 7 2 7 5 3" xfId="37849" xr:uid="{00000000-0005-0000-0000-000071930000}"/>
    <cellStyle name="Total 2 7 2 7 6" xfId="37850" xr:uid="{00000000-0005-0000-0000-000072930000}"/>
    <cellStyle name="Total 2 7 2 7 7" xfId="37851" xr:uid="{00000000-0005-0000-0000-000073930000}"/>
    <cellStyle name="Total 2 7 2 8" xfId="37852" xr:uid="{00000000-0005-0000-0000-000074930000}"/>
    <cellStyle name="Total 2 7 2 8 2" xfId="37853" xr:uid="{00000000-0005-0000-0000-000075930000}"/>
    <cellStyle name="Total 2 7 2 8 2 2" xfId="37854" xr:uid="{00000000-0005-0000-0000-000076930000}"/>
    <cellStyle name="Total 2 7 2 8 2 3" xfId="37855" xr:uid="{00000000-0005-0000-0000-000077930000}"/>
    <cellStyle name="Total 2 7 2 8 2 4" xfId="37856" xr:uid="{00000000-0005-0000-0000-000078930000}"/>
    <cellStyle name="Total 2 7 2 8 3" xfId="37857" xr:uid="{00000000-0005-0000-0000-000079930000}"/>
    <cellStyle name="Total 2 7 2 8 3 2" xfId="37858" xr:uid="{00000000-0005-0000-0000-00007A930000}"/>
    <cellStyle name="Total 2 7 2 8 3 3" xfId="37859" xr:uid="{00000000-0005-0000-0000-00007B930000}"/>
    <cellStyle name="Total 2 7 2 8 3 4" xfId="37860" xr:uid="{00000000-0005-0000-0000-00007C930000}"/>
    <cellStyle name="Total 2 7 2 8 4" xfId="37861" xr:uid="{00000000-0005-0000-0000-00007D930000}"/>
    <cellStyle name="Total 2 7 2 8 4 2" xfId="37862" xr:uid="{00000000-0005-0000-0000-00007E930000}"/>
    <cellStyle name="Total 2 7 2 8 4 3" xfId="37863" xr:uid="{00000000-0005-0000-0000-00007F930000}"/>
    <cellStyle name="Total 2 7 2 8 5" xfId="37864" xr:uid="{00000000-0005-0000-0000-000080930000}"/>
    <cellStyle name="Total 2 7 2 8 5 2" xfId="37865" xr:uid="{00000000-0005-0000-0000-000081930000}"/>
    <cellStyle name="Total 2 7 2 8 5 3" xfId="37866" xr:uid="{00000000-0005-0000-0000-000082930000}"/>
    <cellStyle name="Total 2 7 2 8 6" xfId="37867" xr:uid="{00000000-0005-0000-0000-000083930000}"/>
    <cellStyle name="Total 2 7 2 8 7" xfId="37868" xr:uid="{00000000-0005-0000-0000-000084930000}"/>
    <cellStyle name="Total 2 7 2 9" xfId="37869" xr:uid="{00000000-0005-0000-0000-000085930000}"/>
    <cellStyle name="Total 2 7 2 9 2" xfId="37870" xr:uid="{00000000-0005-0000-0000-000086930000}"/>
    <cellStyle name="Total 2 7 2 9 2 2" xfId="37871" xr:uid="{00000000-0005-0000-0000-000087930000}"/>
    <cellStyle name="Total 2 7 2 9 2 3" xfId="37872" xr:uid="{00000000-0005-0000-0000-000088930000}"/>
    <cellStyle name="Total 2 7 2 9 2 4" xfId="37873" xr:uid="{00000000-0005-0000-0000-000089930000}"/>
    <cellStyle name="Total 2 7 2 9 3" xfId="37874" xr:uid="{00000000-0005-0000-0000-00008A930000}"/>
    <cellStyle name="Total 2 7 2 9 3 2" xfId="37875" xr:uid="{00000000-0005-0000-0000-00008B930000}"/>
    <cellStyle name="Total 2 7 2 9 3 3" xfId="37876" xr:uid="{00000000-0005-0000-0000-00008C930000}"/>
    <cellStyle name="Total 2 7 2 9 3 4" xfId="37877" xr:uid="{00000000-0005-0000-0000-00008D930000}"/>
    <cellStyle name="Total 2 7 2 9 4" xfId="37878" xr:uid="{00000000-0005-0000-0000-00008E930000}"/>
    <cellStyle name="Total 2 7 2 9 4 2" xfId="37879" xr:uid="{00000000-0005-0000-0000-00008F930000}"/>
    <cellStyle name="Total 2 7 2 9 4 3" xfId="37880" xr:uid="{00000000-0005-0000-0000-000090930000}"/>
    <cellStyle name="Total 2 7 2 9 5" xfId="37881" xr:uid="{00000000-0005-0000-0000-000091930000}"/>
    <cellStyle name="Total 2 7 2 9 5 2" xfId="37882" xr:uid="{00000000-0005-0000-0000-000092930000}"/>
    <cellStyle name="Total 2 7 2 9 5 3" xfId="37883" xr:uid="{00000000-0005-0000-0000-000093930000}"/>
    <cellStyle name="Total 2 7 2 9 6" xfId="37884" xr:uid="{00000000-0005-0000-0000-000094930000}"/>
    <cellStyle name="Total 2 7 2 9 7" xfId="37885" xr:uid="{00000000-0005-0000-0000-000095930000}"/>
    <cellStyle name="Total 2 7 20" xfId="37717" xr:uid="{00000000-0005-0000-0000-000096930000}"/>
    <cellStyle name="Total 2 7 3" xfId="37886" xr:uid="{00000000-0005-0000-0000-000097930000}"/>
    <cellStyle name="Total 2 7 3 10" xfId="37887" xr:uid="{00000000-0005-0000-0000-000098930000}"/>
    <cellStyle name="Total 2 7 3 10 2" xfId="37888" xr:uid="{00000000-0005-0000-0000-000099930000}"/>
    <cellStyle name="Total 2 7 3 10 2 2" xfId="9255" xr:uid="{00000000-0005-0000-0000-00009A930000}"/>
    <cellStyle name="Total 2 7 3 10 2 3" xfId="9259" xr:uid="{00000000-0005-0000-0000-00009B930000}"/>
    <cellStyle name="Total 2 7 3 10 2 4" xfId="19341" xr:uid="{00000000-0005-0000-0000-00009C930000}"/>
    <cellStyle name="Total 2 7 3 10 3" xfId="37889" xr:uid="{00000000-0005-0000-0000-00009D930000}"/>
    <cellStyle name="Total 2 7 3 10 3 2" xfId="9271" xr:uid="{00000000-0005-0000-0000-00009E930000}"/>
    <cellStyle name="Total 2 7 3 10 3 3" xfId="19355" xr:uid="{00000000-0005-0000-0000-00009F930000}"/>
    <cellStyle name="Total 2 7 3 10 3 4" xfId="19360" xr:uid="{00000000-0005-0000-0000-0000A0930000}"/>
    <cellStyle name="Total 2 7 3 10 4" xfId="15067" xr:uid="{00000000-0005-0000-0000-0000A1930000}"/>
    <cellStyle name="Total 2 7 3 10 4 2" xfId="9282" xr:uid="{00000000-0005-0000-0000-0000A2930000}"/>
    <cellStyle name="Total 2 7 3 10 4 3" xfId="19373" xr:uid="{00000000-0005-0000-0000-0000A3930000}"/>
    <cellStyle name="Total 2 7 3 10 5" xfId="28434" xr:uid="{00000000-0005-0000-0000-0000A4930000}"/>
    <cellStyle name="Total 2 7 3 10 5 2" xfId="19391" xr:uid="{00000000-0005-0000-0000-0000A5930000}"/>
    <cellStyle name="Total 2 7 3 10 5 3" xfId="19397" xr:uid="{00000000-0005-0000-0000-0000A6930000}"/>
    <cellStyle name="Total 2 7 3 10 6" xfId="28436" xr:uid="{00000000-0005-0000-0000-0000A7930000}"/>
    <cellStyle name="Total 2 7 3 10 7" xfId="37890" xr:uid="{00000000-0005-0000-0000-0000A8930000}"/>
    <cellStyle name="Total 2 7 3 11" xfId="37891" xr:uid="{00000000-0005-0000-0000-0000A9930000}"/>
    <cellStyle name="Total 2 7 3 11 2" xfId="37892" xr:uid="{00000000-0005-0000-0000-0000AA930000}"/>
    <cellStyle name="Total 2 7 3 11 3" xfId="37893" xr:uid="{00000000-0005-0000-0000-0000AB930000}"/>
    <cellStyle name="Total 2 7 3 11 4" xfId="15076" xr:uid="{00000000-0005-0000-0000-0000AC930000}"/>
    <cellStyle name="Total 2 7 3 12" xfId="37894" xr:uid="{00000000-0005-0000-0000-0000AD930000}"/>
    <cellStyle name="Total 2 7 3 12 2" xfId="37895" xr:uid="{00000000-0005-0000-0000-0000AE930000}"/>
    <cellStyle name="Total 2 7 3 12 3" xfId="37896" xr:uid="{00000000-0005-0000-0000-0000AF930000}"/>
    <cellStyle name="Total 2 7 3 12 4" xfId="28441" xr:uid="{00000000-0005-0000-0000-0000B0930000}"/>
    <cellStyle name="Total 2 7 3 13" xfId="37897" xr:uid="{00000000-0005-0000-0000-0000B1930000}"/>
    <cellStyle name="Total 2 7 3 13 2" xfId="37898" xr:uid="{00000000-0005-0000-0000-0000B2930000}"/>
    <cellStyle name="Total 2 7 3 13 3" xfId="37899" xr:uid="{00000000-0005-0000-0000-0000B3930000}"/>
    <cellStyle name="Total 2 7 3 14" xfId="37900" xr:uid="{00000000-0005-0000-0000-0000B4930000}"/>
    <cellStyle name="Total 2 7 3 14 2" xfId="37901" xr:uid="{00000000-0005-0000-0000-0000B5930000}"/>
    <cellStyle name="Total 2 7 3 14 3" xfId="37902" xr:uid="{00000000-0005-0000-0000-0000B6930000}"/>
    <cellStyle name="Total 2 7 3 15" xfId="37903" xr:uid="{00000000-0005-0000-0000-0000B7930000}"/>
    <cellStyle name="Total 2 7 3 16" xfId="37904" xr:uid="{00000000-0005-0000-0000-0000B8930000}"/>
    <cellStyle name="Total 2 7 3 2" xfId="37905" xr:uid="{00000000-0005-0000-0000-0000B9930000}"/>
    <cellStyle name="Total 2 7 3 2 2" xfId="37906" xr:uid="{00000000-0005-0000-0000-0000BA930000}"/>
    <cellStyle name="Total 2 7 3 2 2 2" xfId="37907" xr:uid="{00000000-0005-0000-0000-0000BB930000}"/>
    <cellStyle name="Total 2 7 3 2 2 3" xfId="37908" xr:uid="{00000000-0005-0000-0000-0000BC930000}"/>
    <cellStyle name="Total 2 7 3 2 2 4" xfId="37909" xr:uid="{00000000-0005-0000-0000-0000BD930000}"/>
    <cellStyle name="Total 2 7 3 2 3" xfId="37910" xr:uid="{00000000-0005-0000-0000-0000BE930000}"/>
    <cellStyle name="Total 2 7 3 2 3 2" xfId="37911" xr:uid="{00000000-0005-0000-0000-0000BF930000}"/>
    <cellStyle name="Total 2 7 3 2 3 3" xfId="37912" xr:uid="{00000000-0005-0000-0000-0000C0930000}"/>
    <cellStyle name="Total 2 7 3 2 3 4" xfId="37913" xr:uid="{00000000-0005-0000-0000-0000C1930000}"/>
    <cellStyle name="Total 2 7 3 2 4" xfId="37914" xr:uid="{00000000-0005-0000-0000-0000C2930000}"/>
    <cellStyle name="Total 2 7 3 2 4 2" xfId="37915" xr:uid="{00000000-0005-0000-0000-0000C3930000}"/>
    <cellStyle name="Total 2 7 3 2 4 3" xfId="33110" xr:uid="{00000000-0005-0000-0000-0000C4930000}"/>
    <cellStyle name="Total 2 7 3 2 5" xfId="37916" xr:uid="{00000000-0005-0000-0000-0000C5930000}"/>
    <cellStyle name="Total 2 7 3 2 5 2" xfId="570" xr:uid="{00000000-0005-0000-0000-0000C6930000}"/>
    <cellStyle name="Total 2 7 3 2 5 3" xfId="575" xr:uid="{00000000-0005-0000-0000-0000C7930000}"/>
    <cellStyle name="Total 2 7 3 2 6" xfId="37917" xr:uid="{00000000-0005-0000-0000-0000C8930000}"/>
    <cellStyle name="Total 2 7 3 2 7" xfId="36923" xr:uid="{00000000-0005-0000-0000-0000C9930000}"/>
    <cellStyle name="Total 2 7 3 3" xfId="2035" xr:uid="{00000000-0005-0000-0000-0000CA930000}"/>
    <cellStyle name="Total 2 7 3 3 2" xfId="37918" xr:uid="{00000000-0005-0000-0000-0000CB930000}"/>
    <cellStyle name="Total 2 7 3 3 2 2" xfId="37919" xr:uid="{00000000-0005-0000-0000-0000CC930000}"/>
    <cellStyle name="Total 2 7 3 3 2 3" xfId="37920" xr:uid="{00000000-0005-0000-0000-0000CD930000}"/>
    <cellStyle name="Total 2 7 3 3 2 4" xfId="37921" xr:uid="{00000000-0005-0000-0000-0000CE930000}"/>
    <cellStyle name="Total 2 7 3 3 3" xfId="37922" xr:uid="{00000000-0005-0000-0000-0000CF930000}"/>
    <cellStyle name="Total 2 7 3 3 3 2" xfId="37923" xr:uid="{00000000-0005-0000-0000-0000D0930000}"/>
    <cellStyle name="Total 2 7 3 3 3 3" xfId="37924" xr:uid="{00000000-0005-0000-0000-0000D1930000}"/>
    <cellStyle name="Total 2 7 3 3 3 4" xfId="37925" xr:uid="{00000000-0005-0000-0000-0000D2930000}"/>
    <cellStyle name="Total 2 7 3 3 4" xfId="37926" xr:uid="{00000000-0005-0000-0000-0000D3930000}"/>
    <cellStyle name="Total 2 7 3 3 4 2" xfId="37927" xr:uid="{00000000-0005-0000-0000-0000D4930000}"/>
    <cellStyle name="Total 2 7 3 3 4 3" xfId="33137" xr:uid="{00000000-0005-0000-0000-0000D5930000}"/>
    <cellStyle name="Total 2 7 3 3 5" xfId="37928" xr:uid="{00000000-0005-0000-0000-0000D6930000}"/>
    <cellStyle name="Total 2 7 3 3 5 2" xfId="702" xr:uid="{00000000-0005-0000-0000-0000D7930000}"/>
    <cellStyle name="Total 2 7 3 3 5 3" xfId="708" xr:uid="{00000000-0005-0000-0000-0000D8930000}"/>
    <cellStyle name="Total 2 7 3 3 6" xfId="37929" xr:uid="{00000000-0005-0000-0000-0000D9930000}"/>
    <cellStyle name="Total 2 7 3 3 7" xfId="37930" xr:uid="{00000000-0005-0000-0000-0000DA930000}"/>
    <cellStyle name="Total 2 7 3 4" xfId="2052" xr:uid="{00000000-0005-0000-0000-0000DB930000}"/>
    <cellStyle name="Total 2 7 3 4 2" xfId="37931" xr:uid="{00000000-0005-0000-0000-0000DC930000}"/>
    <cellStyle name="Total 2 7 3 4 2 2" xfId="37932" xr:uid="{00000000-0005-0000-0000-0000DD930000}"/>
    <cellStyle name="Total 2 7 3 4 2 3" xfId="37933" xr:uid="{00000000-0005-0000-0000-0000DE930000}"/>
    <cellStyle name="Total 2 7 3 4 2 4" xfId="37934" xr:uid="{00000000-0005-0000-0000-0000DF930000}"/>
    <cellStyle name="Total 2 7 3 4 3" xfId="37935" xr:uid="{00000000-0005-0000-0000-0000E0930000}"/>
    <cellStyle name="Total 2 7 3 4 3 2" xfId="37936" xr:uid="{00000000-0005-0000-0000-0000E1930000}"/>
    <cellStyle name="Total 2 7 3 4 3 3" xfId="37937" xr:uid="{00000000-0005-0000-0000-0000E2930000}"/>
    <cellStyle name="Total 2 7 3 4 3 4" xfId="37938" xr:uid="{00000000-0005-0000-0000-0000E3930000}"/>
    <cellStyle name="Total 2 7 3 4 4" xfId="37939" xr:uid="{00000000-0005-0000-0000-0000E4930000}"/>
    <cellStyle name="Total 2 7 3 4 4 2" xfId="37940" xr:uid="{00000000-0005-0000-0000-0000E5930000}"/>
    <cellStyle name="Total 2 7 3 4 4 3" xfId="33152" xr:uid="{00000000-0005-0000-0000-0000E6930000}"/>
    <cellStyle name="Total 2 7 3 4 5" xfId="37941" xr:uid="{00000000-0005-0000-0000-0000E7930000}"/>
    <cellStyle name="Total 2 7 3 4 5 2" xfId="806" xr:uid="{00000000-0005-0000-0000-0000E8930000}"/>
    <cellStyle name="Total 2 7 3 4 5 3" xfId="752" xr:uid="{00000000-0005-0000-0000-0000E9930000}"/>
    <cellStyle name="Total 2 7 3 4 6" xfId="37942" xr:uid="{00000000-0005-0000-0000-0000EA930000}"/>
    <cellStyle name="Total 2 7 3 4 7" xfId="37943" xr:uid="{00000000-0005-0000-0000-0000EB930000}"/>
    <cellStyle name="Total 2 7 3 5" xfId="37944" xr:uid="{00000000-0005-0000-0000-0000EC930000}"/>
    <cellStyle name="Total 2 7 3 5 2" xfId="37945" xr:uid="{00000000-0005-0000-0000-0000ED930000}"/>
    <cellStyle name="Total 2 7 3 5 2 2" xfId="37946" xr:uid="{00000000-0005-0000-0000-0000EE930000}"/>
    <cellStyle name="Total 2 7 3 5 2 3" xfId="37947" xr:uid="{00000000-0005-0000-0000-0000EF930000}"/>
    <cellStyle name="Total 2 7 3 5 2 4" xfId="37948" xr:uid="{00000000-0005-0000-0000-0000F0930000}"/>
    <cellStyle name="Total 2 7 3 5 3" xfId="37949" xr:uid="{00000000-0005-0000-0000-0000F1930000}"/>
    <cellStyle name="Total 2 7 3 5 3 2" xfId="37950" xr:uid="{00000000-0005-0000-0000-0000F2930000}"/>
    <cellStyle name="Total 2 7 3 5 3 3" xfId="37951" xr:uid="{00000000-0005-0000-0000-0000F3930000}"/>
    <cellStyle name="Total 2 7 3 5 3 4" xfId="37952" xr:uid="{00000000-0005-0000-0000-0000F4930000}"/>
    <cellStyle name="Total 2 7 3 5 4" xfId="37953" xr:uid="{00000000-0005-0000-0000-0000F5930000}"/>
    <cellStyle name="Total 2 7 3 5 4 2" xfId="37954" xr:uid="{00000000-0005-0000-0000-0000F6930000}"/>
    <cellStyle name="Total 2 7 3 5 4 3" xfId="33157" xr:uid="{00000000-0005-0000-0000-0000F7930000}"/>
    <cellStyle name="Total 2 7 3 5 5" xfId="37955" xr:uid="{00000000-0005-0000-0000-0000F8930000}"/>
    <cellStyle name="Total 2 7 3 5 5 2" xfId="482" xr:uid="{00000000-0005-0000-0000-0000F9930000}"/>
    <cellStyle name="Total 2 7 3 5 5 3" xfId="513" xr:uid="{00000000-0005-0000-0000-0000FA930000}"/>
    <cellStyle name="Total 2 7 3 5 6" xfId="37956" xr:uid="{00000000-0005-0000-0000-0000FB930000}"/>
    <cellStyle name="Total 2 7 3 5 7" xfId="37957" xr:uid="{00000000-0005-0000-0000-0000FC930000}"/>
    <cellStyle name="Total 2 7 3 6" xfId="37958" xr:uid="{00000000-0005-0000-0000-0000FD930000}"/>
    <cellStyle name="Total 2 7 3 6 2" xfId="37959" xr:uid="{00000000-0005-0000-0000-0000FE930000}"/>
    <cellStyle name="Total 2 7 3 6 2 2" xfId="37960" xr:uid="{00000000-0005-0000-0000-0000FF930000}"/>
    <cellStyle name="Total 2 7 3 6 2 3" xfId="37961" xr:uid="{00000000-0005-0000-0000-000000940000}"/>
    <cellStyle name="Total 2 7 3 6 2 4" xfId="37962" xr:uid="{00000000-0005-0000-0000-000001940000}"/>
    <cellStyle name="Total 2 7 3 6 3" xfId="37963" xr:uid="{00000000-0005-0000-0000-000002940000}"/>
    <cellStyle name="Total 2 7 3 6 3 2" xfId="37964" xr:uid="{00000000-0005-0000-0000-000003940000}"/>
    <cellStyle name="Total 2 7 3 6 3 3" xfId="37965" xr:uid="{00000000-0005-0000-0000-000004940000}"/>
    <cellStyle name="Total 2 7 3 6 3 4" xfId="37966" xr:uid="{00000000-0005-0000-0000-000005940000}"/>
    <cellStyle name="Total 2 7 3 6 4" xfId="37967" xr:uid="{00000000-0005-0000-0000-000006940000}"/>
    <cellStyle name="Total 2 7 3 6 4 2" xfId="37968" xr:uid="{00000000-0005-0000-0000-000007940000}"/>
    <cellStyle name="Total 2 7 3 6 4 3" xfId="33162" xr:uid="{00000000-0005-0000-0000-000008940000}"/>
    <cellStyle name="Total 2 7 3 6 5" xfId="37969" xr:uid="{00000000-0005-0000-0000-000009940000}"/>
    <cellStyle name="Total 2 7 3 6 5 2" xfId="1195" xr:uid="{00000000-0005-0000-0000-00000A940000}"/>
    <cellStyle name="Total 2 7 3 6 5 3" xfId="1202" xr:uid="{00000000-0005-0000-0000-00000B940000}"/>
    <cellStyle name="Total 2 7 3 6 6" xfId="37970" xr:uid="{00000000-0005-0000-0000-00000C940000}"/>
    <cellStyle name="Total 2 7 3 6 7" xfId="37971" xr:uid="{00000000-0005-0000-0000-00000D940000}"/>
    <cellStyle name="Total 2 7 3 7" xfId="37972" xr:uid="{00000000-0005-0000-0000-00000E940000}"/>
    <cellStyle name="Total 2 7 3 7 2" xfId="37973" xr:uid="{00000000-0005-0000-0000-00000F940000}"/>
    <cellStyle name="Total 2 7 3 7 2 2" xfId="37974" xr:uid="{00000000-0005-0000-0000-000010940000}"/>
    <cellStyle name="Total 2 7 3 7 2 3" xfId="37975" xr:uid="{00000000-0005-0000-0000-000011940000}"/>
    <cellStyle name="Total 2 7 3 7 2 4" xfId="37976" xr:uid="{00000000-0005-0000-0000-000012940000}"/>
    <cellStyle name="Total 2 7 3 7 3" xfId="37977" xr:uid="{00000000-0005-0000-0000-000013940000}"/>
    <cellStyle name="Total 2 7 3 7 3 2" xfId="37978" xr:uid="{00000000-0005-0000-0000-000014940000}"/>
    <cellStyle name="Total 2 7 3 7 3 3" xfId="37979" xr:uid="{00000000-0005-0000-0000-000015940000}"/>
    <cellStyle name="Total 2 7 3 7 3 4" xfId="37980" xr:uid="{00000000-0005-0000-0000-000016940000}"/>
    <cellStyle name="Total 2 7 3 7 4" xfId="37981" xr:uid="{00000000-0005-0000-0000-000017940000}"/>
    <cellStyle name="Total 2 7 3 7 4 2" xfId="37982" xr:uid="{00000000-0005-0000-0000-000018940000}"/>
    <cellStyle name="Total 2 7 3 7 4 3" xfId="33168" xr:uid="{00000000-0005-0000-0000-000019940000}"/>
    <cellStyle name="Total 2 7 3 7 5" xfId="37983" xr:uid="{00000000-0005-0000-0000-00001A940000}"/>
    <cellStyle name="Total 2 7 3 7 5 2" xfId="37984" xr:uid="{00000000-0005-0000-0000-00001B940000}"/>
    <cellStyle name="Total 2 7 3 7 5 3" xfId="33170" xr:uid="{00000000-0005-0000-0000-00001C940000}"/>
    <cellStyle name="Total 2 7 3 7 6" xfId="37985" xr:uid="{00000000-0005-0000-0000-00001D940000}"/>
    <cellStyle name="Total 2 7 3 7 7" xfId="37986" xr:uid="{00000000-0005-0000-0000-00001E940000}"/>
    <cellStyle name="Total 2 7 3 8" xfId="37987" xr:uid="{00000000-0005-0000-0000-00001F940000}"/>
    <cellStyle name="Total 2 7 3 8 2" xfId="37988" xr:uid="{00000000-0005-0000-0000-000020940000}"/>
    <cellStyle name="Total 2 7 3 8 2 2" xfId="37989" xr:uid="{00000000-0005-0000-0000-000021940000}"/>
    <cellStyle name="Total 2 7 3 8 2 3" xfId="37990" xr:uid="{00000000-0005-0000-0000-000022940000}"/>
    <cellStyle name="Total 2 7 3 8 2 4" xfId="37991" xr:uid="{00000000-0005-0000-0000-000023940000}"/>
    <cellStyle name="Total 2 7 3 8 3" xfId="37992" xr:uid="{00000000-0005-0000-0000-000024940000}"/>
    <cellStyle name="Total 2 7 3 8 3 2" xfId="37993" xr:uid="{00000000-0005-0000-0000-000025940000}"/>
    <cellStyle name="Total 2 7 3 8 3 3" xfId="37994" xr:uid="{00000000-0005-0000-0000-000026940000}"/>
    <cellStyle name="Total 2 7 3 8 3 4" xfId="37995" xr:uid="{00000000-0005-0000-0000-000027940000}"/>
    <cellStyle name="Total 2 7 3 8 4" xfId="37996" xr:uid="{00000000-0005-0000-0000-000028940000}"/>
    <cellStyle name="Total 2 7 3 8 4 2" xfId="37997" xr:uid="{00000000-0005-0000-0000-000029940000}"/>
    <cellStyle name="Total 2 7 3 8 4 3" xfId="33177" xr:uid="{00000000-0005-0000-0000-00002A940000}"/>
    <cellStyle name="Total 2 7 3 8 5" xfId="37998" xr:uid="{00000000-0005-0000-0000-00002B940000}"/>
    <cellStyle name="Total 2 7 3 8 5 2" xfId="37999" xr:uid="{00000000-0005-0000-0000-00002C940000}"/>
    <cellStyle name="Total 2 7 3 8 5 3" xfId="33179" xr:uid="{00000000-0005-0000-0000-00002D940000}"/>
    <cellStyle name="Total 2 7 3 8 6" xfId="38000" xr:uid="{00000000-0005-0000-0000-00002E940000}"/>
    <cellStyle name="Total 2 7 3 8 7" xfId="38001" xr:uid="{00000000-0005-0000-0000-00002F940000}"/>
    <cellStyle name="Total 2 7 3 9" xfId="38002" xr:uid="{00000000-0005-0000-0000-000030940000}"/>
    <cellStyle name="Total 2 7 3 9 2" xfId="38003" xr:uid="{00000000-0005-0000-0000-000031940000}"/>
    <cellStyle name="Total 2 7 3 9 2 2" xfId="38004" xr:uid="{00000000-0005-0000-0000-000032940000}"/>
    <cellStyle name="Total 2 7 3 9 2 3" xfId="38005" xr:uid="{00000000-0005-0000-0000-000033940000}"/>
    <cellStyle name="Total 2 7 3 9 2 4" xfId="38006" xr:uid="{00000000-0005-0000-0000-000034940000}"/>
    <cellStyle name="Total 2 7 3 9 3" xfId="38007" xr:uid="{00000000-0005-0000-0000-000035940000}"/>
    <cellStyle name="Total 2 7 3 9 3 2" xfId="38008" xr:uid="{00000000-0005-0000-0000-000036940000}"/>
    <cellStyle name="Total 2 7 3 9 3 3" xfId="38009" xr:uid="{00000000-0005-0000-0000-000037940000}"/>
    <cellStyle name="Total 2 7 3 9 3 4" xfId="38010" xr:uid="{00000000-0005-0000-0000-000038940000}"/>
    <cellStyle name="Total 2 7 3 9 4" xfId="38011" xr:uid="{00000000-0005-0000-0000-000039940000}"/>
    <cellStyle name="Total 2 7 3 9 4 2" xfId="38012" xr:uid="{00000000-0005-0000-0000-00003A940000}"/>
    <cellStyle name="Total 2 7 3 9 4 3" xfId="33187" xr:uid="{00000000-0005-0000-0000-00003B940000}"/>
    <cellStyle name="Total 2 7 3 9 5" xfId="38013" xr:uid="{00000000-0005-0000-0000-00003C940000}"/>
    <cellStyle name="Total 2 7 3 9 5 2" xfId="38014" xr:uid="{00000000-0005-0000-0000-00003D940000}"/>
    <cellStyle name="Total 2 7 3 9 5 3" xfId="33190" xr:uid="{00000000-0005-0000-0000-00003E940000}"/>
    <cellStyle name="Total 2 7 3 9 6" xfId="38015" xr:uid="{00000000-0005-0000-0000-00003F940000}"/>
    <cellStyle name="Total 2 7 3 9 7" xfId="38016" xr:uid="{00000000-0005-0000-0000-000040940000}"/>
    <cellStyle name="Total 2 7 4" xfId="38017" xr:uid="{00000000-0005-0000-0000-000041940000}"/>
    <cellStyle name="Total 2 7 4 2" xfId="38018" xr:uid="{00000000-0005-0000-0000-000042940000}"/>
    <cellStyle name="Total 2 7 4 2 2" xfId="38019" xr:uid="{00000000-0005-0000-0000-000043940000}"/>
    <cellStyle name="Total 2 7 4 2 3" xfId="38020" xr:uid="{00000000-0005-0000-0000-000044940000}"/>
    <cellStyle name="Total 2 7 4 2 4" xfId="38021" xr:uid="{00000000-0005-0000-0000-000045940000}"/>
    <cellStyle name="Total 2 7 4 3" xfId="21574" xr:uid="{00000000-0005-0000-0000-000046940000}"/>
    <cellStyle name="Total 2 7 4 3 2" xfId="38022" xr:uid="{00000000-0005-0000-0000-000047940000}"/>
    <cellStyle name="Total 2 7 4 3 3" xfId="38023" xr:uid="{00000000-0005-0000-0000-000048940000}"/>
    <cellStyle name="Total 2 7 4 3 4" xfId="38024" xr:uid="{00000000-0005-0000-0000-000049940000}"/>
    <cellStyle name="Total 2 7 4 4" xfId="21577" xr:uid="{00000000-0005-0000-0000-00004A940000}"/>
    <cellStyle name="Total 2 7 4 4 2" xfId="38025" xr:uid="{00000000-0005-0000-0000-00004B940000}"/>
    <cellStyle name="Total 2 7 4 4 3" xfId="7971" xr:uid="{00000000-0005-0000-0000-00004C940000}"/>
    <cellStyle name="Total 2 7 4 5" xfId="38026" xr:uid="{00000000-0005-0000-0000-00004D940000}"/>
    <cellStyle name="Total 2 7 4 5 2" xfId="38027" xr:uid="{00000000-0005-0000-0000-00004E940000}"/>
    <cellStyle name="Total 2 7 4 5 3" xfId="8013" xr:uid="{00000000-0005-0000-0000-00004F940000}"/>
    <cellStyle name="Total 2 7 4 6" xfId="38028" xr:uid="{00000000-0005-0000-0000-000050940000}"/>
    <cellStyle name="Total 2 7 4 7" xfId="38029" xr:uid="{00000000-0005-0000-0000-000051940000}"/>
    <cellStyle name="Total 2 7 5" xfId="38030" xr:uid="{00000000-0005-0000-0000-000052940000}"/>
    <cellStyle name="Total 2 7 5 2" xfId="38031" xr:uid="{00000000-0005-0000-0000-000053940000}"/>
    <cellStyle name="Total 2 7 5 2 2" xfId="38032" xr:uid="{00000000-0005-0000-0000-000054940000}"/>
    <cellStyle name="Total 2 7 5 2 3" xfId="38033" xr:uid="{00000000-0005-0000-0000-000055940000}"/>
    <cellStyle name="Total 2 7 5 2 4" xfId="38034" xr:uid="{00000000-0005-0000-0000-000056940000}"/>
    <cellStyle name="Total 2 7 5 3" xfId="38035" xr:uid="{00000000-0005-0000-0000-000057940000}"/>
    <cellStyle name="Total 2 7 5 3 2" xfId="38036" xr:uid="{00000000-0005-0000-0000-000058940000}"/>
    <cellStyle name="Total 2 7 5 3 3" xfId="38037" xr:uid="{00000000-0005-0000-0000-000059940000}"/>
    <cellStyle name="Total 2 7 5 3 4" xfId="38038" xr:uid="{00000000-0005-0000-0000-00005A940000}"/>
    <cellStyle name="Total 2 7 5 4" xfId="38039" xr:uid="{00000000-0005-0000-0000-00005B940000}"/>
    <cellStyle name="Total 2 7 5 4 2" xfId="38040" xr:uid="{00000000-0005-0000-0000-00005C940000}"/>
    <cellStyle name="Total 2 7 5 4 3" xfId="38041" xr:uid="{00000000-0005-0000-0000-00005D940000}"/>
    <cellStyle name="Total 2 7 5 5" xfId="38042" xr:uid="{00000000-0005-0000-0000-00005E940000}"/>
    <cellStyle name="Total 2 7 5 5 2" xfId="38043" xr:uid="{00000000-0005-0000-0000-00005F940000}"/>
    <cellStyle name="Total 2 7 5 5 3" xfId="38044" xr:uid="{00000000-0005-0000-0000-000060940000}"/>
    <cellStyle name="Total 2 7 5 6" xfId="38045" xr:uid="{00000000-0005-0000-0000-000061940000}"/>
    <cellStyle name="Total 2 7 5 7" xfId="38046" xr:uid="{00000000-0005-0000-0000-000062940000}"/>
    <cellStyle name="Total 2 7 6" xfId="38047" xr:uid="{00000000-0005-0000-0000-000063940000}"/>
    <cellStyle name="Total 2 7 6 2" xfId="38048" xr:uid="{00000000-0005-0000-0000-000064940000}"/>
    <cellStyle name="Total 2 7 6 2 2" xfId="38049" xr:uid="{00000000-0005-0000-0000-000065940000}"/>
    <cellStyle name="Total 2 7 6 2 3" xfId="38050" xr:uid="{00000000-0005-0000-0000-000066940000}"/>
    <cellStyle name="Total 2 7 6 2 4" xfId="38051" xr:uid="{00000000-0005-0000-0000-000067940000}"/>
    <cellStyle name="Total 2 7 6 3" xfId="38052" xr:uid="{00000000-0005-0000-0000-000068940000}"/>
    <cellStyle name="Total 2 7 6 3 2" xfId="38053" xr:uid="{00000000-0005-0000-0000-000069940000}"/>
    <cellStyle name="Total 2 7 6 3 3" xfId="38054" xr:uid="{00000000-0005-0000-0000-00006A940000}"/>
    <cellStyle name="Total 2 7 6 3 4" xfId="38055" xr:uid="{00000000-0005-0000-0000-00006B940000}"/>
    <cellStyle name="Total 2 7 6 4" xfId="38056" xr:uid="{00000000-0005-0000-0000-00006C940000}"/>
    <cellStyle name="Total 2 7 6 4 2" xfId="38057" xr:uid="{00000000-0005-0000-0000-00006D940000}"/>
    <cellStyle name="Total 2 7 6 4 3" xfId="38058" xr:uid="{00000000-0005-0000-0000-00006E940000}"/>
    <cellStyle name="Total 2 7 6 5" xfId="38059" xr:uid="{00000000-0005-0000-0000-00006F940000}"/>
    <cellStyle name="Total 2 7 6 5 2" xfId="38060" xr:uid="{00000000-0005-0000-0000-000070940000}"/>
    <cellStyle name="Total 2 7 6 5 3" xfId="38061" xr:uid="{00000000-0005-0000-0000-000071940000}"/>
    <cellStyle name="Total 2 7 6 6" xfId="38062" xr:uid="{00000000-0005-0000-0000-000072940000}"/>
    <cellStyle name="Total 2 7 6 7" xfId="38063" xr:uid="{00000000-0005-0000-0000-000073940000}"/>
    <cellStyle name="Total 2 7 7" xfId="38064" xr:uid="{00000000-0005-0000-0000-000074940000}"/>
    <cellStyle name="Total 2 7 7 2" xfId="38065" xr:uid="{00000000-0005-0000-0000-000075940000}"/>
    <cellStyle name="Total 2 7 7 2 2" xfId="38066" xr:uid="{00000000-0005-0000-0000-000076940000}"/>
    <cellStyle name="Total 2 7 7 2 3" xfId="38067" xr:uid="{00000000-0005-0000-0000-000077940000}"/>
    <cellStyle name="Total 2 7 7 2 4" xfId="38068" xr:uid="{00000000-0005-0000-0000-000078940000}"/>
    <cellStyle name="Total 2 7 7 3" xfId="38069" xr:uid="{00000000-0005-0000-0000-000079940000}"/>
    <cellStyle name="Total 2 7 7 3 2" xfId="38070" xr:uid="{00000000-0005-0000-0000-00007A940000}"/>
    <cellStyle name="Total 2 7 7 3 3" xfId="38071" xr:uid="{00000000-0005-0000-0000-00007B940000}"/>
    <cellStyle name="Total 2 7 7 3 4" xfId="38072" xr:uid="{00000000-0005-0000-0000-00007C940000}"/>
    <cellStyle name="Total 2 7 7 4" xfId="38073" xr:uid="{00000000-0005-0000-0000-00007D940000}"/>
    <cellStyle name="Total 2 7 7 4 2" xfId="38074" xr:uid="{00000000-0005-0000-0000-00007E940000}"/>
    <cellStyle name="Total 2 7 7 4 3" xfId="38075" xr:uid="{00000000-0005-0000-0000-00007F940000}"/>
    <cellStyle name="Total 2 7 7 5" xfId="38076" xr:uid="{00000000-0005-0000-0000-000080940000}"/>
    <cellStyle name="Total 2 7 7 5 2" xfId="38077" xr:uid="{00000000-0005-0000-0000-000081940000}"/>
    <cellStyle name="Total 2 7 7 5 3" xfId="38078" xr:uid="{00000000-0005-0000-0000-000082940000}"/>
    <cellStyle name="Total 2 7 7 6" xfId="38079" xr:uid="{00000000-0005-0000-0000-000083940000}"/>
    <cellStyle name="Total 2 7 7 7" xfId="38080" xr:uid="{00000000-0005-0000-0000-000084940000}"/>
    <cellStyle name="Total 2 7 8" xfId="38081" xr:uid="{00000000-0005-0000-0000-000085940000}"/>
    <cellStyle name="Total 2 7 8 2" xfId="38082" xr:uid="{00000000-0005-0000-0000-000086940000}"/>
    <cellStyle name="Total 2 7 8 2 2" xfId="38083" xr:uid="{00000000-0005-0000-0000-000087940000}"/>
    <cellStyle name="Total 2 7 8 2 3" xfId="38084" xr:uid="{00000000-0005-0000-0000-000088940000}"/>
    <cellStyle name="Total 2 7 8 2 4" xfId="38085" xr:uid="{00000000-0005-0000-0000-000089940000}"/>
    <cellStyle name="Total 2 7 8 3" xfId="38086" xr:uid="{00000000-0005-0000-0000-00008A940000}"/>
    <cellStyle name="Total 2 7 8 3 2" xfId="38087" xr:uid="{00000000-0005-0000-0000-00008B940000}"/>
    <cellStyle name="Total 2 7 8 3 3" xfId="38088" xr:uid="{00000000-0005-0000-0000-00008C940000}"/>
    <cellStyle name="Total 2 7 8 3 4" xfId="38089" xr:uid="{00000000-0005-0000-0000-00008D940000}"/>
    <cellStyle name="Total 2 7 8 4" xfId="38090" xr:uid="{00000000-0005-0000-0000-00008E940000}"/>
    <cellStyle name="Total 2 7 8 4 2" xfId="38091" xr:uid="{00000000-0005-0000-0000-00008F940000}"/>
    <cellStyle name="Total 2 7 8 4 3" xfId="38092" xr:uid="{00000000-0005-0000-0000-000090940000}"/>
    <cellStyle name="Total 2 7 8 5" xfId="38093" xr:uid="{00000000-0005-0000-0000-000091940000}"/>
    <cellStyle name="Total 2 7 8 5 2" xfId="38094" xr:uid="{00000000-0005-0000-0000-000092940000}"/>
    <cellStyle name="Total 2 7 8 5 3" xfId="38095" xr:uid="{00000000-0005-0000-0000-000093940000}"/>
    <cellStyle name="Total 2 7 8 6" xfId="38096" xr:uid="{00000000-0005-0000-0000-000094940000}"/>
    <cellStyle name="Total 2 7 8 7" xfId="38097" xr:uid="{00000000-0005-0000-0000-000095940000}"/>
    <cellStyle name="Total 2 7 9" xfId="38098" xr:uid="{00000000-0005-0000-0000-000096940000}"/>
    <cellStyle name="Total 2 7 9 2" xfId="38099" xr:uid="{00000000-0005-0000-0000-000097940000}"/>
    <cellStyle name="Total 2 7 9 2 2" xfId="38100" xr:uid="{00000000-0005-0000-0000-000098940000}"/>
    <cellStyle name="Total 2 7 9 2 3" xfId="38101" xr:uid="{00000000-0005-0000-0000-000099940000}"/>
    <cellStyle name="Total 2 7 9 2 4" xfId="38102" xr:uid="{00000000-0005-0000-0000-00009A940000}"/>
    <cellStyle name="Total 2 7 9 3" xfId="38103" xr:uid="{00000000-0005-0000-0000-00009B940000}"/>
    <cellStyle name="Total 2 7 9 3 2" xfId="38104" xr:uid="{00000000-0005-0000-0000-00009C940000}"/>
    <cellStyle name="Total 2 7 9 3 3" xfId="38105" xr:uid="{00000000-0005-0000-0000-00009D940000}"/>
    <cellStyle name="Total 2 7 9 3 4" xfId="38106" xr:uid="{00000000-0005-0000-0000-00009E940000}"/>
    <cellStyle name="Total 2 7 9 4" xfId="38107" xr:uid="{00000000-0005-0000-0000-00009F940000}"/>
    <cellStyle name="Total 2 7 9 4 2" xfId="38108" xr:uid="{00000000-0005-0000-0000-0000A0940000}"/>
    <cellStyle name="Total 2 7 9 4 3" xfId="12501" xr:uid="{00000000-0005-0000-0000-0000A1940000}"/>
    <cellStyle name="Total 2 7 9 5" xfId="38109" xr:uid="{00000000-0005-0000-0000-0000A2940000}"/>
    <cellStyle name="Total 2 7 9 5 2" xfId="38110" xr:uid="{00000000-0005-0000-0000-0000A3940000}"/>
    <cellStyle name="Total 2 7 9 5 3" xfId="12525" xr:uid="{00000000-0005-0000-0000-0000A4940000}"/>
    <cellStyle name="Total 2 7 9 6" xfId="38111" xr:uid="{00000000-0005-0000-0000-0000A5940000}"/>
    <cellStyle name="Total 2 7 9 7" xfId="38112" xr:uid="{00000000-0005-0000-0000-0000A6940000}"/>
    <cellStyle name="Total 2 8" xfId="38113" xr:uid="{00000000-0005-0000-0000-0000A7940000}"/>
    <cellStyle name="Total 2 8 10" xfId="38114" xr:uid="{00000000-0005-0000-0000-0000A8940000}"/>
    <cellStyle name="Total 2 8 10 2" xfId="38115" xr:uid="{00000000-0005-0000-0000-0000A9940000}"/>
    <cellStyle name="Total 2 8 10 2 2" xfId="38116" xr:uid="{00000000-0005-0000-0000-0000AA940000}"/>
    <cellStyle name="Total 2 8 10 2 3" xfId="38117" xr:uid="{00000000-0005-0000-0000-0000AB940000}"/>
    <cellStyle name="Total 2 8 10 2 4" xfId="38118" xr:uid="{00000000-0005-0000-0000-0000AC940000}"/>
    <cellStyle name="Total 2 8 10 3" xfId="38119" xr:uid="{00000000-0005-0000-0000-0000AD940000}"/>
    <cellStyle name="Total 2 8 10 3 2" xfId="38120" xr:uid="{00000000-0005-0000-0000-0000AE940000}"/>
    <cellStyle name="Total 2 8 10 3 3" xfId="38121" xr:uid="{00000000-0005-0000-0000-0000AF940000}"/>
    <cellStyle name="Total 2 8 10 3 4" xfId="38122" xr:uid="{00000000-0005-0000-0000-0000B0940000}"/>
    <cellStyle name="Total 2 8 10 4" xfId="38123" xr:uid="{00000000-0005-0000-0000-0000B1940000}"/>
    <cellStyle name="Total 2 8 10 4 2" xfId="38124" xr:uid="{00000000-0005-0000-0000-0000B2940000}"/>
    <cellStyle name="Total 2 8 10 4 3" xfId="38125" xr:uid="{00000000-0005-0000-0000-0000B3940000}"/>
    <cellStyle name="Total 2 8 10 5" xfId="38126" xr:uid="{00000000-0005-0000-0000-0000B4940000}"/>
    <cellStyle name="Total 2 8 10 5 2" xfId="38127" xr:uid="{00000000-0005-0000-0000-0000B5940000}"/>
    <cellStyle name="Total 2 8 10 5 3" xfId="38128" xr:uid="{00000000-0005-0000-0000-0000B6940000}"/>
    <cellStyle name="Total 2 8 10 6" xfId="38129" xr:uid="{00000000-0005-0000-0000-0000B7940000}"/>
    <cellStyle name="Total 2 8 10 7" xfId="38130" xr:uid="{00000000-0005-0000-0000-0000B8940000}"/>
    <cellStyle name="Total 2 8 11" xfId="38131" xr:uid="{00000000-0005-0000-0000-0000B9940000}"/>
    <cellStyle name="Total 2 8 11 2" xfId="38132" xr:uid="{00000000-0005-0000-0000-0000BA940000}"/>
    <cellStyle name="Total 2 8 11 2 2" xfId="38133" xr:uid="{00000000-0005-0000-0000-0000BB940000}"/>
    <cellStyle name="Total 2 8 11 2 3" xfId="38134" xr:uid="{00000000-0005-0000-0000-0000BC940000}"/>
    <cellStyle name="Total 2 8 11 2 4" xfId="38135" xr:uid="{00000000-0005-0000-0000-0000BD940000}"/>
    <cellStyle name="Total 2 8 11 3" xfId="38136" xr:uid="{00000000-0005-0000-0000-0000BE940000}"/>
    <cellStyle name="Total 2 8 11 3 2" xfId="38137" xr:uid="{00000000-0005-0000-0000-0000BF940000}"/>
    <cellStyle name="Total 2 8 11 3 3" xfId="38138" xr:uid="{00000000-0005-0000-0000-0000C0940000}"/>
    <cellStyle name="Total 2 8 11 3 4" xfId="38139" xr:uid="{00000000-0005-0000-0000-0000C1940000}"/>
    <cellStyle name="Total 2 8 11 4" xfId="38140" xr:uid="{00000000-0005-0000-0000-0000C2940000}"/>
    <cellStyle name="Total 2 8 11 4 2" xfId="38141" xr:uid="{00000000-0005-0000-0000-0000C3940000}"/>
    <cellStyle name="Total 2 8 11 4 3" xfId="38142" xr:uid="{00000000-0005-0000-0000-0000C4940000}"/>
    <cellStyle name="Total 2 8 11 5" xfId="38143" xr:uid="{00000000-0005-0000-0000-0000C5940000}"/>
    <cellStyle name="Total 2 8 11 5 2" xfId="38144" xr:uid="{00000000-0005-0000-0000-0000C6940000}"/>
    <cellStyle name="Total 2 8 11 5 3" xfId="38145" xr:uid="{00000000-0005-0000-0000-0000C7940000}"/>
    <cellStyle name="Total 2 8 11 6" xfId="38146" xr:uid="{00000000-0005-0000-0000-0000C8940000}"/>
    <cellStyle name="Total 2 8 11 7" xfId="38147" xr:uid="{00000000-0005-0000-0000-0000C9940000}"/>
    <cellStyle name="Total 2 8 12" xfId="38148" xr:uid="{00000000-0005-0000-0000-0000CA940000}"/>
    <cellStyle name="Total 2 8 12 2" xfId="38149" xr:uid="{00000000-0005-0000-0000-0000CB940000}"/>
    <cellStyle name="Total 2 8 12 2 2" xfId="38150" xr:uid="{00000000-0005-0000-0000-0000CC940000}"/>
    <cellStyle name="Total 2 8 12 2 3" xfId="38151" xr:uid="{00000000-0005-0000-0000-0000CD940000}"/>
    <cellStyle name="Total 2 8 12 2 4" xfId="38152" xr:uid="{00000000-0005-0000-0000-0000CE940000}"/>
    <cellStyle name="Total 2 8 12 3" xfId="38153" xr:uid="{00000000-0005-0000-0000-0000CF940000}"/>
    <cellStyle name="Total 2 8 12 3 2" xfId="38154" xr:uid="{00000000-0005-0000-0000-0000D0940000}"/>
    <cellStyle name="Total 2 8 12 3 3" xfId="38155" xr:uid="{00000000-0005-0000-0000-0000D1940000}"/>
    <cellStyle name="Total 2 8 12 3 4" xfId="38156" xr:uid="{00000000-0005-0000-0000-0000D2940000}"/>
    <cellStyle name="Total 2 8 12 4" xfId="38157" xr:uid="{00000000-0005-0000-0000-0000D3940000}"/>
    <cellStyle name="Total 2 8 12 4 2" xfId="38158" xr:uid="{00000000-0005-0000-0000-0000D4940000}"/>
    <cellStyle name="Total 2 8 12 4 3" xfId="38159" xr:uid="{00000000-0005-0000-0000-0000D5940000}"/>
    <cellStyle name="Total 2 8 12 5" xfId="38160" xr:uid="{00000000-0005-0000-0000-0000D6940000}"/>
    <cellStyle name="Total 2 8 12 5 2" xfId="38161" xr:uid="{00000000-0005-0000-0000-0000D7940000}"/>
    <cellStyle name="Total 2 8 12 5 3" xfId="38163" xr:uid="{00000000-0005-0000-0000-0000D8940000}"/>
    <cellStyle name="Total 2 8 12 6" xfId="38165" xr:uid="{00000000-0005-0000-0000-0000D9940000}"/>
    <cellStyle name="Total 2 8 12 7" xfId="38166" xr:uid="{00000000-0005-0000-0000-0000DA940000}"/>
    <cellStyle name="Total 2 8 13" xfId="38167" xr:uid="{00000000-0005-0000-0000-0000DB940000}"/>
    <cellStyle name="Total 2 8 13 2" xfId="38168" xr:uid="{00000000-0005-0000-0000-0000DC940000}"/>
    <cellStyle name="Total 2 8 13 3" xfId="7360" xr:uid="{00000000-0005-0000-0000-0000DD940000}"/>
    <cellStyle name="Total 2 8 13 4" xfId="38169" xr:uid="{00000000-0005-0000-0000-0000DE940000}"/>
    <cellStyle name="Total 2 8 14" xfId="38170" xr:uid="{00000000-0005-0000-0000-0000DF940000}"/>
    <cellStyle name="Total 2 8 14 2" xfId="38171" xr:uid="{00000000-0005-0000-0000-0000E0940000}"/>
    <cellStyle name="Total 2 8 14 3" xfId="38172" xr:uid="{00000000-0005-0000-0000-0000E1940000}"/>
    <cellStyle name="Total 2 8 14 4" xfId="38173" xr:uid="{00000000-0005-0000-0000-0000E2940000}"/>
    <cellStyle name="Total 2 8 15" xfId="38174" xr:uid="{00000000-0005-0000-0000-0000E3940000}"/>
    <cellStyle name="Total 2 8 15 2" xfId="38176" xr:uid="{00000000-0005-0000-0000-0000E4940000}"/>
    <cellStyle name="Total 2 8 15 3" xfId="38177" xr:uid="{00000000-0005-0000-0000-0000E5940000}"/>
    <cellStyle name="Total 2 8 16" xfId="38178" xr:uid="{00000000-0005-0000-0000-0000E6940000}"/>
    <cellStyle name="Total 2 8 16 2" xfId="38179" xr:uid="{00000000-0005-0000-0000-0000E7940000}"/>
    <cellStyle name="Total 2 8 16 3" xfId="38180" xr:uid="{00000000-0005-0000-0000-0000E8940000}"/>
    <cellStyle name="Total 2 8 17" xfId="38181" xr:uid="{00000000-0005-0000-0000-0000E9940000}"/>
    <cellStyle name="Total 2 8 17 2" xfId="38182" xr:uid="{00000000-0005-0000-0000-0000EA940000}"/>
    <cellStyle name="Total 2 8 17 2 2" xfId="38183" xr:uid="{00000000-0005-0000-0000-0000EB940000}"/>
    <cellStyle name="Total 2 8 18" xfId="38184" xr:uid="{00000000-0005-0000-0000-0000EC940000}"/>
    <cellStyle name="Total 2 8 19" xfId="16996" xr:uid="{00000000-0005-0000-0000-0000ED940000}"/>
    <cellStyle name="Total 2 8 2" xfId="38185" xr:uid="{00000000-0005-0000-0000-0000EE940000}"/>
    <cellStyle name="Total 2 8 2 10" xfId="38186" xr:uid="{00000000-0005-0000-0000-0000EF940000}"/>
    <cellStyle name="Total 2 8 2 10 2" xfId="38187" xr:uid="{00000000-0005-0000-0000-0000F0940000}"/>
    <cellStyle name="Total 2 8 2 10 2 2" xfId="38188" xr:uid="{00000000-0005-0000-0000-0000F1940000}"/>
    <cellStyle name="Total 2 8 2 10 2 3" xfId="38189" xr:uid="{00000000-0005-0000-0000-0000F2940000}"/>
    <cellStyle name="Total 2 8 2 10 2 4" xfId="38190" xr:uid="{00000000-0005-0000-0000-0000F3940000}"/>
    <cellStyle name="Total 2 8 2 10 3" xfId="38191" xr:uid="{00000000-0005-0000-0000-0000F4940000}"/>
    <cellStyle name="Total 2 8 2 10 3 2" xfId="38192" xr:uid="{00000000-0005-0000-0000-0000F5940000}"/>
    <cellStyle name="Total 2 8 2 10 3 3" xfId="38193" xr:uid="{00000000-0005-0000-0000-0000F6940000}"/>
    <cellStyle name="Total 2 8 2 10 3 4" xfId="38194" xr:uid="{00000000-0005-0000-0000-0000F7940000}"/>
    <cellStyle name="Total 2 8 2 10 4" xfId="9157" xr:uid="{00000000-0005-0000-0000-0000F8940000}"/>
    <cellStyle name="Total 2 8 2 10 4 2" xfId="38195" xr:uid="{00000000-0005-0000-0000-0000F9940000}"/>
    <cellStyle name="Total 2 8 2 10 4 3" xfId="38196" xr:uid="{00000000-0005-0000-0000-0000FA940000}"/>
    <cellStyle name="Total 2 8 2 10 5" xfId="9161" xr:uid="{00000000-0005-0000-0000-0000FB940000}"/>
    <cellStyle name="Total 2 8 2 10 5 2" xfId="38197" xr:uid="{00000000-0005-0000-0000-0000FC940000}"/>
    <cellStyle name="Total 2 8 2 10 5 3" xfId="38198" xr:uid="{00000000-0005-0000-0000-0000FD940000}"/>
    <cellStyle name="Total 2 8 2 10 6" xfId="7800" xr:uid="{00000000-0005-0000-0000-0000FE940000}"/>
    <cellStyle name="Total 2 8 2 10 7" xfId="38199" xr:uid="{00000000-0005-0000-0000-0000FF940000}"/>
    <cellStyle name="Total 2 8 2 11" xfId="38200" xr:uid="{00000000-0005-0000-0000-000000950000}"/>
    <cellStyle name="Total 2 8 2 11 2" xfId="38201" xr:uid="{00000000-0005-0000-0000-000001950000}"/>
    <cellStyle name="Total 2 8 2 11 3" xfId="38202" xr:uid="{00000000-0005-0000-0000-000002950000}"/>
    <cellStyle name="Total 2 8 2 11 4" xfId="9173" xr:uid="{00000000-0005-0000-0000-000003950000}"/>
    <cellStyle name="Total 2 8 2 12" xfId="38203" xr:uid="{00000000-0005-0000-0000-000004950000}"/>
    <cellStyle name="Total 2 8 2 12 2" xfId="38204" xr:uid="{00000000-0005-0000-0000-000005950000}"/>
    <cellStyle name="Total 2 8 2 12 3" xfId="38205" xr:uid="{00000000-0005-0000-0000-000006950000}"/>
    <cellStyle name="Total 2 8 2 12 4" xfId="9188" xr:uid="{00000000-0005-0000-0000-000007950000}"/>
    <cellStyle name="Total 2 8 2 13" xfId="38206" xr:uid="{00000000-0005-0000-0000-000008950000}"/>
    <cellStyle name="Total 2 8 2 13 2" xfId="38207" xr:uid="{00000000-0005-0000-0000-000009950000}"/>
    <cellStyle name="Total 2 8 2 13 3" xfId="38208" xr:uid="{00000000-0005-0000-0000-00000A950000}"/>
    <cellStyle name="Total 2 8 2 14" xfId="38209" xr:uid="{00000000-0005-0000-0000-00000B950000}"/>
    <cellStyle name="Total 2 8 2 14 2" xfId="38210" xr:uid="{00000000-0005-0000-0000-00000C950000}"/>
    <cellStyle name="Total 2 8 2 14 3" xfId="38211" xr:uid="{00000000-0005-0000-0000-00000D950000}"/>
    <cellStyle name="Total 2 8 2 15" xfId="38212" xr:uid="{00000000-0005-0000-0000-00000E950000}"/>
    <cellStyle name="Total 2 8 2 16" xfId="38213" xr:uid="{00000000-0005-0000-0000-00000F950000}"/>
    <cellStyle name="Total 2 8 2 17" xfId="38214" xr:uid="{00000000-0005-0000-0000-000010950000}"/>
    <cellStyle name="Total 2 8 2 2" xfId="38215" xr:uid="{00000000-0005-0000-0000-000011950000}"/>
    <cellStyle name="Total 2 8 2 2 2" xfId="38216" xr:uid="{00000000-0005-0000-0000-000012950000}"/>
    <cellStyle name="Total 2 8 2 2 2 2" xfId="38217" xr:uid="{00000000-0005-0000-0000-000013950000}"/>
    <cellStyle name="Total 2 8 2 2 2 3" xfId="38218" xr:uid="{00000000-0005-0000-0000-000014950000}"/>
    <cellStyle name="Total 2 8 2 2 2 4" xfId="38219" xr:uid="{00000000-0005-0000-0000-000015950000}"/>
    <cellStyle name="Total 2 8 2 2 3" xfId="38220" xr:uid="{00000000-0005-0000-0000-000016950000}"/>
    <cellStyle name="Total 2 8 2 2 3 2" xfId="38221" xr:uid="{00000000-0005-0000-0000-000017950000}"/>
    <cellStyle name="Total 2 8 2 2 3 3" xfId="38222" xr:uid="{00000000-0005-0000-0000-000018950000}"/>
    <cellStyle name="Total 2 8 2 2 3 4" xfId="38223" xr:uid="{00000000-0005-0000-0000-000019950000}"/>
    <cellStyle name="Total 2 8 2 2 4" xfId="38224" xr:uid="{00000000-0005-0000-0000-00001A950000}"/>
    <cellStyle name="Total 2 8 2 2 4 2" xfId="38225" xr:uid="{00000000-0005-0000-0000-00001B950000}"/>
    <cellStyle name="Total 2 8 2 2 4 3" xfId="38226" xr:uid="{00000000-0005-0000-0000-00001C950000}"/>
    <cellStyle name="Total 2 8 2 2 5" xfId="38227" xr:uid="{00000000-0005-0000-0000-00001D950000}"/>
    <cellStyle name="Total 2 8 2 2 5 2" xfId="38228" xr:uid="{00000000-0005-0000-0000-00001E950000}"/>
    <cellStyle name="Total 2 8 2 2 5 3" xfId="38229" xr:uid="{00000000-0005-0000-0000-00001F950000}"/>
    <cellStyle name="Total 2 8 2 2 6" xfId="38230" xr:uid="{00000000-0005-0000-0000-000020950000}"/>
    <cellStyle name="Total 2 8 2 2 7" xfId="38231" xr:uid="{00000000-0005-0000-0000-000021950000}"/>
    <cellStyle name="Total 2 8 2 3" xfId="38232" xr:uid="{00000000-0005-0000-0000-000022950000}"/>
    <cellStyle name="Total 2 8 2 3 2" xfId="38233" xr:uid="{00000000-0005-0000-0000-000023950000}"/>
    <cellStyle name="Total 2 8 2 3 2 2" xfId="38234" xr:uid="{00000000-0005-0000-0000-000024950000}"/>
    <cellStyle name="Total 2 8 2 3 2 3" xfId="38235" xr:uid="{00000000-0005-0000-0000-000025950000}"/>
    <cellStyle name="Total 2 8 2 3 2 4" xfId="38236" xr:uid="{00000000-0005-0000-0000-000026950000}"/>
    <cellStyle name="Total 2 8 2 3 3" xfId="38237" xr:uid="{00000000-0005-0000-0000-000027950000}"/>
    <cellStyle name="Total 2 8 2 3 3 2" xfId="38238" xr:uid="{00000000-0005-0000-0000-000028950000}"/>
    <cellStyle name="Total 2 8 2 3 3 3" xfId="38239" xr:uid="{00000000-0005-0000-0000-000029950000}"/>
    <cellStyle name="Total 2 8 2 3 3 4" xfId="38240" xr:uid="{00000000-0005-0000-0000-00002A950000}"/>
    <cellStyle name="Total 2 8 2 3 4" xfId="38241" xr:uid="{00000000-0005-0000-0000-00002B950000}"/>
    <cellStyle name="Total 2 8 2 3 4 2" xfId="38242" xr:uid="{00000000-0005-0000-0000-00002C950000}"/>
    <cellStyle name="Total 2 8 2 3 4 3" xfId="38243" xr:uid="{00000000-0005-0000-0000-00002D950000}"/>
    <cellStyle name="Total 2 8 2 3 5" xfId="38244" xr:uid="{00000000-0005-0000-0000-00002E950000}"/>
    <cellStyle name="Total 2 8 2 3 5 2" xfId="38245" xr:uid="{00000000-0005-0000-0000-00002F950000}"/>
    <cellStyle name="Total 2 8 2 3 5 3" xfId="38246" xr:uid="{00000000-0005-0000-0000-000030950000}"/>
    <cellStyle name="Total 2 8 2 3 6" xfId="38247" xr:uid="{00000000-0005-0000-0000-000031950000}"/>
    <cellStyle name="Total 2 8 2 3 7" xfId="38248" xr:uid="{00000000-0005-0000-0000-000032950000}"/>
    <cellStyle name="Total 2 8 2 4" xfId="38249" xr:uid="{00000000-0005-0000-0000-000033950000}"/>
    <cellStyle name="Total 2 8 2 4 2" xfId="38250" xr:uid="{00000000-0005-0000-0000-000034950000}"/>
    <cellStyle name="Total 2 8 2 4 2 2" xfId="38251" xr:uid="{00000000-0005-0000-0000-000035950000}"/>
    <cellStyle name="Total 2 8 2 4 2 3" xfId="38252" xr:uid="{00000000-0005-0000-0000-000036950000}"/>
    <cellStyle name="Total 2 8 2 4 2 4" xfId="38253" xr:uid="{00000000-0005-0000-0000-000037950000}"/>
    <cellStyle name="Total 2 8 2 4 3" xfId="38254" xr:uid="{00000000-0005-0000-0000-000038950000}"/>
    <cellStyle name="Total 2 8 2 4 3 2" xfId="38255" xr:uid="{00000000-0005-0000-0000-000039950000}"/>
    <cellStyle name="Total 2 8 2 4 3 3" xfId="38256" xr:uid="{00000000-0005-0000-0000-00003A950000}"/>
    <cellStyle name="Total 2 8 2 4 3 4" xfId="38257" xr:uid="{00000000-0005-0000-0000-00003B950000}"/>
    <cellStyle name="Total 2 8 2 4 4" xfId="38258" xr:uid="{00000000-0005-0000-0000-00003C950000}"/>
    <cellStyle name="Total 2 8 2 4 4 2" xfId="38259" xr:uid="{00000000-0005-0000-0000-00003D950000}"/>
    <cellStyle name="Total 2 8 2 4 4 3" xfId="38260" xr:uid="{00000000-0005-0000-0000-00003E950000}"/>
    <cellStyle name="Total 2 8 2 4 5" xfId="38261" xr:uid="{00000000-0005-0000-0000-00003F950000}"/>
    <cellStyle name="Total 2 8 2 4 5 2" xfId="38262" xr:uid="{00000000-0005-0000-0000-000040950000}"/>
    <cellStyle name="Total 2 8 2 4 5 3" xfId="38263" xr:uid="{00000000-0005-0000-0000-000041950000}"/>
    <cellStyle name="Total 2 8 2 4 6" xfId="38264" xr:uid="{00000000-0005-0000-0000-000042950000}"/>
    <cellStyle name="Total 2 8 2 4 7" xfId="38265" xr:uid="{00000000-0005-0000-0000-000043950000}"/>
    <cellStyle name="Total 2 8 2 5" xfId="38266" xr:uid="{00000000-0005-0000-0000-000044950000}"/>
    <cellStyle name="Total 2 8 2 5 2" xfId="38267" xr:uid="{00000000-0005-0000-0000-000045950000}"/>
    <cellStyle name="Total 2 8 2 5 2 2" xfId="38268" xr:uid="{00000000-0005-0000-0000-000046950000}"/>
    <cellStyle name="Total 2 8 2 5 2 3" xfId="38269" xr:uid="{00000000-0005-0000-0000-000047950000}"/>
    <cellStyle name="Total 2 8 2 5 2 4" xfId="38270" xr:uid="{00000000-0005-0000-0000-000048950000}"/>
    <cellStyle name="Total 2 8 2 5 3" xfId="38271" xr:uid="{00000000-0005-0000-0000-000049950000}"/>
    <cellStyle name="Total 2 8 2 5 3 2" xfId="38272" xr:uid="{00000000-0005-0000-0000-00004A950000}"/>
    <cellStyle name="Total 2 8 2 5 3 3" xfId="38273" xr:uid="{00000000-0005-0000-0000-00004B950000}"/>
    <cellStyle name="Total 2 8 2 5 3 4" xfId="38274" xr:uid="{00000000-0005-0000-0000-00004C950000}"/>
    <cellStyle name="Total 2 8 2 5 4" xfId="38275" xr:uid="{00000000-0005-0000-0000-00004D950000}"/>
    <cellStyle name="Total 2 8 2 5 4 2" xfId="38276" xr:uid="{00000000-0005-0000-0000-00004E950000}"/>
    <cellStyle name="Total 2 8 2 5 4 3" xfId="38277" xr:uid="{00000000-0005-0000-0000-00004F950000}"/>
    <cellStyle name="Total 2 8 2 5 5" xfId="38278" xr:uid="{00000000-0005-0000-0000-000050950000}"/>
    <cellStyle name="Total 2 8 2 5 5 2" xfId="38279" xr:uid="{00000000-0005-0000-0000-000051950000}"/>
    <cellStyle name="Total 2 8 2 5 5 3" xfId="38280" xr:uid="{00000000-0005-0000-0000-000052950000}"/>
    <cellStyle name="Total 2 8 2 5 6" xfId="38281" xr:uid="{00000000-0005-0000-0000-000053950000}"/>
    <cellStyle name="Total 2 8 2 5 7" xfId="38282" xr:uid="{00000000-0005-0000-0000-000054950000}"/>
    <cellStyle name="Total 2 8 2 6" xfId="38283" xr:uid="{00000000-0005-0000-0000-000055950000}"/>
    <cellStyle name="Total 2 8 2 6 2" xfId="38284" xr:uid="{00000000-0005-0000-0000-000056950000}"/>
    <cellStyle name="Total 2 8 2 6 2 2" xfId="38285" xr:uid="{00000000-0005-0000-0000-000057950000}"/>
    <cellStyle name="Total 2 8 2 6 2 3" xfId="38286" xr:uid="{00000000-0005-0000-0000-000058950000}"/>
    <cellStyle name="Total 2 8 2 6 2 4" xfId="38287" xr:uid="{00000000-0005-0000-0000-000059950000}"/>
    <cellStyle name="Total 2 8 2 6 3" xfId="38288" xr:uid="{00000000-0005-0000-0000-00005A950000}"/>
    <cellStyle name="Total 2 8 2 6 3 2" xfId="38289" xr:uid="{00000000-0005-0000-0000-00005B950000}"/>
    <cellStyle name="Total 2 8 2 6 3 3" xfId="38290" xr:uid="{00000000-0005-0000-0000-00005C950000}"/>
    <cellStyle name="Total 2 8 2 6 3 4" xfId="38291" xr:uid="{00000000-0005-0000-0000-00005D950000}"/>
    <cellStyle name="Total 2 8 2 6 4" xfId="38292" xr:uid="{00000000-0005-0000-0000-00005E950000}"/>
    <cellStyle name="Total 2 8 2 6 4 2" xfId="38293" xr:uid="{00000000-0005-0000-0000-00005F950000}"/>
    <cellStyle name="Total 2 8 2 6 4 3" xfId="38294" xr:uid="{00000000-0005-0000-0000-000060950000}"/>
    <cellStyle name="Total 2 8 2 6 5" xfId="38295" xr:uid="{00000000-0005-0000-0000-000061950000}"/>
    <cellStyle name="Total 2 8 2 6 5 2" xfId="38296" xr:uid="{00000000-0005-0000-0000-000062950000}"/>
    <cellStyle name="Total 2 8 2 6 5 3" xfId="38297" xr:uid="{00000000-0005-0000-0000-000063950000}"/>
    <cellStyle name="Total 2 8 2 6 6" xfId="38298" xr:uid="{00000000-0005-0000-0000-000064950000}"/>
    <cellStyle name="Total 2 8 2 6 7" xfId="38299" xr:uid="{00000000-0005-0000-0000-000065950000}"/>
    <cellStyle name="Total 2 8 2 7" xfId="38300" xr:uid="{00000000-0005-0000-0000-000066950000}"/>
    <cellStyle name="Total 2 8 2 7 2" xfId="38301" xr:uid="{00000000-0005-0000-0000-000067950000}"/>
    <cellStyle name="Total 2 8 2 7 2 2" xfId="38302" xr:uid="{00000000-0005-0000-0000-000068950000}"/>
    <cellStyle name="Total 2 8 2 7 2 3" xfId="38303" xr:uid="{00000000-0005-0000-0000-000069950000}"/>
    <cellStyle name="Total 2 8 2 7 2 4" xfId="38304" xr:uid="{00000000-0005-0000-0000-00006A950000}"/>
    <cellStyle name="Total 2 8 2 7 3" xfId="38305" xr:uid="{00000000-0005-0000-0000-00006B950000}"/>
    <cellStyle name="Total 2 8 2 7 3 2" xfId="38306" xr:uid="{00000000-0005-0000-0000-00006C950000}"/>
    <cellStyle name="Total 2 8 2 7 3 3" xfId="38307" xr:uid="{00000000-0005-0000-0000-00006D950000}"/>
    <cellStyle name="Total 2 8 2 7 3 4" xfId="38308" xr:uid="{00000000-0005-0000-0000-00006E950000}"/>
    <cellStyle name="Total 2 8 2 7 4" xfId="38309" xr:uid="{00000000-0005-0000-0000-00006F950000}"/>
    <cellStyle name="Total 2 8 2 7 4 2" xfId="38310" xr:uid="{00000000-0005-0000-0000-000070950000}"/>
    <cellStyle name="Total 2 8 2 7 4 3" xfId="38311" xr:uid="{00000000-0005-0000-0000-000071950000}"/>
    <cellStyle name="Total 2 8 2 7 5" xfId="38312" xr:uid="{00000000-0005-0000-0000-000072950000}"/>
    <cellStyle name="Total 2 8 2 7 5 2" xfId="38313" xr:uid="{00000000-0005-0000-0000-000073950000}"/>
    <cellStyle name="Total 2 8 2 7 5 3" xfId="38314" xr:uid="{00000000-0005-0000-0000-000074950000}"/>
    <cellStyle name="Total 2 8 2 7 6" xfId="38315" xr:uid="{00000000-0005-0000-0000-000075950000}"/>
    <cellStyle name="Total 2 8 2 7 7" xfId="38316" xr:uid="{00000000-0005-0000-0000-000076950000}"/>
    <cellStyle name="Total 2 8 2 8" xfId="38317" xr:uid="{00000000-0005-0000-0000-000077950000}"/>
    <cellStyle name="Total 2 8 2 8 2" xfId="38318" xr:uid="{00000000-0005-0000-0000-000078950000}"/>
    <cellStyle name="Total 2 8 2 8 2 2" xfId="38319" xr:uid="{00000000-0005-0000-0000-000079950000}"/>
    <cellStyle name="Total 2 8 2 8 2 3" xfId="38320" xr:uid="{00000000-0005-0000-0000-00007A950000}"/>
    <cellStyle name="Total 2 8 2 8 2 4" xfId="38321" xr:uid="{00000000-0005-0000-0000-00007B950000}"/>
    <cellStyle name="Total 2 8 2 8 3" xfId="38322" xr:uid="{00000000-0005-0000-0000-00007C950000}"/>
    <cellStyle name="Total 2 8 2 8 3 2" xfId="38323" xr:uid="{00000000-0005-0000-0000-00007D950000}"/>
    <cellStyle name="Total 2 8 2 8 3 3" xfId="38324" xr:uid="{00000000-0005-0000-0000-00007E950000}"/>
    <cellStyle name="Total 2 8 2 8 3 4" xfId="38325" xr:uid="{00000000-0005-0000-0000-00007F950000}"/>
    <cellStyle name="Total 2 8 2 8 4" xfId="38326" xr:uid="{00000000-0005-0000-0000-000080950000}"/>
    <cellStyle name="Total 2 8 2 8 4 2" xfId="38327" xr:uid="{00000000-0005-0000-0000-000081950000}"/>
    <cellStyle name="Total 2 8 2 8 4 3" xfId="38328" xr:uid="{00000000-0005-0000-0000-000082950000}"/>
    <cellStyle name="Total 2 8 2 8 5" xfId="38329" xr:uid="{00000000-0005-0000-0000-000083950000}"/>
    <cellStyle name="Total 2 8 2 8 5 2" xfId="38330" xr:uid="{00000000-0005-0000-0000-000084950000}"/>
    <cellStyle name="Total 2 8 2 8 5 3" xfId="38331" xr:uid="{00000000-0005-0000-0000-000085950000}"/>
    <cellStyle name="Total 2 8 2 8 6" xfId="38332" xr:uid="{00000000-0005-0000-0000-000086950000}"/>
    <cellStyle name="Total 2 8 2 8 7" xfId="38333" xr:uid="{00000000-0005-0000-0000-000087950000}"/>
    <cellStyle name="Total 2 8 2 9" xfId="38334" xr:uid="{00000000-0005-0000-0000-000088950000}"/>
    <cellStyle name="Total 2 8 2 9 2" xfId="38335" xr:uid="{00000000-0005-0000-0000-000089950000}"/>
    <cellStyle name="Total 2 8 2 9 2 2" xfId="38336" xr:uid="{00000000-0005-0000-0000-00008A950000}"/>
    <cellStyle name="Total 2 8 2 9 2 3" xfId="38337" xr:uid="{00000000-0005-0000-0000-00008B950000}"/>
    <cellStyle name="Total 2 8 2 9 2 4" xfId="38338" xr:uid="{00000000-0005-0000-0000-00008C950000}"/>
    <cellStyle name="Total 2 8 2 9 3" xfId="38339" xr:uid="{00000000-0005-0000-0000-00008D950000}"/>
    <cellStyle name="Total 2 8 2 9 3 2" xfId="38340" xr:uid="{00000000-0005-0000-0000-00008E950000}"/>
    <cellStyle name="Total 2 8 2 9 3 3" xfId="38341" xr:uid="{00000000-0005-0000-0000-00008F950000}"/>
    <cellStyle name="Total 2 8 2 9 3 4" xfId="38342" xr:uid="{00000000-0005-0000-0000-000090950000}"/>
    <cellStyle name="Total 2 8 2 9 4" xfId="38343" xr:uid="{00000000-0005-0000-0000-000091950000}"/>
    <cellStyle name="Total 2 8 2 9 4 2" xfId="38344" xr:uid="{00000000-0005-0000-0000-000092950000}"/>
    <cellStyle name="Total 2 8 2 9 4 3" xfId="38345" xr:uid="{00000000-0005-0000-0000-000093950000}"/>
    <cellStyle name="Total 2 8 2 9 5" xfId="38346" xr:uid="{00000000-0005-0000-0000-000094950000}"/>
    <cellStyle name="Total 2 8 2 9 5 2" xfId="38347" xr:uid="{00000000-0005-0000-0000-000095950000}"/>
    <cellStyle name="Total 2 8 2 9 5 3" xfId="38348" xr:uid="{00000000-0005-0000-0000-000096950000}"/>
    <cellStyle name="Total 2 8 2 9 6" xfId="38349" xr:uid="{00000000-0005-0000-0000-000097950000}"/>
    <cellStyle name="Total 2 8 2 9 7" xfId="38350" xr:uid="{00000000-0005-0000-0000-000098950000}"/>
    <cellStyle name="Total 2 8 20" xfId="38175" xr:uid="{00000000-0005-0000-0000-000099950000}"/>
    <cellStyle name="Total 2 8 3" xfId="38351" xr:uid="{00000000-0005-0000-0000-00009A950000}"/>
    <cellStyle name="Total 2 8 3 10" xfId="38352" xr:uid="{00000000-0005-0000-0000-00009B950000}"/>
    <cellStyle name="Total 2 8 3 10 2" xfId="38353" xr:uid="{00000000-0005-0000-0000-00009C950000}"/>
    <cellStyle name="Total 2 8 3 10 2 2" xfId="38354" xr:uid="{00000000-0005-0000-0000-00009D950000}"/>
    <cellStyle name="Total 2 8 3 10 2 3" xfId="38355" xr:uid="{00000000-0005-0000-0000-00009E950000}"/>
    <cellStyle name="Total 2 8 3 10 2 4" xfId="38356" xr:uid="{00000000-0005-0000-0000-00009F950000}"/>
    <cellStyle name="Total 2 8 3 10 3" xfId="38357" xr:uid="{00000000-0005-0000-0000-0000A0950000}"/>
    <cellStyle name="Total 2 8 3 10 3 2" xfId="38358" xr:uid="{00000000-0005-0000-0000-0000A1950000}"/>
    <cellStyle name="Total 2 8 3 10 3 3" xfId="38359" xr:uid="{00000000-0005-0000-0000-0000A2950000}"/>
    <cellStyle name="Total 2 8 3 10 3 4" xfId="38360" xr:uid="{00000000-0005-0000-0000-0000A3950000}"/>
    <cellStyle name="Total 2 8 3 10 4" xfId="38361" xr:uid="{00000000-0005-0000-0000-0000A4950000}"/>
    <cellStyle name="Total 2 8 3 10 4 2" xfId="38362" xr:uid="{00000000-0005-0000-0000-0000A5950000}"/>
    <cellStyle name="Total 2 8 3 10 4 3" xfId="38363" xr:uid="{00000000-0005-0000-0000-0000A6950000}"/>
    <cellStyle name="Total 2 8 3 10 5" xfId="38364" xr:uid="{00000000-0005-0000-0000-0000A7950000}"/>
    <cellStyle name="Total 2 8 3 10 5 2" xfId="38365" xr:uid="{00000000-0005-0000-0000-0000A8950000}"/>
    <cellStyle name="Total 2 8 3 10 5 3" xfId="38366" xr:uid="{00000000-0005-0000-0000-0000A9950000}"/>
    <cellStyle name="Total 2 8 3 10 6" xfId="38367" xr:uid="{00000000-0005-0000-0000-0000AA950000}"/>
    <cellStyle name="Total 2 8 3 10 7" xfId="38368" xr:uid="{00000000-0005-0000-0000-0000AB950000}"/>
    <cellStyle name="Total 2 8 3 11" xfId="38369" xr:uid="{00000000-0005-0000-0000-0000AC950000}"/>
    <cellStyle name="Total 2 8 3 11 2" xfId="38370" xr:uid="{00000000-0005-0000-0000-0000AD950000}"/>
    <cellStyle name="Total 2 8 3 11 3" xfId="38371" xr:uid="{00000000-0005-0000-0000-0000AE950000}"/>
    <cellStyle name="Total 2 8 3 11 4" xfId="38372" xr:uid="{00000000-0005-0000-0000-0000AF950000}"/>
    <cellStyle name="Total 2 8 3 12" xfId="38373" xr:uid="{00000000-0005-0000-0000-0000B0950000}"/>
    <cellStyle name="Total 2 8 3 12 2" xfId="38374" xr:uid="{00000000-0005-0000-0000-0000B1950000}"/>
    <cellStyle name="Total 2 8 3 12 3" xfId="38375" xr:uid="{00000000-0005-0000-0000-0000B2950000}"/>
    <cellStyle name="Total 2 8 3 12 4" xfId="38376" xr:uid="{00000000-0005-0000-0000-0000B3950000}"/>
    <cellStyle name="Total 2 8 3 13" xfId="38377" xr:uid="{00000000-0005-0000-0000-0000B4950000}"/>
    <cellStyle name="Total 2 8 3 13 2" xfId="38378" xr:uid="{00000000-0005-0000-0000-0000B5950000}"/>
    <cellStyle name="Total 2 8 3 13 3" xfId="38379" xr:uid="{00000000-0005-0000-0000-0000B6950000}"/>
    <cellStyle name="Total 2 8 3 14" xfId="38380" xr:uid="{00000000-0005-0000-0000-0000B7950000}"/>
    <cellStyle name="Total 2 8 3 14 2" xfId="38381" xr:uid="{00000000-0005-0000-0000-0000B8950000}"/>
    <cellStyle name="Total 2 8 3 14 3" xfId="38382" xr:uid="{00000000-0005-0000-0000-0000B9950000}"/>
    <cellStyle name="Total 2 8 3 15" xfId="38383" xr:uid="{00000000-0005-0000-0000-0000BA950000}"/>
    <cellStyle name="Total 2 8 3 16" xfId="38384" xr:uid="{00000000-0005-0000-0000-0000BB950000}"/>
    <cellStyle name="Total 2 8 3 2" xfId="38385" xr:uid="{00000000-0005-0000-0000-0000BC950000}"/>
    <cellStyle name="Total 2 8 3 2 2" xfId="38386" xr:uid="{00000000-0005-0000-0000-0000BD950000}"/>
    <cellStyle name="Total 2 8 3 2 2 2" xfId="38387" xr:uid="{00000000-0005-0000-0000-0000BE950000}"/>
    <cellStyle name="Total 2 8 3 2 2 3" xfId="38388" xr:uid="{00000000-0005-0000-0000-0000BF950000}"/>
    <cellStyle name="Total 2 8 3 2 2 4" xfId="38389" xr:uid="{00000000-0005-0000-0000-0000C0950000}"/>
    <cellStyle name="Total 2 8 3 2 3" xfId="38390" xr:uid="{00000000-0005-0000-0000-0000C1950000}"/>
    <cellStyle name="Total 2 8 3 2 3 2" xfId="7478" xr:uid="{00000000-0005-0000-0000-0000C2950000}"/>
    <cellStyle name="Total 2 8 3 2 3 3" xfId="38391" xr:uid="{00000000-0005-0000-0000-0000C3950000}"/>
    <cellStyle name="Total 2 8 3 2 3 4" xfId="38392" xr:uid="{00000000-0005-0000-0000-0000C4950000}"/>
    <cellStyle name="Total 2 8 3 2 4" xfId="38393" xr:uid="{00000000-0005-0000-0000-0000C5950000}"/>
    <cellStyle name="Total 2 8 3 2 4 2" xfId="7494" xr:uid="{00000000-0005-0000-0000-0000C6950000}"/>
    <cellStyle name="Total 2 8 3 2 4 3" xfId="38394" xr:uid="{00000000-0005-0000-0000-0000C7950000}"/>
    <cellStyle name="Total 2 8 3 2 5" xfId="38395" xr:uid="{00000000-0005-0000-0000-0000C8950000}"/>
    <cellStyle name="Total 2 8 3 2 5 2" xfId="38396" xr:uid="{00000000-0005-0000-0000-0000C9950000}"/>
    <cellStyle name="Total 2 8 3 2 5 3" xfId="38397" xr:uid="{00000000-0005-0000-0000-0000CA950000}"/>
    <cellStyle name="Total 2 8 3 2 6" xfId="38398" xr:uid="{00000000-0005-0000-0000-0000CB950000}"/>
    <cellStyle name="Total 2 8 3 2 7" xfId="38399" xr:uid="{00000000-0005-0000-0000-0000CC950000}"/>
    <cellStyle name="Total 2 8 3 3" xfId="38400" xr:uid="{00000000-0005-0000-0000-0000CD950000}"/>
    <cellStyle name="Total 2 8 3 3 2" xfId="38401" xr:uid="{00000000-0005-0000-0000-0000CE950000}"/>
    <cellStyle name="Total 2 8 3 3 2 2" xfId="38402" xr:uid="{00000000-0005-0000-0000-0000CF950000}"/>
    <cellStyle name="Total 2 8 3 3 2 3" xfId="38403" xr:uid="{00000000-0005-0000-0000-0000D0950000}"/>
    <cellStyle name="Total 2 8 3 3 2 4" xfId="38404" xr:uid="{00000000-0005-0000-0000-0000D1950000}"/>
    <cellStyle name="Total 2 8 3 3 3" xfId="38405" xr:uid="{00000000-0005-0000-0000-0000D2950000}"/>
    <cellStyle name="Total 2 8 3 3 3 2" xfId="38406" xr:uid="{00000000-0005-0000-0000-0000D3950000}"/>
    <cellStyle name="Total 2 8 3 3 3 3" xfId="38407" xr:uid="{00000000-0005-0000-0000-0000D4950000}"/>
    <cellStyle name="Total 2 8 3 3 3 4" xfId="38408" xr:uid="{00000000-0005-0000-0000-0000D5950000}"/>
    <cellStyle name="Total 2 8 3 3 4" xfId="38409" xr:uid="{00000000-0005-0000-0000-0000D6950000}"/>
    <cellStyle name="Total 2 8 3 3 4 2" xfId="38410" xr:uid="{00000000-0005-0000-0000-0000D7950000}"/>
    <cellStyle name="Total 2 8 3 3 4 3" xfId="38411" xr:uid="{00000000-0005-0000-0000-0000D8950000}"/>
    <cellStyle name="Total 2 8 3 3 5" xfId="38412" xr:uid="{00000000-0005-0000-0000-0000D9950000}"/>
    <cellStyle name="Total 2 8 3 3 5 2" xfId="38413" xr:uid="{00000000-0005-0000-0000-0000DA950000}"/>
    <cellStyle name="Total 2 8 3 3 5 3" xfId="38414" xr:uid="{00000000-0005-0000-0000-0000DB950000}"/>
    <cellStyle name="Total 2 8 3 3 6" xfId="38415" xr:uid="{00000000-0005-0000-0000-0000DC950000}"/>
    <cellStyle name="Total 2 8 3 3 7" xfId="38416" xr:uid="{00000000-0005-0000-0000-0000DD950000}"/>
    <cellStyle name="Total 2 8 3 4" xfId="38417" xr:uid="{00000000-0005-0000-0000-0000DE950000}"/>
    <cellStyle name="Total 2 8 3 4 2" xfId="38418" xr:uid="{00000000-0005-0000-0000-0000DF950000}"/>
    <cellStyle name="Total 2 8 3 4 2 2" xfId="38419" xr:uid="{00000000-0005-0000-0000-0000E0950000}"/>
    <cellStyle name="Total 2 8 3 4 2 3" xfId="38420" xr:uid="{00000000-0005-0000-0000-0000E1950000}"/>
    <cellStyle name="Total 2 8 3 4 2 4" xfId="38421" xr:uid="{00000000-0005-0000-0000-0000E2950000}"/>
    <cellStyle name="Total 2 8 3 4 3" xfId="38422" xr:uid="{00000000-0005-0000-0000-0000E3950000}"/>
    <cellStyle name="Total 2 8 3 4 3 2" xfId="38423" xr:uid="{00000000-0005-0000-0000-0000E4950000}"/>
    <cellStyle name="Total 2 8 3 4 3 3" xfId="38424" xr:uid="{00000000-0005-0000-0000-0000E5950000}"/>
    <cellStyle name="Total 2 8 3 4 3 4" xfId="38425" xr:uid="{00000000-0005-0000-0000-0000E6950000}"/>
    <cellStyle name="Total 2 8 3 4 4" xfId="38426" xr:uid="{00000000-0005-0000-0000-0000E7950000}"/>
    <cellStyle name="Total 2 8 3 4 4 2" xfId="38427" xr:uid="{00000000-0005-0000-0000-0000E8950000}"/>
    <cellStyle name="Total 2 8 3 4 4 3" xfId="38428" xr:uid="{00000000-0005-0000-0000-0000E9950000}"/>
    <cellStyle name="Total 2 8 3 4 5" xfId="38429" xr:uid="{00000000-0005-0000-0000-0000EA950000}"/>
    <cellStyle name="Total 2 8 3 4 5 2" xfId="38430" xr:uid="{00000000-0005-0000-0000-0000EB950000}"/>
    <cellStyle name="Total 2 8 3 4 5 3" xfId="38431" xr:uid="{00000000-0005-0000-0000-0000EC950000}"/>
    <cellStyle name="Total 2 8 3 4 6" xfId="38432" xr:uid="{00000000-0005-0000-0000-0000ED950000}"/>
    <cellStyle name="Total 2 8 3 4 7" xfId="38433" xr:uid="{00000000-0005-0000-0000-0000EE950000}"/>
    <cellStyle name="Total 2 8 3 5" xfId="38434" xr:uid="{00000000-0005-0000-0000-0000EF950000}"/>
    <cellStyle name="Total 2 8 3 5 2" xfId="38435" xr:uid="{00000000-0005-0000-0000-0000F0950000}"/>
    <cellStyle name="Total 2 8 3 5 2 2" xfId="38436" xr:uid="{00000000-0005-0000-0000-0000F1950000}"/>
    <cellStyle name="Total 2 8 3 5 2 3" xfId="38437" xr:uid="{00000000-0005-0000-0000-0000F2950000}"/>
    <cellStyle name="Total 2 8 3 5 2 4" xfId="38438" xr:uid="{00000000-0005-0000-0000-0000F3950000}"/>
    <cellStyle name="Total 2 8 3 5 3" xfId="38439" xr:uid="{00000000-0005-0000-0000-0000F4950000}"/>
    <cellStyle name="Total 2 8 3 5 3 2" xfId="38440" xr:uid="{00000000-0005-0000-0000-0000F5950000}"/>
    <cellStyle name="Total 2 8 3 5 3 3" xfId="38441" xr:uid="{00000000-0005-0000-0000-0000F6950000}"/>
    <cellStyle name="Total 2 8 3 5 3 4" xfId="38442" xr:uid="{00000000-0005-0000-0000-0000F7950000}"/>
    <cellStyle name="Total 2 8 3 5 4" xfId="38443" xr:uid="{00000000-0005-0000-0000-0000F8950000}"/>
    <cellStyle name="Total 2 8 3 5 4 2" xfId="38444" xr:uid="{00000000-0005-0000-0000-0000F9950000}"/>
    <cellStyle name="Total 2 8 3 5 4 3" xfId="38445" xr:uid="{00000000-0005-0000-0000-0000FA950000}"/>
    <cellStyle name="Total 2 8 3 5 5" xfId="38446" xr:uid="{00000000-0005-0000-0000-0000FB950000}"/>
    <cellStyle name="Total 2 8 3 5 5 2" xfId="38447" xr:uid="{00000000-0005-0000-0000-0000FC950000}"/>
    <cellStyle name="Total 2 8 3 5 5 3" xfId="38448" xr:uid="{00000000-0005-0000-0000-0000FD950000}"/>
    <cellStyle name="Total 2 8 3 5 6" xfId="38449" xr:uid="{00000000-0005-0000-0000-0000FE950000}"/>
    <cellStyle name="Total 2 8 3 5 7" xfId="38450" xr:uid="{00000000-0005-0000-0000-0000FF950000}"/>
    <cellStyle name="Total 2 8 3 6" xfId="38451" xr:uid="{00000000-0005-0000-0000-000000960000}"/>
    <cellStyle name="Total 2 8 3 6 2" xfId="38452" xr:uid="{00000000-0005-0000-0000-000001960000}"/>
    <cellStyle name="Total 2 8 3 6 2 2" xfId="38453" xr:uid="{00000000-0005-0000-0000-000002960000}"/>
    <cellStyle name="Total 2 8 3 6 2 3" xfId="38454" xr:uid="{00000000-0005-0000-0000-000003960000}"/>
    <cellStyle name="Total 2 8 3 6 2 4" xfId="38455" xr:uid="{00000000-0005-0000-0000-000004960000}"/>
    <cellStyle name="Total 2 8 3 6 3" xfId="38456" xr:uid="{00000000-0005-0000-0000-000005960000}"/>
    <cellStyle name="Total 2 8 3 6 3 2" xfId="38457" xr:uid="{00000000-0005-0000-0000-000006960000}"/>
    <cellStyle name="Total 2 8 3 6 3 3" xfId="38458" xr:uid="{00000000-0005-0000-0000-000007960000}"/>
    <cellStyle name="Total 2 8 3 6 3 4" xfId="38459" xr:uid="{00000000-0005-0000-0000-000008960000}"/>
    <cellStyle name="Total 2 8 3 6 4" xfId="38460" xr:uid="{00000000-0005-0000-0000-000009960000}"/>
    <cellStyle name="Total 2 8 3 6 4 2" xfId="38461" xr:uid="{00000000-0005-0000-0000-00000A960000}"/>
    <cellStyle name="Total 2 8 3 6 4 3" xfId="38462" xr:uid="{00000000-0005-0000-0000-00000B960000}"/>
    <cellStyle name="Total 2 8 3 6 5" xfId="38463" xr:uid="{00000000-0005-0000-0000-00000C960000}"/>
    <cellStyle name="Total 2 8 3 6 5 2" xfId="38464" xr:uid="{00000000-0005-0000-0000-00000D960000}"/>
    <cellStyle name="Total 2 8 3 6 5 3" xfId="38465" xr:uid="{00000000-0005-0000-0000-00000E960000}"/>
    <cellStyle name="Total 2 8 3 6 6" xfId="38466" xr:uid="{00000000-0005-0000-0000-00000F960000}"/>
    <cellStyle name="Total 2 8 3 6 7" xfId="38467" xr:uid="{00000000-0005-0000-0000-000010960000}"/>
    <cellStyle name="Total 2 8 3 7" xfId="38468" xr:uid="{00000000-0005-0000-0000-000011960000}"/>
    <cellStyle name="Total 2 8 3 7 2" xfId="38469" xr:uid="{00000000-0005-0000-0000-000012960000}"/>
    <cellStyle name="Total 2 8 3 7 2 2" xfId="38470" xr:uid="{00000000-0005-0000-0000-000013960000}"/>
    <cellStyle name="Total 2 8 3 7 2 3" xfId="38471" xr:uid="{00000000-0005-0000-0000-000014960000}"/>
    <cellStyle name="Total 2 8 3 7 2 4" xfId="38472" xr:uid="{00000000-0005-0000-0000-000015960000}"/>
    <cellStyle name="Total 2 8 3 7 3" xfId="38473" xr:uid="{00000000-0005-0000-0000-000016960000}"/>
    <cellStyle name="Total 2 8 3 7 3 2" xfId="38474" xr:uid="{00000000-0005-0000-0000-000017960000}"/>
    <cellStyle name="Total 2 8 3 7 3 3" xfId="38475" xr:uid="{00000000-0005-0000-0000-000018960000}"/>
    <cellStyle name="Total 2 8 3 7 3 4" xfId="38476" xr:uid="{00000000-0005-0000-0000-000019960000}"/>
    <cellStyle name="Total 2 8 3 7 4" xfId="38477" xr:uid="{00000000-0005-0000-0000-00001A960000}"/>
    <cellStyle name="Total 2 8 3 7 4 2" xfId="38478" xr:uid="{00000000-0005-0000-0000-00001B960000}"/>
    <cellStyle name="Total 2 8 3 7 4 3" xfId="38479" xr:uid="{00000000-0005-0000-0000-00001C960000}"/>
    <cellStyle name="Total 2 8 3 7 5" xfId="38480" xr:uid="{00000000-0005-0000-0000-00001D960000}"/>
    <cellStyle name="Total 2 8 3 7 5 2" xfId="38481" xr:uid="{00000000-0005-0000-0000-00001E960000}"/>
    <cellStyle name="Total 2 8 3 7 5 3" xfId="38482" xr:uid="{00000000-0005-0000-0000-00001F960000}"/>
    <cellStyle name="Total 2 8 3 7 6" xfId="38483" xr:uid="{00000000-0005-0000-0000-000020960000}"/>
    <cellStyle name="Total 2 8 3 7 7" xfId="38484" xr:uid="{00000000-0005-0000-0000-000021960000}"/>
    <cellStyle name="Total 2 8 3 8" xfId="38485" xr:uid="{00000000-0005-0000-0000-000022960000}"/>
    <cellStyle name="Total 2 8 3 8 2" xfId="38486" xr:uid="{00000000-0005-0000-0000-000023960000}"/>
    <cellStyle name="Total 2 8 3 8 2 2" xfId="38487" xr:uid="{00000000-0005-0000-0000-000024960000}"/>
    <cellStyle name="Total 2 8 3 8 2 3" xfId="38488" xr:uid="{00000000-0005-0000-0000-000025960000}"/>
    <cellStyle name="Total 2 8 3 8 2 4" xfId="38489" xr:uid="{00000000-0005-0000-0000-000026960000}"/>
    <cellStyle name="Total 2 8 3 8 3" xfId="38490" xr:uid="{00000000-0005-0000-0000-000027960000}"/>
    <cellStyle name="Total 2 8 3 8 3 2" xfId="38491" xr:uid="{00000000-0005-0000-0000-000028960000}"/>
    <cellStyle name="Total 2 8 3 8 3 3" xfId="38492" xr:uid="{00000000-0005-0000-0000-000029960000}"/>
    <cellStyle name="Total 2 8 3 8 3 4" xfId="38493" xr:uid="{00000000-0005-0000-0000-00002A960000}"/>
    <cellStyle name="Total 2 8 3 8 4" xfId="38494" xr:uid="{00000000-0005-0000-0000-00002B960000}"/>
    <cellStyle name="Total 2 8 3 8 4 2" xfId="38495" xr:uid="{00000000-0005-0000-0000-00002C960000}"/>
    <cellStyle name="Total 2 8 3 8 4 3" xfId="38496" xr:uid="{00000000-0005-0000-0000-00002D960000}"/>
    <cellStyle name="Total 2 8 3 8 5" xfId="38497" xr:uid="{00000000-0005-0000-0000-00002E960000}"/>
    <cellStyle name="Total 2 8 3 8 5 2" xfId="38498" xr:uid="{00000000-0005-0000-0000-00002F960000}"/>
    <cellStyle name="Total 2 8 3 8 5 3" xfId="38499" xr:uid="{00000000-0005-0000-0000-000030960000}"/>
    <cellStyle name="Total 2 8 3 8 6" xfId="38500" xr:uid="{00000000-0005-0000-0000-000031960000}"/>
    <cellStyle name="Total 2 8 3 8 7" xfId="38501" xr:uid="{00000000-0005-0000-0000-000032960000}"/>
    <cellStyle name="Total 2 8 3 9" xfId="38502" xr:uid="{00000000-0005-0000-0000-000033960000}"/>
    <cellStyle name="Total 2 8 3 9 2" xfId="38503" xr:uid="{00000000-0005-0000-0000-000034960000}"/>
    <cellStyle name="Total 2 8 3 9 2 2" xfId="38504" xr:uid="{00000000-0005-0000-0000-000035960000}"/>
    <cellStyle name="Total 2 8 3 9 2 3" xfId="38505" xr:uid="{00000000-0005-0000-0000-000036960000}"/>
    <cellStyle name="Total 2 8 3 9 2 4" xfId="38506" xr:uid="{00000000-0005-0000-0000-000037960000}"/>
    <cellStyle name="Total 2 8 3 9 3" xfId="38507" xr:uid="{00000000-0005-0000-0000-000038960000}"/>
    <cellStyle name="Total 2 8 3 9 3 2" xfId="38508" xr:uid="{00000000-0005-0000-0000-000039960000}"/>
    <cellStyle name="Total 2 8 3 9 3 3" xfId="38509" xr:uid="{00000000-0005-0000-0000-00003A960000}"/>
    <cellStyle name="Total 2 8 3 9 3 4" xfId="38510" xr:uid="{00000000-0005-0000-0000-00003B960000}"/>
    <cellStyle name="Total 2 8 3 9 4" xfId="38511" xr:uid="{00000000-0005-0000-0000-00003C960000}"/>
    <cellStyle name="Total 2 8 3 9 4 2" xfId="38512" xr:uid="{00000000-0005-0000-0000-00003D960000}"/>
    <cellStyle name="Total 2 8 3 9 4 3" xfId="38513" xr:uid="{00000000-0005-0000-0000-00003E960000}"/>
    <cellStyle name="Total 2 8 3 9 5" xfId="38514" xr:uid="{00000000-0005-0000-0000-00003F960000}"/>
    <cellStyle name="Total 2 8 3 9 5 2" xfId="38515" xr:uid="{00000000-0005-0000-0000-000040960000}"/>
    <cellStyle name="Total 2 8 3 9 5 3" xfId="38516" xr:uid="{00000000-0005-0000-0000-000041960000}"/>
    <cellStyle name="Total 2 8 3 9 6" xfId="38517" xr:uid="{00000000-0005-0000-0000-000042960000}"/>
    <cellStyle name="Total 2 8 3 9 7" xfId="38518" xr:uid="{00000000-0005-0000-0000-000043960000}"/>
    <cellStyle name="Total 2 8 4" xfId="38519" xr:uid="{00000000-0005-0000-0000-000044960000}"/>
    <cellStyle name="Total 2 8 4 2" xfId="38520" xr:uid="{00000000-0005-0000-0000-000045960000}"/>
    <cellStyle name="Total 2 8 4 2 2" xfId="38521" xr:uid="{00000000-0005-0000-0000-000046960000}"/>
    <cellStyle name="Total 2 8 4 2 3" xfId="38522" xr:uid="{00000000-0005-0000-0000-000047960000}"/>
    <cellStyle name="Total 2 8 4 2 4" xfId="38523" xr:uid="{00000000-0005-0000-0000-000048960000}"/>
    <cellStyle name="Total 2 8 4 3" xfId="38524" xr:uid="{00000000-0005-0000-0000-000049960000}"/>
    <cellStyle name="Total 2 8 4 3 2" xfId="38525" xr:uid="{00000000-0005-0000-0000-00004A960000}"/>
    <cellStyle name="Total 2 8 4 3 3" xfId="38526" xr:uid="{00000000-0005-0000-0000-00004B960000}"/>
    <cellStyle name="Total 2 8 4 3 4" xfId="38527" xr:uid="{00000000-0005-0000-0000-00004C960000}"/>
    <cellStyle name="Total 2 8 4 4" xfId="38528" xr:uid="{00000000-0005-0000-0000-00004D960000}"/>
    <cellStyle name="Total 2 8 4 4 2" xfId="38529" xr:uid="{00000000-0005-0000-0000-00004E960000}"/>
    <cellStyle name="Total 2 8 4 4 3" xfId="38530" xr:uid="{00000000-0005-0000-0000-00004F960000}"/>
    <cellStyle name="Total 2 8 4 5" xfId="38531" xr:uid="{00000000-0005-0000-0000-000050960000}"/>
    <cellStyle name="Total 2 8 4 5 2" xfId="38532" xr:uid="{00000000-0005-0000-0000-000051960000}"/>
    <cellStyle name="Total 2 8 4 5 3" xfId="38533" xr:uid="{00000000-0005-0000-0000-000052960000}"/>
    <cellStyle name="Total 2 8 4 6" xfId="38534" xr:uid="{00000000-0005-0000-0000-000053960000}"/>
    <cellStyle name="Total 2 8 4 7" xfId="38535" xr:uid="{00000000-0005-0000-0000-000054960000}"/>
    <cellStyle name="Total 2 8 5" xfId="38536" xr:uid="{00000000-0005-0000-0000-000055960000}"/>
    <cellStyle name="Total 2 8 5 2" xfId="38537" xr:uid="{00000000-0005-0000-0000-000056960000}"/>
    <cellStyle name="Total 2 8 5 2 2" xfId="38538" xr:uid="{00000000-0005-0000-0000-000057960000}"/>
    <cellStyle name="Total 2 8 5 2 3" xfId="38539" xr:uid="{00000000-0005-0000-0000-000058960000}"/>
    <cellStyle name="Total 2 8 5 2 4" xfId="38540" xr:uid="{00000000-0005-0000-0000-000059960000}"/>
    <cellStyle name="Total 2 8 5 3" xfId="38541" xr:uid="{00000000-0005-0000-0000-00005A960000}"/>
    <cellStyle name="Total 2 8 5 3 2" xfId="38542" xr:uid="{00000000-0005-0000-0000-00005B960000}"/>
    <cellStyle name="Total 2 8 5 3 3" xfId="38543" xr:uid="{00000000-0005-0000-0000-00005C960000}"/>
    <cellStyle name="Total 2 8 5 3 4" xfId="38544" xr:uid="{00000000-0005-0000-0000-00005D960000}"/>
    <cellStyle name="Total 2 8 5 4" xfId="38545" xr:uid="{00000000-0005-0000-0000-00005E960000}"/>
    <cellStyle name="Total 2 8 5 4 2" xfId="38546" xr:uid="{00000000-0005-0000-0000-00005F960000}"/>
    <cellStyle name="Total 2 8 5 4 3" xfId="38547" xr:uid="{00000000-0005-0000-0000-000060960000}"/>
    <cellStyle name="Total 2 8 5 5" xfId="38548" xr:uid="{00000000-0005-0000-0000-000061960000}"/>
    <cellStyle name="Total 2 8 5 5 2" xfId="38549" xr:uid="{00000000-0005-0000-0000-000062960000}"/>
    <cellStyle name="Total 2 8 5 5 3" xfId="38550" xr:uid="{00000000-0005-0000-0000-000063960000}"/>
    <cellStyle name="Total 2 8 5 6" xfId="38551" xr:uid="{00000000-0005-0000-0000-000064960000}"/>
    <cellStyle name="Total 2 8 5 7" xfId="38552" xr:uid="{00000000-0005-0000-0000-000065960000}"/>
    <cellStyle name="Total 2 8 6" xfId="38553" xr:uid="{00000000-0005-0000-0000-000066960000}"/>
    <cellStyle name="Total 2 8 6 2" xfId="38554" xr:uid="{00000000-0005-0000-0000-000067960000}"/>
    <cellStyle name="Total 2 8 6 2 2" xfId="38555" xr:uid="{00000000-0005-0000-0000-000068960000}"/>
    <cellStyle name="Total 2 8 6 2 3" xfId="38556" xr:uid="{00000000-0005-0000-0000-000069960000}"/>
    <cellStyle name="Total 2 8 6 2 4" xfId="38557" xr:uid="{00000000-0005-0000-0000-00006A960000}"/>
    <cellStyle name="Total 2 8 6 3" xfId="38558" xr:uid="{00000000-0005-0000-0000-00006B960000}"/>
    <cellStyle name="Total 2 8 6 3 2" xfId="38559" xr:uid="{00000000-0005-0000-0000-00006C960000}"/>
    <cellStyle name="Total 2 8 6 3 3" xfId="38560" xr:uid="{00000000-0005-0000-0000-00006D960000}"/>
    <cellStyle name="Total 2 8 6 3 4" xfId="38561" xr:uid="{00000000-0005-0000-0000-00006E960000}"/>
    <cellStyle name="Total 2 8 6 4" xfId="38562" xr:uid="{00000000-0005-0000-0000-00006F960000}"/>
    <cellStyle name="Total 2 8 6 4 2" xfId="38563" xr:uid="{00000000-0005-0000-0000-000070960000}"/>
    <cellStyle name="Total 2 8 6 4 3" xfId="38564" xr:uid="{00000000-0005-0000-0000-000071960000}"/>
    <cellStyle name="Total 2 8 6 5" xfId="38565" xr:uid="{00000000-0005-0000-0000-000072960000}"/>
    <cellStyle name="Total 2 8 6 5 2" xfId="38566" xr:uid="{00000000-0005-0000-0000-000073960000}"/>
    <cellStyle name="Total 2 8 6 5 3" xfId="38567" xr:uid="{00000000-0005-0000-0000-000074960000}"/>
    <cellStyle name="Total 2 8 6 6" xfId="38568" xr:uid="{00000000-0005-0000-0000-000075960000}"/>
    <cellStyle name="Total 2 8 6 7" xfId="38569" xr:uid="{00000000-0005-0000-0000-000076960000}"/>
    <cellStyle name="Total 2 8 7" xfId="38570" xr:uid="{00000000-0005-0000-0000-000077960000}"/>
    <cellStyle name="Total 2 8 7 2" xfId="38571" xr:uid="{00000000-0005-0000-0000-000078960000}"/>
    <cellStyle name="Total 2 8 7 2 2" xfId="38572" xr:uid="{00000000-0005-0000-0000-000079960000}"/>
    <cellStyle name="Total 2 8 7 2 3" xfId="38573" xr:uid="{00000000-0005-0000-0000-00007A960000}"/>
    <cellStyle name="Total 2 8 7 2 4" xfId="38574" xr:uid="{00000000-0005-0000-0000-00007B960000}"/>
    <cellStyle name="Total 2 8 7 3" xfId="38575" xr:uid="{00000000-0005-0000-0000-00007C960000}"/>
    <cellStyle name="Total 2 8 7 3 2" xfId="38576" xr:uid="{00000000-0005-0000-0000-00007D960000}"/>
    <cellStyle name="Total 2 8 7 3 3" xfId="38577" xr:uid="{00000000-0005-0000-0000-00007E960000}"/>
    <cellStyle name="Total 2 8 7 3 4" xfId="38578" xr:uid="{00000000-0005-0000-0000-00007F960000}"/>
    <cellStyle name="Total 2 8 7 4" xfId="38579" xr:uid="{00000000-0005-0000-0000-000080960000}"/>
    <cellStyle name="Total 2 8 7 4 2" xfId="38580" xr:uid="{00000000-0005-0000-0000-000081960000}"/>
    <cellStyle name="Total 2 8 7 4 3" xfId="38581" xr:uid="{00000000-0005-0000-0000-000082960000}"/>
    <cellStyle name="Total 2 8 7 5" xfId="38582" xr:uid="{00000000-0005-0000-0000-000083960000}"/>
    <cellStyle name="Total 2 8 7 5 2" xfId="38583" xr:uid="{00000000-0005-0000-0000-000084960000}"/>
    <cellStyle name="Total 2 8 7 5 3" xfId="38584" xr:uid="{00000000-0005-0000-0000-000085960000}"/>
    <cellStyle name="Total 2 8 7 6" xfId="38585" xr:uid="{00000000-0005-0000-0000-000086960000}"/>
    <cellStyle name="Total 2 8 7 7" xfId="38586" xr:uid="{00000000-0005-0000-0000-000087960000}"/>
    <cellStyle name="Total 2 8 8" xfId="38587" xr:uid="{00000000-0005-0000-0000-000088960000}"/>
    <cellStyle name="Total 2 8 8 2" xfId="38588" xr:uid="{00000000-0005-0000-0000-000089960000}"/>
    <cellStyle name="Total 2 8 8 2 2" xfId="38589" xr:uid="{00000000-0005-0000-0000-00008A960000}"/>
    <cellStyle name="Total 2 8 8 2 3" xfId="38590" xr:uid="{00000000-0005-0000-0000-00008B960000}"/>
    <cellStyle name="Total 2 8 8 2 4" xfId="38591" xr:uid="{00000000-0005-0000-0000-00008C960000}"/>
    <cellStyle name="Total 2 8 8 3" xfId="38592" xr:uid="{00000000-0005-0000-0000-00008D960000}"/>
    <cellStyle name="Total 2 8 8 3 2" xfId="38593" xr:uid="{00000000-0005-0000-0000-00008E960000}"/>
    <cellStyle name="Total 2 8 8 3 3" xfId="38594" xr:uid="{00000000-0005-0000-0000-00008F960000}"/>
    <cellStyle name="Total 2 8 8 3 4" xfId="38595" xr:uid="{00000000-0005-0000-0000-000090960000}"/>
    <cellStyle name="Total 2 8 8 4" xfId="38596" xr:uid="{00000000-0005-0000-0000-000091960000}"/>
    <cellStyle name="Total 2 8 8 4 2" xfId="38597" xr:uid="{00000000-0005-0000-0000-000092960000}"/>
    <cellStyle name="Total 2 8 8 4 3" xfId="38598" xr:uid="{00000000-0005-0000-0000-000093960000}"/>
    <cellStyle name="Total 2 8 8 5" xfId="38599" xr:uid="{00000000-0005-0000-0000-000094960000}"/>
    <cellStyle name="Total 2 8 8 5 2" xfId="38600" xr:uid="{00000000-0005-0000-0000-000095960000}"/>
    <cellStyle name="Total 2 8 8 5 3" xfId="38601" xr:uid="{00000000-0005-0000-0000-000096960000}"/>
    <cellStyle name="Total 2 8 8 6" xfId="38602" xr:uid="{00000000-0005-0000-0000-000097960000}"/>
    <cellStyle name="Total 2 8 8 7" xfId="38603" xr:uid="{00000000-0005-0000-0000-000098960000}"/>
    <cellStyle name="Total 2 8 9" xfId="38604" xr:uid="{00000000-0005-0000-0000-000099960000}"/>
    <cellStyle name="Total 2 8 9 2" xfId="38605" xr:uid="{00000000-0005-0000-0000-00009A960000}"/>
    <cellStyle name="Total 2 8 9 2 2" xfId="38606" xr:uid="{00000000-0005-0000-0000-00009B960000}"/>
    <cellStyle name="Total 2 8 9 2 3" xfId="38607" xr:uid="{00000000-0005-0000-0000-00009C960000}"/>
    <cellStyle name="Total 2 8 9 2 4" xfId="38608" xr:uid="{00000000-0005-0000-0000-00009D960000}"/>
    <cellStyle name="Total 2 8 9 3" xfId="38609" xr:uid="{00000000-0005-0000-0000-00009E960000}"/>
    <cellStyle name="Total 2 8 9 3 2" xfId="38610" xr:uid="{00000000-0005-0000-0000-00009F960000}"/>
    <cellStyle name="Total 2 8 9 3 3" xfId="38611" xr:uid="{00000000-0005-0000-0000-0000A0960000}"/>
    <cellStyle name="Total 2 8 9 3 4" xfId="38612" xr:uid="{00000000-0005-0000-0000-0000A1960000}"/>
    <cellStyle name="Total 2 8 9 4" xfId="38613" xr:uid="{00000000-0005-0000-0000-0000A2960000}"/>
    <cellStyle name="Total 2 8 9 4 2" xfId="38614" xr:uid="{00000000-0005-0000-0000-0000A3960000}"/>
    <cellStyle name="Total 2 8 9 4 3" xfId="38615" xr:uid="{00000000-0005-0000-0000-0000A4960000}"/>
    <cellStyle name="Total 2 8 9 5" xfId="38616" xr:uid="{00000000-0005-0000-0000-0000A5960000}"/>
    <cellStyle name="Total 2 8 9 5 2" xfId="38617" xr:uid="{00000000-0005-0000-0000-0000A6960000}"/>
    <cellStyle name="Total 2 8 9 5 3" xfId="38618" xr:uid="{00000000-0005-0000-0000-0000A7960000}"/>
    <cellStyle name="Total 2 8 9 6" xfId="38619" xr:uid="{00000000-0005-0000-0000-0000A8960000}"/>
    <cellStyle name="Total 2 8 9 7" xfId="9441" xr:uid="{00000000-0005-0000-0000-0000A9960000}"/>
    <cellStyle name="Total 2 9" xfId="38620" xr:uid="{00000000-0005-0000-0000-0000AA960000}"/>
    <cellStyle name="Total 2 9 10" xfId="5941" xr:uid="{00000000-0005-0000-0000-0000AB960000}"/>
    <cellStyle name="Total 2 9 10 2" xfId="38621" xr:uid="{00000000-0005-0000-0000-0000AC960000}"/>
    <cellStyle name="Total 2 9 10 2 2" xfId="26685" xr:uid="{00000000-0005-0000-0000-0000AD960000}"/>
    <cellStyle name="Total 2 9 10 2 3" xfId="38622" xr:uid="{00000000-0005-0000-0000-0000AE960000}"/>
    <cellStyle name="Total 2 9 10 2 4" xfId="38623" xr:uid="{00000000-0005-0000-0000-0000AF960000}"/>
    <cellStyle name="Total 2 9 10 3" xfId="38624" xr:uid="{00000000-0005-0000-0000-0000B0960000}"/>
    <cellStyle name="Total 2 9 10 3 2" xfId="38625" xr:uid="{00000000-0005-0000-0000-0000B1960000}"/>
    <cellStyle name="Total 2 9 10 3 3" xfId="38626" xr:uid="{00000000-0005-0000-0000-0000B2960000}"/>
    <cellStyle name="Total 2 9 10 3 4" xfId="38627" xr:uid="{00000000-0005-0000-0000-0000B3960000}"/>
    <cellStyle name="Total 2 9 10 4" xfId="38162" xr:uid="{00000000-0005-0000-0000-0000B4960000}"/>
    <cellStyle name="Total 2 9 10 4 2" xfId="38628" xr:uid="{00000000-0005-0000-0000-0000B5960000}"/>
    <cellStyle name="Total 2 9 10 4 3" xfId="38629" xr:uid="{00000000-0005-0000-0000-0000B6960000}"/>
    <cellStyle name="Total 2 9 10 5" xfId="38164" xr:uid="{00000000-0005-0000-0000-0000B7960000}"/>
    <cellStyle name="Total 2 9 10 5 2" xfId="38630" xr:uid="{00000000-0005-0000-0000-0000B8960000}"/>
    <cellStyle name="Total 2 9 10 5 3" xfId="38631" xr:uid="{00000000-0005-0000-0000-0000B9960000}"/>
    <cellStyle name="Total 2 9 10 6" xfId="38632" xr:uid="{00000000-0005-0000-0000-0000BA960000}"/>
    <cellStyle name="Total 2 9 10 7" xfId="38633" xr:uid="{00000000-0005-0000-0000-0000BB960000}"/>
    <cellStyle name="Total 2 9 11" xfId="5943" xr:uid="{00000000-0005-0000-0000-0000BC960000}"/>
    <cellStyle name="Total 2 9 11 2" xfId="38634" xr:uid="{00000000-0005-0000-0000-0000BD960000}"/>
    <cellStyle name="Total 2 9 11 2 2" xfId="26920" xr:uid="{00000000-0005-0000-0000-0000BE960000}"/>
    <cellStyle name="Total 2 9 11 2 3" xfId="38635" xr:uid="{00000000-0005-0000-0000-0000BF960000}"/>
    <cellStyle name="Total 2 9 11 2 4" xfId="38636" xr:uid="{00000000-0005-0000-0000-0000C0960000}"/>
    <cellStyle name="Total 2 9 11 3" xfId="38637" xr:uid="{00000000-0005-0000-0000-0000C1960000}"/>
    <cellStyle name="Total 2 9 11 3 2" xfId="15855" xr:uid="{00000000-0005-0000-0000-0000C2960000}"/>
    <cellStyle name="Total 2 9 11 3 3" xfId="15862" xr:uid="{00000000-0005-0000-0000-0000C3960000}"/>
    <cellStyle name="Total 2 9 11 3 4" xfId="15866" xr:uid="{00000000-0005-0000-0000-0000C4960000}"/>
    <cellStyle name="Total 2 9 11 4" xfId="38638" xr:uid="{00000000-0005-0000-0000-0000C5960000}"/>
    <cellStyle name="Total 2 9 11 4 2" xfId="15881" xr:uid="{00000000-0005-0000-0000-0000C6960000}"/>
    <cellStyle name="Total 2 9 11 4 3" xfId="15886" xr:uid="{00000000-0005-0000-0000-0000C7960000}"/>
    <cellStyle name="Total 2 9 11 5" xfId="38639" xr:uid="{00000000-0005-0000-0000-0000C8960000}"/>
    <cellStyle name="Total 2 9 11 5 2" xfId="10896" xr:uid="{00000000-0005-0000-0000-0000C9960000}"/>
    <cellStyle name="Total 2 9 11 5 3" xfId="10899" xr:uid="{00000000-0005-0000-0000-0000CA960000}"/>
    <cellStyle name="Total 2 9 11 6" xfId="38640" xr:uid="{00000000-0005-0000-0000-0000CB960000}"/>
    <cellStyle name="Total 2 9 11 7" xfId="38641" xr:uid="{00000000-0005-0000-0000-0000CC960000}"/>
    <cellStyle name="Total 2 9 12" xfId="38642" xr:uid="{00000000-0005-0000-0000-0000CD960000}"/>
    <cellStyle name="Total 2 9 12 2" xfId="38643" xr:uid="{00000000-0005-0000-0000-0000CE960000}"/>
    <cellStyle name="Total 2 9 12 2 2" xfId="30468" xr:uid="{00000000-0005-0000-0000-0000CF960000}"/>
    <cellStyle name="Total 2 9 12 2 3" xfId="38644" xr:uid="{00000000-0005-0000-0000-0000D0960000}"/>
    <cellStyle name="Total 2 9 12 2 4" xfId="38645" xr:uid="{00000000-0005-0000-0000-0000D1960000}"/>
    <cellStyle name="Total 2 9 12 3" xfId="38646" xr:uid="{00000000-0005-0000-0000-0000D2960000}"/>
    <cellStyle name="Total 2 9 12 3 2" xfId="16046" xr:uid="{00000000-0005-0000-0000-0000D3960000}"/>
    <cellStyle name="Total 2 9 12 3 3" xfId="16052" xr:uid="{00000000-0005-0000-0000-0000D4960000}"/>
    <cellStyle name="Total 2 9 12 3 4" xfId="16055" xr:uid="{00000000-0005-0000-0000-0000D5960000}"/>
    <cellStyle name="Total 2 9 12 4" xfId="38647" xr:uid="{00000000-0005-0000-0000-0000D6960000}"/>
    <cellStyle name="Total 2 9 12 4 2" xfId="16077" xr:uid="{00000000-0005-0000-0000-0000D7960000}"/>
    <cellStyle name="Total 2 9 12 4 3" xfId="16081" xr:uid="{00000000-0005-0000-0000-0000D8960000}"/>
    <cellStyle name="Total 2 9 12 5" xfId="38648" xr:uid="{00000000-0005-0000-0000-0000D9960000}"/>
    <cellStyle name="Total 2 9 12 5 2" xfId="10935" xr:uid="{00000000-0005-0000-0000-0000DA960000}"/>
    <cellStyle name="Total 2 9 12 5 3" xfId="10938" xr:uid="{00000000-0005-0000-0000-0000DB960000}"/>
    <cellStyle name="Total 2 9 12 6" xfId="38649" xr:uid="{00000000-0005-0000-0000-0000DC960000}"/>
    <cellStyle name="Total 2 9 12 7" xfId="38650" xr:uid="{00000000-0005-0000-0000-0000DD960000}"/>
    <cellStyle name="Total 2 9 13" xfId="38651" xr:uid="{00000000-0005-0000-0000-0000DE960000}"/>
    <cellStyle name="Total 2 9 13 2" xfId="38652" xr:uid="{00000000-0005-0000-0000-0000DF960000}"/>
    <cellStyle name="Total 2 9 13 3" xfId="38653" xr:uid="{00000000-0005-0000-0000-0000E0960000}"/>
    <cellStyle name="Total 2 9 13 4" xfId="38654" xr:uid="{00000000-0005-0000-0000-0000E1960000}"/>
    <cellStyle name="Total 2 9 14" xfId="38655" xr:uid="{00000000-0005-0000-0000-0000E2960000}"/>
    <cellStyle name="Total 2 9 14 2" xfId="38656" xr:uid="{00000000-0005-0000-0000-0000E3960000}"/>
    <cellStyle name="Total 2 9 14 3" xfId="38657" xr:uid="{00000000-0005-0000-0000-0000E4960000}"/>
    <cellStyle name="Total 2 9 14 4" xfId="38658" xr:uid="{00000000-0005-0000-0000-0000E5960000}"/>
    <cellStyle name="Total 2 9 15" xfId="38659" xr:uid="{00000000-0005-0000-0000-0000E6960000}"/>
    <cellStyle name="Total 2 9 15 2" xfId="38661" xr:uid="{00000000-0005-0000-0000-0000E7960000}"/>
    <cellStyle name="Total 2 9 15 3" xfId="38662" xr:uid="{00000000-0005-0000-0000-0000E8960000}"/>
    <cellStyle name="Total 2 9 16" xfId="38663" xr:uid="{00000000-0005-0000-0000-0000E9960000}"/>
    <cellStyle name="Total 2 9 16 2" xfId="38664" xr:uid="{00000000-0005-0000-0000-0000EA960000}"/>
    <cellStyle name="Total 2 9 16 3" xfId="38665" xr:uid="{00000000-0005-0000-0000-0000EB960000}"/>
    <cellStyle name="Total 2 9 17" xfId="38666" xr:uid="{00000000-0005-0000-0000-0000EC960000}"/>
    <cellStyle name="Total 2 9 17 2" xfId="38667" xr:uid="{00000000-0005-0000-0000-0000ED960000}"/>
    <cellStyle name="Total 2 9 17 2 2" xfId="38668" xr:uid="{00000000-0005-0000-0000-0000EE960000}"/>
    <cellStyle name="Total 2 9 18" xfId="38669" xr:uid="{00000000-0005-0000-0000-0000EF960000}"/>
    <cellStyle name="Total 2 9 19" xfId="38670" xr:uid="{00000000-0005-0000-0000-0000F0960000}"/>
    <cellStyle name="Total 2 9 2" xfId="38671" xr:uid="{00000000-0005-0000-0000-0000F1960000}"/>
    <cellStyle name="Total 2 9 2 10" xfId="38672" xr:uid="{00000000-0005-0000-0000-0000F2960000}"/>
    <cellStyle name="Total 2 9 2 10 2" xfId="38673" xr:uid="{00000000-0005-0000-0000-0000F3960000}"/>
    <cellStyle name="Total 2 9 2 10 2 2" xfId="38674" xr:uid="{00000000-0005-0000-0000-0000F4960000}"/>
    <cellStyle name="Total 2 9 2 10 2 3" xfId="38675" xr:uid="{00000000-0005-0000-0000-0000F5960000}"/>
    <cellStyle name="Total 2 9 2 10 2 4" xfId="38676" xr:uid="{00000000-0005-0000-0000-0000F6960000}"/>
    <cellStyle name="Total 2 9 2 10 3" xfId="38677" xr:uid="{00000000-0005-0000-0000-0000F7960000}"/>
    <cellStyle name="Total 2 9 2 10 3 2" xfId="38678" xr:uid="{00000000-0005-0000-0000-0000F8960000}"/>
    <cellStyle name="Total 2 9 2 10 3 3" xfId="18564" xr:uid="{00000000-0005-0000-0000-0000F9960000}"/>
    <cellStyle name="Total 2 9 2 10 3 4" xfId="38679" xr:uid="{00000000-0005-0000-0000-0000FA960000}"/>
    <cellStyle name="Total 2 9 2 10 4" xfId="38680" xr:uid="{00000000-0005-0000-0000-0000FB960000}"/>
    <cellStyle name="Total 2 9 2 10 4 2" xfId="38681" xr:uid="{00000000-0005-0000-0000-0000FC960000}"/>
    <cellStyle name="Total 2 9 2 10 4 3" xfId="38682" xr:uid="{00000000-0005-0000-0000-0000FD960000}"/>
    <cellStyle name="Total 2 9 2 10 5" xfId="38683" xr:uid="{00000000-0005-0000-0000-0000FE960000}"/>
    <cellStyle name="Total 2 9 2 10 5 2" xfId="29800" xr:uid="{00000000-0005-0000-0000-0000FF960000}"/>
    <cellStyle name="Total 2 9 2 10 5 3" xfId="24942" xr:uid="{00000000-0005-0000-0000-000000970000}"/>
    <cellStyle name="Total 2 9 2 10 6" xfId="38684" xr:uid="{00000000-0005-0000-0000-000001970000}"/>
    <cellStyle name="Total 2 9 2 10 7" xfId="38685" xr:uid="{00000000-0005-0000-0000-000002970000}"/>
    <cellStyle name="Total 2 9 2 11" xfId="38686" xr:uid="{00000000-0005-0000-0000-000003970000}"/>
    <cellStyle name="Total 2 9 2 11 2" xfId="38687" xr:uid="{00000000-0005-0000-0000-000004970000}"/>
    <cellStyle name="Total 2 9 2 11 3" xfId="38688" xr:uid="{00000000-0005-0000-0000-000005970000}"/>
    <cellStyle name="Total 2 9 2 11 4" xfId="38689" xr:uid="{00000000-0005-0000-0000-000006970000}"/>
    <cellStyle name="Total 2 9 2 12" xfId="38690" xr:uid="{00000000-0005-0000-0000-000007970000}"/>
    <cellStyle name="Total 2 9 2 12 2" xfId="38691" xr:uid="{00000000-0005-0000-0000-000008970000}"/>
    <cellStyle name="Total 2 9 2 12 3" xfId="38692" xr:uid="{00000000-0005-0000-0000-000009970000}"/>
    <cellStyle name="Total 2 9 2 12 4" xfId="38693" xr:uid="{00000000-0005-0000-0000-00000A970000}"/>
    <cellStyle name="Total 2 9 2 13" xfId="38694" xr:uid="{00000000-0005-0000-0000-00000B970000}"/>
    <cellStyle name="Total 2 9 2 13 2" xfId="38695" xr:uid="{00000000-0005-0000-0000-00000C970000}"/>
    <cellStyle name="Total 2 9 2 13 3" xfId="38696" xr:uid="{00000000-0005-0000-0000-00000D970000}"/>
    <cellStyle name="Total 2 9 2 14" xfId="38697" xr:uid="{00000000-0005-0000-0000-00000E970000}"/>
    <cellStyle name="Total 2 9 2 14 2" xfId="38698" xr:uid="{00000000-0005-0000-0000-00000F970000}"/>
    <cellStyle name="Total 2 9 2 14 3" xfId="38699" xr:uid="{00000000-0005-0000-0000-000010970000}"/>
    <cellStyle name="Total 2 9 2 15" xfId="38700" xr:uid="{00000000-0005-0000-0000-000011970000}"/>
    <cellStyle name="Total 2 9 2 16" xfId="38701" xr:uid="{00000000-0005-0000-0000-000012970000}"/>
    <cellStyle name="Total 2 9 2 17" xfId="38702" xr:uid="{00000000-0005-0000-0000-000013970000}"/>
    <cellStyle name="Total 2 9 2 2" xfId="38703" xr:uid="{00000000-0005-0000-0000-000014970000}"/>
    <cellStyle name="Total 2 9 2 2 2" xfId="35215" xr:uid="{00000000-0005-0000-0000-000015970000}"/>
    <cellStyle name="Total 2 9 2 2 2 2" xfId="38704" xr:uid="{00000000-0005-0000-0000-000016970000}"/>
    <cellStyle name="Total 2 9 2 2 2 3" xfId="38705" xr:uid="{00000000-0005-0000-0000-000017970000}"/>
    <cellStyle name="Total 2 9 2 2 2 4" xfId="38706" xr:uid="{00000000-0005-0000-0000-000018970000}"/>
    <cellStyle name="Total 2 9 2 2 3" xfId="35217" xr:uid="{00000000-0005-0000-0000-000019970000}"/>
    <cellStyle name="Total 2 9 2 2 3 2" xfId="38707" xr:uid="{00000000-0005-0000-0000-00001A970000}"/>
    <cellStyle name="Total 2 9 2 2 3 3" xfId="38708" xr:uid="{00000000-0005-0000-0000-00001B970000}"/>
    <cellStyle name="Total 2 9 2 2 3 4" xfId="38709" xr:uid="{00000000-0005-0000-0000-00001C970000}"/>
    <cellStyle name="Total 2 9 2 2 4" xfId="38710" xr:uid="{00000000-0005-0000-0000-00001D970000}"/>
    <cellStyle name="Total 2 9 2 2 4 2" xfId="38711" xr:uid="{00000000-0005-0000-0000-00001E970000}"/>
    <cellStyle name="Total 2 9 2 2 4 3" xfId="38712" xr:uid="{00000000-0005-0000-0000-00001F970000}"/>
    <cellStyle name="Total 2 9 2 2 5" xfId="38713" xr:uid="{00000000-0005-0000-0000-000020970000}"/>
    <cellStyle name="Total 2 9 2 2 5 2" xfId="38714" xr:uid="{00000000-0005-0000-0000-000021970000}"/>
    <cellStyle name="Total 2 9 2 2 5 3" xfId="38715" xr:uid="{00000000-0005-0000-0000-000022970000}"/>
    <cellStyle name="Total 2 9 2 2 6" xfId="38716" xr:uid="{00000000-0005-0000-0000-000023970000}"/>
    <cellStyle name="Total 2 9 2 2 7" xfId="38717" xr:uid="{00000000-0005-0000-0000-000024970000}"/>
    <cellStyle name="Total 2 9 2 3" xfId="38718" xr:uid="{00000000-0005-0000-0000-000025970000}"/>
    <cellStyle name="Total 2 9 2 3 2" xfId="35221" xr:uid="{00000000-0005-0000-0000-000026970000}"/>
    <cellStyle name="Total 2 9 2 3 2 2" xfId="38719" xr:uid="{00000000-0005-0000-0000-000027970000}"/>
    <cellStyle name="Total 2 9 2 3 2 3" xfId="38720" xr:uid="{00000000-0005-0000-0000-000028970000}"/>
    <cellStyle name="Total 2 9 2 3 2 4" xfId="38721" xr:uid="{00000000-0005-0000-0000-000029970000}"/>
    <cellStyle name="Total 2 9 2 3 3" xfId="38722" xr:uid="{00000000-0005-0000-0000-00002A970000}"/>
    <cellStyle name="Total 2 9 2 3 3 2" xfId="38723" xr:uid="{00000000-0005-0000-0000-00002B970000}"/>
    <cellStyle name="Total 2 9 2 3 3 3" xfId="38724" xr:uid="{00000000-0005-0000-0000-00002C970000}"/>
    <cellStyle name="Total 2 9 2 3 3 4" xfId="38725" xr:uid="{00000000-0005-0000-0000-00002D970000}"/>
    <cellStyle name="Total 2 9 2 3 4" xfId="38726" xr:uid="{00000000-0005-0000-0000-00002E970000}"/>
    <cellStyle name="Total 2 9 2 3 4 2" xfId="38727" xr:uid="{00000000-0005-0000-0000-00002F970000}"/>
    <cellStyle name="Total 2 9 2 3 4 3" xfId="38728" xr:uid="{00000000-0005-0000-0000-000030970000}"/>
    <cellStyle name="Total 2 9 2 3 5" xfId="38729" xr:uid="{00000000-0005-0000-0000-000031970000}"/>
    <cellStyle name="Total 2 9 2 3 5 2" xfId="38730" xr:uid="{00000000-0005-0000-0000-000032970000}"/>
    <cellStyle name="Total 2 9 2 3 5 3" xfId="38731" xr:uid="{00000000-0005-0000-0000-000033970000}"/>
    <cellStyle name="Total 2 9 2 3 6" xfId="38732" xr:uid="{00000000-0005-0000-0000-000034970000}"/>
    <cellStyle name="Total 2 9 2 3 7" xfId="38733" xr:uid="{00000000-0005-0000-0000-000035970000}"/>
    <cellStyle name="Total 2 9 2 4" xfId="38734" xr:uid="{00000000-0005-0000-0000-000036970000}"/>
    <cellStyle name="Total 2 9 2 4 2" xfId="35225" xr:uid="{00000000-0005-0000-0000-000037970000}"/>
    <cellStyle name="Total 2 9 2 4 2 2" xfId="38735" xr:uid="{00000000-0005-0000-0000-000038970000}"/>
    <cellStyle name="Total 2 9 2 4 2 3" xfId="38736" xr:uid="{00000000-0005-0000-0000-000039970000}"/>
    <cellStyle name="Total 2 9 2 4 2 4" xfId="38737" xr:uid="{00000000-0005-0000-0000-00003A970000}"/>
    <cellStyle name="Total 2 9 2 4 3" xfId="38738" xr:uid="{00000000-0005-0000-0000-00003B970000}"/>
    <cellStyle name="Total 2 9 2 4 3 2" xfId="38739" xr:uid="{00000000-0005-0000-0000-00003C970000}"/>
    <cellStyle name="Total 2 9 2 4 3 3" xfId="38740" xr:uid="{00000000-0005-0000-0000-00003D970000}"/>
    <cellStyle name="Total 2 9 2 4 3 4" xfId="38741" xr:uid="{00000000-0005-0000-0000-00003E970000}"/>
    <cellStyle name="Total 2 9 2 4 4" xfId="38742" xr:uid="{00000000-0005-0000-0000-00003F970000}"/>
    <cellStyle name="Total 2 9 2 4 4 2" xfId="38743" xr:uid="{00000000-0005-0000-0000-000040970000}"/>
    <cellStyle name="Total 2 9 2 4 4 3" xfId="38744" xr:uid="{00000000-0005-0000-0000-000041970000}"/>
    <cellStyle name="Total 2 9 2 4 5" xfId="38745" xr:uid="{00000000-0005-0000-0000-000042970000}"/>
    <cellStyle name="Total 2 9 2 4 5 2" xfId="38746" xr:uid="{00000000-0005-0000-0000-000043970000}"/>
    <cellStyle name="Total 2 9 2 4 5 3" xfId="38747" xr:uid="{00000000-0005-0000-0000-000044970000}"/>
    <cellStyle name="Total 2 9 2 4 6" xfId="38748" xr:uid="{00000000-0005-0000-0000-000045970000}"/>
    <cellStyle name="Total 2 9 2 4 7" xfId="38749" xr:uid="{00000000-0005-0000-0000-000046970000}"/>
    <cellStyle name="Total 2 9 2 5" xfId="8883" xr:uid="{00000000-0005-0000-0000-000047970000}"/>
    <cellStyle name="Total 2 9 2 5 2" xfId="38750" xr:uid="{00000000-0005-0000-0000-000048970000}"/>
    <cellStyle name="Total 2 9 2 5 2 2" xfId="38751" xr:uid="{00000000-0005-0000-0000-000049970000}"/>
    <cellStyle name="Total 2 9 2 5 2 3" xfId="38752" xr:uid="{00000000-0005-0000-0000-00004A970000}"/>
    <cellStyle name="Total 2 9 2 5 2 4" xfId="38753" xr:uid="{00000000-0005-0000-0000-00004B970000}"/>
    <cellStyle name="Total 2 9 2 5 3" xfId="38754" xr:uid="{00000000-0005-0000-0000-00004C970000}"/>
    <cellStyle name="Total 2 9 2 5 3 2" xfId="38755" xr:uid="{00000000-0005-0000-0000-00004D970000}"/>
    <cellStyle name="Total 2 9 2 5 3 3" xfId="38756" xr:uid="{00000000-0005-0000-0000-00004E970000}"/>
    <cellStyle name="Total 2 9 2 5 3 4" xfId="38757" xr:uid="{00000000-0005-0000-0000-00004F970000}"/>
    <cellStyle name="Total 2 9 2 5 4" xfId="38758" xr:uid="{00000000-0005-0000-0000-000050970000}"/>
    <cellStyle name="Total 2 9 2 5 4 2" xfId="38759" xr:uid="{00000000-0005-0000-0000-000051970000}"/>
    <cellStyle name="Total 2 9 2 5 4 3" xfId="38760" xr:uid="{00000000-0005-0000-0000-000052970000}"/>
    <cellStyle name="Total 2 9 2 5 5" xfId="38761" xr:uid="{00000000-0005-0000-0000-000053970000}"/>
    <cellStyle name="Total 2 9 2 5 5 2" xfId="38762" xr:uid="{00000000-0005-0000-0000-000054970000}"/>
    <cellStyle name="Total 2 9 2 5 5 3" xfId="38763" xr:uid="{00000000-0005-0000-0000-000055970000}"/>
    <cellStyle name="Total 2 9 2 5 6" xfId="38764" xr:uid="{00000000-0005-0000-0000-000056970000}"/>
    <cellStyle name="Total 2 9 2 5 7" xfId="38765" xr:uid="{00000000-0005-0000-0000-000057970000}"/>
    <cellStyle name="Total 2 9 2 6" xfId="38766" xr:uid="{00000000-0005-0000-0000-000058970000}"/>
    <cellStyle name="Total 2 9 2 6 2" xfId="38767" xr:uid="{00000000-0005-0000-0000-000059970000}"/>
    <cellStyle name="Total 2 9 2 6 2 2" xfId="38768" xr:uid="{00000000-0005-0000-0000-00005A970000}"/>
    <cellStyle name="Total 2 9 2 6 2 3" xfId="38769" xr:uid="{00000000-0005-0000-0000-00005B970000}"/>
    <cellStyle name="Total 2 9 2 6 2 4" xfId="38770" xr:uid="{00000000-0005-0000-0000-00005C970000}"/>
    <cellStyle name="Total 2 9 2 6 3" xfId="38771" xr:uid="{00000000-0005-0000-0000-00005D970000}"/>
    <cellStyle name="Total 2 9 2 6 3 2" xfId="38772" xr:uid="{00000000-0005-0000-0000-00005E970000}"/>
    <cellStyle name="Total 2 9 2 6 3 3" xfId="38773" xr:uid="{00000000-0005-0000-0000-00005F970000}"/>
    <cellStyle name="Total 2 9 2 6 3 4" xfId="38774" xr:uid="{00000000-0005-0000-0000-000060970000}"/>
    <cellStyle name="Total 2 9 2 6 4" xfId="38775" xr:uid="{00000000-0005-0000-0000-000061970000}"/>
    <cellStyle name="Total 2 9 2 6 4 2" xfId="38776" xr:uid="{00000000-0005-0000-0000-000062970000}"/>
    <cellStyle name="Total 2 9 2 6 4 3" xfId="38777" xr:uid="{00000000-0005-0000-0000-000063970000}"/>
    <cellStyle name="Total 2 9 2 6 5" xfId="38778" xr:uid="{00000000-0005-0000-0000-000064970000}"/>
    <cellStyle name="Total 2 9 2 6 5 2" xfId="38779" xr:uid="{00000000-0005-0000-0000-000065970000}"/>
    <cellStyle name="Total 2 9 2 6 5 3" xfId="38780" xr:uid="{00000000-0005-0000-0000-000066970000}"/>
    <cellStyle name="Total 2 9 2 6 6" xfId="38781" xr:uid="{00000000-0005-0000-0000-000067970000}"/>
    <cellStyle name="Total 2 9 2 6 7" xfId="38782" xr:uid="{00000000-0005-0000-0000-000068970000}"/>
    <cellStyle name="Total 2 9 2 7" xfId="38783" xr:uid="{00000000-0005-0000-0000-000069970000}"/>
    <cellStyle name="Total 2 9 2 7 2" xfId="38784" xr:uid="{00000000-0005-0000-0000-00006A970000}"/>
    <cellStyle name="Total 2 9 2 7 2 2" xfId="38785" xr:uid="{00000000-0005-0000-0000-00006B970000}"/>
    <cellStyle name="Total 2 9 2 7 2 3" xfId="38786" xr:uid="{00000000-0005-0000-0000-00006C970000}"/>
    <cellStyle name="Total 2 9 2 7 2 4" xfId="38787" xr:uid="{00000000-0005-0000-0000-00006D970000}"/>
    <cellStyle name="Total 2 9 2 7 3" xfId="38788" xr:uid="{00000000-0005-0000-0000-00006E970000}"/>
    <cellStyle name="Total 2 9 2 7 3 2" xfId="38789" xr:uid="{00000000-0005-0000-0000-00006F970000}"/>
    <cellStyle name="Total 2 9 2 7 3 3" xfId="38790" xr:uid="{00000000-0005-0000-0000-000070970000}"/>
    <cellStyle name="Total 2 9 2 7 3 4" xfId="38791" xr:uid="{00000000-0005-0000-0000-000071970000}"/>
    <cellStyle name="Total 2 9 2 7 4" xfId="38792" xr:uid="{00000000-0005-0000-0000-000072970000}"/>
    <cellStyle name="Total 2 9 2 7 4 2" xfId="38793" xr:uid="{00000000-0005-0000-0000-000073970000}"/>
    <cellStyle name="Total 2 9 2 7 4 3" xfId="38794" xr:uid="{00000000-0005-0000-0000-000074970000}"/>
    <cellStyle name="Total 2 9 2 7 5" xfId="38795" xr:uid="{00000000-0005-0000-0000-000075970000}"/>
    <cellStyle name="Total 2 9 2 7 5 2" xfId="38796" xr:uid="{00000000-0005-0000-0000-000076970000}"/>
    <cellStyle name="Total 2 9 2 7 5 3" xfId="38797" xr:uid="{00000000-0005-0000-0000-000077970000}"/>
    <cellStyle name="Total 2 9 2 7 6" xfId="38798" xr:uid="{00000000-0005-0000-0000-000078970000}"/>
    <cellStyle name="Total 2 9 2 7 7" xfId="38799" xr:uid="{00000000-0005-0000-0000-000079970000}"/>
    <cellStyle name="Total 2 9 2 8" xfId="38800" xr:uid="{00000000-0005-0000-0000-00007A970000}"/>
    <cellStyle name="Total 2 9 2 8 2" xfId="38801" xr:uid="{00000000-0005-0000-0000-00007B970000}"/>
    <cellStyle name="Total 2 9 2 8 2 2" xfId="38802" xr:uid="{00000000-0005-0000-0000-00007C970000}"/>
    <cellStyle name="Total 2 9 2 8 2 3" xfId="38803" xr:uid="{00000000-0005-0000-0000-00007D970000}"/>
    <cellStyle name="Total 2 9 2 8 2 4" xfId="20966" xr:uid="{00000000-0005-0000-0000-00007E970000}"/>
    <cellStyle name="Total 2 9 2 8 3" xfId="28019" xr:uid="{00000000-0005-0000-0000-00007F970000}"/>
    <cellStyle name="Total 2 9 2 8 3 2" xfId="38804" xr:uid="{00000000-0005-0000-0000-000080970000}"/>
    <cellStyle name="Total 2 9 2 8 3 3" xfId="38805" xr:uid="{00000000-0005-0000-0000-000081970000}"/>
    <cellStyle name="Total 2 9 2 8 3 4" xfId="20968" xr:uid="{00000000-0005-0000-0000-000082970000}"/>
    <cellStyle name="Total 2 9 2 8 4" xfId="28021" xr:uid="{00000000-0005-0000-0000-000083970000}"/>
    <cellStyle name="Total 2 9 2 8 4 2" xfId="38806" xr:uid="{00000000-0005-0000-0000-000084970000}"/>
    <cellStyle name="Total 2 9 2 8 4 3" xfId="38807" xr:uid="{00000000-0005-0000-0000-000085970000}"/>
    <cellStyle name="Total 2 9 2 8 5" xfId="28023" xr:uid="{00000000-0005-0000-0000-000086970000}"/>
    <cellStyle name="Total 2 9 2 8 5 2" xfId="38808" xr:uid="{00000000-0005-0000-0000-000087970000}"/>
    <cellStyle name="Total 2 9 2 8 5 3" xfId="38809" xr:uid="{00000000-0005-0000-0000-000088970000}"/>
    <cellStyle name="Total 2 9 2 8 6" xfId="38810" xr:uid="{00000000-0005-0000-0000-000089970000}"/>
    <cellStyle name="Total 2 9 2 8 7" xfId="38811" xr:uid="{00000000-0005-0000-0000-00008A970000}"/>
    <cellStyle name="Total 2 9 2 9" xfId="38812" xr:uid="{00000000-0005-0000-0000-00008B970000}"/>
    <cellStyle name="Total 2 9 2 9 2" xfId="38813" xr:uid="{00000000-0005-0000-0000-00008C970000}"/>
    <cellStyle name="Total 2 9 2 9 2 2" xfId="38814" xr:uid="{00000000-0005-0000-0000-00008D970000}"/>
    <cellStyle name="Total 2 9 2 9 2 3" xfId="32615" xr:uid="{00000000-0005-0000-0000-00008E970000}"/>
    <cellStyle name="Total 2 9 2 9 2 4" xfId="32617" xr:uid="{00000000-0005-0000-0000-00008F970000}"/>
    <cellStyle name="Total 2 9 2 9 3" xfId="28027" xr:uid="{00000000-0005-0000-0000-000090970000}"/>
    <cellStyle name="Total 2 9 2 9 3 2" xfId="38815" xr:uid="{00000000-0005-0000-0000-000091970000}"/>
    <cellStyle name="Total 2 9 2 9 3 3" xfId="18717" xr:uid="{00000000-0005-0000-0000-000092970000}"/>
    <cellStyle name="Total 2 9 2 9 3 4" xfId="32620" xr:uid="{00000000-0005-0000-0000-000093970000}"/>
    <cellStyle name="Total 2 9 2 9 4" xfId="28029" xr:uid="{00000000-0005-0000-0000-000094970000}"/>
    <cellStyle name="Total 2 9 2 9 4 2" xfId="38816" xr:uid="{00000000-0005-0000-0000-000095970000}"/>
    <cellStyle name="Total 2 9 2 9 4 3" xfId="38817" xr:uid="{00000000-0005-0000-0000-000096970000}"/>
    <cellStyle name="Total 2 9 2 9 5" xfId="28031" xr:uid="{00000000-0005-0000-0000-000097970000}"/>
    <cellStyle name="Total 2 9 2 9 5 2" xfId="38818" xr:uid="{00000000-0005-0000-0000-000098970000}"/>
    <cellStyle name="Total 2 9 2 9 5 3" xfId="38819" xr:uid="{00000000-0005-0000-0000-000099970000}"/>
    <cellStyle name="Total 2 9 2 9 6" xfId="38820" xr:uid="{00000000-0005-0000-0000-00009A970000}"/>
    <cellStyle name="Total 2 9 2 9 7" xfId="38821" xr:uid="{00000000-0005-0000-0000-00009B970000}"/>
    <cellStyle name="Total 2 9 20" xfId="38660" xr:uid="{00000000-0005-0000-0000-00009C970000}"/>
    <cellStyle name="Total 2 9 3" xfId="38822" xr:uid="{00000000-0005-0000-0000-00009D970000}"/>
    <cellStyle name="Total 2 9 3 10" xfId="38823" xr:uid="{00000000-0005-0000-0000-00009E970000}"/>
    <cellStyle name="Total 2 9 3 10 2" xfId="38824" xr:uid="{00000000-0005-0000-0000-00009F970000}"/>
    <cellStyle name="Total 2 9 3 10 2 2" xfId="38825" xr:uid="{00000000-0005-0000-0000-0000A0970000}"/>
    <cellStyle name="Total 2 9 3 10 2 3" xfId="38826" xr:uid="{00000000-0005-0000-0000-0000A1970000}"/>
    <cellStyle name="Total 2 9 3 10 2 4" xfId="38827" xr:uid="{00000000-0005-0000-0000-0000A2970000}"/>
    <cellStyle name="Total 2 9 3 10 3" xfId="38828" xr:uid="{00000000-0005-0000-0000-0000A3970000}"/>
    <cellStyle name="Total 2 9 3 10 3 2" xfId="38829" xr:uid="{00000000-0005-0000-0000-0000A4970000}"/>
    <cellStyle name="Total 2 9 3 10 3 3" xfId="38830" xr:uid="{00000000-0005-0000-0000-0000A5970000}"/>
    <cellStyle name="Total 2 9 3 10 3 4" xfId="38831" xr:uid="{00000000-0005-0000-0000-0000A6970000}"/>
    <cellStyle name="Total 2 9 3 10 4" xfId="38832" xr:uid="{00000000-0005-0000-0000-0000A7970000}"/>
    <cellStyle name="Total 2 9 3 10 4 2" xfId="38833" xr:uid="{00000000-0005-0000-0000-0000A8970000}"/>
    <cellStyle name="Total 2 9 3 10 4 3" xfId="38834" xr:uid="{00000000-0005-0000-0000-0000A9970000}"/>
    <cellStyle name="Total 2 9 3 10 5" xfId="38835" xr:uid="{00000000-0005-0000-0000-0000AA970000}"/>
    <cellStyle name="Total 2 9 3 10 5 2" xfId="38836" xr:uid="{00000000-0005-0000-0000-0000AB970000}"/>
    <cellStyle name="Total 2 9 3 10 5 3" xfId="38837" xr:uid="{00000000-0005-0000-0000-0000AC970000}"/>
    <cellStyle name="Total 2 9 3 10 6" xfId="38838" xr:uid="{00000000-0005-0000-0000-0000AD970000}"/>
    <cellStyle name="Total 2 9 3 10 7" xfId="38839" xr:uid="{00000000-0005-0000-0000-0000AE970000}"/>
    <cellStyle name="Total 2 9 3 11" xfId="38840" xr:uid="{00000000-0005-0000-0000-0000AF970000}"/>
    <cellStyle name="Total 2 9 3 11 2" xfId="38841" xr:uid="{00000000-0005-0000-0000-0000B0970000}"/>
    <cellStyle name="Total 2 9 3 11 3" xfId="38842" xr:uid="{00000000-0005-0000-0000-0000B1970000}"/>
    <cellStyle name="Total 2 9 3 11 4" xfId="38843" xr:uid="{00000000-0005-0000-0000-0000B2970000}"/>
    <cellStyle name="Total 2 9 3 12" xfId="38844" xr:uid="{00000000-0005-0000-0000-0000B3970000}"/>
    <cellStyle name="Total 2 9 3 12 2" xfId="38845" xr:uid="{00000000-0005-0000-0000-0000B4970000}"/>
    <cellStyle name="Total 2 9 3 12 3" xfId="38846" xr:uid="{00000000-0005-0000-0000-0000B5970000}"/>
    <cellStyle name="Total 2 9 3 12 4" xfId="38847" xr:uid="{00000000-0005-0000-0000-0000B6970000}"/>
    <cellStyle name="Total 2 9 3 13" xfId="38848" xr:uid="{00000000-0005-0000-0000-0000B7970000}"/>
    <cellStyle name="Total 2 9 3 13 2" xfId="38849" xr:uid="{00000000-0005-0000-0000-0000B8970000}"/>
    <cellStyle name="Total 2 9 3 13 3" xfId="38850" xr:uid="{00000000-0005-0000-0000-0000B9970000}"/>
    <cellStyle name="Total 2 9 3 14" xfId="38851" xr:uid="{00000000-0005-0000-0000-0000BA970000}"/>
    <cellStyle name="Total 2 9 3 14 2" xfId="38852" xr:uid="{00000000-0005-0000-0000-0000BB970000}"/>
    <cellStyle name="Total 2 9 3 14 3" xfId="38853" xr:uid="{00000000-0005-0000-0000-0000BC970000}"/>
    <cellStyle name="Total 2 9 3 15" xfId="38854" xr:uid="{00000000-0005-0000-0000-0000BD970000}"/>
    <cellStyle name="Total 2 9 3 16" xfId="38855" xr:uid="{00000000-0005-0000-0000-0000BE970000}"/>
    <cellStyle name="Total 2 9 3 2" xfId="38856" xr:uid="{00000000-0005-0000-0000-0000BF970000}"/>
    <cellStyle name="Total 2 9 3 2 2" xfId="38857" xr:uid="{00000000-0005-0000-0000-0000C0970000}"/>
    <cellStyle name="Total 2 9 3 2 2 2" xfId="38858" xr:uid="{00000000-0005-0000-0000-0000C1970000}"/>
    <cellStyle name="Total 2 9 3 2 2 3" xfId="38859" xr:uid="{00000000-0005-0000-0000-0000C2970000}"/>
    <cellStyle name="Total 2 9 3 2 2 4" xfId="38860" xr:uid="{00000000-0005-0000-0000-0000C3970000}"/>
    <cellStyle name="Total 2 9 3 2 3" xfId="38861" xr:uid="{00000000-0005-0000-0000-0000C4970000}"/>
    <cellStyle name="Total 2 9 3 2 3 2" xfId="8582" xr:uid="{00000000-0005-0000-0000-0000C5970000}"/>
    <cellStyle name="Total 2 9 3 2 3 3" xfId="38862" xr:uid="{00000000-0005-0000-0000-0000C6970000}"/>
    <cellStyle name="Total 2 9 3 2 3 4" xfId="38863" xr:uid="{00000000-0005-0000-0000-0000C7970000}"/>
    <cellStyle name="Total 2 9 3 2 4" xfId="38864" xr:uid="{00000000-0005-0000-0000-0000C8970000}"/>
    <cellStyle name="Total 2 9 3 2 4 2" xfId="8584" xr:uid="{00000000-0005-0000-0000-0000C9970000}"/>
    <cellStyle name="Total 2 9 3 2 4 3" xfId="38865" xr:uid="{00000000-0005-0000-0000-0000CA970000}"/>
    <cellStyle name="Total 2 9 3 2 5" xfId="38866" xr:uid="{00000000-0005-0000-0000-0000CB970000}"/>
    <cellStyle name="Total 2 9 3 2 5 2" xfId="38867" xr:uid="{00000000-0005-0000-0000-0000CC970000}"/>
    <cellStyle name="Total 2 9 3 2 5 3" xfId="38868" xr:uid="{00000000-0005-0000-0000-0000CD970000}"/>
    <cellStyle name="Total 2 9 3 2 6" xfId="38869" xr:uid="{00000000-0005-0000-0000-0000CE970000}"/>
    <cellStyle name="Total 2 9 3 2 7" xfId="38870" xr:uid="{00000000-0005-0000-0000-0000CF970000}"/>
    <cellStyle name="Total 2 9 3 3" xfId="38871" xr:uid="{00000000-0005-0000-0000-0000D0970000}"/>
    <cellStyle name="Total 2 9 3 3 2" xfId="38872" xr:uid="{00000000-0005-0000-0000-0000D1970000}"/>
    <cellStyle name="Total 2 9 3 3 2 2" xfId="38873" xr:uid="{00000000-0005-0000-0000-0000D2970000}"/>
    <cellStyle name="Total 2 9 3 3 2 3" xfId="38874" xr:uid="{00000000-0005-0000-0000-0000D3970000}"/>
    <cellStyle name="Total 2 9 3 3 2 4" xfId="38875" xr:uid="{00000000-0005-0000-0000-0000D4970000}"/>
    <cellStyle name="Total 2 9 3 3 3" xfId="38876" xr:uid="{00000000-0005-0000-0000-0000D5970000}"/>
    <cellStyle name="Total 2 9 3 3 3 2" xfId="38877" xr:uid="{00000000-0005-0000-0000-0000D6970000}"/>
    <cellStyle name="Total 2 9 3 3 3 3" xfId="38878" xr:uid="{00000000-0005-0000-0000-0000D7970000}"/>
    <cellStyle name="Total 2 9 3 3 3 4" xfId="38879" xr:uid="{00000000-0005-0000-0000-0000D8970000}"/>
    <cellStyle name="Total 2 9 3 3 4" xfId="38880" xr:uid="{00000000-0005-0000-0000-0000D9970000}"/>
    <cellStyle name="Total 2 9 3 3 4 2" xfId="38881" xr:uid="{00000000-0005-0000-0000-0000DA970000}"/>
    <cellStyle name="Total 2 9 3 3 4 3" xfId="38882" xr:uid="{00000000-0005-0000-0000-0000DB970000}"/>
    <cellStyle name="Total 2 9 3 3 5" xfId="38883" xr:uid="{00000000-0005-0000-0000-0000DC970000}"/>
    <cellStyle name="Total 2 9 3 3 5 2" xfId="38884" xr:uid="{00000000-0005-0000-0000-0000DD970000}"/>
    <cellStyle name="Total 2 9 3 3 5 3" xfId="38885" xr:uid="{00000000-0005-0000-0000-0000DE970000}"/>
    <cellStyle name="Total 2 9 3 3 6" xfId="38886" xr:uid="{00000000-0005-0000-0000-0000DF970000}"/>
    <cellStyle name="Total 2 9 3 3 7" xfId="38887" xr:uid="{00000000-0005-0000-0000-0000E0970000}"/>
    <cellStyle name="Total 2 9 3 4" xfId="38888" xr:uid="{00000000-0005-0000-0000-0000E1970000}"/>
    <cellStyle name="Total 2 9 3 4 2" xfId="38889" xr:uid="{00000000-0005-0000-0000-0000E2970000}"/>
    <cellStyle name="Total 2 9 3 4 2 2" xfId="38890" xr:uid="{00000000-0005-0000-0000-0000E3970000}"/>
    <cellStyle name="Total 2 9 3 4 2 3" xfId="38891" xr:uid="{00000000-0005-0000-0000-0000E4970000}"/>
    <cellStyle name="Total 2 9 3 4 2 4" xfId="38892" xr:uid="{00000000-0005-0000-0000-0000E5970000}"/>
    <cellStyle name="Total 2 9 3 4 3" xfId="38893" xr:uid="{00000000-0005-0000-0000-0000E6970000}"/>
    <cellStyle name="Total 2 9 3 4 3 2" xfId="38894" xr:uid="{00000000-0005-0000-0000-0000E7970000}"/>
    <cellStyle name="Total 2 9 3 4 3 3" xfId="38895" xr:uid="{00000000-0005-0000-0000-0000E8970000}"/>
    <cellStyle name="Total 2 9 3 4 3 4" xfId="38896" xr:uid="{00000000-0005-0000-0000-0000E9970000}"/>
    <cellStyle name="Total 2 9 3 4 4" xfId="38897" xr:uid="{00000000-0005-0000-0000-0000EA970000}"/>
    <cellStyle name="Total 2 9 3 4 4 2" xfId="38898" xr:uid="{00000000-0005-0000-0000-0000EB970000}"/>
    <cellStyle name="Total 2 9 3 4 4 3" xfId="38899" xr:uid="{00000000-0005-0000-0000-0000EC970000}"/>
    <cellStyle name="Total 2 9 3 4 5" xfId="38900" xr:uid="{00000000-0005-0000-0000-0000ED970000}"/>
    <cellStyle name="Total 2 9 3 4 5 2" xfId="38901" xr:uid="{00000000-0005-0000-0000-0000EE970000}"/>
    <cellStyle name="Total 2 9 3 4 5 3" xfId="38902" xr:uid="{00000000-0005-0000-0000-0000EF970000}"/>
    <cellStyle name="Total 2 9 3 4 6" xfId="38903" xr:uid="{00000000-0005-0000-0000-0000F0970000}"/>
    <cellStyle name="Total 2 9 3 4 7" xfId="38904" xr:uid="{00000000-0005-0000-0000-0000F1970000}"/>
    <cellStyle name="Total 2 9 3 5" xfId="38905" xr:uid="{00000000-0005-0000-0000-0000F2970000}"/>
    <cellStyle name="Total 2 9 3 5 2" xfId="38906" xr:uid="{00000000-0005-0000-0000-0000F3970000}"/>
    <cellStyle name="Total 2 9 3 5 2 2" xfId="38907" xr:uid="{00000000-0005-0000-0000-0000F4970000}"/>
    <cellStyle name="Total 2 9 3 5 2 3" xfId="38908" xr:uid="{00000000-0005-0000-0000-0000F5970000}"/>
    <cellStyle name="Total 2 9 3 5 2 4" xfId="38909" xr:uid="{00000000-0005-0000-0000-0000F6970000}"/>
    <cellStyle name="Total 2 9 3 5 3" xfId="38910" xr:uid="{00000000-0005-0000-0000-0000F7970000}"/>
    <cellStyle name="Total 2 9 3 5 3 2" xfId="38911" xr:uid="{00000000-0005-0000-0000-0000F8970000}"/>
    <cellStyle name="Total 2 9 3 5 3 3" xfId="38912" xr:uid="{00000000-0005-0000-0000-0000F9970000}"/>
    <cellStyle name="Total 2 9 3 5 3 4" xfId="38913" xr:uid="{00000000-0005-0000-0000-0000FA970000}"/>
    <cellStyle name="Total 2 9 3 5 4" xfId="38914" xr:uid="{00000000-0005-0000-0000-0000FB970000}"/>
    <cellStyle name="Total 2 9 3 5 4 2" xfId="38915" xr:uid="{00000000-0005-0000-0000-0000FC970000}"/>
    <cellStyle name="Total 2 9 3 5 4 3" xfId="38916" xr:uid="{00000000-0005-0000-0000-0000FD970000}"/>
    <cellStyle name="Total 2 9 3 5 5" xfId="38917" xr:uid="{00000000-0005-0000-0000-0000FE970000}"/>
    <cellStyle name="Total 2 9 3 5 5 2" xfId="38918" xr:uid="{00000000-0005-0000-0000-0000FF970000}"/>
    <cellStyle name="Total 2 9 3 5 5 3" xfId="38919" xr:uid="{00000000-0005-0000-0000-000000980000}"/>
    <cellStyle name="Total 2 9 3 5 6" xfId="38920" xr:uid="{00000000-0005-0000-0000-000001980000}"/>
    <cellStyle name="Total 2 9 3 5 7" xfId="38921" xr:uid="{00000000-0005-0000-0000-000002980000}"/>
    <cellStyle name="Total 2 9 3 6" xfId="38922" xr:uid="{00000000-0005-0000-0000-000003980000}"/>
    <cellStyle name="Total 2 9 3 6 2" xfId="38923" xr:uid="{00000000-0005-0000-0000-000004980000}"/>
    <cellStyle name="Total 2 9 3 6 2 2" xfId="38924" xr:uid="{00000000-0005-0000-0000-000005980000}"/>
    <cellStyle name="Total 2 9 3 6 2 3" xfId="38925" xr:uid="{00000000-0005-0000-0000-000006980000}"/>
    <cellStyle name="Total 2 9 3 6 2 4" xfId="38926" xr:uid="{00000000-0005-0000-0000-000007980000}"/>
    <cellStyle name="Total 2 9 3 6 3" xfId="38927" xr:uid="{00000000-0005-0000-0000-000008980000}"/>
    <cellStyle name="Total 2 9 3 6 3 2" xfId="38928" xr:uid="{00000000-0005-0000-0000-000009980000}"/>
    <cellStyle name="Total 2 9 3 6 3 3" xfId="38929" xr:uid="{00000000-0005-0000-0000-00000A980000}"/>
    <cellStyle name="Total 2 9 3 6 3 4" xfId="38930" xr:uid="{00000000-0005-0000-0000-00000B980000}"/>
    <cellStyle name="Total 2 9 3 6 4" xfId="38931" xr:uid="{00000000-0005-0000-0000-00000C980000}"/>
    <cellStyle name="Total 2 9 3 6 4 2" xfId="38932" xr:uid="{00000000-0005-0000-0000-00000D980000}"/>
    <cellStyle name="Total 2 9 3 6 4 3" xfId="38933" xr:uid="{00000000-0005-0000-0000-00000E980000}"/>
    <cellStyle name="Total 2 9 3 6 5" xfId="38934" xr:uid="{00000000-0005-0000-0000-00000F980000}"/>
    <cellStyle name="Total 2 9 3 6 5 2" xfId="38935" xr:uid="{00000000-0005-0000-0000-000010980000}"/>
    <cellStyle name="Total 2 9 3 6 5 3" xfId="38936" xr:uid="{00000000-0005-0000-0000-000011980000}"/>
    <cellStyle name="Total 2 9 3 6 6" xfId="38937" xr:uid="{00000000-0005-0000-0000-000012980000}"/>
    <cellStyle name="Total 2 9 3 6 7" xfId="38938" xr:uid="{00000000-0005-0000-0000-000013980000}"/>
    <cellStyle name="Total 2 9 3 7" xfId="38939" xr:uid="{00000000-0005-0000-0000-000014980000}"/>
    <cellStyle name="Total 2 9 3 7 2" xfId="38940" xr:uid="{00000000-0005-0000-0000-000015980000}"/>
    <cellStyle name="Total 2 9 3 7 2 2" xfId="38941" xr:uid="{00000000-0005-0000-0000-000016980000}"/>
    <cellStyle name="Total 2 9 3 7 2 3" xfId="38942" xr:uid="{00000000-0005-0000-0000-000017980000}"/>
    <cellStyle name="Total 2 9 3 7 2 4" xfId="38943" xr:uid="{00000000-0005-0000-0000-000018980000}"/>
    <cellStyle name="Total 2 9 3 7 3" xfId="38944" xr:uid="{00000000-0005-0000-0000-000019980000}"/>
    <cellStyle name="Total 2 9 3 7 3 2" xfId="38945" xr:uid="{00000000-0005-0000-0000-00001A980000}"/>
    <cellStyle name="Total 2 9 3 7 3 3" xfId="38946" xr:uid="{00000000-0005-0000-0000-00001B980000}"/>
    <cellStyle name="Total 2 9 3 7 3 4" xfId="38947" xr:uid="{00000000-0005-0000-0000-00001C980000}"/>
    <cellStyle name="Total 2 9 3 7 4" xfId="38948" xr:uid="{00000000-0005-0000-0000-00001D980000}"/>
    <cellStyle name="Total 2 9 3 7 4 2" xfId="38949" xr:uid="{00000000-0005-0000-0000-00001E980000}"/>
    <cellStyle name="Total 2 9 3 7 4 3" xfId="38950" xr:uid="{00000000-0005-0000-0000-00001F980000}"/>
    <cellStyle name="Total 2 9 3 7 5" xfId="38951" xr:uid="{00000000-0005-0000-0000-000020980000}"/>
    <cellStyle name="Total 2 9 3 7 5 2" xfId="38952" xr:uid="{00000000-0005-0000-0000-000021980000}"/>
    <cellStyle name="Total 2 9 3 7 5 3" xfId="38953" xr:uid="{00000000-0005-0000-0000-000022980000}"/>
    <cellStyle name="Total 2 9 3 7 6" xfId="38954" xr:uid="{00000000-0005-0000-0000-000023980000}"/>
    <cellStyle name="Total 2 9 3 7 7" xfId="38955" xr:uid="{00000000-0005-0000-0000-000024980000}"/>
    <cellStyle name="Total 2 9 3 8" xfId="38956" xr:uid="{00000000-0005-0000-0000-000025980000}"/>
    <cellStyle name="Total 2 9 3 8 2" xfId="38957" xr:uid="{00000000-0005-0000-0000-000026980000}"/>
    <cellStyle name="Total 2 9 3 8 2 2" xfId="38958" xr:uid="{00000000-0005-0000-0000-000027980000}"/>
    <cellStyle name="Total 2 9 3 8 2 3" xfId="38959" xr:uid="{00000000-0005-0000-0000-000028980000}"/>
    <cellStyle name="Total 2 9 3 8 2 4" xfId="38960" xr:uid="{00000000-0005-0000-0000-000029980000}"/>
    <cellStyle name="Total 2 9 3 8 3" xfId="8349" xr:uid="{00000000-0005-0000-0000-00002A980000}"/>
    <cellStyle name="Total 2 9 3 8 3 2" xfId="38961" xr:uid="{00000000-0005-0000-0000-00002B980000}"/>
    <cellStyle name="Total 2 9 3 8 3 3" xfId="38962" xr:uid="{00000000-0005-0000-0000-00002C980000}"/>
    <cellStyle name="Total 2 9 3 8 3 4" xfId="38963" xr:uid="{00000000-0005-0000-0000-00002D980000}"/>
    <cellStyle name="Total 2 9 3 8 4" xfId="28045" xr:uid="{00000000-0005-0000-0000-00002E980000}"/>
    <cellStyle name="Total 2 9 3 8 4 2" xfId="38964" xr:uid="{00000000-0005-0000-0000-00002F980000}"/>
    <cellStyle name="Total 2 9 3 8 4 3" xfId="38965" xr:uid="{00000000-0005-0000-0000-000030980000}"/>
    <cellStyle name="Total 2 9 3 8 5" xfId="28047" xr:uid="{00000000-0005-0000-0000-000031980000}"/>
    <cellStyle name="Total 2 9 3 8 5 2" xfId="38966" xr:uid="{00000000-0005-0000-0000-000032980000}"/>
    <cellStyle name="Total 2 9 3 8 5 3" xfId="38967" xr:uid="{00000000-0005-0000-0000-000033980000}"/>
    <cellStyle name="Total 2 9 3 8 6" xfId="38968" xr:uid="{00000000-0005-0000-0000-000034980000}"/>
    <cellStyle name="Total 2 9 3 8 7" xfId="38969" xr:uid="{00000000-0005-0000-0000-000035980000}"/>
    <cellStyle name="Total 2 9 3 9" xfId="38970" xr:uid="{00000000-0005-0000-0000-000036980000}"/>
    <cellStyle name="Total 2 9 3 9 2" xfId="38971" xr:uid="{00000000-0005-0000-0000-000037980000}"/>
    <cellStyle name="Total 2 9 3 9 2 2" xfId="38972" xr:uid="{00000000-0005-0000-0000-000038980000}"/>
    <cellStyle name="Total 2 9 3 9 2 3" xfId="38973" xr:uid="{00000000-0005-0000-0000-000039980000}"/>
    <cellStyle name="Total 2 9 3 9 2 4" xfId="38974" xr:uid="{00000000-0005-0000-0000-00003A980000}"/>
    <cellStyle name="Total 2 9 3 9 3" xfId="8356" xr:uid="{00000000-0005-0000-0000-00003B980000}"/>
    <cellStyle name="Total 2 9 3 9 3 2" xfId="38975" xr:uid="{00000000-0005-0000-0000-00003C980000}"/>
    <cellStyle name="Total 2 9 3 9 3 3" xfId="38976" xr:uid="{00000000-0005-0000-0000-00003D980000}"/>
    <cellStyle name="Total 2 9 3 9 3 4" xfId="38977" xr:uid="{00000000-0005-0000-0000-00003E980000}"/>
    <cellStyle name="Total 2 9 3 9 4" xfId="28050" xr:uid="{00000000-0005-0000-0000-00003F980000}"/>
    <cellStyle name="Total 2 9 3 9 4 2" xfId="38978" xr:uid="{00000000-0005-0000-0000-000040980000}"/>
    <cellStyle name="Total 2 9 3 9 4 3" xfId="38979" xr:uid="{00000000-0005-0000-0000-000041980000}"/>
    <cellStyle name="Total 2 9 3 9 5" xfId="28052" xr:uid="{00000000-0005-0000-0000-000042980000}"/>
    <cellStyle name="Total 2 9 3 9 5 2" xfId="38980" xr:uid="{00000000-0005-0000-0000-000043980000}"/>
    <cellStyle name="Total 2 9 3 9 5 3" xfId="38981" xr:uid="{00000000-0005-0000-0000-000044980000}"/>
    <cellStyle name="Total 2 9 3 9 6" xfId="38982" xr:uid="{00000000-0005-0000-0000-000045980000}"/>
    <cellStyle name="Total 2 9 3 9 7" xfId="38983" xr:uid="{00000000-0005-0000-0000-000046980000}"/>
    <cellStyle name="Total 2 9 4" xfId="38984" xr:uid="{00000000-0005-0000-0000-000047980000}"/>
    <cellStyle name="Total 2 9 4 2" xfId="38985" xr:uid="{00000000-0005-0000-0000-000048980000}"/>
    <cellStyle name="Total 2 9 4 2 2" xfId="38986" xr:uid="{00000000-0005-0000-0000-000049980000}"/>
    <cellStyle name="Total 2 9 4 2 3" xfId="38987" xr:uid="{00000000-0005-0000-0000-00004A980000}"/>
    <cellStyle name="Total 2 9 4 2 4" xfId="38988" xr:uid="{00000000-0005-0000-0000-00004B980000}"/>
    <cellStyle name="Total 2 9 4 3" xfId="38989" xr:uid="{00000000-0005-0000-0000-00004C980000}"/>
    <cellStyle name="Total 2 9 4 3 2" xfId="38990" xr:uid="{00000000-0005-0000-0000-00004D980000}"/>
    <cellStyle name="Total 2 9 4 3 3" xfId="38991" xr:uid="{00000000-0005-0000-0000-00004E980000}"/>
    <cellStyle name="Total 2 9 4 3 4" xfId="38992" xr:uid="{00000000-0005-0000-0000-00004F980000}"/>
    <cellStyle name="Total 2 9 4 4" xfId="38993" xr:uid="{00000000-0005-0000-0000-000050980000}"/>
    <cellStyle name="Total 2 9 4 4 2" xfId="38994" xr:uid="{00000000-0005-0000-0000-000051980000}"/>
    <cellStyle name="Total 2 9 4 4 3" xfId="38995" xr:uid="{00000000-0005-0000-0000-000052980000}"/>
    <cellStyle name="Total 2 9 4 5" xfId="38996" xr:uid="{00000000-0005-0000-0000-000053980000}"/>
    <cellStyle name="Total 2 9 4 5 2" xfId="38997" xr:uid="{00000000-0005-0000-0000-000054980000}"/>
    <cellStyle name="Total 2 9 4 5 3" xfId="38998" xr:uid="{00000000-0005-0000-0000-000055980000}"/>
    <cellStyle name="Total 2 9 4 6" xfId="38999" xr:uid="{00000000-0005-0000-0000-000056980000}"/>
    <cellStyle name="Total 2 9 4 7" xfId="39000" xr:uid="{00000000-0005-0000-0000-000057980000}"/>
    <cellStyle name="Total 2 9 5" xfId="39001" xr:uid="{00000000-0005-0000-0000-000058980000}"/>
    <cellStyle name="Total 2 9 5 2" xfId="39002" xr:uid="{00000000-0005-0000-0000-000059980000}"/>
    <cellStyle name="Total 2 9 5 2 2" xfId="39003" xr:uid="{00000000-0005-0000-0000-00005A980000}"/>
    <cellStyle name="Total 2 9 5 2 3" xfId="39004" xr:uid="{00000000-0005-0000-0000-00005B980000}"/>
    <cellStyle name="Total 2 9 5 2 4" xfId="39005" xr:uid="{00000000-0005-0000-0000-00005C980000}"/>
    <cellStyle name="Total 2 9 5 3" xfId="39006" xr:uid="{00000000-0005-0000-0000-00005D980000}"/>
    <cellStyle name="Total 2 9 5 3 2" xfId="39007" xr:uid="{00000000-0005-0000-0000-00005E980000}"/>
    <cellStyle name="Total 2 9 5 3 3" xfId="39008" xr:uid="{00000000-0005-0000-0000-00005F980000}"/>
    <cellStyle name="Total 2 9 5 3 4" xfId="39009" xr:uid="{00000000-0005-0000-0000-000060980000}"/>
    <cellStyle name="Total 2 9 5 4" xfId="39010" xr:uid="{00000000-0005-0000-0000-000061980000}"/>
    <cellStyle name="Total 2 9 5 4 2" xfId="39011" xr:uid="{00000000-0005-0000-0000-000062980000}"/>
    <cellStyle name="Total 2 9 5 4 3" xfId="39012" xr:uid="{00000000-0005-0000-0000-000063980000}"/>
    <cellStyle name="Total 2 9 5 5" xfId="39013" xr:uid="{00000000-0005-0000-0000-000064980000}"/>
    <cellStyle name="Total 2 9 5 5 2" xfId="39014" xr:uid="{00000000-0005-0000-0000-000065980000}"/>
    <cellStyle name="Total 2 9 5 5 3" xfId="39015" xr:uid="{00000000-0005-0000-0000-000066980000}"/>
    <cellStyle name="Total 2 9 5 6" xfId="39016" xr:uid="{00000000-0005-0000-0000-000067980000}"/>
    <cellStyle name="Total 2 9 5 7" xfId="39017" xr:uid="{00000000-0005-0000-0000-000068980000}"/>
    <cellStyle name="Total 2 9 6" xfId="39018" xr:uid="{00000000-0005-0000-0000-000069980000}"/>
    <cellStyle name="Total 2 9 6 2" xfId="39019" xr:uid="{00000000-0005-0000-0000-00006A980000}"/>
    <cellStyle name="Total 2 9 6 2 2" xfId="39020" xr:uid="{00000000-0005-0000-0000-00006B980000}"/>
    <cellStyle name="Total 2 9 6 2 3" xfId="39021" xr:uid="{00000000-0005-0000-0000-00006C980000}"/>
    <cellStyle name="Total 2 9 6 2 4" xfId="39022" xr:uid="{00000000-0005-0000-0000-00006D980000}"/>
    <cellStyle name="Total 2 9 6 3" xfId="39023" xr:uid="{00000000-0005-0000-0000-00006E980000}"/>
    <cellStyle name="Total 2 9 6 3 2" xfId="39024" xr:uid="{00000000-0005-0000-0000-00006F980000}"/>
    <cellStyle name="Total 2 9 6 3 3" xfId="39025" xr:uid="{00000000-0005-0000-0000-000070980000}"/>
    <cellStyle name="Total 2 9 6 3 4" xfId="39026" xr:uid="{00000000-0005-0000-0000-000071980000}"/>
    <cellStyle name="Total 2 9 6 4" xfId="39027" xr:uid="{00000000-0005-0000-0000-000072980000}"/>
    <cellStyle name="Total 2 9 6 4 2" xfId="39028" xr:uid="{00000000-0005-0000-0000-000073980000}"/>
    <cellStyle name="Total 2 9 6 4 3" xfId="39029" xr:uid="{00000000-0005-0000-0000-000074980000}"/>
    <cellStyle name="Total 2 9 6 5" xfId="39030" xr:uid="{00000000-0005-0000-0000-000075980000}"/>
    <cellStyle name="Total 2 9 6 5 2" xfId="39031" xr:uid="{00000000-0005-0000-0000-000076980000}"/>
    <cellStyle name="Total 2 9 6 5 3" xfId="39032" xr:uid="{00000000-0005-0000-0000-000077980000}"/>
    <cellStyle name="Total 2 9 6 6" xfId="39033" xr:uid="{00000000-0005-0000-0000-000078980000}"/>
    <cellStyle name="Total 2 9 6 7" xfId="39034" xr:uid="{00000000-0005-0000-0000-000079980000}"/>
    <cellStyle name="Total 2 9 7" xfId="39035" xr:uid="{00000000-0005-0000-0000-00007A980000}"/>
    <cellStyle name="Total 2 9 7 2" xfId="39036" xr:uid="{00000000-0005-0000-0000-00007B980000}"/>
    <cellStyle name="Total 2 9 7 2 2" xfId="39037" xr:uid="{00000000-0005-0000-0000-00007C980000}"/>
    <cellStyle name="Total 2 9 7 2 3" xfId="39038" xr:uid="{00000000-0005-0000-0000-00007D980000}"/>
    <cellStyle name="Total 2 9 7 2 4" xfId="39039" xr:uid="{00000000-0005-0000-0000-00007E980000}"/>
    <cellStyle name="Total 2 9 7 3" xfId="39040" xr:uid="{00000000-0005-0000-0000-00007F980000}"/>
    <cellStyle name="Total 2 9 7 3 2" xfId="39041" xr:uid="{00000000-0005-0000-0000-000080980000}"/>
    <cellStyle name="Total 2 9 7 3 3" xfId="39042" xr:uid="{00000000-0005-0000-0000-000081980000}"/>
    <cellStyle name="Total 2 9 7 3 4" xfId="39043" xr:uid="{00000000-0005-0000-0000-000082980000}"/>
    <cellStyle name="Total 2 9 7 4" xfId="39044" xr:uid="{00000000-0005-0000-0000-000083980000}"/>
    <cellStyle name="Total 2 9 7 4 2" xfId="39045" xr:uid="{00000000-0005-0000-0000-000084980000}"/>
    <cellStyle name="Total 2 9 7 4 3" xfId="39046" xr:uid="{00000000-0005-0000-0000-000085980000}"/>
    <cellStyle name="Total 2 9 7 5" xfId="39047" xr:uid="{00000000-0005-0000-0000-000086980000}"/>
    <cellStyle name="Total 2 9 7 5 2" xfId="39048" xr:uid="{00000000-0005-0000-0000-000087980000}"/>
    <cellStyle name="Total 2 9 7 5 3" xfId="39049" xr:uid="{00000000-0005-0000-0000-000088980000}"/>
    <cellStyle name="Total 2 9 7 6" xfId="39050" xr:uid="{00000000-0005-0000-0000-000089980000}"/>
    <cellStyle name="Total 2 9 7 7" xfId="39051" xr:uid="{00000000-0005-0000-0000-00008A980000}"/>
    <cellStyle name="Total 2 9 8" xfId="39052" xr:uid="{00000000-0005-0000-0000-00008B980000}"/>
    <cellStyle name="Total 2 9 8 2" xfId="39053" xr:uid="{00000000-0005-0000-0000-00008C980000}"/>
    <cellStyle name="Total 2 9 8 2 2" xfId="39054" xr:uid="{00000000-0005-0000-0000-00008D980000}"/>
    <cellStyle name="Total 2 9 8 2 3" xfId="39055" xr:uid="{00000000-0005-0000-0000-00008E980000}"/>
    <cellStyle name="Total 2 9 8 2 4" xfId="39056" xr:uid="{00000000-0005-0000-0000-00008F980000}"/>
    <cellStyle name="Total 2 9 8 3" xfId="39057" xr:uid="{00000000-0005-0000-0000-000090980000}"/>
    <cellStyle name="Total 2 9 8 3 2" xfId="39058" xr:uid="{00000000-0005-0000-0000-000091980000}"/>
    <cellStyle name="Total 2 9 8 3 3" xfId="39059" xr:uid="{00000000-0005-0000-0000-000092980000}"/>
    <cellStyle name="Total 2 9 8 3 4" xfId="39060" xr:uid="{00000000-0005-0000-0000-000093980000}"/>
    <cellStyle name="Total 2 9 8 4" xfId="39061" xr:uid="{00000000-0005-0000-0000-000094980000}"/>
    <cellStyle name="Total 2 9 8 4 2" xfId="39062" xr:uid="{00000000-0005-0000-0000-000095980000}"/>
    <cellStyle name="Total 2 9 8 4 3" xfId="39063" xr:uid="{00000000-0005-0000-0000-000096980000}"/>
    <cellStyle name="Total 2 9 8 5" xfId="39064" xr:uid="{00000000-0005-0000-0000-000097980000}"/>
    <cellStyle name="Total 2 9 8 5 2" xfId="39065" xr:uid="{00000000-0005-0000-0000-000098980000}"/>
    <cellStyle name="Total 2 9 8 5 3" xfId="39066" xr:uid="{00000000-0005-0000-0000-000099980000}"/>
    <cellStyle name="Total 2 9 8 6" xfId="39067" xr:uid="{00000000-0005-0000-0000-00009A980000}"/>
    <cellStyle name="Total 2 9 8 7" xfId="39068" xr:uid="{00000000-0005-0000-0000-00009B980000}"/>
    <cellStyle name="Total 2 9 9" xfId="39069" xr:uid="{00000000-0005-0000-0000-00009C980000}"/>
    <cellStyle name="Total 2 9 9 2" xfId="39070" xr:uid="{00000000-0005-0000-0000-00009D980000}"/>
    <cellStyle name="Total 2 9 9 2 2" xfId="39071" xr:uid="{00000000-0005-0000-0000-00009E980000}"/>
    <cellStyle name="Total 2 9 9 2 3" xfId="39072" xr:uid="{00000000-0005-0000-0000-00009F980000}"/>
    <cellStyle name="Total 2 9 9 2 4" xfId="39073" xr:uid="{00000000-0005-0000-0000-0000A0980000}"/>
    <cellStyle name="Total 2 9 9 3" xfId="39074" xr:uid="{00000000-0005-0000-0000-0000A1980000}"/>
    <cellStyle name="Total 2 9 9 3 2" xfId="39075" xr:uid="{00000000-0005-0000-0000-0000A2980000}"/>
    <cellStyle name="Total 2 9 9 3 3" xfId="39076" xr:uid="{00000000-0005-0000-0000-0000A3980000}"/>
    <cellStyle name="Total 2 9 9 3 4" xfId="39077" xr:uid="{00000000-0005-0000-0000-0000A4980000}"/>
    <cellStyle name="Total 2 9 9 4" xfId="39078" xr:uid="{00000000-0005-0000-0000-0000A5980000}"/>
    <cellStyle name="Total 2 9 9 4 2" xfId="39079" xr:uid="{00000000-0005-0000-0000-0000A6980000}"/>
    <cellStyle name="Total 2 9 9 4 3" xfId="39080" xr:uid="{00000000-0005-0000-0000-0000A7980000}"/>
    <cellStyle name="Total 2 9 9 5" xfId="39081" xr:uid="{00000000-0005-0000-0000-0000A8980000}"/>
    <cellStyle name="Total 2 9 9 5 2" xfId="39082" xr:uid="{00000000-0005-0000-0000-0000A9980000}"/>
    <cellStyle name="Total 2 9 9 5 3" xfId="39083" xr:uid="{00000000-0005-0000-0000-0000AA980000}"/>
    <cellStyle name="Total 2 9 9 6" xfId="39084" xr:uid="{00000000-0005-0000-0000-0000AB980000}"/>
    <cellStyle name="Total 2 9 9 7" xfId="39085" xr:uid="{00000000-0005-0000-0000-0000AC980000}"/>
    <cellStyle name="Total 3" xfId="39086" xr:uid="{00000000-0005-0000-0000-0000AD980000}"/>
    <cellStyle name="Total 3 2" xfId="39087" xr:uid="{00000000-0005-0000-0000-0000AE980000}"/>
    <cellStyle name="Total 3 2 2" xfId="39088" xr:uid="{00000000-0005-0000-0000-0000AF980000}"/>
    <cellStyle name="Total 3 3" xfId="11677" xr:uid="{00000000-0005-0000-0000-0000B0980000}"/>
    <cellStyle name="Total 4" xfId="39089" xr:uid="{00000000-0005-0000-0000-0000B1980000}"/>
    <cellStyle name="Total 4 2" xfId="39090" xr:uid="{00000000-0005-0000-0000-0000B2980000}"/>
    <cellStyle name="Total 4 2 2" xfId="39091" xr:uid="{00000000-0005-0000-0000-0000B3980000}"/>
    <cellStyle name="Total 4 3" xfId="39092" xr:uid="{00000000-0005-0000-0000-0000B4980000}"/>
    <cellStyle name="Total 5" xfId="39093" xr:uid="{00000000-0005-0000-0000-0000B5980000}"/>
    <cellStyle name="Total 5 2" xfId="39094" xr:uid="{00000000-0005-0000-0000-0000B6980000}"/>
    <cellStyle name="Total 5 2 2" xfId="39095" xr:uid="{00000000-0005-0000-0000-0000B7980000}"/>
    <cellStyle name="Total 5 3" xfId="39096" xr:uid="{00000000-0005-0000-0000-0000B8980000}"/>
    <cellStyle name="Total 6" xfId="39097" xr:uid="{00000000-0005-0000-0000-0000B9980000}"/>
    <cellStyle name="Total 6 2" xfId="39098" xr:uid="{00000000-0005-0000-0000-0000BA980000}"/>
    <cellStyle name="Total 6 2 2" xfId="39099" xr:uid="{00000000-0005-0000-0000-0000BB980000}"/>
    <cellStyle name="Total 6 3" xfId="39100" xr:uid="{00000000-0005-0000-0000-0000BC980000}"/>
    <cellStyle name="Total 7" xfId="39101" xr:uid="{00000000-0005-0000-0000-0000BD980000}"/>
    <cellStyle name="Two decimals" xfId="39102" xr:uid="{00000000-0005-0000-0000-0000BE980000}"/>
    <cellStyle name="Two decimals 2" xfId="39103" xr:uid="{00000000-0005-0000-0000-0000BF980000}"/>
    <cellStyle name="Valuta (0)_results" xfId="39104" xr:uid="{00000000-0005-0000-0000-0000C0980000}"/>
    <cellStyle name="Valuta_results" xfId="39105" xr:uid="{00000000-0005-0000-0000-0000C1980000}"/>
    <cellStyle name="Währung [0]_Mappe1" xfId="39106" xr:uid="{00000000-0005-0000-0000-0000C2980000}"/>
    <cellStyle name="Währung_Mappe1" xfId="32712" xr:uid="{00000000-0005-0000-0000-0000C3980000}"/>
    <cellStyle name="Warning Text 2" xfId="39107" xr:uid="{00000000-0005-0000-0000-0000C4980000}"/>
    <cellStyle name="Warning Text 2 2" xfId="39108" xr:uid="{00000000-0005-0000-0000-0000C5980000}"/>
    <cellStyle name="Warning Text 2 3" xfId="39109" xr:uid="{00000000-0005-0000-0000-0000C6980000}"/>
    <cellStyle name="Warning Text 3" xfId="39110" xr:uid="{00000000-0005-0000-0000-0000C7980000}"/>
    <cellStyle name="Warning Text 4" xfId="39111" xr:uid="{00000000-0005-0000-0000-0000C8980000}"/>
    <cellStyle name="Warning Text 5" xfId="39112" xr:uid="{00000000-0005-0000-0000-0000C9980000}"/>
    <cellStyle name="Warning Text 6" xfId="39113" xr:uid="{00000000-0005-0000-0000-0000CA980000}"/>
  </cellStyles>
  <dxfs count="46">
    <dxf>
      <font>
        <color theme="9" tint="0.79998168889431442"/>
      </font>
      <fill>
        <patternFill>
          <bgColor theme="9" tint="0.79998168889431442"/>
        </patternFill>
      </fill>
    </dxf>
    <dxf>
      <fill>
        <patternFill>
          <bgColor theme="8" tint="0.79998168889431442"/>
        </patternFill>
      </fill>
      <border>
        <left style="thin">
          <color theme="8" tint="-0.24994659260841701"/>
        </left>
        <right style="thin">
          <color theme="8" tint="-0.24994659260841701"/>
        </right>
      </border>
    </dxf>
    <dxf>
      <font>
        <b val="0"/>
        <i val="0"/>
        <strike val="0"/>
        <color theme="1"/>
      </font>
      <fill>
        <patternFill patternType="lightUp">
          <fgColor theme="0" tint="-0.499984740745262"/>
          <bgColor theme="0" tint="-4.9989318521683403E-2"/>
        </patternFill>
      </fill>
      <border>
        <top style="thin">
          <color theme="9" tint="-0.24994659260841701"/>
        </top>
        <bottom style="thin">
          <color theme="9" tint="-0.24994659260841701"/>
        </bottom>
      </border>
    </dxf>
    <dxf>
      <fill>
        <patternFill patternType="darkUp">
          <fgColor theme="0" tint="-0.34998626667073579"/>
          <bgColor theme="2" tint="-9.9948118533890809E-2"/>
        </patternFill>
      </fill>
      <border>
        <top style="thin">
          <color theme="9"/>
        </top>
        <bottom style="thin">
          <color theme="9"/>
        </bottom>
        <vertical/>
        <horizontal/>
      </border>
    </dxf>
    <dxf>
      <fill>
        <patternFill>
          <bgColor theme="9" tint="0.59996337778862885"/>
        </patternFill>
      </fill>
    </dxf>
    <dxf>
      <font>
        <color theme="1"/>
      </font>
      <fill>
        <patternFill>
          <bgColor theme="0" tint="-4.9989318521683403E-2"/>
        </patternFill>
      </fill>
      <border>
        <left style="thin">
          <color auto="1"/>
        </left>
        <right style="thin">
          <color auto="1"/>
        </right>
        <top style="thin">
          <color auto="1"/>
        </top>
        <bottom style="thin">
          <color auto="1"/>
        </bottom>
      </border>
    </dxf>
    <dxf>
      <fill>
        <patternFill>
          <bgColor rgb="FF92D050"/>
        </patternFill>
      </fill>
    </dxf>
    <dxf>
      <fill>
        <patternFill>
          <bgColor rgb="FFFFFF00"/>
        </patternFill>
      </fill>
    </dxf>
    <dxf>
      <font>
        <color auto="1"/>
      </font>
      <fill>
        <patternFill patternType="solid">
          <bgColor rgb="FF92D050"/>
        </patternFill>
      </fill>
    </dxf>
    <dxf>
      <font>
        <b/>
        <i val="0"/>
        <color auto="1"/>
      </font>
      <fill>
        <patternFill patternType="solid">
          <bgColor rgb="FFFFB3B3"/>
        </patternFill>
      </fill>
    </dxf>
    <dxf>
      <font>
        <color theme="1"/>
      </font>
      <fill>
        <patternFill>
          <bgColor rgb="FF00FFFF"/>
        </patternFill>
      </fill>
    </dxf>
    <dxf>
      <font>
        <color theme="0" tint="-0.24994659260841701"/>
      </font>
      <fill>
        <patternFill>
          <bgColor rgb="FF800080"/>
        </patternFill>
      </fill>
    </dxf>
    <dxf>
      <font>
        <color theme="0" tint="-4.9989318521683403E-2"/>
      </font>
      <fill>
        <patternFill>
          <bgColor theme="0" tint="-4.9989318521683403E-2"/>
        </patternFill>
      </fill>
    </dxf>
    <dxf>
      <font>
        <b/>
        <i val="0"/>
        <color theme="0" tint="-0.24994659260841701"/>
      </font>
      <fill>
        <patternFill>
          <bgColor theme="9" tint="-0.499984740745262"/>
        </patternFill>
      </fill>
    </dxf>
    <dxf>
      <font>
        <b/>
        <i val="0"/>
        <color auto="1"/>
      </font>
      <fill>
        <patternFill>
          <bgColor rgb="FF0070C0"/>
        </patternFill>
      </fill>
    </dxf>
    <dxf>
      <font>
        <b/>
        <i val="0"/>
        <color auto="1"/>
      </font>
      <fill>
        <patternFill>
          <bgColor rgb="FF00B0F0"/>
        </patternFill>
      </fill>
    </dxf>
    <dxf>
      <font>
        <b/>
        <i val="0"/>
      </font>
      <fill>
        <patternFill>
          <bgColor theme="9"/>
        </patternFill>
      </fill>
    </dxf>
    <dxf>
      <font>
        <b/>
        <i val="0"/>
        <color auto="1"/>
      </font>
      <fill>
        <patternFill patternType="solid">
          <bgColor rgb="FFFFFF00"/>
        </patternFill>
      </fill>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fill>
        <patternFill>
          <bgColor theme="3" tint="0.59996337778862885"/>
        </patternFill>
      </fill>
    </dxf>
    <dxf>
      <font>
        <color theme="0"/>
      </font>
      <fill>
        <patternFill>
          <bgColor rgb="FFFF0000"/>
        </patternFill>
      </fill>
    </dxf>
    <dxf>
      <font>
        <b/>
        <i val="0"/>
      </font>
      <fill>
        <patternFill patternType="solid">
          <bgColor rgb="FF92D050"/>
        </patternFill>
      </fill>
    </dxf>
    <dxf>
      <font>
        <b/>
        <i val="0"/>
        <color theme="0"/>
      </font>
      <fill>
        <patternFill patternType="solid">
          <bgColor rgb="FFFF0000"/>
        </patternFill>
      </fill>
    </dxf>
    <dxf>
      <font>
        <b/>
        <i val="0"/>
        <color theme="0"/>
      </font>
      <fill>
        <patternFill patternType="solid">
          <bgColor rgb="FFFF0000"/>
        </patternFill>
      </fill>
    </dxf>
    <dxf>
      <fill>
        <patternFill>
          <bgColor rgb="FFFF0000"/>
        </patternFill>
      </fill>
    </dxf>
    <dxf>
      <font>
        <b/>
        <i val="0"/>
        <color theme="0"/>
      </font>
      <fill>
        <patternFill>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color rgb="FFFF0000"/>
      </font>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FF0000"/>
      </font>
    </dxf>
    <dxf>
      <font>
        <color rgb="FFFF0000"/>
      </font>
    </dxf>
    <dxf>
      <fill>
        <patternFill>
          <bgColor rgb="FFFF0000"/>
        </patternFill>
      </fill>
    </dxf>
    <dxf>
      <font>
        <color rgb="FFFF0000"/>
      </font>
    </dxf>
    <dxf>
      <font>
        <color auto="1"/>
      </font>
      <fill>
        <patternFill>
          <bgColor rgb="FFFF0000"/>
        </patternFill>
      </fill>
    </dxf>
    <dxf>
      <font>
        <color rgb="FFFF0000"/>
      </font>
    </dxf>
    <dxf>
      <font>
        <color theme="0" tint="-4.9989318521683403E-2"/>
      </font>
      <fill>
        <patternFill>
          <bgColor theme="0" tint="-4.9989318521683403E-2"/>
        </patternFill>
      </fill>
      <border>
        <left/>
        <right/>
        <top/>
        <bottom/>
        <vertical/>
        <horizontal/>
      </border>
    </dxf>
    <dxf>
      <font>
        <color rgb="FFFF0000"/>
      </font>
    </dxf>
    <dxf>
      <font>
        <color theme="0" tint="-4.9989318521683403E-2"/>
      </font>
      <fill>
        <patternFill>
          <bgColor theme="0" tint="-4.9989318521683403E-2"/>
        </patternFill>
      </fill>
      <border>
        <left/>
        <right/>
        <top/>
        <bottom/>
        <vertical/>
        <horizontal/>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fill>
        <patternFill>
          <bgColor theme="0" tint="-4.9989318521683403E-2"/>
        </patternFill>
      </fill>
      <border>
        <left style="thin">
          <color theme="0" tint="-4.9989318521683403E-2"/>
        </left>
        <right style="thin">
          <color theme="0" tint="-4.9989318521683403E-2"/>
        </right>
        <top style="thin">
          <color theme="0" tint="-4.9989318521683403E-2"/>
        </top>
        <bottom style="thin">
          <color theme="0" tint="-4.9989318521683403E-2"/>
        </bottom>
      </border>
    </dxf>
  </dxfs>
  <tableStyles count="0" defaultTableStyle="TableStyleMedium9"/>
  <colors>
    <mruColors>
      <color rgb="FF00B0F0"/>
      <color rgb="FFFFB3B3"/>
      <color rgb="FF800080"/>
      <color rgb="FF00FFFF"/>
      <color rgb="FF039303"/>
      <color rgb="FF404F21"/>
      <color rgb="FFFF5050"/>
      <color rgb="FF9999FF"/>
      <color rgb="FFFF939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s\BPR\PM\PM_202502\PrjSch_FSL_2425_NSK_OR000_SectionName_250226_V1.0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Control"/>
      <sheetName val="ReadMe"/>
      <sheetName val="PrjSch"/>
      <sheetName val="@LeadT_Setting"/>
    </sheetNames>
    <sheetDataSet>
      <sheetData sheetId="0" refreshError="1"/>
      <sheetData sheetId="1" refreshError="1"/>
      <sheetData sheetId="2">
        <row r="2">
          <cell r="D2" t="str">
            <v/>
          </cell>
        </row>
        <row r="3">
          <cell r="S3">
            <v>0</v>
          </cell>
        </row>
        <row r="4">
          <cell r="S4">
            <v>0</v>
          </cell>
        </row>
        <row r="9">
          <cell r="D9">
            <v>0</v>
          </cell>
          <cell r="S9">
            <v>0</v>
          </cell>
          <cell r="Z9">
            <v>0</v>
          </cell>
          <cell r="AD9">
            <v>0</v>
          </cell>
          <cell r="AG9" t="str">
            <v>N</v>
          </cell>
          <cell r="AH9" t="str">
            <v>N</v>
          </cell>
          <cell r="AI9" t="str">
            <v>N</v>
          </cell>
          <cell r="AJ9" t="str">
            <v>N</v>
          </cell>
          <cell r="AK9" t="str">
            <v>N</v>
          </cell>
        </row>
        <row r="10">
          <cell r="S10">
            <v>0</v>
          </cell>
          <cell r="Z10">
            <v>0</v>
          </cell>
        </row>
        <row r="11">
          <cell r="S11">
            <v>0</v>
          </cell>
          <cell r="Z11">
            <v>0</v>
          </cell>
        </row>
        <row r="12">
          <cell r="S12">
            <v>0</v>
          </cell>
          <cell r="U12">
            <v>0</v>
          </cell>
          <cell r="Z12">
            <v>0</v>
          </cell>
        </row>
        <row r="13">
          <cell r="S13">
            <v>0</v>
          </cell>
          <cell r="U13">
            <v>0</v>
          </cell>
          <cell r="Z13">
            <v>0</v>
          </cell>
        </row>
        <row r="14">
          <cell r="U14">
            <v>0</v>
          </cell>
          <cell r="Z14">
            <v>0</v>
          </cell>
          <cell r="AI14" t="str">
            <v>PO#</v>
          </cell>
        </row>
        <row r="15">
          <cell r="D15" t="str">
            <v>GON</v>
          </cell>
          <cell r="U15">
            <v>0</v>
          </cell>
          <cell r="Z15">
            <v>0</v>
          </cell>
          <cell r="AD15">
            <v>0</v>
          </cell>
        </row>
        <row r="16">
          <cell r="S16">
            <v>0</v>
          </cell>
          <cell r="U16">
            <v>0</v>
          </cell>
          <cell r="Z16">
            <v>0</v>
          </cell>
          <cell r="AD16">
            <v>0</v>
          </cell>
          <cell r="AI16" t="str">
            <v/>
          </cell>
        </row>
        <row r="17">
          <cell r="D17">
            <v>0</v>
          </cell>
          <cell r="S17">
            <v>0</v>
          </cell>
          <cell r="U17">
            <v>0</v>
          </cell>
          <cell r="Z17">
            <v>0</v>
          </cell>
        </row>
        <row r="18">
          <cell r="D18">
            <v>0</v>
          </cell>
          <cell r="U18">
            <v>0</v>
          </cell>
          <cell r="Z18">
            <v>0</v>
          </cell>
        </row>
        <row r="19">
          <cell r="D19">
            <v>0</v>
          </cell>
          <cell r="U19">
            <v>0</v>
          </cell>
          <cell r="Z19">
            <v>0</v>
          </cell>
          <cell r="AD19">
            <v>0</v>
          </cell>
        </row>
        <row r="20">
          <cell r="D20">
            <v>0</v>
          </cell>
          <cell r="U20">
            <v>0</v>
          </cell>
          <cell r="Z20">
            <v>0</v>
          </cell>
        </row>
        <row r="21">
          <cell r="U21">
            <v>0</v>
          </cell>
          <cell r="Z21">
            <v>0</v>
          </cell>
        </row>
        <row r="22">
          <cell r="S22">
            <v>0</v>
          </cell>
          <cell r="U22">
            <v>0</v>
          </cell>
          <cell r="Z22">
            <v>0</v>
          </cell>
          <cell r="AD22">
            <v>0</v>
          </cell>
        </row>
        <row r="23">
          <cell r="S23">
            <v>0</v>
          </cell>
          <cell r="U23">
            <v>0</v>
          </cell>
          <cell r="Z23">
            <v>0</v>
          </cell>
        </row>
        <row r="24">
          <cell r="S24">
            <v>0</v>
          </cell>
          <cell r="Z24">
            <v>0</v>
          </cell>
          <cell r="AD24">
            <v>0</v>
          </cell>
        </row>
        <row r="25">
          <cell r="S25">
            <v>0</v>
          </cell>
          <cell r="Z25">
            <v>0</v>
          </cell>
          <cell r="AD25">
            <v>0</v>
          </cell>
        </row>
        <row r="26">
          <cell r="Z26">
            <v>0</v>
          </cell>
        </row>
        <row r="27">
          <cell r="S27">
            <v>0</v>
          </cell>
          <cell r="Z27">
            <v>0</v>
          </cell>
        </row>
        <row r="28">
          <cell r="S28">
            <v>0</v>
          </cell>
          <cell r="Z28">
            <v>0</v>
          </cell>
          <cell r="AD28">
            <v>0</v>
          </cell>
        </row>
        <row r="29">
          <cell r="S29">
            <v>0</v>
          </cell>
          <cell r="Z29">
            <v>0</v>
          </cell>
        </row>
        <row r="30">
          <cell r="S30">
            <v>0</v>
          </cell>
          <cell r="Z30">
            <v>0</v>
          </cell>
        </row>
        <row r="31">
          <cell r="S31">
            <v>1</v>
          </cell>
          <cell r="U31">
            <v>0</v>
          </cell>
          <cell r="Z31">
            <v>0</v>
          </cell>
          <cell r="AD31">
            <v>0</v>
          </cell>
        </row>
        <row r="32">
          <cell r="S32">
            <v>0</v>
          </cell>
          <cell r="Z32">
            <v>0</v>
          </cell>
        </row>
        <row r="33">
          <cell r="S33">
            <v>0</v>
          </cell>
          <cell r="Z33">
            <v>0</v>
          </cell>
          <cell r="AD33">
            <v>0</v>
          </cell>
        </row>
        <row r="34">
          <cell r="S34">
            <v>0</v>
          </cell>
          <cell r="Z34">
            <v>0</v>
          </cell>
          <cell r="AD34">
            <v>0</v>
          </cell>
        </row>
        <row r="35">
          <cell r="S35">
            <v>0</v>
          </cell>
          <cell r="U35">
            <v>0</v>
          </cell>
          <cell r="Z35">
            <v>0</v>
          </cell>
          <cell r="AD35">
            <v>0</v>
          </cell>
        </row>
        <row r="36">
          <cell r="S36">
            <v>0</v>
          </cell>
          <cell r="U36">
            <v>0</v>
          </cell>
          <cell r="Z36">
            <v>0</v>
          </cell>
        </row>
        <row r="37">
          <cell r="S37">
            <v>0</v>
          </cell>
          <cell r="U37">
            <v>0</v>
          </cell>
          <cell r="Z37">
            <v>0</v>
          </cell>
        </row>
        <row r="38">
          <cell r="S38">
            <v>0</v>
          </cell>
          <cell r="U38">
            <v>0</v>
          </cell>
          <cell r="Z38">
            <v>0</v>
          </cell>
        </row>
        <row r="39">
          <cell r="S39">
            <v>0</v>
          </cell>
          <cell r="U39">
            <v>0</v>
          </cell>
          <cell r="Z39">
            <v>0</v>
          </cell>
        </row>
        <row r="40">
          <cell r="S40">
            <v>0</v>
          </cell>
          <cell r="U40">
            <v>1</v>
          </cell>
          <cell r="Z40">
            <v>0</v>
          </cell>
          <cell r="AD40">
            <v>0</v>
          </cell>
        </row>
        <row r="41">
          <cell r="S41">
            <v>0</v>
          </cell>
          <cell r="U41">
            <v>0</v>
          </cell>
          <cell r="Z41">
            <v>0</v>
          </cell>
        </row>
        <row r="42">
          <cell r="U42">
            <v>0</v>
          </cell>
          <cell r="Z42">
            <v>0</v>
          </cell>
        </row>
        <row r="43">
          <cell r="U43">
            <v>0</v>
          </cell>
          <cell r="Z43">
            <v>0</v>
          </cell>
          <cell r="AD43">
            <v>0</v>
          </cell>
        </row>
        <row r="44">
          <cell r="U44">
            <v>0</v>
          </cell>
          <cell r="Z44">
            <v>0</v>
          </cell>
        </row>
        <row r="45">
          <cell r="U45">
            <v>0</v>
          </cell>
          <cell r="Z45">
            <v>0</v>
          </cell>
        </row>
        <row r="46">
          <cell r="S46">
            <v>0</v>
          </cell>
          <cell r="U46">
            <v>0</v>
          </cell>
          <cell r="Z46">
            <v>0</v>
          </cell>
        </row>
        <row r="47">
          <cell r="S47">
            <v>0</v>
          </cell>
          <cell r="U47">
            <v>0</v>
          </cell>
          <cell r="Z47">
            <v>0</v>
          </cell>
        </row>
        <row r="48">
          <cell r="S48">
            <v>0</v>
          </cell>
          <cell r="U48">
            <v>0</v>
          </cell>
          <cell r="Z48">
            <v>0</v>
          </cell>
          <cell r="AD48">
            <v>0</v>
          </cell>
        </row>
        <row r="49">
          <cell r="S49">
            <v>0</v>
          </cell>
          <cell r="U49">
            <v>0</v>
          </cell>
          <cell r="Z49">
            <v>0</v>
          </cell>
          <cell r="AD49">
            <v>0</v>
          </cell>
        </row>
        <row r="50">
          <cell r="S50">
            <v>0</v>
          </cell>
          <cell r="U50">
            <v>0</v>
          </cell>
          <cell r="Z50">
            <v>0</v>
          </cell>
          <cell r="AD50">
            <v>0</v>
          </cell>
        </row>
        <row r="51">
          <cell r="S51">
            <v>0</v>
          </cell>
          <cell r="U51">
            <v>0</v>
          </cell>
          <cell r="Z51">
            <v>0</v>
          </cell>
          <cell r="AD51">
            <v>0</v>
          </cell>
        </row>
        <row r="52">
          <cell r="S52">
            <v>0</v>
          </cell>
          <cell r="U52">
            <v>0</v>
          </cell>
          <cell r="Z52">
            <v>0</v>
          </cell>
          <cell r="AD52">
            <v>0</v>
          </cell>
        </row>
        <row r="53">
          <cell r="S53">
            <v>0</v>
          </cell>
          <cell r="Z53">
            <v>0</v>
          </cell>
          <cell r="AD53">
            <v>0</v>
          </cell>
        </row>
        <row r="54">
          <cell r="S54">
            <v>0</v>
          </cell>
          <cell r="U54">
            <v>0</v>
          </cell>
          <cell r="Z54">
            <v>0</v>
          </cell>
          <cell r="AD54">
            <v>0</v>
          </cell>
        </row>
        <row r="55">
          <cell r="S55">
            <v>0</v>
          </cell>
          <cell r="Z55">
            <v>0</v>
          </cell>
          <cell r="AD55">
            <v>0</v>
          </cell>
        </row>
      </sheetData>
      <sheetData sheetId="3">
        <row r="7">
          <cell r="Y7" t="str">
            <v>GON</v>
          </cell>
        </row>
        <row r="8">
          <cell r="Y8" t="str">
            <v>DUB</v>
          </cell>
        </row>
        <row r="16">
          <cell r="V16">
            <v>76</v>
          </cell>
          <cell r="W16">
            <v>151</v>
          </cell>
          <cell r="X16">
            <v>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4CDB-3AFC-4ECB-8B49-967A3F37CD6A}">
  <sheetPr codeName="Sheet4"/>
  <dimension ref="A1:P25"/>
  <sheetViews>
    <sheetView workbookViewId="0">
      <pane xSplit="16" ySplit="4" topLeftCell="Q5" activePane="bottomRight" state="frozen"/>
      <selection pane="topRight" activeCell="Q1" sqref="Q1"/>
      <selection pane="bottomLeft" activeCell="A5" sqref="A5"/>
      <selection pane="bottomRight" activeCell="C10" sqref="C10:P10"/>
    </sheetView>
  </sheetViews>
  <sheetFormatPr defaultColWidth="9" defaultRowHeight="14.4"/>
  <cols>
    <col min="2" max="2" width="9.88671875" bestFit="1" customWidth="1"/>
    <col min="17" max="17" width="0.88671875" customWidth="1"/>
  </cols>
  <sheetData>
    <row r="1" spans="1:16">
      <c r="A1" s="342" t="s">
        <v>135</v>
      </c>
      <c r="B1" s="342"/>
      <c r="C1" s="343" t="s">
        <v>184</v>
      </c>
      <c r="D1" s="343"/>
      <c r="E1" s="343"/>
      <c r="F1" s="344" t="s">
        <v>183</v>
      </c>
      <c r="G1" s="344"/>
      <c r="H1" s="211" t="str">
        <f>"V " &amp; INDEX(A5:A25,COUNTA(A5:A25))</f>
        <v>V 2.3</v>
      </c>
    </row>
    <row r="2" spans="1:16">
      <c r="A2" s="212"/>
    </row>
    <row r="3" spans="1:16">
      <c r="A3" s="152" t="s">
        <v>136</v>
      </c>
      <c r="B3" s="153"/>
      <c r="C3" s="153"/>
      <c r="D3" s="153"/>
      <c r="E3" s="153"/>
      <c r="F3" s="153"/>
      <c r="G3" s="153"/>
      <c r="H3" s="153"/>
      <c r="I3" s="153"/>
      <c r="J3" s="153"/>
      <c r="K3" s="153"/>
      <c r="L3" s="153"/>
      <c r="M3" s="153"/>
      <c r="N3" s="153"/>
      <c r="O3" s="153"/>
      <c r="P3" s="154"/>
    </row>
    <row r="4" spans="1:16">
      <c r="A4" s="158" t="s">
        <v>137</v>
      </c>
      <c r="B4" s="158" t="s">
        <v>138</v>
      </c>
      <c r="C4" s="345" t="s">
        <v>139</v>
      </c>
      <c r="D4" s="346"/>
      <c r="E4" s="346"/>
      <c r="F4" s="346"/>
      <c r="G4" s="346"/>
      <c r="H4" s="346"/>
      <c r="I4" s="346"/>
      <c r="J4" s="346"/>
      <c r="K4" s="346"/>
      <c r="L4" s="346"/>
      <c r="M4" s="346"/>
      <c r="N4" s="346"/>
      <c r="O4" s="346"/>
      <c r="P4" s="346"/>
    </row>
    <row r="5" spans="1:16" ht="30" customHeight="1">
      <c r="A5" s="151">
        <v>0</v>
      </c>
      <c r="B5" s="157">
        <v>45779</v>
      </c>
      <c r="C5" s="347" t="s">
        <v>311</v>
      </c>
      <c r="D5" s="348"/>
      <c r="E5" s="348"/>
      <c r="F5" s="348"/>
      <c r="G5" s="348"/>
      <c r="H5" s="348"/>
      <c r="I5" s="348"/>
      <c r="J5" s="348"/>
      <c r="K5" s="348"/>
      <c r="L5" s="348"/>
      <c r="M5" s="348"/>
      <c r="N5" s="348"/>
      <c r="O5" s="348"/>
      <c r="P5" s="348"/>
    </row>
    <row r="6" spans="1:16" ht="30" customHeight="1">
      <c r="A6" s="333" t="s">
        <v>312</v>
      </c>
      <c r="B6" s="334">
        <v>45803</v>
      </c>
      <c r="C6" s="341" t="s">
        <v>313</v>
      </c>
      <c r="D6" s="341"/>
      <c r="E6" s="341"/>
      <c r="F6" s="341"/>
      <c r="G6" s="341"/>
      <c r="H6" s="341"/>
      <c r="I6" s="341"/>
      <c r="J6" s="341"/>
      <c r="K6" s="341"/>
      <c r="L6" s="341"/>
      <c r="M6" s="341"/>
      <c r="N6" s="341"/>
      <c r="O6" s="341"/>
      <c r="P6" s="341"/>
    </row>
    <row r="7" spans="1:16" ht="30" customHeight="1">
      <c r="A7" s="151">
        <v>2.1</v>
      </c>
      <c r="B7" s="157">
        <v>45824</v>
      </c>
      <c r="C7" s="349" t="s">
        <v>338</v>
      </c>
      <c r="D7" s="348"/>
      <c r="E7" s="348"/>
      <c r="F7" s="348"/>
      <c r="G7" s="348"/>
      <c r="H7" s="348"/>
      <c r="I7" s="348"/>
      <c r="J7" s="348"/>
      <c r="K7" s="348"/>
      <c r="L7" s="348"/>
      <c r="M7" s="348"/>
      <c r="N7" s="348"/>
      <c r="O7" s="348"/>
      <c r="P7" s="348"/>
    </row>
    <row r="8" spans="1:16" ht="30" customHeight="1">
      <c r="A8" s="151">
        <v>2.2000000000000002</v>
      </c>
      <c r="B8" s="157">
        <v>45825</v>
      </c>
      <c r="C8" s="350" t="s">
        <v>339</v>
      </c>
      <c r="D8" s="348"/>
      <c r="E8" s="348"/>
      <c r="F8" s="348"/>
      <c r="G8" s="348"/>
      <c r="H8" s="348"/>
      <c r="I8" s="348"/>
      <c r="J8" s="348"/>
      <c r="K8" s="348"/>
      <c r="L8" s="348"/>
      <c r="M8" s="348"/>
      <c r="N8" s="348"/>
      <c r="O8" s="348"/>
      <c r="P8" s="348"/>
    </row>
    <row r="9" spans="1:16" ht="37.200000000000003" customHeight="1">
      <c r="A9" s="151">
        <v>2.2999999999999998</v>
      </c>
      <c r="B9" s="157">
        <v>45831</v>
      </c>
      <c r="C9" s="351" t="s">
        <v>342</v>
      </c>
      <c r="D9" s="348"/>
      <c r="E9" s="348"/>
      <c r="F9" s="348"/>
      <c r="G9" s="348"/>
      <c r="H9" s="348"/>
      <c r="I9" s="348"/>
      <c r="J9" s="348"/>
      <c r="K9" s="348"/>
      <c r="L9" s="348"/>
      <c r="M9" s="348"/>
      <c r="N9" s="348"/>
      <c r="O9" s="348"/>
      <c r="P9" s="348"/>
    </row>
    <row r="10" spans="1:16" ht="30" customHeight="1">
      <c r="A10" s="151"/>
      <c r="B10" s="157"/>
      <c r="C10" s="348"/>
      <c r="D10" s="348"/>
      <c r="E10" s="348"/>
      <c r="F10" s="348"/>
      <c r="G10" s="348"/>
      <c r="H10" s="348"/>
      <c r="I10" s="348"/>
      <c r="J10" s="348"/>
      <c r="K10" s="348"/>
      <c r="L10" s="348"/>
      <c r="M10" s="348"/>
      <c r="N10" s="348"/>
      <c r="O10" s="348"/>
      <c r="P10" s="348"/>
    </row>
    <row r="11" spans="1:16" ht="30" customHeight="1">
      <c r="A11" s="151"/>
      <c r="B11" s="157"/>
      <c r="C11" s="348"/>
      <c r="D11" s="348"/>
      <c r="E11" s="348"/>
      <c r="F11" s="348"/>
      <c r="G11" s="348"/>
      <c r="H11" s="348"/>
      <c r="I11" s="348"/>
      <c r="J11" s="348"/>
      <c r="K11" s="348"/>
      <c r="L11" s="348"/>
      <c r="M11" s="348"/>
      <c r="N11" s="348"/>
      <c r="O11" s="348"/>
      <c r="P11" s="348"/>
    </row>
    <row r="12" spans="1:16" ht="30" customHeight="1">
      <c r="A12" s="151"/>
      <c r="B12" s="157"/>
      <c r="C12" s="348"/>
      <c r="D12" s="348"/>
      <c r="E12" s="348"/>
      <c r="F12" s="348"/>
      <c r="G12" s="348"/>
      <c r="H12" s="348"/>
      <c r="I12" s="348"/>
      <c r="J12" s="348"/>
      <c r="K12" s="348"/>
      <c r="L12" s="348"/>
      <c r="M12" s="348"/>
      <c r="N12" s="348"/>
      <c r="O12" s="348"/>
      <c r="P12" s="348"/>
    </row>
    <row r="13" spans="1:16" ht="30" customHeight="1">
      <c r="A13" s="151"/>
      <c r="B13" s="157"/>
      <c r="C13" s="348"/>
      <c r="D13" s="348"/>
      <c r="E13" s="348"/>
      <c r="F13" s="348"/>
      <c r="G13" s="348"/>
      <c r="H13" s="348"/>
      <c r="I13" s="348"/>
      <c r="J13" s="348"/>
      <c r="K13" s="348"/>
      <c r="L13" s="348"/>
      <c r="M13" s="348"/>
      <c r="N13" s="348"/>
      <c r="O13" s="348"/>
      <c r="P13" s="348"/>
    </row>
    <row r="14" spans="1:16" ht="30" customHeight="1">
      <c r="A14" s="151"/>
      <c r="B14" s="157"/>
      <c r="C14" s="348"/>
      <c r="D14" s="348"/>
      <c r="E14" s="348"/>
      <c r="F14" s="348"/>
      <c r="G14" s="348"/>
      <c r="H14" s="348"/>
      <c r="I14" s="348"/>
      <c r="J14" s="348"/>
      <c r="K14" s="348"/>
      <c r="L14" s="348"/>
      <c r="M14" s="348"/>
      <c r="N14" s="348"/>
      <c r="O14" s="348"/>
      <c r="P14" s="348"/>
    </row>
    <row r="15" spans="1:16" ht="30" customHeight="1">
      <c r="A15" s="151"/>
      <c r="B15" s="157"/>
      <c r="C15" s="348"/>
      <c r="D15" s="348"/>
      <c r="E15" s="348"/>
      <c r="F15" s="348"/>
      <c r="G15" s="348"/>
      <c r="H15" s="348"/>
      <c r="I15" s="348"/>
      <c r="J15" s="348"/>
      <c r="K15" s="348"/>
      <c r="L15" s="348"/>
      <c r="M15" s="348"/>
      <c r="N15" s="348"/>
      <c r="O15" s="348"/>
      <c r="P15" s="348"/>
    </row>
    <row r="16" spans="1:16" ht="30" customHeight="1">
      <c r="A16" s="151"/>
      <c r="B16" s="157"/>
      <c r="C16" s="348"/>
      <c r="D16" s="348"/>
      <c r="E16" s="348"/>
      <c r="F16" s="348"/>
      <c r="G16" s="348"/>
      <c r="H16" s="348"/>
      <c r="I16" s="348"/>
      <c r="J16" s="348"/>
      <c r="K16" s="348"/>
      <c r="L16" s="348"/>
      <c r="M16" s="348"/>
      <c r="N16" s="348"/>
      <c r="O16" s="348"/>
      <c r="P16" s="348"/>
    </row>
    <row r="17" spans="1:16" ht="30" customHeight="1">
      <c r="A17" s="151"/>
      <c r="B17" s="157"/>
      <c r="C17" s="348"/>
      <c r="D17" s="348"/>
      <c r="E17" s="348"/>
      <c r="F17" s="348"/>
      <c r="G17" s="348"/>
      <c r="H17" s="348"/>
      <c r="I17" s="348"/>
      <c r="J17" s="348"/>
      <c r="K17" s="348"/>
      <c r="L17" s="348"/>
      <c r="M17" s="348"/>
      <c r="N17" s="348"/>
      <c r="O17" s="348"/>
      <c r="P17" s="348"/>
    </row>
    <row r="18" spans="1:16" ht="30" customHeight="1">
      <c r="A18" s="151"/>
      <c r="B18" s="157"/>
      <c r="C18" s="348"/>
      <c r="D18" s="348"/>
      <c r="E18" s="348"/>
      <c r="F18" s="348"/>
      <c r="G18" s="348"/>
      <c r="H18" s="348"/>
      <c r="I18" s="348"/>
      <c r="J18" s="348"/>
      <c r="K18" s="348"/>
      <c r="L18" s="348"/>
      <c r="M18" s="348"/>
      <c r="N18" s="348"/>
      <c r="O18" s="348"/>
      <c r="P18" s="348"/>
    </row>
    <row r="19" spans="1:16" ht="30" customHeight="1">
      <c r="A19" s="151"/>
      <c r="B19" s="157"/>
      <c r="C19" s="348"/>
      <c r="D19" s="348"/>
      <c r="E19" s="348"/>
      <c r="F19" s="348"/>
      <c r="G19" s="348"/>
      <c r="H19" s="348"/>
      <c r="I19" s="348"/>
      <c r="J19" s="348"/>
      <c r="K19" s="348"/>
      <c r="L19" s="348"/>
      <c r="M19" s="348"/>
      <c r="N19" s="348"/>
      <c r="O19" s="348"/>
      <c r="P19" s="348"/>
    </row>
    <row r="20" spans="1:16" ht="30" customHeight="1">
      <c r="A20" s="151"/>
      <c r="B20" s="157"/>
      <c r="C20" s="348"/>
      <c r="D20" s="348"/>
      <c r="E20" s="348"/>
      <c r="F20" s="348"/>
      <c r="G20" s="348"/>
      <c r="H20" s="348"/>
      <c r="I20" s="348"/>
      <c r="J20" s="348"/>
      <c r="K20" s="348"/>
      <c r="L20" s="348"/>
      <c r="M20" s="348"/>
      <c r="N20" s="348"/>
      <c r="O20" s="348"/>
      <c r="P20" s="348"/>
    </row>
    <row r="21" spans="1:16" ht="30" customHeight="1">
      <c r="A21" s="151"/>
      <c r="B21" s="157"/>
      <c r="C21" s="348"/>
      <c r="D21" s="348"/>
      <c r="E21" s="348"/>
      <c r="F21" s="348"/>
      <c r="G21" s="348"/>
      <c r="H21" s="348"/>
      <c r="I21" s="348"/>
      <c r="J21" s="348"/>
      <c r="K21" s="348"/>
      <c r="L21" s="348"/>
      <c r="M21" s="348"/>
      <c r="N21" s="348"/>
      <c r="O21" s="348"/>
      <c r="P21" s="348"/>
    </row>
    <row r="22" spans="1:16" ht="30" customHeight="1">
      <c r="A22" s="151"/>
      <c r="B22" s="157"/>
      <c r="C22" s="348"/>
      <c r="D22" s="348"/>
      <c r="E22" s="348"/>
      <c r="F22" s="348"/>
      <c r="G22" s="348"/>
      <c r="H22" s="348"/>
      <c r="I22" s="348"/>
      <c r="J22" s="348"/>
      <c r="K22" s="348"/>
      <c r="L22" s="348"/>
      <c r="M22" s="348"/>
      <c r="N22" s="348"/>
      <c r="O22" s="348"/>
      <c r="P22" s="348"/>
    </row>
    <row r="23" spans="1:16" ht="30" customHeight="1">
      <c r="A23" s="151"/>
      <c r="B23" s="157"/>
      <c r="C23" s="348"/>
      <c r="D23" s="348"/>
      <c r="E23" s="348"/>
      <c r="F23" s="348"/>
      <c r="G23" s="348"/>
      <c r="H23" s="348"/>
      <c r="I23" s="348"/>
      <c r="J23" s="348"/>
      <c r="K23" s="348"/>
      <c r="L23" s="348"/>
      <c r="M23" s="348"/>
      <c r="N23" s="348"/>
      <c r="O23" s="348"/>
      <c r="P23" s="348"/>
    </row>
    <row r="24" spans="1:16" ht="30" customHeight="1">
      <c r="A24" s="151"/>
      <c r="B24" s="157"/>
      <c r="C24" s="348"/>
      <c r="D24" s="348"/>
      <c r="E24" s="348"/>
      <c r="F24" s="348"/>
      <c r="G24" s="348"/>
      <c r="H24" s="348"/>
      <c r="I24" s="348"/>
      <c r="J24" s="348"/>
      <c r="K24" s="348"/>
      <c r="L24" s="348"/>
      <c r="M24" s="348"/>
      <c r="N24" s="348"/>
      <c r="O24" s="348"/>
      <c r="P24" s="348"/>
    </row>
    <row r="25" spans="1:16" ht="30" customHeight="1">
      <c r="A25" s="151"/>
      <c r="B25" s="157"/>
      <c r="C25" s="348"/>
      <c r="D25" s="348"/>
      <c r="E25" s="348"/>
      <c r="F25" s="348"/>
      <c r="G25" s="348"/>
      <c r="H25" s="348"/>
      <c r="I25" s="348"/>
      <c r="J25" s="348"/>
      <c r="K25" s="348"/>
      <c r="L25" s="348"/>
      <c r="M25" s="348"/>
      <c r="N25" s="348"/>
      <c r="O25" s="348"/>
      <c r="P25" s="348"/>
    </row>
  </sheetData>
  <sheetProtection algorithmName="SHA-512" hashValue="gb7YT9yb33559sun9LfoeK0LEzEvk5SQlPqAsoWR5umU4gWxlM/JZr1h5+B+pkyubmPIN4+WRm//Yrsob/X4ZA==" saltValue="NQXayCwda7cu3pLpiABmpw==" spinCount="100000" sheet="1" objects="1" scenarios="1"/>
  <mergeCells count="25">
    <mergeCell ref="C12:P12"/>
    <mergeCell ref="C13:P13"/>
    <mergeCell ref="C21:P21"/>
    <mergeCell ref="C22:P22"/>
    <mergeCell ref="C23:P23"/>
    <mergeCell ref="C14:P14"/>
    <mergeCell ref="C24:P24"/>
    <mergeCell ref="C25:P25"/>
    <mergeCell ref="C15:P15"/>
    <mergeCell ref="C16:P16"/>
    <mergeCell ref="C17:P17"/>
    <mergeCell ref="C18:P18"/>
    <mergeCell ref="C19:P19"/>
    <mergeCell ref="C20:P20"/>
    <mergeCell ref="C7:P7"/>
    <mergeCell ref="C8:P8"/>
    <mergeCell ref="C9:P9"/>
    <mergeCell ref="C10:P10"/>
    <mergeCell ref="C11:P11"/>
    <mergeCell ref="C6:P6"/>
    <mergeCell ref="A1:B1"/>
    <mergeCell ref="C1:E1"/>
    <mergeCell ref="F1:G1"/>
    <mergeCell ref="C4:P4"/>
    <mergeCell ref="C5:P5"/>
  </mergeCells>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50"/>
  <sheetViews>
    <sheetView workbookViewId="0">
      <pane xSplit="16" ySplit="4" topLeftCell="Q5" activePane="bottomRight" state="frozen"/>
      <selection pane="topRight" activeCell="Q1" sqref="Q1"/>
      <selection pane="bottomLeft" activeCell="A5" sqref="A5"/>
      <selection pane="bottomRight" activeCell="B11" sqref="B11"/>
    </sheetView>
  </sheetViews>
  <sheetFormatPr defaultColWidth="9" defaultRowHeight="14.4"/>
  <cols>
    <col min="2" max="2" width="9.88671875" bestFit="1" customWidth="1"/>
    <col min="17" max="17" width="0.88671875" customWidth="1"/>
  </cols>
  <sheetData>
    <row r="1" spans="1:16">
      <c r="A1" s="342" t="s">
        <v>135</v>
      </c>
      <c r="B1" s="342"/>
      <c r="C1" s="352" t="str">
        <f>VersionControl!C1</f>
        <v>Mfg Scheduling Template</v>
      </c>
      <c r="D1" s="353"/>
      <c r="E1" s="353"/>
      <c r="F1" s="344" t="s">
        <v>183</v>
      </c>
      <c r="G1" s="344"/>
      <c r="H1" s="211" t="str">
        <f>VersionControl!H1</f>
        <v>V 2.3</v>
      </c>
    </row>
    <row r="3" spans="1:16">
      <c r="A3" s="155" t="s">
        <v>140</v>
      </c>
      <c r="B3" s="156"/>
      <c r="C3" s="156"/>
      <c r="D3" s="156"/>
      <c r="E3" s="156"/>
      <c r="F3" s="156"/>
      <c r="G3" s="156"/>
      <c r="H3" s="156"/>
      <c r="I3" s="156"/>
      <c r="J3" s="156"/>
      <c r="K3" s="156"/>
      <c r="L3" s="156"/>
      <c r="M3" s="156"/>
      <c r="N3" s="156"/>
      <c r="O3" s="156"/>
      <c r="P3" s="156"/>
    </row>
    <row r="4" spans="1:16">
      <c r="A4" s="158" t="s">
        <v>114</v>
      </c>
      <c r="B4" s="158" t="s">
        <v>153</v>
      </c>
      <c r="C4" s="345" t="s">
        <v>0</v>
      </c>
      <c r="D4" s="346"/>
      <c r="E4" s="346"/>
      <c r="F4" s="346"/>
      <c r="G4" s="346"/>
      <c r="H4" s="346"/>
      <c r="I4" s="346"/>
      <c r="J4" s="346"/>
      <c r="K4" s="346"/>
      <c r="L4" s="346"/>
      <c r="M4" s="346"/>
      <c r="N4" s="346"/>
      <c r="O4" s="346"/>
      <c r="P4" s="346"/>
    </row>
    <row r="5" spans="1:16" ht="36" customHeight="1">
      <c r="A5" s="168">
        <v>1</v>
      </c>
      <c r="B5" s="335" t="s">
        <v>305</v>
      </c>
      <c r="C5" s="354" t="s">
        <v>314</v>
      </c>
      <c r="D5" s="355"/>
      <c r="E5" s="355"/>
      <c r="F5" s="355"/>
      <c r="G5" s="355"/>
      <c r="H5" s="355"/>
      <c r="I5" s="355"/>
      <c r="J5" s="355"/>
      <c r="K5" s="355"/>
      <c r="L5" s="355"/>
      <c r="M5" s="355"/>
      <c r="N5" s="355"/>
      <c r="O5" s="355"/>
      <c r="P5" s="356"/>
    </row>
    <row r="6" spans="1:16" ht="36" customHeight="1">
      <c r="A6" s="168">
        <v>2</v>
      </c>
      <c r="B6" s="335" t="s">
        <v>305</v>
      </c>
      <c r="C6" s="354" t="s">
        <v>315</v>
      </c>
      <c r="D6" s="355"/>
      <c r="E6" s="355"/>
      <c r="F6" s="355"/>
      <c r="G6" s="355"/>
      <c r="H6" s="355"/>
      <c r="I6" s="355"/>
      <c r="J6" s="355"/>
      <c r="K6" s="355"/>
      <c r="L6" s="355"/>
      <c r="M6" s="355"/>
      <c r="N6" s="355"/>
      <c r="O6" s="355"/>
      <c r="P6" s="356"/>
    </row>
    <row r="7" spans="1:16" ht="36" customHeight="1">
      <c r="A7" s="168">
        <v>3</v>
      </c>
      <c r="B7" s="335" t="s">
        <v>305</v>
      </c>
      <c r="C7" s="354" t="s">
        <v>316</v>
      </c>
      <c r="D7" s="355"/>
      <c r="E7" s="355"/>
      <c r="F7" s="355"/>
      <c r="G7" s="355"/>
      <c r="H7" s="355"/>
      <c r="I7" s="355"/>
      <c r="J7" s="355"/>
      <c r="K7" s="355"/>
      <c r="L7" s="355"/>
      <c r="M7" s="355"/>
      <c r="N7" s="355"/>
      <c r="O7" s="355"/>
      <c r="P7" s="356"/>
    </row>
    <row r="8" spans="1:16" ht="36" customHeight="1">
      <c r="A8" s="168">
        <v>4</v>
      </c>
      <c r="B8" s="335" t="s">
        <v>305</v>
      </c>
      <c r="C8" s="354" t="s">
        <v>317</v>
      </c>
      <c r="D8" s="355"/>
      <c r="E8" s="355"/>
      <c r="F8" s="355"/>
      <c r="G8" s="355"/>
      <c r="H8" s="355"/>
      <c r="I8" s="355"/>
      <c r="J8" s="355"/>
      <c r="K8" s="355"/>
      <c r="L8" s="355"/>
      <c r="M8" s="355"/>
      <c r="N8" s="355"/>
      <c r="O8" s="355"/>
      <c r="P8" s="356"/>
    </row>
    <row r="9" spans="1:16" ht="36" customHeight="1">
      <c r="A9" s="168">
        <v>5</v>
      </c>
      <c r="B9" s="335" t="s">
        <v>305</v>
      </c>
      <c r="C9" s="354" t="s">
        <v>318</v>
      </c>
      <c r="D9" s="355"/>
      <c r="E9" s="355"/>
      <c r="F9" s="355"/>
      <c r="G9" s="355"/>
      <c r="H9" s="355"/>
      <c r="I9" s="355"/>
      <c r="J9" s="355"/>
      <c r="K9" s="355"/>
      <c r="L9" s="355"/>
      <c r="M9" s="355"/>
      <c r="N9" s="355"/>
      <c r="O9" s="355"/>
      <c r="P9" s="356"/>
    </row>
    <row r="10" spans="1:16" ht="36" customHeight="1">
      <c r="A10" s="168">
        <v>6</v>
      </c>
      <c r="B10" s="335" t="s">
        <v>305</v>
      </c>
      <c r="C10" s="357" t="s">
        <v>319</v>
      </c>
      <c r="D10" s="355"/>
      <c r="E10" s="355"/>
      <c r="F10" s="355"/>
      <c r="G10" s="355"/>
      <c r="H10" s="355"/>
      <c r="I10" s="355"/>
      <c r="J10" s="355"/>
      <c r="K10" s="355"/>
      <c r="L10" s="355"/>
      <c r="M10" s="355"/>
      <c r="N10" s="355"/>
      <c r="O10" s="355"/>
      <c r="P10" s="356"/>
    </row>
    <row r="11" spans="1:16" ht="36" customHeight="1">
      <c r="A11" s="168">
        <v>7</v>
      </c>
      <c r="B11" s="335" t="s">
        <v>305</v>
      </c>
      <c r="C11" s="354" t="s">
        <v>320</v>
      </c>
      <c r="D11" s="355"/>
      <c r="E11" s="355"/>
      <c r="F11" s="355"/>
      <c r="G11" s="355"/>
      <c r="H11" s="355"/>
      <c r="I11" s="355"/>
      <c r="J11" s="355"/>
      <c r="K11" s="355"/>
      <c r="L11" s="355"/>
      <c r="M11" s="355"/>
      <c r="N11" s="355"/>
      <c r="O11" s="355"/>
      <c r="P11" s="356"/>
    </row>
    <row r="12" spans="1:16" ht="36" customHeight="1">
      <c r="A12" s="168">
        <v>8</v>
      </c>
      <c r="B12" s="335" t="s">
        <v>305</v>
      </c>
      <c r="C12" s="354" t="s">
        <v>321</v>
      </c>
      <c r="D12" s="355"/>
      <c r="E12" s="355"/>
      <c r="F12" s="355"/>
      <c r="G12" s="355"/>
      <c r="H12" s="355"/>
      <c r="I12" s="355"/>
      <c r="J12" s="355"/>
      <c r="K12" s="355"/>
      <c r="L12" s="355"/>
      <c r="M12" s="355"/>
      <c r="N12" s="355"/>
      <c r="O12" s="355"/>
      <c r="P12" s="356"/>
    </row>
    <row r="13" spans="1:16" ht="36" customHeight="1">
      <c r="A13" s="168">
        <v>9</v>
      </c>
      <c r="B13" s="335" t="s">
        <v>305</v>
      </c>
      <c r="C13" s="358" t="s">
        <v>322</v>
      </c>
      <c r="D13" s="359"/>
      <c r="E13" s="359"/>
      <c r="F13" s="359"/>
      <c r="G13" s="359"/>
      <c r="H13" s="359"/>
      <c r="I13" s="359"/>
      <c r="J13" s="359"/>
      <c r="K13" s="359"/>
      <c r="L13" s="359"/>
      <c r="M13" s="359"/>
      <c r="N13" s="359"/>
      <c r="O13" s="359"/>
      <c r="P13" s="360"/>
    </row>
    <row r="14" spans="1:16" ht="36" customHeight="1">
      <c r="A14" s="168">
        <v>10</v>
      </c>
      <c r="B14" s="335" t="s">
        <v>305</v>
      </c>
      <c r="C14" s="354" t="s">
        <v>323</v>
      </c>
      <c r="D14" s="355"/>
      <c r="E14" s="355"/>
      <c r="F14" s="355"/>
      <c r="G14" s="355"/>
      <c r="H14" s="355"/>
      <c r="I14" s="355"/>
      <c r="J14" s="355"/>
      <c r="K14" s="355"/>
      <c r="L14" s="355"/>
      <c r="M14" s="355"/>
      <c r="N14" s="355"/>
      <c r="O14" s="355"/>
      <c r="P14" s="356"/>
    </row>
    <row r="15" spans="1:16" ht="36" customHeight="1">
      <c r="A15" s="168">
        <v>11</v>
      </c>
      <c r="B15" s="335"/>
      <c r="C15" s="354"/>
      <c r="D15" s="355"/>
      <c r="E15" s="355"/>
      <c r="F15" s="355"/>
      <c r="G15" s="355"/>
      <c r="H15" s="355"/>
      <c r="I15" s="355"/>
      <c r="J15" s="355"/>
      <c r="K15" s="355"/>
      <c r="L15" s="355"/>
      <c r="M15" s="355"/>
      <c r="N15" s="355"/>
      <c r="O15" s="355"/>
      <c r="P15" s="356"/>
    </row>
    <row r="16" spans="1:16" ht="36" customHeight="1">
      <c r="A16" s="168">
        <v>12</v>
      </c>
      <c r="B16" s="169"/>
      <c r="C16" s="354"/>
      <c r="D16" s="355"/>
      <c r="E16" s="355"/>
      <c r="F16" s="355"/>
      <c r="G16" s="355"/>
      <c r="H16" s="355"/>
      <c r="I16" s="355"/>
      <c r="J16" s="355"/>
      <c r="K16" s="355"/>
      <c r="L16" s="355"/>
      <c r="M16" s="355"/>
      <c r="N16" s="355"/>
      <c r="O16" s="355"/>
      <c r="P16" s="356"/>
    </row>
    <row r="17" spans="1:16" ht="36" customHeight="1">
      <c r="A17" s="168">
        <v>13</v>
      </c>
      <c r="B17" s="169"/>
      <c r="C17" s="354"/>
      <c r="D17" s="355"/>
      <c r="E17" s="355"/>
      <c r="F17" s="355"/>
      <c r="G17" s="355"/>
      <c r="H17" s="355"/>
      <c r="I17" s="355"/>
      <c r="J17" s="355"/>
      <c r="K17" s="355"/>
      <c r="L17" s="355"/>
      <c r="M17" s="355"/>
      <c r="N17" s="355"/>
      <c r="O17" s="355"/>
      <c r="P17" s="356"/>
    </row>
    <row r="18" spans="1:16" ht="36" customHeight="1">
      <c r="A18" s="168">
        <v>14</v>
      </c>
      <c r="B18" s="169"/>
      <c r="C18" s="354"/>
      <c r="D18" s="355"/>
      <c r="E18" s="355"/>
      <c r="F18" s="355"/>
      <c r="G18" s="355"/>
      <c r="H18" s="355"/>
      <c r="I18" s="355"/>
      <c r="J18" s="355"/>
      <c r="K18" s="355"/>
      <c r="L18" s="355"/>
      <c r="M18" s="355"/>
      <c r="N18" s="355"/>
      <c r="O18" s="355"/>
      <c r="P18" s="356"/>
    </row>
    <row r="19" spans="1:16" ht="36" customHeight="1">
      <c r="A19" s="168">
        <v>15</v>
      </c>
      <c r="B19" s="169"/>
      <c r="C19" s="354"/>
      <c r="D19" s="355"/>
      <c r="E19" s="355"/>
      <c r="F19" s="355"/>
      <c r="G19" s="355"/>
      <c r="H19" s="355"/>
      <c r="I19" s="355"/>
      <c r="J19" s="355"/>
      <c r="K19" s="355"/>
      <c r="L19" s="355"/>
      <c r="M19" s="355"/>
      <c r="N19" s="355"/>
      <c r="O19" s="355"/>
      <c r="P19" s="356"/>
    </row>
    <row r="20" spans="1:16" ht="36" customHeight="1">
      <c r="A20" s="168">
        <v>16</v>
      </c>
      <c r="B20" s="169"/>
      <c r="C20" s="354"/>
      <c r="D20" s="355"/>
      <c r="E20" s="355"/>
      <c r="F20" s="355"/>
      <c r="G20" s="355"/>
      <c r="H20" s="355"/>
      <c r="I20" s="355"/>
      <c r="J20" s="355"/>
      <c r="K20" s="355"/>
      <c r="L20" s="355"/>
      <c r="M20" s="355"/>
      <c r="N20" s="355"/>
      <c r="O20" s="355"/>
      <c r="P20" s="356"/>
    </row>
    <row r="21" spans="1:16" ht="36" customHeight="1">
      <c r="A21" s="168">
        <v>17</v>
      </c>
      <c r="B21" s="169"/>
      <c r="C21" s="354"/>
      <c r="D21" s="355"/>
      <c r="E21" s="355"/>
      <c r="F21" s="355"/>
      <c r="G21" s="355"/>
      <c r="H21" s="355"/>
      <c r="I21" s="355"/>
      <c r="J21" s="355"/>
      <c r="K21" s="355"/>
      <c r="L21" s="355"/>
      <c r="M21" s="355"/>
      <c r="N21" s="355"/>
      <c r="O21" s="355"/>
      <c r="P21" s="356"/>
    </row>
    <row r="22" spans="1:16" ht="36" customHeight="1">
      <c r="A22" s="168">
        <v>18</v>
      </c>
      <c r="B22" s="169"/>
      <c r="C22" s="354"/>
      <c r="D22" s="355"/>
      <c r="E22" s="355"/>
      <c r="F22" s="355"/>
      <c r="G22" s="355"/>
      <c r="H22" s="355"/>
      <c r="I22" s="355"/>
      <c r="J22" s="355"/>
      <c r="K22" s="355"/>
      <c r="L22" s="355"/>
      <c r="M22" s="355"/>
      <c r="N22" s="355"/>
      <c r="O22" s="355"/>
      <c r="P22" s="356"/>
    </row>
    <row r="23" spans="1:16" ht="36" customHeight="1">
      <c r="A23" s="168">
        <v>19</v>
      </c>
      <c r="B23" s="169"/>
      <c r="C23" s="354"/>
      <c r="D23" s="355"/>
      <c r="E23" s="355"/>
      <c r="F23" s="355"/>
      <c r="G23" s="355"/>
      <c r="H23" s="355"/>
      <c r="I23" s="355"/>
      <c r="J23" s="355"/>
      <c r="K23" s="355"/>
      <c r="L23" s="355"/>
      <c r="M23" s="355"/>
      <c r="N23" s="355"/>
      <c r="O23" s="355"/>
      <c r="P23" s="356"/>
    </row>
    <row r="24" spans="1:16" ht="36" customHeight="1">
      <c r="A24" s="168">
        <v>20</v>
      </c>
      <c r="B24" s="169"/>
      <c r="C24" s="354"/>
      <c r="D24" s="355"/>
      <c r="E24" s="355"/>
      <c r="F24" s="355"/>
      <c r="G24" s="355"/>
      <c r="H24" s="355"/>
      <c r="I24" s="355"/>
      <c r="J24" s="355"/>
      <c r="K24" s="355"/>
      <c r="L24" s="355"/>
      <c r="M24" s="355"/>
      <c r="N24" s="355"/>
      <c r="O24" s="355"/>
      <c r="P24" s="356"/>
    </row>
    <row r="25" spans="1:16" ht="36" customHeight="1">
      <c r="A25" s="168">
        <v>21</v>
      </c>
      <c r="B25" s="167"/>
      <c r="C25" s="354"/>
      <c r="D25" s="355"/>
      <c r="E25" s="355"/>
      <c r="F25" s="355"/>
      <c r="G25" s="355"/>
      <c r="H25" s="355"/>
      <c r="I25" s="355"/>
      <c r="J25" s="355"/>
      <c r="K25" s="355"/>
      <c r="L25" s="355"/>
      <c r="M25" s="355"/>
      <c r="N25" s="355"/>
      <c r="O25" s="355"/>
      <c r="P25" s="356"/>
    </row>
    <row r="26" spans="1:16" ht="36" customHeight="1">
      <c r="A26" s="168">
        <v>22</v>
      </c>
      <c r="B26" s="167"/>
      <c r="C26" s="354"/>
      <c r="D26" s="355"/>
      <c r="E26" s="355"/>
      <c r="F26" s="355"/>
      <c r="G26" s="355"/>
      <c r="H26" s="355"/>
      <c r="I26" s="355"/>
      <c r="J26" s="355"/>
      <c r="K26" s="355"/>
      <c r="L26" s="355"/>
      <c r="M26" s="355"/>
      <c r="N26" s="355"/>
      <c r="O26" s="355"/>
      <c r="P26" s="356"/>
    </row>
    <row r="27" spans="1:16" ht="36" customHeight="1">
      <c r="A27" s="168">
        <v>23</v>
      </c>
      <c r="B27" s="167"/>
      <c r="C27" s="354"/>
      <c r="D27" s="355"/>
      <c r="E27" s="355"/>
      <c r="F27" s="355"/>
      <c r="G27" s="355"/>
      <c r="H27" s="355"/>
      <c r="I27" s="355"/>
      <c r="J27" s="355"/>
      <c r="K27" s="355"/>
      <c r="L27" s="355"/>
      <c r="M27" s="355"/>
      <c r="N27" s="355"/>
      <c r="O27" s="355"/>
      <c r="P27" s="356"/>
    </row>
    <row r="28" spans="1:16" ht="36" customHeight="1">
      <c r="A28" s="168">
        <v>24</v>
      </c>
      <c r="B28" s="167"/>
      <c r="C28" s="354"/>
      <c r="D28" s="355"/>
      <c r="E28" s="355"/>
      <c r="F28" s="355"/>
      <c r="G28" s="355"/>
      <c r="H28" s="355"/>
      <c r="I28" s="355"/>
      <c r="J28" s="355"/>
      <c r="K28" s="355"/>
      <c r="L28" s="355"/>
      <c r="M28" s="355"/>
      <c r="N28" s="355"/>
      <c r="O28" s="355"/>
      <c r="P28" s="356"/>
    </row>
    <row r="29" spans="1:16" ht="36" customHeight="1">
      <c r="A29" s="168">
        <v>25</v>
      </c>
      <c r="B29" s="167"/>
      <c r="C29" s="354"/>
      <c r="D29" s="355"/>
      <c r="E29" s="355"/>
      <c r="F29" s="355"/>
      <c r="G29" s="355"/>
      <c r="H29" s="355"/>
      <c r="I29" s="355"/>
      <c r="J29" s="355"/>
      <c r="K29" s="355"/>
      <c r="L29" s="355"/>
      <c r="M29" s="355"/>
      <c r="N29" s="355"/>
      <c r="O29" s="355"/>
      <c r="P29" s="356"/>
    </row>
    <row r="30" spans="1:16" ht="36" customHeight="1">
      <c r="A30" s="168">
        <v>26</v>
      </c>
      <c r="B30" s="167"/>
      <c r="C30" s="354"/>
      <c r="D30" s="355"/>
      <c r="E30" s="355"/>
      <c r="F30" s="355"/>
      <c r="G30" s="355"/>
      <c r="H30" s="355"/>
      <c r="I30" s="355"/>
      <c r="J30" s="355"/>
      <c r="K30" s="355"/>
      <c r="L30" s="355"/>
      <c r="M30" s="355"/>
      <c r="N30" s="355"/>
      <c r="O30" s="355"/>
      <c r="P30" s="356"/>
    </row>
    <row r="31" spans="1:16" ht="36" customHeight="1">
      <c r="A31" s="168">
        <v>27</v>
      </c>
      <c r="B31" s="167"/>
      <c r="C31" s="354"/>
      <c r="D31" s="355"/>
      <c r="E31" s="355"/>
      <c r="F31" s="355"/>
      <c r="G31" s="355"/>
      <c r="H31" s="355"/>
      <c r="I31" s="355"/>
      <c r="J31" s="355"/>
      <c r="K31" s="355"/>
      <c r="L31" s="355"/>
      <c r="M31" s="355"/>
      <c r="N31" s="355"/>
      <c r="O31" s="355"/>
      <c r="P31" s="356"/>
    </row>
    <row r="32" spans="1:16" ht="36" customHeight="1">
      <c r="A32" s="168">
        <v>28</v>
      </c>
      <c r="B32" s="167"/>
      <c r="C32" s="354"/>
      <c r="D32" s="355"/>
      <c r="E32" s="355"/>
      <c r="F32" s="355"/>
      <c r="G32" s="355"/>
      <c r="H32" s="355"/>
      <c r="I32" s="355"/>
      <c r="J32" s="355"/>
      <c r="K32" s="355"/>
      <c r="L32" s="355"/>
      <c r="M32" s="355"/>
      <c r="N32" s="355"/>
      <c r="O32" s="355"/>
      <c r="P32" s="356"/>
    </row>
    <row r="33" spans="1:16" ht="36" customHeight="1">
      <c r="A33" s="168">
        <v>29</v>
      </c>
      <c r="B33" s="167"/>
      <c r="C33" s="354"/>
      <c r="D33" s="355"/>
      <c r="E33" s="355"/>
      <c r="F33" s="355"/>
      <c r="G33" s="355"/>
      <c r="H33" s="355"/>
      <c r="I33" s="355"/>
      <c r="J33" s="355"/>
      <c r="K33" s="355"/>
      <c r="L33" s="355"/>
      <c r="M33" s="355"/>
      <c r="N33" s="355"/>
      <c r="O33" s="355"/>
      <c r="P33" s="356"/>
    </row>
    <row r="34" spans="1:16" ht="36" customHeight="1">
      <c r="A34" s="168">
        <v>30</v>
      </c>
      <c r="B34" s="167"/>
      <c r="C34" s="354"/>
      <c r="D34" s="355"/>
      <c r="E34" s="355"/>
      <c r="F34" s="355"/>
      <c r="G34" s="355"/>
      <c r="H34" s="355"/>
      <c r="I34" s="355"/>
      <c r="J34" s="355"/>
      <c r="K34" s="355"/>
      <c r="L34" s="355"/>
      <c r="M34" s="355"/>
      <c r="N34" s="355"/>
      <c r="O34" s="355"/>
      <c r="P34" s="356"/>
    </row>
    <row r="35" spans="1:16" ht="36" customHeight="1">
      <c r="A35" s="168">
        <v>31</v>
      </c>
      <c r="B35" s="167"/>
      <c r="C35" s="354"/>
      <c r="D35" s="355"/>
      <c r="E35" s="355"/>
      <c r="F35" s="355"/>
      <c r="G35" s="355"/>
      <c r="H35" s="355"/>
      <c r="I35" s="355"/>
      <c r="J35" s="355"/>
      <c r="K35" s="355"/>
      <c r="L35" s="355"/>
      <c r="M35" s="355"/>
      <c r="N35" s="355"/>
      <c r="O35" s="355"/>
      <c r="P35" s="356"/>
    </row>
    <row r="36" spans="1:16" ht="36" customHeight="1">
      <c r="A36" s="168">
        <v>32</v>
      </c>
      <c r="B36" s="167"/>
      <c r="C36" s="354"/>
      <c r="D36" s="355"/>
      <c r="E36" s="355"/>
      <c r="F36" s="355"/>
      <c r="G36" s="355"/>
      <c r="H36" s="355"/>
      <c r="I36" s="355"/>
      <c r="J36" s="355"/>
      <c r="K36" s="355"/>
      <c r="L36" s="355"/>
      <c r="M36" s="355"/>
      <c r="N36" s="355"/>
      <c r="O36" s="355"/>
      <c r="P36" s="356"/>
    </row>
    <row r="37" spans="1:16" ht="36" customHeight="1">
      <c r="A37" s="168">
        <v>33</v>
      </c>
      <c r="B37" s="167"/>
      <c r="C37" s="354"/>
      <c r="D37" s="355"/>
      <c r="E37" s="355"/>
      <c r="F37" s="355"/>
      <c r="G37" s="355"/>
      <c r="H37" s="355"/>
      <c r="I37" s="355"/>
      <c r="J37" s="355"/>
      <c r="K37" s="355"/>
      <c r="L37" s="355"/>
      <c r="M37" s="355"/>
      <c r="N37" s="355"/>
      <c r="O37" s="355"/>
      <c r="P37" s="356"/>
    </row>
    <row r="38" spans="1:16" ht="36" customHeight="1">
      <c r="A38" s="168">
        <v>34</v>
      </c>
      <c r="B38" s="167"/>
      <c r="C38" s="354"/>
      <c r="D38" s="355"/>
      <c r="E38" s="355"/>
      <c r="F38" s="355"/>
      <c r="G38" s="355"/>
      <c r="H38" s="355"/>
      <c r="I38" s="355"/>
      <c r="J38" s="355"/>
      <c r="K38" s="355"/>
      <c r="L38" s="355"/>
      <c r="M38" s="355"/>
      <c r="N38" s="355"/>
      <c r="O38" s="355"/>
      <c r="P38" s="356"/>
    </row>
    <row r="39" spans="1:16" ht="36" customHeight="1">
      <c r="A39" s="168">
        <v>35</v>
      </c>
      <c r="B39" s="167"/>
      <c r="C39" s="354"/>
      <c r="D39" s="355"/>
      <c r="E39" s="355"/>
      <c r="F39" s="355"/>
      <c r="G39" s="355"/>
      <c r="H39" s="355"/>
      <c r="I39" s="355"/>
      <c r="J39" s="355"/>
      <c r="K39" s="355"/>
      <c r="L39" s="355"/>
      <c r="M39" s="355"/>
      <c r="N39" s="355"/>
      <c r="O39" s="355"/>
      <c r="P39" s="356"/>
    </row>
    <row r="40" spans="1:16" ht="36" customHeight="1">
      <c r="A40" s="168">
        <v>36</v>
      </c>
      <c r="B40" s="167"/>
      <c r="C40" s="354"/>
      <c r="D40" s="355"/>
      <c r="E40" s="355"/>
      <c r="F40" s="355"/>
      <c r="G40" s="355"/>
      <c r="H40" s="355"/>
      <c r="I40" s="355"/>
      <c r="J40" s="355"/>
      <c r="K40" s="355"/>
      <c r="L40" s="355"/>
      <c r="M40" s="355"/>
      <c r="N40" s="355"/>
      <c r="O40" s="355"/>
      <c r="P40" s="356"/>
    </row>
    <row r="41" spans="1:16" ht="36" customHeight="1">
      <c r="A41" s="168">
        <v>37</v>
      </c>
      <c r="B41" s="167"/>
      <c r="C41" s="354"/>
      <c r="D41" s="355"/>
      <c r="E41" s="355"/>
      <c r="F41" s="355"/>
      <c r="G41" s="355"/>
      <c r="H41" s="355"/>
      <c r="I41" s="355"/>
      <c r="J41" s="355"/>
      <c r="K41" s="355"/>
      <c r="L41" s="355"/>
      <c r="M41" s="355"/>
      <c r="N41" s="355"/>
      <c r="O41" s="355"/>
      <c r="P41" s="356"/>
    </row>
    <row r="42" spans="1:16" ht="36" customHeight="1">
      <c r="A42" s="168">
        <v>38</v>
      </c>
      <c r="B42" s="167"/>
      <c r="C42" s="354"/>
      <c r="D42" s="355"/>
      <c r="E42" s="355"/>
      <c r="F42" s="355"/>
      <c r="G42" s="355"/>
      <c r="H42" s="355"/>
      <c r="I42" s="355"/>
      <c r="J42" s="355"/>
      <c r="K42" s="355"/>
      <c r="L42" s="355"/>
      <c r="M42" s="355"/>
      <c r="N42" s="355"/>
      <c r="O42" s="355"/>
      <c r="P42" s="356"/>
    </row>
    <row r="43" spans="1:16" ht="36" customHeight="1">
      <c r="A43" s="168">
        <v>39</v>
      </c>
      <c r="B43" s="167"/>
      <c r="C43" s="354"/>
      <c r="D43" s="355"/>
      <c r="E43" s="355"/>
      <c r="F43" s="355"/>
      <c r="G43" s="355"/>
      <c r="H43" s="355"/>
      <c r="I43" s="355"/>
      <c r="J43" s="355"/>
      <c r="K43" s="355"/>
      <c r="L43" s="355"/>
      <c r="M43" s="355"/>
      <c r="N43" s="355"/>
      <c r="O43" s="355"/>
      <c r="P43" s="356"/>
    </row>
    <row r="44" spans="1:16" ht="36" customHeight="1">
      <c r="A44" s="168">
        <v>40</v>
      </c>
      <c r="B44" s="167"/>
      <c r="C44" s="354"/>
      <c r="D44" s="355"/>
      <c r="E44" s="355"/>
      <c r="F44" s="355"/>
      <c r="G44" s="355"/>
      <c r="H44" s="355"/>
      <c r="I44" s="355"/>
      <c r="J44" s="355"/>
      <c r="K44" s="355"/>
      <c r="L44" s="355"/>
      <c r="M44" s="355"/>
      <c r="N44" s="355"/>
      <c r="O44" s="355"/>
      <c r="P44" s="356"/>
    </row>
    <row r="45" spans="1:16" ht="36" customHeight="1">
      <c r="A45" s="168">
        <v>41</v>
      </c>
      <c r="B45" s="167"/>
      <c r="C45" s="354"/>
      <c r="D45" s="355"/>
      <c r="E45" s="355"/>
      <c r="F45" s="355"/>
      <c r="G45" s="355"/>
      <c r="H45" s="355"/>
      <c r="I45" s="355"/>
      <c r="J45" s="355"/>
      <c r="K45" s="355"/>
      <c r="L45" s="355"/>
      <c r="M45" s="355"/>
      <c r="N45" s="355"/>
      <c r="O45" s="355"/>
      <c r="P45" s="356"/>
    </row>
    <row r="46" spans="1:16" ht="36" customHeight="1">
      <c r="A46" s="168">
        <v>42</v>
      </c>
      <c r="B46" s="167"/>
      <c r="C46" s="354"/>
      <c r="D46" s="355"/>
      <c r="E46" s="355"/>
      <c r="F46" s="355"/>
      <c r="G46" s="355"/>
      <c r="H46" s="355"/>
      <c r="I46" s="355"/>
      <c r="J46" s="355"/>
      <c r="K46" s="355"/>
      <c r="L46" s="355"/>
      <c r="M46" s="355"/>
      <c r="N46" s="355"/>
      <c r="O46" s="355"/>
      <c r="P46" s="356"/>
    </row>
    <row r="47" spans="1:16" ht="36" customHeight="1">
      <c r="A47" s="168">
        <v>43</v>
      </c>
      <c r="B47" s="167"/>
      <c r="C47" s="354"/>
      <c r="D47" s="355"/>
      <c r="E47" s="355"/>
      <c r="F47" s="355"/>
      <c r="G47" s="355"/>
      <c r="H47" s="355"/>
      <c r="I47" s="355"/>
      <c r="J47" s="355"/>
      <c r="K47" s="355"/>
      <c r="L47" s="355"/>
      <c r="M47" s="355"/>
      <c r="N47" s="355"/>
      <c r="O47" s="355"/>
      <c r="P47" s="356"/>
    </row>
    <row r="48" spans="1:16" ht="36" customHeight="1">
      <c r="A48" s="168">
        <v>44</v>
      </c>
      <c r="B48" s="167"/>
      <c r="C48" s="354"/>
      <c r="D48" s="355"/>
      <c r="E48" s="355"/>
      <c r="F48" s="355"/>
      <c r="G48" s="355"/>
      <c r="H48" s="355"/>
      <c r="I48" s="355"/>
      <c r="J48" s="355"/>
      <c r="K48" s="355"/>
      <c r="L48" s="355"/>
      <c r="M48" s="355"/>
      <c r="N48" s="355"/>
      <c r="O48" s="355"/>
      <c r="P48" s="356"/>
    </row>
    <row r="49" spans="1:16" ht="36" customHeight="1">
      <c r="A49" s="168">
        <v>45</v>
      </c>
      <c r="B49" s="167"/>
      <c r="C49" s="354"/>
      <c r="D49" s="355"/>
      <c r="E49" s="355"/>
      <c r="F49" s="355"/>
      <c r="G49" s="355"/>
      <c r="H49" s="355"/>
      <c r="I49" s="355"/>
      <c r="J49" s="355"/>
      <c r="K49" s="355"/>
      <c r="L49" s="355"/>
      <c r="M49" s="355"/>
      <c r="N49" s="355"/>
      <c r="O49" s="355"/>
      <c r="P49" s="356"/>
    </row>
    <row r="50" spans="1:16">
      <c r="A50" s="166"/>
      <c r="B50" s="167"/>
      <c r="C50" s="354"/>
      <c r="D50" s="355"/>
      <c r="E50" s="355"/>
      <c r="F50" s="355"/>
      <c r="G50" s="355"/>
      <c r="H50" s="355"/>
      <c r="I50" s="355"/>
      <c r="J50" s="355"/>
      <c r="K50" s="355"/>
      <c r="L50" s="355"/>
      <c r="M50" s="355"/>
      <c r="N50" s="355"/>
      <c r="O50" s="355"/>
      <c r="P50" s="356"/>
    </row>
  </sheetData>
  <sheetProtection algorithmName="SHA-512" hashValue="e4eCniCP2W1LvSUaUaDbQk3v4Blt7FjT3iHa8Prg4dT4Rp2bpbrdnMh2ZyUvttDLd3hJ9aN9oXyYtMdbg0BwmA==" saltValue="wFi5I6AYWy46zKPE7XcD4Q==" spinCount="100000" sheet="1" objects="1" scenarios="1"/>
  <mergeCells count="50">
    <mergeCell ref="C49:P49"/>
    <mergeCell ref="C50:P50"/>
    <mergeCell ref="C4:P4"/>
    <mergeCell ref="C44:P44"/>
    <mergeCell ref="C45:P45"/>
    <mergeCell ref="C46:P46"/>
    <mergeCell ref="C47:P47"/>
    <mergeCell ref="C48:P48"/>
    <mergeCell ref="C39:P39"/>
    <mergeCell ref="C40:P40"/>
    <mergeCell ref="C41:P41"/>
    <mergeCell ref="C42:P42"/>
    <mergeCell ref="C43:P43"/>
    <mergeCell ref="C34:P34"/>
    <mergeCell ref="C35:P35"/>
    <mergeCell ref="C36:P36"/>
    <mergeCell ref="C37:P37"/>
    <mergeCell ref="C38:P38"/>
    <mergeCell ref="C29:P29"/>
    <mergeCell ref="C30:P30"/>
    <mergeCell ref="C31:P31"/>
    <mergeCell ref="C32:P32"/>
    <mergeCell ref="C33:P33"/>
    <mergeCell ref="C24:P24"/>
    <mergeCell ref="C25:P25"/>
    <mergeCell ref="C26:P26"/>
    <mergeCell ref="C27:P27"/>
    <mergeCell ref="C28:P28"/>
    <mergeCell ref="C19:P19"/>
    <mergeCell ref="C20:P20"/>
    <mergeCell ref="C21:P21"/>
    <mergeCell ref="C22:P22"/>
    <mergeCell ref="C23:P23"/>
    <mergeCell ref="C14:P14"/>
    <mergeCell ref="C15:P15"/>
    <mergeCell ref="C16:P16"/>
    <mergeCell ref="C17:P17"/>
    <mergeCell ref="C18:P18"/>
    <mergeCell ref="C9:P9"/>
    <mergeCell ref="C10:P10"/>
    <mergeCell ref="C11:P11"/>
    <mergeCell ref="C12:P12"/>
    <mergeCell ref="C13:P13"/>
    <mergeCell ref="A1:B1"/>
    <mergeCell ref="C1:E1"/>
    <mergeCell ref="C6:P6"/>
    <mergeCell ref="C7:P7"/>
    <mergeCell ref="C8:P8"/>
    <mergeCell ref="C5:P5"/>
    <mergeCell ref="F1:G1"/>
  </mergeCells>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M57"/>
  <sheetViews>
    <sheetView tabSelected="1" zoomScale="80" zoomScaleNormal="80" zoomScaleSheetLayoutView="70" workbookViewId="0">
      <pane xSplit="28" ySplit="8" topLeftCell="AC9" activePane="bottomRight" state="frozen"/>
      <selection pane="topRight"/>
      <selection pane="bottomLeft"/>
      <selection pane="bottomRight" activeCell="Z10" sqref="Z10:Z23"/>
    </sheetView>
  </sheetViews>
  <sheetFormatPr defaultColWidth="0.88671875" defaultRowHeight="14.4" outlineLevelCol="1"/>
  <cols>
    <col min="1" max="1" width="4.6640625" hidden="1" customWidth="1"/>
    <col min="2" max="2" width="15.109375" customWidth="1"/>
    <col min="3" max="3" width="19.109375" customWidth="1"/>
    <col min="4" max="4" width="17.6640625" customWidth="1"/>
    <col min="5" max="5" width="8" bestFit="1" customWidth="1"/>
    <col min="6" max="6" width="6.109375" customWidth="1"/>
    <col min="7" max="7" width="4.44140625" customWidth="1"/>
    <col min="8" max="8" width="8" bestFit="1" customWidth="1"/>
    <col min="9" max="9" width="28.6640625" customWidth="1"/>
    <col min="10" max="17" width="9.109375" hidden="1" customWidth="1" outlineLevel="1"/>
    <col min="18" max="18" width="7.5546875" customWidth="1" collapsed="1"/>
    <col min="19" max="19" width="7.88671875" customWidth="1"/>
    <col min="20" max="20" width="5.6640625" customWidth="1"/>
    <col min="21" max="21" width="5.44140625" customWidth="1"/>
    <col min="22" max="22" width="12.5546875" customWidth="1"/>
    <col min="23" max="23" width="11.33203125" customWidth="1"/>
    <col min="24" max="25" width="9.6640625" customWidth="1" outlineLevel="1"/>
    <col min="26" max="27" width="9.109375" customWidth="1" outlineLevel="1"/>
    <col min="28" max="28" width="11.33203125" customWidth="1"/>
    <col min="29" max="29" width="7.88671875" customWidth="1"/>
    <col min="30" max="30" width="15.33203125" bestFit="1" customWidth="1"/>
    <col min="31" max="31" width="14.5546875" customWidth="1"/>
    <col min="32" max="32" width="30" customWidth="1"/>
    <col min="33" max="37" width="6.33203125" hidden="1" customWidth="1" outlineLevel="1"/>
    <col min="38" max="38" width="5.6640625" customWidth="1" collapsed="1"/>
    <col min="39" max="99" width="2.33203125" hidden="1" customWidth="1" outlineLevel="1"/>
    <col min="100" max="100" width="2.6640625" customWidth="1" collapsed="1"/>
    <col min="102" max="102" width="0.88671875" customWidth="1" outlineLevel="1"/>
    <col min="103" max="107" width="15.6640625" customWidth="1" outlineLevel="1"/>
    <col min="108" max="108" width="13.6640625" customWidth="1" outlineLevel="1"/>
    <col min="109" max="109" width="10.109375" customWidth="1" outlineLevel="1"/>
    <col min="110" max="110" width="13.6640625" customWidth="1" outlineLevel="1"/>
    <col min="111" max="111" width="16.6640625" customWidth="1" outlineLevel="1"/>
    <col min="112" max="112" width="14.5546875" customWidth="1" outlineLevel="1"/>
    <col min="113" max="113" width="11.33203125" customWidth="1" outlineLevel="1"/>
    <col min="114" max="114" width="5.6640625" customWidth="1" outlineLevel="1"/>
    <col min="115" max="116" width="0.88671875" customWidth="1" outlineLevel="1"/>
    <col min="117" max="117" width="2.6640625" customWidth="1"/>
  </cols>
  <sheetData>
    <row r="1" spans="1:117" ht="15" customHeight="1">
      <c r="B1" s="16" t="s">
        <v>0</v>
      </c>
      <c r="C1" s="71" t="s">
        <v>104</v>
      </c>
      <c r="D1" s="319" t="s">
        <v>343</v>
      </c>
      <c r="E1" s="15"/>
      <c r="F1" s="14"/>
      <c r="G1" s="14"/>
      <c r="H1" s="14"/>
      <c r="I1" s="14"/>
      <c r="J1" s="14"/>
      <c r="K1" s="14"/>
      <c r="L1" s="14" t="s">
        <v>1</v>
      </c>
      <c r="M1" s="14"/>
      <c r="N1" s="133" t="s">
        <v>120</v>
      </c>
      <c r="O1" s="14"/>
      <c r="P1" s="14"/>
      <c r="Q1" s="14"/>
      <c r="R1" s="14"/>
      <c r="S1" s="14"/>
      <c r="T1" s="14"/>
      <c r="U1" s="14"/>
      <c r="V1" s="14"/>
      <c r="W1" s="121" t="s">
        <v>2</v>
      </c>
      <c r="X1" s="14"/>
      <c r="Y1" s="14"/>
      <c r="Z1" s="14"/>
      <c r="AA1" s="14"/>
      <c r="AB1" s="31" t="s">
        <v>306</v>
      </c>
      <c r="AC1" s="14"/>
      <c r="AD1" s="14"/>
      <c r="AE1" s="122" t="s">
        <v>3</v>
      </c>
      <c r="AF1" s="323" t="s">
        <v>357</v>
      </c>
      <c r="AG1" s="55"/>
      <c r="AH1" s="55"/>
      <c r="AI1" s="55"/>
      <c r="AJ1" s="55"/>
      <c r="AK1" s="55"/>
      <c r="AL1" s="22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146"/>
      <c r="CN1" s="56"/>
      <c r="CO1" s="361" t="s">
        <v>124</v>
      </c>
      <c r="CP1" s="361"/>
      <c r="CQ1" s="361"/>
      <c r="CR1" s="361"/>
      <c r="CS1" s="361"/>
      <c r="CT1" s="56"/>
      <c r="CU1" s="56"/>
      <c r="CV1" s="87"/>
      <c r="CW1" s="87"/>
      <c r="CX1" s="78"/>
      <c r="CY1" s="79"/>
      <c r="CZ1" s="79"/>
      <c r="DA1" s="79"/>
      <c r="DB1" s="79"/>
      <c r="DC1" s="79"/>
      <c r="DD1" s="79"/>
      <c r="DE1" s="95" t="s">
        <v>113</v>
      </c>
      <c r="DF1" s="94">
        <f>IFERROR((DE7+DF7)/(DE6+DF6),0)</f>
        <v>0.43262411347517732</v>
      </c>
      <c r="DG1" s="82"/>
      <c r="DH1" s="79"/>
      <c r="DI1" s="301"/>
      <c r="DJ1" s="303"/>
      <c r="DK1" s="79"/>
      <c r="DL1" s="80"/>
      <c r="DM1" s="87"/>
    </row>
    <row r="2" spans="1:117" ht="15" customHeight="1">
      <c r="B2" s="18" t="s">
        <v>4</v>
      </c>
      <c r="C2" s="89" t="s">
        <v>134</v>
      </c>
      <c r="D2" s="207" t="str">
        <f>D1</f>
        <v>FSL/2122/CHN/OR004</v>
      </c>
      <c r="E2" s="17"/>
      <c r="F2" s="70" t="s">
        <v>105</v>
      </c>
      <c r="G2" s="21"/>
      <c r="H2" s="22"/>
      <c r="I2" s="328" t="s">
        <v>356</v>
      </c>
      <c r="J2" s="14"/>
      <c r="K2" s="14"/>
      <c r="L2" s="14"/>
      <c r="M2" s="14"/>
      <c r="N2" s="14"/>
      <c r="O2" s="14"/>
      <c r="P2" s="14"/>
      <c r="Q2" s="14"/>
      <c r="R2" s="14"/>
      <c r="S2" s="192"/>
      <c r="T2" s="193"/>
      <c r="U2" s="193"/>
      <c r="V2" s="14"/>
      <c r="W2" s="51">
        <f>V9</f>
        <v>44349</v>
      </c>
      <c r="X2" s="14"/>
      <c r="Y2" s="14"/>
      <c r="Z2" s="14"/>
      <c r="AA2" s="14"/>
      <c r="AB2" s="314">
        <f ca="1">IF(ISBLANK(X9),0,(IF(ISBLANK(Y23),TODAY(),Y23)-X9+1)+IF(ISBLANK(Y30),TODAY(),Y30)-IF(ISBLANK(X28),TODAY(),X28)+1)</f>
        <v>1082</v>
      </c>
      <c r="AC2" s="14"/>
      <c r="AD2" s="14"/>
      <c r="AE2" s="124" t="s">
        <v>117</v>
      </c>
      <c r="AF2" s="324"/>
      <c r="AG2" s="55"/>
      <c r="AH2" s="55"/>
      <c r="AI2" s="55"/>
      <c r="AJ2" s="55"/>
      <c r="AK2" s="55"/>
      <c r="AL2" s="226"/>
      <c r="AM2" s="363" t="s">
        <v>121</v>
      </c>
      <c r="AN2" s="363"/>
      <c r="AO2" s="363"/>
      <c r="AP2" s="363"/>
      <c r="AQ2" s="363"/>
      <c r="AR2" s="363"/>
      <c r="AS2" s="364"/>
      <c r="AT2" s="368" t="s">
        <v>177</v>
      </c>
      <c r="AU2" s="369"/>
      <c r="AV2" s="370"/>
      <c r="AW2" s="56"/>
      <c r="AX2" s="380" t="s">
        <v>127</v>
      </c>
      <c r="AY2" s="381"/>
      <c r="AZ2" s="381"/>
      <c r="BA2" s="381"/>
      <c r="BB2" s="381"/>
      <c r="BC2" s="381"/>
      <c r="BD2" s="381"/>
      <c r="BE2" s="381"/>
      <c r="BF2" s="382"/>
      <c r="BG2" s="368" t="s">
        <v>244</v>
      </c>
      <c r="BH2" s="369"/>
      <c r="BI2" s="370"/>
      <c r="BJ2" s="56"/>
      <c r="BK2" s="56"/>
      <c r="BL2" s="56"/>
      <c r="BM2" s="362" t="s">
        <v>122</v>
      </c>
      <c r="BN2" s="363"/>
      <c r="BO2" s="363"/>
      <c r="BP2" s="363"/>
      <c r="BQ2" s="363"/>
      <c r="BR2" s="363"/>
      <c r="BS2" s="363"/>
      <c r="BT2" s="364"/>
      <c r="BU2" s="383">
        <f>MAX(W9:W55)</f>
        <v>46237</v>
      </c>
      <c r="BV2" s="384"/>
      <c r="BW2" s="384"/>
      <c r="BX2" s="384"/>
      <c r="BY2" s="385"/>
      <c r="BZ2" s="56"/>
      <c r="CA2" s="362" t="s">
        <v>126</v>
      </c>
      <c r="CB2" s="363"/>
      <c r="CC2" s="363"/>
      <c r="CD2" s="363"/>
      <c r="CE2" s="363"/>
      <c r="CF2" s="363"/>
      <c r="CG2" s="363"/>
      <c r="CH2" s="364"/>
      <c r="CI2" s="368" t="s">
        <v>154</v>
      </c>
      <c r="CJ2" s="369"/>
      <c r="CK2" s="370"/>
      <c r="CL2" s="56"/>
      <c r="CM2" s="144"/>
      <c r="CN2" s="56"/>
      <c r="CO2" s="361" t="s">
        <v>131</v>
      </c>
      <c r="CP2" s="361"/>
      <c r="CQ2" s="361"/>
      <c r="CR2" s="361"/>
      <c r="CS2" s="361"/>
      <c r="CT2" s="56"/>
      <c r="CU2" s="56"/>
      <c r="CV2" s="87"/>
      <c r="CW2" s="87"/>
      <c r="CX2" s="81"/>
      <c r="CY2" s="376" t="s">
        <v>95</v>
      </c>
      <c r="CZ2" s="376"/>
      <c r="DA2" s="376"/>
      <c r="DB2" s="376"/>
      <c r="DC2" s="376"/>
      <c r="DD2" s="82"/>
      <c r="DE2" s="108" t="str">
        <f>'@LeadT_Setting'!AR10</f>
        <v>Installation</v>
      </c>
      <c r="DF2" s="108" t="str">
        <f>'@LeadT_Setting'!AR24</f>
        <v>Comm</v>
      </c>
      <c r="DG2" s="247"/>
      <c r="DH2" s="246"/>
      <c r="DI2" s="302"/>
      <c r="DJ2" s="241"/>
      <c r="DK2" s="107"/>
      <c r="DL2" s="83"/>
      <c r="DM2" s="87"/>
    </row>
    <row r="3" spans="1:117">
      <c r="B3" s="14"/>
      <c r="C3" s="89" t="s">
        <v>324</v>
      </c>
      <c r="D3" s="208"/>
      <c r="E3" s="19"/>
      <c r="F3" s="20" t="s">
        <v>106</v>
      </c>
      <c r="G3" s="21"/>
      <c r="H3" s="22"/>
      <c r="I3" s="329" t="s">
        <v>356</v>
      </c>
      <c r="J3" s="14"/>
      <c r="K3" s="14"/>
      <c r="L3" s="14"/>
      <c r="M3" s="14"/>
      <c r="N3" s="14"/>
      <c r="O3" s="14"/>
      <c r="P3" s="14"/>
      <c r="Q3" s="14"/>
      <c r="R3" s="14"/>
      <c r="S3" s="192"/>
      <c r="T3" s="193"/>
      <c r="U3" s="193"/>
      <c r="V3" s="14"/>
      <c r="W3" s="44"/>
      <c r="X3" s="14"/>
      <c r="Y3" s="14"/>
      <c r="Z3" s="14"/>
      <c r="AA3" s="14"/>
      <c r="AB3" s="316"/>
      <c r="AC3" s="14"/>
      <c r="AD3" s="14"/>
      <c r="AE3" s="124" t="s">
        <v>118</v>
      </c>
      <c r="AF3" s="324"/>
      <c r="AG3" s="55"/>
      <c r="AH3" s="55"/>
      <c r="AI3" s="55"/>
      <c r="AJ3" s="55"/>
      <c r="AK3" s="55"/>
      <c r="AL3" s="226"/>
      <c r="AM3" s="363" t="s">
        <v>77</v>
      </c>
      <c r="AN3" s="363"/>
      <c r="AO3" s="363"/>
      <c r="AP3" s="363"/>
      <c r="AQ3" s="363"/>
      <c r="AR3" s="363"/>
      <c r="AS3" s="364"/>
      <c r="AT3" s="377">
        <f>IF(AT2="Day",1,IF(AT2="Week",7,IF(AT2="2Day",2,IF(AT2="3Day",3,""))))</f>
        <v>1</v>
      </c>
      <c r="AU3" s="378"/>
      <c r="AV3" s="379"/>
      <c r="AW3" s="56"/>
      <c r="AX3" s="380" t="s">
        <v>128</v>
      </c>
      <c r="AY3" s="381"/>
      <c r="AZ3" s="381"/>
      <c r="BA3" s="381"/>
      <c r="BB3" s="381"/>
      <c r="BC3" s="381"/>
      <c r="BD3" s="381"/>
      <c r="BE3" s="381"/>
      <c r="BF3" s="382"/>
      <c r="BG3" s="368" t="s">
        <v>244</v>
      </c>
      <c r="BH3" s="369"/>
      <c r="BI3" s="370"/>
      <c r="BJ3" s="56"/>
      <c r="BK3" s="56"/>
      <c r="BL3" s="56"/>
      <c r="BM3" s="362" t="s">
        <v>123</v>
      </c>
      <c r="BN3" s="363"/>
      <c r="BO3" s="363"/>
      <c r="BP3" s="363"/>
      <c r="BQ3" s="363"/>
      <c r="BR3" s="363"/>
      <c r="BS3" s="363"/>
      <c r="BT3" s="364"/>
      <c r="BU3" s="365" t="s">
        <v>133</v>
      </c>
      <c r="BV3" s="366"/>
      <c r="BW3" s="366"/>
      <c r="BX3" s="366"/>
      <c r="BY3" s="367"/>
      <c r="BZ3" s="56"/>
      <c r="CA3" s="56"/>
      <c r="CB3" s="56"/>
      <c r="CC3" s="56"/>
      <c r="CD3" s="56"/>
      <c r="CE3" s="56"/>
      <c r="CF3" s="56"/>
      <c r="CG3" s="56"/>
      <c r="CH3" s="56"/>
      <c r="CI3" s="56"/>
      <c r="CJ3" s="56"/>
      <c r="CK3" s="56"/>
      <c r="CL3" s="56"/>
      <c r="CM3" s="145"/>
      <c r="CN3" s="56"/>
      <c r="CO3" s="361" t="s">
        <v>132</v>
      </c>
      <c r="CP3" s="361"/>
      <c r="CQ3" s="361"/>
      <c r="CR3" s="361"/>
      <c r="CS3" s="361"/>
      <c r="CT3" s="56"/>
      <c r="CU3" s="56"/>
      <c r="CV3" s="87"/>
      <c r="CW3" s="87"/>
      <c r="CX3" s="81"/>
      <c r="CY3" s="82"/>
      <c r="CZ3" s="82"/>
      <c r="DA3" s="82"/>
      <c r="DB3" s="82"/>
      <c r="DC3" s="82"/>
      <c r="DD3" s="92"/>
      <c r="DE3" s="94">
        <f>IFERROR(DE7/DE6,0)</f>
        <v>1</v>
      </c>
      <c r="DF3" s="94">
        <f>IFERROR(DF7/DF6,0)</f>
        <v>0</v>
      </c>
      <c r="DG3" s="247"/>
      <c r="DH3" s="246"/>
      <c r="DI3" s="302"/>
      <c r="DJ3" s="241"/>
      <c r="DK3" s="82"/>
      <c r="DL3" s="83"/>
      <c r="DM3" s="87"/>
    </row>
    <row r="4" spans="1:117">
      <c r="B4" s="23" t="s">
        <v>6</v>
      </c>
      <c r="C4" s="24" t="s">
        <v>7</v>
      </c>
      <c r="D4" s="25"/>
      <c r="E4" s="26" t="s">
        <v>8</v>
      </c>
      <c r="F4" s="213" t="str">
        <f>ReadMe!H1</f>
        <v>V 2.3</v>
      </c>
      <c r="G4" s="27"/>
      <c r="H4" s="27"/>
      <c r="I4" s="27"/>
      <c r="J4" s="28"/>
      <c r="K4" s="28"/>
      <c r="L4" s="28"/>
      <c r="M4" s="28"/>
      <c r="N4" s="28"/>
      <c r="O4" s="28"/>
      <c r="P4" s="28"/>
      <c r="Q4" s="28"/>
      <c r="R4" s="14"/>
      <c r="S4" s="14"/>
      <c r="T4" s="14"/>
      <c r="U4" s="14"/>
      <c r="V4" s="14"/>
      <c r="W4" s="27"/>
      <c r="X4" s="28"/>
      <c r="Y4" s="28"/>
      <c r="Z4" s="28"/>
      <c r="AA4" s="28"/>
      <c r="AB4" s="317"/>
      <c r="AC4" s="14"/>
      <c r="AD4" s="14"/>
      <c r="AE4" s="124" t="s">
        <v>119</v>
      </c>
      <c r="AF4" s="325" t="s">
        <v>358</v>
      </c>
      <c r="AG4" s="14"/>
      <c r="AH4" s="14"/>
      <c r="AI4" s="14"/>
      <c r="AJ4" s="14"/>
      <c r="AK4" s="14"/>
      <c r="AL4" s="226"/>
      <c r="AM4" s="136" t="str">
        <f>IF(OR(AM$6=$BG$2,AM$6=$BG$3),1,"")</f>
        <v/>
      </c>
      <c r="AN4" s="136" t="str">
        <f t="shared" ref="AN4:CU4" si="0">IF(OR(AN$6=$BG$2,AN$6=$BG$3),1,"")</f>
        <v/>
      </c>
      <c r="AO4" s="136" t="str">
        <f t="shared" si="0"/>
        <v/>
      </c>
      <c r="AP4" s="136" t="str">
        <f t="shared" si="0"/>
        <v/>
      </c>
      <c r="AQ4" s="136" t="str">
        <f t="shared" si="0"/>
        <v/>
      </c>
      <c r="AR4" s="136" t="str">
        <f t="shared" si="0"/>
        <v/>
      </c>
      <c r="AS4" s="136">
        <f t="shared" si="0"/>
        <v>1</v>
      </c>
      <c r="AT4" s="136" t="str">
        <f t="shared" si="0"/>
        <v/>
      </c>
      <c r="AU4" s="136" t="str">
        <f t="shared" si="0"/>
        <v/>
      </c>
      <c r="AV4" s="136" t="str">
        <f t="shared" si="0"/>
        <v/>
      </c>
      <c r="AW4" s="136" t="str">
        <f t="shared" si="0"/>
        <v/>
      </c>
      <c r="AX4" s="136" t="str">
        <f t="shared" si="0"/>
        <v/>
      </c>
      <c r="AY4" s="136" t="str">
        <f t="shared" si="0"/>
        <v/>
      </c>
      <c r="AZ4" s="136">
        <f t="shared" si="0"/>
        <v>1</v>
      </c>
      <c r="BA4" s="136" t="str">
        <f t="shared" si="0"/>
        <v/>
      </c>
      <c r="BB4" s="136" t="str">
        <f t="shared" si="0"/>
        <v/>
      </c>
      <c r="BC4" s="136" t="str">
        <f t="shared" si="0"/>
        <v/>
      </c>
      <c r="BD4" s="136" t="str">
        <f t="shared" si="0"/>
        <v/>
      </c>
      <c r="BE4" s="136" t="str">
        <f t="shared" si="0"/>
        <v/>
      </c>
      <c r="BF4" s="136" t="str">
        <f t="shared" si="0"/>
        <v/>
      </c>
      <c r="BG4" s="136">
        <f t="shared" si="0"/>
        <v>1</v>
      </c>
      <c r="BH4" s="136" t="str">
        <f t="shared" si="0"/>
        <v/>
      </c>
      <c r="BI4" s="136" t="str">
        <f t="shared" si="0"/>
        <v/>
      </c>
      <c r="BJ4" s="136" t="str">
        <f t="shared" si="0"/>
        <v/>
      </c>
      <c r="BK4" s="136" t="str">
        <f t="shared" si="0"/>
        <v/>
      </c>
      <c r="BL4" s="136" t="str">
        <f t="shared" si="0"/>
        <v/>
      </c>
      <c r="BM4" s="136" t="str">
        <f t="shared" si="0"/>
        <v/>
      </c>
      <c r="BN4" s="136">
        <f t="shared" si="0"/>
        <v>1</v>
      </c>
      <c r="BO4" s="136" t="str">
        <f t="shared" si="0"/>
        <v/>
      </c>
      <c r="BP4" s="136" t="str">
        <f t="shared" si="0"/>
        <v/>
      </c>
      <c r="BQ4" s="136" t="str">
        <f t="shared" si="0"/>
        <v/>
      </c>
      <c r="BR4" s="136" t="str">
        <f t="shared" si="0"/>
        <v/>
      </c>
      <c r="BS4" s="136" t="str">
        <f t="shared" si="0"/>
        <v/>
      </c>
      <c r="BT4" s="136" t="str">
        <f t="shared" si="0"/>
        <v/>
      </c>
      <c r="BU4" s="136">
        <f t="shared" si="0"/>
        <v>1</v>
      </c>
      <c r="BV4" s="136" t="str">
        <f t="shared" si="0"/>
        <v/>
      </c>
      <c r="BW4" s="136" t="str">
        <f t="shared" si="0"/>
        <v/>
      </c>
      <c r="BX4" s="136" t="str">
        <f t="shared" si="0"/>
        <v/>
      </c>
      <c r="BY4" s="136" t="str">
        <f t="shared" si="0"/>
        <v/>
      </c>
      <c r="BZ4" s="136" t="str">
        <f t="shared" si="0"/>
        <v/>
      </c>
      <c r="CA4" s="136" t="str">
        <f t="shared" si="0"/>
        <v/>
      </c>
      <c r="CB4" s="136">
        <f t="shared" si="0"/>
        <v>1</v>
      </c>
      <c r="CC4" s="136" t="str">
        <f t="shared" si="0"/>
        <v/>
      </c>
      <c r="CD4" s="136" t="str">
        <f t="shared" si="0"/>
        <v/>
      </c>
      <c r="CE4" s="136" t="str">
        <f t="shared" si="0"/>
        <v/>
      </c>
      <c r="CF4" s="136" t="str">
        <f t="shared" si="0"/>
        <v/>
      </c>
      <c r="CG4" s="136" t="str">
        <f t="shared" si="0"/>
        <v/>
      </c>
      <c r="CH4" s="136" t="str">
        <f t="shared" si="0"/>
        <v/>
      </c>
      <c r="CI4" s="136">
        <f t="shared" si="0"/>
        <v>1</v>
      </c>
      <c r="CJ4" s="136" t="str">
        <f t="shared" si="0"/>
        <v/>
      </c>
      <c r="CK4" s="136" t="str">
        <f t="shared" si="0"/>
        <v/>
      </c>
      <c r="CL4" s="136" t="str">
        <f t="shared" si="0"/>
        <v/>
      </c>
      <c r="CM4" s="136" t="str">
        <f t="shared" si="0"/>
        <v/>
      </c>
      <c r="CN4" s="136" t="str">
        <f t="shared" si="0"/>
        <v/>
      </c>
      <c r="CO4" s="136" t="str">
        <f t="shared" si="0"/>
        <v/>
      </c>
      <c r="CP4" s="136">
        <f t="shared" si="0"/>
        <v>1</v>
      </c>
      <c r="CQ4" s="136" t="str">
        <f t="shared" si="0"/>
        <v/>
      </c>
      <c r="CR4" s="136" t="str">
        <f t="shared" si="0"/>
        <v/>
      </c>
      <c r="CS4" s="136" t="str">
        <f t="shared" si="0"/>
        <v/>
      </c>
      <c r="CT4" s="136" t="str">
        <f t="shared" si="0"/>
        <v/>
      </c>
      <c r="CU4" s="136" t="str">
        <f t="shared" si="0"/>
        <v/>
      </c>
      <c r="CV4" s="87"/>
      <c r="CW4" s="87"/>
      <c r="CX4" s="81"/>
      <c r="CY4" s="82"/>
      <c r="CZ4" s="242"/>
      <c r="DA4" s="242"/>
      <c r="DB4" s="242"/>
      <c r="DC4" s="242"/>
      <c r="DD4" s="242"/>
      <c r="DE4" s="95" t="s">
        <v>112</v>
      </c>
      <c r="DF4" s="95" t="s">
        <v>112</v>
      </c>
      <c r="DG4" s="82"/>
      <c r="DH4" s="82"/>
      <c r="DI4" s="302"/>
      <c r="DJ4" s="241"/>
      <c r="DK4" s="82"/>
      <c r="DL4" s="83"/>
      <c r="DM4" s="87"/>
    </row>
    <row r="5" spans="1:117" ht="19.95" customHeight="1">
      <c r="B5" s="14"/>
      <c r="C5" s="27"/>
      <c r="D5" s="27"/>
      <c r="E5" s="28"/>
      <c r="F5" s="28"/>
      <c r="G5" s="28"/>
      <c r="H5" s="28"/>
      <c r="I5" s="28"/>
      <c r="J5" s="28" t="str">
        <f>IFERROR(MATCH($B$1,#REF!,0)+8,"")</f>
        <v/>
      </c>
      <c r="K5" s="14"/>
      <c r="L5" s="14"/>
      <c r="M5" s="14"/>
      <c r="N5" s="14"/>
      <c r="O5" s="14"/>
      <c r="P5" s="14"/>
      <c r="Q5" s="14"/>
      <c r="R5" s="14"/>
      <c r="S5" s="14"/>
      <c r="T5" s="14"/>
      <c r="U5" s="14"/>
      <c r="V5" s="14"/>
      <c r="W5" s="14"/>
      <c r="X5" s="14"/>
      <c r="Y5" s="14"/>
      <c r="Z5" s="14"/>
      <c r="AA5" s="14"/>
      <c r="AB5" s="14"/>
      <c r="AC5" s="14"/>
      <c r="AD5" s="14"/>
      <c r="AE5" s="14"/>
      <c r="AF5" s="326"/>
      <c r="AG5" s="14"/>
      <c r="AH5" s="14"/>
      <c r="AI5" s="14"/>
      <c r="AJ5" s="14"/>
      <c r="AK5" s="14"/>
      <c r="AL5" s="22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87"/>
      <c r="CW5" s="87"/>
      <c r="CX5" s="81"/>
      <c r="CY5" s="82"/>
      <c r="CZ5" s="82"/>
      <c r="DA5" s="82"/>
      <c r="DB5" s="82"/>
      <c r="DC5" s="82"/>
      <c r="DD5" s="82"/>
      <c r="DE5" s="96"/>
      <c r="DF5" s="96"/>
      <c r="DG5" s="82"/>
      <c r="DH5" s="82"/>
      <c r="DI5" s="302"/>
      <c r="DJ5" s="241"/>
      <c r="DK5" s="82"/>
      <c r="DL5" s="83"/>
      <c r="DM5" s="87"/>
    </row>
    <row r="6" spans="1:117" ht="19.5" customHeight="1" thickBot="1">
      <c r="B6" s="14"/>
      <c r="C6" s="14"/>
      <c r="D6" s="14"/>
      <c r="E6" s="29" t="s">
        <v>9</v>
      </c>
      <c r="F6" s="29" t="s">
        <v>10</v>
      </c>
      <c r="G6" s="29" t="s">
        <v>11</v>
      </c>
      <c r="H6" s="30" t="s">
        <v>12</v>
      </c>
      <c r="I6" s="38" t="s">
        <v>13</v>
      </c>
      <c r="J6" s="39" t="s">
        <v>14</v>
      </c>
      <c r="K6" s="40" t="s">
        <v>15</v>
      </c>
      <c r="L6" s="39" t="s">
        <v>14</v>
      </c>
      <c r="M6" s="40" t="s">
        <v>16</v>
      </c>
      <c r="N6" s="39" t="s">
        <v>14</v>
      </c>
      <c r="O6" s="40" t="s">
        <v>17</v>
      </c>
      <c r="P6" s="39" t="s">
        <v>18</v>
      </c>
      <c r="Q6" s="45" t="s">
        <v>19</v>
      </c>
      <c r="R6" s="36" t="s">
        <v>20</v>
      </c>
      <c r="S6" s="371" t="s">
        <v>21</v>
      </c>
      <c r="T6" s="372" t="s">
        <v>22</v>
      </c>
      <c r="U6" s="373" t="s">
        <v>23</v>
      </c>
      <c r="V6" s="39" t="s">
        <v>24</v>
      </c>
      <c r="W6" s="45" t="s">
        <v>19</v>
      </c>
      <c r="X6" s="39" t="s">
        <v>25</v>
      </c>
      <c r="Y6" s="45" t="s">
        <v>26</v>
      </c>
      <c r="Z6" s="77"/>
      <c r="AA6" s="76"/>
      <c r="AB6" s="76"/>
      <c r="AC6" s="14"/>
      <c r="AD6" s="14"/>
      <c r="AE6" s="140" t="s">
        <v>5</v>
      </c>
      <c r="AF6" s="327" t="s">
        <v>359</v>
      </c>
      <c r="AG6" s="52" t="s">
        <v>27</v>
      </c>
      <c r="AH6" s="52" t="s">
        <v>27</v>
      </c>
      <c r="AI6" s="52" t="s">
        <v>27</v>
      </c>
      <c r="AJ6" s="52" t="s">
        <v>27</v>
      </c>
      <c r="AK6" s="57" t="s">
        <v>27</v>
      </c>
      <c r="AL6" s="226"/>
      <c r="AM6" s="224" t="str">
        <f>IFERROR(INDEX({"Sun","Mon","Tue","Wed","Thus","Fri","Sat"},WEEKDAY(AM7)),"")</f>
        <v>Sun</v>
      </c>
      <c r="AN6" s="135" t="str">
        <f>IFERROR(INDEX({"Sun","Mon","Tue","Wed","Thus","Fri","Sat"},WEEKDAY(AN7)),"")</f>
        <v>Mon</v>
      </c>
      <c r="AO6" s="135" t="str">
        <f>IFERROR(INDEX({"Sun","Mon","Tue","Wed","Thus","Fri","Sat"},WEEKDAY(AO7)),"")</f>
        <v>Tue</v>
      </c>
      <c r="AP6" s="135" t="str">
        <f>IFERROR(INDEX({"Sun","Mon","Tue","Wed","Thus","Fri","Sat"},WEEKDAY(AP7)),"")</f>
        <v>Wed</v>
      </c>
      <c r="AQ6" s="135" t="str">
        <f>IFERROR(INDEX({"Sun","Mon","Tue","Wed","Thus","Fri","Sat"},WEEKDAY(AQ7)),"")</f>
        <v>Thus</v>
      </c>
      <c r="AR6" s="135" t="str">
        <f>IFERROR(INDEX({"Sun","Mon","Tue","Wed","Thus","Fri","Sat"},WEEKDAY(AR7)),"")</f>
        <v>Fri</v>
      </c>
      <c r="AS6" s="135" t="str">
        <f>IFERROR(INDEX({"Sun","Mon","Tue","Wed","Thus","Fri","Sat"},WEEKDAY(AS7)),"")</f>
        <v>Sat</v>
      </c>
      <c r="AT6" s="135" t="str">
        <f>IFERROR(INDEX({"Sun","Mon","Tue","Wed","Thus","Fri","Sat"},WEEKDAY(AT7)),"")</f>
        <v>Sun</v>
      </c>
      <c r="AU6" s="135" t="str">
        <f>IFERROR(INDEX({"Sun","Mon","Tue","Wed","Thus","Fri","Sat"},WEEKDAY(AU7)),"")</f>
        <v>Mon</v>
      </c>
      <c r="AV6" s="135" t="str">
        <f>IFERROR(INDEX({"Sun","Mon","Tue","Wed","Thus","Fri","Sat"},WEEKDAY(AV7)),"")</f>
        <v>Tue</v>
      </c>
      <c r="AW6" s="135" t="str">
        <f>IFERROR(INDEX({"Sun","Mon","Tue","Wed","Thus","Fri","Sat"},WEEKDAY(AW7)),"")</f>
        <v>Wed</v>
      </c>
      <c r="AX6" s="135" t="str">
        <f>IFERROR(INDEX({"Sun","Mon","Tue","Wed","Thus","Fri","Sat"},WEEKDAY(AX7)),"")</f>
        <v>Thus</v>
      </c>
      <c r="AY6" s="135" t="str">
        <f>IFERROR(INDEX({"Sun","Mon","Tue","Wed","Thus","Fri","Sat"},WEEKDAY(AY7)),"")</f>
        <v>Fri</v>
      </c>
      <c r="AZ6" s="135" t="str">
        <f>IFERROR(INDEX({"Sun","Mon","Tue","Wed","Thus","Fri","Sat"},WEEKDAY(AZ7)),"")</f>
        <v>Sat</v>
      </c>
      <c r="BA6" s="135" t="str">
        <f>IFERROR(INDEX({"Sun","Mon","Tue","Wed","Thus","Fri","Sat"},WEEKDAY(BA7)),"")</f>
        <v>Sun</v>
      </c>
      <c r="BB6" s="135" t="str">
        <f>IFERROR(INDEX({"Sun","Mon","Tue","Wed","Thus","Fri","Sat"},WEEKDAY(BB7)),"")</f>
        <v>Mon</v>
      </c>
      <c r="BC6" s="135" t="str">
        <f>IFERROR(INDEX({"Sun","Mon","Tue","Wed","Thus","Fri","Sat"},WEEKDAY(BC7)),"")</f>
        <v>Tue</v>
      </c>
      <c r="BD6" s="135" t="str">
        <f>IFERROR(INDEX({"Sun","Mon","Tue","Wed","Thus","Fri","Sat"},WEEKDAY(BD7)),"")</f>
        <v>Wed</v>
      </c>
      <c r="BE6" s="135" t="str">
        <f>IFERROR(INDEX({"Sun","Mon","Tue","Wed","Thus","Fri","Sat"},WEEKDAY(BE7)),"")</f>
        <v>Thus</v>
      </c>
      <c r="BF6" s="135" t="str">
        <f>IFERROR(INDEX({"Sun","Mon","Tue","Wed","Thus","Fri","Sat"},WEEKDAY(BF7)),"")</f>
        <v>Fri</v>
      </c>
      <c r="BG6" s="135" t="str">
        <f>IFERROR(INDEX({"Sun","Mon","Tue","Wed","Thus","Fri","Sat"},WEEKDAY(BG7)),"")</f>
        <v>Sat</v>
      </c>
      <c r="BH6" s="135" t="str">
        <f>IFERROR(INDEX({"Sun","Mon","Tue","Wed","Thus","Fri","Sat"},WEEKDAY(BH7)),"")</f>
        <v>Sun</v>
      </c>
      <c r="BI6" s="135" t="str">
        <f>IFERROR(INDEX({"Sun","Mon","Tue","Wed","Thus","Fri","Sat"},WEEKDAY(BI7)),"")</f>
        <v>Mon</v>
      </c>
      <c r="BJ6" s="135" t="str">
        <f>IFERROR(INDEX({"Sun","Mon","Tue","Wed","Thus","Fri","Sat"},WEEKDAY(BJ7)),"")</f>
        <v>Tue</v>
      </c>
      <c r="BK6" s="135" t="str">
        <f>IFERROR(INDEX({"Sun","Mon","Tue","Wed","Thus","Fri","Sat"},WEEKDAY(BK7)),"")</f>
        <v>Wed</v>
      </c>
      <c r="BL6" s="135" t="str">
        <f>IFERROR(INDEX({"Sun","Mon","Tue","Wed","Thus","Fri","Sat"},WEEKDAY(BL7)),"")</f>
        <v>Thus</v>
      </c>
      <c r="BM6" s="135" t="str">
        <f>IFERROR(INDEX({"Sun","Mon","Tue","Wed","Thus","Fri","Sat"},WEEKDAY(BM7)),"")</f>
        <v>Fri</v>
      </c>
      <c r="BN6" s="135" t="str">
        <f>IFERROR(INDEX({"Sun","Mon","Tue","Wed","Thus","Fri","Sat"},WEEKDAY(BN7)),"")</f>
        <v>Sat</v>
      </c>
      <c r="BO6" s="135" t="str">
        <f>IFERROR(INDEX({"Sun","Mon","Tue","Wed","Thus","Fri","Sat"},WEEKDAY(BO7)),"")</f>
        <v>Sun</v>
      </c>
      <c r="BP6" s="135" t="str">
        <f>IFERROR(INDEX({"Sun","Mon","Tue","Wed","Thus","Fri","Sat"},WEEKDAY(BP7)),"")</f>
        <v>Mon</v>
      </c>
      <c r="BQ6" s="135" t="str">
        <f>IFERROR(INDEX({"Sun","Mon","Tue","Wed","Thus","Fri","Sat"},WEEKDAY(BQ7)),"")</f>
        <v>Tue</v>
      </c>
      <c r="BR6" s="135" t="str">
        <f>IFERROR(INDEX({"Sun","Mon","Tue","Wed","Thus","Fri","Sat"},WEEKDAY(BR7)),"")</f>
        <v>Wed</v>
      </c>
      <c r="BS6" s="135" t="str">
        <f>IFERROR(INDEX({"Sun","Mon","Tue","Wed","Thus","Fri","Sat"},WEEKDAY(BS7)),"")</f>
        <v>Thus</v>
      </c>
      <c r="BT6" s="135" t="str">
        <f>IFERROR(INDEX({"Sun","Mon","Tue","Wed","Thus","Fri","Sat"},WEEKDAY(BT7)),"")</f>
        <v>Fri</v>
      </c>
      <c r="BU6" s="135" t="str">
        <f>IFERROR(INDEX({"Sun","Mon","Tue","Wed","Thus","Fri","Sat"},WEEKDAY(BU7)),"")</f>
        <v>Sat</v>
      </c>
      <c r="BV6" s="135" t="str">
        <f>IFERROR(INDEX({"Sun","Mon","Tue","Wed","Thus","Fri","Sat"},WEEKDAY(BV7)),"")</f>
        <v>Sun</v>
      </c>
      <c r="BW6" s="135" t="str">
        <f>IFERROR(INDEX({"Sun","Mon","Tue","Wed","Thus","Fri","Sat"},WEEKDAY(BW7)),"")</f>
        <v>Mon</v>
      </c>
      <c r="BX6" s="135" t="str">
        <f>IFERROR(INDEX({"Sun","Mon","Tue","Wed","Thus","Fri","Sat"},WEEKDAY(BX7)),"")</f>
        <v>Tue</v>
      </c>
      <c r="BY6" s="135" t="str">
        <f>IFERROR(INDEX({"Sun","Mon","Tue","Wed","Thus","Fri","Sat"},WEEKDAY(BY7)),"")</f>
        <v>Wed</v>
      </c>
      <c r="BZ6" s="135" t="str">
        <f>IFERROR(INDEX({"Sun","Mon","Tue","Wed","Thus","Fri","Sat"},WEEKDAY(BZ7)),"")</f>
        <v>Thus</v>
      </c>
      <c r="CA6" s="135" t="str">
        <f>IFERROR(INDEX({"Sun","Mon","Tue","Wed","Thus","Fri","Sat"},WEEKDAY(CA7)),"")</f>
        <v>Fri</v>
      </c>
      <c r="CB6" s="135" t="str">
        <f>IFERROR(INDEX({"Sun","Mon","Tue","Wed","Thus","Fri","Sat"},WEEKDAY(CB7)),"")</f>
        <v>Sat</v>
      </c>
      <c r="CC6" s="135" t="str">
        <f>IFERROR(INDEX({"Sun","Mon","Tue","Wed","Thus","Fri","Sat"},WEEKDAY(CC7)),"")</f>
        <v>Sun</v>
      </c>
      <c r="CD6" s="135" t="str">
        <f>IFERROR(INDEX({"Sun","Mon","Tue","Wed","Thus","Fri","Sat"},WEEKDAY(CD7)),"")</f>
        <v>Mon</v>
      </c>
      <c r="CE6" s="135" t="str">
        <f>IFERROR(INDEX({"Sun","Mon","Tue","Wed","Thus","Fri","Sat"},WEEKDAY(CE7)),"")</f>
        <v>Tue</v>
      </c>
      <c r="CF6" s="135" t="str">
        <f>IFERROR(INDEX({"Sun","Mon","Tue","Wed","Thus","Fri","Sat"},WEEKDAY(CF7)),"")</f>
        <v>Wed</v>
      </c>
      <c r="CG6" s="135" t="str">
        <f>IFERROR(INDEX({"Sun","Mon","Tue","Wed","Thus","Fri","Sat"},WEEKDAY(CG7)),"")</f>
        <v>Thus</v>
      </c>
      <c r="CH6" s="135" t="str">
        <f>IFERROR(INDEX({"Sun","Mon","Tue","Wed","Thus","Fri","Sat"},WEEKDAY(CH7)),"")</f>
        <v>Fri</v>
      </c>
      <c r="CI6" s="135" t="str">
        <f>IFERROR(INDEX({"Sun","Mon","Tue","Wed","Thus","Fri","Sat"},WEEKDAY(CI7)),"")</f>
        <v>Sat</v>
      </c>
      <c r="CJ6" s="135" t="str">
        <f>IFERROR(INDEX({"Sun","Mon","Tue","Wed","Thus","Fri","Sat"},WEEKDAY(CJ7)),"")</f>
        <v>Sun</v>
      </c>
      <c r="CK6" s="135" t="str">
        <f>IFERROR(INDEX({"Sun","Mon","Tue","Wed","Thus","Fri","Sat"},WEEKDAY(CK7)),"")</f>
        <v>Mon</v>
      </c>
      <c r="CL6" s="135" t="str">
        <f>IFERROR(INDEX({"Sun","Mon","Tue","Wed","Thus","Fri","Sat"},WEEKDAY(CL7)),"")</f>
        <v>Tue</v>
      </c>
      <c r="CM6" s="135" t="str">
        <f>IFERROR(INDEX({"Sun","Mon","Tue","Wed","Thus","Fri","Sat"},WEEKDAY(CM7)),"")</f>
        <v>Wed</v>
      </c>
      <c r="CN6" s="135" t="str">
        <f>IFERROR(INDEX({"Sun","Mon","Tue","Wed","Thus","Fri","Sat"},WEEKDAY(CN7)),"")</f>
        <v>Thus</v>
      </c>
      <c r="CO6" s="135" t="str">
        <f>IFERROR(INDEX({"Sun","Mon","Tue","Wed","Thus","Fri","Sat"},WEEKDAY(CO7)),"")</f>
        <v>Fri</v>
      </c>
      <c r="CP6" s="135" t="str">
        <f>IFERROR(INDEX({"Sun","Mon","Tue","Wed","Thus","Fri","Sat"},WEEKDAY(CP7)),"")</f>
        <v>Sat</v>
      </c>
      <c r="CQ6" s="135" t="str">
        <f>IFERROR(INDEX({"Sun","Mon","Tue","Wed","Thus","Fri","Sat"},WEEKDAY(CQ7)),"")</f>
        <v>Sun</v>
      </c>
      <c r="CR6" s="135" t="str">
        <f>IFERROR(INDEX({"Sun","Mon","Tue","Wed","Thus","Fri","Sat"},WEEKDAY(CR7)),"")</f>
        <v>Mon</v>
      </c>
      <c r="CS6" s="135" t="str">
        <f>IFERROR(INDEX({"Sun","Mon","Tue","Wed","Thus","Fri","Sat"},WEEKDAY(CS7)),"")</f>
        <v>Tue</v>
      </c>
      <c r="CT6" s="135" t="str">
        <f>IFERROR(INDEX({"Sun","Mon","Tue","Wed","Thus","Fri","Sat"},WEEKDAY(CT7)),"")</f>
        <v>Wed</v>
      </c>
      <c r="CU6" s="135" t="str">
        <f>IFERROR(INDEX({"Sun","Mon","Tue","Wed","Thus","Fri","Sat"},WEEKDAY(CU7)),"")</f>
        <v>Thus</v>
      </c>
      <c r="CV6" s="87"/>
      <c r="CW6" s="87"/>
      <c r="CX6" s="81"/>
      <c r="CY6" s="243"/>
      <c r="CZ6" s="241"/>
      <c r="DA6" s="241"/>
      <c r="DB6" s="243"/>
      <c r="DC6" s="241"/>
      <c r="DD6" s="241"/>
      <c r="DE6" s="98">
        <f>SUMIF(G:G,"SW",DG:DG)</f>
        <v>61</v>
      </c>
      <c r="DF6" s="97">
        <f>SUMIF(G:G,"EC",DG:DG)</f>
        <v>80</v>
      </c>
      <c r="DG6" s="300"/>
      <c r="DH6" s="299"/>
      <c r="DI6" s="302"/>
      <c r="DJ6" s="241"/>
      <c r="DK6" s="82"/>
      <c r="DL6" s="83"/>
      <c r="DM6" s="87"/>
    </row>
    <row r="7" spans="1:117" ht="28.5" customHeight="1" thickBot="1">
      <c r="B7" s="14"/>
      <c r="C7" s="31" t="s">
        <v>28</v>
      </c>
      <c r="D7" s="90" t="s">
        <v>305</v>
      </c>
      <c r="E7" s="32" t="s">
        <v>29</v>
      </c>
      <c r="F7" s="33" t="s">
        <v>10</v>
      </c>
      <c r="G7" s="33" t="s">
        <v>11</v>
      </c>
      <c r="H7" s="33" t="s">
        <v>12</v>
      </c>
      <c r="I7" s="33" t="s">
        <v>13</v>
      </c>
      <c r="J7" s="41" t="s">
        <v>30</v>
      </c>
      <c r="K7" s="41" t="s">
        <v>31</v>
      </c>
      <c r="L7" s="33" t="s">
        <v>30</v>
      </c>
      <c r="M7" s="33" t="s">
        <v>31</v>
      </c>
      <c r="N7" s="33" t="s">
        <v>30</v>
      </c>
      <c r="O7" s="33" t="s">
        <v>31</v>
      </c>
      <c r="P7" s="33" t="s">
        <v>30</v>
      </c>
      <c r="Q7" s="46" t="s">
        <v>31</v>
      </c>
      <c r="R7" s="47" t="s">
        <v>21</v>
      </c>
      <c r="S7" s="371"/>
      <c r="T7" s="372"/>
      <c r="U7" s="373"/>
      <c r="V7" s="33" t="s">
        <v>32</v>
      </c>
      <c r="W7" s="33" t="s">
        <v>31</v>
      </c>
      <c r="X7" s="33" t="s">
        <v>32</v>
      </c>
      <c r="Y7" s="33" t="s">
        <v>31</v>
      </c>
      <c r="Z7" s="41" t="s">
        <v>33</v>
      </c>
      <c r="AA7" s="41" t="s">
        <v>88</v>
      </c>
      <c r="AB7" s="41" t="s">
        <v>34</v>
      </c>
      <c r="AC7" s="14"/>
      <c r="AD7" s="249" t="s">
        <v>254</v>
      </c>
      <c r="AE7" s="14"/>
      <c r="AF7" s="41" t="s">
        <v>36</v>
      </c>
      <c r="AG7" s="53" t="s">
        <v>37</v>
      </c>
      <c r="AH7" s="53" t="s">
        <v>38</v>
      </c>
      <c r="AI7" s="53" t="s">
        <v>39</v>
      </c>
      <c r="AJ7" s="53" t="s">
        <v>40</v>
      </c>
      <c r="AK7" s="53" t="s">
        <v>41</v>
      </c>
      <c r="AL7" s="137" t="s">
        <v>125</v>
      </c>
      <c r="AM7" s="225">
        <f>IF(WEEKDAY(MIN(V9:V55))&lt;&gt;7,IF($BU$3="SecondMonth",MIN(V9:V55)+30,MIN(V9:V55)-(WEEKDAY(MIN(V9:V55))-1)),IF($BU$3="SecondMonth",MIN(V9:V55)+30,MIN(V9:V55)-(WEEKDAY(MIN(V9:V55))-1)))</f>
        <v>44346</v>
      </c>
      <c r="AN7" s="58">
        <f>IF(AM7&lt;$BU$2,AM7+$AT$3,"")</f>
        <v>44347</v>
      </c>
      <c r="AO7" s="58">
        <f t="shared" ref="AO7:CU7" si="1">IF(AN7&lt;$BU$2,AN7+$AT$3,"")</f>
        <v>44348</v>
      </c>
      <c r="AP7" s="58">
        <f t="shared" si="1"/>
        <v>44349</v>
      </c>
      <c r="AQ7" s="58">
        <f t="shared" si="1"/>
        <v>44350</v>
      </c>
      <c r="AR7" s="58">
        <f t="shared" si="1"/>
        <v>44351</v>
      </c>
      <c r="AS7" s="58">
        <f t="shared" si="1"/>
        <v>44352</v>
      </c>
      <c r="AT7" s="58">
        <f t="shared" si="1"/>
        <v>44353</v>
      </c>
      <c r="AU7" s="58">
        <f t="shared" si="1"/>
        <v>44354</v>
      </c>
      <c r="AV7" s="58">
        <f t="shared" si="1"/>
        <v>44355</v>
      </c>
      <c r="AW7" s="58">
        <f t="shared" si="1"/>
        <v>44356</v>
      </c>
      <c r="AX7" s="58">
        <f t="shared" si="1"/>
        <v>44357</v>
      </c>
      <c r="AY7" s="58">
        <f t="shared" si="1"/>
        <v>44358</v>
      </c>
      <c r="AZ7" s="58">
        <f t="shared" si="1"/>
        <v>44359</v>
      </c>
      <c r="BA7" s="58">
        <f t="shared" si="1"/>
        <v>44360</v>
      </c>
      <c r="BB7" s="58">
        <f t="shared" si="1"/>
        <v>44361</v>
      </c>
      <c r="BC7" s="58">
        <f t="shared" si="1"/>
        <v>44362</v>
      </c>
      <c r="BD7" s="58">
        <f t="shared" si="1"/>
        <v>44363</v>
      </c>
      <c r="BE7" s="58">
        <f t="shared" si="1"/>
        <v>44364</v>
      </c>
      <c r="BF7" s="58">
        <f t="shared" si="1"/>
        <v>44365</v>
      </c>
      <c r="BG7" s="58">
        <f t="shared" si="1"/>
        <v>44366</v>
      </c>
      <c r="BH7" s="58">
        <f t="shared" si="1"/>
        <v>44367</v>
      </c>
      <c r="BI7" s="58">
        <f t="shared" si="1"/>
        <v>44368</v>
      </c>
      <c r="BJ7" s="58">
        <f t="shared" si="1"/>
        <v>44369</v>
      </c>
      <c r="BK7" s="58">
        <f t="shared" si="1"/>
        <v>44370</v>
      </c>
      <c r="BL7" s="58">
        <f t="shared" si="1"/>
        <v>44371</v>
      </c>
      <c r="BM7" s="58">
        <f t="shared" si="1"/>
        <v>44372</v>
      </c>
      <c r="BN7" s="58">
        <f t="shared" si="1"/>
        <v>44373</v>
      </c>
      <c r="BO7" s="58">
        <f t="shared" si="1"/>
        <v>44374</v>
      </c>
      <c r="BP7" s="58">
        <f t="shared" si="1"/>
        <v>44375</v>
      </c>
      <c r="BQ7" s="58">
        <f t="shared" si="1"/>
        <v>44376</v>
      </c>
      <c r="BR7" s="58">
        <f t="shared" si="1"/>
        <v>44377</v>
      </c>
      <c r="BS7" s="58">
        <f t="shared" si="1"/>
        <v>44378</v>
      </c>
      <c r="BT7" s="58">
        <f t="shared" si="1"/>
        <v>44379</v>
      </c>
      <c r="BU7" s="58">
        <f t="shared" si="1"/>
        <v>44380</v>
      </c>
      <c r="BV7" s="58">
        <f t="shared" si="1"/>
        <v>44381</v>
      </c>
      <c r="BW7" s="58">
        <f t="shared" si="1"/>
        <v>44382</v>
      </c>
      <c r="BX7" s="58">
        <f t="shared" si="1"/>
        <v>44383</v>
      </c>
      <c r="BY7" s="58">
        <f t="shared" si="1"/>
        <v>44384</v>
      </c>
      <c r="BZ7" s="58">
        <f t="shared" si="1"/>
        <v>44385</v>
      </c>
      <c r="CA7" s="58">
        <f t="shared" si="1"/>
        <v>44386</v>
      </c>
      <c r="CB7" s="58">
        <f t="shared" si="1"/>
        <v>44387</v>
      </c>
      <c r="CC7" s="58">
        <f t="shared" si="1"/>
        <v>44388</v>
      </c>
      <c r="CD7" s="58">
        <f t="shared" si="1"/>
        <v>44389</v>
      </c>
      <c r="CE7" s="58">
        <f t="shared" si="1"/>
        <v>44390</v>
      </c>
      <c r="CF7" s="58">
        <f t="shared" si="1"/>
        <v>44391</v>
      </c>
      <c r="CG7" s="58">
        <f t="shared" si="1"/>
        <v>44392</v>
      </c>
      <c r="CH7" s="58">
        <f t="shared" si="1"/>
        <v>44393</v>
      </c>
      <c r="CI7" s="58">
        <f t="shared" si="1"/>
        <v>44394</v>
      </c>
      <c r="CJ7" s="58">
        <f t="shared" si="1"/>
        <v>44395</v>
      </c>
      <c r="CK7" s="58">
        <f t="shared" si="1"/>
        <v>44396</v>
      </c>
      <c r="CL7" s="58">
        <f t="shared" si="1"/>
        <v>44397</v>
      </c>
      <c r="CM7" s="58">
        <f t="shared" si="1"/>
        <v>44398</v>
      </c>
      <c r="CN7" s="58">
        <f t="shared" si="1"/>
        <v>44399</v>
      </c>
      <c r="CO7" s="58">
        <f t="shared" si="1"/>
        <v>44400</v>
      </c>
      <c r="CP7" s="58">
        <f t="shared" si="1"/>
        <v>44401</v>
      </c>
      <c r="CQ7" s="58">
        <f t="shared" si="1"/>
        <v>44402</v>
      </c>
      <c r="CR7" s="58">
        <f t="shared" si="1"/>
        <v>44403</v>
      </c>
      <c r="CS7" s="58">
        <f t="shared" si="1"/>
        <v>44404</v>
      </c>
      <c r="CT7" s="58">
        <f t="shared" si="1"/>
        <v>44405</v>
      </c>
      <c r="CU7" s="58">
        <f t="shared" si="1"/>
        <v>44406</v>
      </c>
      <c r="CV7" s="87"/>
      <c r="CW7" s="87"/>
      <c r="CX7" s="81"/>
      <c r="CY7" s="243"/>
      <c r="CZ7" s="241"/>
      <c r="DA7" s="241"/>
      <c r="DB7" s="243"/>
      <c r="DC7" s="241"/>
      <c r="DD7" s="241"/>
      <c r="DE7" s="204">
        <f>SUMIF(G9:G55,"SW",DF9:DF55)</f>
        <v>61</v>
      </c>
      <c r="DF7" s="93">
        <f>SUMIF(G9:G55,"EC",DF9:DF55)</f>
        <v>0</v>
      </c>
      <c r="DG7" s="82"/>
      <c r="DH7" s="82"/>
      <c r="DI7" s="302"/>
      <c r="DJ7" s="241"/>
      <c r="DK7" s="82"/>
      <c r="DL7" s="83"/>
      <c r="DM7" s="87"/>
    </row>
    <row r="8" spans="1:117">
      <c r="A8" s="34" t="s">
        <v>42</v>
      </c>
      <c r="B8" s="34" t="s">
        <v>42</v>
      </c>
      <c r="C8" s="35" t="s">
        <v>42</v>
      </c>
      <c r="D8" s="35" t="s">
        <v>42</v>
      </c>
      <c r="E8" s="36" t="s">
        <v>42</v>
      </c>
      <c r="F8" s="36" t="s">
        <v>42</v>
      </c>
      <c r="G8" s="36" t="s">
        <v>42</v>
      </c>
      <c r="H8" s="36" t="s">
        <v>42</v>
      </c>
      <c r="I8" s="36" t="s">
        <v>42</v>
      </c>
      <c r="J8" s="36" t="s">
        <v>42</v>
      </c>
      <c r="K8" s="36" t="s">
        <v>42</v>
      </c>
      <c r="L8" s="36" t="s">
        <v>42</v>
      </c>
      <c r="M8" s="36" t="s">
        <v>42</v>
      </c>
      <c r="N8" s="36" t="s">
        <v>42</v>
      </c>
      <c r="O8" s="36" t="s">
        <v>42</v>
      </c>
      <c r="P8" s="36" t="s">
        <v>42</v>
      </c>
      <c r="Q8" s="36" t="s">
        <v>42</v>
      </c>
      <c r="R8" s="36" t="s">
        <v>42</v>
      </c>
      <c r="S8" s="36" t="s">
        <v>42</v>
      </c>
      <c r="T8" s="36" t="s">
        <v>42</v>
      </c>
      <c r="U8" s="36" t="s">
        <v>42</v>
      </c>
      <c r="V8" s="36" t="s">
        <v>42</v>
      </c>
      <c r="W8" s="36" t="s">
        <v>42</v>
      </c>
      <c r="X8" s="36" t="s">
        <v>42</v>
      </c>
      <c r="Y8" s="36" t="s">
        <v>42</v>
      </c>
      <c r="Z8" s="36" t="s">
        <v>42</v>
      </c>
      <c r="AA8" s="36" t="s">
        <v>42</v>
      </c>
      <c r="AB8" s="36" t="s">
        <v>42</v>
      </c>
      <c r="AC8" s="14"/>
      <c r="AD8" s="36" t="s">
        <v>42</v>
      </c>
      <c r="AE8" s="14"/>
      <c r="AF8" s="34" t="s">
        <v>42</v>
      </c>
      <c r="AG8" s="34" t="s">
        <v>42</v>
      </c>
      <c r="AH8" s="34" t="s">
        <v>42</v>
      </c>
      <c r="AI8" s="34" t="s">
        <v>42</v>
      </c>
      <c r="AJ8" s="34" t="s">
        <v>42</v>
      </c>
      <c r="AK8" s="34" t="s">
        <v>42</v>
      </c>
      <c r="AL8" s="138"/>
      <c r="AM8" s="59" t="s">
        <v>42</v>
      </c>
      <c r="AN8" s="59" t="s">
        <v>42</v>
      </c>
      <c r="AO8" s="59" t="s">
        <v>42</v>
      </c>
      <c r="AP8" s="59" t="s">
        <v>42</v>
      </c>
      <c r="AQ8" s="59" t="s">
        <v>42</v>
      </c>
      <c r="AR8" s="59" t="s">
        <v>42</v>
      </c>
      <c r="AS8" s="59" t="s">
        <v>42</v>
      </c>
      <c r="AT8" s="59" t="s">
        <v>42</v>
      </c>
      <c r="AU8" s="59" t="s">
        <v>42</v>
      </c>
      <c r="AV8" s="59" t="s">
        <v>42</v>
      </c>
      <c r="AW8" s="59" t="s">
        <v>42</v>
      </c>
      <c r="AX8" s="59" t="s">
        <v>42</v>
      </c>
      <c r="AY8" s="59" t="s">
        <v>42</v>
      </c>
      <c r="AZ8" s="59" t="s">
        <v>42</v>
      </c>
      <c r="BA8" s="59" t="s">
        <v>42</v>
      </c>
      <c r="BB8" s="59" t="s">
        <v>42</v>
      </c>
      <c r="BC8" s="59" t="s">
        <v>42</v>
      </c>
      <c r="BD8" s="59" t="s">
        <v>42</v>
      </c>
      <c r="BE8" s="59" t="s">
        <v>42</v>
      </c>
      <c r="BF8" s="59" t="s">
        <v>42</v>
      </c>
      <c r="BG8" s="59" t="s">
        <v>42</v>
      </c>
      <c r="BH8" s="59" t="s">
        <v>42</v>
      </c>
      <c r="BI8" s="59" t="s">
        <v>42</v>
      </c>
      <c r="BJ8" s="59" t="s">
        <v>42</v>
      </c>
      <c r="BK8" s="59" t="s">
        <v>42</v>
      </c>
      <c r="BL8" s="59" t="s">
        <v>42</v>
      </c>
      <c r="BM8" s="59" t="s">
        <v>42</v>
      </c>
      <c r="BN8" s="59" t="s">
        <v>42</v>
      </c>
      <c r="BO8" s="59" t="s">
        <v>42</v>
      </c>
      <c r="BP8" s="59" t="s">
        <v>42</v>
      </c>
      <c r="BQ8" s="59" t="s">
        <v>42</v>
      </c>
      <c r="BR8" s="59" t="s">
        <v>42</v>
      </c>
      <c r="BS8" s="59" t="s">
        <v>42</v>
      </c>
      <c r="BT8" s="59" t="s">
        <v>42</v>
      </c>
      <c r="BU8" s="59" t="s">
        <v>42</v>
      </c>
      <c r="BV8" s="59" t="s">
        <v>42</v>
      </c>
      <c r="BW8" s="59" t="s">
        <v>42</v>
      </c>
      <c r="BX8" s="59" t="s">
        <v>42</v>
      </c>
      <c r="BY8" s="59" t="s">
        <v>42</v>
      </c>
      <c r="BZ8" s="59" t="s">
        <v>42</v>
      </c>
      <c r="CA8" s="59" t="s">
        <v>42</v>
      </c>
      <c r="CB8" s="59" t="s">
        <v>42</v>
      </c>
      <c r="CC8" s="59" t="s">
        <v>42</v>
      </c>
      <c r="CD8" s="59" t="s">
        <v>42</v>
      </c>
      <c r="CE8" s="59" t="s">
        <v>42</v>
      </c>
      <c r="CF8" s="59" t="s">
        <v>42</v>
      </c>
      <c r="CG8" s="59" t="s">
        <v>42</v>
      </c>
      <c r="CH8" s="59" t="s">
        <v>42</v>
      </c>
      <c r="CI8" s="59" t="s">
        <v>42</v>
      </c>
      <c r="CJ8" s="59" t="s">
        <v>42</v>
      </c>
      <c r="CK8" s="59" t="s">
        <v>42</v>
      </c>
      <c r="CL8" s="59" t="s">
        <v>42</v>
      </c>
      <c r="CM8" s="59" t="s">
        <v>42</v>
      </c>
      <c r="CN8" s="59" t="s">
        <v>42</v>
      </c>
      <c r="CO8" s="59" t="s">
        <v>42</v>
      </c>
      <c r="CP8" s="59" t="s">
        <v>42</v>
      </c>
      <c r="CQ8" s="59" t="s">
        <v>42</v>
      </c>
      <c r="CR8" s="59" t="s">
        <v>42</v>
      </c>
      <c r="CS8" s="59" t="s">
        <v>42</v>
      </c>
      <c r="CT8" s="59" t="s">
        <v>42</v>
      </c>
      <c r="CU8" s="59" t="s">
        <v>42</v>
      </c>
      <c r="CV8" s="87"/>
      <c r="CW8" s="87"/>
      <c r="CX8" s="81"/>
      <c r="CY8" s="110" t="s">
        <v>96</v>
      </c>
      <c r="CZ8" s="111" t="s">
        <v>97</v>
      </c>
      <c r="DA8" s="111" t="s">
        <v>98</v>
      </c>
      <c r="DB8" s="112" t="s">
        <v>99</v>
      </c>
      <c r="DC8" s="110" t="s">
        <v>100</v>
      </c>
      <c r="DD8" s="245" t="s">
        <v>245</v>
      </c>
      <c r="DE8" s="201"/>
      <c r="DF8" s="340" t="s">
        <v>340</v>
      </c>
      <c r="DG8" s="340" t="s">
        <v>341</v>
      </c>
      <c r="DH8" s="113" t="s">
        <v>116</v>
      </c>
      <c r="DI8" s="113"/>
      <c r="DJ8" s="113"/>
      <c r="DK8" s="82"/>
      <c r="DL8" s="83"/>
      <c r="DM8" s="87"/>
    </row>
    <row r="9" spans="1:117">
      <c r="A9" s="336" t="s">
        <v>38</v>
      </c>
      <c r="B9" s="126"/>
      <c r="C9" s="305" t="s">
        <v>273</v>
      </c>
      <c r="D9" s="320">
        <v>90.962829999999997</v>
      </c>
      <c r="E9" s="188"/>
      <c r="F9" s="8" t="s">
        <v>43</v>
      </c>
      <c r="G9" s="8" t="s">
        <v>38</v>
      </c>
      <c r="H9" s="9" t="s">
        <v>45</v>
      </c>
      <c r="I9" s="42" t="s">
        <v>271</v>
      </c>
      <c r="J9" s="130"/>
      <c r="K9" s="130"/>
      <c r="L9" s="130"/>
      <c r="M9" s="130"/>
      <c r="N9" s="130"/>
      <c r="O9" s="130"/>
      <c r="P9" s="130"/>
      <c r="Q9" s="130"/>
      <c r="R9" s="48">
        <f>IFERROR(INDEX('@LeadT_Setting'!$F$6:$J$52,MATCH(I9,'@LeadT_Setting'!$E$6:$E$52,0),MATCH(INDEX('@LeadT_Setting'!$AI$1:$AI$3,MATCH($A9,'@LeadT_Setting'!$AD$1:$AD$3,0),0),'@LeadT_Setting'!$F$1:$J$1,0)),0)</f>
        <v>1</v>
      </c>
      <c r="S9" s="191">
        <f t="shared" ref="S9:S10" si="2">R9</f>
        <v>1</v>
      </c>
      <c r="T9" s="50"/>
      <c r="U9" s="332">
        <v>1E-3</v>
      </c>
      <c r="V9" s="206">
        <f>IFERROR(IF(S9&gt;0,W9-S9+1,W9),"")</f>
        <v>44349</v>
      </c>
      <c r="W9" s="43">
        <f>IFERROR(IF(S9&gt;0,V10-1,V10),"")</f>
        <v>44349</v>
      </c>
      <c r="X9" s="127">
        <v>44349</v>
      </c>
      <c r="Y9" s="127">
        <v>44349</v>
      </c>
      <c r="Z9" s="189">
        <v>1</v>
      </c>
      <c r="AA9" s="190">
        <f ca="1">IFERROR(IF(OR(U9&lt;=0,TODAY()&lt;V9),0,IF(TODAY()&gt;=W9,1,((TODAY()-V9))/((W9-V9)))),0)</f>
        <v>1</v>
      </c>
      <c r="AB9" s="43">
        <f t="shared" ref="AB9:AB27" si="3">IFERROR(IF(V9&lt;&gt;"",V9+(W9-V9)*0.8,""),"")</f>
        <v>44349</v>
      </c>
      <c r="AC9" s="194"/>
      <c r="AD9" s="127"/>
      <c r="AE9" s="14"/>
      <c r="AF9" s="128"/>
      <c r="AG9" s="132" t="s">
        <v>108</v>
      </c>
      <c r="AH9" s="132" t="s">
        <v>108</v>
      </c>
      <c r="AI9" s="132" t="s">
        <v>108</v>
      </c>
      <c r="AJ9" s="91" t="s">
        <v>108</v>
      </c>
      <c r="AK9" s="132" t="s">
        <v>108</v>
      </c>
      <c r="AL9" s="139">
        <f>Z9</f>
        <v>1</v>
      </c>
      <c r="AM9" s="60"/>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6"/>
      <c r="CV9" s="87"/>
      <c r="CW9" s="87"/>
      <c r="CX9" s="78"/>
      <c r="CY9" s="114">
        <f ca="1">IF(OR(AND(TODAY()&gt;W9,Z9&lt;&gt;1,DB9=1),AND(DB9&gt;='@LeadT_Setting'!$AK$6,Z9&lt;='@LeadT_Setting'!$AK$6),AND(Z9&lt;(DB9-'@LeadT_Setting'!$AI$6),DB9&gt;Z9,U9&gt;0,DB9&lt;'@LeadT_Setting'!$AK$6)),1,0)</f>
        <v>0</v>
      </c>
      <c r="CZ9" s="114">
        <f ca="1">IFERROR(AA9*U9,0)</f>
        <v>1E-3</v>
      </c>
      <c r="DA9" s="115">
        <f>IFERROR(Z9*U9,0)</f>
        <v>1E-3</v>
      </c>
      <c r="DB9" s="116">
        <f ca="1">IFERROR(IF(OR(U9&lt;=0,TODAY()&lt;V9),0,IF(TODAY()&gt;=W9,1,((TODAY()-V9))/((W9-V9)))),0)</f>
        <v>1</v>
      </c>
      <c r="DC9" s="117">
        <f ca="1">IF(OR(AND(TODAY()&gt;W9,Z9&lt;&gt;1,DB9=1),AND(DB9&gt;='@LeadT_Setting'!$AK$6,Z9&lt;='@LeadT_Setting'!$AK$6),AND(Z9&lt;(DB9-'@LeadT_Setting'!$AJ$6),DB9&gt;Z9,U9&gt;0)),1,0)</f>
        <v>0</v>
      </c>
      <c r="DD9" s="117">
        <f>IF(Z9=1,0,IF(AD9="Engineering",1,IF(AD9="Purchase",2,IF(AD9="Software",3,IF(AD9="Project Management",4,IF(AD9="Manufacturing",5,IF(AD9="Sales",6,IF(AD9="Client",7,0))))))))</f>
        <v>0</v>
      </c>
      <c r="DE9" s="202"/>
      <c r="DF9" s="119"/>
      <c r="DG9" s="117"/>
      <c r="DH9" s="117">
        <f t="shared" ref="DH9:DH26" ca="1" si="4">IF(OR(AND(U9&gt;0,TODAY()&gt;=AB9,Z9&lt;80%,NOT(ISBLANK(AB9))),AND(Z9&lt;&gt;1,U9&gt;0,$V9&lt;TODAY(),ISBLANK($Y9))),1,0)</f>
        <v>0</v>
      </c>
      <c r="DI9" s="82"/>
      <c r="DJ9" s="93"/>
      <c r="DK9" s="79"/>
      <c r="DL9" s="80"/>
      <c r="DM9" s="87"/>
    </row>
    <row r="10" spans="1:117" ht="15.6">
      <c r="A10" s="336" t="s">
        <v>38</v>
      </c>
      <c r="B10" s="69"/>
      <c r="C10" s="148" t="s">
        <v>46</v>
      </c>
      <c r="D10" s="319" t="s">
        <v>344</v>
      </c>
      <c r="E10" s="188"/>
      <c r="F10" s="8" t="s">
        <v>43</v>
      </c>
      <c r="G10" s="8" t="s">
        <v>38</v>
      </c>
      <c r="H10" s="9" t="s">
        <v>47</v>
      </c>
      <c r="I10" s="42" t="s">
        <v>272</v>
      </c>
      <c r="J10" s="130"/>
      <c r="K10" s="130"/>
      <c r="L10" s="130"/>
      <c r="M10" s="130"/>
      <c r="N10" s="130"/>
      <c r="O10" s="130"/>
      <c r="P10" s="130"/>
      <c r="Q10" s="130"/>
      <c r="R10" s="48">
        <f>IFERROR(INDEX('@LeadT_Setting'!$F$6:$J$52,MATCH(I10,'@LeadT_Setting'!$E$6:$E$52,0),MATCH(INDEX('@LeadT_Setting'!$AI$1:$AI$3,MATCH($A10,'@LeadT_Setting'!$AD$1:$AD$3,0),0),'@LeadT_Setting'!$F$1:$J$1,0)),0)</f>
        <v>1</v>
      </c>
      <c r="S10" s="191">
        <f t="shared" si="2"/>
        <v>1</v>
      </c>
      <c r="T10" s="50"/>
      <c r="U10" s="332">
        <v>1E-3</v>
      </c>
      <c r="V10" s="43">
        <f>IF(ISBLANK(C28),"",C28)</f>
        <v>44350</v>
      </c>
      <c r="W10" s="43">
        <f>IFERROR(IF(S10=0,V10,V10+S10-1),"")</f>
        <v>44350</v>
      </c>
      <c r="X10" s="127">
        <v>44350</v>
      </c>
      <c r="Y10" s="127">
        <v>44350</v>
      </c>
      <c r="Z10" s="189">
        <v>1</v>
      </c>
      <c r="AA10" s="190">
        <f t="shared" ref="AA10:AA28" ca="1" si="5">IFERROR(IF(OR(U10&lt;=0,TODAY()&lt;V10),0,IF(TODAY()&gt;=W10,1,((TODAY()-V10))/((W10-V10)))),0)</f>
        <v>1</v>
      </c>
      <c r="AB10" s="43">
        <f t="shared" si="3"/>
        <v>44350</v>
      </c>
      <c r="AC10" s="209"/>
      <c r="AD10" s="127"/>
      <c r="AE10" s="14"/>
      <c r="AF10" s="238"/>
      <c r="AG10" s="251"/>
      <c r="AH10" s="54"/>
      <c r="AI10" s="54" t="s">
        <v>48</v>
      </c>
      <c r="AJ10" s="54"/>
      <c r="AK10" s="62"/>
      <c r="AL10" s="139">
        <f t="shared" ref="AL10:AL55" si="6">Z10</f>
        <v>1</v>
      </c>
      <c r="AM10" s="63"/>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67"/>
      <c r="CV10" s="87"/>
      <c r="CW10" s="87"/>
      <c r="CX10" s="81"/>
      <c r="CY10" s="87">
        <f ca="1">IF(OR(AND(TODAY()&gt;W10,Z10&lt;&gt;1,DB10=1),AND(DB10&gt;='@LeadT_Setting'!$AK$6,Z10&lt;='@LeadT_Setting'!$AK$6),AND(Z10&lt;(DB10-'@LeadT_Setting'!$AI$6),DB10&gt;Z10,U10&gt;0,DB10&lt;'@LeadT_Setting'!$AK$6)),1,0)</f>
        <v>0</v>
      </c>
      <c r="CZ10" s="87">
        <f t="shared" ref="CZ10:CZ46" ca="1" si="7">IFERROR(AA10*U10,0)</f>
        <v>1E-3</v>
      </c>
      <c r="DA10" s="118">
        <f t="shared" ref="DA10:DA46" si="8">IFERROR(Z10*U10,0)</f>
        <v>1E-3</v>
      </c>
      <c r="DB10" s="88">
        <f t="shared" ref="DB10:DB46" ca="1" si="9">IFERROR(IF(OR(U10&lt;=0,TODAY()&lt;V10),0,IF(TODAY()&gt;=W10,1,((TODAY()-V10))/((W10-V10)))),0)</f>
        <v>1</v>
      </c>
      <c r="DC10" s="118">
        <f ca="1">IF(OR(AND(TODAY()&gt;W10,Z10&lt;&gt;1,DB10=1),AND(DB10&gt;='@LeadT_Setting'!$AK$6,Z10&lt;='@LeadT_Setting'!$AK$6),AND(Z10&lt;(DB10-'@LeadT_Setting'!$AJ$6),DB10&gt;Z10,U10&gt;0)),1,0)</f>
        <v>0</v>
      </c>
      <c r="DD10" s="119">
        <f t="shared" ref="DD10:DD46" si="10">IF(Z10=1,0,IF(AD10="Engineering",1,IF(AD10="Purchase",2,IF(AD10="Software",3,IF(AD10="Project Management",4,IF(AD10="Manufacturing",5,IF(AD10="Sales",6,IF(AD10="Client",7,0))))))))</f>
        <v>0</v>
      </c>
      <c r="DE10" s="202"/>
      <c r="DF10" s="119"/>
      <c r="DG10" s="119"/>
      <c r="DH10" s="119">
        <f t="shared" ca="1" si="4"/>
        <v>0</v>
      </c>
      <c r="DI10" s="82"/>
      <c r="DJ10" s="93"/>
      <c r="DK10" s="82"/>
      <c r="DL10" s="83"/>
      <c r="DM10" s="87"/>
    </row>
    <row r="11" spans="1:117">
      <c r="A11" s="336" t="s">
        <v>38</v>
      </c>
      <c r="B11" s="69"/>
      <c r="C11" s="149" t="s">
        <v>49</v>
      </c>
      <c r="D11" s="319" t="s">
        <v>345</v>
      </c>
      <c r="E11" s="188"/>
      <c r="F11" s="8" t="s">
        <v>54</v>
      </c>
      <c r="G11" s="8" t="s">
        <v>38</v>
      </c>
      <c r="H11" s="9" t="s">
        <v>55</v>
      </c>
      <c r="I11" s="42" t="s">
        <v>281</v>
      </c>
      <c r="J11" s="130"/>
      <c r="K11" s="130"/>
      <c r="L11" s="130"/>
      <c r="M11" s="130"/>
      <c r="N11" s="130"/>
      <c r="O11" s="130"/>
      <c r="P11" s="130"/>
      <c r="Q11" s="130"/>
      <c r="R11" s="48">
        <f>IFERROR(INDEX('@LeadT_Setting'!$F$6:$J$52,MATCH(I11,'@LeadT_Setting'!$E$6:$E$52,0),MATCH(INDEX('@LeadT_Setting'!$AI$1:$AI$3,MATCH($A11,'@LeadT_Setting'!$AD$1:$AD$3,0),0),'@LeadT_Setting'!$F$1:$J$1,0)),0)</f>
        <v>5</v>
      </c>
      <c r="S11" s="191">
        <v>5</v>
      </c>
      <c r="T11" s="50"/>
      <c r="U11" s="331">
        <v>3</v>
      </c>
      <c r="V11" s="43">
        <f>IFERROR(IF(OR(S11=0,S11=""),W11,W11-S11+1),"")</f>
        <v>45338</v>
      </c>
      <c r="W11" s="43">
        <f>IFERROR(V12-1+E11,"")</f>
        <v>45342</v>
      </c>
      <c r="X11" s="127">
        <v>45338</v>
      </c>
      <c r="Y11" s="127">
        <v>45342</v>
      </c>
      <c r="Z11" s="189">
        <v>1</v>
      </c>
      <c r="AA11" s="190">
        <f t="shared" ca="1" si="5"/>
        <v>1</v>
      </c>
      <c r="AB11" s="43">
        <f t="shared" si="3"/>
        <v>45341.2</v>
      </c>
      <c r="AC11" s="209"/>
      <c r="AD11" s="127"/>
      <c r="AE11" s="209"/>
      <c r="AF11" s="128"/>
      <c r="AG11" s="274"/>
      <c r="AH11" s="275"/>
      <c r="AI11" s="275"/>
      <c r="AJ11" s="275"/>
      <c r="AK11" s="276"/>
      <c r="AL11" s="139">
        <f t="shared" si="6"/>
        <v>1</v>
      </c>
      <c r="AM11" s="63"/>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67"/>
      <c r="CV11" s="87"/>
      <c r="CW11" s="87"/>
      <c r="CX11" s="81"/>
      <c r="CY11" s="87">
        <f ca="1">IF(OR(AND(TODAY()&gt;W11,Z11&lt;&gt;1,DB11=1),AND(DB11&gt;='@LeadT_Setting'!$AK$6,Z11&lt;='@LeadT_Setting'!$AK$6),AND(Z11&lt;(DB11-'@LeadT_Setting'!$AI$6),DB11&gt;Z11,U11&gt;0,DB11&lt;'@LeadT_Setting'!$AK$6)),1,0)</f>
        <v>0</v>
      </c>
      <c r="CZ11" s="87">
        <f t="shared" ca="1" si="7"/>
        <v>3</v>
      </c>
      <c r="DA11" s="118">
        <f t="shared" si="8"/>
        <v>3</v>
      </c>
      <c r="DB11" s="88">
        <f t="shared" ca="1" si="9"/>
        <v>1</v>
      </c>
      <c r="DC11" s="118">
        <f ca="1">IF(OR(AND(TODAY()&gt;W11,Z11&lt;&gt;1,DB11=1),AND(DB11&gt;='@LeadT_Setting'!$AK$6,Z11&lt;='@LeadT_Setting'!$AK$6),AND(Z11&lt;(DB11-'@LeadT_Setting'!$AJ$6),DB11&gt;Z11,U11&gt;0)),1,0)</f>
        <v>0</v>
      </c>
      <c r="DD11" s="119">
        <f t="shared" si="10"/>
        <v>0</v>
      </c>
      <c r="DE11" s="202"/>
      <c r="DF11" s="119">
        <f t="shared" ref="DF11:DF35" si="11">Z11*U11</f>
        <v>3</v>
      </c>
      <c r="DG11" s="119">
        <f>U11</f>
        <v>3</v>
      </c>
      <c r="DH11" s="119">
        <f t="shared" ca="1" si="4"/>
        <v>0</v>
      </c>
      <c r="DI11" s="82"/>
      <c r="DJ11" s="93"/>
      <c r="DK11" s="82"/>
      <c r="DL11" s="83"/>
      <c r="DM11" s="87"/>
    </row>
    <row r="12" spans="1:117">
      <c r="A12" s="336" t="s">
        <v>38</v>
      </c>
      <c r="B12" s="69"/>
      <c r="C12" s="149" t="s">
        <v>50</v>
      </c>
      <c r="D12" s="319" t="s">
        <v>346</v>
      </c>
      <c r="E12" s="188"/>
      <c r="F12" s="8" t="s">
        <v>54</v>
      </c>
      <c r="G12" s="8" t="s">
        <v>38</v>
      </c>
      <c r="H12" s="9" t="s">
        <v>56</v>
      </c>
      <c r="I12" s="42" t="s">
        <v>282</v>
      </c>
      <c r="J12" s="130"/>
      <c r="K12" s="130"/>
      <c r="L12" s="130"/>
      <c r="M12" s="130"/>
      <c r="N12" s="130"/>
      <c r="O12" s="130"/>
      <c r="P12" s="130"/>
      <c r="Q12" s="130"/>
      <c r="R12" s="330">
        <f>IFERROR(INDEX('@LeadT_Setting'!$F$6:$J$52,MATCH(I12,'@LeadT_Setting'!$E$6:$E$52,0),MATCH(INDEX('@LeadT_Setting'!$AI$1:$AI$3,MATCH($A12,'@LeadT_Setting'!$AD$1:$AD$3,0),0),'@LeadT_Setting'!$F$1:$J$1,0)),0)</f>
        <v>6</v>
      </c>
      <c r="S12" s="191">
        <v>6</v>
      </c>
      <c r="T12" s="9" t="s">
        <v>178</v>
      </c>
      <c r="U12" s="331">
        <v>1</v>
      </c>
      <c r="V12" s="43">
        <f t="shared" ref="V12:V15" si="12">IFERROR(IF(OR(S12=0,S12=""),W12,W12-S12+1),"")</f>
        <v>45343</v>
      </c>
      <c r="W12" s="43">
        <f t="shared" ref="W12:W15" si="13">IFERROR(IF(S13=0,V13,V13-1),"")</f>
        <v>45348</v>
      </c>
      <c r="X12" s="127">
        <v>45343</v>
      </c>
      <c r="Y12" s="127">
        <v>45348</v>
      </c>
      <c r="Z12" s="189">
        <v>1</v>
      </c>
      <c r="AA12" s="190">
        <f t="shared" ca="1" si="5"/>
        <v>1</v>
      </c>
      <c r="AB12" s="43">
        <f t="shared" si="3"/>
        <v>45347</v>
      </c>
      <c r="AC12" s="209"/>
      <c r="AD12" s="127"/>
      <c r="AE12" s="14"/>
      <c r="AF12" s="128"/>
      <c r="AG12" s="277"/>
      <c r="AH12" s="278"/>
      <c r="AI12" s="278"/>
      <c r="AJ12" s="279"/>
      <c r="AK12" s="280"/>
      <c r="AL12" s="139">
        <f t="shared" si="6"/>
        <v>1</v>
      </c>
      <c r="AM12" s="63"/>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67"/>
      <c r="CV12" s="87"/>
      <c r="CW12" s="87"/>
      <c r="CX12" s="81"/>
      <c r="CY12" s="87">
        <f ca="1">IF(OR(AND(TODAY()&gt;W12,Z12&lt;&gt;1,DB12=1),AND(DB12&gt;='@LeadT_Setting'!$AK$6,Z12&lt;='@LeadT_Setting'!$AK$6),AND(Z12&lt;(DB12-'@LeadT_Setting'!$AI$6),DB12&gt;Z12,U12&gt;0,DB12&lt;'@LeadT_Setting'!$AK$6)),1,0)</f>
        <v>0</v>
      </c>
      <c r="CZ12" s="87">
        <f t="shared" ca="1" si="7"/>
        <v>1</v>
      </c>
      <c r="DA12" s="118">
        <f t="shared" si="8"/>
        <v>1</v>
      </c>
      <c r="DB12" s="88">
        <f t="shared" ca="1" si="9"/>
        <v>1</v>
      </c>
      <c r="DC12" s="118">
        <f ca="1">IF(OR(AND(TODAY()&gt;W12,Z12&lt;&gt;1,DB12=1),AND(DB12&gt;='@LeadT_Setting'!$AK$6,Z12&lt;='@LeadT_Setting'!$AK$6),AND(Z12&lt;(DB12-'@LeadT_Setting'!$AJ$6),DB12&gt;Z12,U12&gt;0)),1,0)</f>
        <v>0</v>
      </c>
      <c r="DD12" s="119">
        <f t="shared" si="10"/>
        <v>0</v>
      </c>
      <c r="DE12" s="240"/>
      <c r="DF12" s="119">
        <f t="shared" si="11"/>
        <v>1</v>
      </c>
      <c r="DG12" s="119">
        <f t="shared" ref="DG12:DG27" si="14">U12</f>
        <v>1</v>
      </c>
      <c r="DH12" s="119">
        <f t="shared" ca="1" si="4"/>
        <v>0</v>
      </c>
      <c r="DI12" s="82"/>
      <c r="DJ12" s="93"/>
      <c r="DK12" s="82"/>
      <c r="DL12" s="83"/>
      <c r="DM12" s="87"/>
    </row>
    <row r="13" spans="1:117">
      <c r="A13" s="336" t="s">
        <v>38</v>
      </c>
      <c r="B13" s="14"/>
      <c r="C13" s="148" t="s">
        <v>51</v>
      </c>
      <c r="D13" s="319" t="s">
        <v>347</v>
      </c>
      <c r="E13" s="188"/>
      <c r="F13" s="8" t="s">
        <v>54</v>
      </c>
      <c r="G13" s="8" t="s">
        <v>38</v>
      </c>
      <c r="H13" s="9" t="s">
        <v>58</v>
      </c>
      <c r="I13" s="42" t="s">
        <v>283</v>
      </c>
      <c r="J13" s="130"/>
      <c r="K13" s="130"/>
      <c r="L13" s="130"/>
      <c r="M13" s="130"/>
      <c r="N13" s="130"/>
      <c r="O13" s="130"/>
      <c r="P13" s="130"/>
      <c r="Q13" s="130"/>
      <c r="R13" s="330">
        <f>IFERROR(INDEX('@LeadT_Setting'!$F$6:$J$52,MATCH(I13,'@LeadT_Setting'!$E$6:$E$52,0),MATCH(INDEX('@LeadT_Setting'!$AI$1:$AI$3,MATCH($A13,'@LeadT_Setting'!$AD$1:$AD$3,0),0),'@LeadT_Setting'!$F$1:$J$1,0)),0)</f>
        <v>1</v>
      </c>
      <c r="S13" s="191">
        <v>1</v>
      </c>
      <c r="T13" s="50"/>
      <c r="U13" s="331">
        <v>2</v>
      </c>
      <c r="V13" s="43">
        <f t="shared" si="12"/>
        <v>45349</v>
      </c>
      <c r="W13" s="43">
        <f t="shared" si="13"/>
        <v>45349</v>
      </c>
      <c r="X13" s="127">
        <v>45349</v>
      </c>
      <c r="Y13" s="127">
        <v>45349</v>
      </c>
      <c r="Z13" s="189">
        <v>1</v>
      </c>
      <c r="AA13" s="190">
        <f t="shared" ca="1" si="5"/>
        <v>1</v>
      </c>
      <c r="AB13" s="43">
        <f t="shared" si="3"/>
        <v>45349</v>
      </c>
      <c r="AC13" s="209"/>
      <c r="AD13" s="127"/>
      <c r="AE13" s="14"/>
      <c r="AF13" s="128"/>
      <c r="AG13" s="281"/>
      <c r="AH13" s="282"/>
      <c r="AI13" s="56"/>
      <c r="AJ13" s="56"/>
      <c r="AK13" s="283"/>
      <c r="AL13" s="139">
        <f t="shared" si="6"/>
        <v>1</v>
      </c>
      <c r="AM13" s="63"/>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67"/>
      <c r="CV13" s="87"/>
      <c r="CW13" s="87"/>
      <c r="CX13" s="81"/>
      <c r="CY13" s="87">
        <f ca="1">IF(OR(AND(TODAY()&gt;W13,Z13&lt;&gt;1,DB13=1),AND(DB13&gt;='@LeadT_Setting'!$AK$6,Z13&lt;='@LeadT_Setting'!$AK$6),AND(Z13&lt;(DB13-'@LeadT_Setting'!$AI$6),DB13&gt;Z13,U13&gt;0,DB13&lt;'@LeadT_Setting'!$AK$6)),1,0)</f>
        <v>0</v>
      </c>
      <c r="CZ13" s="87">
        <f t="shared" ca="1" si="7"/>
        <v>2</v>
      </c>
      <c r="DA13" s="118">
        <f t="shared" si="8"/>
        <v>2</v>
      </c>
      <c r="DB13" s="88">
        <f t="shared" ca="1" si="9"/>
        <v>1</v>
      </c>
      <c r="DC13" s="118">
        <f ca="1">IF(OR(AND(TODAY()&gt;W13,Z13&lt;&gt;1,DB13=1),AND(DB13&gt;='@LeadT_Setting'!$AK$6,Z13&lt;='@LeadT_Setting'!$AK$6),AND(Z13&lt;(DB13-'@LeadT_Setting'!$AJ$6),DB13&gt;Z13,U13&gt;0)),1,0)</f>
        <v>0</v>
      </c>
      <c r="DD13" s="119">
        <f t="shared" si="10"/>
        <v>0</v>
      </c>
      <c r="DE13" s="203"/>
      <c r="DF13" s="119">
        <f t="shared" si="11"/>
        <v>2</v>
      </c>
      <c r="DG13" s="119">
        <f t="shared" si="14"/>
        <v>2</v>
      </c>
      <c r="DH13" s="119">
        <f t="shared" ca="1" si="4"/>
        <v>0</v>
      </c>
      <c r="DI13" s="82"/>
      <c r="DJ13" s="93"/>
      <c r="DK13" s="82"/>
      <c r="DL13" s="83"/>
      <c r="DM13" s="87"/>
    </row>
    <row r="14" spans="1:117" ht="15" customHeight="1">
      <c r="A14" s="336" t="s">
        <v>38</v>
      </c>
      <c r="B14" s="14"/>
      <c r="C14" s="307" t="s">
        <v>52</v>
      </c>
      <c r="D14" s="319" t="s">
        <v>348</v>
      </c>
      <c r="E14" s="188"/>
      <c r="F14" s="8" t="s">
        <v>54</v>
      </c>
      <c r="G14" s="8" t="s">
        <v>38</v>
      </c>
      <c r="H14" s="9" t="s">
        <v>309</v>
      </c>
      <c r="I14" s="42" t="s">
        <v>284</v>
      </c>
      <c r="J14" s="130"/>
      <c r="K14" s="130"/>
      <c r="L14" s="130"/>
      <c r="M14" s="130"/>
      <c r="N14" s="130"/>
      <c r="O14" s="130"/>
      <c r="P14" s="130"/>
      <c r="Q14" s="130"/>
      <c r="R14" s="330">
        <f>IFERROR(INDEX('@LeadT_Setting'!$F$6:$J$52,MATCH(I14,'@LeadT_Setting'!$E$6:$E$52,0),MATCH(INDEX('@LeadT_Setting'!$AI$1:$AI$3,MATCH($A14,'@LeadT_Setting'!$AD$1:$AD$3,0),0),'@LeadT_Setting'!$F$1:$J$1,0)),0)</f>
        <v>1</v>
      </c>
      <c r="S14" s="191">
        <v>1</v>
      </c>
      <c r="T14" s="9"/>
      <c r="U14" s="331">
        <v>3</v>
      </c>
      <c r="V14" s="43">
        <f t="shared" si="12"/>
        <v>45350</v>
      </c>
      <c r="W14" s="43">
        <f t="shared" si="13"/>
        <v>45350</v>
      </c>
      <c r="X14" s="127">
        <v>45350</v>
      </c>
      <c r="Y14" s="127">
        <v>45350</v>
      </c>
      <c r="Z14" s="189">
        <v>1</v>
      </c>
      <c r="AA14" s="190">
        <f t="shared" ca="1" si="5"/>
        <v>1</v>
      </c>
      <c r="AB14" s="43">
        <f t="shared" si="3"/>
        <v>45350</v>
      </c>
      <c r="AC14" s="209"/>
      <c r="AD14" s="127"/>
      <c r="AE14" s="14"/>
      <c r="AF14" s="128"/>
      <c r="AG14" s="293"/>
      <c r="AH14" s="294"/>
      <c r="AI14" s="295"/>
      <c r="AJ14" s="294"/>
      <c r="AK14" s="296"/>
      <c r="AL14" s="139">
        <f t="shared" si="6"/>
        <v>1</v>
      </c>
      <c r="AM14" s="63"/>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67"/>
      <c r="CV14" s="87"/>
      <c r="CW14" s="87"/>
      <c r="CX14" s="81"/>
      <c r="CY14" s="87">
        <f ca="1">IF(OR(AND(TODAY()&gt;W14,Z14&lt;&gt;1,DB14=1),AND(DB14&gt;='@LeadT_Setting'!$AK$6,Z14&lt;='@LeadT_Setting'!$AK$6),AND(Z14&lt;(DB14-'@LeadT_Setting'!$AI$6),DB14&gt;Z14,U14&gt;0,DB14&lt;'@LeadT_Setting'!$AK$6)),1,0)</f>
        <v>0</v>
      </c>
      <c r="CZ14" s="87">
        <f t="shared" ca="1" si="7"/>
        <v>3</v>
      </c>
      <c r="DA14" s="118">
        <f t="shared" si="8"/>
        <v>3</v>
      </c>
      <c r="DB14" s="88">
        <f t="shared" ca="1" si="9"/>
        <v>1</v>
      </c>
      <c r="DC14" s="118">
        <f ca="1">IF(OR(AND(TODAY()&gt;W14,Z14&lt;&gt;1,DB14=1),AND(DB14&gt;='@LeadT_Setting'!$AK$6,Z14&lt;='@LeadT_Setting'!$AK$6),AND(Z14&lt;(DB14-'@LeadT_Setting'!$AJ$6),DB14&gt;Z14,U14&gt;0)),1,0)</f>
        <v>0</v>
      </c>
      <c r="DD14" s="119">
        <f t="shared" si="10"/>
        <v>0</v>
      </c>
      <c r="DE14" s="203"/>
      <c r="DF14" s="119">
        <f t="shared" si="11"/>
        <v>3</v>
      </c>
      <c r="DG14" s="119">
        <f t="shared" si="14"/>
        <v>3</v>
      </c>
      <c r="DH14" s="119">
        <f t="shared" ca="1" si="4"/>
        <v>0</v>
      </c>
      <c r="DI14" s="82"/>
      <c r="DJ14" s="93"/>
      <c r="DK14" s="82"/>
      <c r="DL14" s="83"/>
      <c r="DM14" s="87"/>
    </row>
    <row r="15" spans="1:117">
      <c r="A15" s="336" t="s">
        <v>38</v>
      </c>
      <c r="B15" s="147"/>
      <c r="C15" s="69"/>
      <c r="D15" s="69"/>
      <c r="E15" s="188"/>
      <c r="F15" s="8" t="s">
        <v>59</v>
      </c>
      <c r="G15" s="8" t="s">
        <v>38</v>
      </c>
      <c r="H15" s="9" t="s">
        <v>60</v>
      </c>
      <c r="I15" s="42" t="s">
        <v>285</v>
      </c>
      <c r="J15" s="130"/>
      <c r="K15" s="130"/>
      <c r="L15" s="130"/>
      <c r="M15" s="130"/>
      <c r="N15" s="130"/>
      <c r="O15" s="130"/>
      <c r="P15" s="130"/>
      <c r="Q15" s="130"/>
      <c r="R15" s="330">
        <f>IFERROR(INDEX('@LeadT_Setting'!$F$6:$J$52,MATCH(I15,'@LeadT_Setting'!$E$6:$E$52,0),MATCH(INDEX('@LeadT_Setting'!$AI$1:$AI$3,MATCH($A15,'@LeadT_Setting'!$AD$1:$AD$3,0),0),'@LeadT_Setting'!$F$1:$J$1,0)),0)</f>
        <v>8</v>
      </c>
      <c r="S15" s="191">
        <v>8</v>
      </c>
      <c r="T15" s="50"/>
      <c r="U15" s="331">
        <v>2</v>
      </c>
      <c r="V15" s="43">
        <f t="shared" si="12"/>
        <v>45351</v>
      </c>
      <c r="W15" s="43">
        <f t="shared" si="13"/>
        <v>45358</v>
      </c>
      <c r="X15" s="127">
        <v>45351</v>
      </c>
      <c r="Y15" s="127">
        <v>45358</v>
      </c>
      <c r="Z15" s="189">
        <v>1</v>
      </c>
      <c r="AA15" s="190">
        <f t="shared" ca="1" si="5"/>
        <v>1</v>
      </c>
      <c r="AB15" s="43">
        <f t="shared" si="3"/>
        <v>45356.6</v>
      </c>
      <c r="AC15" s="209"/>
      <c r="AD15" s="127"/>
      <c r="AE15" s="14"/>
      <c r="AF15" s="248"/>
      <c r="AG15" s="293"/>
      <c r="AH15" s="294"/>
      <c r="AI15" s="295"/>
      <c r="AJ15" s="294"/>
      <c r="AK15" s="296"/>
      <c r="AL15" s="139">
        <f t="shared" si="6"/>
        <v>1</v>
      </c>
      <c r="AM15" s="63"/>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67"/>
      <c r="CV15" s="87"/>
      <c r="CW15" s="87"/>
      <c r="CX15" s="81"/>
      <c r="CY15" s="87">
        <f ca="1">IF(OR(AND(TODAY()&gt;W15,Z15&lt;&gt;1,DB15=1),AND(DB15&gt;='@LeadT_Setting'!$AK$6,Z15&lt;='@LeadT_Setting'!$AK$6),AND(Z15&lt;(DB15-'@LeadT_Setting'!$AI$6),DB15&gt;Z15,U15&gt;0,DB15&lt;'@LeadT_Setting'!$AK$6)),1,0)</f>
        <v>0</v>
      </c>
      <c r="CZ15" s="87">
        <f t="shared" ca="1" si="7"/>
        <v>2</v>
      </c>
      <c r="DA15" s="118">
        <f t="shared" si="8"/>
        <v>2</v>
      </c>
      <c r="DB15" s="88">
        <f t="shared" ca="1" si="9"/>
        <v>1</v>
      </c>
      <c r="DC15" s="118">
        <f ca="1">IF(OR(AND(TODAY()&gt;W15,Z15&lt;&gt;1,DB15=1),AND(DB15&gt;='@LeadT_Setting'!$AK$6,Z15&lt;='@LeadT_Setting'!$AK$6),AND(Z15&lt;(DB15-'@LeadT_Setting'!$AJ$6),DB15&gt;Z15,U15&gt;0)),1,0)</f>
        <v>0</v>
      </c>
      <c r="DD15" s="119">
        <f t="shared" si="10"/>
        <v>0</v>
      </c>
      <c r="DE15" s="203"/>
      <c r="DF15" s="119">
        <f t="shared" si="11"/>
        <v>2</v>
      </c>
      <c r="DG15" s="119">
        <f t="shared" si="14"/>
        <v>2</v>
      </c>
      <c r="DH15" s="119">
        <f t="shared" ca="1" si="4"/>
        <v>0</v>
      </c>
      <c r="DI15" s="82"/>
      <c r="DJ15" s="93"/>
      <c r="DK15" s="82"/>
      <c r="DL15" s="83"/>
      <c r="DM15" s="87"/>
    </row>
    <row r="16" spans="1:117">
      <c r="A16" s="336" t="s">
        <v>38</v>
      </c>
      <c r="B16" s="244" t="s">
        <v>280</v>
      </c>
      <c r="C16" s="309"/>
      <c r="D16" s="308" t="str">
        <f>'@LeadT_Setting'!AI3</f>
        <v>Large</v>
      </c>
      <c r="E16" s="188"/>
      <c r="F16" s="8" t="s">
        <v>59</v>
      </c>
      <c r="G16" s="8" t="s">
        <v>38</v>
      </c>
      <c r="H16" s="9" t="s">
        <v>61</v>
      </c>
      <c r="I16" s="42" t="s">
        <v>286</v>
      </c>
      <c r="J16" s="130"/>
      <c r="K16" s="130"/>
      <c r="L16" s="130"/>
      <c r="M16" s="130"/>
      <c r="N16" s="130"/>
      <c r="O16" s="130"/>
      <c r="P16" s="130"/>
      <c r="Q16" s="130"/>
      <c r="R16" s="311">
        <f>IFERROR(INDEX('@LeadT_Setting'!$F$6:$J$52,MATCH(I16,'@LeadT_Setting'!$E$6:$E$52,0),MATCH(INDEX('@LeadT_Setting'!$AI$1:$AI$3,MATCH($A16,'@LeadT_Setting'!$AD$1:$AD$3,0),0),'@LeadT_Setting'!$F$1:$J$1,0)),0)</f>
        <v>63</v>
      </c>
      <c r="S16" s="191">
        <v>63</v>
      </c>
      <c r="T16" s="9"/>
      <c r="U16" s="331">
        <v>0</v>
      </c>
      <c r="V16" s="43">
        <f>IFERROR(IF(OR(S16=0,S16=""),W16,W16-S16+1),"")</f>
        <v>45359</v>
      </c>
      <c r="W16" s="43">
        <f>W17</f>
        <v>45421</v>
      </c>
      <c r="X16" s="127">
        <v>45359</v>
      </c>
      <c r="Y16" s="127">
        <v>45421</v>
      </c>
      <c r="Z16" s="189">
        <v>1</v>
      </c>
      <c r="AA16" s="190">
        <f t="shared" ca="1" si="5"/>
        <v>0</v>
      </c>
      <c r="AB16" s="43">
        <f t="shared" si="3"/>
        <v>45408.6</v>
      </c>
      <c r="AC16" s="209"/>
      <c r="AD16" s="127"/>
      <c r="AE16" s="14"/>
      <c r="AF16" s="128"/>
      <c r="AG16" s="297"/>
      <c r="AH16" s="284"/>
      <c r="AI16" s="284"/>
      <c r="AJ16" s="285"/>
      <c r="AK16" s="292"/>
      <c r="AL16" s="139">
        <f t="shared" si="6"/>
        <v>1</v>
      </c>
      <c r="AM16" s="63"/>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67"/>
      <c r="CV16" s="87"/>
      <c r="CW16" s="87"/>
      <c r="CX16" s="81"/>
      <c r="CY16" s="87">
        <f ca="1">IF(OR(AND(TODAY()&gt;W16,Z16&lt;&gt;1,DB16=1),AND(DB16&gt;='@LeadT_Setting'!$AK$6,Z16&lt;='@LeadT_Setting'!$AK$6),AND(Z16&lt;(DB16-'@LeadT_Setting'!$AI$6),DB16&gt;Z16,U16&gt;0,DB16&lt;'@LeadT_Setting'!$AK$6)),1,0)</f>
        <v>0</v>
      </c>
      <c r="CZ16" s="87">
        <f t="shared" ca="1" si="7"/>
        <v>0</v>
      </c>
      <c r="DA16" s="118">
        <f t="shared" si="8"/>
        <v>0</v>
      </c>
      <c r="DB16" s="88">
        <f t="shared" ca="1" si="9"/>
        <v>0</v>
      </c>
      <c r="DC16" s="118">
        <f ca="1">IF(OR(AND(TODAY()&gt;W16,Z16&lt;&gt;1,DB16=1),AND(DB16&gt;='@LeadT_Setting'!$AK$6,Z16&lt;='@LeadT_Setting'!$AK$6),AND(Z16&lt;(DB16-'@LeadT_Setting'!$AJ$6),DB16&gt;Z16,U16&gt;0)),1,0)</f>
        <v>0</v>
      </c>
      <c r="DD16" s="119">
        <f t="shared" si="10"/>
        <v>0</v>
      </c>
      <c r="DE16" s="203"/>
      <c r="DF16" s="119">
        <f t="shared" si="11"/>
        <v>0</v>
      </c>
      <c r="DG16" s="119">
        <f t="shared" si="14"/>
        <v>0</v>
      </c>
      <c r="DH16" s="119">
        <f t="shared" ca="1" si="4"/>
        <v>0</v>
      </c>
      <c r="DI16" s="82"/>
      <c r="DJ16" s="93"/>
      <c r="DK16" s="82"/>
      <c r="DL16" s="83"/>
      <c r="DM16" s="87"/>
    </row>
    <row r="17" spans="1:117">
      <c r="A17" s="336" t="s">
        <v>38</v>
      </c>
      <c r="B17" s="304">
        <v>0</v>
      </c>
      <c r="C17" s="318" t="s">
        <v>303</v>
      </c>
      <c r="D17" s="321">
        <v>61</v>
      </c>
      <c r="E17" s="188"/>
      <c r="F17" s="8" t="s">
        <v>59</v>
      </c>
      <c r="G17" s="8" t="s">
        <v>38</v>
      </c>
      <c r="H17" s="9" t="s">
        <v>62</v>
      </c>
      <c r="I17" s="42" t="s">
        <v>287</v>
      </c>
      <c r="J17" s="130"/>
      <c r="K17" s="130"/>
      <c r="L17" s="130"/>
      <c r="M17" s="130"/>
      <c r="N17" s="130"/>
      <c r="O17" s="130"/>
      <c r="P17" s="130"/>
      <c r="Q17" s="130"/>
      <c r="R17" s="312"/>
      <c r="S17" s="313"/>
      <c r="T17" s="9"/>
      <c r="U17" s="331">
        <v>23</v>
      </c>
      <c r="V17" s="43">
        <f>V16</f>
        <v>45359</v>
      </c>
      <c r="W17" s="43">
        <f t="shared" ref="W17:W18" si="15">W18</f>
        <v>45421</v>
      </c>
      <c r="X17" s="127">
        <v>45359</v>
      </c>
      <c r="Y17" s="127">
        <v>45421</v>
      </c>
      <c r="Z17" s="189">
        <v>1</v>
      </c>
      <c r="AA17" s="190">
        <f t="shared" ca="1" si="5"/>
        <v>1</v>
      </c>
      <c r="AB17" s="43">
        <f t="shared" si="3"/>
        <v>45408.6</v>
      </c>
      <c r="AC17" s="209"/>
      <c r="AD17" s="127"/>
      <c r="AE17" s="14"/>
      <c r="AF17" s="339"/>
      <c r="AG17" s="297"/>
      <c r="AH17" s="284"/>
      <c r="AI17" s="284"/>
      <c r="AJ17" s="285"/>
      <c r="AK17" s="292"/>
      <c r="AL17" s="139">
        <f t="shared" si="6"/>
        <v>1</v>
      </c>
      <c r="AM17" s="63"/>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67"/>
      <c r="CV17" s="87"/>
      <c r="CW17" s="87"/>
      <c r="CX17" s="81"/>
      <c r="CY17" s="87">
        <f ca="1">IF(OR(AND(TODAY()&gt;W17,Z17&lt;&gt;1,DB17=1),AND(DB17&gt;='@LeadT_Setting'!$AK$6,Z17&lt;='@LeadT_Setting'!$AK$6),AND(Z17&lt;(DB17-'@LeadT_Setting'!$AI$6),DB17&gt;Z17,U17&gt;0,DB17&lt;'@LeadT_Setting'!$AK$6)),1,0)</f>
        <v>0</v>
      </c>
      <c r="CZ17" s="87">
        <f t="shared" ca="1" si="7"/>
        <v>23</v>
      </c>
      <c r="DA17" s="118">
        <f t="shared" si="8"/>
        <v>23</v>
      </c>
      <c r="DB17" s="88">
        <f t="shared" ca="1" si="9"/>
        <v>1</v>
      </c>
      <c r="DC17" s="118">
        <f ca="1">IF(OR(AND(TODAY()&gt;W17,Z17&lt;&gt;1,DB17=1),AND(DB17&gt;='@LeadT_Setting'!$AK$6,Z17&lt;='@LeadT_Setting'!$AK$6),AND(Z17&lt;(DB17-'@LeadT_Setting'!$AJ$6),DB17&gt;Z17,U17&gt;0)),1,0)</f>
        <v>0</v>
      </c>
      <c r="DD17" s="119">
        <f t="shared" si="10"/>
        <v>0</v>
      </c>
      <c r="DE17" s="202"/>
      <c r="DF17" s="119">
        <f t="shared" si="11"/>
        <v>23</v>
      </c>
      <c r="DG17" s="119">
        <f t="shared" si="14"/>
        <v>23</v>
      </c>
      <c r="DH17" s="119">
        <f t="shared" ca="1" si="4"/>
        <v>0</v>
      </c>
      <c r="DI17" s="82"/>
      <c r="DJ17" s="93"/>
      <c r="DK17" s="82"/>
      <c r="DL17" s="83"/>
      <c r="DM17" s="87"/>
    </row>
    <row r="18" spans="1:117">
      <c r="A18" s="336" t="s">
        <v>38</v>
      </c>
      <c r="B18" s="306"/>
      <c r="C18" s="306"/>
      <c r="D18" s="306"/>
      <c r="E18" s="188"/>
      <c r="F18" s="8" t="s">
        <v>59</v>
      </c>
      <c r="G18" s="8" t="s">
        <v>38</v>
      </c>
      <c r="H18" s="9" t="s">
        <v>63</v>
      </c>
      <c r="I18" s="42" t="s">
        <v>288</v>
      </c>
      <c r="J18" s="130"/>
      <c r="K18" s="130"/>
      <c r="L18" s="130"/>
      <c r="M18" s="130"/>
      <c r="N18" s="130"/>
      <c r="O18" s="130"/>
      <c r="P18" s="130"/>
      <c r="Q18" s="130"/>
      <c r="R18" s="312"/>
      <c r="S18" s="313"/>
      <c r="T18" s="50"/>
      <c r="U18" s="331">
        <v>10</v>
      </c>
      <c r="V18" s="43">
        <f>V17</f>
        <v>45359</v>
      </c>
      <c r="W18" s="43">
        <f t="shared" si="15"/>
        <v>45421</v>
      </c>
      <c r="X18" s="127">
        <v>45359</v>
      </c>
      <c r="Y18" s="127">
        <v>45421</v>
      </c>
      <c r="Z18" s="189">
        <v>1</v>
      </c>
      <c r="AA18" s="190">
        <f t="shared" ca="1" si="5"/>
        <v>1</v>
      </c>
      <c r="AB18" s="43">
        <f t="shared" si="3"/>
        <v>45408.6</v>
      </c>
      <c r="AC18" s="209"/>
      <c r="AD18" s="127"/>
      <c r="AE18" s="14"/>
      <c r="AF18" s="128"/>
      <c r="AG18" s="297"/>
      <c r="AH18" s="284"/>
      <c r="AI18" s="284"/>
      <c r="AJ18" s="285"/>
      <c r="AK18" s="292"/>
      <c r="AL18" s="139">
        <f t="shared" si="6"/>
        <v>1</v>
      </c>
      <c r="AM18" s="63"/>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67"/>
      <c r="CV18" s="87"/>
      <c r="CW18" s="87"/>
      <c r="CX18" s="81"/>
      <c r="CY18" s="87">
        <f ca="1">IF(OR(AND(TODAY()&gt;W18,Z18&lt;&gt;1,DB18=1),AND(DB18&gt;='@LeadT_Setting'!$AK$6,Z18&lt;='@LeadT_Setting'!$AK$6),AND(Z18&lt;(DB18-'@LeadT_Setting'!$AI$6),DB18&gt;Z18,U18&gt;0,DB18&lt;'@LeadT_Setting'!$AK$6)),1,0)</f>
        <v>0</v>
      </c>
      <c r="CZ18" s="87">
        <f t="shared" ca="1" si="7"/>
        <v>10</v>
      </c>
      <c r="DA18" s="118">
        <f t="shared" si="8"/>
        <v>10</v>
      </c>
      <c r="DB18" s="88">
        <f t="shared" ca="1" si="9"/>
        <v>1</v>
      </c>
      <c r="DC18" s="118">
        <f ca="1">IF(OR(AND(TODAY()&gt;W18,Z18&lt;&gt;1,DB18=1),AND(DB18&gt;='@LeadT_Setting'!$AK$6,Z18&lt;='@LeadT_Setting'!$AK$6),AND(Z18&lt;(DB18-'@LeadT_Setting'!$AJ$6),DB18&gt;Z18,U18&gt;0)),1,0)</f>
        <v>0</v>
      </c>
      <c r="DD18" s="119">
        <f t="shared" si="10"/>
        <v>0</v>
      </c>
      <c r="DE18" s="203"/>
      <c r="DF18" s="119">
        <f t="shared" si="11"/>
        <v>10</v>
      </c>
      <c r="DG18" s="119">
        <f t="shared" si="14"/>
        <v>10</v>
      </c>
      <c r="DH18" s="119">
        <f t="shared" ca="1" si="4"/>
        <v>0</v>
      </c>
      <c r="DI18" s="82"/>
      <c r="DJ18" s="93"/>
      <c r="DK18" s="82"/>
      <c r="DL18" s="83"/>
      <c r="DM18" s="87"/>
    </row>
    <row r="19" spans="1:117">
      <c r="A19" s="336" t="s">
        <v>38</v>
      </c>
      <c r="B19" s="306"/>
      <c r="C19" s="306"/>
      <c r="D19" s="306"/>
      <c r="E19" s="188"/>
      <c r="F19" s="8" t="s">
        <v>59</v>
      </c>
      <c r="G19" s="8" t="s">
        <v>38</v>
      </c>
      <c r="H19" s="9" t="s">
        <v>179</v>
      </c>
      <c r="I19" s="42" t="s">
        <v>289</v>
      </c>
      <c r="J19" s="130"/>
      <c r="K19" s="130"/>
      <c r="L19" s="130"/>
      <c r="M19" s="130"/>
      <c r="N19" s="130"/>
      <c r="O19" s="130"/>
      <c r="P19" s="130"/>
      <c r="Q19" s="130"/>
      <c r="R19" s="312"/>
      <c r="S19" s="313"/>
      <c r="T19" s="50"/>
      <c r="U19" s="331">
        <v>5</v>
      </c>
      <c r="V19" s="43">
        <f t="shared" ref="V19" si="16">V18</f>
        <v>45359</v>
      </c>
      <c r="W19" s="43">
        <f>W20</f>
        <v>45421</v>
      </c>
      <c r="X19" s="127">
        <v>45359</v>
      </c>
      <c r="Y19" s="127">
        <v>45421</v>
      </c>
      <c r="Z19" s="189">
        <v>1</v>
      </c>
      <c r="AA19" s="190">
        <f t="shared" ca="1" si="5"/>
        <v>1</v>
      </c>
      <c r="AB19" s="43">
        <f t="shared" si="3"/>
        <v>45408.6</v>
      </c>
      <c r="AC19" s="209"/>
      <c r="AD19" s="127"/>
      <c r="AE19" s="14"/>
      <c r="AF19" s="128"/>
      <c r="AG19" s="297"/>
      <c r="AH19" s="284"/>
      <c r="AI19" s="284"/>
      <c r="AJ19" s="285"/>
      <c r="AK19" s="292"/>
      <c r="AL19" s="139">
        <f t="shared" si="6"/>
        <v>1</v>
      </c>
      <c r="AM19" s="63"/>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67"/>
      <c r="CV19" s="87"/>
      <c r="CW19" s="87"/>
      <c r="CX19" s="81"/>
      <c r="CY19" s="87">
        <f ca="1">IF(OR(AND(TODAY()&gt;W19,Z19&lt;&gt;1,DB19=1),AND(DB19&gt;='@LeadT_Setting'!$AK$6,Z19&lt;='@LeadT_Setting'!$AK$6),AND(Z19&lt;(DB19-'@LeadT_Setting'!$AI$6),DB19&gt;Z19,U19&gt;0,DB19&lt;'@LeadT_Setting'!$AK$6)),1,0)</f>
        <v>0</v>
      </c>
      <c r="CZ19" s="87">
        <f t="shared" ca="1" si="7"/>
        <v>5</v>
      </c>
      <c r="DA19" s="118">
        <f t="shared" si="8"/>
        <v>5</v>
      </c>
      <c r="DB19" s="88">
        <f t="shared" ca="1" si="9"/>
        <v>1</v>
      </c>
      <c r="DC19" s="118">
        <f ca="1">IF(OR(AND(TODAY()&gt;W19,Z19&lt;&gt;1,DB19=1),AND(DB19&gt;='@LeadT_Setting'!$AK$6,Z19&lt;='@LeadT_Setting'!$AK$6),AND(Z19&lt;(DB19-'@LeadT_Setting'!$AJ$6),DB19&gt;Z19,U19&gt;0)),1,0)</f>
        <v>0</v>
      </c>
      <c r="DD19" s="119">
        <f t="shared" si="10"/>
        <v>0</v>
      </c>
      <c r="DE19" s="203"/>
      <c r="DF19" s="119">
        <f t="shared" si="11"/>
        <v>5</v>
      </c>
      <c r="DG19" s="119">
        <f t="shared" si="14"/>
        <v>5</v>
      </c>
      <c r="DH19" s="119">
        <f t="shared" ca="1" si="4"/>
        <v>0</v>
      </c>
      <c r="DI19" s="82"/>
      <c r="DJ19" s="93"/>
      <c r="DK19" s="82"/>
      <c r="DL19" s="83"/>
      <c r="DM19" s="87"/>
    </row>
    <row r="20" spans="1:117">
      <c r="A20" s="336" t="s">
        <v>38</v>
      </c>
      <c r="B20" s="306"/>
      <c r="C20" s="306"/>
      <c r="D20" s="306"/>
      <c r="E20" s="188"/>
      <c r="F20" s="8" t="s">
        <v>59</v>
      </c>
      <c r="G20" s="8" t="s">
        <v>38</v>
      </c>
      <c r="H20" s="9" t="s">
        <v>180</v>
      </c>
      <c r="I20" s="42" t="s">
        <v>290</v>
      </c>
      <c r="J20" s="130"/>
      <c r="K20" s="130"/>
      <c r="L20" s="130"/>
      <c r="M20" s="130"/>
      <c r="N20" s="130"/>
      <c r="O20" s="130"/>
      <c r="P20" s="130"/>
      <c r="Q20" s="130"/>
      <c r="R20" s="312"/>
      <c r="S20" s="313"/>
      <c r="T20" s="50"/>
      <c r="U20" s="331">
        <v>4</v>
      </c>
      <c r="V20" s="43">
        <f>V19</f>
        <v>45359</v>
      </c>
      <c r="W20" s="43">
        <f>IFERROR(IF(S21=0,V21,V21-1),"")</f>
        <v>45421</v>
      </c>
      <c r="X20" s="127">
        <v>45359</v>
      </c>
      <c r="Y20" s="127">
        <v>45421</v>
      </c>
      <c r="Z20" s="189">
        <v>1</v>
      </c>
      <c r="AA20" s="190">
        <f t="shared" ca="1" si="5"/>
        <v>1</v>
      </c>
      <c r="AB20" s="43">
        <f t="shared" si="3"/>
        <v>45408.6</v>
      </c>
      <c r="AC20" s="209"/>
      <c r="AD20" s="127"/>
      <c r="AE20" s="14"/>
      <c r="AF20" s="128"/>
      <c r="AG20" s="297"/>
      <c r="AH20" s="284"/>
      <c r="AI20" s="284"/>
      <c r="AJ20" s="285"/>
      <c r="AK20" s="292"/>
      <c r="AL20" s="139">
        <f t="shared" si="6"/>
        <v>1</v>
      </c>
      <c r="AM20" s="63"/>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67"/>
      <c r="CV20" s="87"/>
      <c r="CW20" s="87"/>
      <c r="CX20" s="81"/>
      <c r="CY20" s="87">
        <f ca="1">IF(OR(AND(TODAY()&gt;W20,Z20&lt;&gt;1,DB20=1),AND(DB20&gt;='@LeadT_Setting'!$AK$6,Z20&lt;='@LeadT_Setting'!$AK$6),AND(Z20&lt;(DB20-'@LeadT_Setting'!$AI$6),DB20&gt;Z20,U20&gt;0,DB20&lt;'@LeadT_Setting'!$AK$6)),1,0)</f>
        <v>0</v>
      </c>
      <c r="CZ20" s="87">
        <f t="shared" ca="1" si="7"/>
        <v>4</v>
      </c>
      <c r="DA20" s="118">
        <f t="shared" si="8"/>
        <v>4</v>
      </c>
      <c r="DB20" s="88">
        <f t="shared" ca="1" si="9"/>
        <v>1</v>
      </c>
      <c r="DC20" s="118">
        <f ca="1">IF(OR(AND(TODAY()&gt;W20,Z20&lt;&gt;1,DB20=1),AND(DB20&gt;='@LeadT_Setting'!$AK$6,Z20&lt;='@LeadT_Setting'!$AK$6),AND(Z20&lt;(DB20-'@LeadT_Setting'!$AJ$6),DB20&gt;Z20,U20&gt;0)),1,0)</f>
        <v>0</v>
      </c>
      <c r="DD20" s="119">
        <f t="shared" si="10"/>
        <v>0</v>
      </c>
      <c r="DE20" s="202"/>
      <c r="DF20" s="119">
        <f t="shared" si="11"/>
        <v>4</v>
      </c>
      <c r="DG20" s="119">
        <f t="shared" si="14"/>
        <v>4</v>
      </c>
      <c r="DH20" s="119">
        <f t="shared" ca="1" si="4"/>
        <v>0</v>
      </c>
      <c r="DI20" s="82"/>
      <c r="DJ20" s="93"/>
      <c r="DK20" s="82"/>
      <c r="DL20" s="83"/>
      <c r="DM20" s="87"/>
    </row>
    <row r="21" spans="1:117">
      <c r="A21" s="336" t="s">
        <v>38</v>
      </c>
      <c r="B21" s="306"/>
      <c r="C21" s="306"/>
      <c r="D21" s="306"/>
      <c r="E21" s="188"/>
      <c r="F21" s="8" t="s">
        <v>59</v>
      </c>
      <c r="G21" s="8" t="s">
        <v>38</v>
      </c>
      <c r="H21" s="9" t="s">
        <v>181</v>
      </c>
      <c r="I21" s="42" t="s">
        <v>291</v>
      </c>
      <c r="J21" s="130"/>
      <c r="K21" s="130"/>
      <c r="L21" s="130"/>
      <c r="M21" s="130"/>
      <c r="N21" s="130"/>
      <c r="O21" s="130"/>
      <c r="P21" s="130"/>
      <c r="Q21" s="130"/>
      <c r="R21" s="330">
        <f>IFERROR(INDEX('@LeadT_Setting'!$F$6:$J$52,MATCH(I21,'@LeadT_Setting'!$E$6:$E$52,0),MATCH(INDEX('@LeadT_Setting'!$AI$1:$AI$3,MATCH($A21,'@LeadT_Setting'!$AD$1:$AD$3,0),0),'@LeadT_Setting'!$F$1:$J$1,0)),0)</f>
        <v>4</v>
      </c>
      <c r="S21" s="191">
        <v>4</v>
      </c>
      <c r="T21" s="50"/>
      <c r="U21" s="331">
        <v>1</v>
      </c>
      <c r="V21" s="43">
        <f>IFERROR(IF(OR(S21=0,S21=""),W21,W21-S21+1),"")</f>
        <v>45422</v>
      </c>
      <c r="W21" s="43">
        <f>IFERROR(IF(S22=0,V22,V22-1),"")</f>
        <v>45425</v>
      </c>
      <c r="X21" s="127">
        <v>45422</v>
      </c>
      <c r="Y21" s="127">
        <v>45425</v>
      </c>
      <c r="Z21" s="189">
        <v>1</v>
      </c>
      <c r="AA21" s="190">
        <f t="shared" ca="1" si="5"/>
        <v>1</v>
      </c>
      <c r="AB21" s="43">
        <f t="shared" si="3"/>
        <v>45424.4</v>
      </c>
      <c r="AC21" s="209"/>
      <c r="AD21" s="127"/>
      <c r="AE21" s="14"/>
      <c r="AF21" s="128"/>
      <c r="AG21" s="297"/>
      <c r="AH21" s="284"/>
      <c r="AI21" s="284"/>
      <c r="AJ21" s="285"/>
      <c r="AK21" s="292"/>
      <c r="AL21" s="139">
        <f t="shared" si="6"/>
        <v>1</v>
      </c>
      <c r="AM21" s="63"/>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67"/>
      <c r="CV21" s="87"/>
      <c r="CW21" s="87"/>
      <c r="CX21" s="81"/>
      <c r="CY21" s="87">
        <f ca="1">IF(OR(AND(TODAY()&gt;W21,Z21&lt;&gt;1,DB21=1),AND(DB21&gt;='@LeadT_Setting'!$AK$6,Z21&lt;='@LeadT_Setting'!$AK$6),AND(Z21&lt;(DB21-'@LeadT_Setting'!$AI$6),DB21&gt;Z21,U21&gt;0,DB21&lt;'@LeadT_Setting'!$AK$6)),1,0)</f>
        <v>0</v>
      </c>
      <c r="CZ21" s="87">
        <f t="shared" ca="1" si="7"/>
        <v>1</v>
      </c>
      <c r="DA21" s="118">
        <f t="shared" si="8"/>
        <v>1</v>
      </c>
      <c r="DB21" s="88">
        <f t="shared" ca="1" si="9"/>
        <v>1</v>
      </c>
      <c r="DC21" s="118">
        <f ca="1">IF(OR(AND(TODAY()&gt;W21,Z21&lt;&gt;1,DB21=1),AND(DB21&gt;='@LeadT_Setting'!$AK$6,Z21&lt;='@LeadT_Setting'!$AK$6),AND(Z21&lt;(DB21-'@LeadT_Setting'!$AJ$6),DB21&gt;Z21,U21&gt;0)),1,0)</f>
        <v>0</v>
      </c>
      <c r="DD21" s="119">
        <f t="shared" si="10"/>
        <v>0</v>
      </c>
      <c r="DE21" s="202"/>
      <c r="DF21" s="119">
        <f t="shared" si="11"/>
        <v>1</v>
      </c>
      <c r="DG21" s="119">
        <f t="shared" si="14"/>
        <v>1</v>
      </c>
      <c r="DH21" s="119">
        <f t="shared" ca="1" si="4"/>
        <v>0</v>
      </c>
      <c r="DI21" s="82"/>
      <c r="DJ21" s="93"/>
      <c r="DK21" s="82"/>
      <c r="DL21" s="83"/>
      <c r="DM21" s="87"/>
    </row>
    <row r="22" spans="1:117">
      <c r="A22" s="336" t="s">
        <v>38</v>
      </c>
      <c r="B22" s="306"/>
      <c r="C22" s="306"/>
      <c r="D22" s="306"/>
      <c r="E22" s="188"/>
      <c r="F22" s="8" t="s">
        <v>59</v>
      </c>
      <c r="G22" s="8" t="s">
        <v>38</v>
      </c>
      <c r="H22" s="9" t="s">
        <v>182</v>
      </c>
      <c r="I22" s="42" t="s">
        <v>292</v>
      </c>
      <c r="J22" s="130"/>
      <c r="K22" s="130"/>
      <c r="L22" s="130"/>
      <c r="M22" s="130"/>
      <c r="N22" s="130"/>
      <c r="O22" s="130"/>
      <c r="P22" s="130"/>
      <c r="Q22" s="130"/>
      <c r="R22" s="48">
        <f>IFERROR(INDEX('@LeadT_Setting'!$F$6:$J$52,MATCH(I22,'@LeadT_Setting'!$E$6:$E$52,0),MATCH(INDEX('@LeadT_Setting'!$AI$1:$AI$3,MATCH($A22,'@LeadT_Setting'!$AD$1:$AD$3,0),0),'@LeadT_Setting'!$F$1:$J$1,0)),0)</f>
        <v>2</v>
      </c>
      <c r="S22" s="191">
        <v>2</v>
      </c>
      <c r="T22" s="49"/>
      <c r="U22" s="331">
        <v>5</v>
      </c>
      <c r="V22" s="43">
        <f>IF(ISBLANK(C30),"",C30)</f>
        <v>45426</v>
      </c>
      <c r="W22" s="43">
        <f>IFERROR(IF($S22&lt;&gt;"",IF(OR(V22=0,V22=""),V22,V22+S22-1),""),"")</f>
        <v>45427</v>
      </c>
      <c r="X22" s="127">
        <v>45426</v>
      </c>
      <c r="Y22" s="127">
        <v>45427</v>
      </c>
      <c r="Z22" s="189">
        <v>1</v>
      </c>
      <c r="AA22" s="190">
        <f t="shared" ca="1" si="5"/>
        <v>1</v>
      </c>
      <c r="AB22" s="43">
        <f t="shared" si="3"/>
        <v>45426.8</v>
      </c>
      <c r="AC22" s="209"/>
      <c r="AD22" s="127"/>
      <c r="AE22" s="14"/>
      <c r="AF22" s="128"/>
      <c r="AG22" s="297"/>
      <c r="AH22" s="284"/>
      <c r="AI22" s="284"/>
      <c r="AJ22" s="285"/>
      <c r="AK22" s="292"/>
      <c r="AL22" s="139">
        <f t="shared" si="6"/>
        <v>1</v>
      </c>
      <c r="AM22" s="63"/>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67"/>
      <c r="CV22" s="87"/>
      <c r="CW22" s="87"/>
      <c r="CX22" s="81"/>
      <c r="CY22" s="87">
        <f ca="1">IF(OR(AND(TODAY()&gt;W22,Z22&lt;&gt;1,DB22=1),AND(DB22&gt;='@LeadT_Setting'!$AK$6,Z22&lt;='@LeadT_Setting'!$AK$6),AND(Z22&lt;(DB22-'@LeadT_Setting'!$AI$6),DB22&gt;Z22,U22&gt;0,DB22&lt;'@LeadT_Setting'!$AK$6)),1,0)</f>
        <v>0</v>
      </c>
      <c r="CZ22" s="87">
        <f t="shared" ca="1" si="7"/>
        <v>5</v>
      </c>
      <c r="DA22" s="118">
        <f t="shared" si="8"/>
        <v>5</v>
      </c>
      <c r="DB22" s="88">
        <f t="shared" ca="1" si="9"/>
        <v>1</v>
      </c>
      <c r="DC22" s="118">
        <f ca="1">IF(OR(AND(TODAY()&gt;W22,Z22&lt;&gt;1,DB22=1),AND(DB22&gt;='@LeadT_Setting'!$AK$6,Z22&lt;='@LeadT_Setting'!$AK$6),AND(Z22&lt;(DB22-'@LeadT_Setting'!$AJ$6),DB22&gt;Z22,U22&gt;0)),1,0)</f>
        <v>0</v>
      </c>
      <c r="DD22" s="119">
        <f t="shared" si="10"/>
        <v>0</v>
      </c>
      <c r="DE22" s="203"/>
      <c r="DF22" s="119">
        <f t="shared" si="11"/>
        <v>5</v>
      </c>
      <c r="DG22" s="119">
        <f t="shared" si="14"/>
        <v>5</v>
      </c>
      <c r="DH22" s="119">
        <f t="shared" ca="1" si="4"/>
        <v>0</v>
      </c>
      <c r="DI22" s="82"/>
      <c r="DJ22" s="93"/>
      <c r="DK22" s="82"/>
      <c r="DL22" s="83"/>
      <c r="DM22" s="87"/>
    </row>
    <row r="23" spans="1:117">
      <c r="A23" s="336" t="s">
        <v>38</v>
      </c>
      <c r="B23" s="306"/>
      <c r="C23" s="306"/>
      <c r="D23" s="306"/>
      <c r="E23" s="188"/>
      <c r="F23" s="8" t="s">
        <v>59</v>
      </c>
      <c r="G23" s="8" t="s">
        <v>38</v>
      </c>
      <c r="H23" s="9" t="s">
        <v>310</v>
      </c>
      <c r="I23" s="42" t="s">
        <v>293</v>
      </c>
      <c r="J23" s="130"/>
      <c r="K23" s="130"/>
      <c r="L23" s="130"/>
      <c r="M23" s="130"/>
      <c r="N23" s="130"/>
      <c r="O23" s="130"/>
      <c r="P23" s="130"/>
      <c r="Q23" s="130"/>
      <c r="R23" s="48">
        <f>IFERROR(INDEX('@LeadT_Setting'!$F$6:$J$52,MATCH(I23,'@LeadT_Setting'!$E$6:$E$52,0),MATCH(INDEX('@LeadT_Setting'!$AI$1:$AI$3,MATCH($A23,'@LeadT_Setting'!$AD$1:$AD$3,0),0),'@LeadT_Setting'!$F$1:$J$1,0)),0)</f>
        <v>2</v>
      </c>
      <c r="S23" s="191">
        <v>2</v>
      </c>
      <c r="T23" s="49"/>
      <c r="U23" s="331">
        <v>2</v>
      </c>
      <c r="V23" s="43">
        <f>IFERROR(IF(S23=0,W22,W22+1),"")</f>
        <v>45428</v>
      </c>
      <c r="W23" s="43">
        <f t="shared" ref="W23" si="17">IFERROR(IF(OR(S23="",S23=0),V23,V23+S23-1),"")</f>
        <v>45429</v>
      </c>
      <c r="X23" s="127">
        <v>45428</v>
      </c>
      <c r="Y23" s="127">
        <v>45429</v>
      </c>
      <c r="Z23" s="189">
        <v>1</v>
      </c>
      <c r="AA23" s="190">
        <f t="shared" ca="1" si="5"/>
        <v>1</v>
      </c>
      <c r="AB23" s="43">
        <f t="shared" si="3"/>
        <v>45428.800000000003</v>
      </c>
      <c r="AC23" s="210"/>
      <c r="AD23" s="127"/>
      <c r="AE23" s="14"/>
      <c r="AF23" s="128"/>
      <c r="AG23" s="297"/>
      <c r="AH23" s="284"/>
      <c r="AI23" s="284"/>
      <c r="AJ23" s="285"/>
      <c r="AK23" s="292"/>
      <c r="AL23" s="139">
        <f t="shared" si="6"/>
        <v>1</v>
      </c>
      <c r="AM23" s="63"/>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67"/>
      <c r="CV23" s="87"/>
      <c r="CW23" s="87"/>
      <c r="CX23" s="81"/>
      <c r="CY23" s="87">
        <f ca="1">IF(OR(AND(TODAY()&gt;W23,Z23&lt;&gt;1,DB23=1),AND(DB23&gt;='@LeadT_Setting'!$AK$6,Z23&lt;='@LeadT_Setting'!$AK$6),AND(Z23&lt;(DB23-'@LeadT_Setting'!$AI$6),DB23&gt;Z23,U23&gt;0,DB23&lt;'@LeadT_Setting'!$AK$6)),1,0)</f>
        <v>0</v>
      </c>
      <c r="CZ23" s="87">
        <f t="shared" ca="1" si="7"/>
        <v>2</v>
      </c>
      <c r="DA23" s="118">
        <f t="shared" si="8"/>
        <v>2</v>
      </c>
      <c r="DB23" s="88">
        <f t="shared" ca="1" si="9"/>
        <v>1</v>
      </c>
      <c r="DC23" s="118">
        <f ca="1">IF(OR(AND(TODAY()&gt;W23,Z23&lt;&gt;1,DB23=1),AND(DB23&gt;='@LeadT_Setting'!$AK$6,Z23&lt;='@LeadT_Setting'!$AK$6),AND(Z23&lt;(DB23-'@LeadT_Setting'!$AJ$6),DB23&gt;Z23,U23&gt;0)),1,0)</f>
        <v>0</v>
      </c>
      <c r="DD23" s="119">
        <f t="shared" si="10"/>
        <v>0</v>
      </c>
      <c r="DE23" s="203"/>
      <c r="DF23" s="119">
        <f t="shared" si="11"/>
        <v>2</v>
      </c>
      <c r="DG23" s="119">
        <f t="shared" si="14"/>
        <v>2</v>
      </c>
      <c r="DH23" s="119">
        <f t="shared" ca="1" si="4"/>
        <v>0</v>
      </c>
      <c r="DI23" s="82"/>
      <c r="DJ23" s="93"/>
      <c r="DK23" s="82"/>
      <c r="DL23" s="83"/>
      <c r="DM23" s="87"/>
    </row>
    <row r="24" spans="1:117">
      <c r="A24" s="336" t="s">
        <v>307</v>
      </c>
      <c r="B24" s="306"/>
      <c r="C24" s="306"/>
      <c r="D24" s="306"/>
      <c r="E24" s="188"/>
      <c r="F24" s="8" t="s">
        <v>64</v>
      </c>
      <c r="G24" s="8" t="s">
        <v>307</v>
      </c>
      <c r="H24" s="9" t="s">
        <v>65</v>
      </c>
      <c r="I24" s="42" t="s">
        <v>294</v>
      </c>
      <c r="J24" s="130"/>
      <c r="K24" s="130"/>
      <c r="L24" s="130"/>
      <c r="M24" s="130"/>
      <c r="N24" s="130"/>
      <c r="O24" s="130"/>
      <c r="P24" s="130"/>
      <c r="Q24" s="130"/>
      <c r="R24" s="48">
        <f>S24</f>
        <v>0</v>
      </c>
      <c r="S24" s="191">
        <v>0</v>
      </c>
      <c r="T24" s="49"/>
      <c r="U24" s="331">
        <v>0</v>
      </c>
      <c r="V24" s="315" t="str">
        <f>IF(ISBLANK(C31),"",C31)</f>
        <v/>
      </c>
      <c r="W24" s="43" t="str">
        <f>IFERROR(IF(S24=0,V24,V24+S24-1),"")</f>
        <v/>
      </c>
      <c r="X24" s="127"/>
      <c r="Y24" s="127"/>
      <c r="Z24" s="189">
        <v>0</v>
      </c>
      <c r="AA24" s="190">
        <f t="shared" ca="1" si="5"/>
        <v>0</v>
      </c>
      <c r="AB24" s="43" t="str">
        <f t="shared" si="3"/>
        <v/>
      </c>
      <c r="AC24" s="210"/>
      <c r="AD24" s="127"/>
      <c r="AE24" s="14"/>
      <c r="AF24" s="128"/>
      <c r="AG24" s="277"/>
      <c r="AH24" s="278"/>
      <c r="AI24" s="278"/>
      <c r="AJ24" s="278"/>
      <c r="AK24" s="286"/>
      <c r="AL24" s="139">
        <f t="shared" si="6"/>
        <v>0</v>
      </c>
      <c r="AM24" s="63"/>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67"/>
      <c r="CV24" s="87"/>
      <c r="CW24" s="87"/>
      <c r="CX24" s="81"/>
      <c r="CY24" s="87">
        <f ca="1">IF(OR(AND(TODAY()&gt;W24,Z24&lt;&gt;1,DB24=1),AND(DB24&gt;='@LeadT_Setting'!$AK$6,Z24&lt;='@LeadT_Setting'!$AK$6),AND(Z24&lt;(DB24-'@LeadT_Setting'!$AI$6),DB24&gt;Z24,U24&gt;0,DB24&lt;'@LeadT_Setting'!$AK$6)),1,0)</f>
        <v>0</v>
      </c>
      <c r="CZ24" s="87">
        <f t="shared" ca="1" si="7"/>
        <v>0</v>
      </c>
      <c r="DA24" s="118">
        <f t="shared" si="8"/>
        <v>0</v>
      </c>
      <c r="DB24" s="88">
        <f t="shared" ca="1" si="9"/>
        <v>0</v>
      </c>
      <c r="DC24" s="118">
        <f ca="1">IF(OR(AND(TODAY()&gt;W24,Z24&lt;&gt;1,DB24=1),AND(DB24&gt;='@LeadT_Setting'!$AK$6,Z24&lt;='@LeadT_Setting'!$AK$6),AND(Z24&lt;(DB24-'@LeadT_Setting'!$AJ$6),DB24&gt;Z24,U24&gt;0)),1,0)</f>
        <v>0</v>
      </c>
      <c r="DD24" s="119">
        <f t="shared" si="10"/>
        <v>0</v>
      </c>
      <c r="DE24" s="202"/>
      <c r="DF24" s="119">
        <f t="shared" si="11"/>
        <v>0</v>
      </c>
      <c r="DG24" s="119">
        <f t="shared" si="14"/>
        <v>0</v>
      </c>
      <c r="DH24" s="119">
        <f t="shared" ca="1" si="4"/>
        <v>0</v>
      </c>
      <c r="DI24" s="82"/>
      <c r="DJ24" s="93"/>
      <c r="DK24" s="82"/>
      <c r="DL24" s="83"/>
      <c r="DM24" s="87"/>
    </row>
    <row r="25" spans="1:117">
      <c r="A25" s="336" t="s">
        <v>307</v>
      </c>
      <c r="B25" s="306"/>
      <c r="C25" s="306"/>
      <c r="D25" s="306"/>
      <c r="E25" s="188"/>
      <c r="F25" s="8" t="s">
        <v>64</v>
      </c>
      <c r="G25" s="8" t="s">
        <v>307</v>
      </c>
      <c r="H25" s="9" t="s">
        <v>66</v>
      </c>
      <c r="I25" s="42" t="s">
        <v>295</v>
      </c>
      <c r="J25" s="130"/>
      <c r="K25" s="130"/>
      <c r="L25" s="130"/>
      <c r="M25" s="130"/>
      <c r="N25" s="130"/>
      <c r="O25" s="130"/>
      <c r="P25" s="130"/>
      <c r="Q25" s="130"/>
      <c r="R25" s="48">
        <f>S25</f>
        <v>25</v>
      </c>
      <c r="S25" s="191">
        <v>25</v>
      </c>
      <c r="T25" s="9"/>
      <c r="U25" s="331">
        <v>25</v>
      </c>
      <c r="V25" s="315">
        <f>IF(ISBLANK(C32),"",C32)</f>
        <v>46174</v>
      </c>
      <c r="W25" s="43">
        <f>IFERROR(IF(S25=0,V25,V25+S25-1),"")</f>
        <v>46198</v>
      </c>
      <c r="X25" s="127"/>
      <c r="Y25" s="127"/>
      <c r="Z25" s="189">
        <v>0</v>
      </c>
      <c r="AA25" s="190">
        <f t="shared" ca="1" si="5"/>
        <v>0</v>
      </c>
      <c r="AB25" s="43">
        <f t="shared" si="3"/>
        <v>46193.2</v>
      </c>
      <c r="AC25" s="210"/>
      <c r="AD25" s="127"/>
      <c r="AE25" s="14"/>
      <c r="AF25" s="128"/>
      <c r="AG25" s="287"/>
      <c r="AH25" s="282"/>
      <c r="AI25" s="56"/>
      <c r="AJ25" s="56"/>
      <c r="AK25" s="288"/>
      <c r="AL25" s="139">
        <f t="shared" si="6"/>
        <v>0</v>
      </c>
      <c r="AM25" s="63"/>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67"/>
      <c r="CV25" s="87"/>
      <c r="CW25" s="87"/>
      <c r="CX25" s="81"/>
      <c r="CY25" s="87">
        <f ca="1">IF(OR(AND(TODAY()&gt;W25,Z25&lt;&gt;1,DB25=1),AND(DB25&gt;='@LeadT_Setting'!$AK$6,Z25&lt;='@LeadT_Setting'!$AK$6),AND(Z25&lt;(DB25-'@LeadT_Setting'!$AI$6),DB25&gt;Z25,U25&gt;0,DB25&lt;'@LeadT_Setting'!$AK$6)),1,0)</f>
        <v>0</v>
      </c>
      <c r="CZ25" s="87">
        <f t="shared" ca="1" si="7"/>
        <v>0</v>
      </c>
      <c r="DA25" s="118">
        <f t="shared" si="8"/>
        <v>0</v>
      </c>
      <c r="DB25" s="88">
        <f t="shared" ca="1" si="9"/>
        <v>0</v>
      </c>
      <c r="DC25" s="118">
        <f ca="1">IF(OR(AND(TODAY()&gt;W25,Z25&lt;&gt;1,DB25=1),AND(DB25&gt;='@LeadT_Setting'!$AK$6,Z25&lt;='@LeadT_Setting'!$AK$6),AND(Z25&lt;(DB25-'@LeadT_Setting'!$AJ$6),DB25&gt;Z25,U25&gt;0)),1,0)</f>
        <v>0</v>
      </c>
      <c r="DD25" s="119">
        <f t="shared" si="10"/>
        <v>0</v>
      </c>
      <c r="DE25" s="202"/>
      <c r="DF25" s="119">
        <f t="shared" si="11"/>
        <v>0</v>
      </c>
      <c r="DG25" s="119">
        <f t="shared" si="14"/>
        <v>25</v>
      </c>
      <c r="DH25" s="119">
        <f t="shared" ca="1" si="4"/>
        <v>0</v>
      </c>
      <c r="DI25" s="82"/>
      <c r="DJ25" s="93"/>
      <c r="DK25" s="82"/>
      <c r="DL25" s="83"/>
      <c r="DM25" s="87"/>
    </row>
    <row r="26" spans="1:117">
      <c r="A26" s="336" t="s">
        <v>307</v>
      </c>
      <c r="B26" s="306"/>
      <c r="C26" s="306"/>
      <c r="D26" s="306"/>
      <c r="E26" s="188"/>
      <c r="F26" s="8" t="s">
        <v>69</v>
      </c>
      <c r="G26" s="8" t="s">
        <v>307</v>
      </c>
      <c r="H26" s="9" t="s">
        <v>70</v>
      </c>
      <c r="I26" s="42" t="s">
        <v>296</v>
      </c>
      <c r="J26" s="130"/>
      <c r="K26" s="130"/>
      <c r="L26" s="130"/>
      <c r="M26" s="130"/>
      <c r="N26" s="130"/>
      <c r="O26" s="130"/>
      <c r="P26" s="130"/>
      <c r="Q26" s="130"/>
      <c r="R26" s="48">
        <f>S26</f>
        <v>45</v>
      </c>
      <c r="S26" s="191">
        <v>45</v>
      </c>
      <c r="T26" s="49"/>
      <c r="U26" s="331">
        <v>45</v>
      </c>
      <c r="V26" s="315">
        <f>IF(ISBLANK(C33),"",C33)</f>
        <v>46183</v>
      </c>
      <c r="W26" s="43">
        <f>IFERROR(IF(S26=0,V26,V26+S26-1),"")</f>
        <v>46227</v>
      </c>
      <c r="X26" s="127"/>
      <c r="Y26" s="127"/>
      <c r="Z26" s="189">
        <v>0</v>
      </c>
      <c r="AA26" s="190">
        <f t="shared" ca="1" si="5"/>
        <v>0</v>
      </c>
      <c r="AB26" s="43">
        <f t="shared" si="3"/>
        <v>46218.2</v>
      </c>
      <c r="AC26" s="210"/>
      <c r="AD26" s="127"/>
      <c r="AE26" s="14"/>
      <c r="AF26" s="128"/>
      <c r="AG26" s="298"/>
      <c r="AH26" s="294"/>
      <c r="AI26" s="294"/>
      <c r="AJ26" s="294"/>
      <c r="AK26" s="296"/>
      <c r="AL26" s="139">
        <f t="shared" si="6"/>
        <v>0</v>
      </c>
      <c r="AM26" s="63"/>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67"/>
      <c r="CV26" s="87"/>
      <c r="CW26" s="87"/>
      <c r="CX26" s="81"/>
      <c r="CY26" s="87">
        <f ca="1">IF(OR(AND(TODAY()&gt;W26,Z26&lt;&gt;1,DB26=1),AND(DB26&gt;='@LeadT_Setting'!$AK$6,Z26&lt;='@LeadT_Setting'!$AK$6),AND(Z26&lt;(DB26-'@LeadT_Setting'!$AI$6),DB26&gt;Z26,U26&gt;0,DB26&lt;'@LeadT_Setting'!$AK$6)),1,0)</f>
        <v>0</v>
      </c>
      <c r="CZ26" s="87">
        <f t="shared" ca="1" si="7"/>
        <v>0</v>
      </c>
      <c r="DA26" s="118">
        <f t="shared" si="8"/>
        <v>0</v>
      </c>
      <c r="DB26" s="88">
        <f t="shared" ca="1" si="9"/>
        <v>0</v>
      </c>
      <c r="DC26" s="118">
        <f ca="1">IF(OR(AND(TODAY()&gt;W26,Z26&lt;&gt;1,DB26=1),AND(DB26&gt;='@LeadT_Setting'!$AK$6,Z26&lt;='@LeadT_Setting'!$AK$6),AND(Z26&lt;(DB26-'@LeadT_Setting'!$AJ$6),DB26&gt;Z26,U26&gt;0)),1,0)</f>
        <v>0</v>
      </c>
      <c r="DD26" s="119">
        <f t="shared" si="10"/>
        <v>0</v>
      </c>
      <c r="DE26" s="202"/>
      <c r="DF26" s="119">
        <f t="shared" si="11"/>
        <v>0</v>
      </c>
      <c r="DG26" s="119">
        <f t="shared" si="14"/>
        <v>45</v>
      </c>
      <c r="DH26" s="119">
        <f t="shared" ca="1" si="4"/>
        <v>0</v>
      </c>
      <c r="DI26" s="82"/>
      <c r="DJ26" s="93"/>
      <c r="DK26" s="82"/>
      <c r="DL26" s="83"/>
      <c r="DM26" s="87"/>
    </row>
    <row r="27" spans="1:117">
      <c r="A27" s="336" t="s">
        <v>307</v>
      </c>
      <c r="B27" s="147"/>
      <c r="C27" s="172" t="s">
        <v>53</v>
      </c>
      <c r="D27" s="125" t="s">
        <v>304</v>
      </c>
      <c r="E27" s="188"/>
      <c r="F27" s="8" t="s">
        <v>69</v>
      </c>
      <c r="G27" s="8" t="s">
        <v>307</v>
      </c>
      <c r="H27" s="9" t="s">
        <v>71</v>
      </c>
      <c r="I27" s="42" t="s">
        <v>297</v>
      </c>
      <c r="J27" s="130"/>
      <c r="K27" s="130"/>
      <c r="L27" s="130"/>
      <c r="M27" s="130"/>
      <c r="N27" s="130"/>
      <c r="O27" s="130"/>
      <c r="P27" s="130"/>
      <c r="Q27" s="130"/>
      <c r="R27" s="48">
        <f>IFERROR(INDEX('@LeadT_Setting'!$F$6:$J$52,MATCH(I27,'@LeadT_Setting'!$E$6:$E$52,0),MATCH(INDEX('@LeadT_Setting'!$AI$1:$AI$3,MATCH($A27,'@LeadT_Setting'!$AD$1:$AD$3,0),0),'@LeadT_Setting'!$F$1:$J$1,0)),0)</f>
        <v>0</v>
      </c>
      <c r="S27" s="191">
        <v>5</v>
      </c>
      <c r="T27" s="49"/>
      <c r="U27" s="331">
        <v>5</v>
      </c>
      <c r="V27" s="43">
        <f>IF(MAX(W23:W26)=0,"",MAX(W23:W26))</f>
        <v>46227</v>
      </c>
      <c r="W27" s="43">
        <f>IFERROR(S27+V27,"")</f>
        <v>46232</v>
      </c>
      <c r="X27" s="127"/>
      <c r="Y27" s="127"/>
      <c r="Z27" s="189">
        <v>0</v>
      </c>
      <c r="AA27" s="190">
        <f t="shared" ca="1" si="5"/>
        <v>0</v>
      </c>
      <c r="AB27" s="43">
        <f t="shared" si="3"/>
        <v>46231</v>
      </c>
      <c r="AC27" s="209"/>
      <c r="AD27" s="127"/>
      <c r="AE27" s="14"/>
      <c r="AF27" s="128"/>
      <c r="AG27" s="298"/>
      <c r="AH27" s="294"/>
      <c r="AI27" s="294"/>
      <c r="AJ27" s="294"/>
      <c r="AK27" s="296"/>
      <c r="AL27" s="139">
        <f t="shared" si="6"/>
        <v>0</v>
      </c>
      <c r="AM27" s="63"/>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67"/>
      <c r="CV27" s="87"/>
      <c r="CW27" s="87"/>
      <c r="CX27" s="81"/>
      <c r="CY27" s="87">
        <f ca="1">IF(OR(AND(TODAY()&gt;W27,Z27&lt;&gt;1,DB27=1),AND(DB27&gt;='@LeadT_Setting'!$AK$6,Z27&lt;='@LeadT_Setting'!$AK$6),AND(Z27&lt;(DB27-'@LeadT_Setting'!$AI$6),DB27&gt;Z27,U27&gt;0,DB27&lt;'@LeadT_Setting'!$AK$6)),1,0)</f>
        <v>0</v>
      </c>
      <c r="CZ27" s="87">
        <f t="shared" ca="1" si="7"/>
        <v>0</v>
      </c>
      <c r="DA27" s="118">
        <f t="shared" si="8"/>
        <v>0</v>
      </c>
      <c r="DB27" s="88">
        <f t="shared" ca="1" si="9"/>
        <v>0</v>
      </c>
      <c r="DC27" s="118">
        <f ca="1">IF(OR(AND(TODAY()&gt;W27,Z27&lt;&gt;1,DB27=1),AND(DB27&gt;='@LeadT_Setting'!$AK$6,Z27&lt;='@LeadT_Setting'!$AK$6),AND(Z27&lt;(DB27-'@LeadT_Setting'!$AJ$6),DB27&gt;Z27,U27&gt;0)),1,0)</f>
        <v>0</v>
      </c>
      <c r="DD27" s="119">
        <f t="shared" si="10"/>
        <v>0</v>
      </c>
      <c r="DE27" s="202"/>
      <c r="DF27" s="119">
        <f t="shared" si="11"/>
        <v>0</v>
      </c>
      <c r="DG27" s="119">
        <f t="shared" si="14"/>
        <v>5</v>
      </c>
      <c r="DH27" s="119">
        <f ca="1">IF(OR(AND(U27&gt;0,TODAY()&gt;=AB27,Z27&lt;80%,NOT(ISBLANK(AB27))),AND(Z27&lt;&gt;1,U27&gt;0,$V27&lt;TODAY(),ISBLANK($Y27))),1,0)</f>
        <v>0</v>
      </c>
      <c r="DI27" s="82"/>
      <c r="DJ27" s="93"/>
      <c r="DK27" s="82"/>
      <c r="DL27" s="83"/>
      <c r="DM27" s="87"/>
    </row>
    <row r="28" spans="1:117">
      <c r="A28" s="336" t="s">
        <v>38</v>
      </c>
      <c r="B28" s="234" t="s">
        <v>272</v>
      </c>
      <c r="C28" s="322">
        <v>44350</v>
      </c>
      <c r="D28" s="131">
        <f>V10</f>
        <v>44350</v>
      </c>
      <c r="E28" s="188"/>
      <c r="F28" s="8" t="s">
        <v>69</v>
      </c>
      <c r="G28" s="8" t="s">
        <v>38</v>
      </c>
      <c r="H28" s="9" t="s">
        <v>72</v>
      </c>
      <c r="I28" s="42" t="s">
        <v>308</v>
      </c>
      <c r="J28" s="130"/>
      <c r="K28" s="130"/>
      <c r="L28" s="130"/>
      <c r="M28" s="130"/>
      <c r="N28" s="130"/>
      <c r="O28" s="130"/>
      <c r="P28" s="130"/>
      <c r="Q28" s="130"/>
      <c r="R28" s="48">
        <f>IFERROR(INDEX('@LeadT_Setting'!$F$6:$J$52,MATCH(I28,'@LeadT_Setting'!$E$6:$E$52,0),MATCH(INDEX('@LeadT_Setting'!$AI$1:$AI$3,MATCH($A28,'@LeadT_Setting'!$AD$1:$AD$3,0),0),'@LeadT_Setting'!$F$1:$J$1,0)),0)</f>
        <v>8</v>
      </c>
      <c r="S28" s="191">
        <v>0</v>
      </c>
      <c r="T28" s="49"/>
      <c r="U28" s="332">
        <v>1E-3</v>
      </c>
      <c r="V28" s="43">
        <f t="shared" ref="V28:V30" si="18">IF(S28&gt;0,W27+1,V27)</f>
        <v>46227</v>
      </c>
      <c r="W28" s="43">
        <f>IFERROR(IF(S28=0,W27,V28+S28-1),"")</f>
        <v>46232</v>
      </c>
      <c r="X28" s="127"/>
      <c r="Y28" s="127"/>
      <c r="Z28" s="189">
        <v>0</v>
      </c>
      <c r="AA28" s="190">
        <f t="shared" ca="1" si="5"/>
        <v>0</v>
      </c>
      <c r="AB28" s="43">
        <f>IFERROR(IF(V28&lt;&gt;"",V28+(W28-V28)*0.8,""),"")</f>
        <v>46231</v>
      </c>
      <c r="AC28" s="209"/>
      <c r="AD28" s="127"/>
      <c r="AE28" s="14"/>
      <c r="AF28" s="128"/>
      <c r="AG28" s="289"/>
      <c r="AH28" s="284"/>
      <c r="AI28" s="290"/>
      <c r="AJ28" s="290"/>
      <c r="AK28" s="292"/>
      <c r="AL28" s="139">
        <f t="shared" si="6"/>
        <v>0</v>
      </c>
      <c r="AM28" s="63"/>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67"/>
      <c r="CV28" s="87"/>
      <c r="CW28" s="87"/>
      <c r="CX28" s="81"/>
      <c r="CY28" s="87">
        <f ca="1">IF(OR(AND(TODAY()&gt;W28,Z28&lt;&gt;1,DB28=1),AND(DB28&gt;='@LeadT_Setting'!$AK$6,Z28&lt;='@LeadT_Setting'!$AK$6),AND(Z28&lt;(DB28-'@LeadT_Setting'!$AI$6),DB28&gt;Z28,U28&gt;0,DB28&lt;'@LeadT_Setting'!$AK$6)),1,0)</f>
        <v>0</v>
      </c>
      <c r="CZ28" s="87">
        <f t="shared" ca="1" si="7"/>
        <v>0</v>
      </c>
      <c r="DA28" s="118">
        <f t="shared" si="8"/>
        <v>0</v>
      </c>
      <c r="DB28" s="88">
        <f t="shared" ca="1" si="9"/>
        <v>0</v>
      </c>
      <c r="DC28" s="118">
        <f ca="1">IF(OR(AND(TODAY()&gt;W28,Z28&lt;&gt;1,DB28=1),AND(DB28&gt;='@LeadT_Setting'!$AK$6,Z28&lt;='@LeadT_Setting'!$AK$6),AND(Z28&lt;(DB28-'@LeadT_Setting'!$AJ$6),DB28&gt;Z28,U28&gt;0)),1,0)</f>
        <v>0</v>
      </c>
      <c r="DD28" s="119">
        <f t="shared" si="10"/>
        <v>0</v>
      </c>
      <c r="DE28" s="202"/>
      <c r="DF28" s="119"/>
      <c r="DG28" s="119"/>
      <c r="DH28" s="119">
        <f t="shared" ref="DH28:DH55" ca="1" si="19">IF(OR(AND(U28&gt;0,TODAY()&gt;=AB28,Z28&lt;80%,NOT(ISBLANK(AB28))),AND(Z28&lt;&gt;1,U28&gt;0,$V28&lt;TODAY(),ISBLANK($Y28))),1,0)</f>
        <v>0</v>
      </c>
      <c r="DI28" s="82"/>
      <c r="DJ28" s="93"/>
      <c r="DK28" s="82"/>
      <c r="DL28" s="83"/>
      <c r="DM28" s="87"/>
    </row>
    <row r="29" spans="1:117">
      <c r="A29" s="336" t="s">
        <v>307</v>
      </c>
      <c r="B29" s="235" t="s">
        <v>299</v>
      </c>
      <c r="C29" s="322">
        <v>45338</v>
      </c>
      <c r="D29" s="131">
        <f>V11</f>
        <v>45338</v>
      </c>
      <c r="E29" s="188"/>
      <c r="F29" s="8" t="s">
        <v>69</v>
      </c>
      <c r="G29" s="8" t="s">
        <v>307</v>
      </c>
      <c r="H29" s="9" t="s">
        <v>278</v>
      </c>
      <c r="I29" s="42" t="s">
        <v>298</v>
      </c>
      <c r="J29" s="130"/>
      <c r="K29" s="130"/>
      <c r="L29" s="130"/>
      <c r="M29" s="130"/>
      <c r="N29" s="130"/>
      <c r="O29" s="130"/>
      <c r="P29" s="130"/>
      <c r="Q29" s="130"/>
      <c r="R29" s="48">
        <f>IFERROR(INDEX('@LeadT_Setting'!$F$6:$J$52,MATCH(I29,'@LeadT_Setting'!$E$6:$E$52,0),MATCH(INDEX('@LeadT_Setting'!$AI$1:$AI$3,MATCH($A29,'@LeadT_Setting'!$AD$1:$AD$3,0),0),'@LeadT_Setting'!$F$1:$J$1,0)),0)</f>
        <v>0</v>
      </c>
      <c r="S29" s="191">
        <v>5</v>
      </c>
      <c r="T29" s="49"/>
      <c r="U29" s="331">
        <v>5</v>
      </c>
      <c r="V29" s="43">
        <f t="shared" si="18"/>
        <v>46233</v>
      </c>
      <c r="W29" s="43">
        <f>IFERROR(IF(S29=0,W28,V29+S29-1),"")</f>
        <v>46237</v>
      </c>
      <c r="X29" s="127"/>
      <c r="Y29" s="127"/>
      <c r="Z29" s="189">
        <v>0</v>
      </c>
      <c r="AA29" s="190">
        <f t="shared" ref="AA29:AA30" ca="1" si="20">IFERROR(IF(OR(U29&lt;=0,TODAY()&lt;V29),0,IF(TODAY()&gt;=W29,1,((TODAY()-V29))/((W29-V29)))),0)</f>
        <v>0</v>
      </c>
      <c r="AB29" s="43">
        <f>IFERROR(IF(V29&lt;&gt;"",V29+(W29-V29)*0.8,""),"")</f>
        <v>46236.2</v>
      </c>
      <c r="AC29" s="209"/>
      <c r="AD29" s="127"/>
      <c r="AE29" s="14"/>
      <c r="AF29" s="128"/>
      <c r="AG29" s="289"/>
      <c r="AH29" s="284"/>
      <c r="AI29" s="290"/>
      <c r="AJ29" s="290"/>
      <c r="AK29" s="292"/>
      <c r="AL29" s="139">
        <f t="shared" si="6"/>
        <v>0</v>
      </c>
      <c r="AM29" s="63"/>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67"/>
      <c r="CV29" s="87"/>
      <c r="CW29" s="87"/>
      <c r="CX29" s="81"/>
      <c r="CY29" s="87">
        <f ca="1">IF(OR(AND(TODAY()&gt;W29,Z29&lt;&gt;1,DB29=1),AND(DB29&gt;='@LeadT_Setting'!$AK$6,Z29&lt;='@LeadT_Setting'!$AK$6),AND(Z29&lt;(DB29-'@LeadT_Setting'!$AI$6),DB29&gt;Z29,U29&gt;0,DB29&lt;'@LeadT_Setting'!$AK$6)),1,0)</f>
        <v>0</v>
      </c>
      <c r="CZ29" s="87">
        <f t="shared" ca="1" si="7"/>
        <v>0</v>
      </c>
      <c r="DA29" s="118">
        <f t="shared" si="8"/>
        <v>0</v>
      </c>
      <c r="DB29" s="88">
        <f t="shared" ca="1" si="9"/>
        <v>0</v>
      </c>
      <c r="DC29" s="118">
        <f ca="1">IF(OR(AND(TODAY()&gt;W29,Z29&lt;&gt;1,DB29=1),AND(DB29&gt;='@LeadT_Setting'!$AK$6,Z29&lt;='@LeadT_Setting'!$AK$6),AND(Z29&lt;(DB29-'@LeadT_Setting'!$AJ$6),DB29&gt;Z29,U29&gt;0)),1,0)</f>
        <v>0</v>
      </c>
      <c r="DD29" s="119">
        <f t="shared" si="10"/>
        <v>0</v>
      </c>
      <c r="DE29" s="203"/>
      <c r="DF29" s="119">
        <f t="shared" si="11"/>
        <v>0</v>
      </c>
      <c r="DG29" s="119">
        <f>U29</f>
        <v>5</v>
      </c>
      <c r="DH29" s="119">
        <f t="shared" ca="1" si="19"/>
        <v>0</v>
      </c>
      <c r="DI29" s="82"/>
      <c r="DJ29" s="93"/>
      <c r="DK29" s="82"/>
      <c r="DL29" s="83"/>
      <c r="DM29" s="87"/>
    </row>
    <row r="30" spans="1:117">
      <c r="A30" s="336" t="s">
        <v>38</v>
      </c>
      <c r="B30" s="235" t="s">
        <v>292</v>
      </c>
      <c r="C30" s="322">
        <v>45426</v>
      </c>
      <c r="D30" s="131">
        <f>V22</f>
        <v>45426</v>
      </c>
      <c r="E30" s="188"/>
      <c r="F30" s="8" t="s">
        <v>69</v>
      </c>
      <c r="G30" s="8" t="s">
        <v>38</v>
      </c>
      <c r="H30" s="9" t="s">
        <v>279</v>
      </c>
      <c r="I30" s="42" t="s">
        <v>73</v>
      </c>
      <c r="J30" s="130"/>
      <c r="K30" s="130"/>
      <c r="L30" s="130"/>
      <c r="M30" s="130"/>
      <c r="N30" s="130"/>
      <c r="O30" s="130"/>
      <c r="P30" s="130"/>
      <c r="Q30" s="130"/>
      <c r="R30" s="48">
        <f>IFERROR(INDEX('@LeadT_Setting'!$F$6:$J$52,MATCH(I30,'@LeadT_Setting'!$E$6:$E$52,0),MATCH(INDEX('@LeadT_Setting'!$AI$1:$AI$3,MATCH($A30,'@LeadT_Setting'!$AD$1:$AD$3,0),0),'@LeadT_Setting'!$F$1:$J$1,0)),0)</f>
        <v>0</v>
      </c>
      <c r="S30" s="191">
        <f t="shared" ref="S30" si="21">R30</f>
        <v>0</v>
      </c>
      <c r="T30" s="49"/>
      <c r="U30" s="332">
        <v>1E-3</v>
      </c>
      <c r="V30" s="43">
        <f t="shared" si="18"/>
        <v>46233</v>
      </c>
      <c r="W30" s="43">
        <f>IF(S30=0,W29,V30+S30-1)</f>
        <v>46237</v>
      </c>
      <c r="X30" s="127"/>
      <c r="Y30" s="127"/>
      <c r="Z30" s="189">
        <v>0</v>
      </c>
      <c r="AA30" s="190">
        <f t="shared" ca="1" si="20"/>
        <v>0</v>
      </c>
      <c r="AB30" s="43">
        <f>IFERROR(IF(V30&lt;&gt;"",V30+(W30-V30)*0.8,""),"")</f>
        <v>46236.2</v>
      </c>
      <c r="AC30" s="209"/>
      <c r="AD30" s="127"/>
      <c r="AE30" s="14"/>
      <c r="AF30" s="128"/>
      <c r="AG30" s="289"/>
      <c r="AH30" s="284"/>
      <c r="AI30" s="290"/>
      <c r="AJ30" s="290"/>
      <c r="AK30" s="292"/>
      <c r="AL30" s="139">
        <f t="shared" si="6"/>
        <v>0</v>
      </c>
      <c r="AM30" s="63"/>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67"/>
      <c r="CV30" s="87"/>
      <c r="CW30" s="87"/>
      <c r="CX30" s="81"/>
      <c r="CY30" s="87">
        <f ca="1">IF(OR(AND(TODAY()&gt;W30,Z30&lt;&gt;1,DB30=1),AND(DB30&gt;='@LeadT_Setting'!$AK$6,Z30&lt;='@LeadT_Setting'!$AK$6),AND(Z30&lt;(DB30-'@LeadT_Setting'!$AI$6),DB30&gt;Z30,U30&gt;0,DB30&lt;'@LeadT_Setting'!$AK$6)),1,0)</f>
        <v>0</v>
      </c>
      <c r="CZ30" s="87">
        <f t="shared" ca="1" si="7"/>
        <v>0</v>
      </c>
      <c r="DA30" s="118">
        <f t="shared" si="8"/>
        <v>0</v>
      </c>
      <c r="DB30" s="88">
        <f t="shared" ca="1" si="9"/>
        <v>0</v>
      </c>
      <c r="DC30" s="118">
        <f ca="1">IF(OR(AND(TODAY()&gt;W30,Z30&lt;&gt;1,DB30=1),AND(DB30&gt;='@LeadT_Setting'!$AK$6,Z30&lt;='@LeadT_Setting'!$AK$6),AND(Z30&lt;(DB30-'@LeadT_Setting'!$AJ$6),DB30&gt;Z30,U30&gt;0)),1,0)</f>
        <v>0</v>
      </c>
      <c r="DD30" s="119">
        <f t="shared" si="10"/>
        <v>0</v>
      </c>
      <c r="DE30" s="202"/>
      <c r="DF30" s="119"/>
      <c r="DG30" s="119"/>
      <c r="DH30" s="119">
        <f t="shared" ca="1" si="19"/>
        <v>0</v>
      </c>
      <c r="DI30" s="82"/>
      <c r="DJ30" s="93"/>
      <c r="DK30" s="82"/>
      <c r="DL30" s="83"/>
      <c r="DM30" s="87"/>
    </row>
    <row r="31" spans="1:117">
      <c r="B31" s="235" t="s">
        <v>300</v>
      </c>
      <c r="C31" s="322"/>
      <c r="D31" s="131" t="str">
        <f>V24</f>
        <v/>
      </c>
      <c r="E31" s="173"/>
      <c r="F31" s="174"/>
      <c r="G31" s="174"/>
      <c r="H31" s="174"/>
      <c r="I31" s="174"/>
      <c r="J31" s="174"/>
      <c r="K31" s="174"/>
      <c r="L31" s="174"/>
      <c r="M31" s="174"/>
      <c r="N31" s="174"/>
      <c r="O31" s="174"/>
      <c r="P31" s="174"/>
      <c r="Q31" s="174"/>
      <c r="R31" s="174"/>
      <c r="S31" s="174"/>
      <c r="T31" s="174"/>
      <c r="U31" s="174"/>
      <c r="V31" s="174"/>
      <c r="W31" s="174"/>
      <c r="X31" s="174"/>
      <c r="Y31" s="174"/>
      <c r="Z31" s="174"/>
      <c r="AA31" s="174"/>
      <c r="AB31" s="175"/>
      <c r="AC31" s="209"/>
      <c r="AD31" s="14"/>
      <c r="AE31" s="14"/>
      <c r="AF31" s="129"/>
      <c r="AG31" s="289"/>
      <c r="AH31" s="284"/>
      <c r="AI31" s="290"/>
      <c r="AJ31" s="290"/>
      <c r="AK31" s="292"/>
      <c r="AL31" s="139">
        <f t="shared" si="6"/>
        <v>0</v>
      </c>
      <c r="AM31" s="63"/>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67"/>
      <c r="CV31" s="87"/>
      <c r="CW31" s="87"/>
      <c r="CX31" s="81"/>
      <c r="CY31" s="87">
        <f ca="1">IF(OR(AND(TODAY()&gt;W31,Z31&lt;&gt;1,DB31=1),AND(DB31&gt;='@LeadT_Setting'!$AK$6,Z31&lt;='@LeadT_Setting'!$AK$6),AND(Z31&lt;(DB31-'@LeadT_Setting'!$AI$6),DB31&gt;Z31,U31&gt;0,DB31&lt;'@LeadT_Setting'!$AK$6)),1,0)</f>
        <v>0</v>
      </c>
      <c r="CZ31" s="87">
        <f t="shared" si="7"/>
        <v>0</v>
      </c>
      <c r="DA31" s="118">
        <f t="shared" si="8"/>
        <v>0</v>
      </c>
      <c r="DB31" s="88">
        <f t="shared" ca="1" si="9"/>
        <v>0</v>
      </c>
      <c r="DC31" s="118">
        <f ca="1">IF(OR(AND(TODAY()&gt;W31,Z31&lt;&gt;1,DB31=1),AND(DB31&gt;='@LeadT_Setting'!$AK$6,Z31&lt;='@LeadT_Setting'!$AK$6),AND(Z31&lt;(DB31-'@LeadT_Setting'!$AJ$6),DB31&gt;Z31,U31&gt;0)),1,0)</f>
        <v>0</v>
      </c>
      <c r="DD31" s="119">
        <f t="shared" si="10"/>
        <v>0</v>
      </c>
      <c r="DE31" s="202"/>
      <c r="DF31" s="119">
        <f t="shared" si="11"/>
        <v>0</v>
      </c>
      <c r="DG31" s="119"/>
      <c r="DH31" s="119">
        <f t="shared" ca="1" si="19"/>
        <v>0</v>
      </c>
      <c r="DI31" s="82"/>
      <c r="DJ31" s="93"/>
      <c r="DK31" s="82"/>
      <c r="DL31" s="83"/>
      <c r="DM31" s="87"/>
    </row>
    <row r="32" spans="1:117">
      <c r="B32" s="235" t="s">
        <v>301</v>
      </c>
      <c r="C32" s="322">
        <v>46174</v>
      </c>
      <c r="D32" s="131">
        <f>V25</f>
        <v>46174</v>
      </c>
      <c r="E32" s="173"/>
      <c r="F32" s="174"/>
      <c r="G32" s="174"/>
      <c r="H32" s="174"/>
      <c r="I32" s="174"/>
      <c r="J32" s="174"/>
      <c r="K32" s="174"/>
      <c r="L32" s="174"/>
      <c r="M32" s="174"/>
      <c r="N32" s="174"/>
      <c r="O32" s="174"/>
      <c r="P32" s="174"/>
      <c r="Q32" s="174"/>
      <c r="R32" s="174"/>
      <c r="S32" s="174"/>
      <c r="T32" s="174"/>
      <c r="U32" s="174"/>
      <c r="V32" s="174"/>
      <c r="W32" s="174"/>
      <c r="X32" s="174"/>
      <c r="Y32" s="174"/>
      <c r="Z32" s="174"/>
      <c r="AA32" s="174"/>
      <c r="AB32" s="175"/>
      <c r="AC32" s="14"/>
      <c r="AD32" s="14"/>
      <c r="AE32" s="14"/>
      <c r="AF32" s="128"/>
      <c r="AG32" s="289"/>
      <c r="AH32" s="284"/>
      <c r="AI32" s="290"/>
      <c r="AJ32" s="290"/>
      <c r="AK32" s="292"/>
      <c r="AL32" s="139">
        <f t="shared" si="6"/>
        <v>0</v>
      </c>
      <c r="AM32" s="63"/>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67"/>
      <c r="CV32" s="87"/>
      <c r="CW32" s="87"/>
      <c r="CX32" s="81"/>
      <c r="CY32" s="87">
        <f ca="1">IF(OR(AND(TODAY()&gt;W32,Z32&lt;&gt;1,DB32=1),AND(DB32&gt;='@LeadT_Setting'!$AK$6,Z32&lt;='@LeadT_Setting'!$AK$6),AND(Z32&lt;(DB32-'@LeadT_Setting'!$AI$6),DB32&gt;Z32,U32&gt;0,DB32&lt;'@LeadT_Setting'!$AK$6)),1,0)</f>
        <v>0</v>
      </c>
      <c r="CZ32" s="87">
        <f t="shared" si="7"/>
        <v>0</v>
      </c>
      <c r="DA32" s="118">
        <f t="shared" si="8"/>
        <v>0</v>
      </c>
      <c r="DB32" s="88">
        <f t="shared" ca="1" si="9"/>
        <v>0</v>
      </c>
      <c r="DC32" s="118">
        <f ca="1">IF(OR(AND(TODAY()&gt;W32,Z32&lt;&gt;1,DB32=1),AND(DB32&gt;='@LeadT_Setting'!$AK$6,Z32&lt;='@LeadT_Setting'!$AK$6),AND(Z32&lt;(DB32-'@LeadT_Setting'!$AJ$6),DB32&gt;Z32,U32&gt;0)),1,0)</f>
        <v>0</v>
      </c>
      <c r="DD32" s="119">
        <f t="shared" si="10"/>
        <v>0</v>
      </c>
      <c r="DE32" s="202"/>
      <c r="DF32" s="119">
        <f t="shared" si="11"/>
        <v>0</v>
      </c>
      <c r="DG32" s="119"/>
      <c r="DH32" s="119">
        <f t="shared" ca="1" si="19"/>
        <v>0</v>
      </c>
      <c r="DI32" s="82"/>
      <c r="DJ32" s="93"/>
      <c r="DK32" s="82"/>
      <c r="DL32" s="83"/>
      <c r="DM32" s="87"/>
    </row>
    <row r="33" spans="2:117">
      <c r="B33" s="236" t="s">
        <v>302</v>
      </c>
      <c r="C33" s="322">
        <v>46183</v>
      </c>
      <c r="D33" s="131">
        <f>V26</f>
        <v>46183</v>
      </c>
      <c r="E33" s="173"/>
      <c r="F33" s="174"/>
      <c r="G33" s="174"/>
      <c r="H33" s="174"/>
      <c r="I33" s="174"/>
      <c r="J33" s="174"/>
      <c r="K33" s="174"/>
      <c r="L33" s="174"/>
      <c r="M33" s="174"/>
      <c r="N33" s="174"/>
      <c r="O33" s="174"/>
      <c r="P33" s="174"/>
      <c r="Q33" s="174"/>
      <c r="R33" s="174"/>
      <c r="S33" s="174"/>
      <c r="T33" s="174"/>
      <c r="U33" s="174"/>
      <c r="V33" s="174"/>
      <c r="W33" s="174"/>
      <c r="X33" s="174"/>
      <c r="Y33" s="174"/>
      <c r="Z33" s="174"/>
      <c r="AA33" s="174"/>
      <c r="AB33" s="175"/>
      <c r="AC33" s="209"/>
      <c r="AD33" s="14"/>
      <c r="AE33" s="14"/>
      <c r="AF33" s="128"/>
      <c r="AG33" s="289"/>
      <c r="AH33" s="284"/>
      <c r="AI33" s="290"/>
      <c r="AJ33" s="290"/>
      <c r="AK33" s="292"/>
      <c r="AL33" s="139">
        <f t="shared" si="6"/>
        <v>0</v>
      </c>
      <c r="AM33" s="63"/>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67"/>
      <c r="CV33" s="87"/>
      <c r="CW33" s="87"/>
      <c r="CX33" s="81"/>
      <c r="CY33" s="87">
        <f ca="1">IF(OR(AND(TODAY()&gt;W33,Z33&lt;&gt;1,DB33=1),AND(DB33&gt;='@LeadT_Setting'!$AK$6,Z33&lt;='@LeadT_Setting'!$AK$6),AND(Z33&lt;(DB33-'@LeadT_Setting'!$AI$6),DB33&gt;Z33,U33&gt;0,DB33&lt;'@LeadT_Setting'!$AK$6)),1,0)</f>
        <v>0</v>
      </c>
      <c r="CZ33" s="87">
        <f t="shared" si="7"/>
        <v>0</v>
      </c>
      <c r="DA33" s="118">
        <f t="shared" si="8"/>
        <v>0</v>
      </c>
      <c r="DB33" s="88">
        <f t="shared" ca="1" si="9"/>
        <v>0</v>
      </c>
      <c r="DC33" s="118">
        <f ca="1">IF(OR(AND(TODAY()&gt;W33,Z33&lt;&gt;1,DB33=1),AND(DB33&gt;='@LeadT_Setting'!$AK$6,Z33&lt;='@LeadT_Setting'!$AK$6),AND(Z33&lt;(DB33-'@LeadT_Setting'!$AJ$6),DB33&gt;Z33,U33&gt;0)),1,0)</f>
        <v>0</v>
      </c>
      <c r="DD33" s="119">
        <f t="shared" si="10"/>
        <v>0</v>
      </c>
      <c r="DE33" s="202"/>
      <c r="DF33" s="119">
        <f t="shared" si="11"/>
        <v>0</v>
      </c>
      <c r="DG33" s="119"/>
      <c r="DH33" s="119">
        <f t="shared" ca="1" si="19"/>
        <v>0</v>
      </c>
      <c r="DI33" s="82"/>
      <c r="DJ33" s="93"/>
      <c r="DK33" s="82"/>
      <c r="DL33" s="83"/>
      <c r="DM33" s="87"/>
    </row>
    <row r="34" spans="2:117">
      <c r="B34" s="37"/>
      <c r="C34" s="37"/>
      <c r="D34" s="37"/>
      <c r="E34" s="173"/>
      <c r="F34" s="174"/>
      <c r="G34" s="174"/>
      <c r="H34" s="174"/>
      <c r="I34" s="174"/>
      <c r="J34" s="174"/>
      <c r="K34" s="174"/>
      <c r="L34" s="174"/>
      <c r="M34" s="174"/>
      <c r="N34" s="174"/>
      <c r="O34" s="174"/>
      <c r="P34" s="174"/>
      <c r="Q34" s="174"/>
      <c r="R34" s="174"/>
      <c r="S34" s="174"/>
      <c r="T34" s="174"/>
      <c r="U34" s="174"/>
      <c r="V34" s="174"/>
      <c r="W34" s="174"/>
      <c r="X34" s="174"/>
      <c r="Y34" s="174"/>
      <c r="Z34" s="174"/>
      <c r="AA34" s="174"/>
      <c r="AB34" s="175"/>
      <c r="AC34" s="14"/>
      <c r="AD34" s="14"/>
      <c r="AE34" s="14"/>
      <c r="AF34" s="128"/>
      <c r="AG34" s="289"/>
      <c r="AH34" s="284"/>
      <c r="AI34" s="290"/>
      <c r="AJ34" s="290"/>
      <c r="AK34" s="292"/>
      <c r="AL34" s="139">
        <f t="shared" si="6"/>
        <v>0</v>
      </c>
      <c r="AM34" s="63"/>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67"/>
      <c r="CV34" s="87"/>
      <c r="CW34" s="87"/>
      <c r="CX34" s="81"/>
      <c r="CY34" s="87">
        <f ca="1">IF(OR(AND(TODAY()&gt;W34,Z34&lt;&gt;1,DB34=1),AND(DB34&gt;='@LeadT_Setting'!$AK$6,Z34&lt;='@LeadT_Setting'!$AK$6),AND(Z34&lt;(DB34-'@LeadT_Setting'!$AI$6),DB34&gt;Z34,U34&gt;0,DB34&lt;'@LeadT_Setting'!$AK$6)),1,0)</f>
        <v>0</v>
      </c>
      <c r="CZ34" s="87">
        <f t="shared" si="7"/>
        <v>0</v>
      </c>
      <c r="DA34" s="118">
        <f t="shared" si="8"/>
        <v>0</v>
      </c>
      <c r="DB34" s="88">
        <f t="shared" ca="1" si="9"/>
        <v>0</v>
      </c>
      <c r="DC34" s="118">
        <f ca="1">IF(OR(AND(TODAY()&gt;W34,Z34&lt;&gt;1,DB34=1),AND(DB34&gt;='@LeadT_Setting'!$AK$6,Z34&lt;='@LeadT_Setting'!$AK$6),AND(Z34&lt;(DB34-'@LeadT_Setting'!$AJ$6),DB34&gt;Z34,U34&gt;0)),1,0)</f>
        <v>0</v>
      </c>
      <c r="DD34" s="119">
        <f t="shared" si="10"/>
        <v>0</v>
      </c>
      <c r="DE34" s="202"/>
      <c r="DF34" s="119">
        <f t="shared" si="11"/>
        <v>0</v>
      </c>
      <c r="DG34" s="119"/>
      <c r="DH34" s="119">
        <f t="shared" ca="1" si="19"/>
        <v>0</v>
      </c>
      <c r="DI34" s="82"/>
      <c r="DJ34" s="93"/>
      <c r="DK34" s="82"/>
      <c r="DL34" s="83"/>
      <c r="DM34" s="87"/>
    </row>
    <row r="35" spans="2:117">
      <c r="B35" s="197" t="s">
        <v>173</v>
      </c>
      <c r="C35" s="198"/>
      <c r="D35" s="37"/>
      <c r="E35" s="173"/>
      <c r="F35" s="174"/>
      <c r="G35" s="174"/>
      <c r="H35" s="174"/>
      <c r="I35" s="174"/>
      <c r="J35" s="174"/>
      <c r="K35" s="174"/>
      <c r="L35" s="174"/>
      <c r="M35" s="174"/>
      <c r="N35" s="174"/>
      <c r="O35" s="174"/>
      <c r="P35" s="174"/>
      <c r="Q35" s="174"/>
      <c r="R35" s="174"/>
      <c r="S35" s="174"/>
      <c r="T35" s="174"/>
      <c r="U35" s="174"/>
      <c r="V35" s="174"/>
      <c r="W35" s="174"/>
      <c r="X35" s="174"/>
      <c r="Y35" s="174"/>
      <c r="Z35" s="174"/>
      <c r="AA35" s="174"/>
      <c r="AB35" s="175"/>
      <c r="AC35" s="209"/>
      <c r="AD35" s="14"/>
      <c r="AE35" s="14"/>
      <c r="AF35" s="128"/>
      <c r="AG35" s="289"/>
      <c r="AH35" s="284"/>
      <c r="AI35" s="290"/>
      <c r="AJ35" s="290"/>
      <c r="AK35" s="292"/>
      <c r="AL35" s="139">
        <f t="shared" si="6"/>
        <v>0</v>
      </c>
      <c r="AM35" s="63"/>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67"/>
      <c r="CV35" s="87"/>
      <c r="CW35" s="87"/>
      <c r="CX35" s="81"/>
      <c r="CY35" s="87">
        <f ca="1">IF(OR(AND(TODAY()&gt;W35,Z35&lt;&gt;1,DB35=1),AND(DB35&gt;='@LeadT_Setting'!$AK$6,Z35&lt;='@LeadT_Setting'!$AK$6),AND(Z35&lt;(DB35-'@LeadT_Setting'!$AI$6),DB35&gt;Z35,U35&gt;0,DB35&lt;'@LeadT_Setting'!$AK$6)),1,0)</f>
        <v>0</v>
      </c>
      <c r="CZ35" s="87">
        <f t="shared" si="7"/>
        <v>0</v>
      </c>
      <c r="DA35" s="118">
        <f t="shared" si="8"/>
        <v>0</v>
      </c>
      <c r="DB35" s="88">
        <f t="shared" ca="1" si="9"/>
        <v>0</v>
      </c>
      <c r="DC35" s="118">
        <f ca="1">IF(OR(AND(TODAY()&gt;W35,Z35&lt;&gt;1,DB35=1),AND(DB35&gt;='@LeadT_Setting'!$AK$6,Z35&lt;='@LeadT_Setting'!$AK$6),AND(Z35&lt;(DB35-'@LeadT_Setting'!$AJ$6),DB35&gt;Z35,U35&gt;0)),1,0)</f>
        <v>0</v>
      </c>
      <c r="DD35" s="119">
        <f t="shared" si="10"/>
        <v>0</v>
      </c>
      <c r="DE35" s="202"/>
      <c r="DF35" s="119">
        <f t="shared" si="11"/>
        <v>0</v>
      </c>
      <c r="DG35" s="119"/>
      <c r="DH35" s="119">
        <f t="shared" ca="1" si="19"/>
        <v>0</v>
      </c>
      <c r="DI35" s="82"/>
      <c r="DJ35" s="93"/>
      <c r="DK35" s="82"/>
      <c r="DL35" s="83"/>
      <c r="DM35" s="87"/>
    </row>
    <row r="36" spans="2:117">
      <c r="B36" s="337" t="s">
        <v>109</v>
      </c>
      <c r="C36" s="338" t="s">
        <v>349</v>
      </c>
      <c r="D36" s="150"/>
      <c r="E36" s="173"/>
      <c r="F36" s="174"/>
      <c r="G36" s="174"/>
      <c r="H36" s="174"/>
      <c r="I36" s="174"/>
      <c r="J36" s="174"/>
      <c r="K36" s="174"/>
      <c r="L36" s="174"/>
      <c r="M36" s="174"/>
      <c r="N36" s="174"/>
      <c r="O36" s="174"/>
      <c r="P36" s="174"/>
      <c r="Q36" s="174"/>
      <c r="R36" s="174"/>
      <c r="S36" s="174"/>
      <c r="T36" s="174"/>
      <c r="U36" s="174"/>
      <c r="V36" s="174"/>
      <c r="W36" s="174"/>
      <c r="X36" s="174"/>
      <c r="Y36" s="174"/>
      <c r="Z36" s="174"/>
      <c r="AA36" s="174"/>
      <c r="AB36" s="175"/>
      <c r="AC36" s="14"/>
      <c r="AD36" s="14"/>
      <c r="AE36" s="14"/>
      <c r="AF36" s="128"/>
      <c r="AG36" s="277"/>
      <c r="AH36" s="278"/>
      <c r="AI36" s="278"/>
      <c r="AJ36" s="278"/>
      <c r="AK36" s="286"/>
      <c r="AL36" s="139">
        <f t="shared" si="6"/>
        <v>0</v>
      </c>
      <c r="AM36" s="63"/>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67"/>
      <c r="CV36" s="87"/>
      <c r="CW36" s="87"/>
      <c r="CX36" s="81"/>
      <c r="CY36" s="87">
        <f ca="1">IF(OR(AND(TODAY()&gt;W36,Z36&lt;&gt;1,DB36=1),AND(DB36&gt;='@LeadT_Setting'!$AK$6,Z36&lt;='@LeadT_Setting'!$AK$6),AND(Z36&lt;(DB36-'@LeadT_Setting'!$AI$6),DB36&gt;Z36,U36&gt;0,DB36&lt;'@LeadT_Setting'!$AK$6)),1,0)</f>
        <v>0</v>
      </c>
      <c r="CZ36" s="87">
        <f t="shared" si="7"/>
        <v>0</v>
      </c>
      <c r="DA36" s="118">
        <f t="shared" si="8"/>
        <v>0</v>
      </c>
      <c r="DB36" s="88">
        <f t="shared" ca="1" si="9"/>
        <v>0</v>
      </c>
      <c r="DC36" s="118">
        <f ca="1">IF(OR(AND(TODAY()&gt;W36,Z36&lt;&gt;1,DB36=1),AND(DB36&gt;='@LeadT_Setting'!$AK$6,Z36&lt;='@LeadT_Setting'!$AK$6),AND(Z36&lt;(DB36-'@LeadT_Setting'!$AJ$6),DB36&gt;Z36,U36&gt;0)),1,0)</f>
        <v>0</v>
      </c>
      <c r="DD36" s="119">
        <f t="shared" si="10"/>
        <v>0</v>
      </c>
      <c r="DE36" s="202"/>
      <c r="DF36" s="119">
        <f>Z36*U36</f>
        <v>0</v>
      </c>
      <c r="DG36" s="119"/>
      <c r="DH36" s="119">
        <f t="shared" ca="1" si="19"/>
        <v>0</v>
      </c>
      <c r="DI36" s="82"/>
      <c r="DJ36" s="93"/>
      <c r="DK36" s="82"/>
      <c r="DL36" s="83"/>
      <c r="DM36" s="87"/>
    </row>
    <row r="37" spans="2:117">
      <c r="B37" s="337" t="s">
        <v>44</v>
      </c>
      <c r="C37" s="338" t="s">
        <v>350</v>
      </c>
      <c r="D37" s="150"/>
      <c r="E37" s="173"/>
      <c r="F37" s="174"/>
      <c r="G37" s="174"/>
      <c r="H37" s="174"/>
      <c r="I37" s="174"/>
      <c r="J37" s="174"/>
      <c r="K37" s="174"/>
      <c r="L37" s="174"/>
      <c r="M37" s="174"/>
      <c r="N37" s="174"/>
      <c r="O37" s="174"/>
      <c r="P37" s="174"/>
      <c r="Q37" s="174"/>
      <c r="R37" s="174"/>
      <c r="S37" s="174"/>
      <c r="T37" s="174"/>
      <c r="U37" s="174"/>
      <c r="V37" s="174"/>
      <c r="W37" s="174"/>
      <c r="X37" s="174"/>
      <c r="Y37" s="174"/>
      <c r="Z37" s="174"/>
      <c r="AA37" s="174"/>
      <c r="AB37" s="175"/>
      <c r="AC37" s="209"/>
      <c r="AD37" s="14"/>
      <c r="AE37" s="14"/>
      <c r="AF37" s="128"/>
      <c r="AG37" s="287"/>
      <c r="AH37" s="282"/>
      <c r="AI37" s="291"/>
      <c r="AJ37" s="56"/>
      <c r="AK37" s="283"/>
      <c r="AL37" s="139">
        <f t="shared" si="6"/>
        <v>0</v>
      </c>
      <c r="AM37" s="63"/>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67"/>
      <c r="CV37" s="87"/>
      <c r="CW37" s="87"/>
      <c r="CX37" s="81"/>
      <c r="CY37" s="87">
        <f ca="1">IF(OR(AND(TODAY()&gt;W37,Z37&lt;&gt;1,DB37=1),AND(DB37&gt;='@LeadT_Setting'!$AK$6,Z37&lt;='@LeadT_Setting'!$AK$6),AND(Z37&lt;(DB37-'@LeadT_Setting'!$AI$6),DB37&gt;Z37,U37&gt;0,DB37&lt;'@LeadT_Setting'!$AK$6)),1,0)</f>
        <v>0</v>
      </c>
      <c r="CZ37" s="87">
        <f t="shared" si="7"/>
        <v>0</v>
      </c>
      <c r="DA37" s="118">
        <f t="shared" si="8"/>
        <v>0</v>
      </c>
      <c r="DB37" s="88">
        <f t="shared" ca="1" si="9"/>
        <v>0</v>
      </c>
      <c r="DC37" s="118">
        <f ca="1">IF(OR(AND(TODAY()&gt;W37,Z37&lt;&gt;1,DB37=1),AND(DB37&gt;='@LeadT_Setting'!$AK$6,Z37&lt;='@LeadT_Setting'!$AK$6),AND(Z37&lt;(DB37-'@LeadT_Setting'!$AJ$6),DB37&gt;Z37,U37&gt;0)),1,0)</f>
        <v>0</v>
      </c>
      <c r="DD37" s="119">
        <f t="shared" si="10"/>
        <v>0</v>
      </c>
      <c r="DE37" s="202"/>
      <c r="DF37" s="119">
        <f t="shared" ref="DF37:DF46" si="22">Z37*U37</f>
        <v>0</v>
      </c>
      <c r="DG37" s="119"/>
      <c r="DH37" s="119">
        <f t="shared" ca="1" si="19"/>
        <v>0</v>
      </c>
      <c r="DI37" s="82"/>
      <c r="DJ37" s="93"/>
      <c r="DK37" s="82"/>
      <c r="DL37" s="83"/>
      <c r="DM37" s="87"/>
    </row>
    <row r="38" spans="2:117">
      <c r="B38" s="337" t="s">
        <v>37</v>
      </c>
      <c r="C38" s="338" t="s">
        <v>351</v>
      </c>
      <c r="D38" s="147"/>
      <c r="E38" s="173"/>
      <c r="F38" s="174"/>
      <c r="G38" s="174"/>
      <c r="H38" s="174"/>
      <c r="I38" s="174"/>
      <c r="J38" s="174"/>
      <c r="K38" s="174"/>
      <c r="L38" s="174"/>
      <c r="M38" s="174"/>
      <c r="N38" s="174"/>
      <c r="O38" s="174"/>
      <c r="P38" s="174"/>
      <c r="Q38" s="174"/>
      <c r="R38" s="174"/>
      <c r="S38" s="174"/>
      <c r="T38" s="174"/>
      <c r="U38" s="174"/>
      <c r="V38" s="174"/>
      <c r="W38" s="174"/>
      <c r="X38" s="174"/>
      <c r="Y38" s="174"/>
      <c r="Z38" s="174"/>
      <c r="AA38" s="174"/>
      <c r="AB38" s="175"/>
      <c r="AC38" s="187"/>
      <c r="AD38" s="14"/>
      <c r="AE38" s="14"/>
      <c r="AF38" s="128"/>
      <c r="AG38" s="298"/>
      <c r="AH38" s="294"/>
      <c r="AI38" s="294"/>
      <c r="AJ38" s="294"/>
      <c r="AK38" s="296"/>
      <c r="AL38" s="139">
        <f t="shared" si="6"/>
        <v>0</v>
      </c>
      <c r="AM38" s="63"/>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67"/>
      <c r="CV38" s="87"/>
      <c r="CW38" s="87"/>
      <c r="CX38" s="81"/>
      <c r="CY38" s="87">
        <f ca="1">IF(OR(AND(TODAY()&gt;W38,Z38&lt;&gt;1,DB38=1),AND(DB38&gt;='@LeadT_Setting'!$AK$6,Z38&lt;='@LeadT_Setting'!$AK$6),AND(Z38&lt;(DB38-'@LeadT_Setting'!$AI$6),DB38&gt;Z38,U38&gt;0,DB38&lt;'@LeadT_Setting'!$AK$6)),1,0)</f>
        <v>0</v>
      </c>
      <c r="CZ38" s="87">
        <f t="shared" si="7"/>
        <v>0</v>
      </c>
      <c r="DA38" s="118">
        <f t="shared" si="8"/>
        <v>0</v>
      </c>
      <c r="DB38" s="88">
        <f t="shared" ca="1" si="9"/>
        <v>0</v>
      </c>
      <c r="DC38" s="118">
        <f ca="1">IF(OR(AND(TODAY()&gt;W38,Z38&lt;&gt;1,DB38=1),AND(DB38&gt;='@LeadT_Setting'!$AK$6,Z38&lt;='@LeadT_Setting'!$AK$6),AND(Z38&lt;(DB38-'@LeadT_Setting'!$AJ$6),DB38&gt;Z38,U38&gt;0)),1,0)</f>
        <v>0</v>
      </c>
      <c r="DD38" s="119">
        <f t="shared" si="10"/>
        <v>0</v>
      </c>
      <c r="DE38" s="202"/>
      <c r="DF38" s="119">
        <f t="shared" si="22"/>
        <v>0</v>
      </c>
      <c r="DG38" s="119"/>
      <c r="DH38" s="119">
        <f t="shared" ca="1" si="19"/>
        <v>0</v>
      </c>
      <c r="DI38" s="82"/>
      <c r="DJ38" s="93"/>
      <c r="DK38" s="82"/>
      <c r="DL38" s="83"/>
      <c r="DM38" s="87"/>
    </row>
    <row r="39" spans="2:117">
      <c r="B39" s="337" t="s">
        <v>57</v>
      </c>
      <c r="C39" s="338" t="s">
        <v>352</v>
      </c>
      <c r="D39" s="14"/>
      <c r="E39" s="173"/>
      <c r="F39" s="174"/>
      <c r="G39" s="174"/>
      <c r="H39" s="174"/>
      <c r="I39" s="174"/>
      <c r="J39" s="174"/>
      <c r="K39" s="174"/>
      <c r="L39" s="174"/>
      <c r="M39" s="174"/>
      <c r="N39" s="174"/>
      <c r="O39" s="174"/>
      <c r="P39" s="174"/>
      <c r="Q39" s="174"/>
      <c r="R39" s="174"/>
      <c r="S39" s="174"/>
      <c r="T39" s="174"/>
      <c r="U39" s="174"/>
      <c r="V39" s="174"/>
      <c r="W39" s="174"/>
      <c r="X39" s="174"/>
      <c r="Y39" s="174"/>
      <c r="Z39" s="174"/>
      <c r="AA39" s="174"/>
      <c r="AB39" s="175"/>
      <c r="AC39" s="14"/>
      <c r="AD39" s="14"/>
      <c r="AE39" s="14"/>
      <c r="AF39" s="128"/>
      <c r="AG39" s="298"/>
      <c r="AH39" s="294"/>
      <c r="AI39" s="294"/>
      <c r="AJ39" s="294"/>
      <c r="AK39" s="296"/>
      <c r="AL39" s="139">
        <f t="shared" si="6"/>
        <v>0</v>
      </c>
      <c r="AM39" s="63"/>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67"/>
      <c r="CV39" s="87"/>
      <c r="CW39" s="87"/>
      <c r="CX39" s="81"/>
      <c r="CY39" s="87">
        <f ca="1">IF(OR(AND(TODAY()&gt;W39,Z39&lt;&gt;1,DB39=1),AND(DB39&gt;='@LeadT_Setting'!$AK$6,Z39&lt;='@LeadT_Setting'!$AK$6),AND(Z39&lt;(DB39-'@LeadT_Setting'!$AI$6),DB39&gt;Z39,U39&gt;0,DB39&lt;'@LeadT_Setting'!$AK$6)),1,0)</f>
        <v>0</v>
      </c>
      <c r="CZ39" s="87">
        <f t="shared" si="7"/>
        <v>0</v>
      </c>
      <c r="DA39" s="118">
        <f t="shared" si="8"/>
        <v>0</v>
      </c>
      <c r="DB39" s="88">
        <f t="shared" ca="1" si="9"/>
        <v>0</v>
      </c>
      <c r="DC39" s="118">
        <f ca="1">IF(OR(AND(TODAY()&gt;W39,Z39&lt;&gt;1,DB39=1),AND(DB39&gt;='@LeadT_Setting'!$AK$6,Z39&lt;='@LeadT_Setting'!$AK$6),AND(Z39&lt;(DB39-'@LeadT_Setting'!$AJ$6),DB39&gt;Z39,U39&gt;0)),1,0)</f>
        <v>0</v>
      </c>
      <c r="DD39" s="119">
        <f t="shared" si="10"/>
        <v>0</v>
      </c>
      <c r="DE39" s="202"/>
      <c r="DF39" s="119">
        <f t="shared" si="22"/>
        <v>0</v>
      </c>
      <c r="DG39" s="119"/>
      <c r="DH39" s="119">
        <f t="shared" ca="1" si="19"/>
        <v>0</v>
      </c>
      <c r="DI39" s="82"/>
      <c r="DJ39" s="93"/>
      <c r="DK39" s="82"/>
      <c r="DL39" s="83"/>
      <c r="DM39" s="87"/>
    </row>
    <row r="40" spans="2:117">
      <c r="B40" s="337" t="s">
        <v>39</v>
      </c>
      <c r="C40" s="338" t="s">
        <v>353</v>
      </c>
      <c r="D40" s="147"/>
      <c r="E40" s="173"/>
      <c r="F40" s="174"/>
      <c r="G40" s="174"/>
      <c r="H40" s="174"/>
      <c r="I40" s="174"/>
      <c r="J40" s="174"/>
      <c r="K40" s="174"/>
      <c r="L40" s="174"/>
      <c r="M40" s="174"/>
      <c r="N40" s="174"/>
      <c r="O40" s="174"/>
      <c r="P40" s="174"/>
      <c r="Q40" s="174"/>
      <c r="R40" s="174"/>
      <c r="S40" s="174"/>
      <c r="T40" s="174"/>
      <c r="U40" s="174"/>
      <c r="V40" s="174"/>
      <c r="W40" s="174"/>
      <c r="X40" s="174"/>
      <c r="Y40" s="174"/>
      <c r="Z40" s="174"/>
      <c r="AA40" s="174"/>
      <c r="AB40" s="175"/>
      <c r="AC40" s="14"/>
      <c r="AD40" s="14"/>
      <c r="AE40" s="14"/>
      <c r="AF40" s="128"/>
      <c r="AG40" s="289"/>
      <c r="AH40" s="284"/>
      <c r="AI40" s="284"/>
      <c r="AJ40" s="284"/>
      <c r="AK40" s="292"/>
      <c r="AL40" s="139">
        <f t="shared" si="6"/>
        <v>0</v>
      </c>
      <c r="AM40" s="63"/>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67"/>
      <c r="CV40" s="87"/>
      <c r="CW40" s="87"/>
      <c r="CX40" s="81"/>
      <c r="CY40" s="87">
        <f ca="1">IF(OR(AND(TODAY()&gt;W40,Z40&lt;&gt;1,DB40=1),AND(DB40&gt;='@LeadT_Setting'!$AK$6,Z40&lt;='@LeadT_Setting'!$AK$6),AND(Z40&lt;(DB40-'@LeadT_Setting'!$AI$6),DB40&gt;Z40,U40&gt;0,DB40&lt;'@LeadT_Setting'!$AK$6)),1,0)</f>
        <v>0</v>
      </c>
      <c r="CZ40" s="87">
        <f t="shared" si="7"/>
        <v>0</v>
      </c>
      <c r="DA40" s="118">
        <f t="shared" si="8"/>
        <v>0</v>
      </c>
      <c r="DB40" s="88">
        <f t="shared" ca="1" si="9"/>
        <v>0</v>
      </c>
      <c r="DC40" s="118">
        <f ca="1">IF(OR(AND(TODAY()&gt;W40,Z40&lt;&gt;1,DB40=1),AND(DB40&gt;='@LeadT_Setting'!$AK$6,Z40&lt;='@LeadT_Setting'!$AK$6),AND(Z40&lt;(DB40-'@LeadT_Setting'!$AJ$6),DB40&gt;Z40,U40&gt;0)),1,0)</f>
        <v>0</v>
      </c>
      <c r="DD40" s="119">
        <f t="shared" si="10"/>
        <v>0</v>
      </c>
      <c r="DE40" s="202"/>
      <c r="DF40" s="119">
        <f t="shared" si="22"/>
        <v>0</v>
      </c>
      <c r="DG40" s="119"/>
      <c r="DH40" s="119">
        <f t="shared" ca="1" si="19"/>
        <v>0</v>
      </c>
      <c r="DI40" s="82"/>
      <c r="DJ40" s="93"/>
      <c r="DK40" s="82"/>
      <c r="DL40" s="83"/>
      <c r="DM40" s="87"/>
    </row>
    <row r="41" spans="2:117">
      <c r="B41" s="337" t="s">
        <v>38</v>
      </c>
      <c r="C41" s="338" t="s">
        <v>354</v>
      </c>
      <c r="D41" s="14"/>
      <c r="E41" s="173"/>
      <c r="F41" s="174"/>
      <c r="G41" s="174"/>
      <c r="H41" s="174"/>
      <c r="I41" s="174"/>
      <c r="J41" s="174"/>
      <c r="K41" s="174"/>
      <c r="L41" s="174"/>
      <c r="M41" s="174"/>
      <c r="N41" s="174"/>
      <c r="O41" s="174"/>
      <c r="P41" s="174"/>
      <c r="Q41" s="174"/>
      <c r="R41" s="174"/>
      <c r="S41" s="174"/>
      <c r="T41" s="174"/>
      <c r="U41" s="174"/>
      <c r="V41" s="174"/>
      <c r="W41" s="174"/>
      <c r="X41" s="174"/>
      <c r="Y41" s="174"/>
      <c r="Z41" s="174"/>
      <c r="AA41" s="174"/>
      <c r="AB41" s="175"/>
      <c r="AC41" s="14"/>
      <c r="AD41" s="14"/>
      <c r="AE41" s="14"/>
      <c r="AF41" s="128"/>
      <c r="AG41" s="289"/>
      <c r="AH41" s="284"/>
      <c r="AI41" s="284"/>
      <c r="AJ41" s="284"/>
      <c r="AK41" s="292"/>
      <c r="AL41" s="139">
        <f t="shared" si="6"/>
        <v>0</v>
      </c>
      <c r="AM41" s="63"/>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67"/>
      <c r="CV41" s="87"/>
      <c r="CW41" s="87"/>
      <c r="CX41" s="81"/>
      <c r="CY41" s="87">
        <f ca="1">IF(OR(AND(TODAY()&gt;W41,Z41&lt;&gt;1,DB41=1),AND(DB41&gt;='@LeadT_Setting'!$AK$6,Z41&lt;='@LeadT_Setting'!$AK$6),AND(Z41&lt;(DB41-'@LeadT_Setting'!$AI$6),DB41&gt;Z41,U41&gt;0,DB41&lt;'@LeadT_Setting'!$AK$6)),1,0)</f>
        <v>0</v>
      </c>
      <c r="CZ41" s="87">
        <f t="shared" si="7"/>
        <v>0</v>
      </c>
      <c r="DA41" s="118">
        <f t="shared" si="8"/>
        <v>0</v>
      </c>
      <c r="DB41" s="88">
        <f t="shared" ca="1" si="9"/>
        <v>0</v>
      </c>
      <c r="DC41" s="118">
        <f ca="1">IF(OR(AND(TODAY()&gt;W41,Z41&lt;&gt;1,DB41=1),AND(DB41&gt;='@LeadT_Setting'!$AK$6,Z41&lt;='@LeadT_Setting'!$AK$6),AND(Z41&lt;(DB41-'@LeadT_Setting'!$AJ$6),DB41&gt;Z41,U41&gt;0)),1,0)</f>
        <v>0</v>
      </c>
      <c r="DD41" s="119">
        <f t="shared" si="10"/>
        <v>0</v>
      </c>
      <c r="DE41" s="202"/>
      <c r="DF41" s="119">
        <f t="shared" si="22"/>
        <v>0</v>
      </c>
      <c r="DG41" s="119"/>
      <c r="DH41" s="119">
        <f t="shared" ca="1" si="19"/>
        <v>0</v>
      </c>
      <c r="DI41" s="82"/>
      <c r="DJ41" s="93"/>
      <c r="DK41" s="82"/>
      <c r="DL41" s="83"/>
      <c r="DM41" s="87"/>
    </row>
    <row r="42" spans="2:117">
      <c r="B42" s="337" t="s">
        <v>68</v>
      </c>
      <c r="C42" s="338" t="s">
        <v>354</v>
      </c>
      <c r="D42" s="14"/>
      <c r="E42" s="173"/>
      <c r="F42" s="174"/>
      <c r="G42" s="174"/>
      <c r="H42" s="174"/>
      <c r="I42" s="174"/>
      <c r="J42" s="174"/>
      <c r="K42" s="174"/>
      <c r="L42" s="174"/>
      <c r="M42" s="174"/>
      <c r="N42" s="174"/>
      <c r="O42" s="174"/>
      <c r="P42" s="174"/>
      <c r="Q42" s="174"/>
      <c r="R42" s="174"/>
      <c r="S42" s="174"/>
      <c r="T42" s="174"/>
      <c r="U42" s="174"/>
      <c r="V42" s="174"/>
      <c r="W42" s="174"/>
      <c r="X42" s="174"/>
      <c r="Y42" s="174"/>
      <c r="Z42" s="174"/>
      <c r="AA42" s="174"/>
      <c r="AB42" s="175"/>
      <c r="AC42" s="14"/>
      <c r="AD42" s="14"/>
      <c r="AE42" s="14"/>
      <c r="AF42" s="128"/>
      <c r="AG42" s="289"/>
      <c r="AH42" s="284"/>
      <c r="AI42" s="284"/>
      <c r="AJ42" s="284"/>
      <c r="AK42" s="292"/>
      <c r="AL42" s="139">
        <f t="shared" si="6"/>
        <v>0</v>
      </c>
      <c r="AM42" s="63"/>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67"/>
      <c r="CV42" s="87"/>
      <c r="CW42" s="87"/>
      <c r="CX42" s="81"/>
      <c r="CY42" s="87">
        <f ca="1">IF(OR(AND(TODAY()&gt;W42,Z42&lt;&gt;1,DB42=1),AND(DB42&gt;='@LeadT_Setting'!$AK$6,Z42&lt;='@LeadT_Setting'!$AK$6),AND(Z42&lt;(DB42-'@LeadT_Setting'!$AI$6),DB42&gt;Z42,U42&gt;0,DB42&lt;'@LeadT_Setting'!$AK$6)),1,0)</f>
        <v>0</v>
      </c>
      <c r="CZ42" s="87">
        <f t="shared" si="7"/>
        <v>0</v>
      </c>
      <c r="DA42" s="118">
        <f t="shared" si="8"/>
        <v>0</v>
      </c>
      <c r="DB42" s="88">
        <f t="shared" ca="1" si="9"/>
        <v>0</v>
      </c>
      <c r="DC42" s="118">
        <f ca="1">IF(OR(AND(TODAY()&gt;W42,Z42&lt;&gt;1,DB42=1),AND(DB42&gt;='@LeadT_Setting'!$AK$6,Z42&lt;='@LeadT_Setting'!$AK$6),AND(Z42&lt;(DB42-'@LeadT_Setting'!$AJ$6),DB42&gt;Z42,U42&gt;0)),1,0)</f>
        <v>0</v>
      </c>
      <c r="DD42" s="119">
        <f t="shared" si="10"/>
        <v>0</v>
      </c>
      <c r="DE42" s="202"/>
      <c r="DF42" s="119">
        <f t="shared" si="22"/>
        <v>0</v>
      </c>
      <c r="DG42" s="119"/>
      <c r="DH42" s="119">
        <f t="shared" ca="1" si="19"/>
        <v>0</v>
      </c>
      <c r="DI42" s="82"/>
      <c r="DJ42" s="93"/>
      <c r="DK42" s="82"/>
      <c r="DL42" s="83"/>
      <c r="DM42" s="87"/>
    </row>
    <row r="43" spans="2:117">
      <c r="B43" s="337" t="s">
        <v>110</v>
      </c>
      <c r="C43" s="338" t="s">
        <v>355</v>
      </c>
      <c r="D43" s="123"/>
      <c r="E43" s="173"/>
      <c r="F43" s="174"/>
      <c r="G43" s="174"/>
      <c r="H43" s="174"/>
      <c r="I43" s="174"/>
      <c r="J43" s="174"/>
      <c r="K43" s="174"/>
      <c r="L43" s="174"/>
      <c r="M43" s="174"/>
      <c r="N43" s="174"/>
      <c r="O43" s="174"/>
      <c r="P43" s="174"/>
      <c r="Q43" s="174"/>
      <c r="R43" s="174"/>
      <c r="S43" s="174"/>
      <c r="T43" s="174"/>
      <c r="U43" s="174"/>
      <c r="V43" s="174"/>
      <c r="W43" s="174"/>
      <c r="X43" s="174"/>
      <c r="Y43" s="174"/>
      <c r="Z43" s="174"/>
      <c r="AA43" s="174"/>
      <c r="AB43" s="175"/>
      <c r="AC43" s="14"/>
      <c r="AD43" s="14"/>
      <c r="AE43" s="14"/>
      <c r="AF43" s="128"/>
      <c r="AG43" s="289"/>
      <c r="AH43" s="284"/>
      <c r="AI43" s="284"/>
      <c r="AJ43" s="284"/>
      <c r="AK43" s="292"/>
      <c r="AL43" s="139">
        <f t="shared" si="6"/>
        <v>0</v>
      </c>
      <c r="AM43" s="63"/>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67"/>
      <c r="CV43" s="87"/>
      <c r="CW43" s="87"/>
      <c r="CX43" s="81"/>
      <c r="CY43" s="87">
        <f ca="1">IF(OR(AND(TODAY()&gt;W43,Z43&lt;&gt;1,DB43=1),AND(DB43&gt;='@LeadT_Setting'!$AK$6,Z43&lt;='@LeadT_Setting'!$AK$6),AND(Z43&lt;(DB43-'@LeadT_Setting'!$AI$6),DB43&gt;Z43,U43&gt;0,DB43&lt;'@LeadT_Setting'!$AK$6)),1,0)</f>
        <v>0</v>
      </c>
      <c r="CZ43" s="87">
        <f t="shared" si="7"/>
        <v>0</v>
      </c>
      <c r="DA43" s="118">
        <f t="shared" si="8"/>
        <v>0</v>
      </c>
      <c r="DB43" s="88">
        <f t="shared" ca="1" si="9"/>
        <v>0</v>
      </c>
      <c r="DC43" s="118">
        <f ca="1">IF(OR(AND(TODAY()&gt;W43,Z43&lt;&gt;1,DB43=1),AND(DB43&gt;='@LeadT_Setting'!$AK$6,Z43&lt;='@LeadT_Setting'!$AK$6),AND(Z43&lt;(DB43-'@LeadT_Setting'!$AJ$6),DB43&gt;Z43,U43&gt;0)),1,0)</f>
        <v>0</v>
      </c>
      <c r="DD43" s="119">
        <f t="shared" si="10"/>
        <v>0</v>
      </c>
      <c r="DE43" s="202"/>
      <c r="DF43" s="119">
        <f t="shared" si="22"/>
        <v>0</v>
      </c>
      <c r="DG43" s="119"/>
      <c r="DH43" s="119">
        <f t="shared" ca="1" si="19"/>
        <v>0</v>
      </c>
      <c r="DI43" s="82"/>
      <c r="DJ43" s="93"/>
      <c r="DK43" s="82"/>
      <c r="DL43" s="83"/>
      <c r="DM43" s="87"/>
    </row>
    <row r="44" spans="2:117">
      <c r="B44" s="254"/>
      <c r="C44" s="254"/>
      <c r="D44" s="123"/>
      <c r="E44" s="173"/>
      <c r="F44" s="174"/>
      <c r="G44" s="174"/>
      <c r="H44" s="174"/>
      <c r="I44" s="174"/>
      <c r="J44" s="174"/>
      <c r="K44" s="174"/>
      <c r="L44" s="174"/>
      <c r="M44" s="174"/>
      <c r="N44" s="174"/>
      <c r="O44" s="174"/>
      <c r="P44" s="174"/>
      <c r="Q44" s="174"/>
      <c r="R44" s="174"/>
      <c r="S44" s="174"/>
      <c r="T44" s="174"/>
      <c r="U44" s="174"/>
      <c r="V44" s="174"/>
      <c r="W44" s="174"/>
      <c r="X44" s="174"/>
      <c r="Y44" s="174"/>
      <c r="Z44" s="174"/>
      <c r="AA44" s="174"/>
      <c r="AB44" s="175"/>
      <c r="AC44" s="14"/>
      <c r="AD44" s="14"/>
      <c r="AE44" s="14"/>
      <c r="AF44" s="128"/>
      <c r="AG44" s="289"/>
      <c r="AH44" s="284"/>
      <c r="AI44" s="284"/>
      <c r="AJ44" s="284"/>
      <c r="AK44" s="292"/>
      <c r="AL44" s="139">
        <f t="shared" si="6"/>
        <v>0</v>
      </c>
      <c r="AM44" s="63"/>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67"/>
      <c r="CV44" s="87"/>
      <c r="CW44" s="87"/>
      <c r="CX44" s="81"/>
      <c r="CY44" s="87">
        <f ca="1">IF(OR(AND(TODAY()&gt;W44,Z44&lt;&gt;1,DB44=1),AND(DB44&gt;='@LeadT_Setting'!$AK$6,Z44&lt;='@LeadT_Setting'!$AK$6),AND(Z44&lt;(DB44-'@LeadT_Setting'!$AI$6),DB44&gt;Z44,U44&gt;0,DB44&lt;'@LeadT_Setting'!$AK$6)),1,0)</f>
        <v>0</v>
      </c>
      <c r="CZ44" s="87">
        <f t="shared" si="7"/>
        <v>0</v>
      </c>
      <c r="DA44" s="118">
        <f t="shared" si="8"/>
        <v>0</v>
      </c>
      <c r="DB44" s="88">
        <f t="shared" ca="1" si="9"/>
        <v>0</v>
      </c>
      <c r="DC44" s="118">
        <f ca="1">IF(OR(AND(TODAY()&gt;W44,Z44&lt;&gt;1,DB44=1),AND(DB44&gt;='@LeadT_Setting'!$AK$6,Z44&lt;='@LeadT_Setting'!$AK$6),AND(Z44&lt;(DB44-'@LeadT_Setting'!$AJ$6),DB44&gt;Z44,U44&gt;0)),1,0)</f>
        <v>0</v>
      </c>
      <c r="DD44" s="119">
        <f t="shared" si="10"/>
        <v>0</v>
      </c>
      <c r="DE44" s="202"/>
      <c r="DF44" s="119">
        <f t="shared" si="22"/>
        <v>0</v>
      </c>
      <c r="DG44" s="119"/>
      <c r="DH44" s="119">
        <f t="shared" ca="1" si="19"/>
        <v>0</v>
      </c>
      <c r="DI44" s="82"/>
      <c r="DJ44" s="93"/>
      <c r="DK44" s="82"/>
      <c r="DL44" s="83"/>
      <c r="DM44" s="87"/>
    </row>
    <row r="45" spans="2:117">
      <c r="B45" s="254"/>
      <c r="C45" s="254"/>
      <c r="D45" s="123"/>
      <c r="E45" s="173"/>
      <c r="F45" s="174"/>
      <c r="G45" s="174"/>
      <c r="H45" s="174"/>
      <c r="I45" s="174"/>
      <c r="J45" s="174"/>
      <c r="K45" s="174"/>
      <c r="L45" s="174"/>
      <c r="M45" s="174"/>
      <c r="N45" s="174"/>
      <c r="O45" s="174"/>
      <c r="P45" s="174"/>
      <c r="Q45" s="174"/>
      <c r="R45" s="174"/>
      <c r="S45" s="174"/>
      <c r="T45" s="174"/>
      <c r="U45" s="174"/>
      <c r="V45" s="174"/>
      <c r="W45" s="174"/>
      <c r="X45" s="174"/>
      <c r="Y45" s="174"/>
      <c r="Z45" s="174"/>
      <c r="AA45" s="174"/>
      <c r="AB45" s="175"/>
      <c r="AC45" s="14"/>
      <c r="AD45" s="14"/>
      <c r="AE45" s="14"/>
      <c r="AF45" s="128"/>
      <c r="AG45" s="289"/>
      <c r="AH45" s="284"/>
      <c r="AI45" s="284"/>
      <c r="AJ45" s="284"/>
      <c r="AK45" s="292"/>
      <c r="AL45" s="139">
        <f t="shared" si="6"/>
        <v>0</v>
      </c>
      <c r="AM45" s="63"/>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67"/>
      <c r="CV45" s="87"/>
      <c r="CW45" s="87"/>
      <c r="CX45" s="81"/>
      <c r="CY45" s="87">
        <f ca="1">IF(OR(AND(TODAY()&gt;W45,Z45&lt;&gt;1,DB45=1),AND(DB45&gt;='@LeadT_Setting'!$AK$6,Z45&lt;='@LeadT_Setting'!$AK$6),AND(Z45&lt;(DB45-'@LeadT_Setting'!$AI$6),DB45&gt;Z45,U45&gt;0,DB45&lt;'@LeadT_Setting'!$AK$6)),1,0)</f>
        <v>0</v>
      </c>
      <c r="CZ45" s="87">
        <f t="shared" si="7"/>
        <v>0</v>
      </c>
      <c r="DA45" s="118">
        <f t="shared" si="8"/>
        <v>0</v>
      </c>
      <c r="DB45" s="88">
        <f t="shared" ca="1" si="9"/>
        <v>0</v>
      </c>
      <c r="DC45" s="118">
        <f ca="1">IF(OR(AND(TODAY()&gt;W45,Z45&lt;&gt;1,DB45=1),AND(DB45&gt;='@LeadT_Setting'!$AK$6,Z45&lt;='@LeadT_Setting'!$AK$6),AND(Z45&lt;(DB45-'@LeadT_Setting'!$AJ$6),DB45&gt;Z45,U45&gt;0)),1,0)</f>
        <v>0</v>
      </c>
      <c r="DD45" s="119">
        <f t="shared" si="10"/>
        <v>0</v>
      </c>
      <c r="DE45" s="202"/>
      <c r="DF45" s="119">
        <f t="shared" si="22"/>
        <v>0</v>
      </c>
      <c r="DG45" s="119"/>
      <c r="DH45" s="119">
        <f t="shared" ca="1" si="19"/>
        <v>0</v>
      </c>
      <c r="DI45" s="82"/>
      <c r="DJ45" s="93"/>
      <c r="DK45" s="82"/>
      <c r="DL45" s="83"/>
      <c r="DM45" s="87"/>
    </row>
    <row r="46" spans="2:117">
      <c r="B46" s="254"/>
      <c r="C46" s="254"/>
      <c r="D46" s="123"/>
      <c r="E46" s="173"/>
      <c r="F46" s="174"/>
      <c r="G46" s="174"/>
      <c r="H46" s="174"/>
      <c r="I46" s="174"/>
      <c r="J46" s="174"/>
      <c r="K46" s="174"/>
      <c r="L46" s="174"/>
      <c r="M46" s="174"/>
      <c r="N46" s="174"/>
      <c r="O46" s="174"/>
      <c r="P46" s="174"/>
      <c r="Q46" s="174"/>
      <c r="R46" s="174"/>
      <c r="S46" s="174"/>
      <c r="T46" s="174"/>
      <c r="U46" s="174"/>
      <c r="V46" s="174"/>
      <c r="W46" s="174"/>
      <c r="X46" s="174"/>
      <c r="Y46" s="174"/>
      <c r="Z46" s="174"/>
      <c r="AA46" s="174"/>
      <c r="AB46" s="175"/>
      <c r="AC46" s="14"/>
      <c r="AD46" s="14"/>
      <c r="AE46" s="14"/>
      <c r="AF46" s="128"/>
      <c r="AG46" s="289"/>
      <c r="AH46" s="284"/>
      <c r="AI46" s="284"/>
      <c r="AJ46" s="284"/>
      <c r="AK46" s="292"/>
      <c r="AL46" s="139">
        <f t="shared" si="6"/>
        <v>0</v>
      </c>
      <c r="AM46" s="63"/>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67"/>
      <c r="CV46" s="87"/>
      <c r="CW46" s="87"/>
      <c r="CX46" s="81"/>
      <c r="CY46" s="87">
        <f ca="1">IF(OR(AND(TODAY()&gt;W46,Z46&lt;&gt;1,DB46=1),AND(DB46&gt;='@LeadT_Setting'!$AK$6,Z46&lt;='@LeadT_Setting'!$AK$6),AND(Z46&lt;(DB46-'@LeadT_Setting'!$AI$6),DB46&gt;Z46,U46&gt;0,DB46&lt;'@LeadT_Setting'!$AK$6)),1,0)</f>
        <v>0</v>
      </c>
      <c r="CZ46" s="87">
        <f t="shared" si="7"/>
        <v>0</v>
      </c>
      <c r="DA46" s="118">
        <f t="shared" si="8"/>
        <v>0</v>
      </c>
      <c r="DB46" s="88">
        <f t="shared" ca="1" si="9"/>
        <v>0</v>
      </c>
      <c r="DC46" s="118">
        <f ca="1">IF(OR(AND(TODAY()&gt;W46,Z46&lt;&gt;1,DB46=1),AND(DB46&gt;='@LeadT_Setting'!$AK$6,Z46&lt;='@LeadT_Setting'!$AK$6),AND(Z46&lt;(DB46-'@LeadT_Setting'!$AJ$6),DB46&gt;Z46,U46&gt;0)),1,0)</f>
        <v>0</v>
      </c>
      <c r="DD46" s="119">
        <f t="shared" si="10"/>
        <v>0</v>
      </c>
      <c r="DE46" s="202"/>
      <c r="DF46" s="119">
        <f t="shared" si="22"/>
        <v>0</v>
      </c>
      <c r="DG46" s="119"/>
      <c r="DH46" s="119">
        <f t="shared" ca="1" si="19"/>
        <v>0</v>
      </c>
      <c r="DI46" s="82"/>
      <c r="DJ46" s="93"/>
      <c r="DK46" s="82"/>
      <c r="DL46" s="83"/>
      <c r="DM46" s="87"/>
    </row>
    <row r="47" spans="2:117">
      <c r="B47" s="254"/>
      <c r="C47" s="254"/>
      <c r="D47" s="123"/>
      <c r="E47" s="173"/>
      <c r="F47" s="174"/>
      <c r="G47" s="174"/>
      <c r="H47" s="174"/>
      <c r="I47" s="174"/>
      <c r="J47" s="174"/>
      <c r="K47" s="174"/>
      <c r="L47" s="174"/>
      <c r="M47" s="174"/>
      <c r="N47" s="174"/>
      <c r="O47" s="174"/>
      <c r="P47" s="174"/>
      <c r="Q47" s="174"/>
      <c r="R47" s="174"/>
      <c r="S47" s="174"/>
      <c r="T47" s="174"/>
      <c r="U47" s="174"/>
      <c r="V47" s="174"/>
      <c r="W47" s="174"/>
      <c r="X47" s="174"/>
      <c r="Y47" s="174"/>
      <c r="Z47" s="174"/>
      <c r="AA47" s="174"/>
      <c r="AB47" s="175"/>
      <c r="AC47" s="14"/>
      <c r="AD47" s="14"/>
      <c r="AE47" s="14"/>
      <c r="AF47" s="128"/>
      <c r="AG47" s="289"/>
      <c r="AH47" s="284"/>
      <c r="AI47" s="284"/>
      <c r="AJ47" s="284"/>
      <c r="AK47" s="292"/>
      <c r="AL47" s="139">
        <f t="shared" si="6"/>
        <v>0</v>
      </c>
      <c r="AM47" s="63"/>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67"/>
      <c r="CV47" s="87"/>
      <c r="CW47" s="87"/>
      <c r="CX47" s="81"/>
      <c r="CY47" s="82"/>
      <c r="CZ47" s="82"/>
      <c r="DA47" s="82"/>
      <c r="DB47" s="82"/>
      <c r="DC47" s="82"/>
      <c r="DD47" s="82"/>
      <c r="DE47" s="82"/>
      <c r="DF47" s="82"/>
      <c r="DG47" s="119"/>
      <c r="DH47" s="119">
        <f t="shared" ca="1" si="19"/>
        <v>0</v>
      </c>
      <c r="DI47" s="82"/>
      <c r="DJ47" s="93"/>
      <c r="DK47" s="82"/>
      <c r="DL47" s="83"/>
      <c r="DM47" s="87"/>
    </row>
    <row r="48" spans="2:117">
      <c r="B48" s="123"/>
      <c r="C48" s="123"/>
      <c r="D48" s="123"/>
      <c r="E48" s="173"/>
      <c r="F48" s="174"/>
      <c r="G48" s="174"/>
      <c r="H48" s="174"/>
      <c r="I48" s="174"/>
      <c r="J48" s="174"/>
      <c r="K48" s="174"/>
      <c r="L48" s="174"/>
      <c r="M48" s="174"/>
      <c r="N48" s="174"/>
      <c r="O48" s="174"/>
      <c r="P48" s="174"/>
      <c r="Q48" s="174"/>
      <c r="R48" s="174"/>
      <c r="S48" s="174"/>
      <c r="T48" s="174"/>
      <c r="U48" s="174"/>
      <c r="V48" s="174"/>
      <c r="W48" s="174"/>
      <c r="X48" s="174"/>
      <c r="Y48" s="174"/>
      <c r="Z48" s="174"/>
      <c r="AA48" s="174"/>
      <c r="AB48" s="175"/>
      <c r="AC48" s="14"/>
      <c r="AD48" s="14"/>
      <c r="AE48" s="14"/>
      <c r="AF48" s="128"/>
      <c r="AG48" s="277"/>
      <c r="AH48" s="278"/>
      <c r="AI48" s="278"/>
      <c r="AJ48" s="279"/>
      <c r="AK48" s="280"/>
      <c r="AL48" s="139">
        <f t="shared" si="6"/>
        <v>0</v>
      </c>
      <c r="AM48" s="63"/>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67"/>
      <c r="CV48" s="87"/>
      <c r="CW48" s="87"/>
      <c r="CX48" s="81"/>
      <c r="CY48" s="82"/>
      <c r="CZ48" s="82"/>
      <c r="DA48" s="82"/>
      <c r="DB48" s="82"/>
      <c r="DC48" s="82"/>
      <c r="DD48" s="82"/>
      <c r="DE48" s="82"/>
      <c r="DF48" s="82"/>
      <c r="DG48" s="119"/>
      <c r="DH48" s="119">
        <f t="shared" ca="1" si="19"/>
        <v>0</v>
      </c>
      <c r="DI48" s="82"/>
      <c r="DJ48" s="93"/>
      <c r="DK48" s="82"/>
      <c r="DL48" s="83"/>
      <c r="DM48" s="87"/>
    </row>
    <row r="49" spans="2:117" ht="14.4" customHeight="1">
      <c r="B49" s="123"/>
      <c r="C49" s="123"/>
      <c r="D49" s="123"/>
      <c r="E49" s="173"/>
      <c r="F49" s="174"/>
      <c r="G49" s="174"/>
      <c r="H49" s="174"/>
      <c r="I49" s="174"/>
      <c r="J49" s="174"/>
      <c r="K49" s="174"/>
      <c r="L49" s="174"/>
      <c r="M49" s="174"/>
      <c r="N49" s="174"/>
      <c r="O49" s="174"/>
      <c r="P49" s="174"/>
      <c r="Q49" s="174"/>
      <c r="R49" s="174"/>
      <c r="S49" s="174"/>
      <c r="T49" s="174"/>
      <c r="U49" s="174"/>
      <c r="V49" s="174"/>
      <c r="W49" s="174"/>
      <c r="X49" s="174"/>
      <c r="Y49" s="174"/>
      <c r="Z49" s="174"/>
      <c r="AA49" s="174"/>
      <c r="AB49" s="175"/>
      <c r="AC49" s="14"/>
      <c r="AD49" s="14"/>
      <c r="AE49" s="14"/>
      <c r="AF49" s="128"/>
      <c r="AG49" s="287"/>
      <c r="AH49" s="56"/>
      <c r="AI49" s="56"/>
      <c r="AJ49" s="56"/>
      <c r="AK49" s="283"/>
      <c r="AL49" s="139">
        <f t="shared" si="6"/>
        <v>0</v>
      </c>
      <c r="AM49" s="63"/>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67"/>
      <c r="CV49" s="87"/>
      <c r="CW49" s="87"/>
      <c r="CX49" s="81"/>
      <c r="CY49" s="82"/>
      <c r="CZ49" s="82"/>
      <c r="DA49" s="82"/>
      <c r="DB49" s="82"/>
      <c r="DC49" s="82"/>
      <c r="DD49" s="82"/>
      <c r="DE49" s="82"/>
      <c r="DF49" s="82"/>
      <c r="DG49" s="119"/>
      <c r="DH49" s="119">
        <f t="shared" ca="1" si="19"/>
        <v>0</v>
      </c>
      <c r="DI49" s="82"/>
      <c r="DJ49" s="93"/>
      <c r="DK49" s="82"/>
      <c r="DL49" s="83"/>
      <c r="DM49" s="87"/>
    </row>
    <row r="50" spans="2:117">
      <c r="B50" s="123"/>
      <c r="C50" s="123"/>
      <c r="D50" s="123"/>
      <c r="E50" s="173"/>
      <c r="F50" s="174"/>
      <c r="G50" s="174"/>
      <c r="H50" s="174"/>
      <c r="I50" s="174"/>
      <c r="J50" s="174"/>
      <c r="K50" s="174"/>
      <c r="L50" s="174"/>
      <c r="M50" s="174"/>
      <c r="N50" s="174"/>
      <c r="O50" s="174"/>
      <c r="P50" s="174"/>
      <c r="Q50" s="174"/>
      <c r="R50" s="174"/>
      <c r="S50" s="174"/>
      <c r="T50" s="174"/>
      <c r="U50" s="174"/>
      <c r="V50" s="174"/>
      <c r="W50" s="174"/>
      <c r="X50" s="174"/>
      <c r="Y50" s="174"/>
      <c r="Z50" s="174"/>
      <c r="AA50" s="174"/>
      <c r="AB50" s="175"/>
      <c r="AC50" s="14"/>
      <c r="AD50" s="14"/>
      <c r="AE50" s="14"/>
      <c r="AF50" s="128"/>
      <c r="AG50" s="287"/>
      <c r="AH50" s="56"/>
      <c r="AI50" s="56"/>
      <c r="AJ50" s="56"/>
      <c r="AK50" s="283"/>
      <c r="AL50" s="139">
        <f t="shared" si="6"/>
        <v>0</v>
      </c>
      <c r="AM50" s="63"/>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67"/>
      <c r="CV50" s="87"/>
      <c r="CW50" s="87"/>
      <c r="CX50" s="81"/>
      <c r="CY50" s="82"/>
      <c r="CZ50" s="82"/>
      <c r="DA50" s="82"/>
      <c r="DB50" s="82"/>
      <c r="DC50" s="82"/>
      <c r="DD50" s="82"/>
      <c r="DE50" s="82"/>
      <c r="DF50" s="82"/>
      <c r="DG50" s="119"/>
      <c r="DH50" s="119">
        <f t="shared" ca="1" si="19"/>
        <v>0</v>
      </c>
      <c r="DI50" s="82"/>
      <c r="DJ50" s="93"/>
      <c r="DK50" s="82"/>
      <c r="DL50" s="83"/>
      <c r="DM50" s="87"/>
    </row>
    <row r="51" spans="2:117">
      <c r="B51" s="123"/>
      <c r="C51" s="123"/>
      <c r="D51" s="123"/>
      <c r="E51" s="173"/>
      <c r="F51" s="174"/>
      <c r="G51" s="174"/>
      <c r="H51" s="174"/>
      <c r="I51" s="174"/>
      <c r="J51" s="174"/>
      <c r="K51" s="174"/>
      <c r="L51" s="174"/>
      <c r="M51" s="174"/>
      <c r="N51" s="174"/>
      <c r="O51" s="174"/>
      <c r="P51" s="174"/>
      <c r="Q51" s="174"/>
      <c r="R51" s="174"/>
      <c r="S51" s="174"/>
      <c r="T51" s="174"/>
      <c r="U51" s="174"/>
      <c r="V51" s="174"/>
      <c r="W51" s="174"/>
      <c r="X51" s="174"/>
      <c r="Y51" s="174"/>
      <c r="Z51" s="174"/>
      <c r="AA51" s="174"/>
      <c r="AB51" s="175"/>
      <c r="AC51" s="14"/>
      <c r="AD51" s="14"/>
      <c r="AE51" s="14"/>
      <c r="AF51" s="128"/>
      <c r="AG51" s="287"/>
      <c r="AH51" s="56"/>
      <c r="AI51" s="56"/>
      <c r="AJ51" s="56"/>
      <c r="AK51" s="283"/>
      <c r="AL51" s="139">
        <f t="shared" si="6"/>
        <v>0</v>
      </c>
      <c r="AM51" s="63"/>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67"/>
      <c r="CV51" s="87"/>
      <c r="CW51" s="87"/>
      <c r="CX51" s="81"/>
      <c r="CY51" s="82"/>
      <c r="CZ51" s="82"/>
      <c r="DA51" s="82"/>
      <c r="DB51" s="82"/>
      <c r="DC51" s="82"/>
      <c r="DD51" s="82"/>
      <c r="DE51" s="82"/>
      <c r="DF51" s="82"/>
      <c r="DG51" s="119"/>
      <c r="DH51" s="119">
        <f t="shared" ca="1" si="19"/>
        <v>0</v>
      </c>
      <c r="DI51" s="82"/>
      <c r="DJ51" s="93"/>
      <c r="DK51" s="82"/>
      <c r="DL51" s="83"/>
      <c r="DM51" s="87"/>
    </row>
    <row r="52" spans="2:117">
      <c r="B52" s="123"/>
      <c r="C52" s="123"/>
      <c r="D52" s="123"/>
      <c r="E52" s="173"/>
      <c r="F52" s="174"/>
      <c r="G52" s="174"/>
      <c r="H52" s="174"/>
      <c r="I52" s="174"/>
      <c r="J52" s="174"/>
      <c r="K52" s="174"/>
      <c r="L52" s="174"/>
      <c r="M52" s="174"/>
      <c r="N52" s="174"/>
      <c r="O52" s="174"/>
      <c r="P52" s="174"/>
      <c r="Q52" s="174"/>
      <c r="R52" s="174"/>
      <c r="S52" s="174"/>
      <c r="T52" s="174"/>
      <c r="U52" s="174"/>
      <c r="V52" s="174"/>
      <c r="W52" s="174"/>
      <c r="X52" s="174"/>
      <c r="Y52" s="174"/>
      <c r="Z52" s="174"/>
      <c r="AA52" s="174"/>
      <c r="AB52" s="175"/>
      <c r="AC52" s="14"/>
      <c r="AD52" s="14"/>
      <c r="AE52" s="14"/>
      <c r="AF52" s="128"/>
      <c r="AG52" s="287"/>
      <c r="AH52" s="56"/>
      <c r="AI52" s="56"/>
      <c r="AJ52" s="56"/>
      <c r="AK52" s="283"/>
      <c r="AL52" s="139">
        <f t="shared" si="6"/>
        <v>0</v>
      </c>
      <c r="AM52" s="63"/>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67"/>
      <c r="CV52" s="87"/>
      <c r="CW52" s="87"/>
      <c r="CX52" s="81"/>
      <c r="CY52" s="82"/>
      <c r="CZ52" s="82"/>
      <c r="DA52" s="82"/>
      <c r="DB52" s="82"/>
      <c r="DC52" s="82"/>
      <c r="DD52" s="82"/>
      <c r="DE52" s="82"/>
      <c r="DF52" s="82"/>
      <c r="DG52" s="119"/>
      <c r="DH52" s="119">
        <f t="shared" ca="1" si="19"/>
        <v>0</v>
      </c>
      <c r="DI52" s="82"/>
      <c r="DJ52" s="93"/>
      <c r="DK52" s="82"/>
      <c r="DL52" s="83"/>
      <c r="DM52" s="87"/>
    </row>
    <row r="53" spans="2:117">
      <c r="B53" s="196"/>
      <c r="C53" s="196"/>
      <c r="D53" s="14"/>
      <c r="E53" s="173"/>
      <c r="F53" s="174"/>
      <c r="G53" s="174"/>
      <c r="H53" s="174"/>
      <c r="I53" s="174"/>
      <c r="J53" s="174"/>
      <c r="K53" s="174"/>
      <c r="L53" s="174"/>
      <c r="M53" s="174"/>
      <c r="N53" s="174"/>
      <c r="O53" s="174"/>
      <c r="P53" s="174"/>
      <c r="Q53" s="174"/>
      <c r="R53" s="174"/>
      <c r="S53" s="174"/>
      <c r="T53" s="174"/>
      <c r="U53" s="174"/>
      <c r="V53" s="174"/>
      <c r="W53" s="174"/>
      <c r="X53" s="174"/>
      <c r="Y53" s="174"/>
      <c r="Z53" s="174"/>
      <c r="AA53" s="174"/>
      <c r="AB53" s="175"/>
      <c r="AC53" s="14"/>
      <c r="AD53" s="14"/>
      <c r="AE53" s="14"/>
      <c r="AF53" s="128"/>
      <c r="AG53" s="287"/>
      <c r="AH53" s="56"/>
      <c r="AI53" s="56"/>
      <c r="AJ53" s="56"/>
      <c r="AK53" s="283"/>
      <c r="AL53" s="139">
        <f t="shared" si="6"/>
        <v>0</v>
      </c>
      <c r="AM53" s="63"/>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67"/>
      <c r="CV53" s="87"/>
      <c r="CW53" s="87"/>
      <c r="CX53" s="81"/>
      <c r="CY53" s="82"/>
      <c r="CZ53" s="82"/>
      <c r="DA53" s="82"/>
      <c r="DB53" s="82"/>
      <c r="DC53" s="82"/>
      <c r="DD53" s="82"/>
      <c r="DE53" s="82"/>
      <c r="DF53" s="82"/>
      <c r="DG53" s="119"/>
      <c r="DH53" s="119">
        <f t="shared" ca="1" si="19"/>
        <v>0</v>
      </c>
      <c r="DI53" s="82"/>
      <c r="DJ53" s="93"/>
      <c r="DK53" s="82"/>
      <c r="DL53" s="83"/>
      <c r="DM53" s="87"/>
    </row>
    <row r="54" spans="2:117">
      <c r="B54" s="196"/>
      <c r="C54" s="196"/>
      <c r="D54" s="14"/>
      <c r="E54" s="173"/>
      <c r="F54" s="174"/>
      <c r="G54" s="174"/>
      <c r="H54" s="174"/>
      <c r="I54" s="174"/>
      <c r="J54" s="174"/>
      <c r="K54" s="174"/>
      <c r="L54" s="174"/>
      <c r="M54" s="174"/>
      <c r="N54" s="174"/>
      <c r="O54" s="174"/>
      <c r="P54" s="174"/>
      <c r="Q54" s="174"/>
      <c r="R54" s="174"/>
      <c r="S54" s="174"/>
      <c r="T54" s="174"/>
      <c r="U54" s="174"/>
      <c r="V54" s="174"/>
      <c r="W54" s="174"/>
      <c r="X54" s="174"/>
      <c r="Y54" s="174"/>
      <c r="Z54" s="174"/>
      <c r="AA54" s="174"/>
      <c r="AB54" s="175"/>
      <c r="AC54" s="14"/>
      <c r="AD54" s="14"/>
      <c r="AE54" s="14"/>
      <c r="AF54" s="128"/>
      <c r="AG54" s="214" t="s">
        <v>111</v>
      </c>
      <c r="AH54" s="56"/>
      <c r="AI54" s="56"/>
      <c r="AJ54" s="56"/>
      <c r="AK54" s="56"/>
      <c r="AL54" s="139">
        <f t="shared" si="6"/>
        <v>0</v>
      </c>
      <c r="AM54" s="63"/>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67"/>
      <c r="CV54" s="87"/>
      <c r="CW54" s="87"/>
      <c r="CX54" s="81"/>
      <c r="CY54" s="82"/>
      <c r="CZ54" s="82"/>
      <c r="DA54" s="82"/>
      <c r="DB54" s="82"/>
      <c r="DC54" s="82"/>
      <c r="DD54" s="82"/>
      <c r="DE54" s="82"/>
      <c r="DF54" s="82"/>
      <c r="DG54" s="119"/>
      <c r="DH54" s="119">
        <f t="shared" ca="1" si="19"/>
        <v>0</v>
      </c>
      <c r="DI54" s="82"/>
      <c r="DJ54" s="93"/>
      <c r="DK54" s="82"/>
      <c r="DL54" s="83"/>
      <c r="DM54" s="87"/>
    </row>
    <row r="55" spans="2:117" ht="15" thickBot="1">
      <c r="B55" s="14"/>
      <c r="C55" s="237" t="s">
        <v>107</v>
      </c>
      <c r="D55" s="134"/>
      <c r="E55" s="176"/>
      <c r="F55" s="177"/>
      <c r="G55" s="177"/>
      <c r="H55" s="177"/>
      <c r="I55" s="177"/>
      <c r="J55" s="177"/>
      <c r="K55" s="177"/>
      <c r="L55" s="177"/>
      <c r="M55" s="177"/>
      <c r="N55" s="177"/>
      <c r="O55" s="177"/>
      <c r="P55" s="177"/>
      <c r="Q55" s="177"/>
      <c r="R55" s="177"/>
      <c r="S55" s="177"/>
      <c r="T55" s="177"/>
      <c r="U55" s="177"/>
      <c r="V55" s="177"/>
      <c r="W55" s="177"/>
      <c r="X55" s="177"/>
      <c r="Y55" s="177"/>
      <c r="Z55" s="177"/>
      <c r="AA55" s="177"/>
      <c r="AB55" s="178"/>
      <c r="AC55" s="14"/>
      <c r="AD55" s="14"/>
      <c r="AE55" s="14"/>
      <c r="AF55" s="128"/>
      <c r="AG55" s="215" t="s">
        <v>111</v>
      </c>
      <c r="AH55" s="170"/>
      <c r="AI55" s="170"/>
      <c r="AJ55" s="170"/>
      <c r="AK55" s="171"/>
      <c r="AL55" s="139">
        <f t="shared" si="6"/>
        <v>0</v>
      </c>
      <c r="AM55" s="64"/>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8"/>
      <c r="CV55" s="87"/>
      <c r="CW55" s="87"/>
      <c r="CX55" s="84"/>
      <c r="CY55" s="85"/>
      <c r="CZ55" s="85"/>
      <c r="DA55" s="85"/>
      <c r="DB55" s="85"/>
      <c r="DC55" s="85"/>
      <c r="DD55" s="85"/>
      <c r="DE55" s="85"/>
      <c r="DF55" s="85"/>
      <c r="DG55" s="120"/>
      <c r="DH55" s="120">
        <f t="shared" ca="1" si="19"/>
        <v>0</v>
      </c>
      <c r="DI55" s="82"/>
      <c r="DJ55" s="93"/>
      <c r="DK55" s="85"/>
      <c r="DL55" s="86"/>
      <c r="DM55" s="87"/>
    </row>
    <row r="56" spans="2:117">
      <c r="B56" s="14"/>
      <c r="C56" s="374" t="str">
        <f>IF(D7="Sales","Sales_","SWESch_")&amp;SUBSTITUTE(D2,"/","_")&amp;"_"&amp;D14 &amp; ".xlsx"</f>
        <v>SWESch_FSL_2122_CHN_OR004_PLC.xlsx</v>
      </c>
      <c r="D56" s="375"/>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220"/>
    </row>
    <row r="57" spans="2:117">
      <c r="B57" s="222"/>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1"/>
    </row>
  </sheetData>
  <sheetProtection algorithmName="SHA-512" hashValue="9fvq4uppxkY5r5g5Rl99iWos3Mzdrlw+ABkaQYXAqDPK34nEQVuNrFL+oPnruGrRH2KuZXNKZp6alLoUGPitHg==" saltValue="uy7T6xX+QccaF13wreFNpw==" spinCount="100000" sheet="1" objects="1" scenarios="1" autoFilter="0"/>
  <autoFilter ref="A8:CX56" xr:uid="{00000000-0009-0000-0000-000001000000}"/>
  <mergeCells count="22">
    <mergeCell ref="S6:S7"/>
    <mergeCell ref="T6:T7"/>
    <mergeCell ref="U6:U7"/>
    <mergeCell ref="C56:D56"/>
    <mergeCell ref="CY2:DC2"/>
    <mergeCell ref="AM2:AS2"/>
    <mergeCell ref="AM3:AS3"/>
    <mergeCell ref="AT2:AV2"/>
    <mergeCell ref="AT3:AV3"/>
    <mergeCell ref="AX2:BF2"/>
    <mergeCell ref="AX3:BF3"/>
    <mergeCell ref="BG2:BI2"/>
    <mergeCell ref="BG3:BI3"/>
    <mergeCell ref="BM2:BT2"/>
    <mergeCell ref="BU2:BY2"/>
    <mergeCell ref="CO1:CS1"/>
    <mergeCell ref="BM3:BT3"/>
    <mergeCell ref="BU3:BY3"/>
    <mergeCell ref="CA2:CH2"/>
    <mergeCell ref="CI2:CK2"/>
    <mergeCell ref="CO2:CS2"/>
    <mergeCell ref="CO3:CS3"/>
  </mergeCells>
  <phoneticPr fontId="127" type="noConversion"/>
  <conditionalFormatting sqref="B16:B21 C18:D21 B22:D26">
    <cfRule type="expression" dxfId="45" priority="18">
      <formula>$D$7="Sales"</formula>
    </cfRule>
  </conditionalFormatting>
  <conditionalFormatting sqref="B36:B43">
    <cfRule type="expression" dxfId="44" priority="1">
      <formula>$D$7="Sales"</formula>
    </cfRule>
  </conditionalFormatting>
  <conditionalFormatting sqref="B35:C35">
    <cfRule type="expression" dxfId="43" priority="48">
      <formula>$D$7="Sales"</formula>
    </cfRule>
  </conditionalFormatting>
  <conditionalFormatting sqref="B45:C46">
    <cfRule type="expression" dxfId="42" priority="118">
      <formula>$D$7="Sales"</formula>
    </cfRule>
  </conditionalFormatting>
  <conditionalFormatting sqref="B53:C54">
    <cfRule type="expression" dxfId="41" priority="65">
      <formula>$D$7="Sales"</formula>
    </cfRule>
  </conditionalFormatting>
  <conditionalFormatting sqref="B57:AL57">
    <cfRule type="expression" dxfId="40" priority="43">
      <formula>$D$7="Sales"</formula>
    </cfRule>
  </conditionalFormatting>
  <conditionalFormatting sqref="C3">
    <cfRule type="expression" dxfId="39" priority="4">
      <formula>$D$7="Sales"</formula>
    </cfRule>
  </conditionalFormatting>
  <conditionalFormatting sqref="C28:C33">
    <cfRule type="expression" dxfId="38" priority="109">
      <formula>$C28&lt;$D28</formula>
    </cfRule>
  </conditionalFormatting>
  <conditionalFormatting sqref="C2:D2">
    <cfRule type="expression" dxfId="37" priority="156">
      <formula>$D$7="Sales"</formula>
    </cfRule>
  </conditionalFormatting>
  <conditionalFormatting sqref="D3">
    <cfRule type="expression" dxfId="36" priority="3">
      <formula>$E3&gt;0</formula>
    </cfRule>
  </conditionalFormatting>
  <conditionalFormatting sqref="D9">
    <cfRule type="expression" dxfId="35" priority="17">
      <formula>ISTEXT($D$9)</formula>
    </cfRule>
  </conditionalFormatting>
  <conditionalFormatting sqref="D17">
    <cfRule type="expression" dxfId="34" priority="10">
      <formula>$D$20&gt;=NS_SW</formula>
    </cfRule>
    <cfRule type="expression" dxfId="33" priority="11">
      <formula>NOT(ISNUMBER($D17))</formula>
    </cfRule>
  </conditionalFormatting>
  <conditionalFormatting sqref="D28:D33">
    <cfRule type="expression" dxfId="32" priority="85">
      <formula>$D28&lt;$C28</formula>
    </cfRule>
  </conditionalFormatting>
  <conditionalFormatting sqref="E9:E30">
    <cfRule type="expression" dxfId="31" priority="5">
      <formula>$E9&gt;0</formula>
    </cfRule>
  </conditionalFormatting>
  <conditionalFormatting sqref="E56:AL56">
    <cfRule type="expression" dxfId="30" priority="40">
      <formula>$D$7="Sales"</formula>
    </cfRule>
  </conditionalFormatting>
  <conditionalFormatting sqref="S9:S30">
    <cfRule type="expression" dxfId="29" priority="6">
      <formula>$S9&lt;&gt;$R9</formula>
    </cfRule>
  </conditionalFormatting>
  <conditionalFormatting sqref="T9:T11 T13 T18:T24">
    <cfRule type="expression" dxfId="28" priority="265">
      <formula>$T9=$H9</formula>
    </cfRule>
  </conditionalFormatting>
  <conditionalFormatting sqref="T15">
    <cfRule type="expression" dxfId="27" priority="244">
      <formula>$T15=$H15</formula>
    </cfRule>
  </conditionalFormatting>
  <conditionalFormatting sqref="T26:T30">
    <cfRule type="expression" dxfId="26" priority="263">
      <formula>$T26=$H26</formula>
    </cfRule>
  </conditionalFormatting>
  <conditionalFormatting sqref="U9:U30">
    <cfRule type="expression" dxfId="25" priority="32">
      <formula>$T9=$H9</formula>
    </cfRule>
  </conditionalFormatting>
  <conditionalFormatting sqref="V11">
    <cfRule type="expression" dxfId="24" priority="2">
      <formula>AND($V$11&lt;&gt;"",$V$11&lt;=$V$10)</formula>
    </cfRule>
  </conditionalFormatting>
  <conditionalFormatting sqref="X9:X30">
    <cfRule type="expression" dxfId="23" priority="258">
      <formula>X9&gt;V9</formula>
    </cfRule>
  </conditionalFormatting>
  <conditionalFormatting sqref="Y9:Y30">
    <cfRule type="expression" dxfId="22" priority="281">
      <formula>Y9&gt;#REF!</formula>
    </cfRule>
  </conditionalFormatting>
  <conditionalFormatting sqref="Z9:Z30">
    <cfRule type="expression" dxfId="21" priority="154" stopIfTrue="1">
      <formula>$Z9&gt;=100%</formula>
    </cfRule>
    <cfRule type="expression" dxfId="20" priority="100">
      <formula>ISBLANK($Z9)</formula>
    </cfRule>
    <cfRule type="expression" dxfId="19" priority="147">
      <formula>IF($DC9&gt;0,1,0)</formula>
    </cfRule>
  </conditionalFormatting>
  <conditionalFormatting sqref="AB1:AB4">
    <cfRule type="expression" dxfId="18" priority="12">
      <formula>$D$7="Sales"</formula>
    </cfRule>
  </conditionalFormatting>
  <conditionalFormatting sqref="AB9:AB30">
    <cfRule type="expression" dxfId="17" priority="271">
      <formula>$DH9=1</formula>
    </cfRule>
  </conditionalFormatting>
  <conditionalFormatting sqref="AD9:AD30">
    <cfRule type="expression" dxfId="16" priority="27">
      <formula>AD9="Purchase"</formula>
    </cfRule>
    <cfRule type="expression" dxfId="15" priority="26">
      <formula>AD9="Software"</formula>
    </cfRule>
    <cfRule type="expression" dxfId="14" priority="25">
      <formula>AD9="Project Management"</formula>
    </cfRule>
    <cfRule type="expression" dxfId="13" priority="15">
      <formula>AD9="Manufacturing"</formula>
    </cfRule>
    <cfRule type="expression" dxfId="12" priority="14">
      <formula>$Z9=1</formula>
    </cfRule>
    <cfRule type="expression" dxfId="11" priority="30">
      <formula>AD9="Client"</formula>
    </cfRule>
    <cfRule type="expression" dxfId="10" priority="29">
      <formula>AD9="Sales"</formula>
    </cfRule>
    <cfRule type="expression" dxfId="9" priority="28">
      <formula>AD9="Engineering"</formula>
    </cfRule>
  </conditionalFormatting>
  <conditionalFormatting sqref="AE1:AE4">
    <cfRule type="expression" dxfId="8" priority="252">
      <formula>AE1="Y"</formula>
    </cfRule>
  </conditionalFormatting>
  <conditionalFormatting sqref="AI37">
    <cfRule type="expression" dxfId="7" priority="58">
      <formula>$AI37="s"</formula>
    </cfRule>
    <cfRule type="expression" dxfId="6" priority="59">
      <formula>$AI37="a"</formula>
    </cfRule>
  </conditionalFormatting>
  <conditionalFormatting sqref="AL7:AL55">
    <cfRule type="expression" dxfId="5" priority="104">
      <formula>IF($CI$2="Yes",1,0)</formula>
    </cfRule>
  </conditionalFormatting>
  <conditionalFormatting sqref="AM6:CU6">
    <cfRule type="expression" dxfId="4" priority="107">
      <formula>AM$4=1</formula>
    </cfRule>
  </conditionalFormatting>
  <conditionalFormatting sqref="AM9:CU55">
    <cfRule type="expression" dxfId="3" priority="98">
      <formula>IFERROR(IF(OR($AT$3=2,$AT$3=3,$AT$3=7),IF(OR(AND(AM$7&lt;=$X9,$Y9&lt;=AM$7+$AT$3),AND(AND(AM$7&lt;=$X9,$Y9&lt;=AM$7+$AT$3),AND($W9&gt;=$X9,$Y9&gt;=AM$7+$AT$3)),AND(AM$7&gt;$X9,OR($Y9&gt;=AM$7,$Y9&gt;AM$7+$AT$3))),1,""),IF(AND($X9&lt;=AM$7,AM$7&lt;=$Y9),1,"")),"")</formula>
    </cfRule>
    <cfRule type="expression" dxfId="2" priority="105">
      <formula>IFERROR(IF(OR($AT$3=2,$AT$3=3,$AT$3=7),IF(OR(AND(AM$7&lt;=$V9,$W9&lt;=AM$7+$AT$3),AND(AND(AM$7&lt;=$V9,$W9&lt;=AM$7+$AT$3),AND($W9&gt;=$V9,$W9&gt;=AM$7+$AT$3)),AND(AM$7&gt;$V9,OR($W9&gt;=AM$7,$W9&gt;AM$7+$AT$3))),1,""),IF(AND($V9&lt;=AM$7,AM$7&lt;=$W9),1,"")),"")</formula>
    </cfRule>
    <cfRule type="expression" dxfId="1" priority="106">
      <formula>AM$7=TODAY()</formula>
    </cfRule>
    <cfRule type="expression" dxfId="0" priority="250">
      <formula>AM$4=1</formula>
    </cfRule>
  </conditionalFormatting>
  <dataValidations count="17">
    <dataValidation allowBlank="1" showInputMessage="1" showErrorMessage="1" promptTitle="May I Help you!!" prompt="&gt;Fill fields marked with '*'_x000a_&gt;Enter dates for 'Dispatch'_x000a_&gt;Enter other dates same or earlier than critical path dates" sqref="B1" xr:uid="{B00312D3-1FC8-4136-B83F-7644BB6C2BAB}"/>
    <dataValidation allowBlank="1" showInputMessage="1" showErrorMessage="1" promptTitle="Please do take care of.." prompt="&gt;PM dates are critical path dates_x000a_&gt;All RED customer dates and Lead times should be pre-approved_x000a_&gt;Ref Lead times are for 'guidance' only_x000a_&gt;Validate all blue &amp; green entry fields" sqref="B2" xr:uid="{020197BB-0B7F-4749-9037-1F49696D43DA}"/>
    <dataValidation type="list" allowBlank="1" showInputMessage="1" showErrorMessage="1" sqref="AG9:AK9" xr:uid="{38CE550B-8D89-4D76-8D77-57986EB54B5E}">
      <formula1>"Y,N"</formula1>
    </dataValidation>
    <dataValidation type="date" operator="greaterThan" allowBlank="1" showInputMessage="1" showErrorMessage="1" errorTitle="Invalid Date or format" error="The LD date can not be less than or equal to start date. Please enter date in proper format DD-MMM-YY." sqref="AF1" xr:uid="{A870AE03-38DC-4A48-A5D5-BC8726C1869A}">
      <formula1>W2</formula1>
    </dataValidation>
    <dataValidation type="decimal" allowBlank="1" showInputMessage="1" showErrorMessage="1" errorTitle="Percentage entry field" error="Please enter the percentage between 0% to 100% as per PO mentioned LD terms." sqref="AF2" xr:uid="{3AA35A92-F34C-4E2A-8A9C-A591AD5D41FE}">
      <formula1>0</formula1>
      <formula2>1</formula2>
    </dataValidation>
    <dataValidation type="decimal" allowBlank="1" showInputMessage="1" showErrorMessage="1" errorTitle="Percentage entry field" error="Please enter the percentage between 0% to 45% as per PO mentioned LD terms." sqref="AF3" xr:uid="{05A616E3-F3BE-4AE6-8588-E26D58454D61}">
      <formula1>0</formula1>
      <formula2>0.45</formula2>
    </dataValidation>
    <dataValidation type="decimal" allowBlank="1" showInputMessage="1" showErrorMessage="1" errorTitle="% Completion" error="Please enter the percentage between 0% to 100%." sqref="Z9:Z30" xr:uid="{560110B9-06D5-442C-B8DB-FF7323D66BF0}">
      <formula1>0</formula1>
      <formula2>1</formula2>
    </dataValidation>
    <dataValidation type="list" allowBlank="1" showInputMessage="1" showErrorMessage="1" sqref="BG2:BG3" xr:uid="{8356A45F-BB4C-426F-A72A-6B59F528679A}">
      <formula1>"Sat,Sun"</formula1>
    </dataValidation>
    <dataValidation type="list" allowBlank="1" showInputMessage="1" showErrorMessage="1" sqref="AT2:AV2" xr:uid="{53090F66-16D8-4D17-8E39-80AF1065F89B}">
      <formula1>"Day,2Day,3Day,Week"</formula1>
    </dataValidation>
    <dataValidation type="list" allowBlank="1" showInputMessage="1" showErrorMessage="1" sqref="BU3:BY3" xr:uid="{4473F4B2-92AB-4A59-9C5A-6F476C28B8C0}">
      <formula1>"FirstMonth,SecondMonth"</formula1>
    </dataValidation>
    <dataValidation type="list" allowBlank="1" showInputMessage="1" showErrorMessage="1" sqref="CI2:CK2" xr:uid="{F2E9C953-E112-44CE-A3E5-7FF5D9184CF0}">
      <formula1>"Yes,No"</formula1>
    </dataValidation>
    <dataValidation operator="greaterThan" allowBlank="1" showInputMessage="1" showErrorMessage="1" errorTitle="Invalid Date or format" error="The LD date can not be less than or equal to start date. Please enter date in proper format DD-MMM-YY." sqref="X9:Y30" xr:uid="{D8F6473F-1949-48B7-9266-27B3C0B66F32}"/>
    <dataValidation type="date" operator="greaterThan" allowBlank="1" showInputMessage="1" showErrorMessage="1" errorTitle="Invalid Date or format" error="The LD date can not be less than or equal to start date. Please enter date in proper format DD-MMM-YY." sqref="C33" xr:uid="{1BE5269B-299C-4C1D-80C8-7076E0FF18DD}">
      <formula1>XEX29</formula1>
    </dataValidation>
    <dataValidation type="custom" allowBlank="1" showInputMessage="1" showErrorMessage="1" errorTitle="Invalid Entry" error="Enter efforts in numbers only!!" sqref="D17" xr:uid="{C195C83A-738B-4342-AF8B-40951D130DF9}">
      <formula1>ISNUMBER(D17)</formula1>
    </dataValidation>
    <dataValidation type="date" operator="greaterThan" allowBlank="1" showInputMessage="1" showErrorMessage="1" errorTitle="Invalid Date or format" error="The LD date can not be less than or equal to start date. Please enter date in proper format DD-MMM-YY." sqref="C28:C32" xr:uid="{C93B3E08-C85B-4E35-BE01-0DE144E276CA}">
      <formula1>XEX25</formula1>
    </dataValidation>
    <dataValidation type="decimal" allowBlank="1" showInputMessage="1" showErrorMessage="1" errorTitle="Value Entries" error="The entry accepts only numbers and no letters/special characters. Please enter only numbers." sqref="D9" xr:uid="{70EADCFA-52C0-4994-BB95-ECCA9D4B345E}">
      <formula1>0</formula1>
      <formula2>10000</formula2>
    </dataValidation>
    <dataValidation type="list" operator="greaterThan" allowBlank="1" showInputMessage="1" showErrorMessage="1" errorTitle="Invalid Date or format" error="The LD date can not be less than or equal to start date. Please enter date in proper format DD-MMM-YY." sqref="AD9:AD30" xr:uid="{44970823-D1A4-4FE9-9BD8-A0359A5EA37A}">
      <formula1>"Engineering,Purchase,Software,Project Management,Manufacturing,Sales,Client"</formula1>
    </dataValidation>
  </dataValidations>
  <printOptions horizontalCentered="1"/>
  <pageMargins left="0.23622047244094491" right="0.23622047244094491" top="0.74803149606299213" bottom="0.74803149606299213" header="0.31496062992125984" footer="0.31496062992125984"/>
  <pageSetup paperSize="8" scale="96" fitToWidth="0" orientation="landscape" r:id="rId1"/>
  <headerFooter>
    <oddHeader>&amp;C&amp;"-,Bold"&amp;18&amp;E&amp;K09+000Project Schedule&amp;R&amp;"Times New Roman,Bold"&amp;12&amp;U&amp;K09+000&amp;F</oddHeader>
    <oddFooter>&amp;L&amp;"-,Bold" Confidential&amp;C&amp;D &lt;&lt;|&gt;&gt; &amp;T</oddFooter>
  </headerFooter>
  <colBreaks count="2" manualBreakCount="2">
    <brk id="28" min="5" max="54" man="1"/>
    <brk id="37" min="5" max="54"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206C7-456D-40F1-A62A-1FCF6B5321FF}">
  <sheetPr codeName="Sheet5"/>
  <dimension ref="A1:I57"/>
  <sheetViews>
    <sheetView workbookViewId="0">
      <selection activeCell="A11" sqref="A11"/>
    </sheetView>
  </sheetViews>
  <sheetFormatPr defaultColWidth="0.88671875" defaultRowHeight="4.95" customHeight="1"/>
  <cols>
    <col min="1" max="1" width="2.6640625" customWidth="1"/>
    <col min="2" max="2" width="12.6640625" customWidth="1"/>
    <col min="3" max="3" width="6.6640625" customWidth="1"/>
    <col min="4" max="4" width="45.6640625" customWidth="1"/>
    <col min="5" max="5" width="55.6640625" customWidth="1"/>
    <col min="6" max="6" width="6.6640625" customWidth="1"/>
    <col min="7" max="8" width="10.6640625" bestFit="1" customWidth="1"/>
    <col min="9" max="9" width="2.6640625" customWidth="1"/>
    <col min="10" max="17" width="0.88671875" customWidth="1"/>
  </cols>
  <sheetData>
    <row r="1" spans="1:9" ht="6" customHeight="1">
      <c r="A1" s="261"/>
      <c r="B1" s="262"/>
      <c r="C1" s="262"/>
      <c r="D1" s="262"/>
      <c r="E1" s="262"/>
      <c r="F1" s="262"/>
      <c r="G1" s="262"/>
      <c r="H1" s="262"/>
      <c r="I1" s="263"/>
    </row>
    <row r="2" spans="1:9" ht="6" customHeight="1">
      <c r="A2" s="264"/>
      <c r="B2" s="14"/>
      <c r="C2" s="14"/>
      <c r="D2" s="14"/>
      <c r="E2" s="14"/>
      <c r="F2" s="14"/>
      <c r="G2" s="14"/>
      <c r="H2" s="14"/>
      <c r="I2" s="226"/>
    </row>
    <row r="3" spans="1:9" ht="15" customHeight="1">
      <c r="A3" s="271" t="s">
        <v>268</v>
      </c>
      <c r="B3" s="268"/>
      <c r="C3" s="268"/>
      <c r="D3" s="269"/>
      <c r="E3" s="268"/>
      <c r="F3" s="268"/>
      <c r="G3" s="268"/>
      <c r="H3" s="268"/>
      <c r="I3" s="270"/>
    </row>
    <row r="4" spans="1:9" ht="6" customHeight="1">
      <c r="A4" s="264"/>
      <c r="B4" s="14"/>
      <c r="C4" s="14"/>
      <c r="D4" s="14"/>
      <c r="E4" s="14"/>
      <c r="F4" s="14"/>
      <c r="G4" s="14"/>
      <c r="H4" s="14"/>
      <c r="I4" s="226"/>
    </row>
    <row r="5" spans="1:9" ht="6" customHeight="1">
      <c r="A5" s="264"/>
      <c r="B5" s="14"/>
      <c r="C5" s="14"/>
      <c r="D5" s="14"/>
      <c r="E5" s="14"/>
      <c r="F5" s="14"/>
      <c r="G5" s="14"/>
      <c r="H5" s="14"/>
      <c r="I5" s="226"/>
    </row>
    <row r="6" spans="1:9" ht="15" customHeight="1">
      <c r="A6" s="264"/>
      <c r="B6" s="71"/>
      <c r="C6" s="272" t="s">
        <v>269</v>
      </c>
      <c r="D6" s="273" t="str">
        <f>PrjSch!D1</f>
        <v>FSL/2122/CHN/OR004</v>
      </c>
      <c r="E6" s="14"/>
      <c r="F6" s="14"/>
      <c r="G6" s="14"/>
      <c r="H6" s="14"/>
      <c r="I6" s="226"/>
    </row>
    <row r="7" spans="1:9" ht="15" customHeight="1">
      <c r="A7" s="264"/>
      <c r="B7" s="71"/>
      <c r="C7" s="272" t="s">
        <v>185</v>
      </c>
      <c r="D7" s="273" t="str">
        <f>PrjSch!D13</f>
        <v>PLC System for Laundry &amp; Workshop package</v>
      </c>
      <c r="E7" s="14"/>
      <c r="F7" s="14"/>
      <c r="G7" s="14"/>
      <c r="H7" s="14"/>
      <c r="I7" s="226"/>
    </row>
    <row r="8" spans="1:9" ht="15" customHeight="1">
      <c r="A8" s="264"/>
      <c r="B8" s="71"/>
      <c r="C8" s="272" t="s">
        <v>270</v>
      </c>
      <c r="D8" s="273">
        <f>PrjSch!D9</f>
        <v>90.962829999999997</v>
      </c>
      <c r="E8" s="14"/>
      <c r="F8" s="14"/>
      <c r="G8" s="14"/>
      <c r="H8" s="14"/>
      <c r="I8" s="226"/>
    </row>
    <row r="9" spans="1:9" ht="15" customHeight="1">
      <c r="A9" s="264"/>
      <c r="B9" s="14"/>
      <c r="C9" s="14"/>
      <c r="D9" s="14"/>
      <c r="E9" s="14"/>
      <c r="F9" s="253">
        <f>SUM(F11:F30)</f>
        <v>0</v>
      </c>
      <c r="G9" s="14"/>
      <c r="H9" s="14"/>
      <c r="I9" s="226"/>
    </row>
    <row r="10" spans="1:9" ht="14.4">
      <c r="A10" s="264"/>
      <c r="B10" s="252" t="s">
        <v>260</v>
      </c>
      <c r="C10" s="252" t="s">
        <v>263</v>
      </c>
      <c r="D10" s="252" t="s">
        <v>261</v>
      </c>
      <c r="E10" s="252" t="s">
        <v>264</v>
      </c>
      <c r="F10" s="252" t="s">
        <v>262</v>
      </c>
      <c r="G10" s="252" t="s">
        <v>265</v>
      </c>
      <c r="H10" s="252" t="s">
        <v>266</v>
      </c>
      <c r="I10" s="226"/>
    </row>
    <row r="11" spans="1:9" ht="34.950000000000003" customHeight="1">
      <c r="A11" s="264"/>
      <c r="B11" s="255"/>
      <c r="C11" s="256"/>
      <c r="D11" s="259"/>
      <c r="E11" s="260"/>
      <c r="F11" s="257"/>
      <c r="G11" s="258"/>
      <c r="H11" s="258"/>
      <c r="I11" s="226"/>
    </row>
    <row r="12" spans="1:9" ht="34.950000000000003" customHeight="1">
      <c r="A12" s="264"/>
      <c r="B12" s="255"/>
      <c r="C12" s="256"/>
      <c r="D12" s="259"/>
      <c r="E12" s="260"/>
      <c r="F12" s="257"/>
      <c r="G12" s="258"/>
      <c r="H12" s="258"/>
      <c r="I12" s="226"/>
    </row>
    <row r="13" spans="1:9" ht="34.950000000000003" customHeight="1">
      <c r="A13" s="264"/>
      <c r="B13" s="255"/>
      <c r="C13" s="256"/>
      <c r="D13" s="259"/>
      <c r="E13" s="260"/>
      <c r="F13" s="257"/>
      <c r="G13" s="258"/>
      <c r="H13" s="258"/>
      <c r="I13" s="226"/>
    </row>
    <row r="14" spans="1:9" ht="34.950000000000003" customHeight="1">
      <c r="A14" s="264"/>
      <c r="B14" s="255"/>
      <c r="C14" s="256"/>
      <c r="D14" s="259"/>
      <c r="E14" s="260"/>
      <c r="F14" s="257"/>
      <c r="G14" s="258"/>
      <c r="H14" s="258"/>
      <c r="I14" s="226"/>
    </row>
    <row r="15" spans="1:9" ht="34.950000000000003" customHeight="1">
      <c r="A15" s="264"/>
      <c r="B15" s="255"/>
      <c r="C15" s="256"/>
      <c r="D15" s="259"/>
      <c r="E15" s="260"/>
      <c r="F15" s="257"/>
      <c r="G15" s="258"/>
      <c r="H15" s="258"/>
      <c r="I15" s="226"/>
    </row>
    <row r="16" spans="1:9" ht="34.950000000000003" customHeight="1">
      <c r="A16" s="264"/>
      <c r="B16" s="255"/>
      <c r="C16" s="256"/>
      <c r="D16" s="259"/>
      <c r="E16" s="260"/>
      <c r="F16" s="257"/>
      <c r="G16" s="258"/>
      <c r="H16" s="258"/>
      <c r="I16" s="226"/>
    </row>
    <row r="17" spans="1:9" ht="34.950000000000003" customHeight="1">
      <c r="A17" s="264"/>
      <c r="B17" s="255"/>
      <c r="C17" s="256"/>
      <c r="D17" s="259"/>
      <c r="E17" s="260"/>
      <c r="F17" s="257"/>
      <c r="G17" s="258"/>
      <c r="H17" s="258"/>
      <c r="I17" s="226"/>
    </row>
    <row r="18" spans="1:9" ht="34.950000000000003" customHeight="1">
      <c r="A18" s="264"/>
      <c r="B18" s="255"/>
      <c r="C18" s="256"/>
      <c r="D18" s="259"/>
      <c r="E18" s="260"/>
      <c r="F18" s="257"/>
      <c r="G18" s="258"/>
      <c r="H18" s="258"/>
      <c r="I18" s="226"/>
    </row>
    <row r="19" spans="1:9" ht="34.950000000000003" customHeight="1">
      <c r="A19" s="264"/>
      <c r="B19" s="255"/>
      <c r="C19" s="256"/>
      <c r="D19" s="259"/>
      <c r="E19" s="260"/>
      <c r="F19" s="257"/>
      <c r="G19" s="258"/>
      <c r="H19" s="258"/>
      <c r="I19" s="226"/>
    </row>
    <row r="20" spans="1:9" ht="34.950000000000003" customHeight="1">
      <c r="A20" s="264"/>
      <c r="B20" s="255"/>
      <c r="C20" s="256"/>
      <c r="D20" s="259"/>
      <c r="E20" s="260"/>
      <c r="F20" s="257"/>
      <c r="G20" s="258"/>
      <c r="H20" s="258"/>
      <c r="I20" s="226"/>
    </row>
    <row r="21" spans="1:9" ht="34.950000000000003" customHeight="1">
      <c r="A21" s="264"/>
      <c r="B21" s="255"/>
      <c r="C21" s="256"/>
      <c r="D21" s="259"/>
      <c r="E21" s="260"/>
      <c r="F21" s="257"/>
      <c r="G21" s="258"/>
      <c r="H21" s="258"/>
      <c r="I21" s="226"/>
    </row>
    <row r="22" spans="1:9" ht="34.950000000000003" customHeight="1">
      <c r="A22" s="264"/>
      <c r="B22" s="255"/>
      <c r="C22" s="256"/>
      <c r="D22" s="259"/>
      <c r="E22" s="260"/>
      <c r="F22" s="257"/>
      <c r="G22" s="258"/>
      <c r="H22" s="258"/>
      <c r="I22" s="226"/>
    </row>
    <row r="23" spans="1:9" ht="34.950000000000003" customHeight="1">
      <c r="A23" s="264"/>
      <c r="B23" s="255"/>
      <c r="C23" s="256"/>
      <c r="D23" s="259"/>
      <c r="E23" s="260"/>
      <c r="F23" s="257"/>
      <c r="G23" s="258"/>
      <c r="H23" s="258"/>
      <c r="I23" s="226"/>
    </row>
    <row r="24" spans="1:9" ht="34.950000000000003" customHeight="1">
      <c r="A24" s="264"/>
      <c r="B24" s="255"/>
      <c r="C24" s="256"/>
      <c r="D24" s="259"/>
      <c r="E24" s="260"/>
      <c r="F24" s="257"/>
      <c r="G24" s="258"/>
      <c r="H24" s="258"/>
      <c r="I24" s="226"/>
    </row>
    <row r="25" spans="1:9" ht="34.950000000000003" customHeight="1">
      <c r="A25" s="264"/>
      <c r="B25" s="255"/>
      <c r="C25" s="256"/>
      <c r="D25" s="259"/>
      <c r="E25" s="260"/>
      <c r="F25" s="257"/>
      <c r="G25" s="258"/>
      <c r="H25" s="258"/>
      <c r="I25" s="226"/>
    </row>
    <row r="26" spans="1:9" ht="34.950000000000003" customHeight="1">
      <c r="A26" s="264"/>
      <c r="B26" s="255"/>
      <c r="C26" s="256"/>
      <c r="D26" s="259"/>
      <c r="E26" s="260"/>
      <c r="F26" s="257"/>
      <c r="G26" s="258"/>
      <c r="H26" s="258"/>
      <c r="I26" s="226"/>
    </row>
    <row r="27" spans="1:9" ht="34.950000000000003" customHeight="1">
      <c r="A27" s="264"/>
      <c r="B27" s="255"/>
      <c r="C27" s="256"/>
      <c r="D27" s="259"/>
      <c r="E27" s="260"/>
      <c r="F27" s="257"/>
      <c r="G27" s="258"/>
      <c r="H27" s="258"/>
      <c r="I27" s="226"/>
    </row>
    <row r="28" spans="1:9" ht="34.950000000000003" customHeight="1">
      <c r="A28" s="264"/>
      <c r="B28" s="255"/>
      <c r="C28" s="256"/>
      <c r="D28" s="259"/>
      <c r="E28" s="260"/>
      <c r="F28" s="257"/>
      <c r="G28" s="258"/>
      <c r="H28" s="258"/>
      <c r="I28" s="226"/>
    </row>
    <row r="29" spans="1:9" ht="34.950000000000003" customHeight="1">
      <c r="A29" s="264"/>
      <c r="B29" s="255"/>
      <c r="C29" s="256"/>
      <c r="D29" s="259"/>
      <c r="E29" s="260"/>
      <c r="F29" s="257"/>
      <c r="G29" s="258"/>
      <c r="H29" s="258"/>
      <c r="I29" s="226"/>
    </row>
    <row r="30" spans="1:9" ht="34.950000000000003" customHeight="1">
      <c r="A30" s="264"/>
      <c r="B30" s="255"/>
      <c r="C30" s="256"/>
      <c r="D30" s="259"/>
      <c r="E30" s="260"/>
      <c r="F30" s="257"/>
      <c r="G30" s="258"/>
      <c r="H30" s="258"/>
      <c r="I30" s="226"/>
    </row>
    <row r="31" spans="1:9" ht="34.950000000000003" customHeight="1">
      <c r="A31" s="264"/>
      <c r="B31" s="255"/>
      <c r="C31" s="256"/>
      <c r="D31" s="259"/>
      <c r="E31" s="260"/>
      <c r="F31" s="257"/>
      <c r="G31" s="258"/>
      <c r="H31" s="258"/>
      <c r="I31" s="226"/>
    </row>
    <row r="32" spans="1:9" ht="34.950000000000003" customHeight="1">
      <c r="A32" s="264"/>
      <c r="B32" s="255"/>
      <c r="C32" s="256"/>
      <c r="D32" s="259"/>
      <c r="E32" s="260"/>
      <c r="F32" s="257"/>
      <c r="G32" s="258"/>
      <c r="H32" s="258"/>
      <c r="I32" s="226"/>
    </row>
    <row r="33" spans="1:9" ht="34.950000000000003" customHeight="1">
      <c r="A33" s="264"/>
      <c r="B33" s="255"/>
      <c r="C33" s="256"/>
      <c r="D33" s="259"/>
      <c r="E33" s="260"/>
      <c r="F33" s="257"/>
      <c r="G33" s="258"/>
      <c r="H33" s="258"/>
      <c r="I33" s="226"/>
    </row>
    <row r="34" spans="1:9" ht="34.950000000000003" customHeight="1">
      <c r="A34" s="264"/>
      <c r="B34" s="255"/>
      <c r="C34" s="256"/>
      <c r="D34" s="259"/>
      <c r="E34" s="260"/>
      <c r="F34" s="257"/>
      <c r="G34" s="258"/>
      <c r="H34" s="258"/>
      <c r="I34" s="226"/>
    </row>
    <row r="35" spans="1:9" ht="34.950000000000003" customHeight="1">
      <c r="A35" s="264"/>
      <c r="B35" s="255"/>
      <c r="C35" s="256"/>
      <c r="D35" s="259"/>
      <c r="E35" s="260"/>
      <c r="F35" s="257"/>
      <c r="G35" s="258"/>
      <c r="H35" s="258"/>
      <c r="I35" s="226"/>
    </row>
    <row r="36" spans="1:9" ht="34.950000000000003" customHeight="1">
      <c r="A36" s="264"/>
      <c r="B36" s="255"/>
      <c r="C36" s="256"/>
      <c r="D36" s="259"/>
      <c r="E36" s="260"/>
      <c r="F36" s="257"/>
      <c r="G36" s="258"/>
      <c r="H36" s="258"/>
      <c r="I36" s="226"/>
    </row>
    <row r="37" spans="1:9" ht="34.950000000000003" customHeight="1">
      <c r="A37" s="264"/>
      <c r="B37" s="255"/>
      <c r="C37" s="256"/>
      <c r="D37" s="259"/>
      <c r="E37" s="260"/>
      <c r="F37" s="257"/>
      <c r="G37" s="258"/>
      <c r="H37" s="258"/>
      <c r="I37" s="226"/>
    </row>
    <row r="38" spans="1:9" ht="34.950000000000003" customHeight="1">
      <c r="A38" s="264"/>
      <c r="B38" s="255"/>
      <c r="C38" s="256"/>
      <c r="D38" s="259"/>
      <c r="E38" s="260"/>
      <c r="F38" s="257"/>
      <c r="G38" s="258"/>
      <c r="H38" s="258"/>
      <c r="I38" s="226"/>
    </row>
    <row r="39" spans="1:9" ht="34.950000000000003" customHeight="1">
      <c r="A39" s="264"/>
      <c r="B39" s="255"/>
      <c r="C39" s="256"/>
      <c r="D39" s="259"/>
      <c r="E39" s="260"/>
      <c r="F39" s="257"/>
      <c r="G39" s="258"/>
      <c r="H39" s="258"/>
      <c r="I39" s="226"/>
    </row>
    <row r="40" spans="1:9" ht="34.950000000000003" customHeight="1">
      <c r="A40" s="264"/>
      <c r="B40" s="255"/>
      <c r="C40" s="256"/>
      <c r="D40" s="259"/>
      <c r="E40" s="260"/>
      <c r="F40" s="257"/>
      <c r="G40" s="258"/>
      <c r="H40" s="258"/>
      <c r="I40" s="226"/>
    </row>
    <row r="41" spans="1:9" ht="34.950000000000003" customHeight="1">
      <c r="A41" s="264"/>
      <c r="B41" s="255"/>
      <c r="C41" s="256"/>
      <c r="D41" s="259"/>
      <c r="E41" s="260"/>
      <c r="F41" s="257"/>
      <c r="G41" s="258"/>
      <c r="H41" s="258"/>
      <c r="I41" s="226"/>
    </row>
    <row r="42" spans="1:9" ht="34.950000000000003" customHeight="1">
      <c r="A42" s="264"/>
      <c r="B42" s="255"/>
      <c r="C42" s="256"/>
      <c r="D42" s="259"/>
      <c r="E42" s="260"/>
      <c r="F42" s="257"/>
      <c r="G42" s="258"/>
      <c r="H42" s="258"/>
      <c r="I42" s="226"/>
    </row>
    <row r="43" spans="1:9" ht="34.950000000000003" customHeight="1">
      <c r="A43" s="264"/>
      <c r="B43" s="255"/>
      <c r="C43" s="256"/>
      <c r="D43" s="259"/>
      <c r="E43" s="260"/>
      <c r="F43" s="257"/>
      <c r="G43" s="258"/>
      <c r="H43" s="258"/>
      <c r="I43" s="226"/>
    </row>
    <row r="44" spans="1:9" ht="34.950000000000003" customHeight="1">
      <c r="A44" s="264"/>
      <c r="B44" s="255"/>
      <c r="C44" s="256"/>
      <c r="D44" s="259"/>
      <c r="E44" s="260"/>
      <c r="F44" s="257"/>
      <c r="G44" s="258"/>
      <c r="H44" s="258"/>
      <c r="I44" s="226"/>
    </row>
    <row r="45" spans="1:9" ht="34.950000000000003" customHeight="1">
      <c r="A45" s="264"/>
      <c r="B45" s="255"/>
      <c r="C45" s="256"/>
      <c r="D45" s="259"/>
      <c r="E45" s="260"/>
      <c r="F45" s="257"/>
      <c r="G45" s="258"/>
      <c r="H45" s="258"/>
      <c r="I45" s="226"/>
    </row>
    <row r="46" spans="1:9" ht="34.950000000000003" customHeight="1">
      <c r="A46" s="264"/>
      <c r="B46" s="255"/>
      <c r="C46" s="256"/>
      <c r="D46" s="259"/>
      <c r="E46" s="260"/>
      <c r="F46" s="257"/>
      <c r="G46" s="258"/>
      <c r="H46" s="258"/>
      <c r="I46" s="226"/>
    </row>
    <row r="47" spans="1:9" ht="34.950000000000003" customHeight="1">
      <c r="A47" s="264"/>
      <c r="B47" s="255"/>
      <c r="C47" s="256"/>
      <c r="D47" s="259"/>
      <c r="E47" s="260"/>
      <c r="F47" s="257"/>
      <c r="G47" s="258"/>
      <c r="H47" s="258"/>
      <c r="I47" s="226"/>
    </row>
    <row r="48" spans="1:9" ht="34.950000000000003" customHeight="1">
      <c r="A48" s="264"/>
      <c r="B48" s="255"/>
      <c r="C48" s="256"/>
      <c r="D48" s="259"/>
      <c r="E48" s="260"/>
      <c r="F48" s="257"/>
      <c r="G48" s="258"/>
      <c r="H48" s="258"/>
      <c r="I48" s="226"/>
    </row>
    <row r="49" spans="1:9" ht="34.950000000000003" customHeight="1">
      <c r="A49" s="264"/>
      <c r="B49" s="255"/>
      <c r="C49" s="256"/>
      <c r="D49" s="259"/>
      <c r="E49" s="260"/>
      <c r="F49" s="257"/>
      <c r="G49" s="258"/>
      <c r="H49" s="258"/>
      <c r="I49" s="226"/>
    </row>
    <row r="50" spans="1:9" ht="34.950000000000003" customHeight="1">
      <c r="A50" s="264"/>
      <c r="B50" s="255"/>
      <c r="C50" s="256"/>
      <c r="D50" s="259"/>
      <c r="E50" s="260"/>
      <c r="F50" s="257"/>
      <c r="G50" s="258"/>
      <c r="H50" s="258"/>
      <c r="I50" s="226"/>
    </row>
    <row r="51" spans="1:9" ht="34.950000000000003" customHeight="1">
      <c r="A51" s="264"/>
      <c r="B51" s="255"/>
      <c r="C51" s="256"/>
      <c r="D51" s="259"/>
      <c r="E51" s="260"/>
      <c r="F51" s="257"/>
      <c r="G51" s="258"/>
      <c r="H51" s="258"/>
      <c r="I51" s="226"/>
    </row>
    <row r="52" spans="1:9" ht="34.950000000000003" customHeight="1">
      <c r="A52" s="264"/>
      <c r="B52" s="255"/>
      <c r="C52" s="256"/>
      <c r="D52" s="259"/>
      <c r="E52" s="260"/>
      <c r="F52" s="257"/>
      <c r="G52" s="258"/>
      <c r="H52" s="258"/>
      <c r="I52" s="226"/>
    </row>
    <row r="53" spans="1:9" ht="34.950000000000003" customHeight="1">
      <c r="A53" s="264"/>
      <c r="B53" s="255"/>
      <c r="C53" s="256"/>
      <c r="D53" s="259"/>
      <c r="E53" s="260"/>
      <c r="F53" s="257"/>
      <c r="G53" s="258"/>
      <c r="H53" s="258"/>
      <c r="I53" s="226"/>
    </row>
    <row r="54" spans="1:9" ht="34.950000000000003" customHeight="1">
      <c r="A54" s="264"/>
      <c r="B54" s="255"/>
      <c r="C54" s="256"/>
      <c r="D54" s="259"/>
      <c r="E54" s="260"/>
      <c r="F54" s="257"/>
      <c r="G54" s="258"/>
      <c r="H54" s="258"/>
      <c r="I54" s="226"/>
    </row>
    <row r="55" spans="1:9" ht="34.950000000000003" customHeight="1">
      <c r="A55" s="264"/>
      <c r="B55" s="255"/>
      <c r="C55" s="256"/>
      <c r="D55" s="259"/>
      <c r="E55" s="260"/>
      <c r="F55" s="257"/>
      <c r="G55" s="258"/>
      <c r="H55" s="258"/>
      <c r="I55" s="226"/>
    </row>
    <row r="56" spans="1:9" ht="34.950000000000003" customHeight="1">
      <c r="A56" s="264"/>
      <c r="B56" s="255"/>
      <c r="C56" s="256"/>
      <c r="D56" s="259"/>
      <c r="E56" s="260"/>
      <c r="F56" s="257"/>
      <c r="G56" s="258"/>
      <c r="H56" s="258"/>
      <c r="I56" s="226"/>
    </row>
    <row r="57" spans="1:9" ht="14.4">
      <c r="A57" s="265" t="s">
        <v>267</v>
      </c>
      <c r="B57" s="266" t="s">
        <v>267</v>
      </c>
      <c r="C57" s="266" t="s">
        <v>267</v>
      </c>
      <c r="D57" s="266" t="s">
        <v>267</v>
      </c>
      <c r="E57" s="266" t="s">
        <v>267</v>
      </c>
      <c r="F57" s="266" t="s">
        <v>267</v>
      </c>
      <c r="G57" s="266" t="s">
        <v>267</v>
      </c>
      <c r="H57" s="266" t="s">
        <v>267</v>
      </c>
      <c r="I57" s="267" t="s">
        <v>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9" tint="0.39994506668294322"/>
  </sheetPr>
  <dimension ref="A1:DT55"/>
  <sheetViews>
    <sheetView zoomScale="90" zoomScaleNormal="90" workbookViewId="0">
      <pane xSplit="5" ySplit="5" topLeftCell="AO6" activePane="bottomRight" state="frozen"/>
      <selection pane="topRight"/>
      <selection pane="bottomLeft"/>
      <selection pane="bottomRight" activeCell="BF30" sqref="BF30"/>
    </sheetView>
  </sheetViews>
  <sheetFormatPr defaultColWidth="25.33203125" defaultRowHeight="14.4"/>
  <cols>
    <col min="1" max="1" width="4" customWidth="1"/>
    <col min="2" max="2" width="3" customWidth="1"/>
    <col min="3" max="3" width="4" customWidth="1"/>
    <col min="4" max="4" width="7.88671875" customWidth="1"/>
    <col min="5" max="5" width="28.6640625" customWidth="1"/>
    <col min="6" max="10" width="11.5546875" customWidth="1"/>
    <col min="11" max="11" width="1.6640625" customWidth="1"/>
    <col min="12" max="24" width="11.5546875" customWidth="1"/>
    <col min="25" max="25" width="9.6640625" customWidth="1"/>
    <col min="26" max="28" width="3.5546875" customWidth="1"/>
    <col min="29" max="34" width="4.44140625" customWidth="1"/>
    <col min="35" max="35" width="12.33203125" bestFit="1" customWidth="1"/>
    <col min="36" max="38" width="16.109375" customWidth="1"/>
    <col min="40" max="40" width="9.88671875" bestFit="1" customWidth="1"/>
    <col min="42" max="42" width="5.109375" bestFit="1" customWidth="1"/>
    <col min="43" max="43" width="30.44140625" bestFit="1" customWidth="1"/>
    <col min="44" max="44" width="13.109375" bestFit="1" customWidth="1"/>
    <col min="45" max="45" width="9" customWidth="1"/>
    <col min="46" max="92" width="2.6640625" customWidth="1"/>
    <col min="93" max="102" width="1.6640625" customWidth="1"/>
    <col min="103" max="103" width="6" bestFit="1" customWidth="1"/>
    <col min="104" max="104" width="10.109375" bestFit="1" customWidth="1"/>
    <col min="105" max="111" width="9.109375" customWidth="1"/>
    <col min="112" max="112" width="4" bestFit="1" customWidth="1"/>
    <col min="113" max="113" width="8.33203125" bestFit="1" customWidth="1"/>
    <col min="114" max="114" width="7.6640625" bestFit="1" customWidth="1"/>
    <col min="115" max="115" width="9" bestFit="1" customWidth="1"/>
    <col min="116" max="116" width="5.5546875" bestFit="1" customWidth="1"/>
    <col min="117" max="117" width="10.6640625" bestFit="1" customWidth="1"/>
    <col min="118" max="118" width="8.5546875" bestFit="1" customWidth="1"/>
    <col min="119" max="119" width="8" bestFit="1" customWidth="1"/>
  </cols>
  <sheetData>
    <row r="1" spans="1:124">
      <c r="F1" s="185" t="s">
        <v>74</v>
      </c>
      <c r="G1" s="1" t="s">
        <v>75</v>
      </c>
      <c r="H1" s="1" t="s">
        <v>76</v>
      </c>
      <c r="I1" s="141" t="s">
        <v>129</v>
      </c>
      <c r="J1" s="159" t="s">
        <v>152</v>
      </c>
      <c r="K1" s="229"/>
      <c r="L1" s="229"/>
      <c r="M1" s="229"/>
      <c r="N1" s="229"/>
      <c r="O1" s="229"/>
      <c r="P1" s="229"/>
      <c r="Q1" s="229"/>
      <c r="R1" s="229"/>
      <c r="S1" s="229"/>
      <c r="T1" s="229"/>
      <c r="U1" s="229"/>
      <c r="V1" s="229"/>
      <c r="W1" s="229"/>
      <c r="X1" s="229"/>
      <c r="AC1" t="s">
        <v>77</v>
      </c>
      <c r="AD1" s="11" t="s">
        <v>37</v>
      </c>
      <c r="AE1" s="11">
        <v>4</v>
      </c>
      <c r="AF1" s="11">
        <v>10</v>
      </c>
      <c r="AG1" s="11">
        <v>50</v>
      </c>
      <c r="AH1" s="11">
        <v>75</v>
      </c>
      <c r="AI1" t="str">
        <f>IF(PrjSch!$D17&gt;$AH1,"Non-Standard",IF(PrjSch!$D17&gt;$AG1,"Very Large",IF(PrjSch!$D17&gt;$AF1,"Large",IF(PrjSch!$D17&gt;$AE1,"Medium",IF(PrjSch!$D17&gt;0,"Small","-")))))</f>
        <v>Very Large</v>
      </c>
    </row>
    <row r="2" spans="1:124">
      <c r="D2" t="s">
        <v>78</v>
      </c>
      <c r="E2" s="2" t="s">
        <v>171</v>
      </c>
      <c r="F2" s="186">
        <f>(F6+F7+F8+F9+F10+F12)/7</f>
        <v>1.4285714285714286</v>
      </c>
      <c r="G2" s="186">
        <f>(G6+G7+G8+G9+G10+G12)/7</f>
        <v>2.4285714285714284</v>
      </c>
      <c r="H2" s="186">
        <f>(H6+H7+H8+H9+H10+H12)/7</f>
        <v>3.1428571428571428</v>
      </c>
      <c r="I2" s="186">
        <f>(I6+I7+I8+I9+I10+I12)/7</f>
        <v>4.5714285714285712</v>
      </c>
      <c r="J2" s="186">
        <f>(J6+J7+J8+J9+J10+J12)/7</f>
        <v>9.4285714285714288</v>
      </c>
      <c r="K2" s="230"/>
      <c r="L2" s="230"/>
      <c r="M2" s="230"/>
      <c r="N2" s="230"/>
      <c r="O2" s="230"/>
      <c r="P2" s="230"/>
      <c r="Q2" s="230"/>
      <c r="R2" s="230"/>
      <c r="S2" s="230"/>
      <c r="T2" s="230"/>
      <c r="U2" s="230"/>
      <c r="V2" s="230"/>
      <c r="W2" s="230"/>
      <c r="X2" s="230"/>
      <c r="Z2">
        <f>F2/0.85</f>
        <v>1.680672268907563</v>
      </c>
      <c r="AC2" t="s">
        <v>79</v>
      </c>
      <c r="AD2" s="11" t="s">
        <v>39</v>
      </c>
      <c r="AE2" s="11">
        <v>5</v>
      </c>
      <c r="AF2" s="11">
        <v>15</v>
      </c>
      <c r="AG2" s="11">
        <v>25</v>
      </c>
      <c r="AH2" s="11">
        <v>50</v>
      </c>
      <c r="AI2" t="str">
        <f>IF(PrjSch!$D17&gt;$AH2,"Non-Standard",IF(PrjSch!$D17&gt;$AG2,"Very Large",IF(PrjSch!$D17&gt;$AF2,"Large",IF(PrjSch!$D17&gt;$AE2,"Medium",IF(PrjSch!$D17&gt;0,"Small","-")))))</f>
        <v>Non-Standard</v>
      </c>
      <c r="AJ2">
        <f>COUNTA(A9:A260)</f>
        <v>0</v>
      </c>
    </row>
    <row r="3" spans="1:124" ht="15" thickBot="1">
      <c r="D3" t="s">
        <v>80</v>
      </c>
      <c r="E3" s="3" t="s">
        <v>172</v>
      </c>
      <c r="F3" s="142">
        <f>(F6+F7+F21+F22+F23+F25+F26+F27+F28+F30+F32+F33+F34)/7</f>
        <v>0.2857142857142857</v>
      </c>
      <c r="G3" s="142">
        <f>(G6+G7+G21+G22+G23+G25+G26+G27+G28+G30+G32+G33+G34)/7</f>
        <v>0.8571428571428571</v>
      </c>
      <c r="H3" s="142">
        <f>(H6+H7+H21+H22+H23+H25+H26+H27+H28+H30+H32+H33+H34)/7</f>
        <v>1.5714285714285714</v>
      </c>
      <c r="I3" s="142">
        <f>(I6+I7+I21+I22+I23+I25+I26+I27+I28+I30+I32+I33+I34)/7</f>
        <v>2.1428571428571428</v>
      </c>
      <c r="J3" s="142">
        <f>(J6+J7+J21+J22+J23+J25+J26+J27+J28+J30+J32+J33+J34)/7</f>
        <v>5.2857142857142856</v>
      </c>
      <c r="K3" s="231"/>
      <c r="L3" s="231"/>
      <c r="M3" s="231"/>
      <c r="N3" s="231"/>
      <c r="O3" s="231"/>
      <c r="P3" s="231"/>
      <c r="Q3" s="231"/>
      <c r="R3" s="231"/>
      <c r="S3" s="231"/>
      <c r="T3" s="231"/>
      <c r="U3" s="231"/>
      <c r="V3" s="231"/>
      <c r="W3" s="231"/>
      <c r="X3" s="231"/>
      <c r="Z3" s="12"/>
      <c r="AC3" t="s">
        <v>77</v>
      </c>
      <c r="AD3" s="11" t="s">
        <v>38</v>
      </c>
      <c r="AE3" s="11">
        <v>14</v>
      </c>
      <c r="AF3" s="11">
        <v>60</v>
      </c>
      <c r="AG3" s="11">
        <v>100</v>
      </c>
      <c r="AH3" s="11">
        <v>150</v>
      </c>
      <c r="AI3" t="str">
        <f>IF(PrjSch!$D17&gt;$AH3,"Non-Standard",IF(PrjSch!$D17&gt;$AG3,"Very Large",IF(PrjSch!$D17&gt;$AF3,"Large",IF(PrjSch!$D17&gt;$AE3,"Medium",IF(PrjSch!$D17&gt;0,"Small","-")))))</f>
        <v>Large</v>
      </c>
    </row>
    <row r="4" spans="1:124" ht="40.799999999999997">
      <c r="A4" s="4" t="s">
        <v>81</v>
      </c>
      <c r="B4" s="5" t="s">
        <v>10</v>
      </c>
      <c r="C4" s="5" t="s">
        <v>11</v>
      </c>
      <c r="D4" s="5" t="s">
        <v>12</v>
      </c>
      <c r="E4" s="5" t="s">
        <v>13</v>
      </c>
      <c r="F4" s="6" t="s">
        <v>82</v>
      </c>
      <c r="G4" s="6" t="s">
        <v>82</v>
      </c>
      <c r="H4" s="7" t="s">
        <v>82</v>
      </c>
      <c r="I4" s="7" t="s">
        <v>82</v>
      </c>
      <c r="J4" s="7" t="s">
        <v>82</v>
      </c>
      <c r="K4" s="13"/>
      <c r="L4" s="13"/>
      <c r="M4" s="13"/>
      <c r="N4" s="13"/>
      <c r="O4" s="13"/>
      <c r="P4" s="13"/>
      <c r="Q4" s="13"/>
      <c r="R4" s="13"/>
      <c r="S4" s="13"/>
      <c r="T4" s="13"/>
      <c r="U4" s="13"/>
      <c r="V4" s="13"/>
      <c r="W4" s="13"/>
      <c r="X4" s="13"/>
      <c r="Z4" s="13" t="s">
        <v>44</v>
      </c>
      <c r="AA4" s="13" t="s">
        <v>38</v>
      </c>
      <c r="AB4" s="13" t="s">
        <v>37</v>
      </c>
      <c r="AE4" s="143" t="s">
        <v>75</v>
      </c>
      <c r="AF4" s="143" t="s">
        <v>76</v>
      </c>
      <c r="AG4" s="143" t="s">
        <v>130</v>
      </c>
      <c r="AH4" s="143" t="s">
        <v>152</v>
      </c>
      <c r="DS4" s="227" t="s">
        <v>186</v>
      </c>
      <c r="DT4" s="227" t="s">
        <v>187</v>
      </c>
    </row>
    <row r="5" spans="1:124">
      <c r="A5" s="216" t="s">
        <v>42</v>
      </c>
      <c r="B5" s="217" t="s">
        <v>42</v>
      </c>
      <c r="C5" s="217" t="s">
        <v>42</v>
      </c>
      <c r="D5" s="217" t="s">
        <v>42</v>
      </c>
      <c r="E5" s="217" t="s">
        <v>42</v>
      </c>
      <c r="F5" s="217" t="s">
        <v>42</v>
      </c>
      <c r="G5" s="217" t="s">
        <v>42</v>
      </c>
      <c r="H5" s="218" t="s">
        <v>42</v>
      </c>
      <c r="I5" s="218" t="s">
        <v>42</v>
      </c>
      <c r="J5" s="218" t="s">
        <v>42</v>
      </c>
      <c r="K5" s="232"/>
      <c r="L5" s="232"/>
      <c r="M5" s="232"/>
      <c r="N5" s="232"/>
      <c r="O5" s="232"/>
      <c r="P5" s="232"/>
      <c r="Q5" s="232"/>
      <c r="R5" s="232"/>
      <c r="S5" s="232"/>
      <c r="T5" s="232"/>
      <c r="U5" s="232"/>
      <c r="V5" s="232"/>
      <c r="W5" s="232"/>
      <c r="X5" s="232"/>
      <c r="Z5" t="s">
        <v>83</v>
      </c>
      <c r="AI5" s="11" t="s">
        <v>89</v>
      </c>
      <c r="AJ5" s="11" t="s">
        <v>90</v>
      </c>
      <c r="AK5" s="11" t="s">
        <v>91</v>
      </c>
      <c r="AL5" s="73" t="s">
        <v>35</v>
      </c>
      <c r="AM5" s="73" t="s">
        <v>93</v>
      </c>
      <c r="AN5" s="11" t="s">
        <v>5</v>
      </c>
      <c r="AO5" s="11" t="s">
        <v>102</v>
      </c>
      <c r="DS5" t="s">
        <v>42</v>
      </c>
      <c r="DT5" t="s">
        <v>42</v>
      </c>
    </row>
    <row r="6" spans="1:124">
      <c r="A6" s="219"/>
      <c r="B6" s="8" t="s">
        <v>43</v>
      </c>
      <c r="C6" s="8" t="s">
        <v>38</v>
      </c>
      <c r="D6" s="9" t="s">
        <v>45</v>
      </c>
      <c r="E6" s="42" t="s">
        <v>271</v>
      </c>
      <c r="F6" s="8">
        <v>0</v>
      </c>
      <c r="G6" s="8">
        <v>1</v>
      </c>
      <c r="H6" s="8">
        <v>1</v>
      </c>
      <c r="I6" s="8">
        <v>2</v>
      </c>
      <c r="J6" s="8">
        <v>8</v>
      </c>
      <c r="K6" s="233"/>
      <c r="L6" s="233"/>
      <c r="M6" s="233"/>
      <c r="N6" s="233"/>
      <c r="O6" s="233"/>
      <c r="P6" s="233"/>
      <c r="Q6" s="233"/>
      <c r="R6" s="233"/>
      <c r="S6" s="233"/>
      <c r="T6" s="233"/>
      <c r="U6" s="233"/>
      <c r="V6" s="233"/>
      <c r="W6" s="233"/>
      <c r="X6" s="233"/>
      <c r="Y6" t="s">
        <v>159</v>
      </c>
      <c r="Z6" t="s">
        <v>84</v>
      </c>
      <c r="AI6" s="72">
        <v>0.2</v>
      </c>
      <c r="AJ6" s="72">
        <v>0.1</v>
      </c>
      <c r="AK6" s="72">
        <v>0.8</v>
      </c>
      <c r="AL6" s="74"/>
      <c r="AM6" s="74"/>
      <c r="AN6" t="s">
        <v>101</v>
      </c>
      <c r="AO6" t="s">
        <v>103</v>
      </c>
      <c r="DR6" t="s">
        <v>189</v>
      </c>
      <c r="DS6" s="228" t="s">
        <v>193</v>
      </c>
      <c r="DT6" s="228" t="s">
        <v>188</v>
      </c>
    </row>
    <row r="7" spans="1:124">
      <c r="A7" s="219"/>
      <c r="B7" s="8" t="s">
        <v>43</v>
      </c>
      <c r="C7" s="8" t="s">
        <v>38</v>
      </c>
      <c r="D7" s="9" t="s">
        <v>47</v>
      </c>
      <c r="E7" s="42" t="s">
        <v>272</v>
      </c>
      <c r="F7" s="8">
        <v>0</v>
      </c>
      <c r="G7" s="8">
        <v>1</v>
      </c>
      <c r="H7" s="8">
        <v>1</v>
      </c>
      <c r="I7" s="8">
        <v>2</v>
      </c>
      <c r="J7" s="8">
        <v>16</v>
      </c>
      <c r="K7" s="233"/>
      <c r="L7" s="233"/>
      <c r="M7" s="233"/>
      <c r="N7" s="233"/>
      <c r="O7" s="233"/>
      <c r="P7" s="233"/>
      <c r="Q7" s="233"/>
      <c r="R7" s="233"/>
      <c r="S7" s="233"/>
      <c r="T7" s="233"/>
      <c r="U7" s="233"/>
      <c r="V7" s="233"/>
      <c r="W7" s="233"/>
      <c r="X7" s="233"/>
      <c r="Y7" t="s">
        <v>159</v>
      </c>
      <c r="Z7" t="s">
        <v>85</v>
      </c>
      <c r="AL7" s="75" t="s">
        <v>92</v>
      </c>
      <c r="AM7" s="75" t="s">
        <v>87</v>
      </c>
      <c r="DR7" t="s">
        <v>190</v>
      </c>
      <c r="DS7" s="228" t="s">
        <v>194</v>
      </c>
      <c r="DT7" s="228" t="s">
        <v>195</v>
      </c>
    </row>
    <row r="8" spans="1:124">
      <c r="A8" s="219"/>
      <c r="B8" s="8" t="s">
        <v>43</v>
      </c>
      <c r="C8" s="8" t="s">
        <v>38</v>
      </c>
      <c r="D8" s="9" t="s">
        <v>178</v>
      </c>
      <c r="E8" s="42" t="s">
        <v>281</v>
      </c>
      <c r="F8" s="8">
        <v>3</v>
      </c>
      <c r="G8" s="8">
        <v>4</v>
      </c>
      <c r="H8" s="8">
        <v>5</v>
      </c>
      <c r="I8" s="8">
        <v>7</v>
      </c>
      <c r="J8" s="8">
        <v>15</v>
      </c>
      <c r="K8" s="233"/>
      <c r="L8" s="233"/>
      <c r="M8" s="233"/>
      <c r="N8" s="233"/>
      <c r="O8" s="233"/>
      <c r="P8" s="233"/>
      <c r="Q8" s="233"/>
      <c r="R8" s="233"/>
      <c r="S8" s="233"/>
      <c r="T8" s="233"/>
      <c r="U8" s="233"/>
      <c r="V8" s="233"/>
      <c r="W8" s="233"/>
      <c r="X8" s="233"/>
      <c r="Y8" t="s">
        <v>158</v>
      </c>
      <c r="Z8" t="s">
        <v>86</v>
      </c>
      <c r="AL8" s="75"/>
      <c r="AM8" s="75" t="s">
        <v>94</v>
      </c>
      <c r="AT8" t="s">
        <v>38</v>
      </c>
      <c r="AU8" t="s">
        <v>38</v>
      </c>
      <c r="AV8" t="s">
        <v>38</v>
      </c>
      <c r="AW8" t="s">
        <v>38</v>
      </c>
      <c r="AX8" t="s">
        <v>38</v>
      </c>
      <c r="AY8" t="s">
        <v>38</v>
      </c>
      <c r="AZ8" t="s">
        <v>38</v>
      </c>
      <c r="BA8" t="s">
        <v>38</v>
      </c>
      <c r="BB8" t="s">
        <v>38</v>
      </c>
      <c r="BC8" t="s">
        <v>38</v>
      </c>
      <c r="BD8" t="s">
        <v>38</v>
      </c>
      <c r="BE8" t="s">
        <v>38</v>
      </c>
      <c r="BF8" t="s">
        <v>38</v>
      </c>
      <c r="BG8" t="s">
        <v>38</v>
      </c>
      <c r="BH8" t="s">
        <v>38</v>
      </c>
      <c r="BI8" t="s">
        <v>307</v>
      </c>
      <c r="BJ8" t="s">
        <v>307</v>
      </c>
      <c r="BK8" t="s">
        <v>307</v>
      </c>
      <c r="BL8" t="s">
        <v>307</v>
      </c>
      <c r="BM8" t="s">
        <v>38</v>
      </c>
      <c r="BN8" t="s">
        <v>307</v>
      </c>
      <c r="BO8" t="s">
        <v>38</v>
      </c>
      <c r="DR8" t="s">
        <v>191</v>
      </c>
      <c r="DS8" s="228" t="s">
        <v>213</v>
      </c>
      <c r="DT8" s="228" t="s">
        <v>196</v>
      </c>
    </row>
    <row r="9" spans="1:124" ht="16.2" customHeight="1" thickBot="1">
      <c r="A9" s="219"/>
      <c r="B9" s="8" t="s">
        <v>54</v>
      </c>
      <c r="C9" s="8" t="s">
        <v>38</v>
      </c>
      <c r="D9" s="9" t="s">
        <v>55</v>
      </c>
      <c r="E9" s="42" t="s">
        <v>282</v>
      </c>
      <c r="F9" s="8">
        <v>2</v>
      </c>
      <c r="G9" s="8">
        <v>4</v>
      </c>
      <c r="H9" s="8">
        <v>6</v>
      </c>
      <c r="I9" s="8">
        <v>8</v>
      </c>
      <c r="J9" s="8">
        <v>12</v>
      </c>
      <c r="K9" s="233"/>
      <c r="L9" s="233"/>
      <c r="M9" s="233"/>
      <c r="N9" s="233"/>
      <c r="O9" s="233"/>
      <c r="P9" s="233"/>
      <c r="Q9" s="233"/>
      <c r="R9" s="233"/>
      <c r="S9" s="233"/>
      <c r="T9" s="233"/>
      <c r="U9" s="233"/>
      <c r="V9" s="233"/>
      <c r="W9" s="233"/>
      <c r="X9" s="233"/>
      <c r="Y9" t="s">
        <v>160</v>
      </c>
      <c r="AL9" s="75"/>
      <c r="AM9" s="75"/>
      <c r="AT9" s="195" t="s">
        <v>271</v>
      </c>
      <c r="AU9" s="195" t="s">
        <v>272</v>
      </c>
      <c r="AV9" s="195" t="s">
        <v>281</v>
      </c>
      <c r="AW9" s="195" t="s">
        <v>282</v>
      </c>
      <c r="AX9" s="195" t="s">
        <v>283</v>
      </c>
      <c r="AY9" s="195" t="s">
        <v>284</v>
      </c>
      <c r="AZ9" s="195" t="s">
        <v>285</v>
      </c>
      <c r="BA9" s="195" t="s">
        <v>286</v>
      </c>
      <c r="BB9" s="195" t="s">
        <v>287</v>
      </c>
      <c r="BC9" s="195" t="s">
        <v>288</v>
      </c>
      <c r="BD9" s="195" t="s">
        <v>289</v>
      </c>
      <c r="BE9" s="195" t="s">
        <v>290</v>
      </c>
      <c r="BF9" s="195" t="s">
        <v>291</v>
      </c>
      <c r="BG9" s="195" t="s">
        <v>292</v>
      </c>
      <c r="BH9" s="195" t="s">
        <v>293</v>
      </c>
      <c r="BI9" s="195" t="s">
        <v>294</v>
      </c>
      <c r="BJ9" s="195" t="s">
        <v>295</v>
      </c>
      <c r="BK9" s="195" t="s">
        <v>296</v>
      </c>
      <c r="BL9" s="195" t="s">
        <v>297</v>
      </c>
      <c r="BM9" s="195" t="s">
        <v>308</v>
      </c>
      <c r="BN9" s="195" t="s">
        <v>298</v>
      </c>
      <c r="BO9" s="195" t="s">
        <v>73</v>
      </c>
      <c r="BP9" s="99"/>
      <c r="BQ9" s="99"/>
      <c r="BR9" s="99"/>
      <c r="BS9" s="99"/>
      <c r="BT9" s="99"/>
      <c r="BU9" s="99"/>
      <c r="BV9" s="99"/>
      <c r="BW9" s="99"/>
      <c r="BX9" s="99"/>
      <c r="BY9" s="99"/>
      <c r="BZ9" s="99"/>
      <c r="CA9" s="99"/>
      <c r="CB9" s="99"/>
      <c r="CC9" s="99"/>
      <c r="CD9" s="99"/>
      <c r="CE9" s="99"/>
      <c r="CF9" s="99"/>
      <c r="CG9" s="99"/>
      <c r="CH9" s="99"/>
      <c r="CI9" s="99"/>
      <c r="CJ9" s="99"/>
      <c r="CK9" s="99"/>
      <c r="CL9" s="99"/>
      <c r="CM9" s="99"/>
      <c r="CN9" s="99"/>
      <c r="DM9" t="s">
        <v>247</v>
      </c>
      <c r="DN9" t="s">
        <v>248</v>
      </c>
      <c r="DO9">
        <v>1</v>
      </c>
      <c r="DP9" t="s">
        <v>246</v>
      </c>
      <c r="DQ9" t="str">
        <f>DP9&amp;","&amp;DP10&amp;","&amp;DP11&amp;","&amp;DP12&amp;","&amp;DP13</f>
        <v>Engineering,Purchase,Software,Project Management,Manufacturing</v>
      </c>
      <c r="DR9" t="s">
        <v>192</v>
      </c>
      <c r="DS9" s="228" t="s">
        <v>197</v>
      </c>
      <c r="DT9" s="228" t="s">
        <v>198</v>
      </c>
    </row>
    <row r="10" spans="1:124" ht="15" thickBot="1">
      <c r="A10" s="219"/>
      <c r="B10" s="8" t="s">
        <v>54</v>
      </c>
      <c r="C10" s="8" t="s">
        <v>38</v>
      </c>
      <c r="D10" s="9" t="s">
        <v>56</v>
      </c>
      <c r="E10" s="42" t="s">
        <v>283</v>
      </c>
      <c r="F10" s="8">
        <v>1</v>
      </c>
      <c r="G10" s="8">
        <v>1</v>
      </c>
      <c r="H10" s="8">
        <v>1</v>
      </c>
      <c r="I10" s="8">
        <v>3</v>
      </c>
      <c r="J10" s="8">
        <v>5</v>
      </c>
      <c r="K10" s="233"/>
      <c r="L10" s="233"/>
      <c r="M10" s="233"/>
      <c r="N10" s="233"/>
      <c r="O10" s="233"/>
      <c r="P10" s="233"/>
      <c r="Q10" s="233"/>
      <c r="R10" s="233"/>
      <c r="S10" s="233"/>
      <c r="T10" s="233"/>
      <c r="U10" s="233"/>
      <c r="V10" s="233"/>
      <c r="W10" s="233"/>
      <c r="X10" s="233"/>
      <c r="Y10" t="s">
        <v>160</v>
      </c>
      <c r="AM10" s="184">
        <f>PrjSch!D15</f>
        <v>0</v>
      </c>
      <c r="AN10" s="184" t="e">
        <f>INDEX(AN12:AN20,MATCH(AM10,PackgingType,0))</f>
        <v>#N/A</v>
      </c>
      <c r="AP10" s="100" t="s">
        <v>114</v>
      </c>
      <c r="AQ10" s="101" t="s">
        <v>325</v>
      </c>
      <c r="AR10" t="str">
        <f>IFERROR(INDEX(AR11:AR27,MATCH(AS10,AS11:AS27,0)),AR27)</f>
        <v>Installation</v>
      </c>
      <c r="AS10" s="109">
        <v>0</v>
      </c>
      <c r="DM10" t="s">
        <v>249</v>
      </c>
      <c r="DN10" t="s">
        <v>250</v>
      </c>
      <c r="DO10">
        <v>2</v>
      </c>
      <c r="DP10" t="s">
        <v>255</v>
      </c>
      <c r="DS10" s="228" t="s">
        <v>199</v>
      </c>
      <c r="DT10" s="228" t="s">
        <v>200</v>
      </c>
    </row>
    <row r="11" spans="1:124">
      <c r="A11" s="219"/>
      <c r="B11" s="8" t="s">
        <v>54</v>
      </c>
      <c r="C11" s="8" t="s">
        <v>38</v>
      </c>
      <c r="D11" s="9" t="s">
        <v>58</v>
      </c>
      <c r="E11" s="42" t="s">
        <v>284</v>
      </c>
      <c r="F11" s="8">
        <v>1</v>
      </c>
      <c r="G11" s="8">
        <v>1</v>
      </c>
      <c r="H11" s="8">
        <v>1</v>
      </c>
      <c r="I11" s="8">
        <v>3</v>
      </c>
      <c r="J11" s="8">
        <v>8</v>
      </c>
      <c r="K11" s="233"/>
      <c r="L11" s="233"/>
      <c r="M11" s="233"/>
      <c r="N11" s="233"/>
      <c r="O11" s="233"/>
      <c r="P11" s="233"/>
      <c r="Q11" s="233"/>
      <c r="R11" s="233"/>
      <c r="S11" s="233"/>
      <c r="T11" s="233"/>
      <c r="U11" s="233"/>
      <c r="V11" s="233"/>
      <c r="W11" s="233"/>
      <c r="X11" s="233"/>
      <c r="Y11" t="s">
        <v>160</v>
      </c>
      <c r="AJ11" s="160" t="s">
        <v>141</v>
      </c>
      <c r="AK11" s="160" t="s">
        <v>144</v>
      </c>
      <c r="AL11" s="160" t="s">
        <v>147</v>
      </c>
      <c r="AM11" s="180" t="s">
        <v>162</v>
      </c>
      <c r="AN11" s="183" t="s">
        <v>21</v>
      </c>
      <c r="AP11" s="11">
        <v>1</v>
      </c>
      <c r="AQ11" s="102" t="s">
        <v>176</v>
      </c>
      <c r="AR11" s="102" t="s">
        <v>176</v>
      </c>
      <c r="AS11" s="106">
        <f>IF(PRODUCT(AT11:CN11)=1,1,0)</f>
        <v>1</v>
      </c>
      <c r="AT11" s="103"/>
      <c r="AU11" s="105">
        <f>INDEX(PrjSch!$Z:$Z,MATCH(AU$9,PrjSch!$I:$I,0))</f>
        <v>1</v>
      </c>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DM11" t="s">
        <v>251</v>
      </c>
      <c r="DN11" s="250" t="s">
        <v>259</v>
      </c>
      <c r="DO11">
        <v>3</v>
      </c>
      <c r="DP11" t="s">
        <v>256</v>
      </c>
      <c r="DS11" s="228" t="s">
        <v>201</v>
      </c>
      <c r="DT11" s="228" t="s">
        <v>202</v>
      </c>
    </row>
    <row r="12" spans="1:124">
      <c r="A12" s="219"/>
      <c r="B12" s="8" t="s">
        <v>59</v>
      </c>
      <c r="C12" s="8" t="s">
        <v>38</v>
      </c>
      <c r="D12" s="9" t="s">
        <v>60</v>
      </c>
      <c r="E12" s="42" t="s">
        <v>285</v>
      </c>
      <c r="F12" s="8">
        <v>4</v>
      </c>
      <c r="G12" s="8">
        <v>6</v>
      </c>
      <c r="H12" s="8">
        <v>8</v>
      </c>
      <c r="I12" s="8">
        <v>10</v>
      </c>
      <c r="J12" s="8">
        <v>10</v>
      </c>
      <c r="K12" s="233"/>
      <c r="L12" s="233"/>
      <c r="M12" s="233"/>
      <c r="N12" s="233"/>
      <c r="O12" s="233"/>
      <c r="P12" s="233"/>
      <c r="Q12" s="233"/>
      <c r="R12" s="233"/>
      <c r="S12" s="233"/>
      <c r="T12" s="233"/>
      <c r="U12" s="233"/>
      <c r="V12" s="233"/>
      <c r="W12" s="233"/>
      <c r="X12" s="233"/>
      <c r="Y12" t="s">
        <v>161</v>
      </c>
      <c r="AI12" s="161" t="s">
        <v>74</v>
      </c>
      <c r="AJ12" s="162" t="s">
        <v>146</v>
      </c>
      <c r="AK12" s="162" t="s">
        <v>148</v>
      </c>
      <c r="AL12" s="239" t="s">
        <v>240</v>
      </c>
      <c r="AM12" s="181" t="s">
        <v>163</v>
      </c>
      <c r="AN12" s="182">
        <v>0</v>
      </c>
      <c r="AP12" s="11">
        <v>2</v>
      </c>
      <c r="AQ12" s="102" t="s">
        <v>326</v>
      </c>
      <c r="AR12" s="102" t="s">
        <v>326</v>
      </c>
      <c r="AS12" s="106">
        <f t="shared" ref="AS12:AS20" si="0">IF(PRODUCT(AT12:CN12)=1,1,0)</f>
        <v>1</v>
      </c>
      <c r="AT12" s="103"/>
      <c r="AU12" s="103"/>
      <c r="AV12" s="105">
        <f>INDEX(PrjSch!$Z:$Z,MATCH(AV$9,PrjSch!$I:$I,0))</f>
        <v>1</v>
      </c>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DM12" t="s">
        <v>44</v>
      </c>
      <c r="DN12" t="s">
        <v>252</v>
      </c>
      <c r="DO12">
        <v>4</v>
      </c>
      <c r="DP12" t="s">
        <v>257</v>
      </c>
      <c r="DS12" s="228" t="s">
        <v>203</v>
      </c>
      <c r="DT12" s="228" t="s">
        <v>204</v>
      </c>
    </row>
    <row r="13" spans="1:124">
      <c r="A13" s="219"/>
      <c r="B13" s="8" t="s">
        <v>59</v>
      </c>
      <c r="C13" s="8" t="s">
        <v>38</v>
      </c>
      <c r="D13" s="9" t="s">
        <v>61</v>
      </c>
      <c r="E13" s="42" t="s">
        <v>286</v>
      </c>
      <c r="F13" s="8">
        <v>21</v>
      </c>
      <c r="G13" s="8">
        <v>35</v>
      </c>
      <c r="H13" s="8">
        <v>63</v>
      </c>
      <c r="I13" s="8">
        <v>75</v>
      </c>
      <c r="J13" s="8">
        <v>90</v>
      </c>
      <c r="K13" s="233"/>
      <c r="L13" s="233"/>
      <c r="M13" s="233"/>
      <c r="N13" s="233"/>
      <c r="O13" s="233"/>
      <c r="P13" s="233"/>
      <c r="Q13" s="233"/>
      <c r="R13" s="233"/>
      <c r="S13" s="233"/>
      <c r="T13" s="233"/>
      <c r="U13" s="233"/>
      <c r="V13" s="233"/>
      <c r="W13" s="233"/>
      <c r="X13" s="233"/>
      <c r="Y13" t="s">
        <v>161</v>
      </c>
      <c r="AI13" s="161" t="s">
        <v>75</v>
      </c>
      <c r="AJ13" s="162" t="s">
        <v>145</v>
      </c>
      <c r="AK13" s="162" t="s">
        <v>149</v>
      </c>
      <c r="AL13" s="239" t="s">
        <v>241</v>
      </c>
      <c r="AM13" s="179" t="s">
        <v>164</v>
      </c>
      <c r="AN13" s="182">
        <v>1</v>
      </c>
      <c r="AP13" s="11">
        <v>3</v>
      </c>
      <c r="AQ13" s="102" t="s">
        <v>275</v>
      </c>
      <c r="AR13" s="102" t="s">
        <v>275</v>
      </c>
      <c r="AS13" s="106">
        <f t="shared" si="0"/>
        <v>1</v>
      </c>
      <c r="AT13" s="103"/>
      <c r="AU13" s="103"/>
      <c r="AV13" s="103"/>
      <c r="AW13" s="105">
        <f>INDEX(PrjSch!$Z:$Z,MATCH(AW$9,PrjSch!$I:$I,0))</f>
        <v>1</v>
      </c>
      <c r="AX13" s="105">
        <f>INDEX(PrjSch!$Z:$Z,MATCH(AX$9,PrjSch!$I:$I,0))</f>
        <v>1</v>
      </c>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DM13" t="s">
        <v>115</v>
      </c>
      <c r="DN13" t="s">
        <v>253</v>
      </c>
      <c r="DO13">
        <v>5</v>
      </c>
      <c r="DP13" s="250" t="s">
        <v>258</v>
      </c>
      <c r="DS13" s="228" t="s">
        <v>205</v>
      </c>
      <c r="DT13" s="228" t="s">
        <v>206</v>
      </c>
    </row>
    <row r="14" spans="1:124">
      <c r="A14" s="219"/>
      <c r="B14" s="8" t="s">
        <v>59</v>
      </c>
      <c r="C14" s="8" t="s">
        <v>38</v>
      </c>
      <c r="D14" s="9" t="s">
        <v>62</v>
      </c>
      <c r="E14" s="42" t="s">
        <v>287</v>
      </c>
      <c r="F14" s="8"/>
      <c r="G14" s="8"/>
      <c r="H14" s="8"/>
      <c r="I14" s="8"/>
      <c r="J14" s="8"/>
      <c r="K14" s="233"/>
      <c r="L14" s="233"/>
      <c r="M14" s="233"/>
      <c r="N14" s="233"/>
      <c r="O14" s="233"/>
      <c r="P14" s="233"/>
      <c r="Q14" s="233"/>
      <c r="R14" s="233"/>
      <c r="S14" s="233"/>
      <c r="T14" s="233"/>
      <c r="U14" s="233"/>
      <c r="V14" s="233"/>
      <c r="W14" s="233"/>
      <c r="X14" s="233"/>
      <c r="Y14" t="s">
        <v>159</v>
      </c>
      <c r="AI14" s="161" t="s">
        <v>76</v>
      </c>
      <c r="AJ14" s="163" t="s">
        <v>142</v>
      </c>
      <c r="AK14" s="164" t="s">
        <v>150</v>
      </c>
      <c r="AL14" s="239" t="s">
        <v>242</v>
      </c>
      <c r="AM14" s="179" t="s">
        <v>165</v>
      </c>
      <c r="AN14" s="182">
        <v>1</v>
      </c>
      <c r="AP14" s="11">
        <v>4</v>
      </c>
      <c r="AQ14" s="102" t="s">
        <v>327</v>
      </c>
      <c r="AR14" s="102" t="s">
        <v>327</v>
      </c>
      <c r="AS14" s="106">
        <f t="shared" si="0"/>
        <v>1</v>
      </c>
      <c r="AT14" s="103"/>
      <c r="AU14" s="103"/>
      <c r="AV14" s="103"/>
      <c r="AW14" s="103"/>
      <c r="AX14" s="103"/>
      <c r="AY14" s="105">
        <f>INDEX(PrjSch!$Z:$Z,MATCH(AY$9,PrjSch!$I:$I,0))</f>
        <v>1</v>
      </c>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DM14" s="310" t="s">
        <v>109</v>
      </c>
      <c r="DN14" s="310" t="s">
        <v>276</v>
      </c>
      <c r="DO14">
        <v>6</v>
      </c>
      <c r="DP14" s="310" t="s">
        <v>109</v>
      </c>
      <c r="DS14" s="228" t="s">
        <v>207</v>
      </c>
      <c r="DT14" s="228" t="s">
        <v>208</v>
      </c>
    </row>
    <row r="15" spans="1:124">
      <c r="A15" s="219"/>
      <c r="B15" s="8" t="s">
        <v>59</v>
      </c>
      <c r="C15" s="8" t="s">
        <v>38</v>
      </c>
      <c r="D15" s="9" t="s">
        <v>63</v>
      </c>
      <c r="E15" s="42" t="s">
        <v>288</v>
      </c>
      <c r="F15" s="8"/>
      <c r="G15" s="8"/>
      <c r="H15" s="8"/>
      <c r="I15" s="8"/>
      <c r="J15" s="8"/>
      <c r="K15" s="233"/>
      <c r="L15" s="233"/>
      <c r="M15" s="233"/>
      <c r="N15" s="233"/>
      <c r="O15" s="233"/>
      <c r="P15" s="233"/>
      <c r="Q15" s="233"/>
      <c r="R15" s="233"/>
      <c r="S15" s="233"/>
      <c r="T15" s="233"/>
      <c r="U15" s="233"/>
      <c r="V15" s="233"/>
      <c r="W15" s="233"/>
      <c r="X15" s="233"/>
      <c r="Y15" t="s">
        <v>161</v>
      </c>
      <c r="AI15" s="161" t="s">
        <v>129</v>
      </c>
      <c r="AJ15" s="163" t="s">
        <v>143</v>
      </c>
      <c r="AK15" s="164" t="s">
        <v>151</v>
      </c>
      <c r="AL15" s="239" t="s">
        <v>243</v>
      </c>
      <c r="AM15" s="179" t="s">
        <v>166</v>
      </c>
      <c r="AN15" s="182">
        <v>1</v>
      </c>
      <c r="AP15" s="11">
        <v>5</v>
      </c>
      <c r="AQ15" s="102" t="s">
        <v>328</v>
      </c>
      <c r="AR15" s="102" t="s">
        <v>328</v>
      </c>
      <c r="AS15" s="106">
        <f t="shared" si="0"/>
        <v>1</v>
      </c>
      <c r="AT15" s="103"/>
      <c r="AU15" s="103"/>
      <c r="AV15" s="103"/>
      <c r="AW15" s="103"/>
      <c r="AX15" s="103"/>
      <c r="AY15" s="103"/>
      <c r="AZ15" s="105">
        <f>INDEX(PrjSch!$Z:$Z,MATCH(AZ$9,PrjSch!$I:$I,0))</f>
        <v>1</v>
      </c>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DM15" s="310" t="s">
        <v>274</v>
      </c>
      <c r="DN15" s="310" t="s">
        <v>277</v>
      </c>
      <c r="DO15">
        <v>7</v>
      </c>
      <c r="DP15" s="310" t="s">
        <v>274</v>
      </c>
      <c r="DS15" s="228" t="s">
        <v>209</v>
      </c>
      <c r="DT15" s="228" t="s">
        <v>210</v>
      </c>
    </row>
    <row r="16" spans="1:124">
      <c r="A16" s="219"/>
      <c r="B16" s="8" t="s">
        <v>59</v>
      </c>
      <c r="C16" s="8" t="s">
        <v>38</v>
      </c>
      <c r="D16" s="9" t="s">
        <v>179</v>
      </c>
      <c r="E16" s="42" t="s">
        <v>289</v>
      </c>
      <c r="F16" s="8"/>
      <c r="G16" s="8"/>
      <c r="H16" s="8"/>
      <c r="I16" s="8"/>
      <c r="J16" s="8"/>
      <c r="K16" s="233"/>
      <c r="L16" s="233"/>
      <c r="M16" s="233"/>
      <c r="N16" s="233"/>
      <c r="O16" s="233"/>
      <c r="P16" s="233"/>
      <c r="Q16" s="233"/>
      <c r="R16" s="233"/>
      <c r="S16" s="233"/>
      <c r="T16" s="233"/>
      <c r="U16" s="233"/>
      <c r="V16" s="233"/>
      <c r="W16" s="233"/>
      <c r="X16" s="233"/>
      <c r="Y16" t="s">
        <v>161</v>
      </c>
      <c r="AI16" s="161" t="s">
        <v>152</v>
      </c>
      <c r="AJ16" s="165">
        <v>76</v>
      </c>
      <c r="AK16" s="165">
        <v>151</v>
      </c>
      <c r="AL16" s="165">
        <v>51</v>
      </c>
      <c r="AM16" s="179" t="s">
        <v>167</v>
      </c>
      <c r="AN16" s="182">
        <v>2</v>
      </c>
      <c r="AP16" s="11">
        <v>6</v>
      </c>
      <c r="AQ16" s="102" t="s">
        <v>329</v>
      </c>
      <c r="AR16" s="102" t="s">
        <v>329</v>
      </c>
      <c r="AS16" s="106">
        <f t="shared" si="0"/>
        <v>1</v>
      </c>
      <c r="AT16" s="103"/>
      <c r="AU16" s="103"/>
      <c r="AV16" s="103"/>
      <c r="AW16" s="103"/>
      <c r="AX16" s="103"/>
      <c r="AY16" s="103"/>
      <c r="AZ16" s="103"/>
      <c r="BA16" s="105">
        <f>INDEX(PrjSch!$Z:$Z,MATCH(BA$9,PrjSch!$I:$I,0))</f>
        <v>1</v>
      </c>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DS16" s="228" t="s">
        <v>212</v>
      </c>
      <c r="DT16" s="228" t="s">
        <v>211</v>
      </c>
    </row>
    <row r="17" spans="1:124">
      <c r="A17" s="219"/>
      <c r="B17" s="8" t="s">
        <v>59</v>
      </c>
      <c r="C17" s="8" t="s">
        <v>38</v>
      </c>
      <c r="D17" s="9" t="s">
        <v>180</v>
      </c>
      <c r="E17" s="42" t="s">
        <v>290</v>
      </c>
      <c r="F17" s="8"/>
      <c r="G17" s="8"/>
      <c r="H17" s="8"/>
      <c r="I17" s="8"/>
      <c r="J17" s="8"/>
      <c r="K17" s="233"/>
      <c r="L17" s="233"/>
      <c r="M17" s="233"/>
      <c r="N17" s="233"/>
      <c r="O17" s="233"/>
      <c r="P17" s="233"/>
      <c r="Q17" s="233"/>
      <c r="R17" s="233"/>
      <c r="S17" s="233"/>
      <c r="T17" s="233"/>
      <c r="U17" s="233"/>
      <c r="V17" s="233"/>
      <c r="W17" s="233"/>
      <c r="X17" s="233"/>
      <c r="Y17" t="s">
        <v>159</v>
      </c>
      <c r="AM17" s="179" t="s">
        <v>168</v>
      </c>
      <c r="AN17" s="182">
        <v>2</v>
      </c>
      <c r="AP17" s="11">
        <v>7</v>
      </c>
      <c r="AQ17" s="102" t="s">
        <v>330</v>
      </c>
      <c r="AR17" s="102" t="s">
        <v>330</v>
      </c>
      <c r="AS17" s="106">
        <f t="shared" si="0"/>
        <v>1</v>
      </c>
      <c r="AT17" s="103"/>
      <c r="AU17" s="103"/>
      <c r="AV17" s="103"/>
      <c r="AW17" s="103"/>
      <c r="AX17" s="103"/>
      <c r="AY17" s="103"/>
      <c r="AZ17" s="103"/>
      <c r="BA17" s="103"/>
      <c r="BB17" s="105">
        <f>INDEX(PrjSch!$Z:$Z,MATCH(BB$9,PrjSch!$I:$I,0))</f>
        <v>1</v>
      </c>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DS17" s="228" t="s">
        <v>216</v>
      </c>
      <c r="DT17" s="228" t="s">
        <v>214</v>
      </c>
    </row>
    <row r="18" spans="1:124">
      <c r="A18" s="219"/>
      <c r="B18" s="8" t="s">
        <v>59</v>
      </c>
      <c r="C18" s="8" t="s">
        <v>38</v>
      </c>
      <c r="D18" s="9" t="s">
        <v>181</v>
      </c>
      <c r="E18" s="42" t="s">
        <v>291</v>
      </c>
      <c r="F18" s="8">
        <v>4</v>
      </c>
      <c r="G18" s="8">
        <v>5</v>
      </c>
      <c r="H18" s="8">
        <v>4</v>
      </c>
      <c r="I18" s="8">
        <v>4</v>
      </c>
      <c r="J18" s="8">
        <v>4</v>
      </c>
      <c r="K18" s="233"/>
      <c r="L18" s="233"/>
      <c r="M18" s="233"/>
      <c r="N18" s="233"/>
      <c r="O18" s="233"/>
      <c r="P18" s="233"/>
      <c r="Q18" s="233"/>
      <c r="R18" s="233"/>
      <c r="S18" s="233"/>
      <c r="T18" s="233"/>
      <c r="U18" s="233"/>
      <c r="V18" s="233"/>
      <c r="W18" s="233"/>
      <c r="X18" s="233"/>
      <c r="Y18" t="s">
        <v>158</v>
      </c>
      <c r="AM18" s="179" t="s">
        <v>169</v>
      </c>
      <c r="AN18" s="182">
        <v>2</v>
      </c>
      <c r="AP18" s="11">
        <v>8</v>
      </c>
      <c r="AQ18" s="102" t="s">
        <v>331</v>
      </c>
      <c r="AR18" s="102" t="s">
        <v>331</v>
      </c>
      <c r="AS18" s="106">
        <f t="shared" si="0"/>
        <v>1</v>
      </c>
      <c r="AT18" s="103"/>
      <c r="AU18" s="103"/>
      <c r="AV18" s="103"/>
      <c r="AW18" s="103"/>
      <c r="AX18" s="103"/>
      <c r="AY18" s="103"/>
      <c r="AZ18" s="103"/>
      <c r="BA18" s="103"/>
      <c r="BB18" s="103"/>
      <c r="BC18" s="105">
        <f>INDEX(PrjSch!$Z:$Z,MATCH(BC$9,PrjSch!$I:$I,0))</f>
        <v>1</v>
      </c>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DS18" s="228" t="s">
        <v>217</v>
      </c>
      <c r="DT18" s="228" t="s">
        <v>215</v>
      </c>
    </row>
    <row r="19" spans="1:124">
      <c r="A19" s="219"/>
      <c r="B19" s="8" t="s">
        <v>59</v>
      </c>
      <c r="C19" s="8" t="s">
        <v>38</v>
      </c>
      <c r="D19" s="9" t="s">
        <v>182</v>
      </c>
      <c r="E19" s="42" t="s">
        <v>292</v>
      </c>
      <c r="F19" s="8">
        <v>2</v>
      </c>
      <c r="G19" s="8">
        <v>2</v>
      </c>
      <c r="H19" s="8">
        <v>2</v>
      </c>
      <c r="I19" s="8">
        <v>6</v>
      </c>
      <c r="J19" s="8">
        <v>8</v>
      </c>
      <c r="K19" s="233"/>
      <c r="L19" s="233"/>
      <c r="M19" s="233"/>
      <c r="N19" s="233"/>
      <c r="O19" s="233"/>
      <c r="P19" s="233"/>
      <c r="Q19" s="233"/>
      <c r="R19" s="233"/>
      <c r="S19" s="233"/>
      <c r="T19" s="233"/>
      <c r="U19" s="233"/>
      <c r="V19" s="233"/>
      <c r="W19" s="233"/>
      <c r="X19" s="233"/>
      <c r="Y19" t="s">
        <v>159</v>
      </c>
      <c r="AM19" s="179" t="s">
        <v>170</v>
      </c>
      <c r="AN19" s="182">
        <v>3</v>
      </c>
      <c r="AP19" s="11">
        <v>9</v>
      </c>
      <c r="AQ19" s="102" t="s">
        <v>289</v>
      </c>
      <c r="AR19" s="102" t="s">
        <v>289</v>
      </c>
      <c r="AS19" s="106">
        <f t="shared" si="0"/>
        <v>1</v>
      </c>
      <c r="AT19" s="103"/>
      <c r="AU19" s="103"/>
      <c r="AV19" s="103"/>
      <c r="AW19" s="103"/>
      <c r="AX19" s="103"/>
      <c r="AY19" s="103"/>
      <c r="AZ19" s="103"/>
      <c r="BA19" s="103"/>
      <c r="BB19" s="103"/>
      <c r="BC19" s="103"/>
      <c r="BD19" s="105">
        <f>INDEX(PrjSch!$Z:$Z,MATCH(BD$9,PrjSch!$I:$I,0))</f>
        <v>1</v>
      </c>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DS19" s="228" t="s">
        <v>218</v>
      </c>
      <c r="DT19" s="228" t="s">
        <v>219</v>
      </c>
    </row>
    <row r="20" spans="1:124">
      <c r="A20" s="219"/>
      <c r="B20" s="8" t="s">
        <v>64</v>
      </c>
      <c r="C20" s="8" t="s">
        <v>38</v>
      </c>
      <c r="D20" s="9" t="s">
        <v>65</v>
      </c>
      <c r="E20" s="42" t="s">
        <v>293</v>
      </c>
      <c r="F20" s="8">
        <v>2</v>
      </c>
      <c r="G20" s="8">
        <v>2</v>
      </c>
      <c r="H20" s="8">
        <v>2</v>
      </c>
      <c r="I20" s="8">
        <v>4</v>
      </c>
      <c r="J20" s="8">
        <v>4</v>
      </c>
      <c r="K20" s="233"/>
      <c r="L20" s="233"/>
      <c r="M20" s="233"/>
      <c r="N20" s="233"/>
      <c r="O20" s="233"/>
      <c r="P20" s="233"/>
      <c r="Q20" s="233"/>
      <c r="R20" s="233"/>
      <c r="S20" s="233"/>
      <c r="T20" s="233"/>
      <c r="U20" s="233"/>
      <c r="V20" s="233"/>
      <c r="W20" s="233"/>
      <c r="X20" s="233"/>
      <c r="Y20" t="s">
        <v>161</v>
      </c>
      <c r="AM20" s="179" t="s">
        <v>157</v>
      </c>
      <c r="AN20" s="182">
        <v>4</v>
      </c>
      <c r="AP20" s="11">
        <v>10</v>
      </c>
      <c r="AQ20" s="102" t="s">
        <v>332</v>
      </c>
      <c r="AR20" s="102" t="s">
        <v>332</v>
      </c>
      <c r="AS20" s="106">
        <f t="shared" si="0"/>
        <v>1</v>
      </c>
      <c r="AT20" s="103"/>
      <c r="AU20" s="103"/>
      <c r="AV20" s="103"/>
      <c r="AW20" s="103"/>
      <c r="AX20" s="103"/>
      <c r="AY20" s="103"/>
      <c r="AZ20" s="103"/>
      <c r="BA20" s="103"/>
      <c r="BB20" s="103"/>
      <c r="BC20" s="103"/>
      <c r="BD20" s="103"/>
      <c r="BE20" s="105">
        <f>INDEX(PrjSch!$Z:$Z,MATCH(BE$9,PrjSch!$I:$I,0))</f>
        <v>1</v>
      </c>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DS20" s="228" t="s">
        <v>221</v>
      </c>
      <c r="DT20" s="228" t="s">
        <v>220</v>
      </c>
    </row>
    <row r="21" spans="1:124">
      <c r="A21" s="219"/>
      <c r="B21" s="8" t="s">
        <v>64</v>
      </c>
      <c r="C21" s="8" t="s">
        <v>307</v>
      </c>
      <c r="D21" s="9" t="s">
        <v>66</v>
      </c>
      <c r="E21" s="42" t="s">
        <v>294</v>
      </c>
      <c r="F21" s="8">
        <v>0</v>
      </c>
      <c r="G21" s="8">
        <v>0</v>
      </c>
      <c r="H21" s="8">
        <v>0</v>
      </c>
      <c r="I21" s="8">
        <v>0</v>
      </c>
      <c r="J21" s="8">
        <v>0</v>
      </c>
      <c r="K21" s="233"/>
      <c r="L21" s="233"/>
      <c r="M21" s="233"/>
      <c r="N21" s="233"/>
      <c r="O21" s="233"/>
      <c r="P21" s="233"/>
      <c r="Q21" s="233"/>
      <c r="R21" s="233"/>
      <c r="S21" s="233"/>
      <c r="T21" s="233"/>
      <c r="U21" s="233"/>
      <c r="V21" s="233"/>
      <c r="W21" s="233"/>
      <c r="X21" s="233"/>
      <c r="Y21" t="s">
        <v>159</v>
      </c>
      <c r="AP21" s="11">
        <v>11</v>
      </c>
      <c r="AQ21" s="102" t="s">
        <v>333</v>
      </c>
      <c r="AR21" s="102" t="s">
        <v>333</v>
      </c>
      <c r="AS21" s="106">
        <f t="shared" ref="AS21:AS23" si="1">IF(PRODUCT(AT21:CN21)=1,1,0)</f>
        <v>1</v>
      </c>
      <c r="AT21" s="103"/>
      <c r="AU21" s="103"/>
      <c r="AV21" s="103"/>
      <c r="AW21" s="103"/>
      <c r="AX21" s="103"/>
      <c r="AY21" s="103"/>
      <c r="AZ21" s="103"/>
      <c r="BA21" s="103"/>
      <c r="BB21" s="103"/>
      <c r="BC21" s="103"/>
      <c r="BD21" s="103"/>
      <c r="BE21" s="103"/>
      <c r="BF21" s="105">
        <f>INDEX(PrjSch!$Z:$Z,MATCH(BF$9,PrjSch!$I:$I,0))</f>
        <v>1</v>
      </c>
      <c r="BG21" s="105">
        <f>INDEX(PrjSch!$Z:$Z,MATCH(BG$9,PrjSch!$I:$I,0))</f>
        <v>1</v>
      </c>
      <c r="BH21" s="105">
        <f>INDEX(PrjSch!$Z:$Z,MATCH(BH$9,PrjSch!$I:$I,0))</f>
        <v>1</v>
      </c>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DS21" s="228" t="s">
        <v>222</v>
      </c>
      <c r="DT21" s="228" t="s">
        <v>223</v>
      </c>
    </row>
    <row r="22" spans="1:124">
      <c r="A22" s="219"/>
      <c r="B22" s="8" t="s">
        <v>64</v>
      </c>
      <c r="C22" s="8" t="s">
        <v>307</v>
      </c>
      <c r="D22" s="9" t="s">
        <v>67</v>
      </c>
      <c r="E22" s="42" t="s">
        <v>295</v>
      </c>
      <c r="F22" s="8">
        <v>0</v>
      </c>
      <c r="G22" s="8">
        <v>0</v>
      </c>
      <c r="H22" s="8">
        <v>0</v>
      </c>
      <c r="I22" s="8">
        <v>0</v>
      </c>
      <c r="J22" s="8">
        <v>0</v>
      </c>
      <c r="K22" s="233"/>
      <c r="L22" s="233"/>
      <c r="M22" s="233"/>
      <c r="N22" s="233"/>
      <c r="O22" s="233"/>
      <c r="P22" s="233"/>
      <c r="Q22" s="233"/>
      <c r="R22" s="233"/>
      <c r="S22" s="233"/>
      <c r="T22" s="233"/>
      <c r="U22" s="233"/>
      <c r="V22" s="233"/>
      <c r="W22" s="233"/>
      <c r="X22" s="233"/>
      <c r="Y22" t="s">
        <v>159</v>
      </c>
      <c r="AO22" s="200" t="s">
        <v>174</v>
      </c>
      <c r="AP22" s="11">
        <v>12</v>
      </c>
      <c r="AQ22" s="102" t="s">
        <v>294</v>
      </c>
      <c r="AR22" s="102" t="s">
        <v>294</v>
      </c>
      <c r="AS22" s="106">
        <f t="shared" si="1"/>
        <v>0</v>
      </c>
      <c r="AT22" s="103"/>
      <c r="AU22" s="103"/>
      <c r="AV22" s="103"/>
      <c r="AW22" s="103"/>
      <c r="AX22" s="103"/>
      <c r="AY22" s="103"/>
      <c r="AZ22" s="103"/>
      <c r="BA22" s="103"/>
      <c r="BB22" s="103"/>
      <c r="BC22" s="103"/>
      <c r="BD22" s="103"/>
      <c r="BE22" s="103"/>
      <c r="BF22" s="103"/>
      <c r="BG22" s="103"/>
      <c r="BH22" s="103"/>
      <c r="BI22" s="105">
        <f>INDEX(PrjSch!$Z:$Z,MATCH(BI$9,PrjSch!$I:$I,0))</f>
        <v>0</v>
      </c>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DS22" s="228" t="s">
        <v>224</v>
      </c>
      <c r="DT22" s="228" t="s">
        <v>225</v>
      </c>
    </row>
    <row r="23" spans="1:124">
      <c r="A23" s="219"/>
      <c r="B23" s="8" t="s">
        <v>69</v>
      </c>
      <c r="C23" s="8" t="s">
        <v>307</v>
      </c>
      <c r="D23" s="9" t="s">
        <v>70</v>
      </c>
      <c r="E23" s="42" t="s">
        <v>296</v>
      </c>
      <c r="F23" s="8">
        <v>0</v>
      </c>
      <c r="G23" s="8">
        <v>0</v>
      </c>
      <c r="H23" s="8">
        <v>0</v>
      </c>
      <c r="I23" s="8">
        <v>0</v>
      </c>
      <c r="J23" s="8">
        <v>0</v>
      </c>
      <c r="K23" s="233"/>
      <c r="L23" s="233"/>
      <c r="M23" s="233"/>
      <c r="N23" s="233"/>
      <c r="O23" s="233"/>
      <c r="P23" s="233"/>
      <c r="Q23" s="233"/>
      <c r="R23" s="233"/>
      <c r="S23" s="233"/>
      <c r="T23" s="233"/>
      <c r="U23" s="233"/>
      <c r="V23" s="233"/>
      <c r="W23" s="233"/>
      <c r="X23" s="233"/>
      <c r="Y23" t="s">
        <v>159</v>
      </c>
      <c r="AO23" s="199" t="s">
        <v>85</v>
      </c>
      <c r="AP23" s="11">
        <v>13</v>
      </c>
      <c r="AQ23" s="102" t="s">
        <v>334</v>
      </c>
      <c r="AR23" s="102" t="s">
        <v>334</v>
      </c>
      <c r="AS23" s="106">
        <f t="shared" si="1"/>
        <v>0</v>
      </c>
      <c r="AT23" s="103"/>
      <c r="AU23" s="103"/>
      <c r="AV23" s="103"/>
      <c r="AW23" s="103"/>
      <c r="AX23" s="103"/>
      <c r="AY23" s="103"/>
      <c r="AZ23" s="103"/>
      <c r="BA23" s="103"/>
      <c r="BB23" s="103"/>
      <c r="BC23" s="103"/>
      <c r="BD23" s="103"/>
      <c r="BE23" s="103"/>
      <c r="BF23" s="103"/>
      <c r="BG23" s="103"/>
      <c r="BH23" s="103"/>
      <c r="BI23" s="103"/>
      <c r="BJ23" s="105">
        <f>INDEX(PrjSch!$Z:$Z,MATCH(BJ$9,PrjSch!$I:$I,0))</f>
        <v>0</v>
      </c>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DS23" s="228" t="s">
        <v>226</v>
      </c>
      <c r="DT23" s="228" t="s">
        <v>227</v>
      </c>
    </row>
    <row r="24" spans="1:124">
      <c r="A24" s="219"/>
      <c r="B24" s="8" t="s">
        <v>69</v>
      </c>
      <c r="C24" s="8" t="s">
        <v>307</v>
      </c>
      <c r="D24" s="9" t="s">
        <v>71</v>
      </c>
      <c r="E24" s="42" t="s">
        <v>297</v>
      </c>
      <c r="F24" s="8">
        <v>0</v>
      </c>
      <c r="G24" s="8">
        <v>0</v>
      </c>
      <c r="H24" s="8">
        <v>0</v>
      </c>
      <c r="I24" s="8">
        <v>0</v>
      </c>
      <c r="J24" s="8">
        <v>0</v>
      </c>
      <c r="K24" s="233"/>
      <c r="L24" s="233"/>
      <c r="M24" s="233"/>
      <c r="N24" s="233"/>
      <c r="O24" s="233"/>
      <c r="P24" s="233"/>
      <c r="Q24" s="233"/>
      <c r="R24" s="233"/>
      <c r="S24" s="233"/>
      <c r="T24" s="233"/>
      <c r="U24" s="233"/>
      <c r="V24" s="233"/>
      <c r="W24" s="233"/>
      <c r="X24" s="233"/>
      <c r="Y24" t="s">
        <v>159</v>
      </c>
      <c r="AO24" s="199" t="s">
        <v>175</v>
      </c>
      <c r="AP24" s="11">
        <v>14</v>
      </c>
      <c r="AQ24" s="102" t="s">
        <v>335</v>
      </c>
      <c r="AR24" s="102" t="s">
        <v>335</v>
      </c>
      <c r="AS24" s="106">
        <f t="shared" ref="AS24" si="2">IF(PRODUCT(AT24:CN24)=1,1,0)</f>
        <v>0</v>
      </c>
      <c r="AT24" s="103"/>
      <c r="AU24" s="103"/>
      <c r="AV24" s="103"/>
      <c r="AW24" s="103"/>
      <c r="AX24" s="103"/>
      <c r="AY24" s="103"/>
      <c r="AZ24" s="103"/>
      <c r="BA24" s="103"/>
      <c r="BB24" s="103"/>
      <c r="BC24" s="103"/>
      <c r="BD24" s="103"/>
      <c r="BE24" s="103"/>
      <c r="BF24" s="103"/>
      <c r="BG24" s="103"/>
      <c r="BH24" s="103"/>
      <c r="BI24" s="103"/>
      <c r="BJ24" s="103"/>
      <c r="BK24" s="105">
        <f>INDEX(PrjSch!$Z:$Z,MATCH(BK$9,PrjSch!$I:$I,0))</f>
        <v>0</v>
      </c>
      <c r="BL24" s="105">
        <f>INDEX(PrjSch!$Z:$Z,MATCH(BL$9,PrjSch!$I:$I,0))</f>
        <v>0</v>
      </c>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DS24" s="228" t="s">
        <v>229</v>
      </c>
      <c r="DT24" s="228" t="s">
        <v>228</v>
      </c>
    </row>
    <row r="25" spans="1:124">
      <c r="A25" s="219"/>
      <c r="B25" s="8" t="s">
        <v>69</v>
      </c>
      <c r="C25" s="8" t="s">
        <v>38</v>
      </c>
      <c r="D25" s="9" t="s">
        <v>72</v>
      </c>
      <c r="E25" s="42" t="s">
        <v>308</v>
      </c>
      <c r="F25" s="8">
        <v>2</v>
      </c>
      <c r="G25" s="8">
        <v>4</v>
      </c>
      <c r="H25" s="8">
        <v>8</v>
      </c>
      <c r="I25" s="8">
        <v>10</v>
      </c>
      <c r="J25" s="8">
        <v>12</v>
      </c>
      <c r="K25" s="233"/>
      <c r="L25" s="233"/>
      <c r="M25" s="233"/>
      <c r="N25" s="233"/>
      <c r="O25" s="233"/>
      <c r="P25" s="233"/>
      <c r="Q25" s="233"/>
      <c r="R25" s="233"/>
      <c r="S25" s="233"/>
      <c r="T25" s="233"/>
      <c r="U25" s="233"/>
      <c r="V25" s="233"/>
      <c r="W25" s="233"/>
      <c r="X25" s="233"/>
      <c r="Y25" t="s">
        <v>158</v>
      </c>
      <c r="AO25" s="104" t="s">
        <v>86</v>
      </c>
      <c r="AP25" s="11">
        <v>15</v>
      </c>
      <c r="AQ25" s="102" t="s">
        <v>336</v>
      </c>
      <c r="AR25" s="102" t="s">
        <v>336</v>
      </c>
      <c r="AS25" s="106">
        <f t="shared" ref="AS25:AS27" si="3">IF(PRODUCT(AT25:CN25)=1,1,0)</f>
        <v>0</v>
      </c>
      <c r="AT25" s="103"/>
      <c r="AU25" s="103"/>
      <c r="AV25" s="103"/>
      <c r="AW25" s="103"/>
      <c r="AX25" s="103"/>
      <c r="AY25" s="103"/>
      <c r="AZ25" s="103"/>
      <c r="BA25" s="103"/>
      <c r="BB25" s="103"/>
      <c r="BC25" s="103"/>
      <c r="BD25" s="103"/>
      <c r="BE25" s="103"/>
      <c r="BF25" s="103"/>
      <c r="BG25" s="103"/>
      <c r="BH25" s="103"/>
      <c r="BI25" s="103"/>
      <c r="BJ25" s="103"/>
      <c r="BK25" s="103"/>
      <c r="BL25" s="103"/>
      <c r="BM25" s="105">
        <f>INDEX(PrjSch!$Z:$Z,MATCH(BM$9,PrjSch!$I:$I,0))</f>
        <v>0</v>
      </c>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DS25" s="228" t="s">
        <v>230</v>
      </c>
      <c r="DT25" s="228" t="s">
        <v>231</v>
      </c>
    </row>
    <row r="26" spans="1:124">
      <c r="A26" s="219"/>
      <c r="B26" s="8" t="s">
        <v>69</v>
      </c>
      <c r="C26" s="8" t="s">
        <v>307</v>
      </c>
      <c r="D26" s="9" t="s">
        <v>72</v>
      </c>
      <c r="E26" s="205" t="s">
        <v>298</v>
      </c>
      <c r="F26" s="8">
        <v>0</v>
      </c>
      <c r="G26" s="8">
        <v>0</v>
      </c>
      <c r="H26" s="8">
        <v>1</v>
      </c>
      <c r="I26" s="8">
        <v>0</v>
      </c>
      <c r="J26" s="8">
        <v>0</v>
      </c>
      <c r="K26" s="233"/>
      <c r="L26" s="233"/>
      <c r="M26" s="233"/>
      <c r="N26" s="233"/>
      <c r="O26" s="233"/>
      <c r="P26" s="233"/>
      <c r="Q26" s="233"/>
      <c r="R26" s="233"/>
      <c r="S26" s="233"/>
      <c r="T26" s="233"/>
      <c r="U26" s="233"/>
      <c r="V26" s="233"/>
      <c r="W26" s="233"/>
      <c r="X26" s="233"/>
      <c r="Y26" t="s">
        <v>161</v>
      </c>
      <c r="AP26" s="11">
        <v>16</v>
      </c>
      <c r="AQ26" s="102" t="s">
        <v>337</v>
      </c>
      <c r="AR26" s="102" t="s">
        <v>337</v>
      </c>
      <c r="AS26" s="106">
        <f t="shared" si="3"/>
        <v>0</v>
      </c>
      <c r="AT26" s="103"/>
      <c r="AU26" s="103"/>
      <c r="AV26" s="103"/>
      <c r="AW26" s="103"/>
      <c r="AX26" s="103"/>
      <c r="AY26" s="103"/>
      <c r="AZ26" s="103"/>
      <c r="BA26" s="103"/>
      <c r="BB26" s="103"/>
      <c r="BC26" s="103"/>
      <c r="BD26" s="103"/>
      <c r="BE26" s="103"/>
      <c r="BF26" s="103"/>
      <c r="BG26" s="103"/>
      <c r="BH26" s="103"/>
      <c r="BI26" s="103"/>
      <c r="BJ26" s="103"/>
      <c r="BK26" s="103"/>
      <c r="BL26" s="103"/>
      <c r="BM26" s="103"/>
      <c r="BN26" s="105">
        <f>INDEX(PrjSch!$Z:$Z,MATCH(BN$9,PrjSch!$I:$I,0))</f>
        <v>0</v>
      </c>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DS26" s="228" t="s">
        <v>232</v>
      </c>
      <c r="DT26" s="228" t="s">
        <v>233</v>
      </c>
    </row>
    <row r="27" spans="1:124">
      <c r="A27" s="219"/>
      <c r="B27" s="8" t="s">
        <v>69</v>
      </c>
      <c r="C27" s="8" t="s">
        <v>38</v>
      </c>
      <c r="D27" s="9" t="s">
        <v>72</v>
      </c>
      <c r="E27" s="205" t="s">
        <v>73</v>
      </c>
      <c r="F27" s="8">
        <v>0</v>
      </c>
      <c r="G27" s="8">
        <v>0</v>
      </c>
      <c r="H27" s="8">
        <v>0</v>
      </c>
      <c r="I27" s="8">
        <v>1</v>
      </c>
      <c r="J27" s="8">
        <v>1</v>
      </c>
      <c r="K27" s="233"/>
      <c r="L27" s="233"/>
      <c r="M27" s="233"/>
      <c r="N27" s="233"/>
      <c r="O27" s="233"/>
      <c r="P27" s="233"/>
      <c r="Q27" s="233"/>
      <c r="R27" s="233"/>
      <c r="S27" s="233"/>
      <c r="T27" s="233"/>
      <c r="U27" s="233"/>
      <c r="V27" s="233"/>
      <c r="W27" s="233"/>
      <c r="X27" s="233"/>
      <c r="Y27" t="s">
        <v>159</v>
      </c>
      <c r="AP27" s="11">
        <v>17</v>
      </c>
      <c r="AQ27" s="102" t="s">
        <v>86</v>
      </c>
      <c r="AR27" s="102" t="s">
        <v>86</v>
      </c>
      <c r="AS27" s="106">
        <f t="shared" si="3"/>
        <v>0</v>
      </c>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5">
        <f>INDEX(PrjSch!$Z:$Z,MATCH(BO$9,PrjSch!$I:$I,0))</f>
        <v>0</v>
      </c>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DS27" s="228" t="s">
        <v>235</v>
      </c>
      <c r="DT27" s="228" t="s">
        <v>234</v>
      </c>
    </row>
    <row r="28" spans="1:124">
      <c r="A28" s="219"/>
      <c r="B28" s="8"/>
      <c r="C28" s="8"/>
      <c r="D28" s="9"/>
      <c r="E28" s="205"/>
      <c r="F28" s="8"/>
      <c r="G28" s="8"/>
      <c r="H28" s="8"/>
      <c r="I28" s="8"/>
      <c r="J28" s="8"/>
      <c r="K28" s="233"/>
      <c r="L28" s="233"/>
      <c r="M28" s="233"/>
      <c r="N28" s="233"/>
      <c r="O28" s="233"/>
      <c r="P28" s="233"/>
      <c r="Q28" s="233"/>
      <c r="R28" s="233"/>
      <c r="S28" s="233"/>
      <c r="T28" s="233"/>
      <c r="U28" s="233"/>
      <c r="V28" s="233"/>
      <c r="W28" s="233"/>
      <c r="X28" s="233"/>
      <c r="Y28" t="s">
        <v>159</v>
      </c>
      <c r="AP28" s="11">
        <v>18</v>
      </c>
      <c r="AQ28" s="102"/>
      <c r="AR28" s="102"/>
      <c r="AS28" s="106"/>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DS28" s="228" t="s">
        <v>236</v>
      </c>
      <c r="DT28" s="228" t="s">
        <v>238</v>
      </c>
    </row>
    <row r="29" spans="1:124">
      <c r="A29" s="219"/>
      <c r="B29" s="8"/>
      <c r="C29" s="8"/>
      <c r="D29" s="9"/>
      <c r="E29" s="205"/>
      <c r="F29" s="8"/>
      <c r="G29" s="8"/>
      <c r="H29" s="8"/>
      <c r="I29" s="8"/>
      <c r="J29" s="8"/>
      <c r="K29" s="233"/>
      <c r="L29" s="233"/>
      <c r="M29" s="233"/>
      <c r="N29" s="233"/>
      <c r="O29" s="233"/>
      <c r="P29" s="233"/>
      <c r="Q29" s="233"/>
      <c r="R29" s="233"/>
      <c r="S29" s="233"/>
      <c r="T29" s="233"/>
      <c r="U29" s="233"/>
      <c r="V29" s="233"/>
      <c r="W29" s="233"/>
      <c r="X29" s="233"/>
      <c r="Y29" t="s">
        <v>158</v>
      </c>
      <c r="DS29" s="228" t="s">
        <v>237</v>
      </c>
      <c r="DT29" s="228" t="s">
        <v>239</v>
      </c>
    </row>
    <row r="30" spans="1:124">
      <c r="A30" s="219"/>
      <c r="B30" s="8"/>
      <c r="C30" s="8"/>
      <c r="D30" s="9"/>
      <c r="E30" s="205"/>
      <c r="F30" s="8"/>
      <c r="G30" s="8"/>
      <c r="H30" s="8"/>
      <c r="I30" s="8"/>
      <c r="J30" s="8"/>
      <c r="K30" s="233"/>
      <c r="L30" s="233"/>
      <c r="M30" s="233"/>
      <c r="N30" s="233"/>
      <c r="O30" s="233"/>
      <c r="P30" s="233"/>
      <c r="Q30" s="233"/>
      <c r="R30" s="233"/>
      <c r="S30" s="233"/>
      <c r="T30" s="233"/>
      <c r="U30" s="233"/>
      <c r="V30" s="233"/>
      <c r="W30" s="233"/>
      <c r="X30" s="233"/>
      <c r="Y30" t="s">
        <v>159</v>
      </c>
    </row>
    <row r="31" spans="1:124">
      <c r="A31" s="219"/>
      <c r="B31" s="8"/>
      <c r="C31" s="8"/>
      <c r="D31" s="9"/>
      <c r="E31" s="205"/>
      <c r="F31" s="8"/>
      <c r="G31" s="8"/>
      <c r="H31" s="8"/>
      <c r="I31" s="8"/>
      <c r="J31" s="8"/>
      <c r="K31" s="233"/>
      <c r="L31" s="233"/>
      <c r="M31" s="233"/>
      <c r="N31" s="233"/>
      <c r="O31" s="233"/>
      <c r="P31" s="233"/>
      <c r="Q31" s="233"/>
      <c r="R31" s="233"/>
      <c r="S31" s="233"/>
      <c r="T31" s="233"/>
      <c r="U31" s="233"/>
      <c r="V31" s="233"/>
      <c r="W31" s="233"/>
      <c r="X31" s="233"/>
      <c r="Y31" t="s">
        <v>159</v>
      </c>
    </row>
    <row r="32" spans="1:124">
      <c r="A32" s="219"/>
      <c r="B32" s="8"/>
      <c r="C32" s="8"/>
      <c r="D32" s="9"/>
      <c r="E32" s="2"/>
      <c r="F32" s="8"/>
      <c r="G32" s="8"/>
      <c r="H32" s="8"/>
      <c r="I32" s="8"/>
      <c r="J32" s="8"/>
      <c r="K32" s="233"/>
      <c r="L32" s="233"/>
      <c r="M32" s="233"/>
      <c r="N32" s="233"/>
      <c r="O32" s="233"/>
      <c r="P32" s="233"/>
      <c r="Q32" s="233"/>
      <c r="R32" s="233"/>
      <c r="S32" s="233"/>
      <c r="T32" s="233"/>
      <c r="U32" s="233"/>
      <c r="V32" s="233"/>
      <c r="W32" s="233"/>
      <c r="X32" s="233"/>
    </row>
    <row r="33" spans="1:24">
      <c r="A33" s="219"/>
      <c r="B33" s="8"/>
      <c r="C33" s="8"/>
      <c r="D33" s="9"/>
      <c r="E33" s="2"/>
      <c r="F33" s="8"/>
      <c r="G33" s="8"/>
      <c r="H33" s="8"/>
      <c r="I33" s="8"/>
      <c r="J33" s="8"/>
      <c r="K33" s="233"/>
      <c r="L33" s="233"/>
      <c r="M33" s="233"/>
      <c r="N33" s="233"/>
      <c r="O33" s="233"/>
      <c r="P33" s="233"/>
      <c r="Q33" s="233"/>
      <c r="R33" s="233"/>
      <c r="S33" s="233"/>
      <c r="T33" s="233"/>
      <c r="U33" s="233"/>
      <c r="V33" s="233"/>
      <c r="W33" s="233"/>
      <c r="X33" s="233"/>
    </row>
    <row r="34" spans="1:24">
      <c r="A34" s="219"/>
      <c r="B34" s="8"/>
      <c r="C34" s="8"/>
      <c r="D34" s="9"/>
      <c r="E34" s="2"/>
      <c r="F34" s="8"/>
      <c r="G34" s="8"/>
      <c r="H34" s="8"/>
      <c r="I34" s="8"/>
      <c r="J34" s="8"/>
      <c r="K34" s="233"/>
      <c r="L34" s="233"/>
      <c r="M34" s="233"/>
      <c r="N34" s="233"/>
      <c r="O34" s="233"/>
      <c r="P34" s="233"/>
      <c r="Q34" s="233"/>
      <c r="R34" s="233"/>
      <c r="S34" s="233"/>
      <c r="T34" s="233"/>
      <c r="U34" s="233"/>
      <c r="V34" s="233"/>
      <c r="W34" s="233"/>
      <c r="X34" s="233"/>
    </row>
    <row r="35" spans="1:24">
      <c r="A35" s="219"/>
      <c r="B35" s="8"/>
      <c r="C35" s="8"/>
      <c r="D35" s="9"/>
      <c r="E35" s="2"/>
      <c r="F35" s="8"/>
      <c r="G35" s="8"/>
      <c r="H35" s="8"/>
      <c r="I35" s="8"/>
      <c r="J35" s="8"/>
      <c r="K35" s="233"/>
      <c r="L35" s="233"/>
      <c r="M35" s="233"/>
      <c r="N35" s="233"/>
      <c r="O35" s="233"/>
      <c r="P35" s="233"/>
      <c r="Q35" s="233"/>
      <c r="R35" s="233"/>
      <c r="S35" s="233"/>
      <c r="T35" s="233"/>
      <c r="U35" s="233"/>
      <c r="V35" s="233"/>
      <c r="W35" s="233"/>
      <c r="X35" s="233"/>
    </row>
    <row r="36" spans="1:24">
      <c r="A36" s="219"/>
      <c r="B36" s="8"/>
      <c r="C36" s="8"/>
      <c r="D36" s="9"/>
      <c r="E36" s="2"/>
      <c r="F36" s="8"/>
      <c r="G36" s="8"/>
      <c r="H36" s="8"/>
      <c r="I36" s="8"/>
      <c r="J36" s="8"/>
      <c r="K36" s="233"/>
      <c r="L36" s="233"/>
      <c r="M36" s="233"/>
      <c r="N36" s="233"/>
      <c r="O36" s="233"/>
      <c r="P36" s="233"/>
      <c r="Q36" s="233"/>
      <c r="R36" s="233"/>
      <c r="S36" s="233"/>
      <c r="T36" s="233"/>
      <c r="U36" s="233"/>
      <c r="V36" s="233"/>
      <c r="W36" s="233"/>
      <c r="X36" s="233"/>
    </row>
    <row r="37" spans="1:24">
      <c r="A37" s="219"/>
      <c r="B37" s="8"/>
      <c r="C37" s="8"/>
      <c r="D37" s="9"/>
      <c r="E37" s="2"/>
      <c r="F37" s="8"/>
      <c r="G37" s="8"/>
      <c r="H37" s="8"/>
      <c r="I37" s="8"/>
      <c r="J37" s="8"/>
      <c r="K37" s="233"/>
      <c r="L37" s="233"/>
      <c r="M37" s="233"/>
      <c r="N37" s="233"/>
      <c r="O37" s="233"/>
      <c r="P37" s="233"/>
      <c r="Q37" s="233"/>
      <c r="R37" s="233"/>
      <c r="S37" s="233"/>
      <c r="T37" s="233"/>
      <c r="U37" s="233"/>
      <c r="V37" s="233"/>
      <c r="W37" s="233"/>
      <c r="X37" s="233"/>
    </row>
    <row r="38" spans="1:24">
      <c r="A38" s="219"/>
      <c r="B38" s="8"/>
      <c r="C38" s="8"/>
      <c r="D38" s="9"/>
      <c r="E38" s="2"/>
      <c r="F38" s="8"/>
      <c r="G38" s="8"/>
      <c r="H38" s="8"/>
      <c r="I38" s="8"/>
      <c r="J38" s="8"/>
      <c r="K38" s="233"/>
      <c r="L38" s="233"/>
      <c r="M38" s="233"/>
      <c r="N38" s="233"/>
      <c r="O38" s="233"/>
      <c r="P38" s="233"/>
      <c r="Q38" s="233"/>
      <c r="R38" s="233"/>
      <c r="S38" s="233"/>
      <c r="T38" s="233"/>
      <c r="U38" s="233"/>
      <c r="V38" s="233"/>
      <c r="W38" s="233"/>
      <c r="X38" s="233"/>
    </row>
    <row r="39" spans="1:24">
      <c r="A39" s="219"/>
      <c r="B39" s="8"/>
      <c r="C39" s="8"/>
      <c r="D39" s="9"/>
      <c r="E39" s="2"/>
      <c r="F39" s="8"/>
      <c r="G39" s="8"/>
      <c r="H39" s="8"/>
      <c r="I39" s="8"/>
      <c r="J39" s="8"/>
      <c r="K39" s="233"/>
      <c r="L39" s="233"/>
      <c r="M39" s="233"/>
      <c r="N39" s="233"/>
      <c r="O39" s="233"/>
      <c r="P39" s="233"/>
      <c r="Q39" s="233"/>
      <c r="R39" s="233"/>
      <c r="S39" s="233"/>
      <c r="T39" s="233"/>
      <c r="U39" s="233"/>
      <c r="V39" s="233"/>
      <c r="W39" s="233"/>
      <c r="X39" s="233"/>
    </row>
    <row r="40" spans="1:24">
      <c r="A40" s="219"/>
      <c r="B40" s="8"/>
      <c r="C40" s="8"/>
      <c r="D40" s="9"/>
      <c r="E40" s="2"/>
      <c r="F40" s="8"/>
      <c r="G40" s="8"/>
      <c r="H40" s="8"/>
      <c r="I40" s="8"/>
      <c r="J40" s="8"/>
      <c r="K40" s="233"/>
      <c r="L40" s="233"/>
      <c r="M40" s="233"/>
      <c r="N40" s="233"/>
      <c r="O40" s="233"/>
      <c r="P40" s="233"/>
      <c r="Q40" s="233"/>
      <c r="R40" s="233"/>
      <c r="S40" s="233"/>
      <c r="T40" s="233"/>
      <c r="U40" s="233"/>
      <c r="V40" s="233"/>
      <c r="W40" s="233"/>
      <c r="X40" s="233"/>
    </row>
    <row r="41" spans="1:24">
      <c r="A41" s="219"/>
      <c r="B41" s="8"/>
      <c r="C41" s="8"/>
      <c r="D41" s="9"/>
      <c r="E41" s="10"/>
      <c r="F41" s="8"/>
      <c r="G41" s="8"/>
      <c r="H41" s="8"/>
      <c r="I41" s="8"/>
      <c r="J41" s="8"/>
      <c r="K41" s="233"/>
      <c r="L41" s="233"/>
      <c r="M41" s="233"/>
      <c r="N41" s="233"/>
      <c r="O41" s="233"/>
      <c r="P41" s="233"/>
      <c r="Q41" s="233"/>
      <c r="R41" s="233"/>
      <c r="S41" s="233"/>
      <c r="T41" s="233"/>
      <c r="U41" s="233"/>
      <c r="V41" s="233"/>
      <c r="W41" s="233"/>
      <c r="X41" s="233"/>
    </row>
    <row r="42" spans="1:24">
      <c r="A42" s="219"/>
      <c r="B42" s="8"/>
      <c r="C42" s="8"/>
      <c r="D42" s="9"/>
      <c r="E42" s="10"/>
      <c r="F42" s="8"/>
      <c r="G42" s="8"/>
      <c r="H42" s="8"/>
      <c r="I42" s="8"/>
      <c r="J42" s="8"/>
      <c r="K42" s="233"/>
      <c r="L42" s="233"/>
      <c r="M42" s="233"/>
      <c r="N42" s="233"/>
      <c r="O42" s="233"/>
      <c r="P42" s="233"/>
      <c r="Q42" s="233"/>
      <c r="R42" s="233"/>
      <c r="S42" s="233"/>
      <c r="T42" s="233"/>
      <c r="U42" s="233"/>
      <c r="V42" s="233"/>
      <c r="W42" s="233"/>
      <c r="X42" s="233"/>
    </row>
    <row r="43" spans="1:24">
      <c r="A43" s="219"/>
      <c r="B43" s="8"/>
      <c r="C43" s="8"/>
      <c r="D43" s="9"/>
      <c r="E43" s="2"/>
      <c r="F43" s="8"/>
      <c r="G43" s="8"/>
      <c r="H43" s="8"/>
      <c r="I43" s="8"/>
      <c r="J43" s="8"/>
      <c r="K43" s="233"/>
      <c r="L43" s="233"/>
      <c r="M43" s="233"/>
      <c r="N43" s="233"/>
      <c r="O43" s="233"/>
      <c r="P43" s="233"/>
      <c r="Q43" s="233"/>
      <c r="R43" s="233"/>
      <c r="S43" s="233"/>
      <c r="T43" s="233"/>
      <c r="U43" s="233"/>
      <c r="V43" s="233"/>
      <c r="W43" s="233"/>
      <c r="X43" s="233"/>
    </row>
    <row r="44" spans="1:24">
      <c r="A44" s="219"/>
      <c r="B44" s="233"/>
      <c r="C44" s="233"/>
      <c r="D44" s="233"/>
      <c r="E44" s="233"/>
      <c r="F44" s="233"/>
      <c r="G44" s="233"/>
      <c r="H44" s="233"/>
      <c r="I44" s="233"/>
      <c r="J44" s="233"/>
      <c r="K44" s="233"/>
      <c r="L44" s="233"/>
      <c r="M44" s="233"/>
      <c r="N44" s="233"/>
      <c r="O44" s="233"/>
      <c r="P44" s="233"/>
      <c r="Q44" s="233"/>
      <c r="R44" s="233"/>
      <c r="S44" s="233"/>
      <c r="T44" s="233"/>
      <c r="U44" s="233"/>
      <c r="V44" s="233"/>
      <c r="W44" s="233"/>
      <c r="X44" s="233"/>
    </row>
    <row r="45" spans="1:24">
      <c r="A45" s="219"/>
      <c r="B45" s="233"/>
      <c r="C45" s="233"/>
      <c r="D45" s="233"/>
      <c r="E45" s="233"/>
      <c r="F45" s="233"/>
      <c r="G45" s="233"/>
      <c r="H45" s="233"/>
      <c r="I45" s="233"/>
      <c r="J45" s="233"/>
      <c r="K45" s="233"/>
      <c r="L45" s="233"/>
      <c r="M45" s="233"/>
      <c r="N45" s="233"/>
      <c r="O45" s="233"/>
      <c r="P45" s="233"/>
      <c r="Q45" s="233"/>
      <c r="R45" s="233"/>
      <c r="S45" s="233"/>
      <c r="T45" s="233"/>
      <c r="U45" s="233"/>
      <c r="V45" s="233"/>
      <c r="W45" s="233"/>
      <c r="X45" s="233"/>
    </row>
    <row r="46" spans="1:24">
      <c r="A46" s="219"/>
      <c r="B46" s="233"/>
      <c r="C46" s="233"/>
      <c r="D46" s="233"/>
      <c r="E46" s="233"/>
      <c r="F46" s="233"/>
      <c r="G46" s="233"/>
      <c r="H46" s="233"/>
      <c r="I46" s="233"/>
      <c r="J46" s="233"/>
      <c r="K46" s="233"/>
      <c r="L46" s="233"/>
      <c r="M46" s="233"/>
      <c r="N46" s="233"/>
      <c r="O46" s="233"/>
      <c r="P46" s="233"/>
      <c r="Q46" s="233"/>
      <c r="R46" s="233"/>
      <c r="S46" s="233"/>
      <c r="T46" s="233"/>
      <c r="U46" s="233"/>
      <c r="V46" s="233"/>
      <c r="W46" s="233"/>
      <c r="X46" s="233"/>
    </row>
    <row r="47" spans="1:24">
      <c r="A47" s="219"/>
      <c r="B47" s="233"/>
      <c r="C47" s="233"/>
      <c r="D47" s="233"/>
      <c r="E47" s="233"/>
      <c r="F47" s="233"/>
      <c r="G47" s="233"/>
      <c r="H47" s="233"/>
      <c r="I47" s="233"/>
      <c r="J47" s="233"/>
      <c r="K47" s="233"/>
      <c r="L47" s="233"/>
      <c r="M47" s="233"/>
      <c r="N47" s="233"/>
      <c r="O47" s="233"/>
      <c r="P47" s="233"/>
      <c r="Q47" s="233"/>
      <c r="R47" s="233"/>
      <c r="S47" s="233"/>
      <c r="T47" s="233"/>
      <c r="U47" s="233"/>
      <c r="V47" s="233"/>
      <c r="W47" s="233"/>
      <c r="X47" s="233"/>
    </row>
    <row r="48" spans="1:24">
      <c r="A48" s="219"/>
      <c r="B48" s="233"/>
      <c r="C48" s="233"/>
      <c r="D48" s="233"/>
      <c r="E48" s="233"/>
      <c r="F48" s="233"/>
      <c r="G48" s="233"/>
      <c r="H48" s="233"/>
      <c r="I48" s="233"/>
      <c r="J48" s="233"/>
      <c r="K48" s="233"/>
      <c r="L48" s="233"/>
      <c r="M48" s="233"/>
      <c r="N48" s="233"/>
      <c r="O48" s="233"/>
      <c r="P48" s="233"/>
      <c r="Q48" s="233"/>
      <c r="R48" s="233"/>
      <c r="S48" s="233"/>
      <c r="T48" s="233"/>
      <c r="U48" s="233"/>
      <c r="V48" s="233"/>
      <c r="W48" s="233"/>
      <c r="X48" s="233"/>
    </row>
    <row r="49" spans="1:39">
      <c r="A49" s="219"/>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AM49">
        <v>90</v>
      </c>
    </row>
    <row r="50" spans="1:39">
      <c r="A50" s="219"/>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AM50">
        <v>60</v>
      </c>
    </row>
    <row r="51" spans="1:39">
      <c r="A51" s="219"/>
      <c r="B51" s="233"/>
      <c r="C51" s="233"/>
      <c r="D51" s="233"/>
      <c r="E51" s="233"/>
      <c r="F51" s="233"/>
      <c r="G51" s="233"/>
      <c r="H51" s="233"/>
      <c r="I51" s="233"/>
      <c r="J51" s="233"/>
      <c r="K51" s="231"/>
      <c r="L51" s="231"/>
      <c r="M51" s="231"/>
      <c r="N51" s="231"/>
      <c r="O51" s="231"/>
      <c r="P51" s="231"/>
      <c r="Q51" s="231"/>
      <c r="R51" s="231"/>
      <c r="S51" s="231"/>
      <c r="T51" s="231"/>
      <c r="U51" s="231"/>
      <c r="V51" s="231"/>
      <c r="W51" s="231"/>
      <c r="X51" s="231"/>
      <c r="AM51">
        <f>AM49/AM50</f>
        <v>1.5</v>
      </c>
    </row>
    <row r="52" spans="1:39">
      <c r="A52" s="219"/>
      <c r="B52" s="233"/>
      <c r="C52" s="233"/>
      <c r="D52" s="233"/>
      <c r="E52" s="233"/>
      <c r="F52" s="233"/>
      <c r="G52" s="233"/>
      <c r="H52" s="233"/>
      <c r="I52" s="233"/>
      <c r="J52" s="233"/>
      <c r="K52" s="233"/>
      <c r="L52" s="233"/>
      <c r="M52" s="233"/>
      <c r="N52" s="233"/>
      <c r="O52" s="233"/>
      <c r="P52" s="233"/>
      <c r="Q52" s="233"/>
      <c r="R52" s="233"/>
      <c r="S52" s="233"/>
      <c r="T52" s="233"/>
      <c r="U52" s="233"/>
      <c r="V52" s="233"/>
      <c r="W52" s="233"/>
      <c r="X52" s="233"/>
    </row>
    <row r="54" spans="1:39">
      <c r="E54" s="2" t="s">
        <v>155</v>
      </c>
      <c r="F54" s="8"/>
      <c r="G54" s="8"/>
      <c r="H54" s="8"/>
      <c r="I54" s="8"/>
      <c r="J54" s="8"/>
      <c r="K54" s="233"/>
      <c r="L54" s="233"/>
      <c r="M54" s="233"/>
      <c r="N54" s="233"/>
      <c r="O54" s="233"/>
      <c r="P54" s="233"/>
      <c r="Q54" s="233"/>
      <c r="R54" s="233"/>
      <c r="S54" s="233"/>
      <c r="T54" s="233"/>
      <c r="U54" s="233"/>
      <c r="V54" s="233"/>
      <c r="W54" s="233"/>
      <c r="X54" s="233"/>
    </row>
    <row r="55" spans="1:39">
      <c r="E55" s="2" t="s">
        <v>156</v>
      </c>
      <c r="F55" s="8"/>
      <c r="G55" s="8"/>
      <c r="H55" s="8"/>
      <c r="I55" s="8"/>
      <c r="J55" s="8"/>
      <c r="K55" s="233"/>
      <c r="L55" s="233"/>
      <c r="M55" s="233"/>
      <c r="N55" s="233"/>
      <c r="O55" s="233"/>
      <c r="P55" s="233"/>
      <c r="Q55" s="233"/>
      <c r="R55" s="233"/>
      <c r="S55" s="233"/>
      <c r="T55" s="233"/>
      <c r="U55" s="233"/>
      <c r="V55" s="233"/>
      <c r="W55" s="233"/>
      <c r="X55" s="233"/>
    </row>
  </sheetData>
  <sheetProtection autoFilter="0"/>
  <autoFilter ref="A5:DT43" xr:uid="{00000000-0001-0000-0200-000000000000}"/>
  <pageMargins left="0.69930555555555596" right="0.69930555555555596"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VersionControl</vt:lpstr>
      <vt:lpstr>ReadMe</vt:lpstr>
      <vt:lpstr>PrjSch</vt:lpstr>
      <vt:lpstr>AmendmentIndex</vt:lpstr>
      <vt:lpstr>@LeadT_Setting</vt:lpstr>
      <vt:lpstr>Grade</vt:lpstr>
      <vt:lpstr>LukUp_Efforts</vt:lpstr>
      <vt:lpstr>Mfg_DelayCode</vt:lpstr>
      <vt:lpstr>Mfg_LOC</vt:lpstr>
      <vt:lpstr>NS_HW</vt:lpstr>
      <vt:lpstr>NS_MF</vt:lpstr>
      <vt:lpstr>NS_SW</vt:lpstr>
      <vt:lpstr>PackgingType</vt:lpstr>
      <vt:lpstr>PanelTyp</vt:lpstr>
      <vt:lpstr>Payment_Status</vt:lpstr>
      <vt:lpstr>PrjSch!Print_Area</vt:lpstr>
      <vt:lpstr>PrjSch!Print_Titles</vt:lpstr>
    </vt:vector>
  </TitlesOfParts>
  <Company>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BIJUZ</dc:creator>
  <cp:lastModifiedBy>Administrator</cp:lastModifiedBy>
  <cp:lastPrinted>2025-05-05T14:00:12Z</cp:lastPrinted>
  <dcterms:created xsi:type="dcterms:W3CDTF">2013-02-26T05:31:00Z</dcterms:created>
  <dcterms:modified xsi:type="dcterms:W3CDTF">2026-01-18T09:09:55Z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1033-10.2.0.5871</vt:lpwstr>
  </property>
</Properties>
</file>